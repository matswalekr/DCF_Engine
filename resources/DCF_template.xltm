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resources/"/>
    </mc:Choice>
  </mc:AlternateContent>
  <xr:revisionPtr revIDLastSave="0" documentId="13_ncr:1_{A239FF1C-DC18-E643-9EB3-B250F7A6305B}" xr6:coauthVersionLast="47" xr6:coauthVersionMax="47" xr10:uidLastSave="{00000000-0000-0000-0000-000000000000}"/>
  <bookViews>
    <workbookView xWindow="0" yWindow="740" windowWidth="29400" windowHeight="16500" activeTab="2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EV_EBITDA_FY0">'Comparable multiples'!$H$11</definedName>
    <definedName name="EV_REVENUE_FY0">'Comparable multiples'!$H$10</definedName>
    <definedName name="Forecasted_Years">'Information from Python'!$C$8</definedName>
    <definedName name="Gross_Margin">Assumptions!$D$8</definedName>
    <definedName name="Growth_Non_Operating">Assumptions!$D$10</definedName>
    <definedName name="Growth_RATE_ONWC">Assumptions!$D$13</definedName>
    <definedName name="Growth_RATE_PPE">Assumptions!$D$12</definedName>
    <definedName name="Growth_Sales">Assumptions!$D$6</definedName>
    <definedName name="Growth_SGA">Assumptions!$D$9</definedName>
    <definedName name="High_Share_Price">'Information from Python'!$C$21</definedName>
    <definedName name="Industry">'Information from Python'!$C$12</definedName>
    <definedName name="Interest_Rate">Assumptions!$D$18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Assumptions!$D$15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Assumptions!$D$17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DCF!$E$56</definedName>
    <definedName name="Yearly_Depreciation">Assumptions!$D$12</definedName>
    <definedName name="Years_Forecasted">'Information from Python'!$C$10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20" i="4" l="1"/>
  <c r="V220" i="4" s="1"/>
  <c r="Q220" i="4"/>
  <c r="U220" i="4" s="1"/>
  <c r="P220" i="4"/>
  <c r="T220" i="4" s="1"/>
  <c r="R219" i="4"/>
  <c r="Q219" i="4"/>
  <c r="P219" i="4"/>
  <c r="T219" i="4" s="1"/>
  <c r="R218" i="4"/>
  <c r="Q218" i="4"/>
  <c r="P218" i="4"/>
  <c r="R167" i="4"/>
  <c r="Q167" i="4"/>
  <c r="P167" i="4"/>
  <c r="T167" i="4" s="1"/>
  <c r="R166" i="4"/>
  <c r="Q166" i="4"/>
  <c r="P166" i="4"/>
  <c r="R165" i="4"/>
  <c r="Q165" i="4"/>
  <c r="P165" i="4"/>
  <c r="T165" i="4" s="1"/>
  <c r="T110" i="4"/>
  <c r="Q111" i="4"/>
  <c r="R112" i="4"/>
  <c r="Q112" i="4"/>
  <c r="P112" i="4"/>
  <c r="T112" i="4" s="1"/>
  <c r="R111" i="4"/>
  <c r="P111" i="4"/>
  <c r="T111" i="4" s="1"/>
  <c r="D22" i="1"/>
  <c r="C207" i="4"/>
  <c r="C205" i="4"/>
  <c r="C204" i="4"/>
  <c r="C203" i="4"/>
  <c r="C154" i="4"/>
  <c r="C152" i="4"/>
  <c r="C151" i="4"/>
  <c r="C150" i="4"/>
  <c r="C147" i="4"/>
  <c r="F120" i="4"/>
  <c r="E120" i="4" s="1"/>
  <c r="D120" i="4" s="1"/>
  <c r="F131" i="4"/>
  <c r="E131" i="4" s="1"/>
  <c r="D131" i="4" s="1"/>
  <c r="F5" i="5" a="1"/>
  <c r="V219" i="4" l="1"/>
  <c r="U219" i="4"/>
  <c r="U166" i="4"/>
  <c r="V166" i="4"/>
  <c r="V167" i="4"/>
  <c r="U167" i="4"/>
  <c r="V111" i="4"/>
  <c r="T166" i="4"/>
  <c r="V112" i="4"/>
  <c r="V165" i="4"/>
  <c r="U165" i="4"/>
  <c r="U112" i="4"/>
  <c r="U111" i="4"/>
  <c r="F5" i="5"/>
  <c r="G131" i="4"/>
  <c r="H131" i="4" s="1"/>
  <c r="G120" i="4"/>
  <c r="H120" i="4" s="1"/>
  <c r="D5" i="4" l="1"/>
  <c r="D17" i="1"/>
  <c r="AZ13" i="3"/>
  <c r="BA13" i="3"/>
  <c r="BB13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B4" i="3"/>
  <c r="AT4" i="3" s="1"/>
  <c r="B66" i="4"/>
  <c r="D7" i="3"/>
  <c r="H7" i="3" s="1"/>
  <c r="AZ7" i="3" s="1"/>
  <c r="F7" i="3"/>
  <c r="AX7" i="3" s="1"/>
  <c r="F6" i="3"/>
  <c r="AX6" i="3" s="1"/>
  <c r="D6" i="3"/>
  <c r="H6" i="3" s="1"/>
  <c r="AZ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E6" i="3" l="1"/>
  <c r="AV7" i="3"/>
  <c r="AZ29" i="2" a="1"/>
  <c r="C100" i="4"/>
  <c r="N9" i="2"/>
  <c r="N8" i="2"/>
  <c r="F109" i="4"/>
  <c r="I93" i="4"/>
  <c r="Q110" i="4" s="1"/>
  <c r="M63" i="4"/>
  <c r="M5" i="11" s="1"/>
  <c r="M7" i="11" s="1"/>
  <c r="D65" i="4"/>
  <c r="N5" i="4"/>
  <c r="N35" i="4" s="1"/>
  <c r="O5" i="4"/>
  <c r="O35" i="4" s="1"/>
  <c r="I5" i="4"/>
  <c r="J5" i="4"/>
  <c r="J35" i="4" s="1"/>
  <c r="K5" i="4"/>
  <c r="L5" i="4"/>
  <c r="L35" i="4" s="1"/>
  <c r="M5" i="4"/>
  <c r="M35" i="4" s="1"/>
  <c r="E23" i="4"/>
  <c r="D23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G5" i="4" s="1"/>
  <c r="G33" i="4" s="1"/>
  <c r="E48" i="4"/>
  <c r="E43" i="4"/>
  <c r="E42" i="4"/>
  <c r="V110" i="4" l="1"/>
  <c r="U110" i="4"/>
  <c r="K35" i="4"/>
  <c r="K32" i="4"/>
  <c r="K17" i="4" s="1"/>
  <c r="K31" i="4"/>
  <c r="I31" i="4"/>
  <c r="I35" i="4"/>
  <c r="I13" i="4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M20" i="4"/>
  <c r="M29" i="4"/>
  <c r="J23" i="4"/>
  <c r="J20" i="4"/>
  <c r="J29" i="4"/>
  <c r="AZ29" i="2"/>
  <c r="J15" i="4"/>
  <c r="I15" i="4"/>
  <c r="I6" i="2"/>
  <c r="K15" i="4"/>
  <c r="H6" i="2"/>
  <c r="D8" i="4"/>
  <c r="L15" i="4"/>
  <c r="O15" i="4"/>
  <c r="N15" i="4"/>
  <c r="M15" i="4"/>
  <c r="M84" i="4"/>
  <c r="M82" i="4"/>
  <c r="M69" i="4" s="1"/>
  <c r="M83" i="4"/>
  <c r="M71" i="4" s="1"/>
  <c r="M65" i="4"/>
  <c r="E31" i="4"/>
  <c r="E33" i="4"/>
  <c r="E30" i="4"/>
  <c r="I34" i="4"/>
  <c r="G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N17" i="4" s="1"/>
  <c r="M31" i="4"/>
  <c r="N30" i="4"/>
  <c r="I33" i="4"/>
  <c r="I32" i="4"/>
  <c r="I17" i="4" s="1"/>
  <c r="I30" i="4"/>
  <c r="O34" i="4"/>
  <c r="O31" i="4"/>
  <c r="O6" i="4"/>
  <c r="O8" i="4" s="1"/>
  <c r="O11" i="4" s="1"/>
  <c r="O18" i="4" s="1"/>
  <c r="O32" i="4"/>
  <c r="O17" i="4" s="1"/>
  <c r="N31" i="4"/>
  <c r="M6" i="4"/>
  <c r="M8" i="4" s="1"/>
  <c r="M11" i="4" s="1"/>
  <c r="M18" i="4" s="1"/>
  <c r="L34" i="4"/>
  <c r="M32" i="4"/>
  <c r="M17" i="4" s="1"/>
  <c r="L31" i="4"/>
  <c r="M30" i="4"/>
  <c r="F33" i="4"/>
  <c r="F13" i="4" s="1"/>
  <c r="G13" i="4" s="1"/>
  <c r="J6" i="4"/>
  <c r="J8" i="4" s="1"/>
  <c r="J11" i="4" s="1"/>
  <c r="J18" i="4" s="1"/>
  <c r="J32" i="4"/>
  <c r="J17" i="4" s="1"/>
  <c r="J30" i="4"/>
  <c r="N34" i="4"/>
  <c r="O30" i="4"/>
  <c r="L6" i="4"/>
  <c r="L8" i="4" s="1"/>
  <c r="L11" i="4" s="1"/>
  <c r="L18" i="4" s="1"/>
  <c r="K34" i="4"/>
  <c r="L32" i="4"/>
  <c r="L17" i="4" s="1"/>
  <c r="L30" i="4"/>
  <c r="E8" i="4"/>
  <c r="H5" i="4"/>
  <c r="G14" i="4"/>
  <c r="I14" i="4"/>
  <c r="J13" i="4"/>
  <c r="J14" i="4"/>
  <c r="J7" i="4"/>
  <c r="K7" i="4"/>
  <c r="L13" i="4"/>
  <c r="L7" i="4"/>
  <c r="I7" i="4"/>
  <c r="F14" i="4"/>
  <c r="M10" i="4"/>
  <c r="K10" i="4"/>
  <c r="O14" i="4"/>
  <c r="K23" i="4"/>
  <c r="L10" i="4"/>
  <c r="K13" i="4"/>
  <c r="L23" i="4"/>
  <c r="M7" i="4"/>
  <c r="N13" i="4"/>
  <c r="O23" i="4"/>
  <c r="N7" i="4"/>
  <c r="O13" i="4"/>
  <c r="M23" i="4"/>
  <c r="N10" i="4"/>
  <c r="M13" i="4"/>
  <c r="O7" i="4"/>
  <c r="I10" i="4"/>
  <c r="M14" i="4"/>
  <c r="I23" i="4"/>
  <c r="N23" i="4"/>
  <c r="O10" i="4"/>
  <c r="J10" i="4"/>
  <c r="E109" i="4"/>
  <c r="D109" i="4" s="1"/>
  <c r="G109" i="4"/>
  <c r="H109" i="4" s="1"/>
  <c r="E8" i="11"/>
  <c r="D7" i="11"/>
  <c r="D6" i="11"/>
  <c r="C6" i="11"/>
  <c r="G40" i="6"/>
  <c r="G38" i="6"/>
  <c r="G64" i="6" s="1"/>
  <c r="C17" i="5"/>
  <c r="E44" i="4" s="1"/>
  <c r="E45" i="4" s="1"/>
  <c r="P67" i="4"/>
  <c r="I63" i="4"/>
  <c r="I65" i="4" s="1"/>
  <c r="J63" i="4"/>
  <c r="J65" i="4" s="1"/>
  <c r="K63" i="4"/>
  <c r="K65" i="4" s="1"/>
  <c r="L63" i="4"/>
  <c r="N63" i="4"/>
  <c r="O63" i="4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D18" i="1" s="1"/>
  <c r="F35" i="4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5" i="4"/>
  <c r="E63" i="4"/>
  <c r="P110" i="4" l="1"/>
  <c r="R110" i="4"/>
  <c r="E47" i="4"/>
  <c r="E49" i="4" s="1"/>
  <c r="E35" i="4"/>
  <c r="G35" i="4"/>
  <c r="G20" i="4" s="1"/>
  <c r="H35" i="4"/>
  <c r="H20" i="4" s="1"/>
  <c r="H33" i="4"/>
  <c r="D13" i="3"/>
  <c r="AV13" i="3" s="1"/>
  <c r="E13" i="3"/>
  <c r="AW13" i="3" s="1"/>
  <c r="F13" i="3"/>
  <c r="AX13" i="3" s="1"/>
  <c r="D11" i="4"/>
  <c r="D15" i="4" s="1"/>
  <c r="N65" i="4"/>
  <c r="N5" i="11"/>
  <c r="O65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8" i="4" s="1"/>
  <c r="C62" i="6"/>
  <c r="C96" i="4" s="1"/>
  <c r="D65" i="6"/>
  <c r="E62" i="6"/>
  <c r="D35" i="4" s="1"/>
  <c r="K56" i="6"/>
  <c r="K67" i="6"/>
  <c r="L55" i="6"/>
  <c r="C53" i="6"/>
  <c r="C97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3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H64" i="6"/>
  <c r="I62" i="6"/>
  <c r="J60" i="6"/>
  <c r="I58" i="6"/>
  <c r="I56" i="6"/>
  <c r="J55" i="6"/>
  <c r="K53" i="6"/>
  <c r="E55" i="6"/>
  <c r="F65" i="6"/>
  <c r="H62" i="6"/>
  <c r="I60" i="6"/>
  <c r="H58" i="6"/>
  <c r="J53" i="6"/>
  <c r="F11" i="10"/>
  <c r="F6" i="10"/>
  <c r="D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0" i="4"/>
  <c r="M70" i="4"/>
  <c r="N70" i="4"/>
  <c r="I70" i="4"/>
  <c r="J70" i="4"/>
  <c r="O70" i="4"/>
  <c r="L83" i="4"/>
  <c r="L71" i="4" s="1"/>
  <c r="L65" i="4"/>
  <c r="L70" i="4"/>
  <c r="N84" i="4"/>
  <c r="N83" i="4"/>
  <c r="N71" i="4" s="1"/>
  <c r="K84" i="4"/>
  <c r="K83" i="4"/>
  <c r="K71" i="4" s="1"/>
  <c r="O84" i="4"/>
  <c r="O83" i="4"/>
  <c r="O71" i="4" s="1"/>
  <c r="J84" i="4"/>
  <c r="J83" i="4"/>
  <c r="J71" i="4" s="1"/>
  <c r="I84" i="4"/>
  <c r="I83" i="4"/>
  <c r="I71" i="4" s="1"/>
  <c r="L82" i="4"/>
  <c r="L69" i="4" s="1"/>
  <c r="L84" i="4"/>
  <c r="H34" i="4"/>
  <c r="H14" i="4"/>
  <c r="H13" i="4"/>
  <c r="K76" i="4"/>
  <c r="K82" i="4"/>
  <c r="K69" i="4" s="1"/>
  <c r="F63" i="4"/>
  <c r="E82" i="4"/>
  <c r="E69" i="4" s="1"/>
  <c r="J5" i="11"/>
  <c r="J82" i="4"/>
  <c r="J69" i="4" s="1"/>
  <c r="O82" i="4"/>
  <c r="O69" i="4" s="1"/>
  <c r="I82" i="4"/>
  <c r="I69" i="4" s="1"/>
  <c r="N82" i="4"/>
  <c r="N69" i="4" s="1"/>
  <c r="I5" i="11"/>
  <c r="M78" i="4"/>
  <c r="M76" i="4"/>
  <c r="N76" i="4"/>
  <c r="K5" i="11"/>
  <c r="L78" i="4"/>
  <c r="L76" i="4"/>
  <c r="I76" i="4"/>
  <c r="J76" i="4"/>
  <c r="E5" i="11"/>
  <c r="O76" i="4"/>
  <c r="L5" i="11"/>
  <c r="L7" i="11" s="1"/>
  <c r="Q6" i="11"/>
  <c r="P6" i="11"/>
  <c r="E66" i="4"/>
  <c r="E67" i="4" s="1"/>
  <c r="D63" i="4"/>
  <c r="D82" i="4" s="1"/>
  <c r="D69" i="4" s="1"/>
  <c r="K66" i="4"/>
  <c r="K78" i="4"/>
  <c r="J66" i="4"/>
  <c r="J78" i="4"/>
  <c r="I66" i="4"/>
  <c r="I78" i="4"/>
  <c r="O66" i="4"/>
  <c r="O78" i="4"/>
  <c r="N66" i="4"/>
  <c r="N78" i="4"/>
  <c r="M66" i="4"/>
  <c r="L66" i="4"/>
  <c r="E8" i="2"/>
  <c r="F7" i="10"/>
  <c r="D20" i="1" s="1"/>
  <c r="F8" i="10"/>
  <c r="D21" i="1" s="1"/>
  <c r="F9" i="10"/>
  <c r="C42" i="6"/>
  <c r="C52" i="6" s="1"/>
  <c r="K42" i="6"/>
  <c r="J44" i="6" s="1"/>
  <c r="D42" i="6"/>
  <c r="L42" i="6"/>
  <c r="K44" i="6" s="1"/>
  <c r="H42" i="6"/>
  <c r="G44" i="6" s="1"/>
  <c r="I42" i="6"/>
  <c r="H44" i="6" s="1"/>
  <c r="G42" i="6"/>
  <c r="G52" i="6" s="1"/>
  <c r="G67" i="6" l="1"/>
  <c r="F20" i="4"/>
  <c r="AW6" i="3"/>
  <c r="E10" i="2"/>
  <c r="C40" i="2" s="1"/>
  <c r="E12" i="2"/>
  <c r="D44" i="6"/>
  <c r="D83" i="4" s="1"/>
  <c r="D71" i="4" s="1"/>
  <c r="E44" i="6"/>
  <c r="D67" i="6"/>
  <c r="C60" i="6"/>
  <c r="E67" i="6"/>
  <c r="G60" i="6"/>
  <c r="E11" i="2"/>
  <c r="F10" i="3" s="1"/>
  <c r="AX10" i="3" s="1"/>
  <c r="D52" i="4"/>
  <c r="D54" i="4" s="1"/>
  <c r="E52" i="4" s="1"/>
  <c r="F67" i="6"/>
  <c r="F60" i="6"/>
  <c r="E60" i="6"/>
  <c r="C44" i="6"/>
  <c r="E83" i="4" s="1"/>
  <c r="E71" i="4" s="1"/>
  <c r="D52" i="6"/>
  <c r="D60" i="6" s="1"/>
  <c r="C67" i="6"/>
  <c r="H30" i="4"/>
  <c r="F30" i="4"/>
  <c r="G63" i="4"/>
  <c r="H63" i="4" s="1"/>
  <c r="H84" i="4" s="1"/>
  <c r="F84" i="4"/>
  <c r="F5" i="11"/>
  <c r="L67" i="4"/>
  <c r="L73" i="4" s="1"/>
  <c r="L75" i="4" s="1"/>
  <c r="J67" i="4"/>
  <c r="J73" i="4" s="1"/>
  <c r="J75" i="4" s="1"/>
  <c r="O67" i="4"/>
  <c r="O73" i="4" s="1"/>
  <c r="O75" i="4" s="1"/>
  <c r="I67" i="4"/>
  <c r="I73" i="4" s="1"/>
  <c r="I75" i="4" s="1"/>
  <c r="D66" i="4"/>
  <c r="D67" i="4" s="1"/>
  <c r="D5" i="11"/>
  <c r="N67" i="4"/>
  <c r="N73" i="4" s="1"/>
  <c r="N75" i="4" s="1"/>
  <c r="M67" i="4"/>
  <c r="M73" i="4" s="1"/>
  <c r="M75" i="4" s="1"/>
  <c r="K67" i="4"/>
  <c r="K73" i="4" s="1"/>
  <c r="F44" i="6"/>
  <c r="E10" i="3" l="1"/>
  <c r="AW10" i="3" s="1"/>
  <c r="D10" i="3"/>
  <c r="AV10" i="3" s="1"/>
  <c r="F8" i="3"/>
  <c r="E8" i="3"/>
  <c r="D8" i="3"/>
  <c r="K75" i="4"/>
  <c r="H10" i="3"/>
  <c r="AZ10" i="3" s="1"/>
  <c r="D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3" i="4"/>
  <c r="F71" i="4" s="1"/>
  <c r="E53" i="4"/>
  <c r="B7" i="11" a="1"/>
  <c r="G5" i="11"/>
  <c r="G84" i="4"/>
  <c r="H5" i="11"/>
  <c r="J10" i="3" l="1"/>
  <c r="BB10" i="3" s="1"/>
  <c r="I10" i="3"/>
  <c r="BA10" i="3" s="1"/>
  <c r="F216" i="4"/>
  <c r="G216" i="4" s="1"/>
  <c r="H216" i="4" s="1"/>
  <c r="I200" i="4"/>
  <c r="Q217" i="4" s="1"/>
  <c r="AV8" i="3"/>
  <c r="H8" i="3"/>
  <c r="AZ8" i="3" s="1"/>
  <c r="AW8" i="3"/>
  <c r="I8" i="3"/>
  <c r="BA8" i="3" s="1"/>
  <c r="AX8" i="3"/>
  <c r="J8" i="3"/>
  <c r="BB8" i="3" s="1"/>
  <c r="C123" i="4"/>
  <c r="C241" i="4"/>
  <c r="C112" i="4"/>
  <c r="C177" i="4"/>
  <c r="C188" i="4"/>
  <c r="C230" i="4"/>
  <c r="C219" i="4"/>
  <c r="C166" i="4"/>
  <c r="C134" i="4"/>
  <c r="F227" i="4"/>
  <c r="F238" i="4"/>
  <c r="K14" i="11"/>
  <c r="J13" i="11"/>
  <c r="H11" i="11"/>
  <c r="H82" i="4" s="1"/>
  <c r="H69" i="4" s="1"/>
  <c r="I12" i="11"/>
  <c r="F7" i="4"/>
  <c r="F8" i="4" s="1"/>
  <c r="D9" i="3"/>
  <c r="F9" i="3"/>
  <c r="AX9" i="3" s="1"/>
  <c r="G6" i="4"/>
  <c r="H31" i="4"/>
  <c r="G31" i="4"/>
  <c r="F31" i="4"/>
  <c r="F10" i="4" s="1"/>
  <c r="G10" i="4" s="1"/>
  <c r="H10" i="4" s="1"/>
  <c r="E40" i="2"/>
  <c r="D40" i="2"/>
  <c r="G83" i="4"/>
  <c r="G71" i="4" s="1"/>
  <c r="I10" i="2"/>
  <c r="F40" i="2" s="1"/>
  <c r="H11" i="2"/>
  <c r="E56" i="4"/>
  <c r="P17" i="11"/>
  <c r="O17" i="11" s="1"/>
  <c r="O18" i="11"/>
  <c r="N17" i="11"/>
  <c r="B7" i="11"/>
  <c r="M16" i="11"/>
  <c r="P12" i="11"/>
  <c r="M12" i="11" s="1"/>
  <c r="F9" i="11"/>
  <c r="F82" i="4" s="1"/>
  <c r="F69" i="4" s="1"/>
  <c r="G10" i="11"/>
  <c r="G82" i="4" s="1"/>
  <c r="G69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F174" i="4" l="1"/>
  <c r="E174" i="4" s="1"/>
  <c r="D174" i="4" s="1"/>
  <c r="F185" i="4"/>
  <c r="G238" i="4"/>
  <c r="H238" i="4" s="1"/>
  <c r="E238" i="4"/>
  <c r="G227" i="4"/>
  <c r="H227" i="4" s="1"/>
  <c r="E227" i="4"/>
  <c r="D227" i="4" s="1"/>
  <c r="E216" i="4"/>
  <c r="D216" i="4" s="1"/>
  <c r="P217" i="4" s="1"/>
  <c r="F163" i="4"/>
  <c r="I147" i="4"/>
  <c r="Q164" i="4" s="1"/>
  <c r="C242" i="4"/>
  <c r="C243" i="4" s="1"/>
  <c r="C240" i="4"/>
  <c r="C239" i="4" s="1"/>
  <c r="C135" i="4"/>
  <c r="C136" i="4" s="1"/>
  <c r="C133" i="4"/>
  <c r="C132" i="4" s="1"/>
  <c r="C220" i="4"/>
  <c r="C221" i="4" s="1"/>
  <c r="C218" i="4"/>
  <c r="C217" i="4" s="1"/>
  <c r="C231" i="4"/>
  <c r="C232" i="4" s="1"/>
  <c r="C229" i="4"/>
  <c r="C228" i="4" s="1"/>
  <c r="C189" i="4"/>
  <c r="C190" i="4" s="1"/>
  <c r="C187" i="4"/>
  <c r="C186" i="4" s="1"/>
  <c r="C178" i="4"/>
  <c r="C179" i="4" s="1"/>
  <c r="C176" i="4"/>
  <c r="C175" i="4" s="1"/>
  <c r="C165" i="4"/>
  <c r="C164" i="4" s="1"/>
  <c r="C167" i="4"/>
  <c r="C168" i="4" s="1"/>
  <c r="G40" i="2"/>
  <c r="C122" i="4"/>
  <c r="C121" i="4" s="1"/>
  <c r="C124" i="4"/>
  <c r="C125" i="4" s="1"/>
  <c r="H9" i="3"/>
  <c r="AZ9" i="3" s="1"/>
  <c r="AV9" i="3"/>
  <c r="G7" i="4"/>
  <c r="G8" i="4" s="1"/>
  <c r="G11" i="4" s="1"/>
  <c r="G15" i="4" s="1"/>
  <c r="H6" i="4"/>
  <c r="H7" i="4" s="1"/>
  <c r="H8" i="4" s="1"/>
  <c r="I9" i="3"/>
  <c r="BA9" i="3" s="1"/>
  <c r="J9" i="3"/>
  <c r="BB9" i="3" s="1"/>
  <c r="F11" i="4"/>
  <c r="F15" i="4" s="1"/>
  <c r="I9" i="2" s="1"/>
  <c r="H83" i="4"/>
  <c r="H71" i="4" s="1"/>
  <c r="C113" i="4"/>
  <c r="C114" i="4" s="1"/>
  <c r="C111" i="4"/>
  <c r="C110" i="4" s="1"/>
  <c r="F76" i="4"/>
  <c r="G76" i="4"/>
  <c r="H76" i="4"/>
  <c r="D17" i="4"/>
  <c r="D70" i="4"/>
  <c r="D73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P7" i="11" s="1"/>
  <c r="R217" i="4" l="1"/>
  <c r="V217" i="4" s="1"/>
  <c r="D238" i="4"/>
  <c r="G174" i="4"/>
  <c r="H174" i="4" s="1"/>
  <c r="G185" i="4"/>
  <c r="H185" i="4" s="1"/>
  <c r="E185" i="4"/>
  <c r="G163" i="4"/>
  <c r="H163" i="4" s="1"/>
  <c r="E163" i="4"/>
  <c r="D163" i="4" s="1"/>
  <c r="H11" i="4"/>
  <c r="H15" i="4" s="1"/>
  <c r="I146" i="4" s="1"/>
  <c r="I148" i="4" s="1"/>
  <c r="I199" i="4"/>
  <c r="I201" i="4" s="1"/>
  <c r="I202" i="4" s="1"/>
  <c r="C201" i="4" s="1"/>
  <c r="I11" i="2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V218" i="4" l="1"/>
  <c r="T217" i="4"/>
  <c r="U217" i="4"/>
  <c r="P164" i="4"/>
  <c r="R164" i="4"/>
  <c r="V164" i="4" s="1"/>
  <c r="D185" i="4"/>
  <c r="C200" i="4"/>
  <c r="I149" i="4"/>
  <c r="H11" i="3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0" i="4"/>
  <c r="E73" i="4" s="1"/>
  <c r="H7" i="11"/>
  <c r="U218" i="4" l="1"/>
  <c r="T218" i="4"/>
  <c r="T164" i="4"/>
  <c r="U164" i="4"/>
  <c r="C202" i="4"/>
  <c r="C206" i="4" s="1"/>
  <c r="P9" i="1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C208" i="4" l="1"/>
  <c r="C216" i="4" s="1"/>
  <c r="C211" i="4"/>
  <c r="C238" i="4" s="1"/>
  <c r="M11" i="1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0" i="4"/>
  <c r="H19" i="11"/>
  <c r="H32" i="4" s="1"/>
  <c r="H17" i="4" l="1"/>
  <c r="H18" i="4" s="1"/>
  <c r="H70" i="4"/>
  <c r="G17" i="4"/>
  <c r="G18" i="4" s="1"/>
  <c r="G70" i="4"/>
  <c r="G65" i="4" l="1"/>
  <c r="F65" i="4"/>
  <c r="H21" i="4"/>
  <c r="E21" i="4"/>
  <c r="H65" i="4" l="1"/>
  <c r="H66" i="4" s="1"/>
  <c r="H67" i="4" s="1"/>
  <c r="H73" i="4" s="1"/>
  <c r="G21" i="4"/>
  <c r="G23" i="4" s="1"/>
  <c r="G24" i="4" s="1"/>
  <c r="E24" i="4"/>
  <c r="E34" i="4"/>
  <c r="F21" i="4"/>
  <c r="F23" i="4" s="1"/>
  <c r="F24" i="4" s="1"/>
  <c r="D34" i="4"/>
  <c r="F66" i="4"/>
  <c r="F67" i="4" s="1"/>
  <c r="F73" i="4" s="1"/>
  <c r="G66" i="4"/>
  <c r="G67" i="4" s="1"/>
  <c r="G73" i="4" s="1"/>
  <c r="H23" i="4"/>
  <c r="H24" i="4" s="1"/>
  <c r="I92" i="4" l="1"/>
  <c r="C210" i="4" s="1"/>
  <c r="C227" i="4" s="1"/>
  <c r="F75" i="4"/>
  <c r="G75" i="4" s="1"/>
  <c r="I94" i="4" l="1"/>
  <c r="I95" i="4" s="1"/>
  <c r="C94" i="4" s="1"/>
  <c r="C157" i="4"/>
  <c r="C148" i="4"/>
  <c r="C149" i="4" s="1"/>
  <c r="H75" i="4"/>
  <c r="H78" i="4" s="1"/>
  <c r="G78" i="4"/>
  <c r="F78" i="4"/>
  <c r="C174" i="4" l="1"/>
  <c r="C153" i="4"/>
  <c r="C155" i="4" s="1"/>
  <c r="C158" i="4"/>
  <c r="C93" i="4"/>
  <c r="C95" i="4" s="1"/>
  <c r="C185" i="4" l="1"/>
  <c r="C163" i="4"/>
  <c r="C103" i="4"/>
  <c r="C104" i="4"/>
  <c r="C99" i="4"/>
  <c r="C101" i="4" s="1"/>
  <c r="C120" i="4" l="1"/>
  <c r="C131" i="4"/>
  <c r="C109" i="4"/>
  <c r="E7" i="3"/>
  <c r="AW7" i="3" s="1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<sst xmlns="http://schemas.openxmlformats.org/spreadsheetml/2006/main" count="462" uniqueCount="291">
  <si>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</si>
  <si>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</si>
  <si>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</si>
  <si>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</si>
  <si>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</si>
  <si>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</si>
  <si>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</si>
  <si>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</si>
  <si>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</si>
  <si>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</si>
  <si>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</si>
  <si>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</si>
  <si>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</si>
  <si>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</si>
  <si>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</si>
  <si>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</si>
  <si>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</si>
  <si>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</si>
  <si>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</si>
  <si>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</si>
  <si>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</si>
  <si>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</si>
  <si>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</si>
  <si>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</si>
  <si>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</si>
  <si>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</si>
  <si>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</si>
  <si>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</si>
  <si>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</si>
  <si>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</si>
  <si>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</si>
  <si>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</si>
  <si>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</si>
  <si>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</si>
  <si>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</si>
  <si>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</si>
  <si>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</si>
  <si>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</si>
  <si>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</si>
  <si>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</si>
  <si>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</si>
  <si>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</si>
  <si>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</si>
  <si>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</si>
  <si>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</si>
  <si>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</si>
  <si>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</si>
  <si>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</si>
  <si>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</si>
  <si>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</si>
  <si>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</si>
  <si>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</si>
  <si>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</si>
  <si>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</si>
  <si>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</si>
  <si>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</si>
  <si>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</si>
  <si>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</si>
  <si>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</si>
  <si>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</si>
  <si>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</si>
  <si>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</si>
  <si>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</si>
  <si>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</si>
  <si>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</si>
  <si>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</si>
  <si>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</si>
  <si>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</si>
  <si>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</si>
  <si>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</si>
  <si>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</si>
  <si>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</si>
  <si>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</si>
  <si>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</si>
  <si>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</si>
  <si>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</si>
  <si>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</si>
  <si>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</si>
  <si>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</si>
  <si>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</si>
  <si>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</si>
  <si>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</si>
  <si>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</si>
  <si>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</si>
  <si>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</si>
  <si>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</si>
  <si>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</si>
  <si>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</si>
  <si>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</si>
  <si>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</si>
  <si>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</si>
  <si>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</si>
  <si>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</si>
  <si>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</si>
  <si>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</si>
  <si>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</si>
  <si>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</si>
  <si>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</si>
  <si>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</si>
  <si>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</si>
  <si>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</si>
  <si>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</si>
  <si>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</si>
  <si>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</si>
  <si>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</si>
  <si>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</si>
  <si>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</si>
  <si>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</si>
  <si>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</si>
  <si>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</si>
  <si>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</si>
  <si>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</si>
  <si>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</si>
  <si>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</si>
  <si>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</si>
  <si>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</si>
  <si>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</si>
  <si>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</si>
  <si>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</si>
  <si>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</si>
  <si>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</si>
  <si>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</si>
  <si>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</si>
  <si>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</si>
  <si>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</si>
  <si>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</si>
  <si>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</si>
  <si>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</si>
  <si>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</si>
  <si>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</si>
  <si>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</si>
  <si>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</si>
  <si>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</si>
  <si>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</si>
  <si>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</si>
  <si>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</si>
  <si>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</si>
  <si>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</si>
  <si>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</si>
  <si>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</si>
  <si>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</si>
  <si>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</si>
  <si>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</si>
  <si>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</si>
  <si>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</si>
  <si>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</si>
  <si>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</si>
  <si>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</si>
  <si>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</si>
  <si>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</si>
  <si>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</si>
  <si>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</si>
  <si>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</si>
  <si>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</si>
  <si>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</si>
  <si>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</si>
  <si>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</si>
  <si>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</si>
  <si>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</si>
  <si>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</si>
  <si>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</si>
  <si>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</si>
  <si>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</si>
  <si>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</si>
  <si>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</si>
  <si>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</si>
  <si>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</si>
  <si>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</si>
  <si>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</si>
  <si>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</si>
  <si>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</si>
  <si>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</si>
  <si>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</si>
  <si>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</si>
  <si>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</si>
  <si>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</si>
  <si>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</si>
  <si>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</si>
  <si>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</si>
  <si>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</si>
  <si>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</si>
  <si>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</si>
  <si>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</si>
  <si>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</si>
  <si>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</si>
  <si>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</si>
  <si>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</si>
  <si>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</si>
  <si>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</si>
  <si>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</si>
  <si>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</si>
  <si>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</si>
  <si>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</si>
  <si>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</si>
  <si>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</si>
  <si>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</si>
  <si>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</si>
  <si>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</si>
  <si>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</si>
  <si>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</si>
  <si>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</si>
  <si>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</si>
  <si>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</si>
  <si>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</si>
  <si>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</si>
  <si>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</si>
  <si>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</si>
  <si>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</si>
  <si>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</si>
  <si>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</si>
  <si>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</si>
  <si>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</si>
  <si>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</si>
  <si>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</si>
  <si>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</si>
  <si>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</si>
  <si>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</si>
  <si>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</si>
  <si>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</si>
  <si>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</si>
  <si>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</si>
  <si>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</si>
  <si>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</si>
  <si>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</si>
  <si>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</si>
  <si>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</si>
  <si>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</si>
  <si>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</si>
  <si>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</si>
  <si>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</si>
  <si>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</si>
  <si>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</si>
  <si>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</si>
  <si>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</si>
  <si>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</si>
  <si>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</si>
  <si>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</si>
  <si>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</si>
  <si>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</si>
  <si>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</si>
  <si>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</si>
  <si>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</si>
  <si>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</si>
  <si>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</si>
  <si>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</si>
  <si>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</si>
  <si>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</si>
  <si>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</si>
  <si>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</si>
  <si>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</si>
  <si>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</si>
  <si>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</si>
  <si>
    <t>DUMMY 1</t>
  </si>
  <si>
    <t>DUMMY 2</t>
  </si>
  <si>
    <t>DUMMY 3</t>
  </si>
  <si>
    <t>DUMMY 4</t>
  </si>
  <si>
    <t>Information from Python</t>
  </si>
  <si>
    <t>DCF with Terminal Value using Perpetuity</t>
  </si>
  <si>
    <t>Implied EV/EBITDA multiple</t>
  </si>
  <si>
    <t>Implied EV/Revenue multiple</t>
  </si>
  <si>
    <t>Implied Y0 EV/EBITDA multiple</t>
  </si>
  <si>
    <t>Implied Y0 EV/Revenue multiple</t>
  </si>
  <si>
    <t>DCF with Terminal Value using EV/EBITDA exit multiple</t>
  </si>
  <si>
    <t>EV/EBITDA</t>
  </si>
  <si>
    <t>Y0 EV/EBITDA</t>
  </si>
  <si>
    <t>Y0 EV/Revenue multiple</t>
  </si>
  <si>
    <t xml:space="preserve">Exit EV/EBITDA Multiple </t>
  </si>
  <si>
    <t>PV of terminal value</t>
  </si>
  <si>
    <t>Implied growth rate</t>
  </si>
  <si>
    <t>Implied Perpetuity Growth Rate</t>
  </si>
  <si>
    <t>Exit EV/EBITDA multiple</t>
  </si>
  <si>
    <t>DCF with Terminal Value using EV/Revenue exit multiple</t>
  </si>
  <si>
    <t xml:space="preserve">Exit EV/Revenue Multiple </t>
  </si>
  <si>
    <t>Last forecasted Revenue</t>
  </si>
  <si>
    <t>Last forecasted EBITDA</t>
  </si>
  <si>
    <t>Exit EV/Revenue multiple</t>
  </si>
  <si>
    <t>EV/Revenue</t>
  </si>
  <si>
    <t>Terminal Value - EV/REVENUE exit multiple</t>
  </si>
  <si>
    <t>Terminal Value - EV/EBITDA exit multiple</t>
  </si>
  <si>
    <t>Input perpetual Growth</t>
  </si>
  <si>
    <t>Implied growth rate EV/EBITDA</t>
  </si>
  <si>
    <t>Implied growth rate EV/Revenue</t>
  </si>
  <si>
    <t>Growth Rate estimates</t>
  </si>
  <si>
    <t>Implied EV/EBITDA perpetual growth rate</t>
  </si>
  <si>
    <t>Implied EV/EBITDA EV/Revenue</t>
  </si>
  <si>
    <t>Exit EV/EBITDA estimates</t>
  </si>
  <si>
    <t>Input exit EV/EBITDA</t>
  </si>
  <si>
    <t>Input exit EV/Revenue</t>
  </si>
  <si>
    <t>Implied EV/Revenue perpetual growth rate</t>
  </si>
  <si>
    <t>Implied EV/Reneue EV/EBITDA</t>
  </si>
  <si>
    <t>Exit EV/Revenue estimates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</si>
</sst>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  <numFmt numFmtId="182" formatCode="[$$-409]#,##0.00"/>
  </numFmts>
  <fonts count="51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1"/>
      <name val="Aptos Narrow"/>
      <family val="2"/>
      <scheme val="minor"/>
    </font>
    <font>
      <sz val="10"/>
      <color theme="0" tint="-0.249977111117893"/>
      <name val="Arial"/>
      <family val="2"/>
    </font>
    <font>
      <u/>
      <sz val="12"/>
      <color theme="1"/>
      <name val="ArialMT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330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48" fillId="14" borderId="35" xfId="0" applyNumberFormat="1" applyFont="1" applyFill="1" applyBorder="1" applyAlignment="1" applyProtection="1">
      <alignment horizontal="right" indent="2"/>
      <protection locked="0"/>
    </xf>
    <xf numFmtId="2" fontId="48" fillId="14" borderId="34" xfId="0" applyNumberFormat="1" applyFont="1" applyFill="1" applyBorder="1" applyAlignment="1" applyProtection="1">
      <alignment horizontal="right" indent="2"/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48" fillId="14" borderId="37" xfId="0" applyNumberFormat="1" applyFont="1" applyFill="1" applyBorder="1" applyAlignment="1" applyProtection="1">
      <alignment horizontal="right" indent="2"/>
      <protection locked="0"/>
    </xf>
    <xf numFmtId="2" fontId="48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9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3" fillId="6" borderId="0" xfId="0" applyFont="1" applyFill="1" applyAlignment="1" applyProtection="1">
      <alignment vertical="center"/>
      <protection locked="0"/>
    </xf>
    <xf numFmtId="0" fontId="31" fillId="0" borderId="0" xfId="0" applyFont="1"/>
    <xf numFmtId="0" fontId="31" fillId="0" borderId="2" xfId="0" applyFont="1" applyBorder="1"/>
    <xf numFmtId="0" fontId="1" fillId="0" borderId="2" xfId="0" applyFont="1" applyBorder="1"/>
    <xf numFmtId="2" fontId="1" fillId="0" borderId="0" xfId="0" applyNumberFormat="1" applyFont="1"/>
    <xf numFmtId="2" fontId="1" fillId="0" borderId="2" xfId="0" applyNumberFormat="1" applyFont="1" applyBorder="1"/>
    <xf numFmtId="2" fontId="6" fillId="0" borderId="10" xfId="3" applyNumberFormat="1" applyFont="1" applyBorder="1" applyAlignment="1" applyProtection="1">
      <alignment horizontal="center"/>
      <protection locked="0"/>
    </xf>
    <xf numFmtId="2" fontId="5" fillId="0" borderId="0" xfId="3" applyNumberFormat="1" applyFont="1"/>
    <xf numFmtId="2" fontId="7" fillId="0" borderId="4" xfId="1" applyNumberFormat="1" applyFont="1" applyFill="1" applyBorder="1" applyProtection="1"/>
    <xf numFmtId="10" fontId="5" fillId="0" borderId="5" xfId="3" applyNumberFormat="1" applyFont="1" applyBorder="1"/>
    <xf numFmtId="10" fontId="5" fillId="0" borderId="6" xfId="3" applyNumberFormat="1" applyFont="1" applyBorder="1"/>
    <xf numFmtId="10" fontId="5" fillId="0" borderId="0" xfId="3" applyNumberFormat="1" applyFont="1"/>
    <xf numFmtId="10" fontId="5" fillId="0" borderId="7" xfId="3" applyNumberFormat="1" applyFont="1" applyBorder="1"/>
    <xf numFmtId="10" fontId="5" fillId="8" borderId="0" xfId="3" applyNumberFormat="1" applyFont="1" applyFill="1"/>
    <xf numFmtId="10" fontId="8" fillId="0" borderId="0" xfId="2" applyNumberFormat="1" applyFont="1" applyFill="1" applyBorder="1" applyProtection="1"/>
    <xf numFmtId="182" fontId="1" fillId="0" borderId="9" xfId="0" applyNumberFormat="1" applyFont="1" applyBorder="1"/>
    <xf numFmtId="182" fontId="8" fillId="0" borderId="0" xfId="2" applyNumberFormat="1" applyFont="1" applyFill="1" applyBorder="1" applyProtection="1"/>
    <xf numFmtId="182" fontId="5" fillId="0" borderId="5" xfId="3" applyNumberFormat="1" applyFont="1" applyBorder="1"/>
    <xf numFmtId="182" fontId="5" fillId="0" borderId="6" xfId="3" applyNumberFormat="1" applyFont="1" applyBorder="1"/>
    <xf numFmtId="182" fontId="5" fillId="0" borderId="0" xfId="3" applyNumberFormat="1" applyFont="1"/>
    <xf numFmtId="182" fontId="5" fillId="0" borderId="7" xfId="3" applyNumberFormat="1" applyFont="1" applyBorder="1"/>
    <xf numFmtId="182" fontId="5" fillId="8" borderId="0" xfId="3" applyNumberFormat="1" applyFont="1" applyFill="1"/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  <xf numFmtId="166" fontId="0" fillId="0" borderId="0" xfId="0" applyNumberFormat="1"/>
    <xf numFmtId="10" fontId="0" fillId="0" borderId="46" xfId="0" applyNumberFormat="1" applyBorder="1"/>
    <xf numFmtId="166" fontId="0" fillId="0" borderId="7" xfId="0" applyNumberFormat="1" applyBorder="1"/>
    <xf numFmtId="10" fontId="0" fillId="0" borderId="7" xfId="0" applyNumberFormat="1" applyBorder="1"/>
    <xf numFmtId="168" fontId="0" fillId="9" borderId="7" xfId="0" applyNumberFormat="1" applyFill="1" applyBorder="1"/>
    <xf numFmtId="10" fontId="0" fillId="9" borderId="0" xfId="0" applyNumberFormat="1" applyFill="1" applyBorder="1"/>
    <xf numFmtId="0" fontId="16" fillId="0" borderId="0" xfId="0" applyFont="1" applyBorder="1"/>
    <xf numFmtId="10" fontId="0" fillId="0" borderId="0" xfId="1" applyNumberFormat="1" applyFont="1"/>
    <xf numFmtId="10" fontId="0" fillId="9" borderId="40" xfId="1" applyNumberFormat="1" applyFont="1" applyFill="1" applyBorder="1"/>
    <xf numFmtId="2" fontId="0" fillId="9" borderId="7" xfId="0" applyNumberFormat="1" applyFill="1" applyBorder="1"/>
    <xf numFmtId="2" fontId="0" fillId="0" borderId="7" xfId="0" applyNumberFormat="1" applyBorder="1"/>
    <xf numFmtId="2" fontId="0" fillId="0" borderId="46" xfId="0" applyNumberFormat="1" applyBorder="1"/>
    <xf numFmtId="2" fontId="0" fillId="9" borderId="0" xfId="0" applyNumberFormat="1" applyFill="1" applyBorder="1"/>
    <xf numFmtId="2" fontId="0" fillId="0" borderId="0" xfId="1" applyNumberFormat="1" applyFont="1"/>
    <xf numFmtId="2" fontId="0" fillId="9" borderId="40" xfId="1" applyNumberFormat="1" applyFont="1" applyFill="1" applyBorder="1"/>
    <xf numFmtId="0" fontId="50" fillId="0" borderId="0" xfId="0" applyFont="1"/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DCF!$O$108</c:f>
          <c:strCache>
            <c:ptCount val="1"/>
            <c:pt idx="0">
              <c:v>Growth Rate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DCF!$P$109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DCF!$O$110:$O$112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DCF!$T$110:$T$112</c:f>
              <c:numCache>
                <c:formatCode>0.00%</c:formatCode>
                <c:ptCount val="3"/>
                <c:pt idx="0">
                  <c:v>9.9999999999999985E-3</c:v>
                </c:pt>
                <c:pt idx="1">
                  <c:v>5.6857749266675146E-2</c:v>
                </c:pt>
                <c:pt idx="2">
                  <c:v>5.6914781924112895E-2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82-1841-BA38-D6DA9E75E09F}"/>
            </c:ext>
          </c:extLst>
        </c:ser>
        <c:ser>
          <c:idx val="1"/>
          <c:order val="1"/>
          <c:tx>
            <c:strRef>
              <c:f>DCF!$Q$109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DCB33B3-C7EE-7947-B000-9D33958DBF4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C8EF15F-5C91-3945-87D2-9C654C55A7C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4E9910-1E4F-A04F-8273-25AC66684D7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DCF!$O$110:$O$112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DCF!$U$110:$U$112</c:f>
              <c:numCache>
                <c:formatCode>0.00%</c:formatCode>
                <c:ptCount val="3"/>
                <c:pt idx="0">
                  <c:v>5.000000000000001E-3</c:v>
                </c:pt>
                <c:pt idx="1">
                  <c:v>5.057032657437753E-3</c:v>
                </c:pt>
                <c:pt idx="2">
                  <c:v>5.0000000000000044E-3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DCF!$Q$110:$Q$112</c15:f>
                <c15:dlblRangeCache>
                  <c:ptCount val="3"/>
                  <c:pt idx="0">
                    <c:v>1,5%</c:v>
                  </c:pt>
                  <c:pt idx="1">
                    <c:v>6,19%</c:v>
                  </c:pt>
                  <c:pt idx="2">
                    <c:v>6,19%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7B82-1841-BA38-D6DA9E75E09F}"/>
            </c:ext>
          </c:extLst>
        </c:ser>
        <c:ser>
          <c:idx val="2"/>
          <c:order val="2"/>
          <c:tx>
            <c:strRef>
              <c:f>DCF!$R$109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0B08F1F-A7C3-CE4D-9472-F27A2023A5E1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7B82-1841-BA38-D6DA9E75E0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4058C4-092D-2A4C-9981-077628CEF5D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82-1841-BA38-D6DA9E75E0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5005AD-239E-FC47-B4F4-3144832FB18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82-1841-BA38-D6DA9E75E0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DCF!$O$110:$O$112</c:f>
              <c:strCache>
                <c:ptCount val="3"/>
                <c:pt idx="0">
                  <c:v>Input perpetual Growth</c:v>
                </c:pt>
                <c:pt idx="1">
                  <c:v>Implied growth rate EV/EBITDA</c:v>
                </c:pt>
                <c:pt idx="2">
                  <c:v>Implied growth rate EV/Revenue</c:v>
                </c:pt>
              </c:strCache>
            </c:strRef>
          </c:cat>
          <c:val>
            <c:numRef>
              <c:f>DCF!$V$110:$V$112</c:f>
              <c:numCache>
                <c:formatCode>0.00%</c:formatCode>
                <c:ptCount val="3"/>
                <c:pt idx="0">
                  <c:v>4.9999999999999975E-3</c:v>
                </c:pt>
                <c:pt idx="1">
                  <c:v>5.0525073510659796E-3</c:v>
                </c:pt>
                <c:pt idx="2">
                  <c:v>5.0000000000000044E-3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DCF!$R$110:$R$112</c15:f>
                <c15:dlblRangeCache>
                  <c:ptCount val="3"/>
                  <c:pt idx="0">
                    <c:v>2,00% </c:v>
                  </c:pt>
                  <c:pt idx="1">
                    <c:v>6,70%</c:v>
                  </c:pt>
                  <c:pt idx="2">
                    <c:v>6,69%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7B82-1841-BA38-D6DA9E75E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DCF!$O$162</c:f>
          <c:strCache>
            <c:ptCount val="1"/>
            <c:pt idx="0">
              <c:v>Exit EV/EBITDA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DCF!$P$109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EA4C033-17C3-3C4A-BDCC-3ED29A7EF30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AB7FD0-027F-B74A-AD97-47C2EFAA035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5CE9E6-CC2C-3A48-B14A-52A7B1F2AF8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56633E-76AF-A44E-80FD-5D5AB1A5662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DCF!$O$164:$O$167</c:f>
              <c:strCache>
                <c:ptCount val="4"/>
                <c:pt idx="0">
                  <c:v>Input exit EV/EBITDA</c:v>
                </c:pt>
                <c:pt idx="1">
                  <c:v>Implied EV/EBITDA perpetual growth rate</c:v>
                </c:pt>
                <c:pt idx="2">
                  <c:v>Implied EV/EBITDA EV/Revenue</c:v>
                </c:pt>
                <c:pt idx="3">
                  <c:v>Competitors</c:v>
                </c:pt>
              </c:strCache>
            </c:strRef>
          </c:cat>
          <c:val>
            <c:numRef>
              <c:f>DCF!$T$164:$T$167</c:f>
              <c:numCache>
                <c:formatCode>0.00</c:formatCode>
                <c:ptCount val="4"/>
                <c:pt idx="0">
                  <c:v>232.0609777642606</c:v>
                </c:pt>
                <c:pt idx="1">
                  <c:v>9.0992993772289346</c:v>
                </c:pt>
                <c:pt idx="2">
                  <c:v>54.030907587202833</c:v>
                </c:pt>
                <c:pt idx="3">
                  <c:v>7.1084778829121396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DCF!$P$164:$P$167</c15:f>
                <c15:dlblRangeCache>
                  <c:ptCount val="4"/>
                  <c:pt idx="0">
                    <c:v>232,06</c:v>
                  </c:pt>
                  <c:pt idx="1">
                    <c:v>9,10</c:v>
                  </c:pt>
                  <c:pt idx="2">
                    <c:v>54,03</c:v>
                  </c:pt>
                  <c:pt idx="3">
                    <c:v>7,11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274-1448-B29E-CCB927ADE78B}"/>
            </c:ext>
          </c:extLst>
        </c:ser>
        <c:ser>
          <c:idx val="1"/>
          <c:order val="1"/>
          <c:tx>
            <c:strRef>
              <c:f>DCF!$Q$109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11848C4-1B34-B74D-B16B-C9894A9C40E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A7BF251-07F5-164B-9D0B-CAB9459BA6E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D01C748-0EF3-2D43-902B-B6DDF666786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5F7845-2778-E043-9B7F-CE30D691D93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DCF!$O$164:$O$167</c:f>
              <c:strCache>
                <c:ptCount val="4"/>
                <c:pt idx="0">
                  <c:v>Input exit EV/EBITDA</c:v>
                </c:pt>
                <c:pt idx="1">
                  <c:v>Implied EV/EBITDA perpetual growth rate</c:v>
                </c:pt>
                <c:pt idx="2">
                  <c:v>Implied EV/EBITDA EV/Revenue</c:v>
                </c:pt>
                <c:pt idx="3">
                  <c:v>Competitors</c:v>
                </c:pt>
              </c:strCache>
            </c:strRef>
          </c:cat>
          <c:val>
            <c:numRef>
              <c:f>DCF!$U$164:$U$167</c:f>
              <c:numCache>
                <c:formatCode>0.00</c:formatCode>
                <c:ptCount val="4"/>
                <c:pt idx="0">
                  <c:v>10</c:v>
                </c:pt>
                <c:pt idx="1">
                  <c:v>1.8356480513733722</c:v>
                </c:pt>
                <c:pt idx="2">
                  <c:v>21.034179649862565</c:v>
                </c:pt>
                <c:pt idx="3">
                  <c:v>12.455531155985014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DCF!$Q$164:$Q$167</c15:f>
                <c15:dlblRangeCache>
                  <c:ptCount val="4"/>
                  <c:pt idx="0">
                    <c:v>242,06</c:v>
                  </c:pt>
                  <c:pt idx="1">
                    <c:v>10,93</c:v>
                  </c:pt>
                  <c:pt idx="2">
                    <c:v>75,07</c:v>
                  </c:pt>
                  <c:pt idx="3">
                    <c:v>19,56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274-1448-B29E-CCB927ADE78B}"/>
            </c:ext>
          </c:extLst>
        </c:ser>
        <c:ser>
          <c:idx val="2"/>
          <c:order val="2"/>
          <c:tx>
            <c:strRef>
              <c:f>DCF!$R$109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8FBDFF1-7B37-8240-ADEA-E20E9009A56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274-1448-B29E-CCB927ADE7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014A04-296D-A946-AAE7-AB795FFE34E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274-1448-B29E-CCB927ADE7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B1B1DC-2505-6D4A-8244-FE0C0BF7176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274-1448-B29E-CCB927ADE7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C6782B-91F0-3B4F-9BA3-3FBC40DC9DC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274-1448-B29E-CCB927ADE7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DCF!$O$164:$O$167</c:f>
              <c:strCache>
                <c:ptCount val="4"/>
                <c:pt idx="0">
                  <c:v>Input exit EV/EBITDA</c:v>
                </c:pt>
                <c:pt idx="1">
                  <c:v>Implied EV/EBITDA perpetual growth rate</c:v>
                </c:pt>
                <c:pt idx="2">
                  <c:v>Implied EV/EBITDA EV/Revenue</c:v>
                </c:pt>
                <c:pt idx="3">
                  <c:v>Competitors</c:v>
                </c:pt>
              </c:strCache>
            </c:strRef>
          </c:cat>
          <c:val>
            <c:numRef>
              <c:f>DCF!$V$164:$V$167</c:f>
              <c:numCache>
                <c:formatCode>0.00</c:formatCode>
                <c:ptCount val="4"/>
                <c:pt idx="0">
                  <c:v>10</c:v>
                </c:pt>
                <c:pt idx="1">
                  <c:v>2.7947608684547181</c:v>
                </c:pt>
                <c:pt idx="2">
                  <c:v>21.62603492424536</c:v>
                </c:pt>
                <c:pt idx="3">
                  <c:v>43.935425896060273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DCF!$R$164:$R$167</c15:f>
                <c15:dlblRangeCache>
                  <c:ptCount val="4"/>
                  <c:pt idx="0">
                    <c:v>252,06</c:v>
                  </c:pt>
                  <c:pt idx="1">
                    <c:v>13,73</c:v>
                  </c:pt>
                  <c:pt idx="2">
                    <c:v>96,69</c:v>
                  </c:pt>
                  <c:pt idx="3">
                    <c:v>63,50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B274-1448-B29E-CCB927ADE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DCF!$O$215</c:f>
          <c:strCache>
            <c:ptCount val="1"/>
            <c:pt idx="0">
              <c:v>Exit EV/Revenue estimates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DCF!$P$109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C3BBB26-5DFE-C24B-A8D1-8D42DDB482F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2A2BB95-584A-A848-BED2-7AFED4571D0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17D60A-CAD1-9F4F-80ED-8911CC1B952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E7BFAB-5123-E945-9644-1FAF522BE7E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DCF!$O$217:$O$220</c:f>
              <c:strCache>
                <c:ptCount val="4"/>
                <c:pt idx="0">
                  <c:v>Input exit EV/Revenue</c:v>
                </c:pt>
                <c:pt idx="1">
                  <c:v>Implied EV/Revenue perpetual growth rate</c:v>
                </c:pt>
                <c:pt idx="2">
                  <c:v>Implied EV/Reneue EV/EBITDA</c:v>
                </c:pt>
                <c:pt idx="3">
                  <c:v>Competitors</c:v>
                </c:pt>
              </c:strCache>
            </c:strRef>
          </c:cat>
          <c:val>
            <c:numRef>
              <c:f>DCF!$T$217:$T$220</c:f>
              <c:numCache>
                <c:formatCode>0.00</c:formatCode>
                <c:ptCount val="4"/>
                <c:pt idx="0">
                  <c:v>27.009643464602732</c:v>
                </c:pt>
                <c:pt idx="1">
                  <c:v>1.3912272388525655</c:v>
                </c:pt>
                <c:pt idx="2">
                  <c:v>50.535374835166763</c:v>
                </c:pt>
                <c:pt idx="3">
                  <c:v>0.62616964917634632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DCF!$P$217:$P$220</c15:f>
                <c15:dlblRangeCache>
                  <c:ptCount val="4"/>
                  <c:pt idx="0">
                    <c:v>27,01</c:v>
                  </c:pt>
                  <c:pt idx="1">
                    <c:v>1,39</c:v>
                  </c:pt>
                  <c:pt idx="2">
                    <c:v>50,54</c:v>
                  </c:pt>
                  <c:pt idx="3">
                    <c:v>0,63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B548-0642-9C6A-46C3541DFCD3}"/>
            </c:ext>
          </c:extLst>
        </c:ser>
        <c:ser>
          <c:idx val="1"/>
          <c:order val="1"/>
          <c:tx>
            <c:strRef>
              <c:f>DCF!$Q$109</c:f>
              <c:strCache>
                <c:ptCount val="1"/>
                <c:pt idx="0">
                  <c:v>Mean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8F1CD92-C3EF-0D44-A3B5-50390FDA90DA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39B4EA-DFA7-8C4A-9A44-41B05BCC3AF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8E79E8-0F1F-B548-9C66-5D6B967C8AD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1CD086-863E-DF44-8351-52A761C4207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DCF!$O$217:$O$220</c:f>
              <c:strCache>
                <c:ptCount val="4"/>
                <c:pt idx="0">
                  <c:v>Input exit EV/Revenue</c:v>
                </c:pt>
                <c:pt idx="1">
                  <c:v>Implied EV/Revenue perpetual growth rate</c:v>
                </c:pt>
                <c:pt idx="2">
                  <c:v>Implied EV/Reneue EV/EBITDA</c:v>
                </c:pt>
                <c:pt idx="3">
                  <c:v>Competitors</c:v>
                </c:pt>
              </c:strCache>
            </c:strRef>
          </c:cat>
          <c:val>
            <c:numRef>
              <c:f>DCF!$U$217:$U$220</c:f>
              <c:numCache>
                <c:formatCode>0.00</c:formatCode>
                <c:ptCount val="4"/>
                <c:pt idx="0">
                  <c:v>10</c:v>
                </c:pt>
                <c:pt idx="1">
                  <c:v>0.28065936333605879</c:v>
                </c:pt>
                <c:pt idx="2">
                  <c:v>2.924843163817151</c:v>
                </c:pt>
                <c:pt idx="3">
                  <c:v>7.0500935898252877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DCF!$Q$217:$Q$220</c15:f>
                <c15:dlblRangeCache>
                  <c:ptCount val="4"/>
                  <c:pt idx="0">
                    <c:v>37,01</c:v>
                  </c:pt>
                  <c:pt idx="1">
                    <c:v>1,67</c:v>
                  </c:pt>
                  <c:pt idx="2">
                    <c:v>53,46</c:v>
                  </c:pt>
                  <c:pt idx="3">
                    <c:v>7,68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B548-0642-9C6A-46C3541DFCD3}"/>
            </c:ext>
          </c:extLst>
        </c:ser>
        <c:ser>
          <c:idx val="2"/>
          <c:order val="2"/>
          <c:tx>
            <c:strRef>
              <c:f>DCF!$R$109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F51D90E-E153-DC4E-8548-4E5ECC821B7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B548-0642-9C6A-46C3541DFCD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539C7A-3AE8-2D46-B516-0D0DB159BD5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48-0642-9C6A-46C3541DFCD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5DFCF0-1B65-4048-BF91-7F33922C986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48-0642-9C6A-46C3541DFCD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9D534C-7895-604D-AAE7-0E46F7CD444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48-0642-9C6A-46C3541DFC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strRef>
              <c:f>DCF!$O$217:$O$220</c:f>
              <c:strCache>
                <c:ptCount val="4"/>
                <c:pt idx="0">
                  <c:v>Input exit EV/Revenue</c:v>
                </c:pt>
                <c:pt idx="1">
                  <c:v>Implied EV/Revenue perpetual growth rate</c:v>
                </c:pt>
                <c:pt idx="2">
                  <c:v>Implied EV/Reneue EV/EBITDA</c:v>
                </c:pt>
                <c:pt idx="3">
                  <c:v>Competitors</c:v>
                </c:pt>
              </c:strCache>
            </c:strRef>
          </c:cat>
          <c:val>
            <c:numRef>
              <c:f>DCF!$V$217:$V$220</c:f>
              <c:numCache>
                <c:formatCode>0.00</c:formatCode>
                <c:ptCount val="4"/>
                <c:pt idx="0">
                  <c:v>10</c:v>
                </c:pt>
                <c:pt idx="1">
                  <c:v>0.42730184875591326</c:v>
                </c:pt>
                <c:pt idx="2">
                  <c:v>3.0013510330780377</c:v>
                </c:pt>
                <c:pt idx="3">
                  <c:v>7.4439996966093451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DCF!$R$217:$R$220</c15:f>
                <c15:dlblRangeCache>
                  <c:ptCount val="4"/>
                  <c:pt idx="0">
                    <c:v>47,01</c:v>
                  </c:pt>
                  <c:pt idx="1">
                    <c:v>2,10</c:v>
                  </c:pt>
                  <c:pt idx="2">
                    <c:v>56,46</c:v>
                  </c:pt>
                  <c:pt idx="3">
                    <c:v>15,12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B548-0642-9C6A-46C3541DF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43958752"/>
        <c:axId val="2044059616"/>
      </c:barChart>
      <c:catAx>
        <c:axId val="20439587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2044059616"/>
        <c:crosses val="autoZero"/>
        <c:auto val="1"/>
        <c:lblAlgn val="ctr"/>
        <c:lblOffset val="100"/>
        <c:noMultiLvlLbl val="0"/>
      </c:catAx>
      <c:valAx>
        <c:axId val="204405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S"/>
          </a:p>
        </c:txPr>
        <c:crossAx val="204395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3C0355A-CB29-C44B-8882-BC2BEB0CD56D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0A6AE1-4D46-914D-BD3A-D3631AA371C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F76DDE-B3E6-4D40-A99C-9F8CBF3F0C3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3B6882-62CB-9042-94BB-0FF2927EA5C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5D5293-3734-1747-8DD6-D1CA14B3977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473EB2-4F8E-D847-8281-A7D1A4879B1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9.8607521877802</c:v>
                </c:pt>
                <c:pt idx="2">
                  <c:v>5.2317010134954325</c:v>
                </c:pt>
                <c:pt idx="3">
                  <c:v>6.1397677233364991</c:v>
                </c:pt>
                <c:pt idx="4">
                  <c:v>9.4542757678391212</c:v>
                </c:pt>
                <c:pt idx="5">
                  <c:v>11.267852647938845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9,86 €</c:v>
                  </c:pt>
                  <c:pt idx="2">
                    <c:v>5,23 €</c:v>
                  </c:pt>
                  <c:pt idx="3">
                    <c:v>6,14 €</c:v>
                  </c:pt>
                  <c:pt idx="4">
                    <c:v>9,45 €</c:v>
                  </c:pt>
                  <c:pt idx="5">
                    <c:v>11,27 €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2BB55E8-95C4-954F-BD71-89D41F9077A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6EABC0B-6BAE-DB4B-9CAA-1B3C669716C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FD5DB2-F07E-4C40-84EC-828507067B8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7BD4CC-0CDF-BD49-82F6-C838CBF05EB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0B3B2B-7712-BB40-90CF-8C69640A0F9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0AE25C-5C2B-2E49-99BB-9D12EFF0A10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1.790157294337817</c:v>
                </c:pt>
                <c:pt idx="2">
                  <c:v>47.253542026061233</c:v>
                </c:pt>
                <c:pt idx="3">
                  <c:v>46.442708836646453</c:v>
                </c:pt>
                <c:pt idx="4">
                  <c:v>19.69996990616696</c:v>
                </c:pt>
                <c:pt idx="5">
                  <c:v>24.464956170517951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11,65 €</c:v>
                  </c:pt>
                  <c:pt idx="2">
                    <c:v>52,49 €</c:v>
                  </c:pt>
                  <c:pt idx="3">
                    <c:v>52,58 €</c:v>
                  </c:pt>
                  <c:pt idx="4">
                    <c:v>29,15 €</c:v>
                  </c:pt>
                  <c:pt idx="5">
                    <c:v>35,73 €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5C591C1-D776-5941-9FCF-7FF78DBA52D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97AB26-2156-E44D-B5FF-B9E54CC314A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0F15C6-748E-D142-9E4F-FB82EE5752A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15AAA1-5875-2A49-82A6-5B3C1946A73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9DA0609-5C3C-A54E-8645-768D8467231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F2E8786-013E-0844-93B2-E5DDD694357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2.7255015202129727</c:v>
                </c:pt>
                <c:pt idx="2">
                  <c:v>45.195562515145213</c:v>
                </c:pt>
                <c:pt idx="3">
                  <c:v>41.920227279073643</c:v>
                </c:pt>
                <c:pt idx="4">
                  <c:v>34.009297097748316</c:v>
                </c:pt>
                <c:pt idx="5">
                  <c:v>43.114356016221016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14,38 €</c:v>
                  </c:pt>
                  <c:pt idx="2">
                    <c:v>97,68 €</c:v>
                  </c:pt>
                  <c:pt idx="3">
                    <c:v>94,50 €</c:v>
                  </c:pt>
                  <c:pt idx="4">
                    <c:v>63,16 €</c:v>
                  </c:pt>
                  <c:pt idx="5">
                    <c:v>78,85 €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237.3</c:v>
                </c:pt>
                <c:pt idx="1">
                  <c:v>237.3</c:v>
                </c:pt>
                <c:pt idx="2">
                  <c:v>237.3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12700</xdr:colOff>
      <xdr:row>89</xdr:row>
      <xdr:rowOff>0</xdr:rowOff>
    </xdr:from>
    <xdr:to>
      <xdr:col>17</xdr:col>
      <xdr:colOff>2425700</xdr:colOff>
      <xdr:row>106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B1B08D-1780-7EAC-B1F9-7F7F5B93F8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19539</xdr:colOff>
      <xdr:row>142</xdr:row>
      <xdr:rowOff>97692</xdr:rowOff>
    </xdr:from>
    <xdr:to>
      <xdr:col>17</xdr:col>
      <xdr:colOff>2432539</xdr:colOff>
      <xdr:row>160</xdr:row>
      <xdr:rowOff>12699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079A6F-2BC0-004A-9084-741AC78AA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195</xdr:row>
      <xdr:rowOff>160462</xdr:rowOff>
    </xdr:from>
    <xdr:to>
      <xdr:col>17</xdr:col>
      <xdr:colOff>2413000</xdr:colOff>
      <xdr:row>213</xdr:row>
      <xdr:rowOff>91193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60A8C8D-AFCF-3F46-9E72-9E43A85611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5">
    <v t="i">0</v>
    <v t="i">3</v>
    <v t="i">4</v>
    <v t="i">5</v>
    <v t="i">6</v>
  </a>
  <a r="1" c="5">
    <v>245.55</v>
    <v>247.1</v>
    <v>247.04</v>
    <v>240.36</v>
    <v>237.3</v>
  </a>
</arrayData>
</file>

<file path=xl/richData/rdrichvalue.xml><?xml version="1.0" encoding="utf-8"?>
<rvData xmlns="http://schemas.microsoft.com/office/spreadsheetml/2017/richdata" count="2">
  <rv s="0">
    <fb>237.3</fb>
    <v>0</v>
  </rv>
  <rv s="1">
    <v>1</v>
    <v>AAPL</v>
    <v>Daily</v>
    <v>45709</v>
    <v>45716</v>
    <v>0</v>
    <v>1</v>
    <v>638762112000000000,638763336723802445,0</v>
    <v>0</v>
    <v>a1mou2</v>
    <v>XNAS:AAPL</v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8" workbookViewId="0">
      <selection activeCell="F22" sqref="F22"/>
    </sheetView>
  </sheetViews>
  <sheetFormatPr baseColWidth="10" defaultRowHeight="16"/>
  <cols>
    <col min="2" max="2" width="24" bestFit="1" customWidth="1"/>
    <col min="3" max="3" width="4.2851562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236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236</v>
      </c>
      <c r="C4" s="283"/>
      <c r="D4" s="135"/>
    </row>
    <row r="5" spans="2:16384">
      <c r="B5" s="136"/>
      <c r="C5" s="284" t="s">
        <v>151</v>
      </c>
      <c r="D5" s="35"/>
    </row>
    <row r="6" spans="2:16384">
      <c r="B6" s="141" t="s">
        <v>93</v>
      </c>
      <c r="C6" s="284" t="s">
        <v>155</v>
      </c>
      <c r="D6" s="142">
        <v>0.1</v>
      </c>
    </row>
    <row r="7" spans="2:16384">
      <c r="B7" s="139"/>
      <c r="C7" s="284"/>
      <c r="D7" s="35"/>
    </row>
    <row r="8" spans="2:16384">
      <c r="B8" s="139" t="s">
        <v>86</v>
      </c>
      <c r="C8" s="284" t="s">
        <v>155</v>
      </c>
      <c r="D8" s="129">
        <f>Average_Gross_Margin</f>
        <v>0.72014242893006786</v>
      </c>
    </row>
    <row r="9" spans="2:16384">
      <c r="B9" s="139" t="s">
        <v>94</v>
      </c>
      <c r="C9" s="284" t="s">
        <v>155</v>
      </c>
      <c r="D9" s="129">
        <f>Growth_Sales</f>
        <v>0.1</v>
      </c>
    </row>
    <row r="10" spans="2:16384">
      <c r="B10" s="139" t="s">
        <v>96</v>
      </c>
      <c r="C10" s="284" t="s">
        <v>155</v>
      </c>
      <c r="D10" s="131">
        <v>0.02</v>
      </c>
    </row>
    <row r="11" spans="2:16384">
      <c r="B11" s="139"/>
      <c r="C11" s="284"/>
      <c r="D11" s="35"/>
    </row>
    <row r="12" spans="2:16384">
      <c r="B12" s="139" t="s">
        <v>118</v>
      </c>
      <c r="C12" s="284" t="s">
        <v>155</v>
      </c>
      <c r="D12" s="131">
        <v>0.03</v>
      </c>
    </row>
    <row r="13" spans="2:16384">
      <c r="B13" s="139" t="s">
        <v>119</v>
      </c>
      <c r="C13" s="284" t="s">
        <v>155</v>
      </c>
      <c r="D13" s="131">
        <v>0.02</v>
      </c>
    </row>
    <row r="14" spans="2:16384">
      <c r="B14" s="139"/>
      <c r="C14" s="284"/>
      <c r="D14" s="35"/>
    </row>
    <row r="15" spans="2:16384">
      <c r="B15" s="139" t="s">
        <v>237</v>
      </c>
      <c r="C15" s="284" t="s">
        <v>155</v>
      </c>
      <c r="D15" s="132">
        <v>1.4999999999999999E-2</v>
      </c>
    </row>
    <row r="16" spans="2:16384">
      <c r="B16" s="139"/>
      <c r="C16" s="284"/>
      <c r="D16" s="35"/>
    </row>
    <row r="17" spans="2:4">
      <c r="B17" s="139" t="s">
        <v>95</v>
      </c>
      <c r="C17" s="284" t="s">
        <v>155</v>
      </c>
      <c r="D17" s="131">
        <f>30%</f>
        <v>0.3</v>
      </c>
    </row>
    <row r="18" spans="2:4">
      <c r="B18" s="139" t="s">
        <v>238</v>
      </c>
      <c r="C18" s="284" t="s">
        <v>155</v>
      </c>
      <c r="D18" s="129">
        <f>ABS(Latest_Interest/Total_Debt_FY_minu1)</f>
        <v>2.7139874739039668E-2</v>
      </c>
    </row>
    <row r="19" spans="2:4">
      <c r="B19" s="139"/>
      <c r="C19" s="284"/>
      <c r="D19" s="35"/>
    </row>
    <row r="20" spans="2:4">
      <c r="B20" s="139" t="s">
        <v>241</v>
      </c>
      <c r="C20" s="284" t="s">
        <v>154</v>
      </c>
      <c r="D20" s="133">
        <f>Average_Inventory_Turnover</f>
        <v>5.4574954602297057</v>
      </c>
    </row>
    <row r="21" spans="2:4">
      <c r="B21" s="139" t="s">
        <v>239</v>
      </c>
      <c r="C21" s="284" t="s">
        <v>154</v>
      </c>
      <c r="D21" s="133">
        <f>Average_Receivables_Turnover</f>
        <v>26.392398910547467</v>
      </c>
    </row>
    <row r="22" spans="2:4">
      <c r="B22" s="140" t="s">
        <v>240</v>
      </c>
      <c r="C22" s="285" t="s">
        <v>154</v>
      </c>
      <c r="D22" s="138">
        <f>Average_Payable_Turnover</f>
        <v>4.2024952811418705</v>
      </c>
    </row>
    <row r="23" spans="2:4">
      <c r="C23" s="5"/>
    </row>
  </sheetData>
  <dataValidations count="12">
    <dataValidation type="custom" errorStyle="warning" allowBlank="1" showInputMessage="1" showErrorMessage="1" errorTitle="Low interest rate" error="The interest rate is 0% or lower. Note that this can lead to unexpected behavior in the DCF." sqref="D18" xr:uid="{974884FC-E1AB-A84E-83DB-C6576FC432F4}">
      <formula1>$D$18&gt;0</formula1>
    </dataValidation>
    <dataValidation type="decimal" errorStyle="warning" allowBlank="1" showInputMessage="1" showErrorMessage="1" errorTitle="Low/High tax rate" error="The tax rate is &lt;0% or &gt;100%. Note that this can lead to unexpected behavior in the DCF." sqref="D17" xr:uid="{52C25F15-2CFA-D744-8130-E9C7202DCDC4}">
      <formula1>0</formula1>
      <formula2>1</formula2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D15" xr:uid="{B76FCBEC-53CB-AF40-9E1C-73442E02CA1B}">
      <formula1>$D$15&lt;0.03</formula1>
    </dataValidation>
    <dataValidation type="decimal" allowBlank="1" showErrorMessage="1" errorTitle="Negative COGS/Revenue" error="The Gross margin might negative (COGS will be recorded as an income). This is not possible._x000a_The Gross margin might be greater than 1, meaning the company looses money on every sale." promptTitle="COGS/Revenues" prompt="Ratio of Cost of Goods sold for the duration of the DCF" sqref="D8" xr:uid="{3D3C1DED-6FA8-5C41-9795-3233E26D1E46}">
      <formula1>0</formula1>
      <formula2>1</formula2>
    </dataValidation>
    <dataValidation type="decimal" errorStyle="warning" operator="greaterThan" allowBlank="1" showInputMessage="1" showErrorMessage="1" errorTitle="Negative Turnover" error="Turnover cant be negative" sqref="D20 D22 D21" xr:uid="{A8576CDB-BB4E-A14D-ACD7-B70A4A633958}">
      <formula1>0</formula1>
    </dataValidation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D18&gt;0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D18&lt;0</formula1>
    </dataValidation>
    <dataValidation type="decimal" errorStyle="warning" operator="lessThan" allowBlank="1" showErrorMessage="1" errorTitle="High Growth of Sales" error="The Growth of Sales inputted is higher than 10%. This might lead to unrealistically high revenues in the future." promptTitle="Growth of Sales" prompt="Constant value of growth of the Sales for the duration of the DCF." sqref="D6" xr:uid="{04158E66-F0FF-1241-B75E-38B068170DA7}">
      <formula1>0.1</formula1>
    </dataValidation>
    <dataValidation type="decimal" errorStyle="warning" allowBlank="1" showErrorMessage="1" errorTitle="Untypical Growth SG&amp;A" error="The SG&amp;A is either shrinking at more than 10% or growing more than 5% than the Sales. This can lead to unrealistic forecasts." promptTitle="Untypical Growth SG&amp;A" prompt="The SG&amp;A is either shrinking at more than 10% or growing more than 5% than the Sales. This can lead to unrealistic forecasts." sqref="D9" xr:uid="{4D54FC8E-7193-5447-BCB0-1FE4FE1719D8}">
      <formula1>-0.1</formula1>
      <formula2>$D$6+0.05</formula2>
    </dataValidation>
    <dataValidation type="decimal" errorStyle="warning" allowBlank="1" showInputMessage="1" showErrorMessage="1" errorTitle="Unusual Non-operating result" error="The growth of the non-operating result is changing mroe than 10% YoY. This might lead to excessive or very low non-operating results in the future." sqref="D10" xr:uid="{3551A21C-094C-8749-BC3F-07CA726B5EC9}">
      <formula1>-0.1</formula1>
      <formula2>0.1</formula2>
    </dataValidation>
    <dataValidation type="decimal" errorStyle="warning" allowBlank="1" showErrorMessage="1" errorTitle="Unaligned Growth PPE" error="The difference between growth of PPE and Sales is more than 10%. This means very high changes in efficiency of PPE, where the PPE generates much higher or much lower relative revenues in the future." sqref="D12" xr:uid="{4D309BDE-0545-6444-80F8-F27B27ADB57E}">
      <formula1>D6-0.1</formula1>
      <formula2>D6+0.1</formula2>
    </dataValidation>
    <dataValidation type="decimal" errorStyle="warning" allowBlank="1" showInputMessage="1" showErrorMessage="1" errorTitle="Unusual growth rate ONWC" error="The ONWC grows/shrinks more than 10% faster than the sales." sqref="D13" xr:uid="{4C2B2D33-B634-1A45-9FF0-D6DC86760DD1}">
      <formula1>D6-0.1</formula1>
      <formula2>D4+0.1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482"/>
  <sheetViews>
    <sheetView topLeftCell="I86" zoomScale="115" workbookViewId="0">
      <selection activeCell="I107" sqref="I107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5" max="15" width="34.85546875" bestFit="1" customWidth="1"/>
    <col min="16" max="16" width="19.140625" bestFit="1" customWidth="1"/>
    <col min="17" max="17" width="26.7109375" bestFit="1" customWidth="1"/>
    <col min="18" max="18" width="27.42578125" bestFit="1" customWidth="1"/>
  </cols>
  <sheetData>
    <row r="2" spans="1:15" s="37" customFormat="1" ht="21" outlineLevel="1" thickBot="1">
      <c r="A2"/>
      <c r="B2" s="38" t="s">
        <v>162</v>
      </c>
    </row>
    <row r="3" spans="1:15" ht="17" thickTop="1"/>
    <row r="4" spans="1:15" s="42" customFormat="1">
      <c r="A4"/>
      <c r="B4" s="154" t="s">
        <v>162</v>
      </c>
      <c r="C4" s="154"/>
      <c r="D4" s="155"/>
      <c r="E4" s="156"/>
      <c r="F4" s="157" t="s">
        <v>149</v>
      </c>
      <c r="G4" s="158"/>
      <c r="H4" s="157"/>
      <c r="I4" s="157"/>
      <c r="J4" s="157"/>
      <c r="K4" s="157"/>
      <c r="L4" s="157"/>
      <c r="M4" s="157"/>
      <c r="N4" s="157"/>
      <c r="O4" s="157"/>
    </row>
    <row r="5" spans="1:15" s="41" customFormat="1">
      <c r="A5"/>
      <c r="B5" s="159" t="s">
        <v>150</v>
      </c>
      <c r="C5" s="160" t="s">
        <v>151</v>
      </c>
      <c r="D5" s="161">
        <f>Start_Year-1</f>
        <v>2022</v>
      </c>
      <c r="E5" s="162">
        <f>Start_Year</f>
        <v>2023</v>
      </c>
      <c r="F5" s="163">
        <f t="shared" ref="F5:O5" si="0">IF(COLUMN()-COLUMN($E$5)&lt;=Years_Forecasted, E5+1, "")</f>
        <v>2024</v>
      </c>
      <c r="G5" s="164">
        <f t="shared" si="0"/>
        <v>2025</v>
      </c>
      <c r="H5" s="164">
        <f t="shared" si="0"/>
        <v>2026</v>
      </c>
      <c r="I5" s="164" t="str">
        <f t="shared" si="0"/>
        <v/>
      </c>
      <c r="J5" s="164" t="str">
        <f t="shared" si="0"/>
        <v/>
      </c>
      <c r="K5" s="164" t="str">
        <f t="shared" si="0"/>
        <v/>
      </c>
      <c r="L5" s="164" t="str">
        <f t="shared" si="0"/>
        <v/>
      </c>
      <c r="M5" s="164" t="str">
        <f t="shared" si="0"/>
        <v/>
      </c>
      <c r="N5" s="164" t="str">
        <f t="shared" si="0"/>
        <v/>
      </c>
      <c r="O5" s="164" t="str">
        <f t="shared" si="0"/>
        <v/>
      </c>
    </row>
    <row r="6" spans="1:15">
      <c r="B6" t="s">
        <v>44</v>
      </c>
      <c r="C6" s="165" t="s">
        <v>163</v>
      </c>
      <c r="D6" s="166">
        <f>'Income Statement Historic'!D6</f>
        <v>81462</v>
      </c>
      <c r="E6" s="167">
        <f>'Income Statement Historic'!C6</f>
        <v>96773</v>
      </c>
      <c r="F6" s="6">
        <f t="shared" ref="F6:O6" si="1">IF(F5="","",E6*(1+F29))</f>
        <v>106450.3</v>
      </c>
      <c r="G6" s="6">
        <f t="shared" si="1"/>
        <v>117095.33000000002</v>
      </c>
      <c r="H6" s="6">
        <f>IF(H5="","",G6*(1+H29))</f>
        <v>128804.86300000003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5">
      <c r="B7" t="s">
        <v>45</v>
      </c>
      <c r="C7" s="168" t="s">
        <v>163</v>
      </c>
      <c r="D7" s="169">
        <f>'Income Statement Historic'!D7</f>
        <v>56862</v>
      </c>
      <c r="E7" s="170">
        <f>'Income Statement Historic'!C7</f>
        <v>74446</v>
      </c>
      <c r="F7" s="171">
        <f>IF(F5="","",F6*F30)</f>
        <v>76659.377602334411</v>
      </c>
      <c r="G7" s="171">
        <f t="shared" ref="G7:O7" si="2">IF(G5="","",G6*Gross_Margin)</f>
        <v>84325.315362567853</v>
      </c>
      <c r="H7" s="171">
        <f t="shared" si="2"/>
        <v>92757.846898824646</v>
      </c>
      <c r="I7" s="171" t="str">
        <f t="shared" si="2"/>
        <v/>
      </c>
      <c r="J7" s="171" t="str">
        <f t="shared" si="2"/>
        <v/>
      </c>
      <c r="K7" s="171" t="str">
        <f t="shared" si="2"/>
        <v/>
      </c>
      <c r="L7" s="171" t="str">
        <f t="shared" si="2"/>
        <v/>
      </c>
      <c r="M7" s="171" t="str">
        <f t="shared" si="2"/>
        <v/>
      </c>
      <c r="N7" s="171" t="str">
        <f t="shared" si="2"/>
        <v/>
      </c>
      <c r="O7" s="171" t="str">
        <f t="shared" si="2"/>
        <v/>
      </c>
    </row>
    <row r="8" spans="1:15" outlineLevel="1">
      <c r="B8" s="172" t="s">
        <v>164</v>
      </c>
      <c r="C8" s="173" t="s">
        <v>163</v>
      </c>
      <c r="D8" s="174">
        <f>IF(D6="","",D6-D7)</f>
        <v>24600</v>
      </c>
      <c r="E8" s="175">
        <f>IF(E6="","",E6-E7)</f>
        <v>22327</v>
      </c>
      <c r="F8" s="174">
        <f t="shared" ref="F8:O8" si="3">IF(F6="","",F6-F7)</f>
        <v>29790.922397665592</v>
      </c>
      <c r="G8" s="174">
        <f t="shared" si="3"/>
        <v>32770.014637432163</v>
      </c>
      <c r="H8" s="174">
        <f t="shared" si="3"/>
        <v>36047.016101175381</v>
      </c>
      <c r="I8" s="174" t="str">
        <f t="shared" si="3"/>
        <v/>
      </c>
      <c r="J8" s="174" t="str">
        <f t="shared" si="3"/>
        <v/>
      </c>
      <c r="K8" s="174" t="str">
        <f t="shared" si="3"/>
        <v/>
      </c>
      <c r="L8" s="174" t="str">
        <f t="shared" si="3"/>
        <v/>
      </c>
      <c r="M8" s="174" t="str">
        <f t="shared" si="3"/>
        <v/>
      </c>
      <c r="N8" s="174" t="str">
        <f t="shared" si="3"/>
        <v/>
      </c>
      <c r="O8" s="174" t="str">
        <f t="shared" si="3"/>
        <v/>
      </c>
    </row>
    <row r="9" spans="1:15" outlineLevel="1">
      <c r="B9" s="1"/>
      <c r="C9" s="173"/>
      <c r="D9" s="174"/>
      <c r="E9" s="175"/>
      <c r="F9" s="174"/>
      <c r="G9" s="174"/>
      <c r="H9" s="174"/>
      <c r="I9" s="174"/>
      <c r="J9" s="174"/>
      <c r="K9" s="174"/>
      <c r="L9" s="174"/>
      <c r="M9" s="174"/>
      <c r="N9" s="174"/>
      <c r="O9" s="174"/>
    </row>
    <row r="10" spans="1:15">
      <c r="B10" s="176" t="s">
        <v>47</v>
      </c>
      <c r="C10" s="168" t="s">
        <v>163</v>
      </c>
      <c r="D10" s="169">
        <f>'Income Statement Historic'!D9</f>
        <v>7021</v>
      </c>
      <c r="E10" s="170">
        <f>'Income Statement Historic'!C9</f>
        <v>8769</v>
      </c>
      <c r="F10" s="171">
        <f>IF(F5="","",E10*(1+F31))</f>
        <v>9645.9000000000015</v>
      </c>
      <c r="G10" s="171">
        <f t="shared" ref="G10:H10" si="4">IF(G5="","",F10*(1+Growth_SGA))</f>
        <v>10610.490000000002</v>
      </c>
      <c r="H10" s="171">
        <f t="shared" si="4"/>
        <v>11671.539000000002</v>
      </c>
      <c r="I10" s="171" t="str">
        <f t="shared" ref="I10:O10" si="5">IF(I5="","",H10*(1+Growth_SGA))</f>
        <v/>
      </c>
      <c r="J10" s="171" t="str">
        <f t="shared" si="5"/>
        <v/>
      </c>
      <c r="K10" s="171" t="str">
        <f t="shared" si="5"/>
        <v/>
      </c>
      <c r="L10" s="171" t="str">
        <f t="shared" si="5"/>
        <v/>
      </c>
      <c r="M10" s="171" t="str">
        <f t="shared" si="5"/>
        <v/>
      </c>
      <c r="N10" s="171" t="str">
        <f t="shared" si="5"/>
        <v/>
      </c>
      <c r="O10" s="171" t="str">
        <f t="shared" si="5"/>
        <v/>
      </c>
    </row>
    <row r="11" spans="1:15">
      <c r="B11" s="1" t="s">
        <v>49</v>
      </c>
      <c r="C11" s="173" t="s">
        <v>163</v>
      </c>
      <c r="D11" s="174">
        <f>IF(D8="","",D8-D10)</f>
        <v>17579</v>
      </c>
      <c r="E11" s="175">
        <f t="shared" ref="E11:O11" si="6">IF(E8="","",E8-E10)</f>
        <v>13558</v>
      </c>
      <c r="F11" s="174">
        <f t="shared" si="6"/>
        <v>20145.022397665591</v>
      </c>
      <c r="G11" s="174">
        <f t="shared" si="6"/>
        <v>22159.524637432161</v>
      </c>
      <c r="H11" s="174">
        <f t="shared" si="6"/>
        <v>24375.477101175376</v>
      </c>
      <c r="I11" s="174" t="str">
        <f t="shared" si="6"/>
        <v/>
      </c>
      <c r="J11" s="174" t="str">
        <f t="shared" si="6"/>
        <v/>
      </c>
      <c r="K11" s="174" t="str">
        <f t="shared" si="6"/>
        <v/>
      </c>
      <c r="L11" s="174" t="str">
        <f t="shared" si="6"/>
        <v/>
      </c>
      <c r="M11" s="174" t="str">
        <f t="shared" si="6"/>
        <v/>
      </c>
      <c r="N11" s="174" t="str">
        <f t="shared" si="6"/>
        <v/>
      </c>
      <c r="O11" s="174" t="str">
        <f t="shared" si="6"/>
        <v/>
      </c>
    </row>
    <row r="12" spans="1:15">
      <c r="C12" s="165"/>
      <c r="D12" s="166"/>
      <c r="E12" s="167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B13" t="s">
        <v>50</v>
      </c>
      <c r="C13" s="165" t="s">
        <v>163</v>
      </c>
      <c r="D13" s="166">
        <f>'Income Statement Historic'!D12</f>
        <v>114</v>
      </c>
      <c r="E13" s="167">
        <f>'Income Statement Historic'!C12</f>
        <v>1238</v>
      </c>
      <c r="F13" s="6">
        <f>IF(F5="","",E13*(1+F33))</f>
        <v>1262.76</v>
      </c>
      <c r="G13" s="6">
        <f t="shared" ref="G13:O13" si="7">IF(G5="","",F13*(1+Growth_Non_Operating))</f>
        <v>1288.0152</v>
      </c>
      <c r="H13" s="6">
        <f t="shared" si="7"/>
        <v>1313.7755040000002</v>
      </c>
      <c r="I13" s="6" t="str">
        <f t="shared" si="7"/>
        <v/>
      </c>
      <c r="J13" s="6" t="str">
        <f t="shared" si="7"/>
        <v/>
      </c>
      <c r="K13" s="6" t="str">
        <f t="shared" si="7"/>
        <v/>
      </c>
      <c r="L13" s="6" t="str">
        <f t="shared" si="7"/>
        <v/>
      </c>
      <c r="M13" s="6" t="str">
        <f t="shared" si="7"/>
        <v/>
      </c>
      <c r="N13" s="6" t="str">
        <f t="shared" si="7"/>
        <v/>
      </c>
      <c r="O13" s="6" t="str">
        <f t="shared" si="7"/>
        <v/>
      </c>
    </row>
    <row r="14" spans="1:15">
      <c r="B14" s="176" t="s">
        <v>51</v>
      </c>
      <c r="C14" s="168" t="s">
        <v>163</v>
      </c>
      <c r="D14" s="169">
        <f>'Income Statement Historic'!D13</f>
        <v>-36</v>
      </c>
      <c r="E14" s="170">
        <f>'Income Statement Historic'!C13</f>
        <v>0</v>
      </c>
      <c r="F14" s="171">
        <f t="shared" ref="F14:O14" si="8">IF(F5="","",0)</f>
        <v>0</v>
      </c>
      <c r="G14" s="171">
        <f t="shared" si="8"/>
        <v>0</v>
      </c>
      <c r="H14" s="171">
        <f t="shared" si="8"/>
        <v>0</v>
      </c>
      <c r="I14" s="171" t="str">
        <f t="shared" si="8"/>
        <v/>
      </c>
      <c r="J14" s="171" t="str">
        <f t="shared" si="8"/>
        <v/>
      </c>
      <c r="K14" s="171" t="str">
        <f t="shared" si="8"/>
        <v/>
      </c>
      <c r="L14" s="171" t="str">
        <f t="shared" si="8"/>
        <v/>
      </c>
      <c r="M14" s="171" t="str">
        <f t="shared" si="8"/>
        <v/>
      </c>
      <c r="N14" s="171" t="str">
        <f t="shared" si="8"/>
        <v/>
      </c>
      <c r="O14" s="171" t="str">
        <f t="shared" si="8"/>
        <v/>
      </c>
    </row>
    <row r="15" spans="1:15">
      <c r="B15" s="1" t="s">
        <v>192</v>
      </c>
      <c r="C15" s="165" t="s">
        <v>163</v>
      </c>
      <c r="D15" s="177">
        <f>IF(D5&lt;&gt;"",SUM(D11:D14),"")</f>
        <v>17657</v>
      </c>
      <c r="E15" s="178">
        <f t="shared" ref="E15:O15" si="9">IF(E5&lt;&gt;"",SUM(E11:E14),"")</f>
        <v>14796</v>
      </c>
      <c r="F15" s="177">
        <f t="shared" si="9"/>
        <v>21407.782397665589</v>
      </c>
      <c r="G15" s="177">
        <f t="shared" si="9"/>
        <v>23447.539837432163</v>
      </c>
      <c r="H15" s="177">
        <f t="shared" si="9"/>
        <v>25689.252605175378</v>
      </c>
      <c r="I15" s="177" t="str">
        <f t="shared" si="9"/>
        <v/>
      </c>
      <c r="J15" s="177" t="str">
        <f t="shared" si="9"/>
        <v/>
      </c>
      <c r="K15" s="177" t="str">
        <f t="shared" si="9"/>
        <v/>
      </c>
      <c r="L15" s="177" t="str">
        <f t="shared" si="9"/>
        <v/>
      </c>
      <c r="M15" s="177" t="str">
        <f t="shared" si="9"/>
        <v/>
      </c>
      <c r="N15" s="177" t="str">
        <f t="shared" si="9"/>
        <v/>
      </c>
      <c r="O15" s="177" t="str">
        <f t="shared" si="9"/>
        <v/>
      </c>
    </row>
    <row r="16" spans="1:15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>
      <c r="B17" s="176" t="s">
        <v>48</v>
      </c>
      <c r="C17" s="168" t="s">
        <v>163</v>
      </c>
      <c r="D17" s="169">
        <f t="shared" ref="D17:O17" ca="1" si="10">D32</f>
        <v>3747</v>
      </c>
      <c r="E17" s="170">
        <f t="shared" ca="1" si="10"/>
        <v>4667</v>
      </c>
      <c r="F17" s="169">
        <f t="shared" ca="1" si="10"/>
        <v>5632.9396725001388</v>
      </c>
      <c r="G17" s="169">
        <f t="shared" ca="1" si="10"/>
        <v>6627.8575351752816</v>
      </c>
      <c r="H17" s="169">
        <f t="shared" ca="1" si="10"/>
        <v>7652.6229337306795</v>
      </c>
      <c r="I17" s="169" t="str">
        <f t="shared" si="10"/>
        <v/>
      </c>
      <c r="J17" s="169" t="str">
        <f t="shared" si="10"/>
        <v/>
      </c>
      <c r="K17" s="169" t="str">
        <f>K32</f>
        <v/>
      </c>
      <c r="L17" s="169" t="str">
        <f t="shared" si="10"/>
        <v/>
      </c>
      <c r="M17" s="169" t="str">
        <f t="shared" si="10"/>
        <v/>
      </c>
      <c r="N17" s="169" t="str">
        <f t="shared" si="10"/>
        <v/>
      </c>
      <c r="O17" s="169" t="str">
        <f t="shared" si="10"/>
        <v/>
      </c>
    </row>
    <row r="18" spans="1:15">
      <c r="B18" s="1" t="s">
        <v>1</v>
      </c>
      <c r="C18" s="173" t="s">
        <v>163</v>
      </c>
      <c r="D18" s="174">
        <f ca="1">IF(D11="","",D15-D17)</f>
        <v>13910</v>
      </c>
      <c r="E18" s="175">
        <f t="shared" ref="E18:O18" ca="1" si="11">IF(E11="","",E15-E17)</f>
        <v>10129</v>
      </c>
      <c r="F18" s="174">
        <f t="shared" ca="1" si="11"/>
        <v>15774.84272516545</v>
      </c>
      <c r="G18" s="174">
        <f t="shared" ca="1" si="11"/>
        <v>16819.682302256882</v>
      </c>
      <c r="H18" s="174">
        <f t="shared" ca="1" si="11"/>
        <v>18036.629671444698</v>
      </c>
      <c r="I18" s="174" t="str">
        <f t="shared" si="11"/>
        <v/>
      </c>
      <c r="J18" s="174" t="str">
        <f t="shared" si="11"/>
        <v/>
      </c>
      <c r="K18" s="174" t="str">
        <f t="shared" si="11"/>
        <v/>
      </c>
      <c r="L18" s="174" t="str">
        <f t="shared" si="11"/>
        <v/>
      </c>
      <c r="M18" s="174" t="str">
        <f t="shared" si="11"/>
        <v/>
      </c>
      <c r="N18" s="174" t="str">
        <f t="shared" si="11"/>
        <v/>
      </c>
      <c r="O18" s="174" t="str">
        <f t="shared" si="11"/>
        <v/>
      </c>
    </row>
    <row r="19" spans="1:15">
      <c r="B19" s="1"/>
      <c r="C19" s="173"/>
      <c r="D19" s="174"/>
      <c r="E19" s="175"/>
      <c r="F19" s="174"/>
      <c r="G19" s="174"/>
      <c r="H19" s="174"/>
      <c r="I19" s="174"/>
      <c r="J19" s="174"/>
      <c r="K19" s="174"/>
      <c r="L19" s="174"/>
      <c r="M19" s="174"/>
      <c r="N19" s="174"/>
      <c r="O19" s="174"/>
    </row>
    <row r="20" spans="1:15">
      <c r="B20" s="176" t="s">
        <v>52</v>
      </c>
      <c r="C20" s="168" t="s">
        <v>163</v>
      </c>
      <c r="D20" s="169">
        <f>'Income Statement Historic'!D15</f>
        <v>-191</v>
      </c>
      <c r="E20" s="170">
        <f>'Income Statement Historic'!C15</f>
        <v>-156</v>
      </c>
      <c r="F20" s="171">
        <f t="shared" ref="F20:O20" si="12">IF(F5="","",-Total_Debt_FY0*F35)</f>
        <v>-259.81002087682674</v>
      </c>
      <c r="G20" s="171">
        <f t="shared" si="12"/>
        <v>-259.81002087682674</v>
      </c>
      <c r="H20" s="171">
        <f t="shared" si="12"/>
        <v>-259.81002087682674</v>
      </c>
      <c r="I20" s="171" t="str">
        <f t="shared" si="12"/>
        <v/>
      </c>
      <c r="J20" s="171" t="str">
        <f t="shared" si="12"/>
        <v/>
      </c>
      <c r="K20" s="171" t="str">
        <f t="shared" si="12"/>
        <v/>
      </c>
      <c r="L20" s="171" t="str">
        <f t="shared" si="12"/>
        <v/>
      </c>
      <c r="M20" s="171" t="str">
        <f t="shared" si="12"/>
        <v/>
      </c>
      <c r="N20" s="171" t="str">
        <f t="shared" si="12"/>
        <v/>
      </c>
      <c r="O20" s="171" t="str">
        <f t="shared" si="12"/>
        <v/>
      </c>
    </row>
    <row r="21" spans="1:15">
      <c r="B21" s="1" t="s">
        <v>53</v>
      </c>
      <c r="C21" s="173" t="s">
        <v>163</v>
      </c>
      <c r="D21" s="174">
        <f ca="1">IF(D18="","",SUM(D18:D20))</f>
        <v>13719</v>
      </c>
      <c r="E21" s="175">
        <f t="shared" ref="E21:O21" ca="1" si="13">IF(E18="","",SUM(E18:E20))</f>
        <v>9973</v>
      </c>
      <c r="F21" s="174">
        <f t="shared" ca="1" si="13"/>
        <v>15515.032704288624</v>
      </c>
      <c r="G21" s="174">
        <f t="shared" ca="1" si="13"/>
        <v>16559.872281380056</v>
      </c>
      <c r="H21" s="174">
        <f t="shared" ca="1" si="13"/>
        <v>17776.819650567872</v>
      </c>
      <c r="I21" s="174" t="str">
        <f t="shared" si="13"/>
        <v/>
      </c>
      <c r="J21" s="174" t="str">
        <f t="shared" si="13"/>
        <v/>
      </c>
      <c r="K21" s="174" t="str">
        <f t="shared" si="13"/>
        <v/>
      </c>
      <c r="L21" s="174" t="str">
        <f t="shared" si="13"/>
        <v/>
      </c>
      <c r="M21" s="174" t="str">
        <f t="shared" si="13"/>
        <v/>
      </c>
      <c r="N21" s="174" t="str">
        <f t="shared" si="13"/>
        <v/>
      </c>
      <c r="O21" s="174" t="str">
        <f t="shared" si="13"/>
        <v/>
      </c>
    </row>
    <row r="22" spans="1:15">
      <c r="B22" s="1"/>
      <c r="C22" s="173"/>
      <c r="D22" s="174"/>
      <c r="E22" s="175"/>
      <c r="F22" s="174"/>
      <c r="G22" s="174"/>
      <c r="H22" s="174"/>
      <c r="I22" s="174"/>
      <c r="J22" s="174"/>
      <c r="K22" s="174"/>
      <c r="L22" s="174"/>
      <c r="M22" s="174"/>
      <c r="N22" s="174"/>
      <c r="O22" s="174"/>
    </row>
    <row r="23" spans="1:15">
      <c r="B23" t="s">
        <v>54</v>
      </c>
      <c r="C23" s="165" t="s">
        <v>163</v>
      </c>
      <c r="D23" s="166">
        <f>-'Income Statement Historic'!D17</f>
        <v>-1132</v>
      </c>
      <c r="E23" s="167">
        <f>-'Income Statement Historic'!C17</f>
        <v>5001</v>
      </c>
      <c r="F23" s="6">
        <f t="shared" ref="F23:O23" ca="1" si="14">IF(F5="","",-F21*Tax_Rate)</f>
        <v>-4654.5098112865871</v>
      </c>
      <c r="G23" s="6">
        <f t="shared" ca="1" si="14"/>
        <v>-4967.9616844140164</v>
      </c>
      <c r="H23" s="6">
        <f t="shared" ca="1" si="14"/>
        <v>-5333.0458951703613</v>
      </c>
      <c r="I23" s="6" t="str">
        <f t="shared" si="14"/>
        <v/>
      </c>
      <c r="J23" s="6" t="str">
        <f t="shared" si="14"/>
        <v/>
      </c>
      <c r="K23" s="6" t="str">
        <f t="shared" si="14"/>
        <v/>
      </c>
      <c r="L23" s="6" t="str">
        <f t="shared" si="14"/>
        <v/>
      </c>
      <c r="M23" s="6" t="str">
        <f t="shared" si="14"/>
        <v/>
      </c>
      <c r="N23" s="6" t="str">
        <f t="shared" si="14"/>
        <v/>
      </c>
      <c r="O23" s="6" t="str">
        <f t="shared" si="14"/>
        <v/>
      </c>
    </row>
    <row r="24" spans="1:15" ht="17" thickBot="1">
      <c r="B24" s="39" t="s">
        <v>55</v>
      </c>
      <c r="C24" s="179" t="s">
        <v>163</v>
      </c>
      <c r="D24" s="180">
        <f ca="1">IF(D21="","",SUM(D21:D23))</f>
        <v>12587</v>
      </c>
      <c r="E24" s="181">
        <f t="shared" ref="E24:O24" ca="1" si="15">IF(E21="","",SUM(E21:E23))</f>
        <v>14974</v>
      </c>
      <c r="F24" s="180">
        <f t="shared" ca="1" si="15"/>
        <v>10860.522893002037</v>
      </c>
      <c r="G24" s="180">
        <f t="shared" ca="1" si="15"/>
        <v>11591.91059696604</v>
      </c>
      <c r="H24" s="180">
        <f t="shared" ca="1" si="15"/>
        <v>12443.773755397509</v>
      </c>
      <c r="I24" s="180" t="str">
        <f t="shared" si="15"/>
        <v/>
      </c>
      <c r="J24" s="180" t="str">
        <f t="shared" si="15"/>
        <v/>
      </c>
      <c r="K24" s="180" t="str">
        <f t="shared" si="15"/>
        <v/>
      </c>
      <c r="L24" s="180" t="str">
        <f t="shared" si="15"/>
        <v/>
      </c>
      <c r="M24" s="180" t="str">
        <f t="shared" si="15"/>
        <v/>
      </c>
      <c r="N24" s="180" t="str">
        <f t="shared" si="15"/>
        <v/>
      </c>
      <c r="O24" s="180" t="str">
        <f t="shared" si="15"/>
        <v/>
      </c>
    </row>
    <row r="25" spans="1:15" ht="17" thickTop="1">
      <c r="E25" s="35"/>
    </row>
    <row r="26" spans="1:15">
      <c r="E26" s="35"/>
    </row>
    <row r="27" spans="1:15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5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6">IF(F5&lt;&gt;"",Growth_Sales,"")</f>
        <v>0.1</v>
      </c>
      <c r="G29" s="57">
        <f t="shared" si="16"/>
        <v>0.1</v>
      </c>
      <c r="H29" s="57">
        <f t="shared" si="16"/>
        <v>0.1</v>
      </c>
      <c r="I29" s="57" t="str">
        <f t="shared" si="16"/>
        <v/>
      </c>
      <c r="J29" s="57" t="str">
        <f t="shared" si="16"/>
        <v/>
      </c>
      <c r="K29" s="57" t="str">
        <f t="shared" si="16"/>
        <v/>
      </c>
      <c r="L29" s="57" t="str">
        <f t="shared" si="16"/>
        <v/>
      </c>
      <c r="M29" s="57" t="str">
        <f t="shared" si="16"/>
        <v/>
      </c>
      <c r="N29" s="57" t="str">
        <f t="shared" si="16"/>
        <v/>
      </c>
      <c r="O29" s="57" t="str">
        <f t="shared" si="16"/>
        <v/>
      </c>
    </row>
    <row r="30" spans="1:15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7">IF(F5&lt;&gt;"",Gross_Margin,"")</f>
        <v>0.72014242893006786</v>
      </c>
      <c r="G30" s="55">
        <f t="shared" si="17"/>
        <v>0.72014242893006786</v>
      </c>
      <c r="H30" s="55">
        <f t="shared" si="17"/>
        <v>0.72014242893006786</v>
      </c>
      <c r="I30" s="55" t="str">
        <f t="shared" si="17"/>
        <v/>
      </c>
      <c r="J30" s="55" t="str">
        <f t="shared" si="17"/>
        <v/>
      </c>
      <c r="K30" s="55" t="str">
        <f t="shared" si="17"/>
        <v/>
      </c>
      <c r="L30" s="55" t="str">
        <f t="shared" si="17"/>
        <v/>
      </c>
      <c r="M30" s="55" t="str">
        <f t="shared" si="17"/>
        <v/>
      </c>
      <c r="N30" s="55" t="str">
        <f t="shared" si="17"/>
        <v/>
      </c>
      <c r="O30" s="55" t="str">
        <f t="shared" si="17"/>
        <v/>
      </c>
    </row>
    <row r="31" spans="1:15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8">IF(F5&lt;&gt;"",Growth_SGA,"")</f>
        <v>0.1</v>
      </c>
      <c r="G31" s="58">
        <f t="shared" si="18"/>
        <v>0.1</v>
      </c>
      <c r="H31" s="58">
        <f t="shared" si="18"/>
        <v>0.1</v>
      </c>
      <c r="I31" s="58" t="str">
        <f>IF(I5&lt;&gt;"",Growth_SGA,"")</f>
        <v/>
      </c>
      <c r="J31" s="58" t="str">
        <f t="shared" si="18"/>
        <v/>
      </c>
      <c r="K31" s="58" t="str">
        <f>IF(K5&lt;&gt;"",Growth_SGA,"")</f>
        <v/>
      </c>
      <c r="L31" s="58" t="str">
        <f t="shared" si="18"/>
        <v/>
      </c>
      <c r="M31" s="58" t="str">
        <f t="shared" si="18"/>
        <v/>
      </c>
      <c r="N31" s="58" t="str">
        <f t="shared" si="18"/>
        <v/>
      </c>
      <c r="O31" s="58" t="str">
        <f t="shared" si="18"/>
        <v/>
      </c>
    </row>
    <row r="32" spans="1:15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9">IF(F5&lt;&gt;"",Growth_Non_Operating,"")</f>
        <v>0.02</v>
      </c>
      <c r="G33" s="58">
        <f t="shared" si="19"/>
        <v>0.02</v>
      </c>
      <c r="H33" s="58">
        <f>IF(H5&lt;&gt;"",Growth_Non_Operating,"")</f>
        <v>0.02</v>
      </c>
      <c r="I33" s="58" t="str">
        <f t="shared" si="19"/>
        <v/>
      </c>
      <c r="J33" s="58" t="str">
        <f t="shared" si="19"/>
        <v/>
      </c>
      <c r="K33" s="58" t="str">
        <f t="shared" si="19"/>
        <v/>
      </c>
      <c r="L33" s="58" t="str">
        <f t="shared" si="19"/>
        <v/>
      </c>
      <c r="M33" s="58" t="str">
        <f t="shared" si="19"/>
        <v/>
      </c>
      <c r="N33" s="58" t="str">
        <f t="shared" si="19"/>
        <v/>
      </c>
      <c r="O33" s="58" t="str">
        <f t="shared" si="19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20">IF(F5&lt;&gt;"",Tax_Rate,"")</f>
        <v>0.3</v>
      </c>
      <c r="G34" s="61">
        <f t="shared" si="20"/>
        <v>0.3</v>
      </c>
      <c r="H34" s="61">
        <f t="shared" si="20"/>
        <v>0.3</v>
      </c>
      <c r="I34" s="61" t="str">
        <f t="shared" si="20"/>
        <v/>
      </c>
      <c r="J34" s="61" t="str">
        <f t="shared" si="20"/>
        <v/>
      </c>
      <c r="K34" s="61" t="str">
        <f t="shared" si="20"/>
        <v/>
      </c>
      <c r="L34" s="61" t="str">
        <f t="shared" si="20"/>
        <v/>
      </c>
      <c r="M34" s="61" t="str">
        <f t="shared" si="20"/>
        <v/>
      </c>
      <c r="N34" s="61" t="str">
        <f t="shared" si="20"/>
        <v/>
      </c>
      <c r="O34" s="61" t="str">
        <f t="shared" si="20"/>
        <v/>
      </c>
    </row>
    <row r="35" spans="1:16384" ht="17" customHeight="1">
      <c r="B35" s="54" t="s">
        <v>247</v>
      </c>
      <c r="C35" s="64" t="s">
        <v>155</v>
      </c>
      <c r="D35" s="13">
        <f>ABS(D20/'Balance Sheet Historic'!E62)</f>
        <v>2.1525977685112139E-2</v>
      </c>
      <c r="E35" s="130">
        <f>Interest_Rate</f>
        <v>2.7139874739039668E-2</v>
      </c>
      <c r="F35" s="277">
        <f t="shared" ref="F35:O35" si="21">IF(F5&lt;&gt;"",Interest_Rate,"")</f>
        <v>2.7139874739039668E-2</v>
      </c>
      <c r="G35" s="277">
        <f t="shared" si="21"/>
        <v>2.7139874739039668E-2</v>
      </c>
      <c r="H35" s="277">
        <f t="shared" si="21"/>
        <v>2.7139874739039668E-2</v>
      </c>
      <c r="I35" s="277" t="str">
        <f t="shared" si="21"/>
        <v/>
      </c>
      <c r="J35" s="277" t="str">
        <f>IF(J5&lt;&gt;"",Interest_Rate,"")</f>
        <v/>
      </c>
      <c r="K35" s="277" t="str">
        <f t="shared" si="21"/>
        <v/>
      </c>
      <c r="L35" s="277" t="str">
        <f t="shared" si="21"/>
        <v/>
      </c>
      <c r="M35" s="277" t="str">
        <f t="shared" si="21"/>
        <v/>
      </c>
      <c r="N35" s="277" t="str">
        <f t="shared" si="21"/>
        <v/>
      </c>
      <c r="O35" s="277" t="str">
        <f t="shared" si="21"/>
        <v/>
      </c>
    </row>
    <row r="36" spans="1:16384" ht="17" customHeight="1"/>
    <row r="37" spans="1:16384" ht="17" customHeight="1"/>
    <row r="38" spans="1:16384" s="18" customFormat="1" ht="21" thickBot="1">
      <c r="A38"/>
      <c r="B38" s="22" t="s">
        <v>156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  <c r="CAM38" s="21"/>
      <c r="CAN38" s="21"/>
      <c r="CAO38" s="21"/>
      <c r="CAP38" s="21"/>
      <c r="CAQ38" s="21"/>
      <c r="CAR38" s="21"/>
      <c r="CAS38" s="21"/>
      <c r="CAT38" s="21"/>
      <c r="CAU38" s="21"/>
      <c r="CAV38" s="21"/>
      <c r="CAW38" s="21"/>
      <c r="CAX38" s="21"/>
      <c r="CAY38" s="21"/>
      <c r="CAZ38" s="21"/>
      <c r="CBA38" s="21"/>
      <c r="CBB38" s="21"/>
      <c r="CBC38" s="21"/>
      <c r="CBD38" s="21"/>
      <c r="CBE38" s="21"/>
      <c r="CBF38" s="21"/>
      <c r="CBG38" s="21"/>
      <c r="CBH38" s="21"/>
      <c r="CBI38" s="21"/>
      <c r="CBJ38" s="21"/>
      <c r="CBK38" s="21"/>
      <c r="CBL38" s="21"/>
      <c r="CBM38" s="21"/>
      <c r="CBN38" s="21"/>
      <c r="CBO38" s="21"/>
      <c r="CBP38" s="21"/>
      <c r="CBQ38" s="21"/>
      <c r="CBR38" s="21"/>
      <c r="CBS38" s="21"/>
      <c r="CBT38" s="21"/>
      <c r="CBU38" s="21"/>
      <c r="CBV38" s="21"/>
      <c r="CBW38" s="21"/>
      <c r="CBX38" s="21"/>
      <c r="CBY38" s="21"/>
      <c r="CBZ38" s="21"/>
      <c r="CCA38" s="21"/>
      <c r="CCB38" s="21"/>
      <c r="CCC38" s="21"/>
      <c r="CCD38" s="21"/>
      <c r="CCE38" s="21"/>
      <c r="CCF38" s="21"/>
      <c r="CCG38" s="21"/>
      <c r="CCH38" s="21"/>
      <c r="CCI38" s="21"/>
      <c r="CCJ38" s="21"/>
      <c r="CCK38" s="21"/>
      <c r="CCL38" s="21"/>
      <c r="CCM38" s="21"/>
      <c r="CCN38" s="21"/>
      <c r="CCO38" s="21"/>
      <c r="CCP38" s="21"/>
      <c r="CCQ38" s="21"/>
      <c r="CCR38" s="21"/>
      <c r="CCS38" s="21"/>
      <c r="CCT38" s="21"/>
      <c r="CCU38" s="21"/>
      <c r="CCV38" s="21"/>
      <c r="CCW38" s="21"/>
      <c r="CCX38" s="21"/>
      <c r="CCY38" s="21"/>
      <c r="CCZ38" s="21"/>
      <c r="CDA38" s="21"/>
      <c r="CDB38" s="21"/>
      <c r="CDC38" s="21"/>
      <c r="CDD38" s="21"/>
      <c r="CDE38" s="21"/>
      <c r="CDF38" s="21"/>
      <c r="CDG38" s="21"/>
      <c r="CDH38" s="21"/>
      <c r="CDI38" s="21"/>
      <c r="CDJ38" s="21"/>
      <c r="CDK38" s="21"/>
      <c r="CDL38" s="21"/>
      <c r="CDM38" s="21"/>
      <c r="CDN38" s="21"/>
      <c r="CDO38" s="21"/>
      <c r="CDP38" s="21"/>
      <c r="CDQ38" s="21"/>
      <c r="CDR38" s="21"/>
      <c r="CDS38" s="21"/>
      <c r="CDT38" s="21"/>
      <c r="CDU38" s="21"/>
      <c r="CDV38" s="21"/>
      <c r="CDW38" s="21"/>
      <c r="CDX38" s="21"/>
      <c r="CDY38" s="21"/>
      <c r="CDZ38" s="21"/>
      <c r="CEA38" s="21"/>
      <c r="CEB38" s="21"/>
      <c r="CEC38" s="21"/>
      <c r="CED38" s="21"/>
      <c r="CEE38" s="21"/>
      <c r="CEF38" s="21"/>
      <c r="CEG38" s="21"/>
      <c r="CEH38" s="21"/>
      <c r="CEI38" s="21"/>
      <c r="CEJ38" s="21"/>
      <c r="CEK38" s="21"/>
      <c r="CEL38" s="21"/>
      <c r="CEM38" s="21"/>
      <c r="CEN38" s="21"/>
      <c r="CEO38" s="21"/>
      <c r="CEP38" s="21"/>
      <c r="CEQ38" s="21"/>
      <c r="CER38" s="21"/>
      <c r="CES38" s="21"/>
      <c r="CET38" s="21"/>
      <c r="CEU38" s="21"/>
      <c r="CEV38" s="21"/>
      <c r="CEW38" s="21"/>
      <c r="CEX38" s="21"/>
      <c r="CEY38" s="21"/>
      <c r="CEZ38" s="21"/>
      <c r="CFA38" s="21"/>
      <c r="CFB38" s="21"/>
      <c r="CFC38" s="21"/>
      <c r="CFD38" s="21"/>
      <c r="CFE38" s="21"/>
      <c r="CFF38" s="21"/>
      <c r="CFG38" s="21"/>
      <c r="CFH38" s="21"/>
      <c r="CFI38" s="21"/>
      <c r="CFJ38" s="21"/>
      <c r="CFK38" s="21"/>
      <c r="CFL38" s="21"/>
      <c r="CFM38" s="21"/>
      <c r="CFN38" s="21"/>
      <c r="CFO38" s="21"/>
      <c r="CFP38" s="21"/>
      <c r="CFQ38" s="21"/>
      <c r="CFR38" s="21"/>
      <c r="CFS38" s="21"/>
      <c r="CFT38" s="21"/>
      <c r="CFU38" s="21"/>
      <c r="CFV38" s="21"/>
      <c r="CFW38" s="21"/>
      <c r="CFX38" s="21"/>
      <c r="CFY38" s="21"/>
      <c r="CFZ38" s="21"/>
      <c r="CGA38" s="21"/>
      <c r="CGB38" s="21"/>
      <c r="CGC38" s="21"/>
      <c r="CGD38" s="21"/>
      <c r="CGE38" s="21"/>
      <c r="CGF38" s="21"/>
      <c r="CGG38" s="21"/>
      <c r="CGH38" s="21"/>
      <c r="CGI38" s="21"/>
      <c r="CGJ38" s="21"/>
      <c r="CGK38" s="21"/>
      <c r="CGL38" s="21"/>
      <c r="CGM38" s="21"/>
      <c r="CGN38" s="21"/>
      <c r="CGO38" s="21"/>
      <c r="CGP38" s="21"/>
      <c r="CGQ38" s="21"/>
      <c r="CGR38" s="21"/>
      <c r="CGS38" s="21"/>
      <c r="CGT38" s="21"/>
      <c r="CGU38" s="21"/>
      <c r="CGV38" s="21"/>
      <c r="CGW38" s="21"/>
      <c r="CGX38" s="21"/>
      <c r="CGY38" s="21"/>
      <c r="CGZ38" s="21"/>
      <c r="CHA38" s="21"/>
      <c r="CHB38" s="21"/>
      <c r="CHC38" s="21"/>
      <c r="CHD38" s="21"/>
      <c r="CHE38" s="21"/>
      <c r="CHF38" s="21"/>
      <c r="CHG38" s="21"/>
      <c r="CHH38" s="21"/>
      <c r="CHI38" s="21"/>
      <c r="CHJ38" s="21"/>
      <c r="CHK38" s="21"/>
      <c r="CHL38" s="21"/>
      <c r="CHM38" s="21"/>
      <c r="CHN38" s="21"/>
      <c r="CHO38" s="21"/>
      <c r="CHP38" s="21"/>
      <c r="CHQ38" s="21"/>
      <c r="CHR38" s="21"/>
      <c r="CHS38" s="21"/>
      <c r="CHT38" s="21"/>
      <c r="CHU38" s="21"/>
      <c r="CHV38" s="21"/>
      <c r="CHW38" s="21"/>
      <c r="CHX38" s="21"/>
      <c r="CHY38" s="21"/>
      <c r="CHZ38" s="21"/>
      <c r="CIA38" s="21"/>
      <c r="CIB38" s="21"/>
      <c r="CIC38" s="21"/>
      <c r="CID38" s="21"/>
      <c r="CIE38" s="21"/>
      <c r="CIF38" s="21"/>
      <c r="CIG38" s="21"/>
      <c r="CIH38" s="21"/>
      <c r="CII38" s="21"/>
      <c r="CIJ38" s="21"/>
      <c r="CIK38" s="21"/>
      <c r="CIL38" s="21"/>
      <c r="CIM38" s="21"/>
      <c r="CIN38" s="21"/>
      <c r="CIO38" s="21"/>
      <c r="CIP38" s="21"/>
      <c r="CIQ38" s="21"/>
      <c r="CIR38" s="21"/>
      <c r="CIS38" s="21"/>
      <c r="CIT38" s="21"/>
      <c r="CIU38" s="21"/>
      <c r="CIV38" s="21"/>
      <c r="CIW38" s="21"/>
      <c r="CIX38" s="21"/>
      <c r="CIY38" s="21"/>
      <c r="CIZ38" s="21"/>
      <c r="CJA38" s="21"/>
      <c r="CJB38" s="21"/>
      <c r="CJC38" s="21"/>
      <c r="CJD38" s="21"/>
      <c r="CJE38" s="21"/>
      <c r="CJF38" s="21"/>
      <c r="CJG38" s="21"/>
      <c r="CJH38" s="21"/>
      <c r="CJI38" s="21"/>
      <c r="CJJ38" s="21"/>
      <c r="CJK38" s="21"/>
      <c r="CJL38" s="21"/>
      <c r="CJM38" s="21"/>
      <c r="CJN38" s="21"/>
      <c r="CJO38" s="21"/>
      <c r="CJP38" s="21"/>
      <c r="CJQ38" s="21"/>
      <c r="CJR38" s="21"/>
      <c r="CJS38" s="21"/>
      <c r="CJT38" s="21"/>
      <c r="CJU38" s="21"/>
      <c r="CJV38" s="21"/>
      <c r="CJW38" s="21"/>
      <c r="CJX38" s="21"/>
      <c r="CJY38" s="21"/>
      <c r="CJZ38" s="21"/>
      <c r="CKA38" s="21"/>
      <c r="CKB38" s="21"/>
      <c r="CKC38" s="21"/>
      <c r="CKD38" s="21"/>
      <c r="CKE38" s="21"/>
      <c r="CKF38" s="21"/>
      <c r="CKG38" s="21"/>
      <c r="CKH38" s="21"/>
      <c r="CKI38" s="21"/>
      <c r="CKJ38" s="21"/>
      <c r="CKK38" s="21"/>
      <c r="CKL38" s="21"/>
      <c r="CKM38" s="21"/>
      <c r="CKN38" s="21"/>
      <c r="CKO38" s="21"/>
      <c r="CKP38" s="21"/>
      <c r="CKQ38" s="21"/>
      <c r="CKR38" s="21"/>
      <c r="CKS38" s="21"/>
      <c r="CKT38" s="21"/>
      <c r="CKU38" s="21"/>
      <c r="CKV38" s="21"/>
      <c r="CKW38" s="21"/>
      <c r="CKX38" s="21"/>
      <c r="CKY38" s="21"/>
      <c r="CKZ38" s="21"/>
      <c r="CLA38" s="21"/>
      <c r="CLB38" s="21"/>
      <c r="CLC38" s="21"/>
      <c r="CLD38" s="21"/>
      <c r="CLE38" s="21"/>
      <c r="CLF38" s="21"/>
      <c r="CLG38" s="21"/>
      <c r="CLH38" s="21"/>
      <c r="CLI38" s="21"/>
      <c r="CLJ38" s="21"/>
      <c r="CLK38" s="21"/>
      <c r="CLL38" s="21"/>
      <c r="CLM38" s="21"/>
      <c r="CLN38" s="21"/>
      <c r="CLO38" s="21"/>
      <c r="CLP38" s="21"/>
      <c r="CLQ38" s="21"/>
      <c r="CLR38" s="21"/>
      <c r="CLS38" s="21"/>
      <c r="CLT38" s="21"/>
      <c r="CLU38" s="21"/>
      <c r="CLV38" s="21"/>
      <c r="CLW38" s="21"/>
      <c r="CLX38" s="21"/>
      <c r="CLY38" s="21"/>
      <c r="CLZ38" s="21"/>
      <c r="CMA38" s="21"/>
      <c r="CMB38" s="21"/>
      <c r="CMC38" s="21"/>
      <c r="CMD38" s="21"/>
      <c r="CME38" s="21"/>
      <c r="CMF38" s="21"/>
      <c r="CMG38" s="21"/>
      <c r="CMH38" s="21"/>
      <c r="CMI38" s="21"/>
      <c r="CMJ38" s="21"/>
      <c r="CMK38" s="21"/>
      <c r="CML38" s="21"/>
      <c r="CMM38" s="21"/>
      <c r="CMN38" s="21"/>
      <c r="CMO38" s="21"/>
      <c r="CMP38" s="21"/>
      <c r="CMQ38" s="21"/>
      <c r="CMR38" s="21"/>
      <c r="CMS38" s="21"/>
      <c r="CMT38" s="21"/>
      <c r="CMU38" s="21"/>
      <c r="CMV38" s="21"/>
      <c r="CMW38" s="21"/>
      <c r="CMX38" s="21"/>
      <c r="CMY38" s="21"/>
      <c r="CMZ38" s="21"/>
      <c r="CNA38" s="21"/>
      <c r="CNB38" s="21"/>
      <c r="CNC38" s="21"/>
      <c r="CND38" s="21"/>
      <c r="CNE38" s="21"/>
      <c r="CNF38" s="21"/>
      <c r="CNG38" s="21"/>
      <c r="CNH38" s="21"/>
      <c r="CNI38" s="21"/>
      <c r="CNJ38" s="21"/>
      <c r="CNK38" s="21"/>
      <c r="CNL38" s="21"/>
      <c r="CNM38" s="21"/>
      <c r="CNN38" s="21"/>
      <c r="CNO38" s="21"/>
      <c r="CNP38" s="21"/>
      <c r="CNQ38" s="21"/>
      <c r="CNR38" s="21"/>
      <c r="CNS38" s="21"/>
      <c r="CNT38" s="21"/>
      <c r="CNU38" s="21"/>
      <c r="CNV38" s="21"/>
      <c r="CNW38" s="21"/>
      <c r="CNX38" s="21"/>
      <c r="CNY38" s="21"/>
      <c r="CNZ38" s="21"/>
      <c r="COA38" s="21"/>
      <c r="COB38" s="21"/>
      <c r="COC38" s="21"/>
      <c r="COD38" s="21"/>
      <c r="COE38" s="21"/>
      <c r="COF38" s="21"/>
      <c r="COG38" s="21"/>
      <c r="COH38" s="21"/>
      <c r="COI38" s="21"/>
      <c r="COJ38" s="21"/>
      <c r="COK38" s="21"/>
      <c r="COL38" s="21"/>
      <c r="COM38" s="21"/>
      <c r="CON38" s="21"/>
      <c r="COO38" s="21"/>
      <c r="COP38" s="21"/>
      <c r="COQ38" s="21"/>
      <c r="COR38" s="21"/>
      <c r="COS38" s="21"/>
      <c r="COT38" s="21"/>
      <c r="COU38" s="21"/>
      <c r="COV38" s="21"/>
      <c r="COW38" s="21"/>
      <c r="COX38" s="21"/>
      <c r="COY38" s="21"/>
      <c r="COZ38" s="21"/>
      <c r="CPA38" s="21"/>
      <c r="CPB38" s="21"/>
      <c r="CPC38" s="21"/>
      <c r="CPD38" s="21"/>
      <c r="CPE38" s="21"/>
      <c r="CPF38" s="21"/>
      <c r="CPG38" s="21"/>
      <c r="CPH38" s="21"/>
      <c r="CPI38" s="21"/>
      <c r="CPJ38" s="21"/>
      <c r="CPK38" s="21"/>
      <c r="CPL38" s="21"/>
      <c r="CPM38" s="21"/>
      <c r="CPN38" s="21"/>
      <c r="CPO38" s="21"/>
      <c r="CPP38" s="21"/>
      <c r="CPQ38" s="21"/>
      <c r="CPR38" s="21"/>
      <c r="CPS38" s="21"/>
      <c r="CPT38" s="21"/>
      <c r="CPU38" s="21"/>
      <c r="CPV38" s="21"/>
      <c r="CPW38" s="21"/>
      <c r="CPX38" s="21"/>
      <c r="CPY38" s="21"/>
      <c r="CPZ38" s="21"/>
      <c r="CQA38" s="21"/>
      <c r="CQB38" s="21"/>
      <c r="CQC38" s="21"/>
      <c r="CQD38" s="21"/>
      <c r="CQE38" s="21"/>
      <c r="CQF38" s="21"/>
      <c r="CQG38" s="21"/>
      <c r="CQH38" s="21"/>
      <c r="CQI38" s="21"/>
      <c r="CQJ38" s="21"/>
      <c r="CQK38" s="21"/>
      <c r="CQL38" s="21"/>
      <c r="CQM38" s="21"/>
      <c r="CQN38" s="21"/>
      <c r="CQO38" s="21"/>
      <c r="CQP38" s="21"/>
      <c r="CQQ38" s="21"/>
      <c r="CQR38" s="21"/>
      <c r="CQS38" s="21"/>
      <c r="CQT38" s="21"/>
      <c r="CQU38" s="21"/>
      <c r="CQV38" s="21"/>
      <c r="CQW38" s="21"/>
      <c r="CQX38" s="21"/>
      <c r="CQY38" s="21"/>
      <c r="CQZ38" s="21"/>
      <c r="CRA38" s="21"/>
      <c r="CRB38" s="21"/>
      <c r="CRC38" s="21"/>
      <c r="CRD38" s="21"/>
      <c r="CRE38" s="21"/>
      <c r="CRF38" s="21"/>
      <c r="CRG38" s="21"/>
      <c r="CRH38" s="21"/>
      <c r="CRI38" s="21"/>
      <c r="CRJ38" s="21"/>
      <c r="CRK38" s="21"/>
      <c r="CRL38" s="21"/>
      <c r="CRM38" s="21"/>
      <c r="CRN38" s="21"/>
      <c r="CRO38" s="21"/>
      <c r="CRP38" s="21"/>
      <c r="CRQ38" s="21"/>
      <c r="CRR38" s="21"/>
      <c r="CRS38" s="21"/>
      <c r="CRT38" s="21"/>
      <c r="CRU38" s="21"/>
      <c r="CRV38" s="21"/>
      <c r="CRW38" s="21"/>
      <c r="CRX38" s="21"/>
      <c r="CRY38" s="21"/>
      <c r="CRZ38" s="21"/>
      <c r="CSA38" s="21"/>
      <c r="CSB38" s="21"/>
      <c r="CSC38" s="21"/>
      <c r="CSD38" s="21"/>
      <c r="CSE38" s="21"/>
      <c r="CSF38" s="21"/>
      <c r="CSG38" s="21"/>
      <c r="CSH38" s="21"/>
      <c r="CSI38" s="21"/>
      <c r="CSJ38" s="21"/>
      <c r="CSK38" s="21"/>
      <c r="CSL38" s="21"/>
      <c r="CSM38" s="21"/>
      <c r="CSN38" s="21"/>
      <c r="CSO38" s="21"/>
      <c r="CSP38" s="21"/>
      <c r="CSQ38" s="21"/>
      <c r="CSR38" s="21"/>
      <c r="CSS38" s="21"/>
      <c r="CST38" s="21"/>
      <c r="CSU38" s="21"/>
      <c r="CSV38" s="21"/>
      <c r="CSW38" s="21"/>
      <c r="CSX38" s="21"/>
      <c r="CSY38" s="21"/>
      <c r="CSZ38" s="21"/>
      <c r="CTA38" s="21"/>
      <c r="CTB38" s="21"/>
      <c r="CTC38" s="21"/>
      <c r="CTD38" s="21"/>
      <c r="CTE38" s="21"/>
      <c r="CTF38" s="21"/>
      <c r="CTG38" s="21"/>
      <c r="CTH38" s="21"/>
      <c r="CTI38" s="21"/>
      <c r="CTJ38" s="21"/>
      <c r="CTK38" s="21"/>
      <c r="CTL38" s="21"/>
      <c r="CTM38" s="21"/>
      <c r="CTN38" s="21"/>
      <c r="CTO38" s="21"/>
      <c r="CTP38" s="21"/>
      <c r="CTQ38" s="21"/>
      <c r="CTR38" s="21"/>
      <c r="CTS38" s="21"/>
      <c r="CTT38" s="21"/>
      <c r="CTU38" s="21"/>
      <c r="CTV38" s="21"/>
      <c r="CTW38" s="21"/>
      <c r="CTX38" s="21"/>
      <c r="CTY38" s="21"/>
      <c r="CTZ38" s="21"/>
      <c r="CUA38" s="21"/>
      <c r="CUB38" s="21"/>
      <c r="CUC38" s="21"/>
      <c r="CUD38" s="21"/>
      <c r="CUE38" s="21"/>
      <c r="CUF38" s="21"/>
      <c r="CUG38" s="21"/>
      <c r="CUH38" s="21"/>
      <c r="CUI38" s="21"/>
      <c r="CUJ38" s="21"/>
      <c r="CUK38" s="21"/>
      <c r="CUL38" s="21"/>
      <c r="CUM38" s="21"/>
      <c r="CUN38" s="21"/>
      <c r="CUO38" s="21"/>
      <c r="CUP38" s="21"/>
      <c r="CUQ38" s="21"/>
      <c r="CUR38" s="21"/>
      <c r="CUS38" s="21"/>
      <c r="CUT38" s="21"/>
      <c r="CUU38" s="21"/>
      <c r="CUV38" s="21"/>
      <c r="CUW38" s="21"/>
      <c r="CUX38" s="21"/>
      <c r="CUY38" s="21"/>
      <c r="CUZ38" s="21"/>
      <c r="CVA38" s="21"/>
      <c r="CVB38" s="21"/>
      <c r="CVC38" s="21"/>
      <c r="CVD38" s="21"/>
      <c r="CVE38" s="21"/>
      <c r="CVF38" s="21"/>
      <c r="CVG38" s="21"/>
      <c r="CVH38" s="21"/>
      <c r="CVI38" s="21"/>
      <c r="CVJ38" s="21"/>
      <c r="CVK38" s="21"/>
      <c r="CVL38" s="21"/>
      <c r="CVM38" s="21"/>
      <c r="CVN38" s="21"/>
      <c r="CVO38" s="21"/>
      <c r="CVP38" s="21"/>
      <c r="CVQ38" s="21"/>
      <c r="CVR38" s="21"/>
      <c r="CVS38" s="21"/>
      <c r="CVT38" s="21"/>
      <c r="CVU38" s="21"/>
      <c r="CVV38" s="21"/>
      <c r="CVW38" s="21"/>
      <c r="CVX38" s="21"/>
      <c r="CVY38" s="21"/>
      <c r="CVZ38" s="21"/>
      <c r="CWA38" s="21"/>
      <c r="CWB38" s="21"/>
      <c r="CWC38" s="21"/>
      <c r="CWD38" s="21"/>
      <c r="CWE38" s="21"/>
      <c r="CWF38" s="21"/>
      <c r="CWG38" s="21"/>
      <c r="CWH38" s="21"/>
      <c r="CWI38" s="21"/>
      <c r="CWJ38" s="21"/>
      <c r="CWK38" s="21"/>
      <c r="CWL38" s="21"/>
      <c r="CWM38" s="21"/>
      <c r="CWN38" s="21"/>
      <c r="CWO38" s="21"/>
      <c r="CWP38" s="21"/>
      <c r="CWQ38" s="21"/>
      <c r="CWR38" s="21"/>
      <c r="CWS38" s="21"/>
      <c r="CWT38" s="21"/>
      <c r="CWU38" s="21"/>
      <c r="CWV38" s="21"/>
      <c r="CWW38" s="21"/>
      <c r="CWX38" s="21"/>
      <c r="CWY38" s="21"/>
      <c r="CWZ38" s="21"/>
      <c r="CXA38" s="21"/>
      <c r="CXB38" s="21"/>
      <c r="CXC38" s="21"/>
      <c r="CXD38" s="21"/>
      <c r="CXE38" s="21"/>
      <c r="CXF38" s="21"/>
      <c r="CXG38" s="21"/>
      <c r="CXH38" s="21"/>
      <c r="CXI38" s="21"/>
      <c r="CXJ38" s="21"/>
      <c r="CXK38" s="21"/>
      <c r="CXL38" s="21"/>
      <c r="CXM38" s="21"/>
      <c r="CXN38" s="21"/>
      <c r="CXO38" s="21"/>
      <c r="CXP38" s="21"/>
      <c r="CXQ38" s="21"/>
      <c r="CXR38" s="21"/>
      <c r="CXS38" s="21"/>
      <c r="CXT38" s="21"/>
      <c r="CXU38" s="21"/>
      <c r="CXV38" s="21"/>
      <c r="CXW38" s="21"/>
      <c r="CXX38" s="21"/>
      <c r="CXY38" s="21"/>
      <c r="CXZ38" s="21"/>
      <c r="CYA38" s="21"/>
      <c r="CYB38" s="21"/>
      <c r="CYC38" s="21"/>
      <c r="CYD38" s="21"/>
      <c r="CYE38" s="21"/>
      <c r="CYF38" s="21"/>
      <c r="CYG38" s="21"/>
      <c r="CYH38" s="21"/>
      <c r="CYI38" s="21"/>
      <c r="CYJ38" s="21"/>
      <c r="CYK38" s="21"/>
      <c r="CYL38" s="21"/>
      <c r="CYM38" s="21"/>
      <c r="CYN38" s="21"/>
      <c r="CYO38" s="21"/>
      <c r="CYP38" s="21"/>
      <c r="CYQ38" s="21"/>
      <c r="CYR38" s="21"/>
      <c r="CYS38" s="21"/>
      <c r="CYT38" s="21"/>
      <c r="CYU38" s="21"/>
      <c r="CYV38" s="21"/>
      <c r="CYW38" s="21"/>
      <c r="CYX38" s="21"/>
      <c r="CYY38" s="21"/>
      <c r="CYZ38" s="21"/>
      <c r="CZA38" s="21"/>
      <c r="CZB38" s="21"/>
      <c r="CZC38" s="21"/>
      <c r="CZD38" s="21"/>
      <c r="CZE38" s="21"/>
      <c r="CZF38" s="21"/>
      <c r="CZG38" s="21"/>
      <c r="CZH38" s="21"/>
      <c r="CZI38" s="21"/>
      <c r="CZJ38" s="21"/>
      <c r="CZK38" s="21"/>
      <c r="CZL38" s="21"/>
      <c r="CZM38" s="21"/>
      <c r="CZN38" s="21"/>
      <c r="CZO38" s="21"/>
      <c r="CZP38" s="21"/>
      <c r="CZQ38" s="21"/>
      <c r="CZR38" s="21"/>
      <c r="CZS38" s="21"/>
      <c r="CZT38" s="21"/>
      <c r="CZU38" s="21"/>
      <c r="CZV38" s="21"/>
      <c r="CZW38" s="21"/>
      <c r="CZX38" s="21"/>
      <c r="CZY38" s="21"/>
      <c r="CZZ38" s="21"/>
      <c r="DAA38" s="21"/>
      <c r="DAB38" s="21"/>
      <c r="DAC38" s="21"/>
      <c r="DAD38" s="21"/>
      <c r="DAE38" s="21"/>
      <c r="DAF38" s="21"/>
      <c r="DAG38" s="21"/>
      <c r="DAH38" s="21"/>
      <c r="DAI38" s="21"/>
      <c r="DAJ38" s="21"/>
      <c r="DAK38" s="21"/>
      <c r="DAL38" s="21"/>
      <c r="DAM38" s="21"/>
      <c r="DAN38" s="21"/>
      <c r="DAO38" s="21"/>
      <c r="DAP38" s="21"/>
      <c r="DAQ38" s="21"/>
      <c r="DAR38" s="21"/>
      <c r="DAS38" s="21"/>
      <c r="DAT38" s="21"/>
      <c r="DAU38" s="21"/>
      <c r="DAV38" s="21"/>
      <c r="DAW38" s="21"/>
      <c r="DAX38" s="21"/>
      <c r="DAY38" s="21"/>
      <c r="DAZ38" s="21"/>
      <c r="DBA38" s="21"/>
      <c r="DBB38" s="21"/>
      <c r="DBC38" s="21"/>
      <c r="DBD38" s="21"/>
      <c r="DBE38" s="21"/>
      <c r="DBF38" s="21"/>
      <c r="DBG38" s="21"/>
      <c r="DBH38" s="21"/>
      <c r="DBI38" s="21"/>
      <c r="DBJ38" s="21"/>
      <c r="DBK38" s="21"/>
      <c r="DBL38" s="21"/>
      <c r="DBM38" s="21"/>
      <c r="DBN38" s="21"/>
      <c r="DBO38" s="21"/>
      <c r="DBP38" s="21"/>
      <c r="DBQ38" s="21"/>
      <c r="DBR38" s="21"/>
      <c r="DBS38" s="21"/>
      <c r="DBT38" s="21"/>
      <c r="DBU38" s="21"/>
      <c r="DBV38" s="21"/>
      <c r="DBW38" s="21"/>
      <c r="DBX38" s="21"/>
      <c r="DBY38" s="21"/>
      <c r="DBZ38" s="21"/>
      <c r="DCA38" s="21"/>
      <c r="DCB38" s="21"/>
      <c r="DCC38" s="21"/>
      <c r="DCD38" s="21"/>
      <c r="DCE38" s="21"/>
      <c r="DCF38" s="21"/>
      <c r="DCG38" s="21"/>
      <c r="DCH38" s="21"/>
      <c r="DCI38" s="21"/>
      <c r="DCJ38" s="21"/>
      <c r="DCK38" s="21"/>
      <c r="DCL38" s="21"/>
      <c r="DCM38" s="21"/>
      <c r="DCN38" s="21"/>
      <c r="DCO38" s="21"/>
      <c r="DCP38" s="21"/>
      <c r="DCQ38" s="21"/>
      <c r="DCR38" s="21"/>
      <c r="DCS38" s="21"/>
      <c r="DCT38" s="21"/>
      <c r="DCU38" s="21"/>
      <c r="DCV38" s="21"/>
      <c r="DCW38" s="21"/>
      <c r="DCX38" s="21"/>
      <c r="DCY38" s="21"/>
      <c r="DCZ38" s="21"/>
      <c r="DDA38" s="21"/>
      <c r="DDB38" s="21"/>
      <c r="DDC38" s="21"/>
      <c r="DDD38" s="21"/>
      <c r="DDE38" s="21"/>
      <c r="DDF38" s="21"/>
      <c r="DDG38" s="21"/>
      <c r="DDH38" s="21"/>
      <c r="DDI38" s="21"/>
      <c r="DDJ38" s="21"/>
      <c r="DDK38" s="21"/>
      <c r="DDL38" s="21"/>
      <c r="DDM38" s="21"/>
      <c r="DDN38" s="21"/>
      <c r="DDO38" s="21"/>
      <c r="DDP38" s="21"/>
      <c r="DDQ38" s="21"/>
      <c r="DDR38" s="21"/>
      <c r="DDS38" s="21"/>
      <c r="DDT38" s="21"/>
      <c r="DDU38" s="21"/>
      <c r="DDV38" s="21"/>
      <c r="DDW38" s="21"/>
      <c r="DDX38" s="21"/>
      <c r="DDY38" s="21"/>
      <c r="DDZ38" s="21"/>
      <c r="DEA38" s="21"/>
      <c r="DEB38" s="21"/>
      <c r="DEC38" s="21"/>
      <c r="DED38" s="21"/>
      <c r="DEE38" s="21"/>
      <c r="DEF38" s="21"/>
      <c r="DEG38" s="21"/>
      <c r="DEH38" s="21"/>
      <c r="DEI38" s="21"/>
      <c r="DEJ38" s="21"/>
      <c r="DEK38" s="21"/>
      <c r="DEL38" s="21"/>
      <c r="DEM38" s="21"/>
      <c r="DEN38" s="21"/>
      <c r="DEO38" s="21"/>
      <c r="DEP38" s="21"/>
      <c r="DEQ38" s="21"/>
      <c r="DER38" s="21"/>
      <c r="DES38" s="21"/>
      <c r="DET38" s="21"/>
      <c r="DEU38" s="21"/>
      <c r="DEV38" s="21"/>
      <c r="DEW38" s="21"/>
      <c r="DEX38" s="21"/>
      <c r="DEY38" s="21"/>
      <c r="DEZ38" s="21"/>
      <c r="DFA38" s="21"/>
      <c r="DFB38" s="21"/>
      <c r="DFC38" s="21"/>
      <c r="DFD38" s="21"/>
      <c r="DFE38" s="21"/>
      <c r="DFF38" s="21"/>
      <c r="DFG38" s="21"/>
      <c r="DFH38" s="21"/>
      <c r="DFI38" s="21"/>
      <c r="DFJ38" s="21"/>
      <c r="DFK38" s="21"/>
      <c r="DFL38" s="21"/>
      <c r="DFM38" s="21"/>
      <c r="DFN38" s="21"/>
      <c r="DFO38" s="21"/>
      <c r="DFP38" s="21"/>
      <c r="DFQ38" s="21"/>
      <c r="DFR38" s="21"/>
      <c r="DFS38" s="21"/>
      <c r="DFT38" s="21"/>
      <c r="DFU38" s="21"/>
      <c r="DFV38" s="21"/>
      <c r="DFW38" s="21"/>
      <c r="DFX38" s="21"/>
      <c r="DFY38" s="21"/>
      <c r="DFZ38" s="21"/>
      <c r="DGA38" s="21"/>
      <c r="DGB38" s="21"/>
      <c r="DGC38" s="21"/>
      <c r="DGD38" s="21"/>
      <c r="DGE38" s="21"/>
      <c r="DGF38" s="21"/>
      <c r="DGG38" s="21"/>
      <c r="DGH38" s="21"/>
      <c r="DGI38" s="21"/>
      <c r="DGJ38" s="21"/>
      <c r="DGK38" s="21"/>
      <c r="DGL38" s="21"/>
      <c r="DGM38" s="21"/>
      <c r="DGN38" s="21"/>
      <c r="DGO38" s="21"/>
      <c r="DGP38" s="21"/>
      <c r="DGQ38" s="21"/>
      <c r="DGR38" s="21"/>
      <c r="DGS38" s="21"/>
      <c r="DGT38" s="21"/>
      <c r="DGU38" s="21"/>
      <c r="DGV38" s="21"/>
      <c r="DGW38" s="21"/>
      <c r="DGX38" s="21"/>
      <c r="DGY38" s="21"/>
      <c r="DGZ38" s="21"/>
      <c r="DHA38" s="21"/>
      <c r="DHB38" s="21"/>
      <c r="DHC38" s="21"/>
      <c r="DHD38" s="21"/>
      <c r="DHE38" s="21"/>
      <c r="DHF38" s="21"/>
      <c r="DHG38" s="21"/>
      <c r="DHH38" s="21"/>
      <c r="DHI38" s="21"/>
      <c r="DHJ38" s="21"/>
      <c r="DHK38" s="21"/>
      <c r="DHL38" s="21"/>
      <c r="DHM38" s="21"/>
      <c r="DHN38" s="21"/>
      <c r="DHO38" s="21"/>
      <c r="DHP38" s="21"/>
      <c r="DHQ38" s="21"/>
      <c r="DHR38" s="21"/>
      <c r="DHS38" s="21"/>
      <c r="DHT38" s="21"/>
      <c r="DHU38" s="21"/>
      <c r="DHV38" s="21"/>
      <c r="DHW38" s="21"/>
      <c r="DHX38" s="21"/>
      <c r="DHY38" s="21"/>
      <c r="DHZ38" s="21"/>
      <c r="DIA38" s="21"/>
      <c r="DIB38" s="21"/>
      <c r="DIC38" s="21"/>
      <c r="DID38" s="21"/>
      <c r="DIE38" s="21"/>
      <c r="DIF38" s="21"/>
      <c r="DIG38" s="21"/>
      <c r="DIH38" s="21"/>
      <c r="DII38" s="21"/>
      <c r="DIJ38" s="21"/>
      <c r="DIK38" s="21"/>
      <c r="DIL38" s="21"/>
      <c r="DIM38" s="21"/>
      <c r="DIN38" s="21"/>
      <c r="DIO38" s="21"/>
      <c r="DIP38" s="21"/>
      <c r="DIQ38" s="21"/>
      <c r="DIR38" s="21"/>
      <c r="DIS38" s="21"/>
      <c r="DIT38" s="21"/>
      <c r="DIU38" s="21"/>
      <c r="DIV38" s="21"/>
      <c r="DIW38" s="21"/>
      <c r="DIX38" s="21"/>
      <c r="DIY38" s="21"/>
      <c r="DIZ38" s="21"/>
      <c r="DJA38" s="21"/>
      <c r="DJB38" s="21"/>
      <c r="DJC38" s="21"/>
      <c r="DJD38" s="21"/>
      <c r="DJE38" s="21"/>
      <c r="DJF38" s="21"/>
      <c r="DJG38" s="21"/>
      <c r="DJH38" s="21"/>
      <c r="DJI38" s="21"/>
      <c r="DJJ38" s="21"/>
      <c r="DJK38" s="21"/>
      <c r="DJL38" s="21"/>
      <c r="DJM38" s="21"/>
      <c r="DJN38" s="21"/>
      <c r="DJO38" s="21"/>
      <c r="DJP38" s="21"/>
      <c r="DJQ38" s="21"/>
      <c r="DJR38" s="21"/>
      <c r="DJS38" s="21"/>
      <c r="DJT38" s="21"/>
      <c r="DJU38" s="21"/>
      <c r="DJV38" s="21"/>
      <c r="DJW38" s="21"/>
      <c r="DJX38" s="21"/>
      <c r="DJY38" s="21"/>
      <c r="DJZ38" s="21"/>
      <c r="DKA38" s="21"/>
      <c r="DKB38" s="21"/>
      <c r="DKC38" s="21"/>
      <c r="DKD38" s="21"/>
      <c r="DKE38" s="21"/>
      <c r="DKF38" s="21"/>
      <c r="DKG38" s="21"/>
      <c r="DKH38" s="21"/>
      <c r="DKI38" s="21"/>
      <c r="DKJ38" s="21"/>
      <c r="DKK38" s="21"/>
      <c r="DKL38" s="21"/>
      <c r="DKM38" s="21"/>
      <c r="DKN38" s="21"/>
      <c r="DKO38" s="21"/>
      <c r="DKP38" s="21"/>
      <c r="DKQ38" s="21"/>
      <c r="DKR38" s="21"/>
      <c r="DKS38" s="21"/>
      <c r="DKT38" s="21"/>
      <c r="DKU38" s="21"/>
      <c r="DKV38" s="21"/>
      <c r="DKW38" s="21"/>
      <c r="DKX38" s="21"/>
      <c r="DKY38" s="21"/>
      <c r="DKZ38" s="21"/>
      <c r="DLA38" s="21"/>
      <c r="DLB38" s="21"/>
      <c r="DLC38" s="21"/>
      <c r="DLD38" s="21"/>
      <c r="DLE38" s="21"/>
      <c r="DLF38" s="21"/>
      <c r="DLG38" s="21"/>
      <c r="DLH38" s="21"/>
      <c r="DLI38" s="21"/>
      <c r="DLJ38" s="21"/>
      <c r="DLK38" s="21"/>
      <c r="DLL38" s="21"/>
      <c r="DLM38" s="21"/>
      <c r="DLN38" s="21"/>
      <c r="DLO38" s="21"/>
      <c r="DLP38" s="21"/>
      <c r="DLQ38" s="21"/>
      <c r="DLR38" s="21"/>
      <c r="DLS38" s="21"/>
      <c r="DLT38" s="21"/>
      <c r="DLU38" s="21"/>
      <c r="DLV38" s="21"/>
      <c r="DLW38" s="21"/>
      <c r="DLX38" s="21"/>
      <c r="DLY38" s="21"/>
      <c r="DLZ38" s="21"/>
      <c r="DMA38" s="21"/>
      <c r="DMB38" s="21"/>
      <c r="DMC38" s="21"/>
      <c r="DMD38" s="21"/>
      <c r="DME38" s="21"/>
      <c r="DMF38" s="21"/>
      <c r="DMG38" s="21"/>
      <c r="DMH38" s="21"/>
      <c r="DMI38" s="21"/>
      <c r="DMJ38" s="21"/>
      <c r="DMK38" s="21"/>
      <c r="DML38" s="21"/>
      <c r="DMM38" s="21"/>
      <c r="DMN38" s="21"/>
      <c r="DMO38" s="21"/>
      <c r="DMP38" s="21"/>
      <c r="DMQ38" s="21"/>
      <c r="DMR38" s="21"/>
      <c r="DMS38" s="21"/>
      <c r="DMT38" s="21"/>
      <c r="DMU38" s="21"/>
      <c r="DMV38" s="21"/>
      <c r="DMW38" s="21"/>
      <c r="DMX38" s="21"/>
      <c r="DMY38" s="21"/>
      <c r="DMZ38" s="21"/>
      <c r="DNA38" s="21"/>
      <c r="DNB38" s="21"/>
      <c r="DNC38" s="21"/>
      <c r="DND38" s="21"/>
      <c r="DNE38" s="21"/>
      <c r="DNF38" s="21"/>
      <c r="DNG38" s="21"/>
      <c r="DNH38" s="21"/>
      <c r="DNI38" s="21"/>
      <c r="DNJ38" s="21"/>
      <c r="DNK38" s="21"/>
      <c r="DNL38" s="21"/>
      <c r="DNM38" s="21"/>
      <c r="DNN38" s="21"/>
      <c r="DNO38" s="21"/>
      <c r="DNP38" s="21"/>
      <c r="DNQ38" s="21"/>
      <c r="DNR38" s="21"/>
      <c r="DNS38" s="21"/>
      <c r="DNT38" s="21"/>
      <c r="DNU38" s="21"/>
      <c r="DNV38" s="21"/>
      <c r="DNW38" s="21"/>
      <c r="DNX38" s="21"/>
      <c r="DNY38" s="21"/>
      <c r="DNZ38" s="21"/>
      <c r="DOA38" s="21"/>
      <c r="DOB38" s="21"/>
      <c r="DOC38" s="21"/>
      <c r="DOD38" s="21"/>
      <c r="DOE38" s="21"/>
      <c r="DOF38" s="21"/>
      <c r="DOG38" s="21"/>
      <c r="DOH38" s="21"/>
      <c r="DOI38" s="21"/>
      <c r="DOJ38" s="21"/>
      <c r="DOK38" s="21"/>
      <c r="DOL38" s="21"/>
      <c r="DOM38" s="21"/>
      <c r="DON38" s="21"/>
      <c r="DOO38" s="21"/>
      <c r="DOP38" s="21"/>
      <c r="DOQ38" s="21"/>
      <c r="DOR38" s="21"/>
      <c r="DOS38" s="21"/>
      <c r="DOT38" s="21"/>
      <c r="DOU38" s="21"/>
      <c r="DOV38" s="21"/>
      <c r="DOW38" s="21"/>
      <c r="DOX38" s="21"/>
      <c r="DOY38" s="21"/>
      <c r="DOZ38" s="21"/>
      <c r="DPA38" s="21"/>
      <c r="DPB38" s="21"/>
      <c r="DPC38" s="21"/>
      <c r="DPD38" s="21"/>
      <c r="DPE38" s="21"/>
      <c r="DPF38" s="21"/>
      <c r="DPG38" s="21"/>
      <c r="DPH38" s="21"/>
      <c r="DPI38" s="21"/>
      <c r="DPJ38" s="21"/>
      <c r="DPK38" s="21"/>
      <c r="DPL38" s="21"/>
      <c r="DPM38" s="21"/>
      <c r="DPN38" s="21"/>
      <c r="DPO38" s="21"/>
      <c r="DPP38" s="21"/>
      <c r="DPQ38" s="21"/>
      <c r="DPR38" s="21"/>
      <c r="DPS38" s="21"/>
      <c r="DPT38" s="21"/>
      <c r="DPU38" s="21"/>
      <c r="DPV38" s="21"/>
      <c r="DPW38" s="21"/>
      <c r="DPX38" s="21"/>
      <c r="DPY38" s="21"/>
      <c r="DPZ38" s="21"/>
      <c r="DQA38" s="21"/>
      <c r="DQB38" s="21"/>
      <c r="DQC38" s="21"/>
      <c r="DQD38" s="21"/>
      <c r="DQE38" s="21"/>
      <c r="DQF38" s="21"/>
      <c r="DQG38" s="21"/>
      <c r="DQH38" s="21"/>
      <c r="DQI38" s="21"/>
      <c r="DQJ38" s="21"/>
      <c r="DQK38" s="21"/>
      <c r="DQL38" s="21"/>
      <c r="DQM38" s="21"/>
      <c r="DQN38" s="21"/>
      <c r="DQO38" s="21"/>
      <c r="DQP38" s="21"/>
      <c r="DQQ38" s="21"/>
      <c r="DQR38" s="21"/>
      <c r="DQS38" s="21"/>
      <c r="DQT38" s="21"/>
      <c r="DQU38" s="21"/>
      <c r="DQV38" s="21"/>
      <c r="DQW38" s="21"/>
      <c r="DQX38" s="21"/>
      <c r="DQY38" s="21"/>
      <c r="DQZ38" s="21"/>
      <c r="DRA38" s="21"/>
      <c r="DRB38" s="21"/>
      <c r="DRC38" s="21"/>
      <c r="DRD38" s="21"/>
      <c r="DRE38" s="21"/>
      <c r="DRF38" s="21"/>
      <c r="DRG38" s="21"/>
      <c r="DRH38" s="21"/>
      <c r="DRI38" s="21"/>
      <c r="DRJ38" s="21"/>
      <c r="DRK38" s="21"/>
      <c r="DRL38" s="21"/>
      <c r="DRM38" s="21"/>
      <c r="DRN38" s="21"/>
      <c r="DRO38" s="21"/>
      <c r="DRP38" s="21"/>
      <c r="DRQ38" s="21"/>
      <c r="DRR38" s="21"/>
      <c r="DRS38" s="21"/>
      <c r="DRT38" s="21"/>
      <c r="DRU38" s="21"/>
      <c r="DRV38" s="21"/>
      <c r="DRW38" s="21"/>
      <c r="DRX38" s="21"/>
      <c r="DRY38" s="21"/>
      <c r="DRZ38" s="21"/>
      <c r="DSA38" s="21"/>
      <c r="DSB38" s="21"/>
      <c r="DSC38" s="21"/>
      <c r="DSD38" s="21"/>
      <c r="DSE38" s="21"/>
      <c r="DSF38" s="21"/>
      <c r="DSG38" s="21"/>
      <c r="DSH38" s="21"/>
      <c r="DSI38" s="21"/>
      <c r="DSJ38" s="21"/>
      <c r="DSK38" s="21"/>
      <c r="DSL38" s="21"/>
      <c r="DSM38" s="21"/>
      <c r="DSN38" s="21"/>
      <c r="DSO38" s="21"/>
      <c r="DSP38" s="21"/>
      <c r="DSQ38" s="21"/>
      <c r="DSR38" s="21"/>
      <c r="DSS38" s="21"/>
      <c r="DST38" s="21"/>
      <c r="DSU38" s="21"/>
      <c r="DSV38" s="21"/>
      <c r="DSW38" s="21"/>
      <c r="DSX38" s="21"/>
      <c r="DSY38" s="21"/>
      <c r="DSZ38" s="21"/>
      <c r="DTA38" s="21"/>
      <c r="DTB38" s="21"/>
      <c r="DTC38" s="21"/>
      <c r="DTD38" s="21"/>
      <c r="DTE38" s="21"/>
      <c r="DTF38" s="21"/>
      <c r="DTG38" s="21"/>
      <c r="DTH38" s="21"/>
      <c r="DTI38" s="21"/>
      <c r="DTJ38" s="21"/>
      <c r="DTK38" s="21"/>
      <c r="DTL38" s="21"/>
      <c r="DTM38" s="21"/>
      <c r="DTN38" s="21"/>
      <c r="DTO38" s="21"/>
      <c r="DTP38" s="21"/>
      <c r="DTQ38" s="21"/>
      <c r="DTR38" s="21"/>
      <c r="DTS38" s="21"/>
      <c r="DTT38" s="21"/>
      <c r="DTU38" s="21"/>
      <c r="DTV38" s="21"/>
      <c r="DTW38" s="21"/>
      <c r="DTX38" s="21"/>
      <c r="DTY38" s="21"/>
      <c r="DTZ38" s="21"/>
      <c r="DUA38" s="21"/>
      <c r="DUB38" s="21"/>
      <c r="DUC38" s="21"/>
      <c r="DUD38" s="21"/>
      <c r="DUE38" s="21"/>
      <c r="DUF38" s="21"/>
      <c r="DUG38" s="21"/>
      <c r="DUH38" s="21"/>
      <c r="DUI38" s="21"/>
      <c r="DUJ38" s="21"/>
      <c r="DUK38" s="21"/>
      <c r="DUL38" s="21"/>
      <c r="DUM38" s="21"/>
      <c r="DUN38" s="21"/>
      <c r="DUO38" s="21"/>
      <c r="DUP38" s="21"/>
      <c r="DUQ38" s="21"/>
      <c r="DUR38" s="21"/>
      <c r="DUS38" s="21"/>
      <c r="DUT38" s="21"/>
      <c r="DUU38" s="21"/>
      <c r="DUV38" s="21"/>
      <c r="DUW38" s="21"/>
      <c r="DUX38" s="21"/>
      <c r="DUY38" s="21"/>
      <c r="DUZ38" s="21"/>
      <c r="DVA38" s="21"/>
      <c r="DVB38" s="21"/>
      <c r="DVC38" s="21"/>
      <c r="DVD38" s="21"/>
      <c r="DVE38" s="21"/>
      <c r="DVF38" s="21"/>
      <c r="DVG38" s="21"/>
      <c r="DVH38" s="21"/>
      <c r="DVI38" s="21"/>
      <c r="DVJ38" s="21"/>
      <c r="DVK38" s="21"/>
      <c r="DVL38" s="21"/>
      <c r="DVM38" s="21"/>
      <c r="DVN38" s="21"/>
      <c r="DVO38" s="21"/>
      <c r="DVP38" s="21"/>
      <c r="DVQ38" s="21"/>
      <c r="DVR38" s="21"/>
      <c r="DVS38" s="21"/>
      <c r="DVT38" s="21"/>
      <c r="DVU38" s="21"/>
      <c r="DVV38" s="21"/>
      <c r="DVW38" s="21"/>
      <c r="DVX38" s="21"/>
      <c r="DVY38" s="21"/>
      <c r="DVZ38" s="21"/>
      <c r="DWA38" s="21"/>
      <c r="DWB38" s="21"/>
      <c r="DWC38" s="21"/>
      <c r="DWD38" s="21"/>
      <c r="DWE38" s="21"/>
      <c r="DWF38" s="21"/>
      <c r="DWG38" s="21"/>
      <c r="DWH38" s="21"/>
      <c r="DWI38" s="21"/>
      <c r="DWJ38" s="21"/>
      <c r="DWK38" s="21"/>
      <c r="DWL38" s="21"/>
      <c r="DWM38" s="21"/>
      <c r="DWN38" s="21"/>
      <c r="DWO38" s="21"/>
      <c r="DWP38" s="21"/>
      <c r="DWQ38" s="21"/>
      <c r="DWR38" s="21"/>
      <c r="DWS38" s="21"/>
      <c r="DWT38" s="21"/>
      <c r="DWU38" s="21"/>
      <c r="DWV38" s="21"/>
      <c r="DWW38" s="21"/>
      <c r="DWX38" s="21"/>
      <c r="DWY38" s="21"/>
      <c r="DWZ38" s="21"/>
      <c r="DXA38" s="21"/>
      <c r="DXB38" s="21"/>
      <c r="DXC38" s="21"/>
      <c r="DXD38" s="21"/>
      <c r="DXE38" s="21"/>
      <c r="DXF38" s="21"/>
      <c r="DXG38" s="21"/>
      <c r="DXH38" s="21"/>
      <c r="DXI38" s="21"/>
      <c r="DXJ38" s="21"/>
      <c r="DXK38" s="21"/>
      <c r="DXL38" s="21"/>
      <c r="DXM38" s="21"/>
      <c r="DXN38" s="21"/>
      <c r="DXO38" s="21"/>
      <c r="DXP38" s="21"/>
      <c r="DXQ38" s="21"/>
      <c r="DXR38" s="21"/>
      <c r="DXS38" s="21"/>
      <c r="DXT38" s="21"/>
      <c r="DXU38" s="21"/>
      <c r="DXV38" s="21"/>
      <c r="DXW38" s="21"/>
      <c r="DXX38" s="21"/>
      <c r="DXY38" s="21"/>
      <c r="DXZ38" s="21"/>
      <c r="DYA38" s="21"/>
      <c r="DYB38" s="21"/>
      <c r="DYC38" s="21"/>
      <c r="DYD38" s="21"/>
      <c r="DYE38" s="21"/>
      <c r="DYF38" s="21"/>
      <c r="DYG38" s="21"/>
      <c r="DYH38" s="21"/>
      <c r="DYI38" s="21"/>
      <c r="DYJ38" s="21"/>
      <c r="DYK38" s="21"/>
      <c r="DYL38" s="21"/>
      <c r="DYM38" s="21"/>
      <c r="DYN38" s="21"/>
      <c r="DYO38" s="21"/>
      <c r="DYP38" s="21"/>
      <c r="DYQ38" s="21"/>
      <c r="DYR38" s="21"/>
      <c r="DYS38" s="21"/>
      <c r="DYT38" s="21"/>
      <c r="DYU38" s="21"/>
      <c r="DYV38" s="21"/>
      <c r="DYW38" s="21"/>
      <c r="DYX38" s="21"/>
      <c r="DYY38" s="21"/>
      <c r="DYZ38" s="21"/>
      <c r="DZA38" s="21"/>
      <c r="DZB38" s="21"/>
      <c r="DZC38" s="21"/>
      <c r="DZD38" s="21"/>
      <c r="DZE38" s="21"/>
      <c r="DZF38" s="21"/>
      <c r="DZG38" s="21"/>
      <c r="DZH38" s="21"/>
      <c r="DZI38" s="21"/>
      <c r="DZJ38" s="21"/>
      <c r="DZK38" s="21"/>
      <c r="DZL38" s="21"/>
      <c r="DZM38" s="21"/>
      <c r="DZN38" s="21"/>
      <c r="DZO38" s="21"/>
      <c r="DZP38" s="21"/>
      <c r="DZQ38" s="21"/>
      <c r="DZR38" s="21"/>
      <c r="DZS38" s="21"/>
      <c r="DZT38" s="21"/>
      <c r="DZU38" s="21"/>
      <c r="DZV38" s="21"/>
      <c r="DZW38" s="21"/>
      <c r="DZX38" s="21"/>
      <c r="DZY38" s="21"/>
      <c r="DZZ38" s="21"/>
      <c r="EAA38" s="21"/>
      <c r="EAB38" s="21"/>
      <c r="EAC38" s="21"/>
      <c r="EAD38" s="21"/>
      <c r="EAE38" s="21"/>
      <c r="EAF38" s="21"/>
      <c r="EAG38" s="21"/>
      <c r="EAH38" s="21"/>
      <c r="EAI38" s="21"/>
      <c r="EAJ38" s="21"/>
      <c r="EAK38" s="21"/>
      <c r="EAL38" s="21"/>
      <c r="EAM38" s="21"/>
      <c r="EAN38" s="21"/>
      <c r="EAO38" s="21"/>
      <c r="EAP38" s="21"/>
      <c r="EAQ38" s="21"/>
      <c r="EAR38" s="21"/>
      <c r="EAS38" s="21"/>
      <c r="EAT38" s="21"/>
      <c r="EAU38" s="21"/>
      <c r="EAV38" s="21"/>
      <c r="EAW38" s="21"/>
      <c r="EAX38" s="21"/>
      <c r="EAY38" s="21"/>
      <c r="EAZ38" s="21"/>
      <c r="EBA38" s="21"/>
      <c r="EBB38" s="21"/>
      <c r="EBC38" s="21"/>
      <c r="EBD38" s="21"/>
      <c r="EBE38" s="21"/>
      <c r="EBF38" s="21"/>
      <c r="EBG38" s="21"/>
      <c r="EBH38" s="21"/>
      <c r="EBI38" s="21"/>
      <c r="EBJ38" s="21"/>
      <c r="EBK38" s="21"/>
      <c r="EBL38" s="21"/>
      <c r="EBM38" s="21"/>
      <c r="EBN38" s="21"/>
      <c r="EBO38" s="21"/>
      <c r="EBP38" s="21"/>
      <c r="EBQ38" s="21"/>
      <c r="EBR38" s="21"/>
      <c r="EBS38" s="21"/>
      <c r="EBT38" s="21"/>
      <c r="EBU38" s="21"/>
      <c r="EBV38" s="21"/>
      <c r="EBW38" s="21"/>
      <c r="EBX38" s="21"/>
      <c r="EBY38" s="21"/>
      <c r="EBZ38" s="21"/>
      <c r="ECA38" s="21"/>
      <c r="ECB38" s="21"/>
      <c r="ECC38" s="21"/>
      <c r="ECD38" s="21"/>
      <c r="ECE38" s="21"/>
      <c r="ECF38" s="21"/>
      <c r="ECG38" s="21"/>
      <c r="ECH38" s="21"/>
      <c r="ECI38" s="21"/>
      <c r="ECJ38" s="21"/>
      <c r="ECK38" s="21"/>
      <c r="ECL38" s="21"/>
      <c r="ECM38" s="21"/>
      <c r="ECN38" s="21"/>
      <c r="ECO38" s="21"/>
      <c r="ECP38" s="21"/>
      <c r="ECQ38" s="21"/>
      <c r="ECR38" s="21"/>
      <c r="ECS38" s="21"/>
      <c r="ECT38" s="21"/>
      <c r="ECU38" s="21"/>
      <c r="ECV38" s="21"/>
      <c r="ECW38" s="21"/>
      <c r="ECX38" s="21"/>
      <c r="ECY38" s="21"/>
      <c r="ECZ38" s="21"/>
      <c r="EDA38" s="21"/>
      <c r="EDB38" s="21"/>
      <c r="EDC38" s="21"/>
      <c r="EDD38" s="21"/>
      <c r="EDE38" s="21"/>
      <c r="EDF38" s="21"/>
      <c r="EDG38" s="21"/>
      <c r="EDH38" s="21"/>
      <c r="EDI38" s="21"/>
      <c r="EDJ38" s="21"/>
      <c r="EDK38" s="21"/>
      <c r="EDL38" s="21"/>
      <c r="EDM38" s="21"/>
      <c r="EDN38" s="21"/>
      <c r="EDO38" s="21"/>
      <c r="EDP38" s="21"/>
      <c r="EDQ38" s="21"/>
      <c r="EDR38" s="21"/>
      <c r="EDS38" s="21"/>
      <c r="EDT38" s="21"/>
      <c r="EDU38" s="21"/>
      <c r="EDV38" s="21"/>
      <c r="EDW38" s="21"/>
      <c r="EDX38" s="21"/>
      <c r="EDY38" s="21"/>
      <c r="EDZ38" s="21"/>
      <c r="EEA38" s="21"/>
      <c r="EEB38" s="21"/>
      <c r="EEC38" s="21"/>
      <c r="EED38" s="21"/>
      <c r="EEE38" s="21"/>
      <c r="EEF38" s="21"/>
      <c r="EEG38" s="21"/>
      <c r="EEH38" s="21"/>
      <c r="EEI38" s="21"/>
      <c r="EEJ38" s="21"/>
      <c r="EEK38" s="21"/>
      <c r="EEL38" s="21"/>
      <c r="EEM38" s="21"/>
      <c r="EEN38" s="21"/>
      <c r="EEO38" s="21"/>
      <c r="EEP38" s="21"/>
      <c r="EEQ38" s="21"/>
      <c r="EER38" s="21"/>
      <c r="EES38" s="21"/>
      <c r="EET38" s="21"/>
      <c r="EEU38" s="21"/>
      <c r="EEV38" s="21"/>
      <c r="EEW38" s="21"/>
      <c r="EEX38" s="21"/>
      <c r="EEY38" s="21"/>
      <c r="EEZ38" s="21"/>
      <c r="EFA38" s="21"/>
      <c r="EFB38" s="21"/>
      <c r="EFC38" s="21"/>
      <c r="EFD38" s="21"/>
      <c r="EFE38" s="21"/>
      <c r="EFF38" s="21"/>
      <c r="EFG38" s="21"/>
      <c r="EFH38" s="21"/>
      <c r="EFI38" s="21"/>
      <c r="EFJ38" s="21"/>
      <c r="EFK38" s="21"/>
      <c r="EFL38" s="21"/>
      <c r="EFM38" s="21"/>
      <c r="EFN38" s="21"/>
      <c r="EFO38" s="21"/>
      <c r="EFP38" s="21"/>
      <c r="EFQ38" s="21"/>
      <c r="EFR38" s="21"/>
      <c r="EFS38" s="21"/>
      <c r="EFT38" s="21"/>
      <c r="EFU38" s="21"/>
      <c r="EFV38" s="21"/>
      <c r="EFW38" s="21"/>
      <c r="EFX38" s="21"/>
      <c r="EFY38" s="21"/>
      <c r="EFZ38" s="21"/>
      <c r="EGA38" s="21"/>
      <c r="EGB38" s="21"/>
      <c r="EGC38" s="21"/>
      <c r="EGD38" s="21"/>
      <c r="EGE38" s="21"/>
      <c r="EGF38" s="21"/>
      <c r="EGG38" s="21"/>
      <c r="EGH38" s="21"/>
      <c r="EGI38" s="21"/>
      <c r="EGJ38" s="21"/>
      <c r="EGK38" s="21"/>
      <c r="EGL38" s="21"/>
      <c r="EGM38" s="21"/>
      <c r="EGN38" s="21"/>
      <c r="EGO38" s="21"/>
      <c r="EGP38" s="21"/>
      <c r="EGQ38" s="21"/>
      <c r="EGR38" s="21"/>
      <c r="EGS38" s="21"/>
      <c r="EGT38" s="21"/>
      <c r="EGU38" s="21"/>
      <c r="EGV38" s="21"/>
      <c r="EGW38" s="21"/>
      <c r="EGX38" s="21"/>
      <c r="EGY38" s="21"/>
      <c r="EGZ38" s="21"/>
      <c r="EHA38" s="21"/>
      <c r="EHB38" s="21"/>
      <c r="EHC38" s="21"/>
      <c r="EHD38" s="21"/>
      <c r="EHE38" s="21"/>
      <c r="EHF38" s="21"/>
      <c r="EHG38" s="21"/>
      <c r="EHH38" s="21"/>
      <c r="EHI38" s="21"/>
      <c r="EHJ38" s="21"/>
      <c r="EHK38" s="21"/>
      <c r="EHL38" s="21"/>
      <c r="EHM38" s="21"/>
      <c r="EHN38" s="21"/>
      <c r="EHO38" s="21"/>
      <c r="EHP38" s="21"/>
      <c r="EHQ38" s="21"/>
      <c r="EHR38" s="21"/>
      <c r="EHS38" s="21"/>
      <c r="EHT38" s="21"/>
      <c r="EHU38" s="21"/>
      <c r="EHV38" s="21"/>
      <c r="EHW38" s="21"/>
      <c r="EHX38" s="21"/>
      <c r="EHY38" s="21"/>
      <c r="EHZ38" s="21"/>
      <c r="EIA38" s="21"/>
      <c r="EIB38" s="21"/>
      <c r="EIC38" s="21"/>
      <c r="EID38" s="21"/>
      <c r="EIE38" s="21"/>
      <c r="EIF38" s="21"/>
      <c r="EIG38" s="21"/>
      <c r="EIH38" s="21"/>
      <c r="EII38" s="21"/>
      <c r="EIJ38" s="21"/>
      <c r="EIK38" s="21"/>
      <c r="EIL38" s="21"/>
      <c r="EIM38" s="21"/>
      <c r="EIN38" s="21"/>
      <c r="EIO38" s="21"/>
      <c r="EIP38" s="21"/>
      <c r="EIQ38" s="21"/>
      <c r="EIR38" s="21"/>
      <c r="EIS38" s="21"/>
      <c r="EIT38" s="21"/>
      <c r="EIU38" s="21"/>
      <c r="EIV38" s="21"/>
      <c r="EIW38" s="21"/>
      <c r="EIX38" s="21"/>
      <c r="EIY38" s="21"/>
      <c r="EIZ38" s="21"/>
      <c r="EJA38" s="21"/>
      <c r="EJB38" s="21"/>
      <c r="EJC38" s="21"/>
      <c r="EJD38" s="21"/>
      <c r="EJE38" s="21"/>
      <c r="EJF38" s="21"/>
      <c r="EJG38" s="21"/>
      <c r="EJH38" s="21"/>
      <c r="EJI38" s="21"/>
      <c r="EJJ38" s="21"/>
      <c r="EJK38" s="21"/>
      <c r="EJL38" s="21"/>
      <c r="EJM38" s="21"/>
      <c r="EJN38" s="21"/>
      <c r="EJO38" s="21"/>
      <c r="EJP38" s="21"/>
      <c r="EJQ38" s="21"/>
      <c r="EJR38" s="21"/>
      <c r="EJS38" s="21"/>
      <c r="EJT38" s="21"/>
      <c r="EJU38" s="21"/>
      <c r="EJV38" s="21"/>
      <c r="EJW38" s="21"/>
      <c r="EJX38" s="21"/>
      <c r="EJY38" s="21"/>
      <c r="EJZ38" s="21"/>
      <c r="EKA38" s="21"/>
      <c r="EKB38" s="21"/>
      <c r="EKC38" s="21"/>
      <c r="EKD38" s="21"/>
      <c r="EKE38" s="21"/>
      <c r="EKF38" s="21"/>
      <c r="EKG38" s="21"/>
      <c r="EKH38" s="21"/>
      <c r="EKI38" s="21"/>
      <c r="EKJ38" s="21"/>
      <c r="EKK38" s="21"/>
      <c r="EKL38" s="21"/>
      <c r="EKM38" s="21"/>
      <c r="EKN38" s="21"/>
      <c r="EKO38" s="21"/>
      <c r="EKP38" s="21"/>
      <c r="EKQ38" s="21"/>
      <c r="EKR38" s="21"/>
      <c r="EKS38" s="21"/>
      <c r="EKT38" s="21"/>
      <c r="EKU38" s="21"/>
      <c r="EKV38" s="21"/>
      <c r="EKW38" s="21"/>
      <c r="EKX38" s="21"/>
      <c r="EKY38" s="21"/>
      <c r="EKZ38" s="21"/>
      <c r="ELA38" s="21"/>
      <c r="ELB38" s="21"/>
      <c r="ELC38" s="21"/>
      <c r="ELD38" s="21"/>
      <c r="ELE38" s="21"/>
      <c r="ELF38" s="21"/>
      <c r="ELG38" s="21"/>
      <c r="ELH38" s="21"/>
      <c r="ELI38" s="21"/>
      <c r="ELJ38" s="21"/>
      <c r="ELK38" s="21"/>
      <c r="ELL38" s="21"/>
      <c r="ELM38" s="21"/>
      <c r="ELN38" s="21"/>
      <c r="ELO38" s="21"/>
      <c r="ELP38" s="21"/>
      <c r="ELQ38" s="21"/>
      <c r="ELR38" s="21"/>
      <c r="ELS38" s="21"/>
      <c r="ELT38" s="21"/>
      <c r="ELU38" s="21"/>
      <c r="ELV38" s="21"/>
      <c r="ELW38" s="21"/>
      <c r="ELX38" s="21"/>
      <c r="ELY38" s="21"/>
      <c r="ELZ38" s="21"/>
      <c r="EMA38" s="21"/>
      <c r="EMB38" s="21"/>
      <c r="EMC38" s="21"/>
      <c r="EMD38" s="21"/>
      <c r="EME38" s="21"/>
      <c r="EMF38" s="21"/>
      <c r="EMG38" s="21"/>
      <c r="EMH38" s="21"/>
      <c r="EMI38" s="21"/>
      <c r="EMJ38" s="21"/>
      <c r="EMK38" s="21"/>
      <c r="EML38" s="21"/>
      <c r="EMM38" s="21"/>
      <c r="EMN38" s="21"/>
      <c r="EMO38" s="21"/>
      <c r="EMP38" s="21"/>
      <c r="EMQ38" s="21"/>
      <c r="EMR38" s="21"/>
      <c r="EMS38" s="21"/>
      <c r="EMT38" s="21"/>
      <c r="EMU38" s="21"/>
      <c r="EMV38" s="21"/>
      <c r="EMW38" s="21"/>
      <c r="EMX38" s="21"/>
      <c r="EMY38" s="21"/>
      <c r="EMZ38" s="21"/>
      <c r="ENA38" s="21"/>
      <c r="ENB38" s="21"/>
      <c r="ENC38" s="21"/>
      <c r="END38" s="21"/>
      <c r="ENE38" s="21"/>
      <c r="ENF38" s="21"/>
      <c r="ENG38" s="21"/>
      <c r="ENH38" s="21"/>
      <c r="ENI38" s="21"/>
      <c r="ENJ38" s="21"/>
      <c r="ENK38" s="21"/>
      <c r="ENL38" s="21"/>
      <c r="ENM38" s="21"/>
      <c r="ENN38" s="21"/>
      <c r="ENO38" s="21"/>
      <c r="ENP38" s="21"/>
      <c r="ENQ38" s="21"/>
      <c r="ENR38" s="21"/>
      <c r="ENS38" s="21"/>
      <c r="ENT38" s="21"/>
      <c r="ENU38" s="21"/>
      <c r="ENV38" s="21"/>
      <c r="ENW38" s="21"/>
      <c r="ENX38" s="21"/>
      <c r="ENY38" s="21"/>
      <c r="ENZ38" s="21"/>
      <c r="EOA38" s="21"/>
      <c r="EOB38" s="21"/>
      <c r="EOC38" s="21"/>
      <c r="EOD38" s="21"/>
      <c r="EOE38" s="21"/>
      <c r="EOF38" s="21"/>
      <c r="EOG38" s="21"/>
      <c r="EOH38" s="21"/>
      <c r="EOI38" s="21"/>
      <c r="EOJ38" s="21"/>
      <c r="EOK38" s="21"/>
      <c r="EOL38" s="21"/>
      <c r="EOM38" s="21"/>
      <c r="EON38" s="21"/>
      <c r="EOO38" s="21"/>
      <c r="EOP38" s="21"/>
      <c r="EOQ38" s="21"/>
      <c r="EOR38" s="21"/>
      <c r="EOS38" s="21"/>
      <c r="EOT38" s="21"/>
      <c r="EOU38" s="21"/>
      <c r="EOV38" s="21"/>
      <c r="EOW38" s="21"/>
      <c r="EOX38" s="21"/>
      <c r="EOY38" s="21"/>
      <c r="EOZ38" s="21"/>
      <c r="EPA38" s="21"/>
      <c r="EPB38" s="21"/>
      <c r="EPC38" s="21"/>
      <c r="EPD38" s="21"/>
      <c r="EPE38" s="21"/>
      <c r="EPF38" s="21"/>
      <c r="EPG38" s="21"/>
      <c r="EPH38" s="21"/>
      <c r="EPI38" s="21"/>
      <c r="EPJ38" s="21"/>
      <c r="EPK38" s="21"/>
      <c r="EPL38" s="21"/>
      <c r="EPM38" s="21"/>
      <c r="EPN38" s="21"/>
      <c r="EPO38" s="21"/>
      <c r="EPP38" s="21"/>
      <c r="EPQ38" s="21"/>
      <c r="EPR38" s="21"/>
      <c r="EPS38" s="21"/>
      <c r="EPT38" s="21"/>
      <c r="EPU38" s="21"/>
      <c r="EPV38" s="21"/>
      <c r="EPW38" s="21"/>
      <c r="EPX38" s="21"/>
      <c r="EPY38" s="21"/>
      <c r="EPZ38" s="21"/>
      <c r="EQA38" s="21"/>
      <c r="EQB38" s="21"/>
      <c r="EQC38" s="21"/>
      <c r="EQD38" s="21"/>
      <c r="EQE38" s="21"/>
      <c r="EQF38" s="21"/>
      <c r="EQG38" s="21"/>
      <c r="EQH38" s="21"/>
      <c r="EQI38" s="21"/>
      <c r="EQJ38" s="21"/>
      <c r="EQK38" s="21"/>
      <c r="EQL38" s="21"/>
      <c r="EQM38" s="21"/>
      <c r="EQN38" s="21"/>
      <c r="EQO38" s="21"/>
      <c r="EQP38" s="21"/>
      <c r="EQQ38" s="21"/>
      <c r="EQR38" s="21"/>
      <c r="EQS38" s="21"/>
      <c r="EQT38" s="21"/>
      <c r="EQU38" s="21"/>
      <c r="EQV38" s="21"/>
      <c r="EQW38" s="21"/>
      <c r="EQX38" s="21"/>
      <c r="EQY38" s="21"/>
      <c r="EQZ38" s="21"/>
      <c r="ERA38" s="21"/>
      <c r="ERB38" s="21"/>
      <c r="ERC38" s="21"/>
      <c r="ERD38" s="21"/>
      <c r="ERE38" s="21"/>
      <c r="ERF38" s="21"/>
      <c r="ERG38" s="21"/>
      <c r="ERH38" s="21"/>
      <c r="ERI38" s="21"/>
      <c r="ERJ38" s="21"/>
      <c r="ERK38" s="21"/>
      <c r="ERL38" s="21"/>
      <c r="ERM38" s="21"/>
      <c r="ERN38" s="21"/>
      <c r="ERO38" s="21"/>
      <c r="ERP38" s="21"/>
      <c r="ERQ38" s="21"/>
      <c r="ERR38" s="21"/>
      <c r="ERS38" s="21"/>
      <c r="ERT38" s="21"/>
      <c r="ERU38" s="21"/>
      <c r="ERV38" s="21"/>
      <c r="ERW38" s="21"/>
      <c r="ERX38" s="21"/>
      <c r="ERY38" s="21"/>
      <c r="ERZ38" s="21"/>
      <c r="ESA38" s="21"/>
      <c r="ESB38" s="21"/>
      <c r="ESC38" s="21"/>
      <c r="ESD38" s="21"/>
      <c r="ESE38" s="21"/>
      <c r="ESF38" s="21"/>
      <c r="ESG38" s="21"/>
      <c r="ESH38" s="21"/>
      <c r="ESI38" s="21"/>
      <c r="ESJ38" s="21"/>
      <c r="ESK38" s="21"/>
      <c r="ESL38" s="21"/>
      <c r="ESM38" s="21"/>
      <c r="ESN38" s="21"/>
      <c r="ESO38" s="21"/>
      <c r="ESP38" s="21"/>
      <c r="ESQ38" s="21"/>
      <c r="ESR38" s="21"/>
      <c r="ESS38" s="21"/>
      <c r="EST38" s="21"/>
      <c r="ESU38" s="21"/>
      <c r="ESV38" s="21"/>
      <c r="ESW38" s="21"/>
      <c r="ESX38" s="21"/>
      <c r="ESY38" s="21"/>
      <c r="ESZ38" s="21"/>
      <c r="ETA38" s="21"/>
      <c r="ETB38" s="21"/>
      <c r="ETC38" s="21"/>
      <c r="ETD38" s="21"/>
      <c r="ETE38" s="21"/>
      <c r="ETF38" s="21"/>
      <c r="ETG38" s="21"/>
      <c r="ETH38" s="21"/>
      <c r="ETI38" s="21"/>
      <c r="ETJ38" s="21"/>
      <c r="ETK38" s="21"/>
      <c r="ETL38" s="21"/>
      <c r="ETM38" s="21"/>
      <c r="ETN38" s="21"/>
      <c r="ETO38" s="21"/>
      <c r="ETP38" s="21"/>
      <c r="ETQ38" s="21"/>
      <c r="ETR38" s="21"/>
      <c r="ETS38" s="21"/>
      <c r="ETT38" s="21"/>
      <c r="ETU38" s="21"/>
      <c r="ETV38" s="21"/>
      <c r="ETW38" s="21"/>
      <c r="ETX38" s="21"/>
      <c r="ETY38" s="21"/>
      <c r="ETZ38" s="21"/>
      <c r="EUA38" s="21"/>
      <c r="EUB38" s="21"/>
      <c r="EUC38" s="21"/>
      <c r="EUD38" s="21"/>
      <c r="EUE38" s="21"/>
      <c r="EUF38" s="21"/>
      <c r="EUG38" s="21"/>
      <c r="EUH38" s="21"/>
      <c r="EUI38" s="21"/>
      <c r="EUJ38" s="21"/>
      <c r="EUK38" s="21"/>
      <c r="EUL38" s="21"/>
      <c r="EUM38" s="21"/>
      <c r="EUN38" s="21"/>
      <c r="EUO38" s="21"/>
      <c r="EUP38" s="21"/>
      <c r="EUQ38" s="21"/>
      <c r="EUR38" s="21"/>
      <c r="EUS38" s="21"/>
      <c r="EUT38" s="21"/>
      <c r="EUU38" s="21"/>
      <c r="EUV38" s="21"/>
      <c r="EUW38" s="21"/>
      <c r="EUX38" s="21"/>
      <c r="EUY38" s="21"/>
      <c r="EUZ38" s="21"/>
      <c r="EVA38" s="21"/>
      <c r="EVB38" s="21"/>
      <c r="EVC38" s="21"/>
      <c r="EVD38" s="21"/>
      <c r="EVE38" s="21"/>
      <c r="EVF38" s="21"/>
      <c r="EVG38" s="21"/>
      <c r="EVH38" s="21"/>
      <c r="EVI38" s="21"/>
      <c r="EVJ38" s="21"/>
      <c r="EVK38" s="21"/>
      <c r="EVL38" s="21"/>
      <c r="EVM38" s="21"/>
      <c r="EVN38" s="21"/>
      <c r="EVO38" s="21"/>
      <c r="EVP38" s="21"/>
      <c r="EVQ38" s="21"/>
      <c r="EVR38" s="21"/>
      <c r="EVS38" s="21"/>
      <c r="EVT38" s="21"/>
      <c r="EVU38" s="21"/>
      <c r="EVV38" s="21"/>
      <c r="EVW38" s="21"/>
      <c r="EVX38" s="21"/>
      <c r="EVY38" s="21"/>
      <c r="EVZ38" s="21"/>
      <c r="EWA38" s="21"/>
      <c r="EWB38" s="21"/>
      <c r="EWC38" s="21"/>
      <c r="EWD38" s="21"/>
      <c r="EWE38" s="21"/>
      <c r="EWF38" s="21"/>
      <c r="EWG38" s="21"/>
      <c r="EWH38" s="21"/>
      <c r="EWI38" s="21"/>
      <c r="EWJ38" s="21"/>
      <c r="EWK38" s="21"/>
      <c r="EWL38" s="21"/>
      <c r="EWM38" s="21"/>
      <c r="EWN38" s="21"/>
      <c r="EWO38" s="21"/>
      <c r="EWP38" s="21"/>
      <c r="EWQ38" s="21"/>
      <c r="EWR38" s="21"/>
      <c r="EWS38" s="21"/>
      <c r="EWT38" s="21"/>
      <c r="EWU38" s="21"/>
      <c r="EWV38" s="21"/>
      <c r="EWW38" s="21"/>
      <c r="EWX38" s="21"/>
      <c r="EWY38" s="21"/>
      <c r="EWZ38" s="21"/>
      <c r="EXA38" s="21"/>
      <c r="EXB38" s="21"/>
      <c r="EXC38" s="21"/>
      <c r="EXD38" s="21"/>
      <c r="EXE38" s="21"/>
      <c r="EXF38" s="21"/>
      <c r="EXG38" s="21"/>
      <c r="EXH38" s="21"/>
      <c r="EXI38" s="21"/>
      <c r="EXJ38" s="21"/>
      <c r="EXK38" s="21"/>
      <c r="EXL38" s="21"/>
      <c r="EXM38" s="21"/>
      <c r="EXN38" s="21"/>
      <c r="EXO38" s="21"/>
      <c r="EXP38" s="21"/>
      <c r="EXQ38" s="21"/>
      <c r="EXR38" s="21"/>
      <c r="EXS38" s="21"/>
      <c r="EXT38" s="21"/>
      <c r="EXU38" s="21"/>
      <c r="EXV38" s="21"/>
      <c r="EXW38" s="21"/>
      <c r="EXX38" s="21"/>
      <c r="EXY38" s="21"/>
      <c r="EXZ38" s="21"/>
      <c r="EYA38" s="21"/>
      <c r="EYB38" s="21"/>
      <c r="EYC38" s="21"/>
      <c r="EYD38" s="21"/>
      <c r="EYE38" s="21"/>
      <c r="EYF38" s="21"/>
      <c r="EYG38" s="21"/>
      <c r="EYH38" s="21"/>
      <c r="EYI38" s="21"/>
      <c r="EYJ38" s="21"/>
      <c r="EYK38" s="21"/>
      <c r="EYL38" s="21"/>
      <c r="EYM38" s="21"/>
      <c r="EYN38" s="21"/>
      <c r="EYO38" s="21"/>
      <c r="EYP38" s="21"/>
      <c r="EYQ38" s="21"/>
      <c r="EYR38" s="21"/>
      <c r="EYS38" s="21"/>
      <c r="EYT38" s="21"/>
      <c r="EYU38" s="21"/>
      <c r="EYV38" s="21"/>
      <c r="EYW38" s="21"/>
      <c r="EYX38" s="21"/>
      <c r="EYY38" s="21"/>
      <c r="EYZ38" s="21"/>
      <c r="EZA38" s="21"/>
      <c r="EZB38" s="21"/>
      <c r="EZC38" s="21"/>
      <c r="EZD38" s="21"/>
      <c r="EZE38" s="21"/>
      <c r="EZF38" s="21"/>
      <c r="EZG38" s="21"/>
      <c r="EZH38" s="21"/>
      <c r="EZI38" s="21"/>
      <c r="EZJ38" s="21"/>
      <c r="EZK38" s="21"/>
      <c r="EZL38" s="21"/>
      <c r="EZM38" s="21"/>
      <c r="EZN38" s="21"/>
      <c r="EZO38" s="21"/>
      <c r="EZP38" s="21"/>
      <c r="EZQ38" s="21"/>
      <c r="EZR38" s="21"/>
      <c r="EZS38" s="21"/>
      <c r="EZT38" s="21"/>
      <c r="EZU38" s="21"/>
      <c r="EZV38" s="21"/>
      <c r="EZW38" s="21"/>
      <c r="EZX38" s="21"/>
      <c r="EZY38" s="21"/>
      <c r="EZZ38" s="21"/>
      <c r="FAA38" s="21"/>
      <c r="FAB38" s="21"/>
      <c r="FAC38" s="21"/>
      <c r="FAD38" s="21"/>
      <c r="FAE38" s="21"/>
      <c r="FAF38" s="21"/>
      <c r="FAG38" s="21"/>
      <c r="FAH38" s="21"/>
      <c r="FAI38" s="21"/>
      <c r="FAJ38" s="21"/>
      <c r="FAK38" s="21"/>
      <c r="FAL38" s="21"/>
      <c r="FAM38" s="21"/>
      <c r="FAN38" s="21"/>
      <c r="FAO38" s="21"/>
      <c r="FAP38" s="21"/>
      <c r="FAQ38" s="21"/>
      <c r="FAR38" s="21"/>
      <c r="FAS38" s="21"/>
      <c r="FAT38" s="21"/>
      <c r="FAU38" s="21"/>
      <c r="FAV38" s="21"/>
      <c r="FAW38" s="21"/>
      <c r="FAX38" s="21"/>
      <c r="FAY38" s="21"/>
      <c r="FAZ38" s="21"/>
      <c r="FBA38" s="21"/>
      <c r="FBB38" s="21"/>
      <c r="FBC38" s="21"/>
      <c r="FBD38" s="21"/>
      <c r="FBE38" s="21"/>
      <c r="FBF38" s="21"/>
      <c r="FBG38" s="21"/>
      <c r="FBH38" s="21"/>
      <c r="FBI38" s="21"/>
      <c r="FBJ38" s="21"/>
      <c r="FBK38" s="21"/>
      <c r="FBL38" s="21"/>
      <c r="FBM38" s="21"/>
      <c r="FBN38" s="21"/>
      <c r="FBO38" s="21"/>
      <c r="FBP38" s="21"/>
      <c r="FBQ38" s="21"/>
      <c r="FBR38" s="21"/>
      <c r="FBS38" s="21"/>
      <c r="FBT38" s="21"/>
      <c r="FBU38" s="21"/>
      <c r="FBV38" s="21"/>
      <c r="FBW38" s="21"/>
      <c r="FBX38" s="21"/>
      <c r="FBY38" s="21"/>
      <c r="FBZ38" s="21"/>
      <c r="FCA38" s="21"/>
      <c r="FCB38" s="21"/>
      <c r="FCC38" s="21"/>
      <c r="FCD38" s="21"/>
      <c r="FCE38" s="21"/>
      <c r="FCF38" s="21"/>
      <c r="FCG38" s="21"/>
      <c r="FCH38" s="21"/>
      <c r="FCI38" s="21"/>
      <c r="FCJ38" s="21"/>
      <c r="FCK38" s="21"/>
      <c r="FCL38" s="21"/>
      <c r="FCM38" s="21"/>
      <c r="FCN38" s="21"/>
      <c r="FCO38" s="21"/>
      <c r="FCP38" s="21"/>
      <c r="FCQ38" s="21"/>
      <c r="FCR38" s="21"/>
      <c r="FCS38" s="21"/>
      <c r="FCT38" s="21"/>
      <c r="FCU38" s="21"/>
      <c r="FCV38" s="21"/>
      <c r="FCW38" s="21"/>
      <c r="FCX38" s="21"/>
      <c r="FCY38" s="21"/>
      <c r="FCZ38" s="21"/>
      <c r="FDA38" s="21"/>
      <c r="FDB38" s="21"/>
      <c r="FDC38" s="21"/>
      <c r="FDD38" s="21"/>
      <c r="FDE38" s="21"/>
      <c r="FDF38" s="21"/>
      <c r="FDG38" s="21"/>
      <c r="FDH38" s="21"/>
      <c r="FDI38" s="21"/>
      <c r="FDJ38" s="21"/>
      <c r="FDK38" s="21"/>
      <c r="FDL38" s="21"/>
      <c r="FDM38" s="21"/>
      <c r="FDN38" s="21"/>
      <c r="FDO38" s="21"/>
      <c r="FDP38" s="21"/>
      <c r="FDQ38" s="21"/>
      <c r="FDR38" s="21"/>
      <c r="FDS38" s="21"/>
      <c r="FDT38" s="21"/>
      <c r="FDU38" s="21"/>
      <c r="FDV38" s="21"/>
      <c r="FDW38" s="21"/>
      <c r="FDX38" s="21"/>
      <c r="FDY38" s="21"/>
      <c r="FDZ38" s="21"/>
      <c r="FEA38" s="21"/>
      <c r="FEB38" s="21"/>
      <c r="FEC38" s="21"/>
      <c r="FED38" s="21"/>
      <c r="FEE38" s="21"/>
      <c r="FEF38" s="21"/>
      <c r="FEG38" s="21"/>
      <c r="FEH38" s="21"/>
      <c r="FEI38" s="21"/>
      <c r="FEJ38" s="21"/>
      <c r="FEK38" s="21"/>
      <c r="FEL38" s="21"/>
      <c r="FEM38" s="21"/>
      <c r="FEN38" s="21"/>
      <c r="FEO38" s="21"/>
      <c r="FEP38" s="21"/>
      <c r="FEQ38" s="21"/>
      <c r="FER38" s="21"/>
      <c r="FES38" s="21"/>
      <c r="FET38" s="21"/>
      <c r="FEU38" s="21"/>
      <c r="FEV38" s="21"/>
      <c r="FEW38" s="21"/>
      <c r="FEX38" s="21"/>
      <c r="FEY38" s="21"/>
      <c r="FEZ38" s="21"/>
      <c r="FFA38" s="21"/>
      <c r="FFB38" s="21"/>
      <c r="FFC38" s="21"/>
      <c r="FFD38" s="21"/>
      <c r="FFE38" s="21"/>
      <c r="FFF38" s="21"/>
      <c r="FFG38" s="21"/>
      <c r="FFH38" s="21"/>
      <c r="FFI38" s="21"/>
      <c r="FFJ38" s="21"/>
      <c r="FFK38" s="21"/>
      <c r="FFL38" s="21"/>
      <c r="FFM38" s="21"/>
      <c r="FFN38" s="21"/>
      <c r="FFO38" s="21"/>
      <c r="FFP38" s="21"/>
      <c r="FFQ38" s="21"/>
      <c r="FFR38" s="21"/>
      <c r="FFS38" s="21"/>
      <c r="FFT38" s="21"/>
      <c r="FFU38" s="21"/>
      <c r="FFV38" s="21"/>
      <c r="FFW38" s="21"/>
      <c r="FFX38" s="21"/>
      <c r="FFY38" s="21"/>
      <c r="FFZ38" s="21"/>
      <c r="FGA38" s="21"/>
      <c r="FGB38" s="21"/>
      <c r="FGC38" s="21"/>
      <c r="FGD38" s="21"/>
      <c r="FGE38" s="21"/>
      <c r="FGF38" s="21"/>
      <c r="FGG38" s="21"/>
      <c r="FGH38" s="21"/>
      <c r="FGI38" s="21"/>
      <c r="FGJ38" s="21"/>
      <c r="FGK38" s="21"/>
      <c r="FGL38" s="21"/>
      <c r="FGM38" s="21"/>
      <c r="FGN38" s="21"/>
      <c r="FGO38" s="21"/>
      <c r="FGP38" s="21"/>
      <c r="FGQ38" s="21"/>
      <c r="FGR38" s="21"/>
      <c r="FGS38" s="21"/>
      <c r="FGT38" s="21"/>
      <c r="FGU38" s="21"/>
      <c r="FGV38" s="21"/>
      <c r="FGW38" s="21"/>
      <c r="FGX38" s="21"/>
      <c r="FGY38" s="21"/>
      <c r="FGZ38" s="21"/>
      <c r="FHA38" s="21"/>
      <c r="FHB38" s="21"/>
      <c r="FHC38" s="21"/>
      <c r="FHD38" s="21"/>
      <c r="FHE38" s="21"/>
      <c r="FHF38" s="21"/>
      <c r="FHG38" s="21"/>
      <c r="FHH38" s="21"/>
      <c r="FHI38" s="21"/>
      <c r="FHJ38" s="21"/>
      <c r="FHK38" s="21"/>
      <c r="FHL38" s="21"/>
      <c r="FHM38" s="21"/>
      <c r="FHN38" s="21"/>
      <c r="FHO38" s="21"/>
      <c r="FHP38" s="21"/>
      <c r="FHQ38" s="21"/>
      <c r="FHR38" s="21"/>
      <c r="FHS38" s="21"/>
      <c r="FHT38" s="21"/>
      <c r="FHU38" s="21"/>
      <c r="FHV38" s="21"/>
      <c r="FHW38" s="21"/>
      <c r="FHX38" s="21"/>
      <c r="FHY38" s="21"/>
      <c r="FHZ38" s="21"/>
      <c r="FIA38" s="21"/>
      <c r="FIB38" s="21"/>
      <c r="FIC38" s="21"/>
      <c r="FID38" s="21"/>
      <c r="FIE38" s="21"/>
      <c r="FIF38" s="21"/>
      <c r="FIG38" s="21"/>
      <c r="FIH38" s="21"/>
      <c r="FII38" s="21"/>
      <c r="FIJ38" s="21"/>
      <c r="FIK38" s="21"/>
      <c r="FIL38" s="21"/>
      <c r="FIM38" s="21"/>
      <c r="FIN38" s="21"/>
      <c r="FIO38" s="21"/>
      <c r="FIP38" s="21"/>
      <c r="FIQ38" s="21"/>
      <c r="FIR38" s="21"/>
      <c r="FIS38" s="21"/>
      <c r="FIT38" s="21"/>
      <c r="FIU38" s="21"/>
      <c r="FIV38" s="21"/>
      <c r="FIW38" s="21"/>
      <c r="FIX38" s="21"/>
      <c r="FIY38" s="21"/>
      <c r="FIZ38" s="21"/>
      <c r="FJA38" s="21"/>
      <c r="FJB38" s="21"/>
      <c r="FJC38" s="21"/>
      <c r="FJD38" s="21"/>
      <c r="FJE38" s="21"/>
      <c r="FJF38" s="21"/>
      <c r="FJG38" s="21"/>
      <c r="FJH38" s="21"/>
      <c r="FJI38" s="21"/>
      <c r="FJJ38" s="21"/>
      <c r="FJK38" s="21"/>
      <c r="FJL38" s="21"/>
      <c r="FJM38" s="21"/>
      <c r="FJN38" s="21"/>
      <c r="FJO38" s="21"/>
      <c r="FJP38" s="21"/>
      <c r="FJQ38" s="21"/>
      <c r="FJR38" s="21"/>
      <c r="FJS38" s="21"/>
      <c r="FJT38" s="21"/>
      <c r="FJU38" s="21"/>
      <c r="FJV38" s="21"/>
      <c r="FJW38" s="21"/>
      <c r="FJX38" s="21"/>
      <c r="FJY38" s="21"/>
      <c r="FJZ38" s="21"/>
      <c r="FKA38" s="21"/>
      <c r="FKB38" s="21"/>
      <c r="FKC38" s="21"/>
      <c r="FKD38" s="21"/>
      <c r="FKE38" s="21"/>
      <c r="FKF38" s="21"/>
      <c r="FKG38" s="21"/>
      <c r="FKH38" s="21"/>
      <c r="FKI38" s="21"/>
      <c r="FKJ38" s="21"/>
      <c r="FKK38" s="21"/>
      <c r="FKL38" s="21"/>
      <c r="FKM38" s="21"/>
      <c r="FKN38" s="21"/>
      <c r="FKO38" s="21"/>
      <c r="FKP38" s="21"/>
      <c r="FKQ38" s="21"/>
      <c r="FKR38" s="21"/>
      <c r="FKS38" s="21"/>
      <c r="FKT38" s="21"/>
      <c r="FKU38" s="21"/>
      <c r="FKV38" s="21"/>
      <c r="FKW38" s="21"/>
      <c r="FKX38" s="21"/>
      <c r="FKY38" s="21"/>
      <c r="FKZ38" s="21"/>
      <c r="FLA38" s="21"/>
      <c r="FLB38" s="21"/>
      <c r="FLC38" s="21"/>
      <c r="FLD38" s="21"/>
      <c r="FLE38" s="21"/>
      <c r="FLF38" s="21"/>
      <c r="FLG38" s="21"/>
      <c r="FLH38" s="21"/>
      <c r="FLI38" s="21"/>
      <c r="FLJ38" s="21"/>
      <c r="FLK38" s="21"/>
      <c r="FLL38" s="21"/>
      <c r="FLM38" s="21"/>
      <c r="FLN38" s="21"/>
      <c r="FLO38" s="21"/>
      <c r="FLP38" s="21"/>
      <c r="FLQ38" s="21"/>
      <c r="FLR38" s="21"/>
      <c r="FLS38" s="21"/>
      <c r="FLT38" s="21"/>
      <c r="FLU38" s="21"/>
      <c r="FLV38" s="21"/>
      <c r="FLW38" s="21"/>
      <c r="FLX38" s="21"/>
      <c r="FLY38" s="21"/>
      <c r="FLZ38" s="21"/>
      <c r="FMA38" s="21"/>
      <c r="FMB38" s="21"/>
      <c r="FMC38" s="21"/>
      <c r="FMD38" s="21"/>
      <c r="FME38" s="21"/>
      <c r="FMF38" s="21"/>
      <c r="FMG38" s="21"/>
      <c r="FMH38" s="21"/>
      <c r="FMI38" s="21"/>
      <c r="FMJ38" s="21"/>
      <c r="FMK38" s="21"/>
      <c r="FML38" s="21"/>
      <c r="FMM38" s="21"/>
      <c r="FMN38" s="21"/>
      <c r="FMO38" s="21"/>
      <c r="FMP38" s="21"/>
      <c r="FMQ38" s="21"/>
      <c r="FMR38" s="21"/>
      <c r="FMS38" s="21"/>
      <c r="FMT38" s="21"/>
      <c r="FMU38" s="21"/>
      <c r="FMV38" s="21"/>
      <c r="FMW38" s="21"/>
      <c r="FMX38" s="21"/>
      <c r="FMY38" s="21"/>
      <c r="FMZ38" s="21"/>
      <c r="FNA38" s="21"/>
      <c r="FNB38" s="21"/>
      <c r="FNC38" s="21"/>
      <c r="FND38" s="21"/>
      <c r="FNE38" s="21"/>
      <c r="FNF38" s="21"/>
      <c r="FNG38" s="21"/>
      <c r="FNH38" s="21"/>
      <c r="FNI38" s="21"/>
      <c r="FNJ38" s="21"/>
      <c r="FNK38" s="21"/>
      <c r="FNL38" s="21"/>
      <c r="FNM38" s="21"/>
      <c r="FNN38" s="21"/>
      <c r="FNO38" s="21"/>
      <c r="FNP38" s="21"/>
      <c r="FNQ38" s="21"/>
      <c r="FNR38" s="21"/>
      <c r="FNS38" s="21"/>
      <c r="FNT38" s="21"/>
      <c r="FNU38" s="21"/>
      <c r="FNV38" s="21"/>
      <c r="FNW38" s="21"/>
      <c r="FNX38" s="21"/>
      <c r="FNY38" s="21"/>
      <c r="FNZ38" s="21"/>
      <c r="FOA38" s="21"/>
      <c r="FOB38" s="21"/>
      <c r="FOC38" s="21"/>
      <c r="FOD38" s="21"/>
      <c r="FOE38" s="21"/>
      <c r="FOF38" s="21"/>
      <c r="FOG38" s="21"/>
      <c r="FOH38" s="21"/>
      <c r="FOI38" s="21"/>
      <c r="FOJ38" s="21"/>
      <c r="FOK38" s="21"/>
      <c r="FOL38" s="21"/>
      <c r="FOM38" s="21"/>
      <c r="FON38" s="21"/>
      <c r="FOO38" s="21"/>
      <c r="FOP38" s="21"/>
      <c r="FOQ38" s="21"/>
      <c r="FOR38" s="21"/>
      <c r="FOS38" s="21"/>
      <c r="FOT38" s="21"/>
      <c r="FOU38" s="21"/>
      <c r="FOV38" s="21"/>
      <c r="FOW38" s="21"/>
      <c r="FOX38" s="21"/>
      <c r="FOY38" s="21"/>
      <c r="FOZ38" s="21"/>
      <c r="FPA38" s="21"/>
      <c r="FPB38" s="21"/>
      <c r="FPC38" s="21"/>
      <c r="FPD38" s="21"/>
      <c r="FPE38" s="21"/>
      <c r="FPF38" s="21"/>
      <c r="FPG38" s="21"/>
      <c r="FPH38" s="21"/>
      <c r="FPI38" s="21"/>
      <c r="FPJ38" s="21"/>
      <c r="FPK38" s="21"/>
      <c r="FPL38" s="21"/>
      <c r="FPM38" s="21"/>
      <c r="FPN38" s="21"/>
      <c r="FPO38" s="21"/>
      <c r="FPP38" s="21"/>
      <c r="FPQ38" s="21"/>
      <c r="FPR38" s="21"/>
      <c r="FPS38" s="21"/>
      <c r="FPT38" s="21"/>
      <c r="FPU38" s="21"/>
      <c r="FPV38" s="21"/>
      <c r="FPW38" s="21"/>
      <c r="FPX38" s="21"/>
      <c r="FPY38" s="21"/>
      <c r="FPZ38" s="21"/>
      <c r="FQA38" s="21"/>
      <c r="FQB38" s="21"/>
      <c r="FQC38" s="21"/>
      <c r="FQD38" s="21"/>
      <c r="FQE38" s="21"/>
      <c r="FQF38" s="21"/>
      <c r="FQG38" s="21"/>
      <c r="FQH38" s="21"/>
      <c r="FQI38" s="21"/>
      <c r="FQJ38" s="21"/>
      <c r="FQK38" s="21"/>
      <c r="FQL38" s="21"/>
      <c r="FQM38" s="21"/>
      <c r="FQN38" s="21"/>
      <c r="FQO38" s="21"/>
      <c r="FQP38" s="21"/>
      <c r="FQQ38" s="21"/>
      <c r="FQR38" s="21"/>
      <c r="FQS38" s="21"/>
      <c r="FQT38" s="21"/>
      <c r="FQU38" s="21"/>
      <c r="FQV38" s="21"/>
      <c r="FQW38" s="21"/>
      <c r="FQX38" s="21"/>
      <c r="FQY38" s="21"/>
      <c r="FQZ38" s="21"/>
      <c r="FRA38" s="21"/>
      <c r="FRB38" s="21"/>
      <c r="FRC38" s="21"/>
      <c r="FRD38" s="21"/>
      <c r="FRE38" s="21"/>
      <c r="FRF38" s="21"/>
      <c r="FRG38" s="21"/>
      <c r="FRH38" s="21"/>
      <c r="FRI38" s="21"/>
      <c r="FRJ38" s="21"/>
      <c r="FRK38" s="21"/>
      <c r="FRL38" s="21"/>
      <c r="FRM38" s="21"/>
      <c r="FRN38" s="21"/>
      <c r="FRO38" s="21"/>
      <c r="FRP38" s="21"/>
      <c r="FRQ38" s="21"/>
      <c r="FRR38" s="21"/>
      <c r="FRS38" s="21"/>
      <c r="FRT38" s="21"/>
      <c r="FRU38" s="21"/>
      <c r="FRV38" s="21"/>
      <c r="FRW38" s="21"/>
      <c r="FRX38" s="21"/>
      <c r="FRY38" s="21"/>
      <c r="FRZ38" s="21"/>
      <c r="FSA38" s="21"/>
      <c r="FSB38" s="21"/>
      <c r="FSC38" s="21"/>
      <c r="FSD38" s="21"/>
      <c r="FSE38" s="21"/>
      <c r="FSF38" s="21"/>
      <c r="FSG38" s="21"/>
      <c r="FSH38" s="21"/>
      <c r="FSI38" s="21"/>
      <c r="FSJ38" s="21"/>
      <c r="FSK38" s="21"/>
      <c r="FSL38" s="21"/>
      <c r="FSM38" s="21"/>
      <c r="FSN38" s="21"/>
      <c r="FSO38" s="21"/>
      <c r="FSP38" s="21"/>
      <c r="FSQ38" s="21"/>
      <c r="FSR38" s="21"/>
      <c r="FSS38" s="21"/>
      <c r="FST38" s="21"/>
      <c r="FSU38" s="21"/>
      <c r="FSV38" s="21"/>
      <c r="FSW38" s="21"/>
      <c r="FSX38" s="21"/>
      <c r="FSY38" s="21"/>
      <c r="FSZ38" s="21"/>
      <c r="FTA38" s="21"/>
      <c r="FTB38" s="21"/>
      <c r="FTC38" s="21"/>
      <c r="FTD38" s="21"/>
      <c r="FTE38" s="21"/>
      <c r="FTF38" s="21"/>
      <c r="FTG38" s="21"/>
      <c r="FTH38" s="21"/>
      <c r="FTI38" s="21"/>
      <c r="FTJ38" s="21"/>
      <c r="FTK38" s="21"/>
      <c r="FTL38" s="21"/>
      <c r="FTM38" s="21"/>
      <c r="FTN38" s="21"/>
      <c r="FTO38" s="21"/>
      <c r="FTP38" s="21"/>
      <c r="FTQ38" s="21"/>
      <c r="FTR38" s="21"/>
      <c r="FTS38" s="21"/>
      <c r="FTT38" s="21"/>
      <c r="FTU38" s="21"/>
      <c r="FTV38" s="21"/>
      <c r="FTW38" s="21"/>
      <c r="FTX38" s="21"/>
      <c r="FTY38" s="21"/>
      <c r="FTZ38" s="21"/>
      <c r="FUA38" s="21"/>
      <c r="FUB38" s="21"/>
      <c r="FUC38" s="21"/>
      <c r="FUD38" s="21"/>
      <c r="FUE38" s="21"/>
      <c r="FUF38" s="21"/>
      <c r="FUG38" s="21"/>
      <c r="FUH38" s="21"/>
      <c r="FUI38" s="21"/>
      <c r="FUJ38" s="21"/>
      <c r="FUK38" s="21"/>
      <c r="FUL38" s="21"/>
      <c r="FUM38" s="21"/>
      <c r="FUN38" s="21"/>
      <c r="FUO38" s="21"/>
      <c r="FUP38" s="21"/>
      <c r="FUQ38" s="21"/>
      <c r="FUR38" s="21"/>
      <c r="FUS38" s="21"/>
      <c r="FUT38" s="21"/>
      <c r="FUU38" s="21"/>
      <c r="FUV38" s="21"/>
      <c r="FUW38" s="21"/>
      <c r="FUX38" s="21"/>
      <c r="FUY38" s="21"/>
      <c r="FUZ38" s="21"/>
      <c r="FVA38" s="21"/>
      <c r="FVB38" s="21"/>
      <c r="FVC38" s="21"/>
      <c r="FVD38" s="21"/>
      <c r="FVE38" s="21"/>
      <c r="FVF38" s="21"/>
      <c r="FVG38" s="21"/>
      <c r="FVH38" s="21"/>
      <c r="FVI38" s="21"/>
      <c r="FVJ38" s="21"/>
      <c r="FVK38" s="21"/>
      <c r="FVL38" s="21"/>
      <c r="FVM38" s="21"/>
      <c r="FVN38" s="21"/>
      <c r="FVO38" s="21"/>
      <c r="FVP38" s="21"/>
      <c r="FVQ38" s="21"/>
      <c r="FVR38" s="21"/>
      <c r="FVS38" s="21"/>
      <c r="FVT38" s="21"/>
      <c r="FVU38" s="21"/>
      <c r="FVV38" s="21"/>
      <c r="FVW38" s="21"/>
      <c r="FVX38" s="21"/>
      <c r="FVY38" s="21"/>
      <c r="FVZ38" s="21"/>
      <c r="FWA38" s="21"/>
      <c r="FWB38" s="21"/>
      <c r="FWC38" s="21"/>
      <c r="FWD38" s="21"/>
      <c r="FWE38" s="21"/>
      <c r="FWF38" s="21"/>
      <c r="FWG38" s="21"/>
      <c r="FWH38" s="21"/>
      <c r="FWI38" s="21"/>
      <c r="FWJ38" s="21"/>
      <c r="FWK38" s="21"/>
      <c r="FWL38" s="21"/>
      <c r="FWM38" s="21"/>
      <c r="FWN38" s="21"/>
      <c r="FWO38" s="21"/>
      <c r="FWP38" s="21"/>
      <c r="FWQ38" s="21"/>
      <c r="FWR38" s="21"/>
      <c r="FWS38" s="21"/>
      <c r="FWT38" s="21"/>
      <c r="FWU38" s="21"/>
      <c r="FWV38" s="21"/>
      <c r="FWW38" s="21"/>
      <c r="FWX38" s="21"/>
      <c r="FWY38" s="21"/>
      <c r="FWZ38" s="21"/>
      <c r="FXA38" s="21"/>
      <c r="FXB38" s="21"/>
      <c r="FXC38" s="21"/>
      <c r="FXD38" s="21"/>
      <c r="FXE38" s="21"/>
      <c r="FXF38" s="21"/>
      <c r="FXG38" s="21"/>
      <c r="FXH38" s="21"/>
      <c r="FXI38" s="21"/>
      <c r="FXJ38" s="21"/>
      <c r="FXK38" s="21"/>
      <c r="FXL38" s="21"/>
      <c r="FXM38" s="21"/>
      <c r="FXN38" s="21"/>
      <c r="FXO38" s="21"/>
      <c r="FXP38" s="21"/>
      <c r="FXQ38" s="21"/>
      <c r="FXR38" s="21"/>
      <c r="FXS38" s="21"/>
      <c r="FXT38" s="21"/>
      <c r="FXU38" s="21"/>
      <c r="FXV38" s="21"/>
      <c r="FXW38" s="21"/>
      <c r="FXX38" s="21"/>
      <c r="FXY38" s="21"/>
      <c r="FXZ38" s="21"/>
      <c r="FYA38" s="21"/>
      <c r="FYB38" s="21"/>
      <c r="FYC38" s="21"/>
      <c r="FYD38" s="21"/>
      <c r="FYE38" s="21"/>
      <c r="FYF38" s="21"/>
      <c r="FYG38" s="21"/>
      <c r="FYH38" s="21"/>
      <c r="FYI38" s="21"/>
      <c r="FYJ38" s="21"/>
      <c r="FYK38" s="21"/>
      <c r="FYL38" s="21"/>
      <c r="FYM38" s="21"/>
      <c r="FYN38" s="21"/>
      <c r="FYO38" s="21"/>
      <c r="FYP38" s="21"/>
      <c r="FYQ38" s="21"/>
      <c r="FYR38" s="21"/>
      <c r="FYS38" s="21"/>
      <c r="FYT38" s="21"/>
      <c r="FYU38" s="21"/>
      <c r="FYV38" s="21"/>
      <c r="FYW38" s="21"/>
      <c r="FYX38" s="21"/>
      <c r="FYY38" s="21"/>
      <c r="FYZ38" s="21"/>
      <c r="FZA38" s="21"/>
      <c r="FZB38" s="21"/>
      <c r="FZC38" s="21"/>
      <c r="FZD38" s="21"/>
      <c r="FZE38" s="21"/>
      <c r="FZF38" s="21"/>
      <c r="FZG38" s="21"/>
      <c r="FZH38" s="21"/>
      <c r="FZI38" s="21"/>
      <c r="FZJ38" s="21"/>
      <c r="FZK38" s="21"/>
      <c r="FZL38" s="21"/>
      <c r="FZM38" s="21"/>
      <c r="FZN38" s="21"/>
      <c r="FZO38" s="21"/>
      <c r="FZP38" s="21"/>
      <c r="FZQ38" s="21"/>
      <c r="FZR38" s="21"/>
      <c r="FZS38" s="21"/>
      <c r="FZT38" s="21"/>
      <c r="FZU38" s="21"/>
      <c r="FZV38" s="21"/>
      <c r="FZW38" s="21"/>
      <c r="FZX38" s="21"/>
      <c r="FZY38" s="21"/>
      <c r="FZZ38" s="21"/>
      <c r="GAA38" s="21"/>
      <c r="GAB38" s="21"/>
      <c r="GAC38" s="21"/>
      <c r="GAD38" s="21"/>
      <c r="GAE38" s="21"/>
      <c r="GAF38" s="21"/>
      <c r="GAG38" s="21"/>
      <c r="GAH38" s="21"/>
      <c r="GAI38" s="21"/>
      <c r="GAJ38" s="21"/>
      <c r="GAK38" s="21"/>
      <c r="GAL38" s="21"/>
      <c r="GAM38" s="21"/>
      <c r="GAN38" s="21"/>
      <c r="GAO38" s="21"/>
      <c r="GAP38" s="21"/>
      <c r="GAQ38" s="21"/>
      <c r="GAR38" s="21"/>
      <c r="GAS38" s="21"/>
      <c r="GAT38" s="21"/>
      <c r="GAU38" s="21"/>
      <c r="GAV38" s="21"/>
      <c r="GAW38" s="21"/>
      <c r="GAX38" s="21"/>
      <c r="GAY38" s="21"/>
      <c r="GAZ38" s="21"/>
      <c r="GBA38" s="21"/>
      <c r="GBB38" s="21"/>
      <c r="GBC38" s="21"/>
      <c r="GBD38" s="21"/>
      <c r="GBE38" s="21"/>
      <c r="GBF38" s="21"/>
      <c r="GBG38" s="21"/>
      <c r="GBH38" s="21"/>
      <c r="GBI38" s="21"/>
      <c r="GBJ38" s="21"/>
      <c r="GBK38" s="21"/>
      <c r="GBL38" s="21"/>
      <c r="GBM38" s="21"/>
      <c r="GBN38" s="21"/>
      <c r="GBO38" s="21"/>
      <c r="GBP38" s="21"/>
      <c r="GBQ38" s="21"/>
      <c r="GBR38" s="21"/>
      <c r="GBS38" s="21"/>
      <c r="GBT38" s="21"/>
      <c r="GBU38" s="21"/>
      <c r="GBV38" s="21"/>
      <c r="GBW38" s="21"/>
      <c r="GBX38" s="21"/>
      <c r="GBY38" s="21"/>
      <c r="GBZ38" s="21"/>
      <c r="GCA38" s="21"/>
      <c r="GCB38" s="21"/>
      <c r="GCC38" s="21"/>
      <c r="GCD38" s="21"/>
      <c r="GCE38" s="21"/>
      <c r="GCF38" s="21"/>
      <c r="GCG38" s="21"/>
      <c r="GCH38" s="21"/>
      <c r="GCI38" s="21"/>
      <c r="GCJ38" s="21"/>
      <c r="GCK38" s="21"/>
      <c r="GCL38" s="21"/>
      <c r="GCM38" s="21"/>
      <c r="GCN38" s="21"/>
      <c r="GCO38" s="21"/>
      <c r="GCP38" s="21"/>
      <c r="GCQ38" s="21"/>
      <c r="GCR38" s="21"/>
      <c r="GCS38" s="21"/>
      <c r="GCT38" s="21"/>
      <c r="GCU38" s="21"/>
      <c r="GCV38" s="21"/>
      <c r="GCW38" s="21"/>
      <c r="GCX38" s="21"/>
      <c r="GCY38" s="21"/>
      <c r="GCZ38" s="21"/>
      <c r="GDA38" s="21"/>
      <c r="GDB38" s="21"/>
      <c r="GDC38" s="21"/>
      <c r="GDD38" s="21"/>
      <c r="GDE38" s="21"/>
      <c r="GDF38" s="21"/>
      <c r="GDG38" s="21"/>
      <c r="GDH38" s="21"/>
      <c r="GDI38" s="21"/>
      <c r="GDJ38" s="21"/>
      <c r="GDK38" s="21"/>
      <c r="GDL38" s="21"/>
      <c r="GDM38" s="21"/>
      <c r="GDN38" s="21"/>
      <c r="GDO38" s="21"/>
      <c r="GDP38" s="21"/>
      <c r="GDQ38" s="21"/>
      <c r="GDR38" s="21"/>
      <c r="GDS38" s="21"/>
      <c r="GDT38" s="21"/>
      <c r="GDU38" s="21"/>
      <c r="GDV38" s="21"/>
      <c r="GDW38" s="21"/>
      <c r="GDX38" s="21"/>
      <c r="GDY38" s="21"/>
      <c r="GDZ38" s="21"/>
      <c r="GEA38" s="21"/>
      <c r="GEB38" s="21"/>
      <c r="GEC38" s="21"/>
      <c r="GED38" s="21"/>
      <c r="GEE38" s="21"/>
      <c r="GEF38" s="21"/>
      <c r="GEG38" s="21"/>
      <c r="GEH38" s="21"/>
      <c r="GEI38" s="21"/>
      <c r="GEJ38" s="21"/>
      <c r="GEK38" s="21"/>
      <c r="GEL38" s="21"/>
      <c r="GEM38" s="21"/>
      <c r="GEN38" s="21"/>
      <c r="GEO38" s="21"/>
      <c r="GEP38" s="21"/>
      <c r="GEQ38" s="21"/>
      <c r="GER38" s="21"/>
      <c r="GES38" s="21"/>
      <c r="GET38" s="21"/>
      <c r="GEU38" s="21"/>
      <c r="GEV38" s="21"/>
      <c r="GEW38" s="21"/>
      <c r="GEX38" s="21"/>
      <c r="GEY38" s="21"/>
      <c r="GEZ38" s="21"/>
      <c r="GFA38" s="21"/>
      <c r="GFB38" s="21"/>
      <c r="GFC38" s="21"/>
      <c r="GFD38" s="21"/>
      <c r="GFE38" s="21"/>
      <c r="GFF38" s="21"/>
      <c r="GFG38" s="21"/>
      <c r="GFH38" s="21"/>
      <c r="GFI38" s="21"/>
      <c r="GFJ38" s="21"/>
      <c r="GFK38" s="21"/>
      <c r="GFL38" s="21"/>
      <c r="GFM38" s="21"/>
      <c r="GFN38" s="21"/>
      <c r="GFO38" s="21"/>
      <c r="GFP38" s="21"/>
      <c r="GFQ38" s="21"/>
      <c r="GFR38" s="21"/>
      <c r="GFS38" s="21"/>
      <c r="GFT38" s="21"/>
      <c r="GFU38" s="21"/>
      <c r="GFV38" s="21"/>
      <c r="GFW38" s="21"/>
      <c r="GFX38" s="21"/>
      <c r="GFY38" s="21"/>
      <c r="GFZ38" s="21"/>
      <c r="GGA38" s="21"/>
      <c r="GGB38" s="21"/>
      <c r="GGC38" s="21"/>
      <c r="GGD38" s="21"/>
      <c r="GGE38" s="21"/>
      <c r="GGF38" s="21"/>
      <c r="GGG38" s="21"/>
      <c r="GGH38" s="21"/>
      <c r="GGI38" s="21"/>
      <c r="GGJ38" s="21"/>
      <c r="GGK38" s="21"/>
      <c r="GGL38" s="21"/>
      <c r="GGM38" s="21"/>
      <c r="GGN38" s="21"/>
      <c r="GGO38" s="21"/>
      <c r="GGP38" s="21"/>
      <c r="GGQ38" s="21"/>
      <c r="GGR38" s="21"/>
      <c r="GGS38" s="21"/>
      <c r="GGT38" s="21"/>
      <c r="GGU38" s="21"/>
      <c r="GGV38" s="21"/>
      <c r="GGW38" s="21"/>
      <c r="GGX38" s="21"/>
      <c r="GGY38" s="21"/>
      <c r="GGZ38" s="21"/>
      <c r="GHA38" s="21"/>
      <c r="GHB38" s="21"/>
      <c r="GHC38" s="21"/>
      <c r="GHD38" s="21"/>
      <c r="GHE38" s="21"/>
      <c r="GHF38" s="21"/>
      <c r="GHG38" s="21"/>
      <c r="GHH38" s="21"/>
      <c r="GHI38" s="21"/>
      <c r="GHJ38" s="21"/>
      <c r="GHK38" s="21"/>
      <c r="GHL38" s="21"/>
      <c r="GHM38" s="21"/>
      <c r="GHN38" s="21"/>
      <c r="GHO38" s="21"/>
      <c r="GHP38" s="21"/>
      <c r="GHQ38" s="21"/>
      <c r="GHR38" s="21"/>
      <c r="GHS38" s="21"/>
      <c r="GHT38" s="21"/>
      <c r="GHU38" s="21"/>
      <c r="GHV38" s="21"/>
      <c r="GHW38" s="21"/>
      <c r="GHX38" s="21"/>
      <c r="GHY38" s="21"/>
      <c r="GHZ38" s="21"/>
      <c r="GIA38" s="21"/>
      <c r="GIB38" s="21"/>
      <c r="GIC38" s="21"/>
      <c r="GID38" s="21"/>
      <c r="GIE38" s="21"/>
      <c r="GIF38" s="21"/>
      <c r="GIG38" s="21"/>
      <c r="GIH38" s="21"/>
      <c r="GII38" s="21"/>
      <c r="GIJ38" s="21"/>
      <c r="GIK38" s="21"/>
      <c r="GIL38" s="21"/>
      <c r="GIM38" s="21"/>
      <c r="GIN38" s="21"/>
      <c r="GIO38" s="21"/>
      <c r="GIP38" s="21"/>
      <c r="GIQ38" s="21"/>
      <c r="GIR38" s="21"/>
      <c r="GIS38" s="21"/>
      <c r="GIT38" s="21"/>
      <c r="GIU38" s="21"/>
      <c r="GIV38" s="21"/>
      <c r="GIW38" s="21"/>
      <c r="GIX38" s="21"/>
      <c r="GIY38" s="21"/>
      <c r="GIZ38" s="21"/>
      <c r="GJA38" s="21"/>
      <c r="GJB38" s="21"/>
      <c r="GJC38" s="21"/>
      <c r="GJD38" s="21"/>
      <c r="GJE38" s="21"/>
      <c r="GJF38" s="21"/>
      <c r="GJG38" s="21"/>
      <c r="GJH38" s="21"/>
      <c r="GJI38" s="21"/>
      <c r="GJJ38" s="21"/>
      <c r="GJK38" s="21"/>
      <c r="GJL38" s="21"/>
      <c r="GJM38" s="21"/>
      <c r="GJN38" s="21"/>
      <c r="GJO38" s="21"/>
      <c r="GJP38" s="21"/>
      <c r="GJQ38" s="21"/>
      <c r="GJR38" s="21"/>
      <c r="GJS38" s="21"/>
      <c r="GJT38" s="21"/>
      <c r="GJU38" s="21"/>
      <c r="GJV38" s="21"/>
      <c r="GJW38" s="21"/>
      <c r="GJX38" s="21"/>
      <c r="GJY38" s="21"/>
      <c r="GJZ38" s="21"/>
      <c r="GKA38" s="21"/>
      <c r="GKB38" s="21"/>
      <c r="GKC38" s="21"/>
      <c r="GKD38" s="21"/>
      <c r="GKE38" s="21"/>
      <c r="GKF38" s="21"/>
      <c r="GKG38" s="21"/>
      <c r="GKH38" s="21"/>
      <c r="GKI38" s="21"/>
      <c r="GKJ38" s="21"/>
      <c r="GKK38" s="21"/>
      <c r="GKL38" s="21"/>
      <c r="GKM38" s="21"/>
      <c r="GKN38" s="21"/>
      <c r="GKO38" s="21"/>
      <c r="GKP38" s="21"/>
      <c r="GKQ38" s="21"/>
      <c r="GKR38" s="21"/>
      <c r="GKS38" s="21"/>
      <c r="GKT38" s="21"/>
      <c r="GKU38" s="21"/>
      <c r="GKV38" s="21"/>
      <c r="GKW38" s="21"/>
      <c r="GKX38" s="21"/>
      <c r="GKY38" s="21"/>
      <c r="GKZ38" s="21"/>
      <c r="GLA38" s="21"/>
      <c r="GLB38" s="21"/>
      <c r="GLC38" s="21"/>
      <c r="GLD38" s="21"/>
      <c r="GLE38" s="21"/>
      <c r="GLF38" s="21"/>
      <c r="GLG38" s="21"/>
      <c r="GLH38" s="21"/>
      <c r="GLI38" s="21"/>
      <c r="GLJ38" s="21"/>
      <c r="GLK38" s="21"/>
      <c r="GLL38" s="21"/>
      <c r="GLM38" s="21"/>
      <c r="GLN38" s="21"/>
      <c r="GLO38" s="21"/>
      <c r="GLP38" s="21"/>
      <c r="GLQ38" s="21"/>
      <c r="GLR38" s="21"/>
      <c r="GLS38" s="21"/>
      <c r="GLT38" s="21"/>
      <c r="GLU38" s="21"/>
      <c r="GLV38" s="21"/>
      <c r="GLW38" s="21"/>
      <c r="GLX38" s="21"/>
      <c r="GLY38" s="21"/>
      <c r="GLZ38" s="21"/>
      <c r="GMA38" s="21"/>
      <c r="GMB38" s="21"/>
      <c r="GMC38" s="21"/>
      <c r="GMD38" s="21"/>
      <c r="GME38" s="21"/>
      <c r="GMF38" s="21"/>
      <c r="GMG38" s="21"/>
      <c r="GMH38" s="21"/>
      <c r="GMI38" s="21"/>
      <c r="GMJ38" s="21"/>
      <c r="GMK38" s="21"/>
      <c r="GML38" s="21"/>
      <c r="GMM38" s="21"/>
      <c r="GMN38" s="21"/>
      <c r="GMO38" s="21"/>
      <c r="GMP38" s="21"/>
      <c r="GMQ38" s="21"/>
      <c r="GMR38" s="21"/>
      <c r="GMS38" s="21"/>
      <c r="GMT38" s="21"/>
      <c r="GMU38" s="21"/>
      <c r="GMV38" s="21"/>
      <c r="GMW38" s="21"/>
      <c r="GMX38" s="21"/>
      <c r="GMY38" s="21"/>
      <c r="GMZ38" s="21"/>
      <c r="GNA38" s="21"/>
      <c r="GNB38" s="21"/>
      <c r="GNC38" s="21"/>
      <c r="GND38" s="21"/>
      <c r="GNE38" s="21"/>
      <c r="GNF38" s="21"/>
      <c r="GNG38" s="21"/>
      <c r="GNH38" s="21"/>
      <c r="GNI38" s="21"/>
      <c r="GNJ38" s="21"/>
      <c r="GNK38" s="21"/>
      <c r="GNL38" s="21"/>
      <c r="GNM38" s="21"/>
      <c r="GNN38" s="21"/>
      <c r="GNO38" s="21"/>
      <c r="GNP38" s="21"/>
      <c r="GNQ38" s="21"/>
      <c r="GNR38" s="21"/>
      <c r="GNS38" s="21"/>
      <c r="GNT38" s="21"/>
      <c r="GNU38" s="21"/>
      <c r="GNV38" s="21"/>
      <c r="GNW38" s="21"/>
      <c r="GNX38" s="21"/>
      <c r="GNY38" s="21"/>
      <c r="GNZ38" s="21"/>
      <c r="GOA38" s="21"/>
      <c r="GOB38" s="21"/>
      <c r="GOC38" s="21"/>
      <c r="GOD38" s="21"/>
      <c r="GOE38" s="21"/>
      <c r="GOF38" s="21"/>
      <c r="GOG38" s="21"/>
      <c r="GOH38" s="21"/>
      <c r="GOI38" s="21"/>
      <c r="GOJ38" s="21"/>
      <c r="GOK38" s="21"/>
      <c r="GOL38" s="21"/>
      <c r="GOM38" s="21"/>
      <c r="GON38" s="21"/>
      <c r="GOO38" s="21"/>
      <c r="GOP38" s="21"/>
      <c r="GOQ38" s="21"/>
      <c r="GOR38" s="21"/>
      <c r="GOS38" s="21"/>
      <c r="GOT38" s="21"/>
      <c r="GOU38" s="21"/>
      <c r="GOV38" s="21"/>
      <c r="GOW38" s="21"/>
      <c r="GOX38" s="21"/>
      <c r="GOY38" s="21"/>
      <c r="GOZ38" s="21"/>
      <c r="GPA38" s="21"/>
      <c r="GPB38" s="21"/>
      <c r="GPC38" s="21"/>
      <c r="GPD38" s="21"/>
      <c r="GPE38" s="21"/>
      <c r="GPF38" s="21"/>
      <c r="GPG38" s="21"/>
      <c r="GPH38" s="21"/>
      <c r="GPI38" s="21"/>
      <c r="GPJ38" s="21"/>
      <c r="GPK38" s="21"/>
      <c r="GPL38" s="21"/>
      <c r="GPM38" s="21"/>
      <c r="GPN38" s="21"/>
      <c r="GPO38" s="21"/>
      <c r="GPP38" s="21"/>
      <c r="GPQ38" s="21"/>
      <c r="GPR38" s="21"/>
      <c r="GPS38" s="21"/>
      <c r="GPT38" s="21"/>
      <c r="GPU38" s="21"/>
      <c r="GPV38" s="21"/>
      <c r="GPW38" s="21"/>
      <c r="GPX38" s="21"/>
      <c r="GPY38" s="21"/>
      <c r="GPZ38" s="21"/>
      <c r="GQA38" s="21"/>
      <c r="GQB38" s="21"/>
      <c r="GQC38" s="21"/>
      <c r="GQD38" s="21"/>
      <c r="GQE38" s="21"/>
      <c r="GQF38" s="21"/>
      <c r="GQG38" s="21"/>
      <c r="GQH38" s="21"/>
      <c r="GQI38" s="21"/>
      <c r="GQJ38" s="21"/>
      <c r="GQK38" s="21"/>
      <c r="GQL38" s="21"/>
      <c r="GQM38" s="21"/>
      <c r="GQN38" s="21"/>
      <c r="GQO38" s="21"/>
      <c r="GQP38" s="21"/>
      <c r="GQQ38" s="21"/>
      <c r="GQR38" s="21"/>
      <c r="GQS38" s="21"/>
      <c r="GQT38" s="21"/>
      <c r="GQU38" s="21"/>
      <c r="GQV38" s="21"/>
      <c r="GQW38" s="21"/>
      <c r="GQX38" s="21"/>
      <c r="GQY38" s="21"/>
      <c r="GQZ38" s="21"/>
      <c r="GRA38" s="21"/>
      <c r="GRB38" s="21"/>
      <c r="GRC38" s="21"/>
      <c r="GRD38" s="21"/>
      <c r="GRE38" s="21"/>
      <c r="GRF38" s="21"/>
      <c r="GRG38" s="21"/>
      <c r="GRH38" s="21"/>
      <c r="GRI38" s="21"/>
      <c r="GRJ38" s="21"/>
      <c r="GRK38" s="21"/>
      <c r="GRL38" s="21"/>
      <c r="GRM38" s="21"/>
      <c r="GRN38" s="21"/>
      <c r="GRO38" s="21"/>
      <c r="GRP38" s="21"/>
      <c r="GRQ38" s="21"/>
      <c r="GRR38" s="21"/>
      <c r="GRS38" s="21"/>
      <c r="GRT38" s="21"/>
      <c r="GRU38" s="21"/>
      <c r="GRV38" s="21"/>
      <c r="GRW38" s="21"/>
      <c r="GRX38" s="21"/>
      <c r="GRY38" s="21"/>
      <c r="GRZ38" s="21"/>
      <c r="GSA38" s="21"/>
      <c r="GSB38" s="21"/>
      <c r="GSC38" s="21"/>
      <c r="GSD38" s="21"/>
      <c r="GSE38" s="21"/>
      <c r="GSF38" s="21"/>
      <c r="GSG38" s="21"/>
      <c r="GSH38" s="21"/>
      <c r="GSI38" s="21"/>
      <c r="GSJ38" s="21"/>
      <c r="GSK38" s="21"/>
      <c r="GSL38" s="21"/>
      <c r="GSM38" s="21"/>
      <c r="GSN38" s="21"/>
      <c r="GSO38" s="21"/>
      <c r="GSP38" s="21"/>
      <c r="GSQ38" s="21"/>
      <c r="GSR38" s="21"/>
      <c r="GSS38" s="21"/>
      <c r="GST38" s="21"/>
      <c r="GSU38" s="21"/>
      <c r="GSV38" s="21"/>
      <c r="GSW38" s="21"/>
      <c r="GSX38" s="21"/>
      <c r="GSY38" s="21"/>
      <c r="GSZ38" s="21"/>
      <c r="GTA38" s="21"/>
      <c r="GTB38" s="21"/>
      <c r="GTC38" s="21"/>
      <c r="GTD38" s="21"/>
      <c r="GTE38" s="21"/>
      <c r="GTF38" s="21"/>
      <c r="GTG38" s="21"/>
      <c r="GTH38" s="21"/>
      <c r="GTI38" s="21"/>
      <c r="GTJ38" s="21"/>
      <c r="GTK38" s="21"/>
      <c r="GTL38" s="21"/>
      <c r="GTM38" s="21"/>
      <c r="GTN38" s="21"/>
      <c r="GTO38" s="21"/>
      <c r="GTP38" s="21"/>
      <c r="GTQ38" s="21"/>
      <c r="GTR38" s="21"/>
      <c r="GTS38" s="21"/>
      <c r="GTT38" s="21"/>
      <c r="GTU38" s="21"/>
      <c r="GTV38" s="21"/>
      <c r="GTW38" s="21"/>
      <c r="GTX38" s="21"/>
      <c r="GTY38" s="21"/>
      <c r="GTZ38" s="21"/>
      <c r="GUA38" s="21"/>
      <c r="GUB38" s="21"/>
      <c r="GUC38" s="21"/>
      <c r="GUD38" s="21"/>
      <c r="GUE38" s="21"/>
      <c r="GUF38" s="21"/>
      <c r="GUG38" s="21"/>
      <c r="GUH38" s="21"/>
      <c r="GUI38" s="21"/>
      <c r="GUJ38" s="21"/>
      <c r="GUK38" s="21"/>
      <c r="GUL38" s="21"/>
      <c r="GUM38" s="21"/>
      <c r="GUN38" s="21"/>
      <c r="GUO38" s="21"/>
      <c r="GUP38" s="21"/>
      <c r="GUQ38" s="21"/>
      <c r="GUR38" s="21"/>
      <c r="GUS38" s="21"/>
      <c r="GUT38" s="21"/>
      <c r="GUU38" s="21"/>
      <c r="GUV38" s="21"/>
      <c r="GUW38" s="21"/>
      <c r="GUX38" s="21"/>
      <c r="GUY38" s="21"/>
      <c r="GUZ38" s="21"/>
      <c r="GVA38" s="21"/>
      <c r="GVB38" s="21"/>
      <c r="GVC38" s="21"/>
      <c r="GVD38" s="21"/>
      <c r="GVE38" s="21"/>
      <c r="GVF38" s="21"/>
      <c r="GVG38" s="21"/>
      <c r="GVH38" s="21"/>
      <c r="GVI38" s="21"/>
      <c r="GVJ38" s="21"/>
      <c r="GVK38" s="21"/>
      <c r="GVL38" s="21"/>
      <c r="GVM38" s="21"/>
      <c r="GVN38" s="21"/>
      <c r="GVO38" s="21"/>
      <c r="GVP38" s="21"/>
      <c r="GVQ38" s="21"/>
      <c r="GVR38" s="21"/>
      <c r="GVS38" s="21"/>
      <c r="GVT38" s="21"/>
      <c r="GVU38" s="21"/>
      <c r="GVV38" s="21"/>
      <c r="GVW38" s="21"/>
      <c r="GVX38" s="21"/>
      <c r="GVY38" s="21"/>
      <c r="GVZ38" s="21"/>
      <c r="GWA38" s="21"/>
      <c r="GWB38" s="21"/>
      <c r="GWC38" s="21"/>
      <c r="GWD38" s="21"/>
      <c r="GWE38" s="21"/>
      <c r="GWF38" s="21"/>
      <c r="GWG38" s="21"/>
      <c r="GWH38" s="21"/>
      <c r="GWI38" s="21"/>
      <c r="GWJ38" s="21"/>
      <c r="GWK38" s="21"/>
      <c r="GWL38" s="21"/>
      <c r="GWM38" s="21"/>
      <c r="GWN38" s="21"/>
      <c r="GWO38" s="21"/>
      <c r="GWP38" s="21"/>
      <c r="GWQ38" s="21"/>
      <c r="GWR38" s="21"/>
      <c r="GWS38" s="21"/>
      <c r="GWT38" s="21"/>
      <c r="GWU38" s="21"/>
      <c r="GWV38" s="21"/>
      <c r="GWW38" s="21"/>
      <c r="GWX38" s="21"/>
      <c r="GWY38" s="21"/>
      <c r="GWZ38" s="21"/>
      <c r="GXA38" s="21"/>
      <c r="GXB38" s="21"/>
      <c r="GXC38" s="21"/>
      <c r="GXD38" s="21"/>
      <c r="GXE38" s="21"/>
      <c r="GXF38" s="21"/>
      <c r="GXG38" s="21"/>
      <c r="GXH38" s="21"/>
      <c r="GXI38" s="21"/>
      <c r="GXJ38" s="21"/>
      <c r="GXK38" s="21"/>
      <c r="GXL38" s="21"/>
      <c r="GXM38" s="21"/>
      <c r="GXN38" s="21"/>
      <c r="GXO38" s="21"/>
      <c r="GXP38" s="21"/>
      <c r="GXQ38" s="21"/>
      <c r="GXR38" s="21"/>
      <c r="GXS38" s="21"/>
      <c r="GXT38" s="21"/>
      <c r="GXU38" s="21"/>
      <c r="GXV38" s="21"/>
      <c r="GXW38" s="21"/>
      <c r="GXX38" s="21"/>
      <c r="GXY38" s="21"/>
      <c r="GXZ38" s="21"/>
      <c r="GYA38" s="21"/>
      <c r="GYB38" s="21"/>
      <c r="GYC38" s="21"/>
      <c r="GYD38" s="21"/>
      <c r="GYE38" s="21"/>
      <c r="GYF38" s="21"/>
      <c r="GYG38" s="21"/>
      <c r="GYH38" s="21"/>
      <c r="GYI38" s="21"/>
      <c r="GYJ38" s="21"/>
      <c r="GYK38" s="21"/>
      <c r="GYL38" s="21"/>
      <c r="GYM38" s="21"/>
      <c r="GYN38" s="21"/>
      <c r="GYO38" s="21"/>
      <c r="GYP38" s="21"/>
      <c r="GYQ38" s="21"/>
      <c r="GYR38" s="21"/>
      <c r="GYS38" s="21"/>
      <c r="GYT38" s="21"/>
      <c r="GYU38" s="21"/>
      <c r="GYV38" s="21"/>
      <c r="GYW38" s="21"/>
      <c r="GYX38" s="21"/>
      <c r="GYY38" s="21"/>
      <c r="GYZ38" s="21"/>
      <c r="GZA38" s="21"/>
      <c r="GZB38" s="21"/>
      <c r="GZC38" s="21"/>
      <c r="GZD38" s="21"/>
      <c r="GZE38" s="21"/>
      <c r="GZF38" s="21"/>
      <c r="GZG38" s="21"/>
      <c r="GZH38" s="21"/>
      <c r="GZI38" s="21"/>
      <c r="GZJ38" s="21"/>
      <c r="GZK38" s="21"/>
      <c r="GZL38" s="21"/>
      <c r="GZM38" s="21"/>
      <c r="GZN38" s="21"/>
      <c r="GZO38" s="21"/>
      <c r="GZP38" s="21"/>
      <c r="GZQ38" s="21"/>
      <c r="GZR38" s="21"/>
      <c r="GZS38" s="21"/>
      <c r="GZT38" s="21"/>
      <c r="GZU38" s="21"/>
      <c r="GZV38" s="21"/>
      <c r="GZW38" s="21"/>
      <c r="GZX38" s="21"/>
      <c r="GZY38" s="21"/>
      <c r="GZZ38" s="21"/>
      <c r="HAA38" s="21"/>
      <c r="HAB38" s="21"/>
      <c r="HAC38" s="21"/>
      <c r="HAD38" s="21"/>
      <c r="HAE38" s="21"/>
      <c r="HAF38" s="21"/>
      <c r="HAG38" s="21"/>
      <c r="HAH38" s="21"/>
      <c r="HAI38" s="21"/>
      <c r="HAJ38" s="21"/>
      <c r="HAK38" s="21"/>
      <c r="HAL38" s="21"/>
      <c r="HAM38" s="21"/>
      <c r="HAN38" s="21"/>
      <c r="HAO38" s="21"/>
      <c r="HAP38" s="21"/>
      <c r="HAQ38" s="21"/>
      <c r="HAR38" s="21"/>
      <c r="HAS38" s="21"/>
      <c r="HAT38" s="21"/>
      <c r="HAU38" s="21"/>
      <c r="HAV38" s="21"/>
      <c r="HAW38" s="21"/>
      <c r="HAX38" s="21"/>
      <c r="HAY38" s="21"/>
      <c r="HAZ38" s="21"/>
      <c r="HBA38" s="21"/>
      <c r="HBB38" s="21"/>
      <c r="HBC38" s="21"/>
      <c r="HBD38" s="21"/>
      <c r="HBE38" s="21"/>
      <c r="HBF38" s="21"/>
      <c r="HBG38" s="21"/>
      <c r="HBH38" s="21"/>
      <c r="HBI38" s="21"/>
      <c r="HBJ38" s="21"/>
      <c r="HBK38" s="21"/>
      <c r="HBL38" s="21"/>
      <c r="HBM38" s="21"/>
      <c r="HBN38" s="21"/>
      <c r="HBO38" s="21"/>
      <c r="HBP38" s="21"/>
      <c r="HBQ38" s="21"/>
      <c r="HBR38" s="21"/>
      <c r="HBS38" s="21"/>
      <c r="HBT38" s="21"/>
      <c r="HBU38" s="21"/>
      <c r="HBV38" s="21"/>
      <c r="HBW38" s="21"/>
      <c r="HBX38" s="21"/>
      <c r="HBY38" s="21"/>
      <c r="HBZ38" s="21"/>
      <c r="HCA38" s="21"/>
      <c r="HCB38" s="21"/>
      <c r="HCC38" s="21"/>
      <c r="HCD38" s="21"/>
      <c r="HCE38" s="21"/>
      <c r="HCF38" s="21"/>
      <c r="HCG38" s="21"/>
      <c r="HCH38" s="21"/>
      <c r="HCI38" s="21"/>
      <c r="HCJ38" s="21"/>
      <c r="HCK38" s="21"/>
      <c r="HCL38" s="21"/>
      <c r="HCM38" s="21"/>
      <c r="HCN38" s="21"/>
      <c r="HCO38" s="21"/>
      <c r="HCP38" s="21"/>
      <c r="HCQ38" s="21"/>
      <c r="HCR38" s="21"/>
      <c r="HCS38" s="21"/>
      <c r="HCT38" s="21"/>
      <c r="HCU38" s="21"/>
      <c r="HCV38" s="21"/>
      <c r="HCW38" s="21"/>
      <c r="HCX38" s="21"/>
      <c r="HCY38" s="21"/>
      <c r="HCZ38" s="21"/>
      <c r="HDA38" s="21"/>
      <c r="HDB38" s="21"/>
      <c r="HDC38" s="21"/>
      <c r="HDD38" s="21"/>
      <c r="HDE38" s="21"/>
      <c r="HDF38" s="21"/>
      <c r="HDG38" s="21"/>
      <c r="HDH38" s="21"/>
      <c r="HDI38" s="21"/>
      <c r="HDJ38" s="21"/>
      <c r="HDK38" s="21"/>
      <c r="HDL38" s="21"/>
      <c r="HDM38" s="21"/>
      <c r="HDN38" s="21"/>
      <c r="HDO38" s="21"/>
      <c r="HDP38" s="21"/>
      <c r="HDQ38" s="21"/>
      <c r="HDR38" s="21"/>
      <c r="HDS38" s="21"/>
      <c r="HDT38" s="21"/>
      <c r="HDU38" s="21"/>
      <c r="HDV38" s="21"/>
      <c r="HDW38" s="21"/>
      <c r="HDX38" s="21"/>
      <c r="HDY38" s="21"/>
      <c r="HDZ38" s="21"/>
      <c r="HEA38" s="21"/>
      <c r="HEB38" s="21"/>
      <c r="HEC38" s="21"/>
      <c r="HED38" s="21"/>
      <c r="HEE38" s="21"/>
      <c r="HEF38" s="21"/>
      <c r="HEG38" s="21"/>
      <c r="HEH38" s="21"/>
      <c r="HEI38" s="21"/>
      <c r="HEJ38" s="21"/>
      <c r="HEK38" s="21"/>
      <c r="HEL38" s="21"/>
      <c r="HEM38" s="21"/>
      <c r="HEN38" s="21"/>
      <c r="HEO38" s="21"/>
      <c r="HEP38" s="21"/>
      <c r="HEQ38" s="21"/>
      <c r="HER38" s="21"/>
      <c r="HES38" s="21"/>
      <c r="HET38" s="21"/>
      <c r="HEU38" s="21"/>
      <c r="HEV38" s="21"/>
      <c r="HEW38" s="21"/>
      <c r="HEX38" s="21"/>
      <c r="HEY38" s="21"/>
      <c r="HEZ38" s="21"/>
      <c r="HFA38" s="21"/>
      <c r="HFB38" s="21"/>
      <c r="HFC38" s="21"/>
      <c r="HFD38" s="21"/>
      <c r="HFE38" s="21"/>
      <c r="HFF38" s="21"/>
      <c r="HFG38" s="21"/>
      <c r="HFH38" s="21"/>
      <c r="HFI38" s="21"/>
      <c r="HFJ38" s="21"/>
      <c r="HFK38" s="21"/>
      <c r="HFL38" s="21"/>
      <c r="HFM38" s="21"/>
      <c r="HFN38" s="21"/>
      <c r="HFO38" s="21"/>
      <c r="HFP38" s="21"/>
      <c r="HFQ38" s="21"/>
      <c r="HFR38" s="21"/>
      <c r="HFS38" s="21"/>
      <c r="HFT38" s="21"/>
      <c r="HFU38" s="21"/>
      <c r="HFV38" s="21"/>
      <c r="HFW38" s="21"/>
      <c r="HFX38" s="21"/>
      <c r="HFY38" s="21"/>
      <c r="HFZ38" s="21"/>
      <c r="HGA38" s="21"/>
      <c r="HGB38" s="21"/>
      <c r="HGC38" s="21"/>
      <c r="HGD38" s="21"/>
      <c r="HGE38" s="21"/>
      <c r="HGF38" s="21"/>
      <c r="HGG38" s="21"/>
      <c r="HGH38" s="21"/>
      <c r="HGI38" s="21"/>
      <c r="HGJ38" s="21"/>
      <c r="HGK38" s="21"/>
      <c r="HGL38" s="21"/>
      <c r="HGM38" s="21"/>
      <c r="HGN38" s="21"/>
      <c r="HGO38" s="21"/>
      <c r="HGP38" s="21"/>
      <c r="HGQ38" s="21"/>
      <c r="HGR38" s="21"/>
      <c r="HGS38" s="21"/>
      <c r="HGT38" s="21"/>
      <c r="HGU38" s="21"/>
      <c r="HGV38" s="21"/>
      <c r="HGW38" s="21"/>
      <c r="HGX38" s="21"/>
      <c r="HGY38" s="21"/>
      <c r="HGZ38" s="21"/>
      <c r="HHA38" s="21"/>
      <c r="HHB38" s="21"/>
      <c r="HHC38" s="21"/>
      <c r="HHD38" s="21"/>
      <c r="HHE38" s="21"/>
      <c r="HHF38" s="21"/>
      <c r="HHG38" s="21"/>
      <c r="HHH38" s="21"/>
      <c r="HHI38" s="21"/>
      <c r="HHJ38" s="21"/>
      <c r="HHK38" s="21"/>
      <c r="HHL38" s="21"/>
      <c r="HHM38" s="21"/>
      <c r="HHN38" s="21"/>
      <c r="HHO38" s="21"/>
      <c r="HHP38" s="21"/>
      <c r="HHQ38" s="21"/>
      <c r="HHR38" s="21"/>
      <c r="HHS38" s="21"/>
      <c r="HHT38" s="21"/>
      <c r="HHU38" s="21"/>
      <c r="HHV38" s="21"/>
      <c r="HHW38" s="21"/>
      <c r="HHX38" s="21"/>
      <c r="HHY38" s="21"/>
      <c r="HHZ38" s="21"/>
      <c r="HIA38" s="21"/>
      <c r="HIB38" s="21"/>
      <c r="HIC38" s="21"/>
      <c r="HID38" s="21"/>
      <c r="HIE38" s="21"/>
      <c r="HIF38" s="21"/>
      <c r="HIG38" s="21"/>
      <c r="HIH38" s="21"/>
      <c r="HII38" s="21"/>
      <c r="HIJ38" s="21"/>
      <c r="HIK38" s="21"/>
      <c r="HIL38" s="21"/>
      <c r="HIM38" s="21"/>
      <c r="HIN38" s="21"/>
      <c r="HIO38" s="21"/>
      <c r="HIP38" s="21"/>
      <c r="HIQ38" s="21"/>
      <c r="HIR38" s="21"/>
      <c r="HIS38" s="21"/>
      <c r="HIT38" s="21"/>
      <c r="HIU38" s="21"/>
      <c r="HIV38" s="21"/>
      <c r="HIW38" s="21"/>
      <c r="HIX38" s="21"/>
      <c r="HIY38" s="21"/>
      <c r="HIZ38" s="21"/>
      <c r="HJA38" s="21"/>
      <c r="HJB38" s="21"/>
      <c r="HJC38" s="21"/>
      <c r="HJD38" s="21"/>
      <c r="HJE38" s="21"/>
      <c r="HJF38" s="21"/>
      <c r="HJG38" s="21"/>
      <c r="HJH38" s="21"/>
      <c r="HJI38" s="21"/>
      <c r="HJJ38" s="21"/>
      <c r="HJK38" s="21"/>
      <c r="HJL38" s="21"/>
      <c r="HJM38" s="21"/>
      <c r="HJN38" s="21"/>
      <c r="HJO38" s="21"/>
      <c r="HJP38" s="21"/>
      <c r="HJQ38" s="21"/>
      <c r="HJR38" s="21"/>
      <c r="HJS38" s="21"/>
      <c r="HJT38" s="21"/>
      <c r="HJU38" s="21"/>
      <c r="HJV38" s="21"/>
      <c r="HJW38" s="21"/>
      <c r="HJX38" s="21"/>
      <c r="HJY38" s="21"/>
      <c r="HJZ38" s="21"/>
      <c r="HKA38" s="21"/>
      <c r="HKB38" s="21"/>
      <c r="HKC38" s="21"/>
      <c r="HKD38" s="21"/>
      <c r="HKE38" s="21"/>
      <c r="HKF38" s="21"/>
      <c r="HKG38" s="21"/>
      <c r="HKH38" s="21"/>
      <c r="HKI38" s="21"/>
      <c r="HKJ38" s="21"/>
      <c r="HKK38" s="21"/>
      <c r="HKL38" s="21"/>
      <c r="HKM38" s="21"/>
      <c r="HKN38" s="21"/>
      <c r="HKO38" s="21"/>
      <c r="HKP38" s="21"/>
      <c r="HKQ38" s="21"/>
      <c r="HKR38" s="21"/>
      <c r="HKS38" s="21"/>
      <c r="HKT38" s="21"/>
      <c r="HKU38" s="21"/>
      <c r="HKV38" s="21"/>
      <c r="HKW38" s="21"/>
      <c r="HKX38" s="21"/>
      <c r="HKY38" s="21"/>
      <c r="HKZ38" s="21"/>
      <c r="HLA38" s="21"/>
      <c r="HLB38" s="21"/>
      <c r="HLC38" s="21"/>
      <c r="HLD38" s="21"/>
      <c r="HLE38" s="21"/>
      <c r="HLF38" s="21"/>
      <c r="HLG38" s="21"/>
      <c r="HLH38" s="21"/>
      <c r="HLI38" s="21"/>
      <c r="HLJ38" s="21"/>
      <c r="HLK38" s="21"/>
      <c r="HLL38" s="21"/>
      <c r="HLM38" s="21"/>
      <c r="HLN38" s="21"/>
      <c r="HLO38" s="21"/>
      <c r="HLP38" s="21"/>
      <c r="HLQ38" s="21"/>
      <c r="HLR38" s="21"/>
      <c r="HLS38" s="21"/>
      <c r="HLT38" s="21"/>
      <c r="HLU38" s="21"/>
      <c r="HLV38" s="21"/>
      <c r="HLW38" s="21"/>
      <c r="HLX38" s="21"/>
      <c r="HLY38" s="21"/>
      <c r="HLZ38" s="21"/>
      <c r="HMA38" s="21"/>
      <c r="HMB38" s="21"/>
      <c r="HMC38" s="21"/>
      <c r="HMD38" s="21"/>
      <c r="HME38" s="21"/>
      <c r="HMF38" s="21"/>
      <c r="HMG38" s="21"/>
      <c r="HMH38" s="21"/>
      <c r="HMI38" s="21"/>
      <c r="HMJ38" s="21"/>
      <c r="HMK38" s="21"/>
      <c r="HML38" s="21"/>
      <c r="HMM38" s="21"/>
      <c r="HMN38" s="21"/>
      <c r="HMO38" s="21"/>
      <c r="HMP38" s="21"/>
      <c r="HMQ38" s="21"/>
      <c r="HMR38" s="21"/>
      <c r="HMS38" s="21"/>
      <c r="HMT38" s="21"/>
      <c r="HMU38" s="21"/>
      <c r="HMV38" s="21"/>
      <c r="HMW38" s="21"/>
      <c r="HMX38" s="21"/>
      <c r="HMY38" s="21"/>
      <c r="HMZ38" s="21"/>
      <c r="HNA38" s="21"/>
      <c r="HNB38" s="21"/>
      <c r="HNC38" s="21"/>
      <c r="HND38" s="21"/>
      <c r="HNE38" s="21"/>
      <c r="HNF38" s="21"/>
      <c r="HNG38" s="21"/>
      <c r="HNH38" s="21"/>
      <c r="HNI38" s="21"/>
      <c r="HNJ38" s="21"/>
      <c r="HNK38" s="21"/>
      <c r="HNL38" s="21"/>
      <c r="HNM38" s="21"/>
      <c r="HNN38" s="21"/>
      <c r="HNO38" s="21"/>
      <c r="HNP38" s="21"/>
      <c r="HNQ38" s="21"/>
      <c r="HNR38" s="21"/>
      <c r="HNS38" s="21"/>
      <c r="HNT38" s="21"/>
      <c r="HNU38" s="21"/>
      <c r="HNV38" s="21"/>
      <c r="HNW38" s="21"/>
      <c r="HNX38" s="21"/>
      <c r="HNY38" s="21"/>
      <c r="HNZ38" s="21"/>
      <c r="HOA38" s="21"/>
      <c r="HOB38" s="21"/>
      <c r="HOC38" s="21"/>
      <c r="HOD38" s="21"/>
      <c r="HOE38" s="21"/>
      <c r="HOF38" s="21"/>
      <c r="HOG38" s="21"/>
      <c r="HOH38" s="21"/>
      <c r="HOI38" s="21"/>
      <c r="HOJ38" s="21"/>
      <c r="HOK38" s="21"/>
      <c r="HOL38" s="21"/>
      <c r="HOM38" s="21"/>
      <c r="HON38" s="21"/>
      <c r="HOO38" s="21"/>
      <c r="HOP38" s="21"/>
      <c r="HOQ38" s="21"/>
      <c r="HOR38" s="21"/>
      <c r="HOS38" s="21"/>
      <c r="HOT38" s="21"/>
      <c r="HOU38" s="21"/>
      <c r="HOV38" s="21"/>
      <c r="HOW38" s="21"/>
      <c r="HOX38" s="21"/>
      <c r="HOY38" s="21"/>
      <c r="HOZ38" s="21"/>
      <c r="HPA38" s="21"/>
      <c r="HPB38" s="21"/>
      <c r="HPC38" s="21"/>
      <c r="HPD38" s="21"/>
      <c r="HPE38" s="21"/>
      <c r="HPF38" s="21"/>
      <c r="HPG38" s="21"/>
      <c r="HPH38" s="21"/>
      <c r="HPI38" s="21"/>
      <c r="HPJ38" s="21"/>
      <c r="HPK38" s="21"/>
      <c r="HPL38" s="21"/>
      <c r="HPM38" s="21"/>
      <c r="HPN38" s="21"/>
      <c r="HPO38" s="21"/>
      <c r="HPP38" s="21"/>
      <c r="HPQ38" s="21"/>
      <c r="HPR38" s="21"/>
      <c r="HPS38" s="21"/>
      <c r="HPT38" s="21"/>
      <c r="HPU38" s="21"/>
      <c r="HPV38" s="21"/>
      <c r="HPW38" s="21"/>
      <c r="HPX38" s="21"/>
      <c r="HPY38" s="21"/>
      <c r="HPZ38" s="21"/>
      <c r="HQA38" s="21"/>
      <c r="HQB38" s="21"/>
      <c r="HQC38" s="21"/>
      <c r="HQD38" s="21"/>
      <c r="HQE38" s="21"/>
      <c r="HQF38" s="21"/>
      <c r="HQG38" s="21"/>
      <c r="HQH38" s="21"/>
      <c r="HQI38" s="21"/>
      <c r="HQJ38" s="21"/>
      <c r="HQK38" s="21"/>
      <c r="HQL38" s="21"/>
      <c r="HQM38" s="21"/>
      <c r="HQN38" s="21"/>
      <c r="HQO38" s="21"/>
      <c r="HQP38" s="21"/>
      <c r="HQQ38" s="21"/>
      <c r="HQR38" s="21"/>
      <c r="HQS38" s="21"/>
      <c r="HQT38" s="21"/>
      <c r="HQU38" s="21"/>
      <c r="HQV38" s="21"/>
      <c r="HQW38" s="21"/>
      <c r="HQX38" s="21"/>
      <c r="HQY38" s="21"/>
      <c r="HQZ38" s="21"/>
      <c r="HRA38" s="21"/>
      <c r="HRB38" s="21"/>
      <c r="HRC38" s="21"/>
      <c r="HRD38" s="21"/>
      <c r="HRE38" s="21"/>
      <c r="HRF38" s="21"/>
      <c r="HRG38" s="21"/>
      <c r="HRH38" s="21"/>
      <c r="HRI38" s="21"/>
      <c r="HRJ38" s="21"/>
      <c r="HRK38" s="21"/>
      <c r="HRL38" s="21"/>
      <c r="HRM38" s="21"/>
      <c r="HRN38" s="21"/>
      <c r="HRO38" s="21"/>
      <c r="HRP38" s="21"/>
      <c r="HRQ38" s="21"/>
      <c r="HRR38" s="21"/>
      <c r="HRS38" s="21"/>
      <c r="HRT38" s="21"/>
      <c r="HRU38" s="21"/>
      <c r="HRV38" s="21"/>
      <c r="HRW38" s="21"/>
      <c r="HRX38" s="21"/>
      <c r="HRY38" s="21"/>
      <c r="HRZ38" s="21"/>
      <c r="HSA38" s="21"/>
      <c r="HSB38" s="21"/>
      <c r="HSC38" s="21"/>
      <c r="HSD38" s="21"/>
      <c r="HSE38" s="21"/>
      <c r="HSF38" s="21"/>
      <c r="HSG38" s="21"/>
      <c r="HSH38" s="21"/>
      <c r="HSI38" s="21"/>
      <c r="HSJ38" s="21"/>
      <c r="HSK38" s="21"/>
      <c r="HSL38" s="21"/>
      <c r="HSM38" s="21"/>
      <c r="HSN38" s="21"/>
      <c r="HSO38" s="21"/>
      <c r="HSP38" s="21"/>
      <c r="HSQ38" s="21"/>
      <c r="HSR38" s="21"/>
      <c r="HSS38" s="21"/>
      <c r="HST38" s="21"/>
      <c r="HSU38" s="21"/>
      <c r="HSV38" s="21"/>
      <c r="HSW38" s="21"/>
      <c r="HSX38" s="21"/>
      <c r="HSY38" s="21"/>
      <c r="HSZ38" s="21"/>
      <c r="HTA38" s="21"/>
      <c r="HTB38" s="21"/>
      <c r="HTC38" s="21"/>
      <c r="HTD38" s="21"/>
      <c r="HTE38" s="21"/>
      <c r="HTF38" s="21"/>
      <c r="HTG38" s="21"/>
      <c r="HTH38" s="21"/>
      <c r="HTI38" s="21"/>
      <c r="HTJ38" s="21"/>
      <c r="HTK38" s="21"/>
      <c r="HTL38" s="21"/>
      <c r="HTM38" s="21"/>
      <c r="HTN38" s="21"/>
      <c r="HTO38" s="21"/>
      <c r="HTP38" s="21"/>
      <c r="HTQ38" s="21"/>
      <c r="HTR38" s="21"/>
      <c r="HTS38" s="21"/>
      <c r="HTT38" s="21"/>
      <c r="HTU38" s="21"/>
      <c r="HTV38" s="21"/>
      <c r="HTW38" s="21"/>
      <c r="HTX38" s="21"/>
      <c r="HTY38" s="21"/>
      <c r="HTZ38" s="21"/>
      <c r="HUA38" s="21"/>
      <c r="HUB38" s="21"/>
      <c r="HUC38" s="21"/>
      <c r="HUD38" s="21"/>
      <c r="HUE38" s="21"/>
      <c r="HUF38" s="21"/>
      <c r="HUG38" s="21"/>
      <c r="HUH38" s="21"/>
      <c r="HUI38" s="21"/>
      <c r="HUJ38" s="21"/>
      <c r="HUK38" s="21"/>
      <c r="HUL38" s="21"/>
      <c r="HUM38" s="21"/>
      <c r="HUN38" s="21"/>
      <c r="HUO38" s="21"/>
      <c r="HUP38" s="21"/>
      <c r="HUQ38" s="21"/>
      <c r="HUR38" s="21"/>
      <c r="HUS38" s="21"/>
      <c r="HUT38" s="21"/>
      <c r="HUU38" s="21"/>
      <c r="HUV38" s="21"/>
      <c r="HUW38" s="21"/>
      <c r="HUX38" s="21"/>
      <c r="HUY38" s="21"/>
      <c r="HUZ38" s="21"/>
      <c r="HVA38" s="21"/>
      <c r="HVB38" s="21"/>
      <c r="HVC38" s="21"/>
      <c r="HVD38" s="21"/>
      <c r="HVE38" s="21"/>
      <c r="HVF38" s="21"/>
      <c r="HVG38" s="21"/>
      <c r="HVH38" s="21"/>
      <c r="HVI38" s="21"/>
      <c r="HVJ38" s="21"/>
      <c r="HVK38" s="21"/>
      <c r="HVL38" s="21"/>
      <c r="HVM38" s="21"/>
      <c r="HVN38" s="21"/>
      <c r="HVO38" s="21"/>
      <c r="HVP38" s="21"/>
      <c r="HVQ38" s="21"/>
      <c r="HVR38" s="21"/>
      <c r="HVS38" s="21"/>
      <c r="HVT38" s="21"/>
      <c r="HVU38" s="21"/>
      <c r="HVV38" s="21"/>
      <c r="HVW38" s="21"/>
      <c r="HVX38" s="21"/>
      <c r="HVY38" s="21"/>
      <c r="HVZ38" s="21"/>
      <c r="HWA38" s="21"/>
      <c r="HWB38" s="21"/>
      <c r="HWC38" s="21"/>
      <c r="HWD38" s="21"/>
      <c r="HWE38" s="21"/>
      <c r="HWF38" s="21"/>
      <c r="HWG38" s="21"/>
      <c r="HWH38" s="21"/>
      <c r="HWI38" s="21"/>
      <c r="HWJ38" s="21"/>
      <c r="HWK38" s="21"/>
      <c r="HWL38" s="21"/>
      <c r="HWM38" s="21"/>
      <c r="HWN38" s="21"/>
      <c r="HWO38" s="21"/>
      <c r="HWP38" s="21"/>
      <c r="HWQ38" s="21"/>
      <c r="HWR38" s="21"/>
      <c r="HWS38" s="21"/>
      <c r="HWT38" s="21"/>
      <c r="HWU38" s="21"/>
      <c r="HWV38" s="21"/>
      <c r="HWW38" s="21"/>
      <c r="HWX38" s="21"/>
      <c r="HWY38" s="21"/>
      <c r="HWZ38" s="21"/>
      <c r="HXA38" s="21"/>
      <c r="HXB38" s="21"/>
      <c r="HXC38" s="21"/>
      <c r="HXD38" s="21"/>
      <c r="HXE38" s="21"/>
      <c r="HXF38" s="21"/>
      <c r="HXG38" s="21"/>
      <c r="HXH38" s="21"/>
      <c r="HXI38" s="21"/>
      <c r="HXJ38" s="21"/>
      <c r="HXK38" s="21"/>
      <c r="HXL38" s="21"/>
      <c r="HXM38" s="21"/>
      <c r="HXN38" s="21"/>
      <c r="HXO38" s="21"/>
      <c r="HXP38" s="21"/>
      <c r="HXQ38" s="21"/>
      <c r="HXR38" s="21"/>
      <c r="HXS38" s="21"/>
      <c r="HXT38" s="21"/>
      <c r="HXU38" s="21"/>
      <c r="HXV38" s="21"/>
      <c r="HXW38" s="21"/>
      <c r="HXX38" s="21"/>
      <c r="HXY38" s="21"/>
      <c r="HXZ38" s="21"/>
      <c r="HYA38" s="21"/>
      <c r="HYB38" s="21"/>
      <c r="HYC38" s="21"/>
      <c r="HYD38" s="21"/>
      <c r="HYE38" s="21"/>
      <c r="HYF38" s="21"/>
      <c r="HYG38" s="21"/>
      <c r="HYH38" s="21"/>
      <c r="HYI38" s="21"/>
      <c r="HYJ38" s="21"/>
      <c r="HYK38" s="21"/>
      <c r="HYL38" s="21"/>
      <c r="HYM38" s="21"/>
      <c r="HYN38" s="21"/>
      <c r="HYO38" s="21"/>
      <c r="HYP38" s="21"/>
      <c r="HYQ38" s="21"/>
      <c r="HYR38" s="21"/>
      <c r="HYS38" s="21"/>
      <c r="HYT38" s="21"/>
      <c r="HYU38" s="21"/>
      <c r="HYV38" s="21"/>
      <c r="HYW38" s="21"/>
      <c r="HYX38" s="21"/>
      <c r="HYY38" s="21"/>
      <c r="HYZ38" s="21"/>
      <c r="HZA38" s="21"/>
      <c r="HZB38" s="21"/>
      <c r="HZC38" s="21"/>
      <c r="HZD38" s="21"/>
      <c r="HZE38" s="21"/>
      <c r="HZF38" s="21"/>
      <c r="HZG38" s="21"/>
      <c r="HZH38" s="21"/>
      <c r="HZI38" s="21"/>
      <c r="HZJ38" s="21"/>
      <c r="HZK38" s="21"/>
      <c r="HZL38" s="21"/>
      <c r="HZM38" s="21"/>
      <c r="HZN38" s="21"/>
      <c r="HZO38" s="21"/>
      <c r="HZP38" s="21"/>
      <c r="HZQ38" s="21"/>
      <c r="HZR38" s="21"/>
      <c r="HZS38" s="21"/>
      <c r="HZT38" s="21"/>
      <c r="HZU38" s="21"/>
      <c r="HZV38" s="21"/>
      <c r="HZW38" s="21"/>
      <c r="HZX38" s="21"/>
      <c r="HZY38" s="21"/>
      <c r="HZZ38" s="21"/>
      <c r="IAA38" s="21"/>
      <c r="IAB38" s="21"/>
      <c r="IAC38" s="21"/>
      <c r="IAD38" s="21"/>
      <c r="IAE38" s="21"/>
      <c r="IAF38" s="21"/>
      <c r="IAG38" s="21"/>
      <c r="IAH38" s="21"/>
      <c r="IAI38" s="21"/>
      <c r="IAJ38" s="21"/>
      <c r="IAK38" s="21"/>
      <c r="IAL38" s="21"/>
      <c r="IAM38" s="21"/>
      <c r="IAN38" s="21"/>
      <c r="IAO38" s="21"/>
      <c r="IAP38" s="21"/>
      <c r="IAQ38" s="21"/>
      <c r="IAR38" s="21"/>
      <c r="IAS38" s="21"/>
      <c r="IAT38" s="21"/>
      <c r="IAU38" s="21"/>
      <c r="IAV38" s="21"/>
      <c r="IAW38" s="21"/>
      <c r="IAX38" s="21"/>
      <c r="IAY38" s="21"/>
      <c r="IAZ38" s="21"/>
      <c r="IBA38" s="21"/>
      <c r="IBB38" s="21"/>
      <c r="IBC38" s="21"/>
      <c r="IBD38" s="21"/>
      <c r="IBE38" s="21"/>
      <c r="IBF38" s="21"/>
      <c r="IBG38" s="21"/>
      <c r="IBH38" s="21"/>
      <c r="IBI38" s="21"/>
      <c r="IBJ38" s="21"/>
      <c r="IBK38" s="21"/>
      <c r="IBL38" s="21"/>
      <c r="IBM38" s="21"/>
      <c r="IBN38" s="21"/>
      <c r="IBO38" s="21"/>
      <c r="IBP38" s="21"/>
      <c r="IBQ38" s="21"/>
      <c r="IBR38" s="21"/>
      <c r="IBS38" s="21"/>
      <c r="IBT38" s="21"/>
      <c r="IBU38" s="21"/>
      <c r="IBV38" s="21"/>
      <c r="IBW38" s="21"/>
      <c r="IBX38" s="21"/>
      <c r="IBY38" s="21"/>
      <c r="IBZ38" s="21"/>
      <c r="ICA38" s="21"/>
      <c r="ICB38" s="21"/>
      <c r="ICC38" s="21"/>
      <c r="ICD38" s="21"/>
      <c r="ICE38" s="21"/>
      <c r="ICF38" s="21"/>
      <c r="ICG38" s="21"/>
      <c r="ICH38" s="21"/>
      <c r="ICI38" s="21"/>
      <c r="ICJ38" s="21"/>
      <c r="ICK38" s="21"/>
      <c r="ICL38" s="21"/>
      <c r="ICM38" s="21"/>
      <c r="ICN38" s="21"/>
      <c r="ICO38" s="21"/>
      <c r="ICP38" s="21"/>
      <c r="ICQ38" s="21"/>
      <c r="ICR38" s="21"/>
      <c r="ICS38" s="21"/>
      <c r="ICT38" s="21"/>
      <c r="ICU38" s="21"/>
      <c r="ICV38" s="21"/>
      <c r="ICW38" s="21"/>
      <c r="ICX38" s="21"/>
      <c r="ICY38" s="21"/>
      <c r="ICZ38" s="21"/>
      <c r="IDA38" s="21"/>
      <c r="IDB38" s="21"/>
      <c r="IDC38" s="21"/>
      <c r="IDD38" s="21"/>
      <c r="IDE38" s="21"/>
      <c r="IDF38" s="21"/>
      <c r="IDG38" s="21"/>
      <c r="IDH38" s="21"/>
      <c r="IDI38" s="21"/>
      <c r="IDJ38" s="21"/>
      <c r="IDK38" s="21"/>
      <c r="IDL38" s="21"/>
      <c r="IDM38" s="21"/>
      <c r="IDN38" s="21"/>
      <c r="IDO38" s="21"/>
      <c r="IDP38" s="21"/>
      <c r="IDQ38" s="21"/>
      <c r="IDR38" s="21"/>
      <c r="IDS38" s="21"/>
      <c r="IDT38" s="21"/>
      <c r="IDU38" s="21"/>
      <c r="IDV38" s="21"/>
      <c r="IDW38" s="21"/>
      <c r="IDX38" s="21"/>
      <c r="IDY38" s="21"/>
      <c r="IDZ38" s="21"/>
      <c r="IEA38" s="21"/>
      <c r="IEB38" s="21"/>
      <c r="IEC38" s="21"/>
      <c r="IED38" s="21"/>
      <c r="IEE38" s="21"/>
      <c r="IEF38" s="21"/>
      <c r="IEG38" s="21"/>
      <c r="IEH38" s="21"/>
      <c r="IEI38" s="21"/>
      <c r="IEJ38" s="21"/>
      <c r="IEK38" s="21"/>
      <c r="IEL38" s="21"/>
      <c r="IEM38" s="21"/>
      <c r="IEN38" s="21"/>
      <c r="IEO38" s="21"/>
      <c r="IEP38" s="21"/>
      <c r="IEQ38" s="21"/>
      <c r="IER38" s="21"/>
      <c r="IES38" s="21"/>
      <c r="IET38" s="21"/>
      <c r="IEU38" s="21"/>
      <c r="IEV38" s="21"/>
      <c r="IEW38" s="21"/>
      <c r="IEX38" s="21"/>
      <c r="IEY38" s="21"/>
      <c r="IEZ38" s="21"/>
      <c r="IFA38" s="21"/>
      <c r="IFB38" s="21"/>
      <c r="IFC38" s="21"/>
      <c r="IFD38" s="21"/>
      <c r="IFE38" s="21"/>
      <c r="IFF38" s="21"/>
      <c r="IFG38" s="21"/>
      <c r="IFH38" s="21"/>
      <c r="IFI38" s="21"/>
      <c r="IFJ38" s="21"/>
      <c r="IFK38" s="21"/>
      <c r="IFL38" s="21"/>
      <c r="IFM38" s="21"/>
      <c r="IFN38" s="21"/>
      <c r="IFO38" s="21"/>
      <c r="IFP38" s="21"/>
      <c r="IFQ38" s="21"/>
      <c r="IFR38" s="21"/>
      <c r="IFS38" s="21"/>
      <c r="IFT38" s="21"/>
      <c r="IFU38" s="21"/>
      <c r="IFV38" s="21"/>
      <c r="IFW38" s="21"/>
      <c r="IFX38" s="21"/>
      <c r="IFY38" s="21"/>
      <c r="IFZ38" s="21"/>
      <c r="IGA38" s="21"/>
      <c r="IGB38" s="21"/>
      <c r="IGC38" s="21"/>
      <c r="IGD38" s="21"/>
      <c r="IGE38" s="21"/>
      <c r="IGF38" s="21"/>
      <c r="IGG38" s="21"/>
      <c r="IGH38" s="21"/>
      <c r="IGI38" s="21"/>
      <c r="IGJ38" s="21"/>
      <c r="IGK38" s="21"/>
      <c r="IGL38" s="21"/>
      <c r="IGM38" s="21"/>
      <c r="IGN38" s="21"/>
      <c r="IGO38" s="21"/>
      <c r="IGP38" s="21"/>
      <c r="IGQ38" s="21"/>
      <c r="IGR38" s="21"/>
      <c r="IGS38" s="21"/>
      <c r="IGT38" s="21"/>
      <c r="IGU38" s="21"/>
      <c r="IGV38" s="21"/>
      <c r="IGW38" s="21"/>
      <c r="IGX38" s="21"/>
      <c r="IGY38" s="21"/>
      <c r="IGZ38" s="21"/>
      <c r="IHA38" s="21"/>
      <c r="IHB38" s="21"/>
      <c r="IHC38" s="21"/>
      <c r="IHD38" s="21"/>
      <c r="IHE38" s="21"/>
      <c r="IHF38" s="21"/>
      <c r="IHG38" s="21"/>
      <c r="IHH38" s="21"/>
      <c r="IHI38" s="21"/>
      <c r="IHJ38" s="21"/>
      <c r="IHK38" s="21"/>
      <c r="IHL38" s="21"/>
      <c r="IHM38" s="21"/>
      <c r="IHN38" s="21"/>
      <c r="IHO38" s="21"/>
      <c r="IHP38" s="21"/>
      <c r="IHQ38" s="21"/>
      <c r="IHR38" s="21"/>
      <c r="IHS38" s="21"/>
      <c r="IHT38" s="21"/>
      <c r="IHU38" s="21"/>
      <c r="IHV38" s="21"/>
      <c r="IHW38" s="21"/>
      <c r="IHX38" s="21"/>
      <c r="IHY38" s="21"/>
      <c r="IHZ38" s="21"/>
      <c r="IIA38" s="21"/>
      <c r="IIB38" s="21"/>
      <c r="IIC38" s="21"/>
      <c r="IID38" s="21"/>
      <c r="IIE38" s="21"/>
      <c r="IIF38" s="21"/>
      <c r="IIG38" s="21"/>
      <c r="IIH38" s="21"/>
      <c r="III38" s="21"/>
      <c r="IIJ38" s="21"/>
      <c r="IIK38" s="21"/>
      <c r="IIL38" s="21"/>
      <c r="IIM38" s="21"/>
      <c r="IIN38" s="21"/>
      <c r="IIO38" s="21"/>
      <c r="IIP38" s="21"/>
      <c r="IIQ38" s="21"/>
      <c r="IIR38" s="21"/>
      <c r="IIS38" s="21"/>
      <c r="IIT38" s="21"/>
      <c r="IIU38" s="21"/>
      <c r="IIV38" s="21"/>
      <c r="IIW38" s="21"/>
      <c r="IIX38" s="21"/>
      <c r="IIY38" s="21"/>
      <c r="IIZ38" s="21"/>
      <c r="IJA38" s="21"/>
      <c r="IJB38" s="21"/>
      <c r="IJC38" s="21"/>
      <c r="IJD38" s="21"/>
      <c r="IJE38" s="21"/>
      <c r="IJF38" s="21"/>
      <c r="IJG38" s="21"/>
      <c r="IJH38" s="21"/>
      <c r="IJI38" s="21"/>
      <c r="IJJ38" s="21"/>
      <c r="IJK38" s="21"/>
      <c r="IJL38" s="21"/>
      <c r="IJM38" s="21"/>
      <c r="IJN38" s="21"/>
      <c r="IJO38" s="21"/>
      <c r="IJP38" s="21"/>
      <c r="IJQ38" s="21"/>
      <c r="IJR38" s="21"/>
      <c r="IJS38" s="21"/>
      <c r="IJT38" s="21"/>
      <c r="IJU38" s="21"/>
      <c r="IJV38" s="21"/>
      <c r="IJW38" s="21"/>
      <c r="IJX38" s="21"/>
      <c r="IJY38" s="21"/>
      <c r="IJZ38" s="21"/>
      <c r="IKA38" s="21"/>
      <c r="IKB38" s="21"/>
      <c r="IKC38" s="21"/>
      <c r="IKD38" s="21"/>
      <c r="IKE38" s="21"/>
      <c r="IKF38" s="21"/>
      <c r="IKG38" s="21"/>
      <c r="IKH38" s="21"/>
      <c r="IKI38" s="21"/>
      <c r="IKJ38" s="21"/>
      <c r="IKK38" s="21"/>
      <c r="IKL38" s="21"/>
      <c r="IKM38" s="21"/>
      <c r="IKN38" s="21"/>
      <c r="IKO38" s="21"/>
      <c r="IKP38" s="21"/>
      <c r="IKQ38" s="21"/>
      <c r="IKR38" s="21"/>
      <c r="IKS38" s="21"/>
      <c r="IKT38" s="21"/>
      <c r="IKU38" s="21"/>
      <c r="IKV38" s="21"/>
      <c r="IKW38" s="21"/>
      <c r="IKX38" s="21"/>
      <c r="IKY38" s="21"/>
      <c r="IKZ38" s="21"/>
      <c r="ILA38" s="21"/>
      <c r="ILB38" s="21"/>
      <c r="ILC38" s="21"/>
      <c r="ILD38" s="21"/>
      <c r="ILE38" s="21"/>
      <c r="ILF38" s="21"/>
      <c r="ILG38" s="21"/>
      <c r="ILH38" s="21"/>
      <c r="ILI38" s="21"/>
      <c r="ILJ38" s="21"/>
      <c r="ILK38" s="21"/>
      <c r="ILL38" s="21"/>
      <c r="ILM38" s="21"/>
      <c r="ILN38" s="21"/>
      <c r="ILO38" s="21"/>
      <c r="ILP38" s="21"/>
      <c r="ILQ38" s="21"/>
      <c r="ILR38" s="21"/>
      <c r="ILS38" s="21"/>
      <c r="ILT38" s="21"/>
      <c r="ILU38" s="21"/>
      <c r="ILV38" s="21"/>
      <c r="ILW38" s="21"/>
      <c r="ILX38" s="21"/>
      <c r="ILY38" s="21"/>
      <c r="ILZ38" s="21"/>
      <c r="IMA38" s="21"/>
      <c r="IMB38" s="21"/>
      <c r="IMC38" s="21"/>
      <c r="IMD38" s="21"/>
      <c r="IME38" s="21"/>
      <c r="IMF38" s="21"/>
      <c r="IMG38" s="21"/>
      <c r="IMH38" s="21"/>
      <c r="IMI38" s="21"/>
      <c r="IMJ38" s="21"/>
      <c r="IMK38" s="21"/>
      <c r="IML38" s="21"/>
      <c r="IMM38" s="21"/>
      <c r="IMN38" s="21"/>
      <c r="IMO38" s="21"/>
      <c r="IMP38" s="21"/>
      <c r="IMQ38" s="21"/>
      <c r="IMR38" s="21"/>
      <c r="IMS38" s="21"/>
      <c r="IMT38" s="21"/>
      <c r="IMU38" s="21"/>
      <c r="IMV38" s="21"/>
      <c r="IMW38" s="21"/>
      <c r="IMX38" s="21"/>
      <c r="IMY38" s="21"/>
      <c r="IMZ38" s="21"/>
      <c r="INA38" s="21"/>
      <c r="INB38" s="21"/>
      <c r="INC38" s="21"/>
      <c r="IND38" s="21"/>
      <c r="INE38" s="21"/>
      <c r="INF38" s="21"/>
      <c r="ING38" s="21"/>
      <c r="INH38" s="21"/>
      <c r="INI38" s="21"/>
      <c r="INJ38" s="21"/>
      <c r="INK38" s="21"/>
      <c r="INL38" s="21"/>
      <c r="INM38" s="21"/>
      <c r="INN38" s="21"/>
      <c r="INO38" s="21"/>
      <c r="INP38" s="21"/>
      <c r="INQ38" s="21"/>
      <c r="INR38" s="21"/>
      <c r="INS38" s="21"/>
      <c r="INT38" s="21"/>
      <c r="INU38" s="21"/>
      <c r="INV38" s="21"/>
      <c r="INW38" s="21"/>
      <c r="INX38" s="21"/>
      <c r="INY38" s="21"/>
      <c r="INZ38" s="21"/>
      <c r="IOA38" s="21"/>
      <c r="IOB38" s="21"/>
      <c r="IOC38" s="21"/>
      <c r="IOD38" s="21"/>
      <c r="IOE38" s="21"/>
      <c r="IOF38" s="21"/>
      <c r="IOG38" s="21"/>
      <c r="IOH38" s="21"/>
      <c r="IOI38" s="21"/>
      <c r="IOJ38" s="21"/>
      <c r="IOK38" s="21"/>
      <c r="IOL38" s="21"/>
      <c r="IOM38" s="21"/>
      <c r="ION38" s="21"/>
      <c r="IOO38" s="21"/>
      <c r="IOP38" s="21"/>
      <c r="IOQ38" s="21"/>
      <c r="IOR38" s="21"/>
      <c r="IOS38" s="21"/>
      <c r="IOT38" s="21"/>
      <c r="IOU38" s="21"/>
      <c r="IOV38" s="21"/>
      <c r="IOW38" s="21"/>
      <c r="IOX38" s="21"/>
      <c r="IOY38" s="21"/>
      <c r="IOZ38" s="21"/>
      <c r="IPA38" s="21"/>
      <c r="IPB38" s="21"/>
      <c r="IPC38" s="21"/>
      <c r="IPD38" s="21"/>
      <c r="IPE38" s="21"/>
      <c r="IPF38" s="21"/>
      <c r="IPG38" s="21"/>
      <c r="IPH38" s="21"/>
      <c r="IPI38" s="21"/>
      <c r="IPJ38" s="21"/>
      <c r="IPK38" s="21"/>
      <c r="IPL38" s="21"/>
      <c r="IPM38" s="21"/>
      <c r="IPN38" s="21"/>
      <c r="IPO38" s="21"/>
      <c r="IPP38" s="21"/>
      <c r="IPQ38" s="21"/>
      <c r="IPR38" s="21"/>
      <c r="IPS38" s="21"/>
      <c r="IPT38" s="21"/>
      <c r="IPU38" s="21"/>
      <c r="IPV38" s="21"/>
      <c r="IPW38" s="21"/>
      <c r="IPX38" s="21"/>
      <c r="IPY38" s="21"/>
      <c r="IPZ38" s="21"/>
      <c r="IQA38" s="21"/>
      <c r="IQB38" s="21"/>
      <c r="IQC38" s="21"/>
      <c r="IQD38" s="21"/>
      <c r="IQE38" s="21"/>
      <c r="IQF38" s="21"/>
      <c r="IQG38" s="21"/>
      <c r="IQH38" s="21"/>
      <c r="IQI38" s="21"/>
      <c r="IQJ38" s="21"/>
      <c r="IQK38" s="21"/>
      <c r="IQL38" s="21"/>
      <c r="IQM38" s="21"/>
      <c r="IQN38" s="21"/>
      <c r="IQO38" s="21"/>
      <c r="IQP38" s="21"/>
      <c r="IQQ38" s="21"/>
      <c r="IQR38" s="21"/>
      <c r="IQS38" s="21"/>
      <c r="IQT38" s="21"/>
      <c r="IQU38" s="21"/>
      <c r="IQV38" s="21"/>
      <c r="IQW38" s="21"/>
      <c r="IQX38" s="21"/>
      <c r="IQY38" s="21"/>
      <c r="IQZ38" s="21"/>
      <c r="IRA38" s="21"/>
      <c r="IRB38" s="21"/>
      <c r="IRC38" s="21"/>
      <c r="IRD38" s="21"/>
      <c r="IRE38" s="21"/>
      <c r="IRF38" s="21"/>
      <c r="IRG38" s="21"/>
      <c r="IRH38" s="21"/>
      <c r="IRI38" s="21"/>
      <c r="IRJ38" s="21"/>
      <c r="IRK38" s="21"/>
      <c r="IRL38" s="21"/>
      <c r="IRM38" s="21"/>
      <c r="IRN38" s="21"/>
      <c r="IRO38" s="21"/>
      <c r="IRP38" s="21"/>
      <c r="IRQ38" s="21"/>
      <c r="IRR38" s="21"/>
      <c r="IRS38" s="21"/>
      <c r="IRT38" s="21"/>
      <c r="IRU38" s="21"/>
      <c r="IRV38" s="21"/>
      <c r="IRW38" s="21"/>
      <c r="IRX38" s="21"/>
      <c r="IRY38" s="21"/>
      <c r="IRZ38" s="21"/>
      <c r="ISA38" s="21"/>
      <c r="ISB38" s="21"/>
      <c r="ISC38" s="21"/>
      <c r="ISD38" s="21"/>
      <c r="ISE38" s="21"/>
      <c r="ISF38" s="21"/>
      <c r="ISG38" s="21"/>
      <c r="ISH38" s="21"/>
      <c r="ISI38" s="21"/>
      <c r="ISJ38" s="21"/>
      <c r="ISK38" s="21"/>
      <c r="ISL38" s="21"/>
      <c r="ISM38" s="21"/>
      <c r="ISN38" s="21"/>
      <c r="ISO38" s="21"/>
      <c r="ISP38" s="21"/>
      <c r="ISQ38" s="21"/>
      <c r="ISR38" s="21"/>
      <c r="ISS38" s="21"/>
      <c r="IST38" s="21"/>
      <c r="ISU38" s="21"/>
      <c r="ISV38" s="21"/>
      <c r="ISW38" s="21"/>
      <c r="ISX38" s="21"/>
      <c r="ISY38" s="21"/>
      <c r="ISZ38" s="21"/>
      <c r="ITA38" s="21"/>
      <c r="ITB38" s="21"/>
      <c r="ITC38" s="21"/>
      <c r="ITD38" s="21"/>
      <c r="ITE38" s="21"/>
      <c r="ITF38" s="21"/>
      <c r="ITG38" s="21"/>
      <c r="ITH38" s="21"/>
      <c r="ITI38" s="21"/>
      <c r="ITJ38" s="21"/>
      <c r="ITK38" s="21"/>
      <c r="ITL38" s="21"/>
      <c r="ITM38" s="21"/>
      <c r="ITN38" s="21"/>
      <c r="ITO38" s="21"/>
      <c r="ITP38" s="21"/>
      <c r="ITQ38" s="21"/>
      <c r="ITR38" s="21"/>
      <c r="ITS38" s="21"/>
      <c r="ITT38" s="21"/>
      <c r="ITU38" s="21"/>
      <c r="ITV38" s="21"/>
      <c r="ITW38" s="21"/>
      <c r="ITX38" s="21"/>
      <c r="ITY38" s="21"/>
      <c r="ITZ38" s="21"/>
      <c r="IUA38" s="21"/>
      <c r="IUB38" s="21"/>
      <c r="IUC38" s="21"/>
      <c r="IUD38" s="21"/>
      <c r="IUE38" s="21"/>
      <c r="IUF38" s="21"/>
      <c r="IUG38" s="21"/>
      <c r="IUH38" s="21"/>
      <c r="IUI38" s="21"/>
      <c r="IUJ38" s="21"/>
      <c r="IUK38" s="21"/>
      <c r="IUL38" s="21"/>
      <c r="IUM38" s="21"/>
      <c r="IUN38" s="21"/>
      <c r="IUO38" s="21"/>
      <c r="IUP38" s="21"/>
      <c r="IUQ38" s="21"/>
      <c r="IUR38" s="21"/>
      <c r="IUS38" s="21"/>
      <c r="IUT38" s="21"/>
      <c r="IUU38" s="21"/>
      <c r="IUV38" s="21"/>
      <c r="IUW38" s="21"/>
      <c r="IUX38" s="21"/>
      <c r="IUY38" s="21"/>
      <c r="IUZ38" s="21"/>
      <c r="IVA38" s="21"/>
      <c r="IVB38" s="21"/>
      <c r="IVC38" s="21"/>
      <c r="IVD38" s="21"/>
      <c r="IVE38" s="21"/>
      <c r="IVF38" s="21"/>
      <c r="IVG38" s="21"/>
      <c r="IVH38" s="21"/>
      <c r="IVI38" s="21"/>
      <c r="IVJ38" s="21"/>
      <c r="IVK38" s="21"/>
      <c r="IVL38" s="21"/>
      <c r="IVM38" s="21"/>
      <c r="IVN38" s="21"/>
      <c r="IVO38" s="21"/>
      <c r="IVP38" s="21"/>
      <c r="IVQ38" s="21"/>
      <c r="IVR38" s="21"/>
      <c r="IVS38" s="21"/>
      <c r="IVT38" s="21"/>
      <c r="IVU38" s="21"/>
      <c r="IVV38" s="21"/>
      <c r="IVW38" s="21"/>
      <c r="IVX38" s="21"/>
      <c r="IVY38" s="21"/>
      <c r="IVZ38" s="21"/>
      <c r="IWA38" s="21"/>
      <c r="IWB38" s="21"/>
      <c r="IWC38" s="21"/>
      <c r="IWD38" s="21"/>
      <c r="IWE38" s="21"/>
      <c r="IWF38" s="21"/>
      <c r="IWG38" s="21"/>
      <c r="IWH38" s="21"/>
      <c r="IWI38" s="21"/>
      <c r="IWJ38" s="21"/>
      <c r="IWK38" s="21"/>
      <c r="IWL38" s="21"/>
      <c r="IWM38" s="21"/>
      <c r="IWN38" s="21"/>
      <c r="IWO38" s="21"/>
      <c r="IWP38" s="21"/>
      <c r="IWQ38" s="21"/>
      <c r="IWR38" s="21"/>
      <c r="IWS38" s="21"/>
      <c r="IWT38" s="21"/>
      <c r="IWU38" s="21"/>
      <c r="IWV38" s="21"/>
      <c r="IWW38" s="21"/>
      <c r="IWX38" s="21"/>
      <c r="IWY38" s="21"/>
      <c r="IWZ38" s="21"/>
      <c r="IXA38" s="21"/>
      <c r="IXB38" s="21"/>
      <c r="IXC38" s="21"/>
      <c r="IXD38" s="21"/>
      <c r="IXE38" s="21"/>
      <c r="IXF38" s="21"/>
      <c r="IXG38" s="21"/>
      <c r="IXH38" s="21"/>
      <c r="IXI38" s="21"/>
      <c r="IXJ38" s="21"/>
      <c r="IXK38" s="21"/>
      <c r="IXL38" s="21"/>
      <c r="IXM38" s="21"/>
      <c r="IXN38" s="21"/>
      <c r="IXO38" s="21"/>
      <c r="IXP38" s="21"/>
      <c r="IXQ38" s="21"/>
      <c r="IXR38" s="21"/>
      <c r="IXS38" s="21"/>
      <c r="IXT38" s="21"/>
      <c r="IXU38" s="21"/>
      <c r="IXV38" s="21"/>
      <c r="IXW38" s="21"/>
      <c r="IXX38" s="21"/>
      <c r="IXY38" s="21"/>
      <c r="IXZ38" s="21"/>
      <c r="IYA38" s="21"/>
      <c r="IYB38" s="21"/>
      <c r="IYC38" s="21"/>
      <c r="IYD38" s="21"/>
      <c r="IYE38" s="21"/>
      <c r="IYF38" s="21"/>
      <c r="IYG38" s="21"/>
      <c r="IYH38" s="21"/>
      <c r="IYI38" s="21"/>
      <c r="IYJ38" s="21"/>
      <c r="IYK38" s="21"/>
      <c r="IYL38" s="21"/>
      <c r="IYM38" s="21"/>
      <c r="IYN38" s="21"/>
      <c r="IYO38" s="21"/>
      <c r="IYP38" s="21"/>
      <c r="IYQ38" s="21"/>
      <c r="IYR38" s="21"/>
      <c r="IYS38" s="21"/>
      <c r="IYT38" s="21"/>
      <c r="IYU38" s="21"/>
      <c r="IYV38" s="21"/>
      <c r="IYW38" s="21"/>
      <c r="IYX38" s="21"/>
      <c r="IYY38" s="21"/>
      <c r="IYZ38" s="21"/>
      <c r="IZA38" s="21"/>
      <c r="IZB38" s="21"/>
      <c r="IZC38" s="21"/>
      <c r="IZD38" s="21"/>
      <c r="IZE38" s="21"/>
      <c r="IZF38" s="21"/>
      <c r="IZG38" s="21"/>
      <c r="IZH38" s="21"/>
      <c r="IZI38" s="21"/>
      <c r="IZJ38" s="21"/>
      <c r="IZK38" s="21"/>
      <c r="IZL38" s="21"/>
      <c r="IZM38" s="21"/>
      <c r="IZN38" s="21"/>
      <c r="IZO38" s="21"/>
      <c r="IZP38" s="21"/>
      <c r="IZQ38" s="21"/>
      <c r="IZR38" s="21"/>
      <c r="IZS38" s="21"/>
      <c r="IZT38" s="21"/>
      <c r="IZU38" s="21"/>
      <c r="IZV38" s="21"/>
      <c r="IZW38" s="21"/>
      <c r="IZX38" s="21"/>
      <c r="IZY38" s="21"/>
      <c r="IZZ38" s="21"/>
      <c r="JAA38" s="21"/>
      <c r="JAB38" s="21"/>
      <c r="JAC38" s="21"/>
      <c r="JAD38" s="21"/>
      <c r="JAE38" s="21"/>
      <c r="JAF38" s="21"/>
      <c r="JAG38" s="21"/>
      <c r="JAH38" s="21"/>
      <c r="JAI38" s="21"/>
      <c r="JAJ38" s="21"/>
      <c r="JAK38" s="21"/>
      <c r="JAL38" s="21"/>
      <c r="JAM38" s="21"/>
      <c r="JAN38" s="21"/>
      <c r="JAO38" s="21"/>
      <c r="JAP38" s="21"/>
      <c r="JAQ38" s="21"/>
      <c r="JAR38" s="21"/>
      <c r="JAS38" s="21"/>
      <c r="JAT38" s="21"/>
      <c r="JAU38" s="21"/>
      <c r="JAV38" s="21"/>
      <c r="JAW38" s="21"/>
      <c r="JAX38" s="21"/>
      <c r="JAY38" s="21"/>
      <c r="JAZ38" s="21"/>
      <c r="JBA38" s="21"/>
      <c r="JBB38" s="21"/>
      <c r="JBC38" s="21"/>
      <c r="JBD38" s="21"/>
      <c r="JBE38" s="21"/>
      <c r="JBF38" s="21"/>
      <c r="JBG38" s="21"/>
      <c r="JBH38" s="21"/>
      <c r="JBI38" s="21"/>
      <c r="JBJ38" s="21"/>
      <c r="JBK38" s="21"/>
      <c r="JBL38" s="21"/>
      <c r="JBM38" s="21"/>
      <c r="JBN38" s="21"/>
      <c r="JBO38" s="21"/>
      <c r="JBP38" s="21"/>
      <c r="JBQ38" s="21"/>
      <c r="JBR38" s="21"/>
      <c r="JBS38" s="21"/>
      <c r="JBT38" s="21"/>
      <c r="JBU38" s="21"/>
      <c r="JBV38" s="21"/>
      <c r="JBW38" s="21"/>
      <c r="JBX38" s="21"/>
      <c r="JBY38" s="21"/>
      <c r="JBZ38" s="21"/>
      <c r="JCA38" s="21"/>
      <c r="JCB38" s="21"/>
      <c r="JCC38" s="21"/>
      <c r="JCD38" s="21"/>
      <c r="JCE38" s="21"/>
      <c r="JCF38" s="21"/>
      <c r="JCG38" s="21"/>
      <c r="JCH38" s="21"/>
      <c r="JCI38" s="21"/>
      <c r="JCJ38" s="21"/>
      <c r="JCK38" s="21"/>
      <c r="JCL38" s="21"/>
      <c r="JCM38" s="21"/>
      <c r="JCN38" s="21"/>
      <c r="JCO38" s="21"/>
      <c r="JCP38" s="21"/>
      <c r="JCQ38" s="21"/>
      <c r="JCR38" s="21"/>
      <c r="JCS38" s="21"/>
      <c r="JCT38" s="21"/>
      <c r="JCU38" s="21"/>
      <c r="JCV38" s="21"/>
      <c r="JCW38" s="21"/>
      <c r="JCX38" s="21"/>
      <c r="JCY38" s="21"/>
      <c r="JCZ38" s="21"/>
      <c r="JDA38" s="21"/>
      <c r="JDB38" s="21"/>
      <c r="JDC38" s="21"/>
      <c r="JDD38" s="21"/>
      <c r="JDE38" s="21"/>
      <c r="JDF38" s="21"/>
      <c r="JDG38" s="21"/>
      <c r="JDH38" s="21"/>
      <c r="JDI38" s="21"/>
      <c r="JDJ38" s="21"/>
      <c r="JDK38" s="21"/>
      <c r="JDL38" s="21"/>
      <c r="JDM38" s="21"/>
      <c r="JDN38" s="21"/>
      <c r="JDO38" s="21"/>
      <c r="JDP38" s="21"/>
      <c r="JDQ38" s="21"/>
      <c r="JDR38" s="21"/>
      <c r="JDS38" s="21"/>
      <c r="JDT38" s="21"/>
      <c r="JDU38" s="21"/>
      <c r="JDV38" s="21"/>
      <c r="JDW38" s="21"/>
      <c r="JDX38" s="21"/>
      <c r="JDY38" s="21"/>
      <c r="JDZ38" s="21"/>
      <c r="JEA38" s="21"/>
      <c r="JEB38" s="21"/>
      <c r="JEC38" s="21"/>
      <c r="JED38" s="21"/>
      <c r="JEE38" s="21"/>
      <c r="JEF38" s="21"/>
      <c r="JEG38" s="21"/>
      <c r="JEH38" s="21"/>
      <c r="JEI38" s="21"/>
      <c r="JEJ38" s="21"/>
      <c r="JEK38" s="21"/>
      <c r="JEL38" s="21"/>
      <c r="JEM38" s="21"/>
      <c r="JEN38" s="21"/>
      <c r="JEO38" s="21"/>
      <c r="JEP38" s="21"/>
      <c r="JEQ38" s="21"/>
      <c r="JER38" s="21"/>
      <c r="JES38" s="21"/>
      <c r="JET38" s="21"/>
      <c r="JEU38" s="21"/>
      <c r="JEV38" s="21"/>
      <c r="JEW38" s="21"/>
      <c r="JEX38" s="21"/>
      <c r="JEY38" s="21"/>
      <c r="JEZ38" s="21"/>
      <c r="JFA38" s="21"/>
      <c r="JFB38" s="21"/>
      <c r="JFC38" s="21"/>
      <c r="JFD38" s="21"/>
      <c r="JFE38" s="21"/>
      <c r="JFF38" s="21"/>
      <c r="JFG38" s="21"/>
      <c r="JFH38" s="21"/>
      <c r="JFI38" s="21"/>
      <c r="JFJ38" s="21"/>
      <c r="JFK38" s="21"/>
      <c r="JFL38" s="21"/>
      <c r="JFM38" s="21"/>
      <c r="JFN38" s="21"/>
      <c r="JFO38" s="21"/>
      <c r="JFP38" s="21"/>
      <c r="JFQ38" s="21"/>
      <c r="JFR38" s="21"/>
      <c r="JFS38" s="21"/>
      <c r="JFT38" s="21"/>
      <c r="JFU38" s="21"/>
      <c r="JFV38" s="21"/>
      <c r="JFW38" s="21"/>
      <c r="JFX38" s="21"/>
      <c r="JFY38" s="21"/>
      <c r="JFZ38" s="21"/>
      <c r="JGA38" s="21"/>
      <c r="JGB38" s="21"/>
      <c r="JGC38" s="21"/>
      <c r="JGD38" s="21"/>
      <c r="JGE38" s="21"/>
      <c r="JGF38" s="21"/>
      <c r="JGG38" s="21"/>
      <c r="JGH38" s="21"/>
      <c r="JGI38" s="21"/>
      <c r="JGJ38" s="21"/>
      <c r="JGK38" s="21"/>
      <c r="JGL38" s="21"/>
      <c r="JGM38" s="21"/>
      <c r="JGN38" s="21"/>
      <c r="JGO38" s="21"/>
      <c r="JGP38" s="21"/>
      <c r="JGQ38" s="21"/>
      <c r="JGR38" s="21"/>
      <c r="JGS38" s="21"/>
      <c r="JGT38" s="21"/>
      <c r="JGU38" s="21"/>
      <c r="JGV38" s="21"/>
      <c r="JGW38" s="21"/>
      <c r="JGX38" s="21"/>
      <c r="JGY38" s="21"/>
      <c r="JGZ38" s="21"/>
      <c r="JHA38" s="21"/>
      <c r="JHB38" s="21"/>
      <c r="JHC38" s="21"/>
      <c r="JHD38" s="21"/>
      <c r="JHE38" s="21"/>
      <c r="JHF38" s="21"/>
      <c r="JHG38" s="21"/>
      <c r="JHH38" s="21"/>
      <c r="JHI38" s="21"/>
      <c r="JHJ38" s="21"/>
      <c r="JHK38" s="21"/>
      <c r="JHL38" s="21"/>
      <c r="JHM38" s="21"/>
      <c r="JHN38" s="21"/>
      <c r="JHO38" s="21"/>
      <c r="JHP38" s="21"/>
      <c r="JHQ38" s="21"/>
      <c r="JHR38" s="21"/>
      <c r="JHS38" s="21"/>
      <c r="JHT38" s="21"/>
      <c r="JHU38" s="21"/>
      <c r="JHV38" s="21"/>
      <c r="JHW38" s="21"/>
      <c r="JHX38" s="21"/>
      <c r="JHY38" s="21"/>
      <c r="JHZ38" s="21"/>
      <c r="JIA38" s="21"/>
      <c r="JIB38" s="21"/>
      <c r="JIC38" s="21"/>
      <c r="JID38" s="21"/>
      <c r="JIE38" s="21"/>
      <c r="JIF38" s="21"/>
      <c r="JIG38" s="21"/>
      <c r="JIH38" s="21"/>
      <c r="JII38" s="21"/>
      <c r="JIJ38" s="21"/>
      <c r="JIK38" s="21"/>
      <c r="JIL38" s="21"/>
      <c r="JIM38" s="21"/>
      <c r="JIN38" s="21"/>
      <c r="JIO38" s="21"/>
      <c r="JIP38" s="21"/>
      <c r="JIQ38" s="21"/>
      <c r="JIR38" s="21"/>
      <c r="JIS38" s="21"/>
      <c r="JIT38" s="21"/>
      <c r="JIU38" s="21"/>
      <c r="JIV38" s="21"/>
      <c r="JIW38" s="21"/>
      <c r="JIX38" s="21"/>
      <c r="JIY38" s="21"/>
      <c r="JIZ38" s="21"/>
      <c r="JJA38" s="21"/>
      <c r="JJB38" s="21"/>
      <c r="JJC38" s="21"/>
      <c r="JJD38" s="21"/>
      <c r="JJE38" s="21"/>
      <c r="JJF38" s="21"/>
      <c r="JJG38" s="21"/>
      <c r="JJH38" s="21"/>
      <c r="JJI38" s="21"/>
      <c r="JJJ38" s="21"/>
      <c r="JJK38" s="21"/>
      <c r="JJL38" s="21"/>
      <c r="JJM38" s="21"/>
      <c r="JJN38" s="21"/>
      <c r="JJO38" s="21"/>
      <c r="JJP38" s="21"/>
      <c r="JJQ38" s="21"/>
      <c r="JJR38" s="21"/>
      <c r="JJS38" s="21"/>
      <c r="JJT38" s="21"/>
      <c r="JJU38" s="21"/>
      <c r="JJV38" s="21"/>
      <c r="JJW38" s="21"/>
      <c r="JJX38" s="21"/>
      <c r="JJY38" s="21"/>
      <c r="JJZ38" s="21"/>
      <c r="JKA38" s="21"/>
      <c r="JKB38" s="21"/>
      <c r="JKC38" s="21"/>
      <c r="JKD38" s="21"/>
      <c r="JKE38" s="21"/>
      <c r="JKF38" s="21"/>
      <c r="JKG38" s="21"/>
      <c r="JKH38" s="21"/>
      <c r="JKI38" s="21"/>
      <c r="JKJ38" s="21"/>
      <c r="JKK38" s="21"/>
      <c r="JKL38" s="21"/>
      <c r="JKM38" s="21"/>
      <c r="JKN38" s="21"/>
      <c r="JKO38" s="21"/>
      <c r="JKP38" s="21"/>
      <c r="JKQ38" s="21"/>
      <c r="JKR38" s="21"/>
      <c r="JKS38" s="21"/>
      <c r="JKT38" s="21"/>
      <c r="JKU38" s="21"/>
      <c r="JKV38" s="21"/>
      <c r="JKW38" s="21"/>
      <c r="JKX38" s="21"/>
      <c r="JKY38" s="21"/>
      <c r="JKZ38" s="21"/>
      <c r="JLA38" s="21"/>
      <c r="JLB38" s="21"/>
      <c r="JLC38" s="21"/>
      <c r="JLD38" s="21"/>
      <c r="JLE38" s="21"/>
      <c r="JLF38" s="21"/>
      <c r="JLG38" s="21"/>
      <c r="JLH38" s="21"/>
      <c r="JLI38" s="21"/>
      <c r="JLJ38" s="21"/>
      <c r="JLK38" s="21"/>
      <c r="JLL38" s="21"/>
      <c r="JLM38" s="21"/>
      <c r="JLN38" s="21"/>
      <c r="JLO38" s="21"/>
      <c r="JLP38" s="21"/>
      <c r="JLQ38" s="21"/>
      <c r="JLR38" s="21"/>
      <c r="JLS38" s="21"/>
      <c r="JLT38" s="21"/>
      <c r="JLU38" s="21"/>
      <c r="JLV38" s="21"/>
      <c r="JLW38" s="21"/>
      <c r="JLX38" s="21"/>
      <c r="JLY38" s="21"/>
      <c r="JLZ38" s="21"/>
      <c r="JMA38" s="21"/>
      <c r="JMB38" s="21"/>
      <c r="JMC38" s="21"/>
      <c r="JMD38" s="21"/>
      <c r="JME38" s="21"/>
      <c r="JMF38" s="21"/>
      <c r="JMG38" s="21"/>
      <c r="JMH38" s="21"/>
      <c r="JMI38" s="21"/>
      <c r="JMJ38" s="21"/>
      <c r="JMK38" s="21"/>
      <c r="JML38" s="21"/>
      <c r="JMM38" s="21"/>
      <c r="JMN38" s="21"/>
      <c r="JMO38" s="21"/>
      <c r="JMP38" s="21"/>
      <c r="JMQ38" s="21"/>
      <c r="JMR38" s="21"/>
      <c r="JMS38" s="21"/>
      <c r="JMT38" s="21"/>
      <c r="JMU38" s="21"/>
      <c r="JMV38" s="21"/>
      <c r="JMW38" s="21"/>
      <c r="JMX38" s="21"/>
      <c r="JMY38" s="21"/>
      <c r="JMZ38" s="21"/>
      <c r="JNA38" s="21"/>
      <c r="JNB38" s="21"/>
      <c r="JNC38" s="21"/>
      <c r="JND38" s="21"/>
      <c r="JNE38" s="21"/>
      <c r="JNF38" s="21"/>
      <c r="JNG38" s="21"/>
      <c r="JNH38" s="21"/>
      <c r="JNI38" s="21"/>
      <c r="JNJ38" s="21"/>
      <c r="JNK38" s="21"/>
      <c r="JNL38" s="21"/>
      <c r="JNM38" s="21"/>
      <c r="JNN38" s="21"/>
      <c r="JNO38" s="21"/>
      <c r="JNP38" s="21"/>
      <c r="JNQ38" s="21"/>
      <c r="JNR38" s="21"/>
      <c r="JNS38" s="21"/>
      <c r="JNT38" s="21"/>
      <c r="JNU38" s="21"/>
      <c r="JNV38" s="21"/>
      <c r="JNW38" s="21"/>
      <c r="JNX38" s="21"/>
      <c r="JNY38" s="21"/>
      <c r="JNZ38" s="21"/>
      <c r="JOA38" s="21"/>
      <c r="JOB38" s="21"/>
      <c r="JOC38" s="21"/>
      <c r="JOD38" s="21"/>
      <c r="JOE38" s="21"/>
      <c r="JOF38" s="21"/>
      <c r="JOG38" s="21"/>
      <c r="JOH38" s="21"/>
      <c r="JOI38" s="21"/>
      <c r="JOJ38" s="21"/>
      <c r="JOK38" s="21"/>
      <c r="JOL38" s="21"/>
      <c r="JOM38" s="21"/>
      <c r="JON38" s="21"/>
      <c r="JOO38" s="21"/>
      <c r="JOP38" s="21"/>
      <c r="JOQ38" s="21"/>
      <c r="JOR38" s="21"/>
      <c r="JOS38" s="21"/>
      <c r="JOT38" s="21"/>
      <c r="JOU38" s="21"/>
      <c r="JOV38" s="21"/>
      <c r="JOW38" s="21"/>
      <c r="JOX38" s="21"/>
      <c r="JOY38" s="21"/>
      <c r="JOZ38" s="21"/>
      <c r="JPA38" s="21"/>
      <c r="JPB38" s="21"/>
      <c r="JPC38" s="21"/>
      <c r="JPD38" s="21"/>
      <c r="JPE38" s="21"/>
      <c r="JPF38" s="21"/>
      <c r="JPG38" s="21"/>
      <c r="JPH38" s="21"/>
      <c r="JPI38" s="21"/>
      <c r="JPJ38" s="21"/>
      <c r="JPK38" s="21"/>
      <c r="JPL38" s="21"/>
      <c r="JPM38" s="21"/>
      <c r="JPN38" s="21"/>
      <c r="JPO38" s="21"/>
      <c r="JPP38" s="21"/>
      <c r="JPQ38" s="21"/>
      <c r="JPR38" s="21"/>
      <c r="JPS38" s="21"/>
      <c r="JPT38" s="21"/>
      <c r="JPU38" s="21"/>
      <c r="JPV38" s="21"/>
      <c r="JPW38" s="21"/>
      <c r="JPX38" s="21"/>
      <c r="JPY38" s="21"/>
      <c r="JPZ38" s="21"/>
      <c r="JQA38" s="21"/>
      <c r="JQB38" s="21"/>
      <c r="JQC38" s="21"/>
      <c r="JQD38" s="21"/>
      <c r="JQE38" s="21"/>
      <c r="JQF38" s="21"/>
      <c r="JQG38" s="21"/>
      <c r="JQH38" s="21"/>
      <c r="JQI38" s="21"/>
      <c r="JQJ38" s="21"/>
      <c r="JQK38" s="21"/>
      <c r="JQL38" s="21"/>
      <c r="JQM38" s="21"/>
      <c r="JQN38" s="21"/>
      <c r="JQO38" s="21"/>
      <c r="JQP38" s="21"/>
      <c r="JQQ38" s="21"/>
      <c r="JQR38" s="21"/>
      <c r="JQS38" s="21"/>
      <c r="JQT38" s="21"/>
      <c r="JQU38" s="21"/>
      <c r="JQV38" s="21"/>
      <c r="JQW38" s="21"/>
      <c r="JQX38" s="21"/>
      <c r="JQY38" s="21"/>
      <c r="JQZ38" s="21"/>
      <c r="JRA38" s="21"/>
      <c r="JRB38" s="21"/>
      <c r="JRC38" s="21"/>
      <c r="JRD38" s="21"/>
      <c r="JRE38" s="21"/>
      <c r="JRF38" s="21"/>
      <c r="JRG38" s="21"/>
      <c r="JRH38" s="21"/>
      <c r="JRI38" s="21"/>
      <c r="JRJ38" s="21"/>
      <c r="JRK38" s="21"/>
      <c r="JRL38" s="21"/>
      <c r="JRM38" s="21"/>
      <c r="JRN38" s="21"/>
      <c r="JRO38" s="21"/>
      <c r="JRP38" s="21"/>
      <c r="JRQ38" s="21"/>
      <c r="JRR38" s="21"/>
      <c r="JRS38" s="21"/>
      <c r="JRT38" s="21"/>
      <c r="JRU38" s="21"/>
      <c r="JRV38" s="21"/>
      <c r="JRW38" s="21"/>
      <c r="JRX38" s="21"/>
      <c r="JRY38" s="21"/>
      <c r="JRZ38" s="21"/>
      <c r="JSA38" s="21"/>
      <c r="JSB38" s="21"/>
      <c r="JSC38" s="21"/>
      <c r="JSD38" s="21"/>
      <c r="JSE38" s="21"/>
      <c r="JSF38" s="21"/>
      <c r="JSG38" s="21"/>
      <c r="JSH38" s="21"/>
      <c r="JSI38" s="21"/>
      <c r="JSJ38" s="21"/>
      <c r="JSK38" s="21"/>
      <c r="JSL38" s="21"/>
      <c r="JSM38" s="21"/>
      <c r="JSN38" s="21"/>
      <c r="JSO38" s="21"/>
      <c r="JSP38" s="21"/>
      <c r="JSQ38" s="21"/>
      <c r="JSR38" s="21"/>
      <c r="JSS38" s="21"/>
      <c r="JST38" s="21"/>
      <c r="JSU38" s="21"/>
      <c r="JSV38" s="21"/>
      <c r="JSW38" s="21"/>
      <c r="JSX38" s="21"/>
      <c r="JSY38" s="21"/>
      <c r="JSZ38" s="21"/>
      <c r="JTA38" s="21"/>
      <c r="JTB38" s="21"/>
      <c r="JTC38" s="21"/>
      <c r="JTD38" s="21"/>
      <c r="JTE38" s="21"/>
      <c r="JTF38" s="21"/>
      <c r="JTG38" s="21"/>
      <c r="JTH38" s="21"/>
      <c r="JTI38" s="21"/>
      <c r="JTJ38" s="21"/>
      <c r="JTK38" s="21"/>
      <c r="JTL38" s="21"/>
      <c r="JTM38" s="21"/>
      <c r="JTN38" s="21"/>
      <c r="JTO38" s="21"/>
      <c r="JTP38" s="21"/>
      <c r="JTQ38" s="21"/>
      <c r="JTR38" s="21"/>
      <c r="JTS38" s="21"/>
      <c r="JTT38" s="21"/>
      <c r="JTU38" s="21"/>
      <c r="JTV38" s="21"/>
      <c r="JTW38" s="21"/>
      <c r="JTX38" s="21"/>
      <c r="JTY38" s="21"/>
      <c r="JTZ38" s="21"/>
      <c r="JUA38" s="21"/>
      <c r="JUB38" s="21"/>
      <c r="JUC38" s="21"/>
      <c r="JUD38" s="21"/>
      <c r="JUE38" s="21"/>
      <c r="JUF38" s="21"/>
      <c r="JUG38" s="21"/>
      <c r="JUH38" s="21"/>
      <c r="JUI38" s="21"/>
      <c r="JUJ38" s="21"/>
      <c r="JUK38" s="21"/>
      <c r="JUL38" s="21"/>
      <c r="JUM38" s="21"/>
      <c r="JUN38" s="21"/>
      <c r="JUO38" s="21"/>
      <c r="JUP38" s="21"/>
      <c r="JUQ38" s="21"/>
      <c r="JUR38" s="21"/>
      <c r="JUS38" s="21"/>
      <c r="JUT38" s="21"/>
      <c r="JUU38" s="21"/>
      <c r="JUV38" s="21"/>
      <c r="JUW38" s="21"/>
      <c r="JUX38" s="21"/>
      <c r="JUY38" s="21"/>
      <c r="JUZ38" s="21"/>
      <c r="JVA38" s="21"/>
      <c r="JVB38" s="21"/>
      <c r="JVC38" s="21"/>
      <c r="JVD38" s="21"/>
      <c r="JVE38" s="21"/>
      <c r="JVF38" s="21"/>
      <c r="JVG38" s="21"/>
      <c r="JVH38" s="21"/>
      <c r="JVI38" s="21"/>
      <c r="JVJ38" s="21"/>
      <c r="JVK38" s="21"/>
      <c r="JVL38" s="21"/>
      <c r="JVM38" s="21"/>
      <c r="JVN38" s="21"/>
      <c r="JVO38" s="21"/>
      <c r="JVP38" s="21"/>
      <c r="JVQ38" s="21"/>
      <c r="JVR38" s="21"/>
      <c r="JVS38" s="21"/>
      <c r="JVT38" s="21"/>
      <c r="JVU38" s="21"/>
      <c r="JVV38" s="21"/>
      <c r="JVW38" s="21"/>
      <c r="JVX38" s="21"/>
      <c r="JVY38" s="21"/>
      <c r="JVZ38" s="21"/>
      <c r="JWA38" s="21"/>
      <c r="JWB38" s="21"/>
      <c r="JWC38" s="21"/>
      <c r="JWD38" s="21"/>
      <c r="JWE38" s="21"/>
      <c r="JWF38" s="21"/>
      <c r="JWG38" s="21"/>
      <c r="JWH38" s="21"/>
      <c r="JWI38" s="21"/>
      <c r="JWJ38" s="21"/>
      <c r="JWK38" s="21"/>
      <c r="JWL38" s="21"/>
      <c r="JWM38" s="21"/>
      <c r="JWN38" s="21"/>
      <c r="JWO38" s="21"/>
      <c r="JWP38" s="21"/>
      <c r="JWQ38" s="21"/>
      <c r="JWR38" s="21"/>
      <c r="JWS38" s="21"/>
      <c r="JWT38" s="21"/>
      <c r="JWU38" s="21"/>
      <c r="JWV38" s="21"/>
      <c r="JWW38" s="21"/>
      <c r="JWX38" s="21"/>
      <c r="JWY38" s="21"/>
      <c r="JWZ38" s="21"/>
      <c r="JXA38" s="21"/>
      <c r="JXB38" s="21"/>
      <c r="JXC38" s="21"/>
      <c r="JXD38" s="21"/>
      <c r="JXE38" s="21"/>
      <c r="JXF38" s="21"/>
      <c r="JXG38" s="21"/>
      <c r="JXH38" s="21"/>
      <c r="JXI38" s="21"/>
      <c r="JXJ38" s="21"/>
      <c r="JXK38" s="21"/>
      <c r="JXL38" s="21"/>
      <c r="JXM38" s="21"/>
      <c r="JXN38" s="21"/>
      <c r="JXO38" s="21"/>
      <c r="JXP38" s="21"/>
      <c r="JXQ38" s="21"/>
      <c r="JXR38" s="21"/>
      <c r="JXS38" s="21"/>
      <c r="JXT38" s="21"/>
      <c r="JXU38" s="21"/>
      <c r="JXV38" s="21"/>
      <c r="JXW38" s="21"/>
      <c r="JXX38" s="21"/>
      <c r="JXY38" s="21"/>
      <c r="JXZ38" s="21"/>
      <c r="JYA38" s="21"/>
      <c r="JYB38" s="21"/>
      <c r="JYC38" s="21"/>
      <c r="JYD38" s="21"/>
      <c r="JYE38" s="21"/>
      <c r="JYF38" s="21"/>
      <c r="JYG38" s="21"/>
      <c r="JYH38" s="21"/>
      <c r="JYI38" s="21"/>
      <c r="JYJ38" s="21"/>
      <c r="JYK38" s="21"/>
      <c r="JYL38" s="21"/>
      <c r="JYM38" s="21"/>
      <c r="JYN38" s="21"/>
      <c r="JYO38" s="21"/>
      <c r="JYP38" s="21"/>
      <c r="JYQ38" s="21"/>
      <c r="JYR38" s="21"/>
      <c r="JYS38" s="21"/>
      <c r="JYT38" s="21"/>
      <c r="JYU38" s="21"/>
      <c r="JYV38" s="21"/>
      <c r="JYW38" s="21"/>
      <c r="JYX38" s="21"/>
      <c r="JYY38" s="21"/>
      <c r="JYZ38" s="21"/>
      <c r="JZA38" s="21"/>
      <c r="JZB38" s="21"/>
      <c r="JZC38" s="21"/>
      <c r="JZD38" s="21"/>
      <c r="JZE38" s="21"/>
      <c r="JZF38" s="21"/>
      <c r="JZG38" s="21"/>
      <c r="JZH38" s="21"/>
      <c r="JZI38" s="21"/>
      <c r="JZJ38" s="21"/>
      <c r="JZK38" s="21"/>
      <c r="JZL38" s="21"/>
      <c r="JZM38" s="21"/>
      <c r="JZN38" s="21"/>
      <c r="JZO38" s="21"/>
      <c r="JZP38" s="21"/>
      <c r="JZQ38" s="21"/>
      <c r="JZR38" s="21"/>
      <c r="JZS38" s="21"/>
      <c r="JZT38" s="21"/>
      <c r="JZU38" s="21"/>
      <c r="JZV38" s="21"/>
      <c r="JZW38" s="21"/>
      <c r="JZX38" s="21"/>
      <c r="JZY38" s="21"/>
      <c r="JZZ38" s="21"/>
      <c r="KAA38" s="21"/>
      <c r="KAB38" s="21"/>
      <c r="KAC38" s="21"/>
      <c r="KAD38" s="21"/>
      <c r="KAE38" s="21"/>
      <c r="KAF38" s="21"/>
      <c r="KAG38" s="21"/>
      <c r="KAH38" s="21"/>
      <c r="KAI38" s="21"/>
      <c r="KAJ38" s="21"/>
      <c r="KAK38" s="21"/>
      <c r="KAL38" s="21"/>
      <c r="KAM38" s="21"/>
      <c r="KAN38" s="21"/>
      <c r="KAO38" s="21"/>
      <c r="KAP38" s="21"/>
      <c r="KAQ38" s="21"/>
      <c r="KAR38" s="21"/>
      <c r="KAS38" s="21"/>
      <c r="KAT38" s="21"/>
      <c r="KAU38" s="21"/>
      <c r="KAV38" s="21"/>
      <c r="KAW38" s="21"/>
      <c r="KAX38" s="21"/>
      <c r="KAY38" s="21"/>
      <c r="KAZ38" s="21"/>
      <c r="KBA38" s="21"/>
      <c r="KBB38" s="21"/>
      <c r="KBC38" s="21"/>
      <c r="KBD38" s="21"/>
      <c r="KBE38" s="21"/>
      <c r="KBF38" s="21"/>
      <c r="KBG38" s="21"/>
      <c r="KBH38" s="21"/>
      <c r="KBI38" s="21"/>
      <c r="KBJ38" s="21"/>
      <c r="KBK38" s="21"/>
      <c r="KBL38" s="21"/>
      <c r="KBM38" s="21"/>
      <c r="KBN38" s="21"/>
      <c r="KBO38" s="21"/>
      <c r="KBP38" s="21"/>
      <c r="KBQ38" s="21"/>
      <c r="KBR38" s="21"/>
      <c r="KBS38" s="21"/>
      <c r="KBT38" s="21"/>
      <c r="KBU38" s="21"/>
      <c r="KBV38" s="21"/>
      <c r="KBW38" s="21"/>
      <c r="KBX38" s="21"/>
      <c r="KBY38" s="21"/>
      <c r="KBZ38" s="21"/>
      <c r="KCA38" s="21"/>
      <c r="KCB38" s="21"/>
      <c r="KCC38" s="21"/>
      <c r="KCD38" s="21"/>
      <c r="KCE38" s="21"/>
      <c r="KCF38" s="21"/>
      <c r="KCG38" s="21"/>
      <c r="KCH38" s="21"/>
      <c r="KCI38" s="21"/>
      <c r="KCJ38" s="21"/>
      <c r="KCK38" s="21"/>
      <c r="KCL38" s="21"/>
      <c r="KCM38" s="21"/>
      <c r="KCN38" s="21"/>
      <c r="KCO38" s="21"/>
      <c r="KCP38" s="21"/>
      <c r="KCQ38" s="21"/>
      <c r="KCR38" s="21"/>
      <c r="KCS38" s="21"/>
      <c r="KCT38" s="21"/>
      <c r="KCU38" s="21"/>
      <c r="KCV38" s="21"/>
      <c r="KCW38" s="21"/>
      <c r="KCX38" s="21"/>
      <c r="KCY38" s="21"/>
      <c r="KCZ38" s="21"/>
      <c r="KDA38" s="21"/>
      <c r="KDB38" s="21"/>
      <c r="KDC38" s="21"/>
      <c r="KDD38" s="21"/>
      <c r="KDE38" s="21"/>
      <c r="KDF38" s="21"/>
      <c r="KDG38" s="21"/>
      <c r="KDH38" s="21"/>
      <c r="KDI38" s="21"/>
      <c r="KDJ38" s="21"/>
      <c r="KDK38" s="21"/>
      <c r="KDL38" s="21"/>
      <c r="KDM38" s="21"/>
      <c r="KDN38" s="21"/>
      <c r="KDO38" s="21"/>
      <c r="KDP38" s="21"/>
      <c r="KDQ38" s="21"/>
      <c r="KDR38" s="21"/>
      <c r="KDS38" s="21"/>
      <c r="KDT38" s="21"/>
      <c r="KDU38" s="21"/>
      <c r="KDV38" s="21"/>
      <c r="KDW38" s="21"/>
      <c r="KDX38" s="21"/>
      <c r="KDY38" s="21"/>
      <c r="KDZ38" s="21"/>
      <c r="KEA38" s="21"/>
      <c r="KEB38" s="21"/>
      <c r="KEC38" s="21"/>
      <c r="KED38" s="21"/>
      <c r="KEE38" s="21"/>
      <c r="KEF38" s="21"/>
      <c r="KEG38" s="21"/>
      <c r="KEH38" s="21"/>
      <c r="KEI38" s="21"/>
      <c r="KEJ38" s="21"/>
      <c r="KEK38" s="21"/>
      <c r="KEL38" s="21"/>
      <c r="KEM38" s="21"/>
      <c r="KEN38" s="21"/>
      <c r="KEO38" s="21"/>
      <c r="KEP38" s="21"/>
      <c r="KEQ38" s="21"/>
      <c r="KER38" s="21"/>
      <c r="KES38" s="21"/>
      <c r="KET38" s="21"/>
      <c r="KEU38" s="21"/>
      <c r="KEV38" s="21"/>
      <c r="KEW38" s="21"/>
      <c r="KEX38" s="21"/>
      <c r="KEY38" s="21"/>
      <c r="KEZ38" s="21"/>
      <c r="KFA38" s="21"/>
      <c r="KFB38" s="21"/>
      <c r="KFC38" s="21"/>
      <c r="KFD38" s="21"/>
      <c r="KFE38" s="21"/>
      <c r="KFF38" s="21"/>
      <c r="KFG38" s="21"/>
      <c r="KFH38" s="21"/>
      <c r="KFI38" s="21"/>
      <c r="KFJ38" s="21"/>
      <c r="KFK38" s="21"/>
      <c r="KFL38" s="21"/>
      <c r="KFM38" s="21"/>
      <c r="KFN38" s="21"/>
      <c r="KFO38" s="21"/>
      <c r="KFP38" s="21"/>
      <c r="KFQ38" s="21"/>
      <c r="KFR38" s="21"/>
      <c r="KFS38" s="21"/>
      <c r="KFT38" s="21"/>
      <c r="KFU38" s="21"/>
      <c r="KFV38" s="21"/>
      <c r="KFW38" s="21"/>
      <c r="KFX38" s="21"/>
      <c r="KFY38" s="21"/>
      <c r="KFZ38" s="21"/>
      <c r="KGA38" s="21"/>
      <c r="KGB38" s="21"/>
      <c r="KGC38" s="21"/>
      <c r="KGD38" s="21"/>
      <c r="KGE38" s="21"/>
      <c r="KGF38" s="21"/>
      <c r="KGG38" s="21"/>
      <c r="KGH38" s="21"/>
      <c r="KGI38" s="21"/>
      <c r="KGJ38" s="21"/>
      <c r="KGK38" s="21"/>
      <c r="KGL38" s="21"/>
      <c r="KGM38" s="21"/>
      <c r="KGN38" s="21"/>
      <c r="KGO38" s="21"/>
      <c r="KGP38" s="21"/>
      <c r="KGQ38" s="21"/>
      <c r="KGR38" s="21"/>
      <c r="KGS38" s="21"/>
      <c r="KGT38" s="21"/>
      <c r="KGU38" s="21"/>
      <c r="KGV38" s="21"/>
      <c r="KGW38" s="21"/>
      <c r="KGX38" s="21"/>
      <c r="KGY38" s="21"/>
      <c r="KGZ38" s="21"/>
      <c r="KHA38" s="21"/>
      <c r="KHB38" s="21"/>
      <c r="KHC38" s="21"/>
      <c r="KHD38" s="21"/>
      <c r="KHE38" s="21"/>
      <c r="KHF38" s="21"/>
      <c r="KHG38" s="21"/>
      <c r="KHH38" s="21"/>
      <c r="KHI38" s="21"/>
      <c r="KHJ38" s="21"/>
      <c r="KHK38" s="21"/>
      <c r="KHL38" s="21"/>
      <c r="KHM38" s="21"/>
      <c r="KHN38" s="21"/>
      <c r="KHO38" s="21"/>
      <c r="KHP38" s="21"/>
      <c r="KHQ38" s="21"/>
      <c r="KHR38" s="21"/>
      <c r="KHS38" s="21"/>
      <c r="KHT38" s="21"/>
      <c r="KHU38" s="21"/>
      <c r="KHV38" s="21"/>
      <c r="KHW38" s="21"/>
      <c r="KHX38" s="21"/>
      <c r="KHY38" s="21"/>
      <c r="KHZ38" s="21"/>
      <c r="KIA38" s="21"/>
      <c r="KIB38" s="21"/>
      <c r="KIC38" s="21"/>
      <c r="KID38" s="21"/>
      <c r="KIE38" s="21"/>
      <c r="KIF38" s="21"/>
      <c r="KIG38" s="21"/>
      <c r="KIH38" s="21"/>
      <c r="KII38" s="21"/>
      <c r="KIJ38" s="21"/>
      <c r="KIK38" s="21"/>
      <c r="KIL38" s="21"/>
      <c r="KIM38" s="21"/>
      <c r="KIN38" s="21"/>
      <c r="KIO38" s="21"/>
      <c r="KIP38" s="21"/>
      <c r="KIQ38" s="21"/>
      <c r="KIR38" s="21"/>
      <c r="KIS38" s="21"/>
      <c r="KIT38" s="21"/>
      <c r="KIU38" s="21"/>
      <c r="KIV38" s="21"/>
      <c r="KIW38" s="21"/>
      <c r="KIX38" s="21"/>
      <c r="KIY38" s="21"/>
      <c r="KIZ38" s="21"/>
      <c r="KJA38" s="21"/>
      <c r="KJB38" s="21"/>
      <c r="KJC38" s="21"/>
      <c r="KJD38" s="21"/>
      <c r="KJE38" s="21"/>
      <c r="KJF38" s="21"/>
      <c r="KJG38" s="21"/>
      <c r="KJH38" s="21"/>
      <c r="KJI38" s="21"/>
      <c r="KJJ38" s="21"/>
      <c r="KJK38" s="21"/>
      <c r="KJL38" s="21"/>
      <c r="KJM38" s="21"/>
      <c r="KJN38" s="21"/>
      <c r="KJO38" s="21"/>
      <c r="KJP38" s="21"/>
      <c r="KJQ38" s="21"/>
      <c r="KJR38" s="21"/>
      <c r="KJS38" s="21"/>
      <c r="KJT38" s="21"/>
      <c r="KJU38" s="21"/>
      <c r="KJV38" s="21"/>
      <c r="KJW38" s="21"/>
      <c r="KJX38" s="21"/>
      <c r="KJY38" s="21"/>
      <c r="KJZ38" s="21"/>
      <c r="KKA38" s="21"/>
      <c r="KKB38" s="21"/>
      <c r="KKC38" s="21"/>
      <c r="KKD38" s="21"/>
      <c r="KKE38" s="21"/>
      <c r="KKF38" s="21"/>
      <c r="KKG38" s="21"/>
      <c r="KKH38" s="21"/>
      <c r="KKI38" s="21"/>
      <c r="KKJ38" s="21"/>
      <c r="KKK38" s="21"/>
      <c r="KKL38" s="21"/>
      <c r="KKM38" s="21"/>
      <c r="KKN38" s="21"/>
      <c r="KKO38" s="21"/>
      <c r="KKP38" s="21"/>
      <c r="KKQ38" s="21"/>
      <c r="KKR38" s="21"/>
      <c r="KKS38" s="21"/>
      <c r="KKT38" s="21"/>
      <c r="KKU38" s="21"/>
      <c r="KKV38" s="21"/>
      <c r="KKW38" s="21"/>
      <c r="KKX38" s="21"/>
      <c r="KKY38" s="21"/>
      <c r="KKZ38" s="21"/>
      <c r="KLA38" s="21"/>
      <c r="KLB38" s="21"/>
      <c r="KLC38" s="21"/>
      <c r="KLD38" s="21"/>
      <c r="KLE38" s="21"/>
      <c r="KLF38" s="21"/>
      <c r="KLG38" s="21"/>
      <c r="KLH38" s="21"/>
      <c r="KLI38" s="21"/>
      <c r="KLJ38" s="21"/>
      <c r="KLK38" s="21"/>
      <c r="KLL38" s="21"/>
      <c r="KLM38" s="21"/>
      <c r="KLN38" s="21"/>
      <c r="KLO38" s="21"/>
      <c r="KLP38" s="21"/>
      <c r="KLQ38" s="21"/>
      <c r="KLR38" s="21"/>
      <c r="KLS38" s="21"/>
      <c r="KLT38" s="21"/>
      <c r="KLU38" s="21"/>
      <c r="KLV38" s="21"/>
      <c r="KLW38" s="21"/>
      <c r="KLX38" s="21"/>
      <c r="KLY38" s="21"/>
      <c r="KLZ38" s="21"/>
      <c r="KMA38" s="21"/>
      <c r="KMB38" s="21"/>
      <c r="KMC38" s="21"/>
      <c r="KMD38" s="21"/>
      <c r="KME38" s="21"/>
      <c r="KMF38" s="21"/>
      <c r="KMG38" s="21"/>
      <c r="KMH38" s="21"/>
      <c r="KMI38" s="21"/>
      <c r="KMJ38" s="21"/>
      <c r="KMK38" s="21"/>
      <c r="KML38" s="21"/>
      <c r="KMM38" s="21"/>
      <c r="KMN38" s="21"/>
      <c r="KMO38" s="21"/>
      <c r="KMP38" s="21"/>
      <c r="KMQ38" s="21"/>
      <c r="KMR38" s="21"/>
      <c r="KMS38" s="21"/>
      <c r="KMT38" s="21"/>
      <c r="KMU38" s="21"/>
      <c r="KMV38" s="21"/>
      <c r="KMW38" s="21"/>
      <c r="KMX38" s="21"/>
      <c r="KMY38" s="21"/>
      <c r="KMZ38" s="21"/>
      <c r="KNA38" s="21"/>
      <c r="KNB38" s="21"/>
      <c r="KNC38" s="21"/>
      <c r="KND38" s="21"/>
      <c r="KNE38" s="21"/>
      <c r="KNF38" s="21"/>
      <c r="KNG38" s="21"/>
      <c r="KNH38" s="21"/>
      <c r="KNI38" s="21"/>
      <c r="KNJ38" s="21"/>
      <c r="KNK38" s="21"/>
      <c r="KNL38" s="21"/>
      <c r="KNM38" s="21"/>
      <c r="KNN38" s="21"/>
      <c r="KNO38" s="21"/>
      <c r="KNP38" s="21"/>
      <c r="KNQ38" s="21"/>
      <c r="KNR38" s="21"/>
      <c r="KNS38" s="21"/>
      <c r="KNT38" s="21"/>
      <c r="KNU38" s="21"/>
      <c r="KNV38" s="21"/>
      <c r="KNW38" s="21"/>
      <c r="KNX38" s="21"/>
      <c r="KNY38" s="21"/>
      <c r="KNZ38" s="21"/>
      <c r="KOA38" s="21"/>
      <c r="KOB38" s="21"/>
      <c r="KOC38" s="21"/>
      <c r="KOD38" s="21"/>
      <c r="KOE38" s="21"/>
      <c r="KOF38" s="21"/>
      <c r="KOG38" s="21"/>
      <c r="KOH38" s="21"/>
      <c r="KOI38" s="21"/>
      <c r="KOJ38" s="21"/>
      <c r="KOK38" s="21"/>
      <c r="KOL38" s="21"/>
      <c r="KOM38" s="21"/>
      <c r="KON38" s="21"/>
      <c r="KOO38" s="21"/>
      <c r="KOP38" s="21"/>
      <c r="KOQ38" s="21"/>
      <c r="KOR38" s="21"/>
      <c r="KOS38" s="21"/>
      <c r="KOT38" s="21"/>
      <c r="KOU38" s="21"/>
      <c r="KOV38" s="21"/>
      <c r="KOW38" s="21"/>
      <c r="KOX38" s="21"/>
      <c r="KOY38" s="21"/>
      <c r="KOZ38" s="21"/>
      <c r="KPA38" s="21"/>
      <c r="KPB38" s="21"/>
      <c r="KPC38" s="21"/>
      <c r="KPD38" s="21"/>
      <c r="KPE38" s="21"/>
      <c r="KPF38" s="21"/>
      <c r="KPG38" s="21"/>
      <c r="KPH38" s="21"/>
      <c r="KPI38" s="21"/>
      <c r="KPJ38" s="21"/>
      <c r="KPK38" s="21"/>
      <c r="KPL38" s="21"/>
      <c r="KPM38" s="21"/>
      <c r="KPN38" s="21"/>
      <c r="KPO38" s="21"/>
      <c r="KPP38" s="21"/>
      <c r="KPQ38" s="21"/>
      <c r="KPR38" s="21"/>
      <c r="KPS38" s="21"/>
      <c r="KPT38" s="21"/>
      <c r="KPU38" s="21"/>
      <c r="KPV38" s="21"/>
      <c r="KPW38" s="21"/>
      <c r="KPX38" s="21"/>
      <c r="KPY38" s="21"/>
      <c r="KPZ38" s="21"/>
      <c r="KQA38" s="21"/>
      <c r="KQB38" s="21"/>
      <c r="KQC38" s="21"/>
      <c r="KQD38" s="21"/>
      <c r="KQE38" s="21"/>
      <c r="KQF38" s="21"/>
      <c r="KQG38" s="21"/>
      <c r="KQH38" s="21"/>
      <c r="KQI38" s="21"/>
      <c r="KQJ38" s="21"/>
      <c r="KQK38" s="21"/>
      <c r="KQL38" s="21"/>
      <c r="KQM38" s="21"/>
      <c r="KQN38" s="21"/>
      <c r="KQO38" s="21"/>
      <c r="KQP38" s="21"/>
      <c r="KQQ38" s="21"/>
      <c r="KQR38" s="21"/>
      <c r="KQS38" s="21"/>
      <c r="KQT38" s="21"/>
      <c r="KQU38" s="21"/>
      <c r="KQV38" s="21"/>
      <c r="KQW38" s="21"/>
      <c r="KQX38" s="21"/>
      <c r="KQY38" s="21"/>
      <c r="KQZ38" s="21"/>
      <c r="KRA38" s="21"/>
      <c r="KRB38" s="21"/>
      <c r="KRC38" s="21"/>
      <c r="KRD38" s="21"/>
      <c r="KRE38" s="21"/>
      <c r="KRF38" s="21"/>
      <c r="KRG38" s="21"/>
      <c r="KRH38" s="21"/>
      <c r="KRI38" s="21"/>
      <c r="KRJ38" s="21"/>
      <c r="KRK38" s="21"/>
      <c r="KRL38" s="21"/>
      <c r="KRM38" s="21"/>
      <c r="KRN38" s="21"/>
      <c r="KRO38" s="21"/>
      <c r="KRP38" s="21"/>
      <c r="KRQ38" s="21"/>
      <c r="KRR38" s="21"/>
      <c r="KRS38" s="21"/>
      <c r="KRT38" s="21"/>
      <c r="KRU38" s="21"/>
      <c r="KRV38" s="21"/>
      <c r="KRW38" s="21"/>
      <c r="KRX38" s="21"/>
      <c r="KRY38" s="21"/>
      <c r="KRZ38" s="21"/>
      <c r="KSA38" s="21"/>
      <c r="KSB38" s="21"/>
      <c r="KSC38" s="21"/>
      <c r="KSD38" s="21"/>
      <c r="KSE38" s="21"/>
      <c r="KSF38" s="21"/>
      <c r="KSG38" s="21"/>
      <c r="KSH38" s="21"/>
      <c r="KSI38" s="21"/>
      <c r="KSJ38" s="21"/>
      <c r="KSK38" s="21"/>
      <c r="KSL38" s="21"/>
      <c r="KSM38" s="21"/>
      <c r="KSN38" s="21"/>
      <c r="KSO38" s="21"/>
      <c r="KSP38" s="21"/>
      <c r="KSQ38" s="21"/>
      <c r="KSR38" s="21"/>
      <c r="KSS38" s="21"/>
      <c r="KST38" s="21"/>
      <c r="KSU38" s="21"/>
      <c r="KSV38" s="21"/>
      <c r="KSW38" s="21"/>
      <c r="KSX38" s="21"/>
      <c r="KSY38" s="21"/>
      <c r="KSZ38" s="21"/>
      <c r="KTA38" s="21"/>
      <c r="KTB38" s="21"/>
      <c r="KTC38" s="21"/>
      <c r="KTD38" s="21"/>
      <c r="KTE38" s="21"/>
      <c r="KTF38" s="21"/>
      <c r="KTG38" s="21"/>
      <c r="KTH38" s="21"/>
      <c r="KTI38" s="21"/>
      <c r="KTJ38" s="21"/>
      <c r="KTK38" s="21"/>
      <c r="KTL38" s="21"/>
      <c r="KTM38" s="21"/>
      <c r="KTN38" s="21"/>
      <c r="KTO38" s="21"/>
      <c r="KTP38" s="21"/>
      <c r="KTQ38" s="21"/>
      <c r="KTR38" s="21"/>
      <c r="KTS38" s="21"/>
      <c r="KTT38" s="21"/>
      <c r="KTU38" s="21"/>
      <c r="KTV38" s="21"/>
      <c r="KTW38" s="21"/>
      <c r="KTX38" s="21"/>
      <c r="KTY38" s="21"/>
      <c r="KTZ38" s="21"/>
      <c r="KUA38" s="21"/>
      <c r="KUB38" s="21"/>
      <c r="KUC38" s="21"/>
      <c r="KUD38" s="21"/>
      <c r="KUE38" s="21"/>
      <c r="KUF38" s="21"/>
      <c r="KUG38" s="21"/>
      <c r="KUH38" s="21"/>
      <c r="KUI38" s="21"/>
      <c r="KUJ38" s="21"/>
      <c r="KUK38" s="21"/>
      <c r="KUL38" s="21"/>
      <c r="KUM38" s="21"/>
      <c r="KUN38" s="21"/>
      <c r="KUO38" s="21"/>
      <c r="KUP38" s="21"/>
      <c r="KUQ38" s="21"/>
      <c r="KUR38" s="21"/>
      <c r="KUS38" s="21"/>
      <c r="KUT38" s="21"/>
      <c r="KUU38" s="21"/>
      <c r="KUV38" s="21"/>
      <c r="KUW38" s="21"/>
      <c r="KUX38" s="21"/>
      <c r="KUY38" s="21"/>
      <c r="KUZ38" s="21"/>
      <c r="KVA38" s="21"/>
      <c r="KVB38" s="21"/>
      <c r="KVC38" s="21"/>
      <c r="KVD38" s="21"/>
      <c r="KVE38" s="21"/>
      <c r="KVF38" s="21"/>
      <c r="KVG38" s="21"/>
      <c r="KVH38" s="21"/>
      <c r="KVI38" s="21"/>
      <c r="KVJ38" s="21"/>
      <c r="KVK38" s="21"/>
      <c r="KVL38" s="21"/>
      <c r="KVM38" s="21"/>
      <c r="KVN38" s="21"/>
      <c r="KVO38" s="21"/>
      <c r="KVP38" s="21"/>
      <c r="KVQ38" s="21"/>
      <c r="KVR38" s="21"/>
      <c r="KVS38" s="21"/>
      <c r="KVT38" s="21"/>
      <c r="KVU38" s="21"/>
      <c r="KVV38" s="21"/>
      <c r="KVW38" s="21"/>
      <c r="KVX38" s="21"/>
      <c r="KVY38" s="21"/>
      <c r="KVZ38" s="21"/>
      <c r="KWA38" s="21"/>
      <c r="KWB38" s="21"/>
      <c r="KWC38" s="21"/>
      <c r="KWD38" s="21"/>
      <c r="KWE38" s="21"/>
      <c r="KWF38" s="21"/>
      <c r="KWG38" s="21"/>
      <c r="KWH38" s="21"/>
      <c r="KWI38" s="21"/>
      <c r="KWJ38" s="21"/>
      <c r="KWK38" s="21"/>
      <c r="KWL38" s="21"/>
      <c r="KWM38" s="21"/>
      <c r="KWN38" s="21"/>
      <c r="KWO38" s="21"/>
      <c r="KWP38" s="21"/>
      <c r="KWQ38" s="21"/>
      <c r="KWR38" s="21"/>
      <c r="KWS38" s="21"/>
      <c r="KWT38" s="21"/>
      <c r="KWU38" s="21"/>
      <c r="KWV38" s="21"/>
      <c r="KWW38" s="21"/>
      <c r="KWX38" s="21"/>
      <c r="KWY38" s="21"/>
      <c r="KWZ38" s="21"/>
      <c r="KXA38" s="21"/>
      <c r="KXB38" s="21"/>
      <c r="KXC38" s="21"/>
      <c r="KXD38" s="21"/>
      <c r="KXE38" s="21"/>
      <c r="KXF38" s="21"/>
      <c r="KXG38" s="21"/>
      <c r="KXH38" s="21"/>
      <c r="KXI38" s="21"/>
      <c r="KXJ38" s="21"/>
      <c r="KXK38" s="21"/>
      <c r="KXL38" s="21"/>
      <c r="KXM38" s="21"/>
      <c r="KXN38" s="21"/>
      <c r="KXO38" s="21"/>
      <c r="KXP38" s="21"/>
      <c r="KXQ38" s="21"/>
      <c r="KXR38" s="21"/>
      <c r="KXS38" s="21"/>
      <c r="KXT38" s="21"/>
      <c r="KXU38" s="21"/>
      <c r="KXV38" s="21"/>
      <c r="KXW38" s="21"/>
      <c r="KXX38" s="21"/>
      <c r="KXY38" s="21"/>
      <c r="KXZ38" s="21"/>
      <c r="KYA38" s="21"/>
      <c r="KYB38" s="21"/>
      <c r="KYC38" s="21"/>
      <c r="KYD38" s="21"/>
      <c r="KYE38" s="21"/>
      <c r="KYF38" s="21"/>
      <c r="KYG38" s="21"/>
      <c r="KYH38" s="21"/>
      <c r="KYI38" s="21"/>
      <c r="KYJ38" s="21"/>
      <c r="KYK38" s="21"/>
      <c r="KYL38" s="21"/>
      <c r="KYM38" s="21"/>
      <c r="KYN38" s="21"/>
      <c r="KYO38" s="21"/>
      <c r="KYP38" s="21"/>
      <c r="KYQ38" s="21"/>
      <c r="KYR38" s="21"/>
      <c r="KYS38" s="21"/>
      <c r="KYT38" s="21"/>
      <c r="KYU38" s="21"/>
      <c r="KYV38" s="21"/>
      <c r="KYW38" s="21"/>
      <c r="KYX38" s="21"/>
      <c r="KYY38" s="21"/>
      <c r="KYZ38" s="21"/>
      <c r="KZA38" s="21"/>
      <c r="KZB38" s="21"/>
      <c r="KZC38" s="21"/>
      <c r="KZD38" s="21"/>
      <c r="KZE38" s="21"/>
      <c r="KZF38" s="21"/>
      <c r="KZG38" s="21"/>
      <c r="KZH38" s="21"/>
      <c r="KZI38" s="21"/>
      <c r="KZJ38" s="21"/>
      <c r="KZK38" s="21"/>
      <c r="KZL38" s="21"/>
      <c r="KZM38" s="21"/>
      <c r="KZN38" s="21"/>
      <c r="KZO38" s="21"/>
      <c r="KZP38" s="21"/>
      <c r="KZQ38" s="21"/>
      <c r="KZR38" s="21"/>
      <c r="KZS38" s="21"/>
      <c r="KZT38" s="21"/>
      <c r="KZU38" s="21"/>
      <c r="KZV38" s="21"/>
      <c r="KZW38" s="21"/>
      <c r="KZX38" s="21"/>
      <c r="KZY38" s="21"/>
      <c r="KZZ38" s="21"/>
      <c r="LAA38" s="21"/>
      <c r="LAB38" s="21"/>
      <c r="LAC38" s="21"/>
      <c r="LAD38" s="21"/>
      <c r="LAE38" s="21"/>
      <c r="LAF38" s="21"/>
      <c r="LAG38" s="21"/>
      <c r="LAH38" s="21"/>
      <c r="LAI38" s="21"/>
      <c r="LAJ38" s="21"/>
      <c r="LAK38" s="21"/>
      <c r="LAL38" s="21"/>
      <c r="LAM38" s="21"/>
      <c r="LAN38" s="21"/>
      <c r="LAO38" s="21"/>
      <c r="LAP38" s="21"/>
      <c r="LAQ38" s="21"/>
      <c r="LAR38" s="21"/>
      <c r="LAS38" s="21"/>
      <c r="LAT38" s="21"/>
      <c r="LAU38" s="21"/>
      <c r="LAV38" s="21"/>
      <c r="LAW38" s="21"/>
      <c r="LAX38" s="21"/>
      <c r="LAY38" s="21"/>
      <c r="LAZ38" s="21"/>
      <c r="LBA38" s="21"/>
      <c r="LBB38" s="21"/>
      <c r="LBC38" s="21"/>
      <c r="LBD38" s="21"/>
      <c r="LBE38" s="21"/>
      <c r="LBF38" s="21"/>
      <c r="LBG38" s="21"/>
      <c r="LBH38" s="21"/>
      <c r="LBI38" s="21"/>
      <c r="LBJ38" s="21"/>
      <c r="LBK38" s="21"/>
      <c r="LBL38" s="21"/>
      <c r="LBM38" s="21"/>
      <c r="LBN38" s="21"/>
      <c r="LBO38" s="21"/>
      <c r="LBP38" s="21"/>
      <c r="LBQ38" s="21"/>
      <c r="LBR38" s="21"/>
      <c r="LBS38" s="21"/>
      <c r="LBT38" s="21"/>
      <c r="LBU38" s="21"/>
      <c r="LBV38" s="21"/>
      <c r="LBW38" s="21"/>
      <c r="LBX38" s="21"/>
      <c r="LBY38" s="21"/>
      <c r="LBZ38" s="21"/>
      <c r="LCA38" s="21"/>
      <c r="LCB38" s="21"/>
      <c r="LCC38" s="21"/>
      <c r="LCD38" s="21"/>
      <c r="LCE38" s="21"/>
      <c r="LCF38" s="21"/>
      <c r="LCG38" s="21"/>
      <c r="LCH38" s="21"/>
      <c r="LCI38" s="21"/>
      <c r="LCJ38" s="21"/>
      <c r="LCK38" s="21"/>
      <c r="LCL38" s="21"/>
      <c r="LCM38" s="21"/>
      <c r="LCN38" s="21"/>
      <c r="LCO38" s="21"/>
      <c r="LCP38" s="21"/>
      <c r="LCQ38" s="21"/>
      <c r="LCR38" s="21"/>
      <c r="LCS38" s="21"/>
      <c r="LCT38" s="21"/>
      <c r="LCU38" s="21"/>
      <c r="LCV38" s="21"/>
      <c r="LCW38" s="21"/>
      <c r="LCX38" s="21"/>
      <c r="LCY38" s="21"/>
      <c r="LCZ38" s="21"/>
      <c r="LDA38" s="21"/>
      <c r="LDB38" s="21"/>
      <c r="LDC38" s="21"/>
      <c r="LDD38" s="21"/>
      <c r="LDE38" s="21"/>
      <c r="LDF38" s="21"/>
      <c r="LDG38" s="21"/>
      <c r="LDH38" s="21"/>
      <c r="LDI38" s="21"/>
      <c r="LDJ38" s="21"/>
      <c r="LDK38" s="21"/>
      <c r="LDL38" s="21"/>
      <c r="LDM38" s="21"/>
      <c r="LDN38" s="21"/>
      <c r="LDO38" s="21"/>
      <c r="LDP38" s="21"/>
      <c r="LDQ38" s="21"/>
      <c r="LDR38" s="21"/>
      <c r="LDS38" s="21"/>
      <c r="LDT38" s="21"/>
      <c r="LDU38" s="21"/>
      <c r="LDV38" s="21"/>
      <c r="LDW38" s="21"/>
      <c r="LDX38" s="21"/>
      <c r="LDY38" s="21"/>
      <c r="LDZ38" s="21"/>
      <c r="LEA38" s="21"/>
      <c r="LEB38" s="21"/>
      <c r="LEC38" s="21"/>
      <c r="LED38" s="21"/>
      <c r="LEE38" s="21"/>
      <c r="LEF38" s="21"/>
      <c r="LEG38" s="21"/>
      <c r="LEH38" s="21"/>
      <c r="LEI38" s="21"/>
      <c r="LEJ38" s="21"/>
      <c r="LEK38" s="21"/>
      <c r="LEL38" s="21"/>
      <c r="LEM38" s="21"/>
      <c r="LEN38" s="21"/>
      <c r="LEO38" s="21"/>
      <c r="LEP38" s="21"/>
      <c r="LEQ38" s="21"/>
      <c r="LER38" s="21"/>
      <c r="LES38" s="21"/>
      <c r="LET38" s="21"/>
      <c r="LEU38" s="21"/>
      <c r="LEV38" s="21"/>
      <c r="LEW38" s="21"/>
      <c r="LEX38" s="21"/>
      <c r="LEY38" s="21"/>
      <c r="LEZ38" s="21"/>
      <c r="LFA38" s="21"/>
      <c r="LFB38" s="21"/>
      <c r="LFC38" s="21"/>
      <c r="LFD38" s="21"/>
      <c r="LFE38" s="21"/>
      <c r="LFF38" s="21"/>
      <c r="LFG38" s="21"/>
      <c r="LFH38" s="21"/>
      <c r="LFI38" s="21"/>
      <c r="LFJ38" s="21"/>
      <c r="LFK38" s="21"/>
      <c r="LFL38" s="21"/>
      <c r="LFM38" s="21"/>
      <c r="LFN38" s="21"/>
      <c r="LFO38" s="21"/>
      <c r="LFP38" s="21"/>
      <c r="LFQ38" s="21"/>
      <c r="LFR38" s="21"/>
      <c r="LFS38" s="21"/>
      <c r="LFT38" s="21"/>
      <c r="LFU38" s="21"/>
      <c r="LFV38" s="21"/>
      <c r="LFW38" s="21"/>
      <c r="LFX38" s="21"/>
      <c r="LFY38" s="21"/>
      <c r="LFZ38" s="21"/>
      <c r="LGA38" s="21"/>
      <c r="LGB38" s="21"/>
      <c r="LGC38" s="21"/>
      <c r="LGD38" s="21"/>
      <c r="LGE38" s="21"/>
      <c r="LGF38" s="21"/>
      <c r="LGG38" s="21"/>
      <c r="LGH38" s="21"/>
      <c r="LGI38" s="21"/>
      <c r="LGJ38" s="21"/>
      <c r="LGK38" s="21"/>
      <c r="LGL38" s="21"/>
      <c r="LGM38" s="21"/>
      <c r="LGN38" s="21"/>
      <c r="LGO38" s="21"/>
      <c r="LGP38" s="21"/>
      <c r="LGQ38" s="21"/>
      <c r="LGR38" s="21"/>
      <c r="LGS38" s="21"/>
      <c r="LGT38" s="21"/>
      <c r="LGU38" s="21"/>
      <c r="LGV38" s="21"/>
      <c r="LGW38" s="21"/>
      <c r="LGX38" s="21"/>
      <c r="LGY38" s="21"/>
      <c r="LGZ38" s="21"/>
      <c r="LHA38" s="21"/>
      <c r="LHB38" s="21"/>
      <c r="LHC38" s="21"/>
      <c r="LHD38" s="21"/>
      <c r="LHE38" s="21"/>
      <c r="LHF38" s="21"/>
      <c r="LHG38" s="21"/>
      <c r="LHH38" s="21"/>
      <c r="LHI38" s="21"/>
      <c r="LHJ38" s="21"/>
      <c r="LHK38" s="21"/>
      <c r="LHL38" s="21"/>
      <c r="LHM38" s="21"/>
      <c r="LHN38" s="21"/>
      <c r="LHO38" s="21"/>
      <c r="LHP38" s="21"/>
      <c r="LHQ38" s="21"/>
      <c r="LHR38" s="21"/>
      <c r="LHS38" s="21"/>
      <c r="LHT38" s="21"/>
      <c r="LHU38" s="21"/>
      <c r="LHV38" s="21"/>
      <c r="LHW38" s="21"/>
      <c r="LHX38" s="21"/>
      <c r="LHY38" s="21"/>
      <c r="LHZ38" s="21"/>
      <c r="LIA38" s="21"/>
      <c r="LIB38" s="21"/>
      <c r="LIC38" s="21"/>
      <c r="LID38" s="21"/>
      <c r="LIE38" s="21"/>
      <c r="LIF38" s="21"/>
      <c r="LIG38" s="21"/>
      <c r="LIH38" s="21"/>
      <c r="LII38" s="21"/>
      <c r="LIJ38" s="21"/>
      <c r="LIK38" s="21"/>
      <c r="LIL38" s="21"/>
      <c r="LIM38" s="21"/>
      <c r="LIN38" s="21"/>
      <c r="LIO38" s="21"/>
      <c r="LIP38" s="21"/>
      <c r="LIQ38" s="21"/>
      <c r="LIR38" s="21"/>
      <c r="LIS38" s="21"/>
      <c r="LIT38" s="21"/>
      <c r="LIU38" s="21"/>
      <c r="LIV38" s="21"/>
      <c r="LIW38" s="21"/>
      <c r="LIX38" s="21"/>
      <c r="LIY38" s="21"/>
      <c r="LIZ38" s="21"/>
      <c r="LJA38" s="21"/>
      <c r="LJB38" s="21"/>
      <c r="LJC38" s="21"/>
      <c r="LJD38" s="21"/>
      <c r="LJE38" s="21"/>
      <c r="LJF38" s="21"/>
      <c r="LJG38" s="21"/>
      <c r="LJH38" s="21"/>
      <c r="LJI38" s="21"/>
      <c r="LJJ38" s="21"/>
      <c r="LJK38" s="21"/>
      <c r="LJL38" s="21"/>
      <c r="LJM38" s="21"/>
      <c r="LJN38" s="21"/>
      <c r="LJO38" s="21"/>
      <c r="LJP38" s="21"/>
      <c r="LJQ38" s="21"/>
      <c r="LJR38" s="21"/>
      <c r="LJS38" s="21"/>
      <c r="LJT38" s="21"/>
      <c r="LJU38" s="21"/>
      <c r="LJV38" s="21"/>
      <c r="LJW38" s="21"/>
      <c r="LJX38" s="21"/>
      <c r="LJY38" s="21"/>
      <c r="LJZ38" s="21"/>
      <c r="LKA38" s="21"/>
      <c r="LKB38" s="21"/>
      <c r="LKC38" s="21"/>
      <c r="LKD38" s="21"/>
      <c r="LKE38" s="21"/>
      <c r="LKF38" s="21"/>
      <c r="LKG38" s="21"/>
      <c r="LKH38" s="21"/>
      <c r="LKI38" s="21"/>
      <c r="LKJ38" s="21"/>
      <c r="LKK38" s="21"/>
      <c r="LKL38" s="21"/>
      <c r="LKM38" s="21"/>
      <c r="LKN38" s="21"/>
      <c r="LKO38" s="21"/>
      <c r="LKP38" s="21"/>
      <c r="LKQ38" s="21"/>
      <c r="LKR38" s="21"/>
      <c r="LKS38" s="21"/>
      <c r="LKT38" s="21"/>
      <c r="LKU38" s="21"/>
      <c r="LKV38" s="21"/>
      <c r="LKW38" s="21"/>
      <c r="LKX38" s="21"/>
      <c r="LKY38" s="21"/>
      <c r="LKZ38" s="21"/>
      <c r="LLA38" s="21"/>
      <c r="LLB38" s="21"/>
      <c r="LLC38" s="21"/>
      <c r="LLD38" s="21"/>
      <c r="LLE38" s="21"/>
      <c r="LLF38" s="21"/>
      <c r="LLG38" s="21"/>
      <c r="LLH38" s="21"/>
      <c r="LLI38" s="21"/>
      <c r="LLJ38" s="21"/>
      <c r="LLK38" s="21"/>
      <c r="LLL38" s="21"/>
      <c r="LLM38" s="21"/>
      <c r="LLN38" s="21"/>
      <c r="LLO38" s="21"/>
      <c r="LLP38" s="21"/>
      <c r="LLQ38" s="21"/>
      <c r="LLR38" s="21"/>
      <c r="LLS38" s="21"/>
      <c r="LLT38" s="21"/>
      <c r="LLU38" s="21"/>
      <c r="LLV38" s="21"/>
      <c r="LLW38" s="21"/>
      <c r="LLX38" s="21"/>
      <c r="LLY38" s="21"/>
      <c r="LLZ38" s="21"/>
      <c r="LMA38" s="21"/>
      <c r="LMB38" s="21"/>
      <c r="LMC38" s="21"/>
      <c r="LMD38" s="21"/>
      <c r="LME38" s="21"/>
      <c r="LMF38" s="21"/>
      <c r="LMG38" s="21"/>
      <c r="LMH38" s="21"/>
      <c r="LMI38" s="21"/>
      <c r="LMJ38" s="21"/>
      <c r="LMK38" s="21"/>
      <c r="LML38" s="21"/>
      <c r="LMM38" s="21"/>
      <c r="LMN38" s="21"/>
      <c r="LMO38" s="21"/>
      <c r="LMP38" s="21"/>
      <c r="LMQ38" s="21"/>
      <c r="LMR38" s="21"/>
      <c r="LMS38" s="21"/>
      <c r="LMT38" s="21"/>
      <c r="LMU38" s="21"/>
      <c r="LMV38" s="21"/>
      <c r="LMW38" s="21"/>
      <c r="LMX38" s="21"/>
      <c r="LMY38" s="21"/>
      <c r="LMZ38" s="21"/>
      <c r="LNA38" s="21"/>
      <c r="LNB38" s="21"/>
      <c r="LNC38" s="21"/>
      <c r="LND38" s="21"/>
      <c r="LNE38" s="21"/>
      <c r="LNF38" s="21"/>
      <c r="LNG38" s="21"/>
      <c r="LNH38" s="21"/>
      <c r="LNI38" s="21"/>
      <c r="LNJ38" s="21"/>
      <c r="LNK38" s="21"/>
      <c r="LNL38" s="21"/>
      <c r="LNM38" s="21"/>
      <c r="LNN38" s="21"/>
      <c r="LNO38" s="21"/>
      <c r="LNP38" s="21"/>
      <c r="LNQ38" s="21"/>
      <c r="LNR38" s="21"/>
      <c r="LNS38" s="21"/>
      <c r="LNT38" s="21"/>
      <c r="LNU38" s="21"/>
      <c r="LNV38" s="21"/>
      <c r="LNW38" s="21"/>
      <c r="LNX38" s="21"/>
      <c r="LNY38" s="21"/>
      <c r="LNZ38" s="21"/>
      <c r="LOA38" s="21"/>
      <c r="LOB38" s="21"/>
      <c r="LOC38" s="21"/>
      <c r="LOD38" s="21"/>
      <c r="LOE38" s="21"/>
      <c r="LOF38" s="21"/>
      <c r="LOG38" s="21"/>
      <c r="LOH38" s="21"/>
      <c r="LOI38" s="21"/>
      <c r="LOJ38" s="21"/>
      <c r="LOK38" s="21"/>
      <c r="LOL38" s="21"/>
      <c r="LOM38" s="21"/>
      <c r="LON38" s="21"/>
      <c r="LOO38" s="21"/>
      <c r="LOP38" s="21"/>
      <c r="LOQ38" s="21"/>
      <c r="LOR38" s="21"/>
      <c r="LOS38" s="21"/>
      <c r="LOT38" s="21"/>
      <c r="LOU38" s="21"/>
      <c r="LOV38" s="21"/>
      <c r="LOW38" s="21"/>
      <c r="LOX38" s="21"/>
      <c r="LOY38" s="21"/>
      <c r="LOZ38" s="21"/>
      <c r="LPA38" s="21"/>
      <c r="LPB38" s="21"/>
      <c r="LPC38" s="21"/>
      <c r="LPD38" s="21"/>
      <c r="LPE38" s="21"/>
      <c r="LPF38" s="21"/>
      <c r="LPG38" s="21"/>
      <c r="LPH38" s="21"/>
      <c r="LPI38" s="21"/>
      <c r="LPJ38" s="21"/>
      <c r="LPK38" s="21"/>
      <c r="LPL38" s="21"/>
      <c r="LPM38" s="21"/>
      <c r="LPN38" s="21"/>
      <c r="LPO38" s="21"/>
      <c r="LPP38" s="21"/>
      <c r="LPQ38" s="21"/>
      <c r="LPR38" s="21"/>
      <c r="LPS38" s="21"/>
      <c r="LPT38" s="21"/>
      <c r="LPU38" s="21"/>
      <c r="LPV38" s="21"/>
      <c r="LPW38" s="21"/>
      <c r="LPX38" s="21"/>
      <c r="LPY38" s="21"/>
      <c r="LPZ38" s="21"/>
      <c r="LQA38" s="21"/>
      <c r="LQB38" s="21"/>
      <c r="LQC38" s="21"/>
      <c r="LQD38" s="21"/>
      <c r="LQE38" s="21"/>
      <c r="LQF38" s="21"/>
      <c r="LQG38" s="21"/>
      <c r="LQH38" s="21"/>
      <c r="LQI38" s="21"/>
      <c r="LQJ38" s="21"/>
      <c r="LQK38" s="21"/>
      <c r="LQL38" s="21"/>
      <c r="LQM38" s="21"/>
      <c r="LQN38" s="21"/>
      <c r="LQO38" s="21"/>
      <c r="LQP38" s="21"/>
      <c r="LQQ38" s="21"/>
      <c r="LQR38" s="21"/>
      <c r="LQS38" s="21"/>
      <c r="LQT38" s="21"/>
      <c r="LQU38" s="21"/>
      <c r="LQV38" s="21"/>
      <c r="LQW38" s="21"/>
      <c r="LQX38" s="21"/>
      <c r="LQY38" s="21"/>
      <c r="LQZ38" s="21"/>
      <c r="LRA38" s="21"/>
      <c r="LRB38" s="21"/>
      <c r="LRC38" s="21"/>
      <c r="LRD38" s="21"/>
      <c r="LRE38" s="21"/>
      <c r="LRF38" s="21"/>
      <c r="LRG38" s="21"/>
      <c r="LRH38" s="21"/>
      <c r="LRI38" s="21"/>
      <c r="LRJ38" s="21"/>
      <c r="LRK38" s="21"/>
      <c r="LRL38" s="21"/>
      <c r="LRM38" s="21"/>
      <c r="LRN38" s="21"/>
      <c r="LRO38" s="21"/>
      <c r="LRP38" s="21"/>
      <c r="LRQ38" s="21"/>
      <c r="LRR38" s="21"/>
      <c r="LRS38" s="21"/>
      <c r="LRT38" s="21"/>
      <c r="LRU38" s="21"/>
      <c r="LRV38" s="21"/>
      <c r="LRW38" s="21"/>
      <c r="LRX38" s="21"/>
      <c r="LRY38" s="21"/>
      <c r="LRZ38" s="21"/>
      <c r="LSA38" s="21"/>
      <c r="LSB38" s="21"/>
      <c r="LSC38" s="21"/>
      <c r="LSD38" s="21"/>
      <c r="LSE38" s="21"/>
      <c r="LSF38" s="21"/>
      <c r="LSG38" s="21"/>
      <c r="LSH38" s="21"/>
      <c r="LSI38" s="21"/>
      <c r="LSJ38" s="21"/>
      <c r="LSK38" s="21"/>
      <c r="LSL38" s="21"/>
      <c r="LSM38" s="21"/>
      <c r="LSN38" s="21"/>
      <c r="LSO38" s="21"/>
      <c r="LSP38" s="21"/>
      <c r="LSQ38" s="21"/>
      <c r="LSR38" s="21"/>
      <c r="LSS38" s="21"/>
      <c r="LST38" s="21"/>
      <c r="LSU38" s="21"/>
      <c r="LSV38" s="21"/>
      <c r="LSW38" s="21"/>
      <c r="LSX38" s="21"/>
      <c r="LSY38" s="21"/>
      <c r="LSZ38" s="21"/>
      <c r="LTA38" s="21"/>
      <c r="LTB38" s="21"/>
      <c r="LTC38" s="21"/>
      <c r="LTD38" s="21"/>
      <c r="LTE38" s="21"/>
      <c r="LTF38" s="21"/>
      <c r="LTG38" s="21"/>
      <c r="LTH38" s="21"/>
      <c r="LTI38" s="21"/>
      <c r="LTJ38" s="21"/>
      <c r="LTK38" s="21"/>
      <c r="LTL38" s="21"/>
      <c r="LTM38" s="21"/>
      <c r="LTN38" s="21"/>
      <c r="LTO38" s="21"/>
      <c r="LTP38" s="21"/>
      <c r="LTQ38" s="21"/>
      <c r="LTR38" s="21"/>
      <c r="LTS38" s="21"/>
      <c r="LTT38" s="21"/>
      <c r="LTU38" s="21"/>
      <c r="LTV38" s="21"/>
      <c r="LTW38" s="21"/>
      <c r="LTX38" s="21"/>
      <c r="LTY38" s="21"/>
      <c r="LTZ38" s="21"/>
      <c r="LUA38" s="21"/>
      <c r="LUB38" s="21"/>
      <c r="LUC38" s="21"/>
      <c r="LUD38" s="21"/>
      <c r="LUE38" s="21"/>
      <c r="LUF38" s="21"/>
      <c r="LUG38" s="21"/>
      <c r="LUH38" s="21"/>
      <c r="LUI38" s="21"/>
      <c r="LUJ38" s="21"/>
      <c r="LUK38" s="21"/>
      <c r="LUL38" s="21"/>
      <c r="LUM38" s="21"/>
      <c r="LUN38" s="21"/>
      <c r="LUO38" s="21"/>
      <c r="LUP38" s="21"/>
      <c r="LUQ38" s="21"/>
      <c r="LUR38" s="21"/>
      <c r="LUS38" s="21"/>
      <c r="LUT38" s="21"/>
      <c r="LUU38" s="21"/>
      <c r="LUV38" s="21"/>
      <c r="LUW38" s="21"/>
      <c r="LUX38" s="21"/>
      <c r="LUY38" s="21"/>
      <c r="LUZ38" s="21"/>
      <c r="LVA38" s="21"/>
      <c r="LVB38" s="21"/>
      <c r="LVC38" s="21"/>
      <c r="LVD38" s="21"/>
      <c r="LVE38" s="21"/>
      <c r="LVF38" s="21"/>
      <c r="LVG38" s="21"/>
      <c r="LVH38" s="21"/>
      <c r="LVI38" s="21"/>
      <c r="LVJ38" s="21"/>
      <c r="LVK38" s="21"/>
      <c r="LVL38" s="21"/>
      <c r="LVM38" s="21"/>
      <c r="LVN38" s="21"/>
      <c r="LVO38" s="21"/>
      <c r="LVP38" s="21"/>
      <c r="LVQ38" s="21"/>
      <c r="LVR38" s="21"/>
      <c r="LVS38" s="21"/>
      <c r="LVT38" s="21"/>
      <c r="LVU38" s="21"/>
      <c r="LVV38" s="21"/>
      <c r="LVW38" s="21"/>
      <c r="LVX38" s="21"/>
      <c r="LVY38" s="21"/>
      <c r="LVZ38" s="21"/>
      <c r="LWA38" s="21"/>
      <c r="LWB38" s="21"/>
      <c r="LWC38" s="21"/>
      <c r="LWD38" s="21"/>
      <c r="LWE38" s="21"/>
      <c r="LWF38" s="21"/>
      <c r="LWG38" s="21"/>
      <c r="LWH38" s="21"/>
      <c r="LWI38" s="21"/>
      <c r="LWJ38" s="21"/>
      <c r="LWK38" s="21"/>
      <c r="LWL38" s="21"/>
      <c r="LWM38" s="21"/>
      <c r="LWN38" s="21"/>
      <c r="LWO38" s="21"/>
      <c r="LWP38" s="21"/>
      <c r="LWQ38" s="21"/>
      <c r="LWR38" s="21"/>
      <c r="LWS38" s="21"/>
      <c r="LWT38" s="21"/>
      <c r="LWU38" s="21"/>
      <c r="LWV38" s="21"/>
      <c r="LWW38" s="21"/>
      <c r="LWX38" s="21"/>
      <c r="LWY38" s="21"/>
      <c r="LWZ38" s="21"/>
      <c r="LXA38" s="21"/>
      <c r="LXB38" s="21"/>
      <c r="LXC38" s="21"/>
      <c r="LXD38" s="21"/>
      <c r="LXE38" s="21"/>
      <c r="LXF38" s="21"/>
      <c r="LXG38" s="21"/>
      <c r="LXH38" s="21"/>
      <c r="LXI38" s="21"/>
      <c r="LXJ38" s="21"/>
      <c r="LXK38" s="21"/>
      <c r="LXL38" s="21"/>
      <c r="LXM38" s="21"/>
      <c r="LXN38" s="21"/>
      <c r="LXO38" s="21"/>
      <c r="LXP38" s="21"/>
      <c r="LXQ38" s="21"/>
      <c r="LXR38" s="21"/>
      <c r="LXS38" s="21"/>
      <c r="LXT38" s="21"/>
      <c r="LXU38" s="21"/>
      <c r="LXV38" s="21"/>
      <c r="LXW38" s="21"/>
      <c r="LXX38" s="21"/>
      <c r="LXY38" s="21"/>
      <c r="LXZ38" s="21"/>
      <c r="LYA38" s="21"/>
      <c r="LYB38" s="21"/>
      <c r="LYC38" s="21"/>
      <c r="LYD38" s="21"/>
      <c r="LYE38" s="21"/>
      <c r="LYF38" s="21"/>
      <c r="LYG38" s="21"/>
      <c r="LYH38" s="21"/>
      <c r="LYI38" s="21"/>
      <c r="LYJ38" s="21"/>
      <c r="LYK38" s="21"/>
      <c r="LYL38" s="21"/>
      <c r="LYM38" s="21"/>
      <c r="LYN38" s="21"/>
      <c r="LYO38" s="21"/>
      <c r="LYP38" s="21"/>
      <c r="LYQ38" s="21"/>
      <c r="LYR38" s="21"/>
      <c r="LYS38" s="21"/>
      <c r="LYT38" s="21"/>
      <c r="LYU38" s="21"/>
      <c r="LYV38" s="21"/>
      <c r="LYW38" s="21"/>
      <c r="LYX38" s="21"/>
      <c r="LYY38" s="21"/>
      <c r="LYZ38" s="21"/>
      <c r="LZA38" s="21"/>
      <c r="LZB38" s="21"/>
      <c r="LZC38" s="21"/>
      <c r="LZD38" s="21"/>
      <c r="LZE38" s="21"/>
      <c r="LZF38" s="21"/>
      <c r="LZG38" s="21"/>
      <c r="LZH38" s="21"/>
      <c r="LZI38" s="21"/>
      <c r="LZJ38" s="21"/>
      <c r="LZK38" s="21"/>
      <c r="LZL38" s="21"/>
      <c r="LZM38" s="21"/>
      <c r="LZN38" s="21"/>
      <c r="LZO38" s="21"/>
      <c r="LZP38" s="21"/>
      <c r="LZQ38" s="21"/>
      <c r="LZR38" s="21"/>
      <c r="LZS38" s="21"/>
      <c r="LZT38" s="21"/>
      <c r="LZU38" s="21"/>
      <c r="LZV38" s="21"/>
      <c r="LZW38" s="21"/>
      <c r="LZX38" s="21"/>
      <c r="LZY38" s="21"/>
      <c r="LZZ38" s="21"/>
      <c r="MAA38" s="21"/>
      <c r="MAB38" s="21"/>
      <c r="MAC38" s="21"/>
      <c r="MAD38" s="21"/>
      <c r="MAE38" s="21"/>
      <c r="MAF38" s="21"/>
      <c r="MAG38" s="21"/>
      <c r="MAH38" s="21"/>
      <c r="MAI38" s="21"/>
      <c r="MAJ38" s="21"/>
      <c r="MAK38" s="21"/>
      <c r="MAL38" s="21"/>
      <c r="MAM38" s="21"/>
      <c r="MAN38" s="21"/>
      <c r="MAO38" s="21"/>
      <c r="MAP38" s="21"/>
      <c r="MAQ38" s="21"/>
      <c r="MAR38" s="21"/>
      <c r="MAS38" s="21"/>
      <c r="MAT38" s="21"/>
      <c r="MAU38" s="21"/>
      <c r="MAV38" s="21"/>
      <c r="MAW38" s="21"/>
      <c r="MAX38" s="21"/>
      <c r="MAY38" s="21"/>
      <c r="MAZ38" s="21"/>
      <c r="MBA38" s="21"/>
      <c r="MBB38" s="21"/>
      <c r="MBC38" s="21"/>
      <c r="MBD38" s="21"/>
      <c r="MBE38" s="21"/>
      <c r="MBF38" s="21"/>
      <c r="MBG38" s="21"/>
      <c r="MBH38" s="21"/>
      <c r="MBI38" s="21"/>
      <c r="MBJ38" s="21"/>
      <c r="MBK38" s="21"/>
      <c r="MBL38" s="21"/>
      <c r="MBM38" s="21"/>
      <c r="MBN38" s="21"/>
      <c r="MBO38" s="21"/>
      <c r="MBP38" s="21"/>
      <c r="MBQ38" s="21"/>
      <c r="MBR38" s="21"/>
      <c r="MBS38" s="21"/>
      <c r="MBT38" s="21"/>
      <c r="MBU38" s="21"/>
      <c r="MBV38" s="21"/>
      <c r="MBW38" s="21"/>
      <c r="MBX38" s="21"/>
      <c r="MBY38" s="21"/>
      <c r="MBZ38" s="21"/>
      <c r="MCA38" s="21"/>
      <c r="MCB38" s="21"/>
      <c r="MCC38" s="21"/>
      <c r="MCD38" s="21"/>
      <c r="MCE38" s="21"/>
      <c r="MCF38" s="21"/>
      <c r="MCG38" s="21"/>
      <c r="MCH38" s="21"/>
      <c r="MCI38" s="21"/>
      <c r="MCJ38" s="21"/>
      <c r="MCK38" s="21"/>
      <c r="MCL38" s="21"/>
      <c r="MCM38" s="21"/>
      <c r="MCN38" s="21"/>
      <c r="MCO38" s="21"/>
      <c r="MCP38" s="21"/>
      <c r="MCQ38" s="21"/>
      <c r="MCR38" s="21"/>
      <c r="MCS38" s="21"/>
      <c r="MCT38" s="21"/>
      <c r="MCU38" s="21"/>
      <c r="MCV38" s="21"/>
      <c r="MCW38" s="21"/>
      <c r="MCX38" s="21"/>
      <c r="MCY38" s="21"/>
      <c r="MCZ38" s="21"/>
      <c r="MDA38" s="21"/>
      <c r="MDB38" s="21"/>
      <c r="MDC38" s="21"/>
      <c r="MDD38" s="21"/>
      <c r="MDE38" s="21"/>
      <c r="MDF38" s="21"/>
      <c r="MDG38" s="21"/>
      <c r="MDH38" s="21"/>
      <c r="MDI38" s="21"/>
      <c r="MDJ38" s="21"/>
      <c r="MDK38" s="21"/>
      <c r="MDL38" s="21"/>
      <c r="MDM38" s="21"/>
      <c r="MDN38" s="21"/>
      <c r="MDO38" s="21"/>
      <c r="MDP38" s="21"/>
      <c r="MDQ38" s="21"/>
      <c r="MDR38" s="21"/>
      <c r="MDS38" s="21"/>
      <c r="MDT38" s="21"/>
      <c r="MDU38" s="21"/>
      <c r="MDV38" s="21"/>
      <c r="MDW38" s="21"/>
      <c r="MDX38" s="21"/>
      <c r="MDY38" s="21"/>
      <c r="MDZ38" s="21"/>
      <c r="MEA38" s="21"/>
      <c r="MEB38" s="21"/>
      <c r="MEC38" s="21"/>
      <c r="MED38" s="21"/>
      <c r="MEE38" s="21"/>
      <c r="MEF38" s="21"/>
      <c r="MEG38" s="21"/>
      <c r="MEH38" s="21"/>
      <c r="MEI38" s="21"/>
      <c r="MEJ38" s="21"/>
      <c r="MEK38" s="21"/>
      <c r="MEL38" s="21"/>
      <c r="MEM38" s="21"/>
      <c r="MEN38" s="21"/>
      <c r="MEO38" s="21"/>
      <c r="MEP38" s="21"/>
      <c r="MEQ38" s="21"/>
      <c r="MER38" s="21"/>
      <c r="MES38" s="21"/>
      <c r="MET38" s="21"/>
      <c r="MEU38" s="21"/>
      <c r="MEV38" s="21"/>
      <c r="MEW38" s="21"/>
      <c r="MEX38" s="21"/>
      <c r="MEY38" s="21"/>
      <c r="MEZ38" s="21"/>
      <c r="MFA38" s="21"/>
      <c r="MFB38" s="21"/>
      <c r="MFC38" s="21"/>
      <c r="MFD38" s="21"/>
      <c r="MFE38" s="21"/>
      <c r="MFF38" s="21"/>
      <c r="MFG38" s="21"/>
      <c r="MFH38" s="21"/>
      <c r="MFI38" s="21"/>
      <c r="MFJ38" s="21"/>
      <c r="MFK38" s="21"/>
      <c r="MFL38" s="21"/>
      <c r="MFM38" s="21"/>
      <c r="MFN38" s="21"/>
      <c r="MFO38" s="21"/>
      <c r="MFP38" s="21"/>
      <c r="MFQ38" s="21"/>
      <c r="MFR38" s="21"/>
      <c r="MFS38" s="21"/>
      <c r="MFT38" s="21"/>
      <c r="MFU38" s="21"/>
      <c r="MFV38" s="21"/>
      <c r="MFW38" s="21"/>
      <c r="MFX38" s="21"/>
      <c r="MFY38" s="21"/>
      <c r="MFZ38" s="21"/>
      <c r="MGA38" s="21"/>
      <c r="MGB38" s="21"/>
      <c r="MGC38" s="21"/>
      <c r="MGD38" s="21"/>
      <c r="MGE38" s="21"/>
      <c r="MGF38" s="21"/>
      <c r="MGG38" s="21"/>
      <c r="MGH38" s="21"/>
      <c r="MGI38" s="21"/>
      <c r="MGJ38" s="21"/>
      <c r="MGK38" s="21"/>
      <c r="MGL38" s="21"/>
      <c r="MGM38" s="21"/>
      <c r="MGN38" s="21"/>
      <c r="MGO38" s="21"/>
      <c r="MGP38" s="21"/>
      <c r="MGQ38" s="21"/>
      <c r="MGR38" s="21"/>
      <c r="MGS38" s="21"/>
      <c r="MGT38" s="21"/>
      <c r="MGU38" s="21"/>
      <c r="MGV38" s="21"/>
      <c r="MGW38" s="21"/>
      <c r="MGX38" s="21"/>
      <c r="MGY38" s="21"/>
      <c r="MGZ38" s="21"/>
      <c r="MHA38" s="21"/>
      <c r="MHB38" s="21"/>
      <c r="MHC38" s="21"/>
      <c r="MHD38" s="21"/>
      <c r="MHE38" s="21"/>
      <c r="MHF38" s="21"/>
      <c r="MHG38" s="21"/>
      <c r="MHH38" s="21"/>
      <c r="MHI38" s="21"/>
      <c r="MHJ38" s="21"/>
      <c r="MHK38" s="21"/>
      <c r="MHL38" s="21"/>
      <c r="MHM38" s="21"/>
      <c r="MHN38" s="21"/>
      <c r="MHO38" s="21"/>
      <c r="MHP38" s="21"/>
      <c r="MHQ38" s="21"/>
      <c r="MHR38" s="21"/>
      <c r="MHS38" s="21"/>
      <c r="MHT38" s="21"/>
      <c r="MHU38" s="21"/>
      <c r="MHV38" s="21"/>
      <c r="MHW38" s="21"/>
      <c r="MHX38" s="21"/>
      <c r="MHY38" s="21"/>
      <c r="MHZ38" s="21"/>
      <c r="MIA38" s="21"/>
      <c r="MIB38" s="21"/>
      <c r="MIC38" s="21"/>
      <c r="MID38" s="21"/>
      <c r="MIE38" s="21"/>
      <c r="MIF38" s="21"/>
      <c r="MIG38" s="21"/>
      <c r="MIH38" s="21"/>
      <c r="MII38" s="21"/>
      <c r="MIJ38" s="21"/>
      <c r="MIK38" s="21"/>
      <c r="MIL38" s="21"/>
      <c r="MIM38" s="21"/>
      <c r="MIN38" s="21"/>
      <c r="MIO38" s="21"/>
      <c r="MIP38" s="21"/>
      <c r="MIQ38" s="21"/>
      <c r="MIR38" s="21"/>
      <c r="MIS38" s="21"/>
      <c r="MIT38" s="21"/>
      <c r="MIU38" s="21"/>
      <c r="MIV38" s="21"/>
      <c r="MIW38" s="21"/>
      <c r="MIX38" s="21"/>
      <c r="MIY38" s="21"/>
      <c r="MIZ38" s="21"/>
      <c r="MJA38" s="21"/>
      <c r="MJB38" s="21"/>
      <c r="MJC38" s="21"/>
      <c r="MJD38" s="21"/>
      <c r="MJE38" s="21"/>
      <c r="MJF38" s="21"/>
      <c r="MJG38" s="21"/>
      <c r="MJH38" s="21"/>
      <c r="MJI38" s="21"/>
      <c r="MJJ38" s="21"/>
      <c r="MJK38" s="21"/>
      <c r="MJL38" s="21"/>
      <c r="MJM38" s="21"/>
      <c r="MJN38" s="21"/>
      <c r="MJO38" s="21"/>
      <c r="MJP38" s="21"/>
      <c r="MJQ38" s="21"/>
      <c r="MJR38" s="21"/>
      <c r="MJS38" s="21"/>
      <c r="MJT38" s="21"/>
      <c r="MJU38" s="21"/>
      <c r="MJV38" s="21"/>
      <c r="MJW38" s="21"/>
      <c r="MJX38" s="21"/>
      <c r="MJY38" s="21"/>
      <c r="MJZ38" s="21"/>
      <c r="MKA38" s="21"/>
      <c r="MKB38" s="21"/>
      <c r="MKC38" s="21"/>
      <c r="MKD38" s="21"/>
      <c r="MKE38" s="21"/>
      <c r="MKF38" s="21"/>
      <c r="MKG38" s="21"/>
      <c r="MKH38" s="21"/>
      <c r="MKI38" s="21"/>
      <c r="MKJ38" s="21"/>
      <c r="MKK38" s="21"/>
      <c r="MKL38" s="21"/>
      <c r="MKM38" s="21"/>
      <c r="MKN38" s="21"/>
      <c r="MKO38" s="21"/>
      <c r="MKP38" s="21"/>
      <c r="MKQ38" s="21"/>
      <c r="MKR38" s="21"/>
      <c r="MKS38" s="21"/>
      <c r="MKT38" s="21"/>
      <c r="MKU38" s="21"/>
      <c r="MKV38" s="21"/>
      <c r="MKW38" s="21"/>
      <c r="MKX38" s="21"/>
      <c r="MKY38" s="21"/>
      <c r="MKZ38" s="21"/>
      <c r="MLA38" s="21"/>
      <c r="MLB38" s="21"/>
      <c r="MLC38" s="21"/>
      <c r="MLD38" s="21"/>
      <c r="MLE38" s="21"/>
      <c r="MLF38" s="21"/>
      <c r="MLG38" s="21"/>
      <c r="MLH38" s="21"/>
      <c r="MLI38" s="21"/>
      <c r="MLJ38" s="21"/>
      <c r="MLK38" s="21"/>
      <c r="MLL38" s="21"/>
      <c r="MLM38" s="21"/>
      <c r="MLN38" s="21"/>
      <c r="MLO38" s="21"/>
      <c r="MLP38" s="21"/>
      <c r="MLQ38" s="21"/>
      <c r="MLR38" s="21"/>
      <c r="MLS38" s="21"/>
      <c r="MLT38" s="21"/>
      <c r="MLU38" s="21"/>
      <c r="MLV38" s="21"/>
      <c r="MLW38" s="21"/>
      <c r="MLX38" s="21"/>
      <c r="MLY38" s="21"/>
      <c r="MLZ38" s="21"/>
      <c r="MMA38" s="21"/>
      <c r="MMB38" s="21"/>
      <c r="MMC38" s="21"/>
      <c r="MMD38" s="21"/>
      <c r="MME38" s="21"/>
      <c r="MMF38" s="21"/>
      <c r="MMG38" s="21"/>
      <c r="MMH38" s="21"/>
      <c r="MMI38" s="21"/>
      <c r="MMJ38" s="21"/>
      <c r="MMK38" s="21"/>
      <c r="MML38" s="21"/>
      <c r="MMM38" s="21"/>
      <c r="MMN38" s="21"/>
      <c r="MMO38" s="21"/>
      <c r="MMP38" s="21"/>
      <c r="MMQ38" s="21"/>
      <c r="MMR38" s="21"/>
      <c r="MMS38" s="21"/>
      <c r="MMT38" s="21"/>
      <c r="MMU38" s="21"/>
      <c r="MMV38" s="21"/>
      <c r="MMW38" s="21"/>
      <c r="MMX38" s="21"/>
      <c r="MMY38" s="21"/>
      <c r="MMZ38" s="21"/>
      <c r="MNA38" s="21"/>
      <c r="MNB38" s="21"/>
      <c r="MNC38" s="21"/>
      <c r="MND38" s="21"/>
      <c r="MNE38" s="21"/>
      <c r="MNF38" s="21"/>
      <c r="MNG38" s="21"/>
      <c r="MNH38" s="21"/>
      <c r="MNI38" s="21"/>
      <c r="MNJ38" s="21"/>
      <c r="MNK38" s="21"/>
      <c r="MNL38" s="21"/>
      <c r="MNM38" s="21"/>
      <c r="MNN38" s="21"/>
      <c r="MNO38" s="21"/>
      <c r="MNP38" s="21"/>
      <c r="MNQ38" s="21"/>
      <c r="MNR38" s="21"/>
      <c r="MNS38" s="21"/>
      <c r="MNT38" s="21"/>
      <c r="MNU38" s="21"/>
      <c r="MNV38" s="21"/>
      <c r="MNW38" s="21"/>
      <c r="MNX38" s="21"/>
      <c r="MNY38" s="21"/>
      <c r="MNZ38" s="21"/>
      <c r="MOA38" s="21"/>
      <c r="MOB38" s="21"/>
      <c r="MOC38" s="21"/>
      <c r="MOD38" s="21"/>
      <c r="MOE38" s="21"/>
      <c r="MOF38" s="21"/>
      <c r="MOG38" s="21"/>
      <c r="MOH38" s="21"/>
      <c r="MOI38" s="21"/>
      <c r="MOJ38" s="21"/>
      <c r="MOK38" s="21"/>
      <c r="MOL38" s="21"/>
      <c r="MOM38" s="21"/>
      <c r="MON38" s="21"/>
      <c r="MOO38" s="21"/>
      <c r="MOP38" s="21"/>
      <c r="MOQ38" s="21"/>
      <c r="MOR38" s="21"/>
      <c r="MOS38" s="21"/>
      <c r="MOT38" s="21"/>
      <c r="MOU38" s="21"/>
      <c r="MOV38" s="21"/>
      <c r="MOW38" s="21"/>
      <c r="MOX38" s="21"/>
      <c r="MOY38" s="21"/>
      <c r="MOZ38" s="21"/>
      <c r="MPA38" s="21"/>
      <c r="MPB38" s="21"/>
      <c r="MPC38" s="21"/>
      <c r="MPD38" s="21"/>
      <c r="MPE38" s="21"/>
      <c r="MPF38" s="21"/>
      <c r="MPG38" s="21"/>
      <c r="MPH38" s="21"/>
      <c r="MPI38" s="21"/>
      <c r="MPJ38" s="21"/>
      <c r="MPK38" s="21"/>
      <c r="MPL38" s="21"/>
      <c r="MPM38" s="21"/>
      <c r="MPN38" s="21"/>
      <c r="MPO38" s="21"/>
      <c r="MPP38" s="21"/>
      <c r="MPQ38" s="21"/>
      <c r="MPR38" s="21"/>
      <c r="MPS38" s="21"/>
      <c r="MPT38" s="21"/>
      <c r="MPU38" s="21"/>
      <c r="MPV38" s="21"/>
      <c r="MPW38" s="21"/>
      <c r="MPX38" s="21"/>
      <c r="MPY38" s="21"/>
      <c r="MPZ38" s="21"/>
      <c r="MQA38" s="21"/>
      <c r="MQB38" s="21"/>
      <c r="MQC38" s="21"/>
      <c r="MQD38" s="21"/>
      <c r="MQE38" s="21"/>
      <c r="MQF38" s="21"/>
      <c r="MQG38" s="21"/>
      <c r="MQH38" s="21"/>
      <c r="MQI38" s="21"/>
      <c r="MQJ38" s="21"/>
      <c r="MQK38" s="21"/>
      <c r="MQL38" s="21"/>
      <c r="MQM38" s="21"/>
      <c r="MQN38" s="21"/>
      <c r="MQO38" s="21"/>
      <c r="MQP38" s="21"/>
      <c r="MQQ38" s="21"/>
      <c r="MQR38" s="21"/>
      <c r="MQS38" s="21"/>
      <c r="MQT38" s="21"/>
      <c r="MQU38" s="21"/>
      <c r="MQV38" s="21"/>
      <c r="MQW38" s="21"/>
      <c r="MQX38" s="21"/>
      <c r="MQY38" s="21"/>
      <c r="MQZ38" s="21"/>
      <c r="MRA38" s="21"/>
      <c r="MRB38" s="21"/>
      <c r="MRC38" s="21"/>
      <c r="MRD38" s="21"/>
      <c r="MRE38" s="21"/>
      <c r="MRF38" s="21"/>
      <c r="MRG38" s="21"/>
      <c r="MRH38" s="21"/>
      <c r="MRI38" s="21"/>
      <c r="MRJ38" s="21"/>
      <c r="MRK38" s="21"/>
      <c r="MRL38" s="21"/>
      <c r="MRM38" s="21"/>
      <c r="MRN38" s="21"/>
      <c r="MRO38" s="21"/>
      <c r="MRP38" s="21"/>
      <c r="MRQ38" s="21"/>
      <c r="MRR38" s="21"/>
      <c r="MRS38" s="21"/>
      <c r="MRT38" s="21"/>
      <c r="MRU38" s="21"/>
      <c r="MRV38" s="21"/>
      <c r="MRW38" s="21"/>
      <c r="MRX38" s="21"/>
      <c r="MRY38" s="21"/>
      <c r="MRZ38" s="21"/>
      <c r="MSA38" s="21"/>
      <c r="MSB38" s="21"/>
      <c r="MSC38" s="21"/>
      <c r="MSD38" s="21"/>
      <c r="MSE38" s="21"/>
      <c r="MSF38" s="21"/>
      <c r="MSG38" s="21"/>
      <c r="MSH38" s="21"/>
      <c r="MSI38" s="21"/>
      <c r="MSJ38" s="21"/>
      <c r="MSK38" s="21"/>
      <c r="MSL38" s="21"/>
      <c r="MSM38" s="21"/>
      <c r="MSN38" s="21"/>
      <c r="MSO38" s="21"/>
      <c r="MSP38" s="21"/>
      <c r="MSQ38" s="21"/>
      <c r="MSR38" s="21"/>
      <c r="MSS38" s="21"/>
      <c r="MST38" s="21"/>
      <c r="MSU38" s="21"/>
      <c r="MSV38" s="21"/>
      <c r="MSW38" s="21"/>
      <c r="MSX38" s="21"/>
      <c r="MSY38" s="21"/>
      <c r="MSZ38" s="21"/>
      <c r="MTA38" s="21"/>
      <c r="MTB38" s="21"/>
      <c r="MTC38" s="21"/>
      <c r="MTD38" s="21"/>
      <c r="MTE38" s="21"/>
      <c r="MTF38" s="21"/>
      <c r="MTG38" s="21"/>
      <c r="MTH38" s="21"/>
      <c r="MTI38" s="21"/>
      <c r="MTJ38" s="21"/>
      <c r="MTK38" s="21"/>
      <c r="MTL38" s="21"/>
      <c r="MTM38" s="21"/>
      <c r="MTN38" s="21"/>
      <c r="MTO38" s="21"/>
      <c r="MTP38" s="21"/>
      <c r="MTQ38" s="21"/>
      <c r="MTR38" s="21"/>
      <c r="MTS38" s="21"/>
      <c r="MTT38" s="21"/>
      <c r="MTU38" s="21"/>
      <c r="MTV38" s="21"/>
      <c r="MTW38" s="21"/>
      <c r="MTX38" s="21"/>
      <c r="MTY38" s="21"/>
      <c r="MTZ38" s="21"/>
      <c r="MUA38" s="21"/>
      <c r="MUB38" s="21"/>
      <c r="MUC38" s="21"/>
      <c r="MUD38" s="21"/>
      <c r="MUE38" s="21"/>
      <c r="MUF38" s="21"/>
      <c r="MUG38" s="21"/>
      <c r="MUH38" s="21"/>
      <c r="MUI38" s="21"/>
      <c r="MUJ38" s="21"/>
      <c r="MUK38" s="21"/>
      <c r="MUL38" s="21"/>
      <c r="MUM38" s="21"/>
      <c r="MUN38" s="21"/>
      <c r="MUO38" s="21"/>
      <c r="MUP38" s="21"/>
      <c r="MUQ38" s="21"/>
      <c r="MUR38" s="21"/>
      <c r="MUS38" s="21"/>
      <c r="MUT38" s="21"/>
      <c r="MUU38" s="21"/>
      <c r="MUV38" s="21"/>
      <c r="MUW38" s="21"/>
      <c r="MUX38" s="21"/>
      <c r="MUY38" s="21"/>
      <c r="MUZ38" s="21"/>
      <c r="MVA38" s="21"/>
      <c r="MVB38" s="21"/>
      <c r="MVC38" s="21"/>
      <c r="MVD38" s="21"/>
      <c r="MVE38" s="21"/>
      <c r="MVF38" s="21"/>
      <c r="MVG38" s="21"/>
      <c r="MVH38" s="21"/>
      <c r="MVI38" s="21"/>
      <c r="MVJ38" s="21"/>
      <c r="MVK38" s="21"/>
      <c r="MVL38" s="21"/>
      <c r="MVM38" s="21"/>
      <c r="MVN38" s="21"/>
      <c r="MVO38" s="21"/>
      <c r="MVP38" s="21"/>
      <c r="MVQ38" s="21"/>
      <c r="MVR38" s="21"/>
      <c r="MVS38" s="21"/>
      <c r="MVT38" s="21"/>
      <c r="MVU38" s="21"/>
      <c r="MVV38" s="21"/>
      <c r="MVW38" s="21"/>
      <c r="MVX38" s="21"/>
      <c r="MVY38" s="21"/>
      <c r="MVZ38" s="21"/>
      <c r="MWA38" s="21"/>
      <c r="MWB38" s="21"/>
      <c r="MWC38" s="21"/>
      <c r="MWD38" s="21"/>
      <c r="MWE38" s="21"/>
      <c r="MWF38" s="21"/>
      <c r="MWG38" s="21"/>
      <c r="MWH38" s="21"/>
      <c r="MWI38" s="21"/>
      <c r="MWJ38" s="21"/>
      <c r="MWK38" s="21"/>
      <c r="MWL38" s="21"/>
      <c r="MWM38" s="21"/>
      <c r="MWN38" s="21"/>
      <c r="MWO38" s="21"/>
      <c r="MWP38" s="21"/>
      <c r="MWQ38" s="21"/>
      <c r="MWR38" s="21"/>
      <c r="MWS38" s="21"/>
      <c r="MWT38" s="21"/>
      <c r="MWU38" s="21"/>
      <c r="MWV38" s="21"/>
      <c r="MWW38" s="21"/>
      <c r="MWX38" s="21"/>
      <c r="MWY38" s="21"/>
      <c r="MWZ38" s="21"/>
      <c r="MXA38" s="21"/>
      <c r="MXB38" s="21"/>
      <c r="MXC38" s="21"/>
      <c r="MXD38" s="21"/>
      <c r="MXE38" s="21"/>
      <c r="MXF38" s="21"/>
      <c r="MXG38" s="21"/>
      <c r="MXH38" s="21"/>
      <c r="MXI38" s="21"/>
      <c r="MXJ38" s="21"/>
      <c r="MXK38" s="21"/>
      <c r="MXL38" s="21"/>
      <c r="MXM38" s="21"/>
      <c r="MXN38" s="21"/>
      <c r="MXO38" s="21"/>
      <c r="MXP38" s="21"/>
      <c r="MXQ38" s="21"/>
      <c r="MXR38" s="21"/>
      <c r="MXS38" s="21"/>
      <c r="MXT38" s="21"/>
      <c r="MXU38" s="21"/>
      <c r="MXV38" s="21"/>
      <c r="MXW38" s="21"/>
      <c r="MXX38" s="21"/>
      <c r="MXY38" s="21"/>
      <c r="MXZ38" s="21"/>
      <c r="MYA38" s="21"/>
      <c r="MYB38" s="21"/>
      <c r="MYC38" s="21"/>
      <c r="MYD38" s="21"/>
      <c r="MYE38" s="21"/>
      <c r="MYF38" s="21"/>
      <c r="MYG38" s="21"/>
      <c r="MYH38" s="21"/>
      <c r="MYI38" s="21"/>
      <c r="MYJ38" s="21"/>
      <c r="MYK38" s="21"/>
      <c r="MYL38" s="21"/>
      <c r="MYM38" s="21"/>
      <c r="MYN38" s="21"/>
      <c r="MYO38" s="21"/>
      <c r="MYP38" s="21"/>
      <c r="MYQ38" s="21"/>
      <c r="MYR38" s="21"/>
      <c r="MYS38" s="21"/>
      <c r="MYT38" s="21"/>
      <c r="MYU38" s="21"/>
      <c r="MYV38" s="21"/>
      <c r="MYW38" s="21"/>
      <c r="MYX38" s="21"/>
      <c r="MYY38" s="21"/>
      <c r="MYZ38" s="21"/>
      <c r="MZA38" s="21"/>
      <c r="MZB38" s="21"/>
      <c r="MZC38" s="21"/>
      <c r="MZD38" s="21"/>
      <c r="MZE38" s="21"/>
      <c r="MZF38" s="21"/>
      <c r="MZG38" s="21"/>
      <c r="MZH38" s="21"/>
      <c r="MZI38" s="21"/>
      <c r="MZJ38" s="21"/>
      <c r="MZK38" s="21"/>
      <c r="MZL38" s="21"/>
      <c r="MZM38" s="21"/>
      <c r="MZN38" s="21"/>
      <c r="MZO38" s="21"/>
      <c r="MZP38" s="21"/>
      <c r="MZQ38" s="21"/>
      <c r="MZR38" s="21"/>
      <c r="MZS38" s="21"/>
      <c r="MZT38" s="21"/>
      <c r="MZU38" s="21"/>
      <c r="MZV38" s="21"/>
      <c r="MZW38" s="21"/>
      <c r="MZX38" s="21"/>
      <c r="MZY38" s="21"/>
      <c r="MZZ38" s="21"/>
      <c r="NAA38" s="21"/>
      <c r="NAB38" s="21"/>
      <c r="NAC38" s="21"/>
      <c r="NAD38" s="21"/>
      <c r="NAE38" s="21"/>
      <c r="NAF38" s="21"/>
      <c r="NAG38" s="21"/>
      <c r="NAH38" s="21"/>
      <c r="NAI38" s="21"/>
      <c r="NAJ38" s="21"/>
      <c r="NAK38" s="21"/>
      <c r="NAL38" s="21"/>
      <c r="NAM38" s="21"/>
      <c r="NAN38" s="21"/>
      <c r="NAO38" s="21"/>
      <c r="NAP38" s="21"/>
      <c r="NAQ38" s="21"/>
      <c r="NAR38" s="21"/>
      <c r="NAS38" s="21"/>
      <c r="NAT38" s="21"/>
      <c r="NAU38" s="21"/>
      <c r="NAV38" s="21"/>
      <c r="NAW38" s="21"/>
      <c r="NAX38" s="21"/>
      <c r="NAY38" s="21"/>
      <c r="NAZ38" s="21"/>
      <c r="NBA38" s="21"/>
      <c r="NBB38" s="21"/>
      <c r="NBC38" s="21"/>
      <c r="NBD38" s="21"/>
      <c r="NBE38" s="21"/>
      <c r="NBF38" s="21"/>
      <c r="NBG38" s="21"/>
      <c r="NBH38" s="21"/>
      <c r="NBI38" s="21"/>
      <c r="NBJ38" s="21"/>
      <c r="NBK38" s="21"/>
      <c r="NBL38" s="21"/>
      <c r="NBM38" s="21"/>
      <c r="NBN38" s="21"/>
      <c r="NBO38" s="21"/>
      <c r="NBP38" s="21"/>
      <c r="NBQ38" s="21"/>
      <c r="NBR38" s="21"/>
      <c r="NBS38" s="21"/>
      <c r="NBT38" s="21"/>
      <c r="NBU38" s="21"/>
      <c r="NBV38" s="21"/>
      <c r="NBW38" s="21"/>
      <c r="NBX38" s="21"/>
      <c r="NBY38" s="21"/>
      <c r="NBZ38" s="21"/>
      <c r="NCA38" s="21"/>
      <c r="NCB38" s="21"/>
      <c r="NCC38" s="21"/>
      <c r="NCD38" s="21"/>
      <c r="NCE38" s="21"/>
      <c r="NCF38" s="21"/>
      <c r="NCG38" s="21"/>
      <c r="NCH38" s="21"/>
      <c r="NCI38" s="21"/>
      <c r="NCJ38" s="21"/>
      <c r="NCK38" s="21"/>
      <c r="NCL38" s="21"/>
      <c r="NCM38" s="21"/>
      <c r="NCN38" s="21"/>
      <c r="NCO38" s="21"/>
      <c r="NCP38" s="21"/>
      <c r="NCQ38" s="21"/>
      <c r="NCR38" s="21"/>
      <c r="NCS38" s="21"/>
      <c r="NCT38" s="21"/>
      <c r="NCU38" s="21"/>
      <c r="NCV38" s="21"/>
      <c r="NCW38" s="21"/>
      <c r="NCX38" s="21"/>
      <c r="NCY38" s="21"/>
      <c r="NCZ38" s="21"/>
      <c r="NDA38" s="21"/>
      <c r="NDB38" s="21"/>
      <c r="NDC38" s="21"/>
      <c r="NDD38" s="21"/>
      <c r="NDE38" s="21"/>
      <c r="NDF38" s="21"/>
      <c r="NDG38" s="21"/>
      <c r="NDH38" s="21"/>
      <c r="NDI38" s="21"/>
      <c r="NDJ38" s="21"/>
      <c r="NDK38" s="21"/>
      <c r="NDL38" s="21"/>
      <c r="NDM38" s="21"/>
      <c r="NDN38" s="21"/>
      <c r="NDO38" s="21"/>
      <c r="NDP38" s="21"/>
      <c r="NDQ38" s="21"/>
      <c r="NDR38" s="21"/>
      <c r="NDS38" s="21"/>
      <c r="NDT38" s="21"/>
      <c r="NDU38" s="21"/>
      <c r="NDV38" s="21"/>
      <c r="NDW38" s="21"/>
      <c r="NDX38" s="21"/>
      <c r="NDY38" s="21"/>
      <c r="NDZ38" s="21"/>
      <c r="NEA38" s="21"/>
      <c r="NEB38" s="21"/>
      <c r="NEC38" s="21"/>
      <c r="NED38" s="21"/>
      <c r="NEE38" s="21"/>
      <c r="NEF38" s="21"/>
      <c r="NEG38" s="21"/>
      <c r="NEH38" s="21"/>
      <c r="NEI38" s="21"/>
      <c r="NEJ38" s="21"/>
      <c r="NEK38" s="21"/>
      <c r="NEL38" s="21"/>
      <c r="NEM38" s="21"/>
      <c r="NEN38" s="21"/>
      <c r="NEO38" s="21"/>
      <c r="NEP38" s="21"/>
      <c r="NEQ38" s="21"/>
      <c r="NER38" s="21"/>
      <c r="NES38" s="21"/>
      <c r="NET38" s="21"/>
      <c r="NEU38" s="21"/>
      <c r="NEV38" s="21"/>
      <c r="NEW38" s="21"/>
      <c r="NEX38" s="21"/>
      <c r="NEY38" s="21"/>
      <c r="NEZ38" s="21"/>
      <c r="NFA38" s="21"/>
      <c r="NFB38" s="21"/>
      <c r="NFC38" s="21"/>
      <c r="NFD38" s="21"/>
      <c r="NFE38" s="21"/>
      <c r="NFF38" s="21"/>
      <c r="NFG38" s="21"/>
      <c r="NFH38" s="21"/>
      <c r="NFI38" s="21"/>
      <c r="NFJ38" s="21"/>
      <c r="NFK38" s="21"/>
      <c r="NFL38" s="21"/>
      <c r="NFM38" s="21"/>
      <c r="NFN38" s="21"/>
      <c r="NFO38" s="21"/>
      <c r="NFP38" s="21"/>
      <c r="NFQ38" s="21"/>
      <c r="NFR38" s="21"/>
      <c r="NFS38" s="21"/>
      <c r="NFT38" s="21"/>
      <c r="NFU38" s="21"/>
      <c r="NFV38" s="21"/>
      <c r="NFW38" s="21"/>
      <c r="NFX38" s="21"/>
      <c r="NFY38" s="21"/>
      <c r="NFZ38" s="21"/>
      <c r="NGA38" s="21"/>
      <c r="NGB38" s="21"/>
      <c r="NGC38" s="21"/>
      <c r="NGD38" s="21"/>
      <c r="NGE38" s="21"/>
      <c r="NGF38" s="21"/>
      <c r="NGG38" s="21"/>
      <c r="NGH38" s="21"/>
      <c r="NGI38" s="21"/>
      <c r="NGJ38" s="21"/>
      <c r="NGK38" s="21"/>
      <c r="NGL38" s="21"/>
      <c r="NGM38" s="21"/>
      <c r="NGN38" s="21"/>
      <c r="NGO38" s="21"/>
      <c r="NGP38" s="21"/>
      <c r="NGQ38" s="21"/>
      <c r="NGR38" s="21"/>
      <c r="NGS38" s="21"/>
      <c r="NGT38" s="21"/>
      <c r="NGU38" s="21"/>
      <c r="NGV38" s="21"/>
      <c r="NGW38" s="21"/>
      <c r="NGX38" s="21"/>
      <c r="NGY38" s="21"/>
      <c r="NGZ38" s="21"/>
      <c r="NHA38" s="21"/>
      <c r="NHB38" s="21"/>
      <c r="NHC38" s="21"/>
      <c r="NHD38" s="21"/>
      <c r="NHE38" s="21"/>
      <c r="NHF38" s="21"/>
      <c r="NHG38" s="21"/>
      <c r="NHH38" s="21"/>
      <c r="NHI38" s="21"/>
      <c r="NHJ38" s="21"/>
      <c r="NHK38" s="21"/>
      <c r="NHL38" s="21"/>
      <c r="NHM38" s="21"/>
      <c r="NHN38" s="21"/>
      <c r="NHO38" s="21"/>
      <c r="NHP38" s="21"/>
      <c r="NHQ38" s="21"/>
      <c r="NHR38" s="21"/>
      <c r="NHS38" s="21"/>
      <c r="NHT38" s="21"/>
      <c r="NHU38" s="21"/>
      <c r="NHV38" s="21"/>
      <c r="NHW38" s="21"/>
      <c r="NHX38" s="21"/>
      <c r="NHY38" s="21"/>
      <c r="NHZ38" s="21"/>
      <c r="NIA38" s="21"/>
      <c r="NIB38" s="21"/>
      <c r="NIC38" s="21"/>
      <c r="NID38" s="21"/>
      <c r="NIE38" s="21"/>
      <c r="NIF38" s="21"/>
      <c r="NIG38" s="21"/>
      <c r="NIH38" s="21"/>
      <c r="NII38" s="21"/>
      <c r="NIJ38" s="21"/>
      <c r="NIK38" s="21"/>
      <c r="NIL38" s="21"/>
      <c r="NIM38" s="21"/>
      <c r="NIN38" s="21"/>
      <c r="NIO38" s="21"/>
      <c r="NIP38" s="21"/>
      <c r="NIQ38" s="21"/>
      <c r="NIR38" s="21"/>
      <c r="NIS38" s="21"/>
      <c r="NIT38" s="21"/>
      <c r="NIU38" s="21"/>
      <c r="NIV38" s="21"/>
      <c r="NIW38" s="21"/>
      <c r="NIX38" s="21"/>
      <c r="NIY38" s="21"/>
      <c r="NIZ38" s="21"/>
      <c r="NJA38" s="21"/>
      <c r="NJB38" s="21"/>
      <c r="NJC38" s="21"/>
      <c r="NJD38" s="21"/>
      <c r="NJE38" s="21"/>
      <c r="NJF38" s="21"/>
      <c r="NJG38" s="21"/>
      <c r="NJH38" s="21"/>
      <c r="NJI38" s="21"/>
      <c r="NJJ38" s="21"/>
      <c r="NJK38" s="21"/>
      <c r="NJL38" s="21"/>
      <c r="NJM38" s="21"/>
      <c r="NJN38" s="21"/>
      <c r="NJO38" s="21"/>
      <c r="NJP38" s="21"/>
      <c r="NJQ38" s="21"/>
      <c r="NJR38" s="21"/>
      <c r="NJS38" s="21"/>
      <c r="NJT38" s="21"/>
      <c r="NJU38" s="21"/>
      <c r="NJV38" s="21"/>
      <c r="NJW38" s="21"/>
      <c r="NJX38" s="21"/>
      <c r="NJY38" s="21"/>
      <c r="NJZ38" s="21"/>
      <c r="NKA38" s="21"/>
      <c r="NKB38" s="21"/>
      <c r="NKC38" s="21"/>
      <c r="NKD38" s="21"/>
      <c r="NKE38" s="21"/>
      <c r="NKF38" s="21"/>
      <c r="NKG38" s="21"/>
      <c r="NKH38" s="21"/>
      <c r="NKI38" s="21"/>
      <c r="NKJ38" s="21"/>
      <c r="NKK38" s="21"/>
      <c r="NKL38" s="21"/>
      <c r="NKM38" s="21"/>
      <c r="NKN38" s="21"/>
      <c r="NKO38" s="21"/>
      <c r="NKP38" s="21"/>
      <c r="NKQ38" s="21"/>
      <c r="NKR38" s="21"/>
      <c r="NKS38" s="21"/>
      <c r="NKT38" s="21"/>
      <c r="NKU38" s="21"/>
      <c r="NKV38" s="21"/>
      <c r="NKW38" s="21"/>
      <c r="NKX38" s="21"/>
      <c r="NKY38" s="21"/>
      <c r="NKZ38" s="21"/>
      <c r="NLA38" s="21"/>
      <c r="NLB38" s="21"/>
      <c r="NLC38" s="21"/>
      <c r="NLD38" s="21"/>
      <c r="NLE38" s="21"/>
      <c r="NLF38" s="21"/>
      <c r="NLG38" s="21"/>
      <c r="NLH38" s="21"/>
      <c r="NLI38" s="21"/>
      <c r="NLJ38" s="21"/>
      <c r="NLK38" s="21"/>
      <c r="NLL38" s="21"/>
      <c r="NLM38" s="21"/>
      <c r="NLN38" s="21"/>
      <c r="NLO38" s="21"/>
      <c r="NLP38" s="21"/>
      <c r="NLQ38" s="21"/>
      <c r="NLR38" s="21"/>
      <c r="NLS38" s="21"/>
      <c r="NLT38" s="21"/>
      <c r="NLU38" s="21"/>
      <c r="NLV38" s="21"/>
      <c r="NLW38" s="21"/>
      <c r="NLX38" s="21"/>
      <c r="NLY38" s="21"/>
      <c r="NLZ38" s="21"/>
      <c r="NMA38" s="21"/>
      <c r="NMB38" s="21"/>
      <c r="NMC38" s="21"/>
      <c r="NMD38" s="21"/>
      <c r="NME38" s="21"/>
      <c r="NMF38" s="21"/>
      <c r="NMG38" s="21"/>
      <c r="NMH38" s="21"/>
      <c r="NMI38" s="21"/>
      <c r="NMJ38" s="21"/>
      <c r="NMK38" s="21"/>
      <c r="NML38" s="21"/>
      <c r="NMM38" s="21"/>
      <c r="NMN38" s="21"/>
      <c r="NMO38" s="21"/>
      <c r="NMP38" s="21"/>
      <c r="NMQ38" s="21"/>
      <c r="NMR38" s="21"/>
      <c r="NMS38" s="21"/>
      <c r="NMT38" s="21"/>
      <c r="NMU38" s="21"/>
      <c r="NMV38" s="21"/>
      <c r="NMW38" s="21"/>
      <c r="NMX38" s="21"/>
      <c r="NMY38" s="21"/>
      <c r="NMZ38" s="21"/>
      <c r="NNA38" s="21"/>
      <c r="NNB38" s="21"/>
      <c r="NNC38" s="21"/>
      <c r="NND38" s="21"/>
      <c r="NNE38" s="21"/>
      <c r="NNF38" s="21"/>
      <c r="NNG38" s="21"/>
      <c r="NNH38" s="21"/>
      <c r="NNI38" s="21"/>
      <c r="NNJ38" s="21"/>
      <c r="NNK38" s="21"/>
      <c r="NNL38" s="21"/>
      <c r="NNM38" s="21"/>
      <c r="NNN38" s="21"/>
      <c r="NNO38" s="21"/>
      <c r="NNP38" s="21"/>
      <c r="NNQ38" s="21"/>
      <c r="NNR38" s="21"/>
      <c r="NNS38" s="21"/>
      <c r="NNT38" s="21"/>
      <c r="NNU38" s="21"/>
      <c r="NNV38" s="21"/>
      <c r="NNW38" s="21"/>
      <c r="NNX38" s="21"/>
      <c r="NNY38" s="21"/>
      <c r="NNZ38" s="21"/>
      <c r="NOA38" s="21"/>
      <c r="NOB38" s="21"/>
      <c r="NOC38" s="21"/>
      <c r="NOD38" s="21"/>
      <c r="NOE38" s="21"/>
      <c r="NOF38" s="21"/>
      <c r="NOG38" s="21"/>
      <c r="NOH38" s="21"/>
      <c r="NOI38" s="21"/>
      <c r="NOJ38" s="21"/>
      <c r="NOK38" s="21"/>
      <c r="NOL38" s="21"/>
      <c r="NOM38" s="21"/>
      <c r="NON38" s="21"/>
      <c r="NOO38" s="21"/>
      <c r="NOP38" s="21"/>
      <c r="NOQ38" s="21"/>
      <c r="NOR38" s="21"/>
      <c r="NOS38" s="21"/>
      <c r="NOT38" s="21"/>
      <c r="NOU38" s="21"/>
      <c r="NOV38" s="21"/>
      <c r="NOW38" s="21"/>
      <c r="NOX38" s="21"/>
      <c r="NOY38" s="21"/>
      <c r="NOZ38" s="21"/>
      <c r="NPA38" s="21"/>
      <c r="NPB38" s="21"/>
      <c r="NPC38" s="21"/>
      <c r="NPD38" s="21"/>
      <c r="NPE38" s="21"/>
      <c r="NPF38" s="21"/>
      <c r="NPG38" s="21"/>
      <c r="NPH38" s="21"/>
      <c r="NPI38" s="21"/>
      <c r="NPJ38" s="21"/>
      <c r="NPK38" s="21"/>
      <c r="NPL38" s="21"/>
      <c r="NPM38" s="21"/>
      <c r="NPN38" s="21"/>
      <c r="NPO38" s="21"/>
      <c r="NPP38" s="21"/>
      <c r="NPQ38" s="21"/>
      <c r="NPR38" s="21"/>
      <c r="NPS38" s="21"/>
      <c r="NPT38" s="21"/>
      <c r="NPU38" s="21"/>
      <c r="NPV38" s="21"/>
      <c r="NPW38" s="21"/>
      <c r="NPX38" s="21"/>
      <c r="NPY38" s="21"/>
      <c r="NPZ38" s="21"/>
      <c r="NQA38" s="21"/>
      <c r="NQB38" s="21"/>
      <c r="NQC38" s="21"/>
      <c r="NQD38" s="21"/>
      <c r="NQE38" s="21"/>
      <c r="NQF38" s="21"/>
      <c r="NQG38" s="21"/>
      <c r="NQH38" s="21"/>
      <c r="NQI38" s="21"/>
      <c r="NQJ38" s="21"/>
      <c r="NQK38" s="21"/>
      <c r="NQL38" s="21"/>
      <c r="NQM38" s="21"/>
      <c r="NQN38" s="21"/>
      <c r="NQO38" s="21"/>
      <c r="NQP38" s="21"/>
      <c r="NQQ38" s="21"/>
      <c r="NQR38" s="21"/>
      <c r="NQS38" s="21"/>
      <c r="NQT38" s="21"/>
      <c r="NQU38" s="21"/>
      <c r="NQV38" s="21"/>
      <c r="NQW38" s="21"/>
      <c r="NQX38" s="21"/>
      <c r="NQY38" s="21"/>
      <c r="NQZ38" s="21"/>
      <c r="NRA38" s="21"/>
      <c r="NRB38" s="21"/>
      <c r="NRC38" s="21"/>
      <c r="NRD38" s="21"/>
      <c r="NRE38" s="21"/>
      <c r="NRF38" s="21"/>
      <c r="NRG38" s="21"/>
      <c r="NRH38" s="21"/>
      <c r="NRI38" s="21"/>
      <c r="NRJ38" s="21"/>
      <c r="NRK38" s="21"/>
      <c r="NRL38" s="21"/>
      <c r="NRM38" s="21"/>
      <c r="NRN38" s="21"/>
      <c r="NRO38" s="21"/>
      <c r="NRP38" s="21"/>
      <c r="NRQ38" s="21"/>
      <c r="NRR38" s="21"/>
      <c r="NRS38" s="21"/>
      <c r="NRT38" s="21"/>
      <c r="NRU38" s="21"/>
      <c r="NRV38" s="21"/>
      <c r="NRW38" s="21"/>
      <c r="NRX38" s="21"/>
      <c r="NRY38" s="21"/>
      <c r="NRZ38" s="21"/>
      <c r="NSA38" s="21"/>
      <c r="NSB38" s="21"/>
      <c r="NSC38" s="21"/>
      <c r="NSD38" s="21"/>
      <c r="NSE38" s="21"/>
      <c r="NSF38" s="21"/>
      <c r="NSG38" s="21"/>
      <c r="NSH38" s="21"/>
      <c r="NSI38" s="21"/>
      <c r="NSJ38" s="21"/>
      <c r="NSK38" s="21"/>
      <c r="NSL38" s="21"/>
      <c r="NSM38" s="21"/>
      <c r="NSN38" s="21"/>
      <c r="NSO38" s="21"/>
      <c r="NSP38" s="21"/>
      <c r="NSQ38" s="21"/>
      <c r="NSR38" s="21"/>
      <c r="NSS38" s="21"/>
      <c r="NST38" s="21"/>
      <c r="NSU38" s="21"/>
      <c r="NSV38" s="21"/>
      <c r="NSW38" s="21"/>
      <c r="NSX38" s="21"/>
      <c r="NSY38" s="21"/>
      <c r="NSZ38" s="21"/>
      <c r="NTA38" s="21"/>
      <c r="NTB38" s="21"/>
      <c r="NTC38" s="21"/>
      <c r="NTD38" s="21"/>
      <c r="NTE38" s="21"/>
      <c r="NTF38" s="21"/>
      <c r="NTG38" s="21"/>
      <c r="NTH38" s="21"/>
      <c r="NTI38" s="21"/>
      <c r="NTJ38" s="21"/>
      <c r="NTK38" s="21"/>
      <c r="NTL38" s="21"/>
      <c r="NTM38" s="21"/>
      <c r="NTN38" s="21"/>
      <c r="NTO38" s="21"/>
      <c r="NTP38" s="21"/>
      <c r="NTQ38" s="21"/>
      <c r="NTR38" s="21"/>
      <c r="NTS38" s="21"/>
      <c r="NTT38" s="21"/>
      <c r="NTU38" s="21"/>
      <c r="NTV38" s="21"/>
      <c r="NTW38" s="21"/>
      <c r="NTX38" s="21"/>
      <c r="NTY38" s="21"/>
      <c r="NTZ38" s="21"/>
      <c r="NUA38" s="21"/>
      <c r="NUB38" s="21"/>
      <c r="NUC38" s="21"/>
      <c r="NUD38" s="21"/>
      <c r="NUE38" s="21"/>
      <c r="NUF38" s="21"/>
      <c r="NUG38" s="21"/>
      <c r="NUH38" s="21"/>
      <c r="NUI38" s="21"/>
      <c r="NUJ38" s="21"/>
      <c r="NUK38" s="21"/>
      <c r="NUL38" s="21"/>
      <c r="NUM38" s="21"/>
      <c r="NUN38" s="21"/>
      <c r="NUO38" s="21"/>
      <c r="NUP38" s="21"/>
      <c r="NUQ38" s="21"/>
      <c r="NUR38" s="21"/>
      <c r="NUS38" s="21"/>
      <c r="NUT38" s="21"/>
      <c r="NUU38" s="21"/>
      <c r="NUV38" s="21"/>
      <c r="NUW38" s="21"/>
      <c r="NUX38" s="21"/>
      <c r="NUY38" s="21"/>
      <c r="NUZ38" s="21"/>
      <c r="NVA38" s="21"/>
      <c r="NVB38" s="21"/>
      <c r="NVC38" s="21"/>
      <c r="NVD38" s="21"/>
      <c r="NVE38" s="21"/>
      <c r="NVF38" s="21"/>
      <c r="NVG38" s="21"/>
      <c r="NVH38" s="21"/>
      <c r="NVI38" s="21"/>
      <c r="NVJ38" s="21"/>
      <c r="NVK38" s="21"/>
      <c r="NVL38" s="21"/>
      <c r="NVM38" s="21"/>
      <c r="NVN38" s="21"/>
      <c r="NVO38" s="21"/>
      <c r="NVP38" s="21"/>
      <c r="NVQ38" s="21"/>
      <c r="NVR38" s="21"/>
      <c r="NVS38" s="21"/>
      <c r="NVT38" s="21"/>
      <c r="NVU38" s="21"/>
      <c r="NVV38" s="21"/>
      <c r="NVW38" s="21"/>
      <c r="NVX38" s="21"/>
      <c r="NVY38" s="21"/>
      <c r="NVZ38" s="21"/>
      <c r="NWA38" s="21"/>
      <c r="NWB38" s="21"/>
      <c r="NWC38" s="21"/>
      <c r="NWD38" s="21"/>
      <c r="NWE38" s="21"/>
      <c r="NWF38" s="21"/>
      <c r="NWG38" s="21"/>
      <c r="NWH38" s="21"/>
      <c r="NWI38" s="21"/>
      <c r="NWJ38" s="21"/>
      <c r="NWK38" s="21"/>
      <c r="NWL38" s="21"/>
      <c r="NWM38" s="21"/>
      <c r="NWN38" s="21"/>
      <c r="NWO38" s="21"/>
      <c r="NWP38" s="21"/>
      <c r="NWQ38" s="21"/>
      <c r="NWR38" s="21"/>
      <c r="NWS38" s="21"/>
      <c r="NWT38" s="21"/>
      <c r="NWU38" s="21"/>
      <c r="NWV38" s="21"/>
      <c r="NWW38" s="21"/>
      <c r="NWX38" s="21"/>
      <c r="NWY38" s="21"/>
      <c r="NWZ38" s="21"/>
      <c r="NXA38" s="21"/>
      <c r="NXB38" s="21"/>
      <c r="NXC38" s="21"/>
      <c r="NXD38" s="21"/>
      <c r="NXE38" s="21"/>
      <c r="NXF38" s="21"/>
      <c r="NXG38" s="21"/>
      <c r="NXH38" s="21"/>
      <c r="NXI38" s="21"/>
      <c r="NXJ38" s="21"/>
      <c r="NXK38" s="21"/>
      <c r="NXL38" s="21"/>
      <c r="NXM38" s="21"/>
      <c r="NXN38" s="21"/>
      <c r="NXO38" s="21"/>
      <c r="NXP38" s="21"/>
      <c r="NXQ38" s="21"/>
      <c r="NXR38" s="21"/>
      <c r="NXS38" s="21"/>
      <c r="NXT38" s="21"/>
      <c r="NXU38" s="21"/>
      <c r="NXV38" s="21"/>
      <c r="NXW38" s="21"/>
      <c r="NXX38" s="21"/>
      <c r="NXY38" s="21"/>
      <c r="NXZ38" s="21"/>
      <c r="NYA38" s="21"/>
      <c r="NYB38" s="21"/>
      <c r="NYC38" s="21"/>
      <c r="NYD38" s="21"/>
      <c r="NYE38" s="21"/>
      <c r="NYF38" s="21"/>
      <c r="NYG38" s="21"/>
      <c r="NYH38" s="21"/>
      <c r="NYI38" s="21"/>
      <c r="NYJ38" s="21"/>
      <c r="NYK38" s="21"/>
      <c r="NYL38" s="21"/>
      <c r="NYM38" s="21"/>
      <c r="NYN38" s="21"/>
      <c r="NYO38" s="21"/>
      <c r="NYP38" s="21"/>
      <c r="NYQ38" s="21"/>
      <c r="NYR38" s="21"/>
      <c r="NYS38" s="21"/>
      <c r="NYT38" s="21"/>
      <c r="NYU38" s="21"/>
      <c r="NYV38" s="21"/>
      <c r="NYW38" s="21"/>
      <c r="NYX38" s="21"/>
      <c r="NYY38" s="21"/>
      <c r="NYZ38" s="21"/>
      <c r="NZA38" s="21"/>
      <c r="NZB38" s="21"/>
      <c r="NZC38" s="21"/>
      <c r="NZD38" s="21"/>
      <c r="NZE38" s="21"/>
      <c r="NZF38" s="21"/>
      <c r="NZG38" s="21"/>
      <c r="NZH38" s="21"/>
      <c r="NZI38" s="21"/>
      <c r="NZJ38" s="21"/>
      <c r="NZK38" s="21"/>
      <c r="NZL38" s="21"/>
      <c r="NZM38" s="21"/>
      <c r="NZN38" s="21"/>
      <c r="NZO38" s="21"/>
      <c r="NZP38" s="21"/>
      <c r="NZQ38" s="21"/>
      <c r="NZR38" s="21"/>
      <c r="NZS38" s="21"/>
      <c r="NZT38" s="21"/>
      <c r="NZU38" s="21"/>
      <c r="NZV38" s="21"/>
      <c r="NZW38" s="21"/>
      <c r="NZX38" s="21"/>
      <c r="NZY38" s="21"/>
      <c r="NZZ38" s="21"/>
      <c r="OAA38" s="21"/>
      <c r="OAB38" s="21"/>
      <c r="OAC38" s="21"/>
      <c r="OAD38" s="21"/>
      <c r="OAE38" s="21"/>
      <c r="OAF38" s="21"/>
      <c r="OAG38" s="21"/>
      <c r="OAH38" s="21"/>
      <c r="OAI38" s="21"/>
      <c r="OAJ38" s="21"/>
      <c r="OAK38" s="21"/>
      <c r="OAL38" s="21"/>
      <c r="OAM38" s="21"/>
      <c r="OAN38" s="21"/>
      <c r="OAO38" s="21"/>
      <c r="OAP38" s="21"/>
      <c r="OAQ38" s="21"/>
      <c r="OAR38" s="21"/>
      <c r="OAS38" s="21"/>
      <c r="OAT38" s="21"/>
      <c r="OAU38" s="21"/>
      <c r="OAV38" s="21"/>
      <c r="OAW38" s="21"/>
      <c r="OAX38" s="21"/>
      <c r="OAY38" s="21"/>
      <c r="OAZ38" s="21"/>
      <c r="OBA38" s="21"/>
      <c r="OBB38" s="21"/>
      <c r="OBC38" s="21"/>
      <c r="OBD38" s="21"/>
      <c r="OBE38" s="21"/>
      <c r="OBF38" s="21"/>
      <c r="OBG38" s="21"/>
      <c r="OBH38" s="21"/>
      <c r="OBI38" s="21"/>
      <c r="OBJ38" s="21"/>
      <c r="OBK38" s="21"/>
      <c r="OBL38" s="21"/>
      <c r="OBM38" s="21"/>
      <c r="OBN38" s="21"/>
      <c r="OBO38" s="21"/>
      <c r="OBP38" s="21"/>
      <c r="OBQ38" s="21"/>
      <c r="OBR38" s="21"/>
      <c r="OBS38" s="21"/>
      <c r="OBT38" s="21"/>
      <c r="OBU38" s="21"/>
      <c r="OBV38" s="21"/>
      <c r="OBW38" s="21"/>
      <c r="OBX38" s="21"/>
      <c r="OBY38" s="21"/>
      <c r="OBZ38" s="21"/>
      <c r="OCA38" s="21"/>
      <c r="OCB38" s="21"/>
      <c r="OCC38" s="21"/>
      <c r="OCD38" s="21"/>
      <c r="OCE38" s="21"/>
      <c r="OCF38" s="21"/>
      <c r="OCG38" s="21"/>
      <c r="OCH38" s="21"/>
      <c r="OCI38" s="21"/>
      <c r="OCJ38" s="21"/>
      <c r="OCK38" s="21"/>
      <c r="OCL38" s="21"/>
      <c r="OCM38" s="21"/>
      <c r="OCN38" s="21"/>
      <c r="OCO38" s="21"/>
      <c r="OCP38" s="21"/>
      <c r="OCQ38" s="21"/>
      <c r="OCR38" s="21"/>
      <c r="OCS38" s="21"/>
      <c r="OCT38" s="21"/>
      <c r="OCU38" s="21"/>
      <c r="OCV38" s="21"/>
      <c r="OCW38" s="21"/>
      <c r="OCX38" s="21"/>
      <c r="OCY38" s="21"/>
      <c r="OCZ38" s="21"/>
      <c r="ODA38" s="21"/>
      <c r="ODB38" s="21"/>
      <c r="ODC38" s="21"/>
      <c r="ODD38" s="21"/>
      <c r="ODE38" s="21"/>
      <c r="ODF38" s="21"/>
      <c r="ODG38" s="21"/>
      <c r="ODH38" s="21"/>
      <c r="ODI38" s="21"/>
      <c r="ODJ38" s="21"/>
      <c r="ODK38" s="21"/>
      <c r="ODL38" s="21"/>
      <c r="ODM38" s="21"/>
      <c r="ODN38" s="21"/>
      <c r="ODO38" s="21"/>
      <c r="ODP38" s="21"/>
      <c r="ODQ38" s="21"/>
      <c r="ODR38" s="21"/>
      <c r="ODS38" s="21"/>
      <c r="ODT38" s="21"/>
      <c r="ODU38" s="21"/>
      <c r="ODV38" s="21"/>
      <c r="ODW38" s="21"/>
      <c r="ODX38" s="21"/>
      <c r="ODY38" s="21"/>
      <c r="ODZ38" s="21"/>
      <c r="OEA38" s="21"/>
      <c r="OEB38" s="21"/>
      <c r="OEC38" s="21"/>
      <c r="OED38" s="21"/>
      <c r="OEE38" s="21"/>
      <c r="OEF38" s="21"/>
      <c r="OEG38" s="21"/>
      <c r="OEH38" s="21"/>
      <c r="OEI38" s="21"/>
      <c r="OEJ38" s="21"/>
      <c r="OEK38" s="21"/>
      <c r="OEL38" s="21"/>
      <c r="OEM38" s="21"/>
      <c r="OEN38" s="21"/>
      <c r="OEO38" s="21"/>
      <c r="OEP38" s="21"/>
      <c r="OEQ38" s="21"/>
      <c r="OER38" s="21"/>
      <c r="OES38" s="21"/>
      <c r="OET38" s="21"/>
      <c r="OEU38" s="21"/>
      <c r="OEV38" s="21"/>
      <c r="OEW38" s="21"/>
      <c r="OEX38" s="21"/>
      <c r="OEY38" s="21"/>
      <c r="OEZ38" s="21"/>
      <c r="OFA38" s="21"/>
      <c r="OFB38" s="21"/>
      <c r="OFC38" s="21"/>
      <c r="OFD38" s="21"/>
      <c r="OFE38" s="21"/>
      <c r="OFF38" s="21"/>
      <c r="OFG38" s="21"/>
      <c r="OFH38" s="21"/>
      <c r="OFI38" s="21"/>
      <c r="OFJ38" s="21"/>
      <c r="OFK38" s="21"/>
      <c r="OFL38" s="21"/>
      <c r="OFM38" s="21"/>
      <c r="OFN38" s="21"/>
      <c r="OFO38" s="21"/>
      <c r="OFP38" s="21"/>
      <c r="OFQ38" s="21"/>
      <c r="OFR38" s="21"/>
      <c r="OFS38" s="21"/>
      <c r="OFT38" s="21"/>
      <c r="OFU38" s="21"/>
      <c r="OFV38" s="21"/>
      <c r="OFW38" s="21"/>
      <c r="OFX38" s="21"/>
      <c r="OFY38" s="21"/>
      <c r="OFZ38" s="21"/>
      <c r="OGA38" s="21"/>
      <c r="OGB38" s="21"/>
      <c r="OGC38" s="21"/>
      <c r="OGD38" s="21"/>
      <c r="OGE38" s="21"/>
      <c r="OGF38" s="21"/>
      <c r="OGG38" s="21"/>
      <c r="OGH38" s="21"/>
      <c r="OGI38" s="21"/>
      <c r="OGJ38" s="21"/>
      <c r="OGK38" s="21"/>
      <c r="OGL38" s="21"/>
      <c r="OGM38" s="21"/>
      <c r="OGN38" s="21"/>
      <c r="OGO38" s="21"/>
      <c r="OGP38" s="21"/>
      <c r="OGQ38" s="21"/>
      <c r="OGR38" s="21"/>
      <c r="OGS38" s="21"/>
      <c r="OGT38" s="21"/>
      <c r="OGU38" s="21"/>
      <c r="OGV38" s="21"/>
      <c r="OGW38" s="21"/>
      <c r="OGX38" s="21"/>
      <c r="OGY38" s="21"/>
      <c r="OGZ38" s="21"/>
      <c r="OHA38" s="21"/>
      <c r="OHB38" s="21"/>
      <c r="OHC38" s="21"/>
      <c r="OHD38" s="21"/>
      <c r="OHE38" s="21"/>
      <c r="OHF38" s="21"/>
      <c r="OHG38" s="21"/>
      <c r="OHH38" s="21"/>
      <c r="OHI38" s="21"/>
      <c r="OHJ38" s="21"/>
      <c r="OHK38" s="21"/>
      <c r="OHL38" s="21"/>
      <c r="OHM38" s="21"/>
      <c r="OHN38" s="21"/>
      <c r="OHO38" s="21"/>
      <c r="OHP38" s="21"/>
      <c r="OHQ38" s="21"/>
      <c r="OHR38" s="21"/>
      <c r="OHS38" s="21"/>
      <c r="OHT38" s="21"/>
      <c r="OHU38" s="21"/>
      <c r="OHV38" s="21"/>
      <c r="OHW38" s="21"/>
      <c r="OHX38" s="21"/>
      <c r="OHY38" s="21"/>
      <c r="OHZ38" s="21"/>
      <c r="OIA38" s="21"/>
      <c r="OIB38" s="21"/>
      <c r="OIC38" s="21"/>
      <c r="OID38" s="21"/>
      <c r="OIE38" s="21"/>
      <c r="OIF38" s="21"/>
      <c r="OIG38" s="21"/>
      <c r="OIH38" s="21"/>
      <c r="OII38" s="21"/>
      <c r="OIJ38" s="21"/>
      <c r="OIK38" s="21"/>
      <c r="OIL38" s="21"/>
      <c r="OIM38" s="21"/>
      <c r="OIN38" s="21"/>
      <c r="OIO38" s="21"/>
      <c r="OIP38" s="21"/>
      <c r="OIQ38" s="21"/>
      <c r="OIR38" s="21"/>
      <c r="OIS38" s="21"/>
      <c r="OIT38" s="21"/>
      <c r="OIU38" s="21"/>
      <c r="OIV38" s="21"/>
      <c r="OIW38" s="21"/>
      <c r="OIX38" s="21"/>
      <c r="OIY38" s="21"/>
      <c r="OIZ38" s="21"/>
      <c r="OJA38" s="21"/>
      <c r="OJB38" s="21"/>
      <c r="OJC38" s="21"/>
      <c r="OJD38" s="21"/>
      <c r="OJE38" s="21"/>
      <c r="OJF38" s="21"/>
      <c r="OJG38" s="21"/>
      <c r="OJH38" s="21"/>
      <c r="OJI38" s="21"/>
      <c r="OJJ38" s="21"/>
      <c r="OJK38" s="21"/>
      <c r="OJL38" s="21"/>
      <c r="OJM38" s="21"/>
      <c r="OJN38" s="21"/>
      <c r="OJO38" s="21"/>
      <c r="OJP38" s="21"/>
      <c r="OJQ38" s="21"/>
      <c r="OJR38" s="21"/>
      <c r="OJS38" s="21"/>
      <c r="OJT38" s="21"/>
      <c r="OJU38" s="21"/>
      <c r="OJV38" s="21"/>
      <c r="OJW38" s="21"/>
      <c r="OJX38" s="21"/>
      <c r="OJY38" s="21"/>
      <c r="OJZ38" s="21"/>
      <c r="OKA38" s="21"/>
      <c r="OKB38" s="21"/>
      <c r="OKC38" s="21"/>
      <c r="OKD38" s="21"/>
      <c r="OKE38" s="21"/>
      <c r="OKF38" s="21"/>
      <c r="OKG38" s="21"/>
      <c r="OKH38" s="21"/>
      <c r="OKI38" s="21"/>
      <c r="OKJ38" s="21"/>
      <c r="OKK38" s="21"/>
      <c r="OKL38" s="21"/>
      <c r="OKM38" s="21"/>
      <c r="OKN38" s="21"/>
      <c r="OKO38" s="21"/>
      <c r="OKP38" s="21"/>
      <c r="OKQ38" s="21"/>
      <c r="OKR38" s="21"/>
      <c r="OKS38" s="21"/>
      <c r="OKT38" s="21"/>
      <c r="OKU38" s="21"/>
      <c r="OKV38" s="21"/>
      <c r="OKW38" s="21"/>
      <c r="OKX38" s="21"/>
      <c r="OKY38" s="21"/>
      <c r="OKZ38" s="21"/>
      <c r="OLA38" s="21"/>
      <c r="OLB38" s="21"/>
      <c r="OLC38" s="21"/>
      <c r="OLD38" s="21"/>
      <c r="OLE38" s="21"/>
      <c r="OLF38" s="21"/>
      <c r="OLG38" s="21"/>
      <c r="OLH38" s="21"/>
      <c r="OLI38" s="21"/>
      <c r="OLJ38" s="21"/>
      <c r="OLK38" s="21"/>
      <c r="OLL38" s="21"/>
      <c r="OLM38" s="21"/>
      <c r="OLN38" s="21"/>
      <c r="OLO38" s="21"/>
      <c r="OLP38" s="21"/>
      <c r="OLQ38" s="21"/>
      <c r="OLR38" s="21"/>
      <c r="OLS38" s="21"/>
      <c r="OLT38" s="21"/>
      <c r="OLU38" s="21"/>
      <c r="OLV38" s="21"/>
      <c r="OLW38" s="21"/>
      <c r="OLX38" s="21"/>
      <c r="OLY38" s="21"/>
      <c r="OLZ38" s="21"/>
      <c r="OMA38" s="21"/>
      <c r="OMB38" s="21"/>
      <c r="OMC38" s="21"/>
      <c r="OMD38" s="21"/>
      <c r="OME38" s="21"/>
      <c r="OMF38" s="21"/>
      <c r="OMG38" s="21"/>
      <c r="OMH38" s="21"/>
      <c r="OMI38" s="21"/>
      <c r="OMJ38" s="21"/>
      <c r="OMK38" s="21"/>
      <c r="OML38" s="21"/>
      <c r="OMM38" s="21"/>
      <c r="OMN38" s="21"/>
      <c r="OMO38" s="21"/>
      <c r="OMP38" s="21"/>
      <c r="OMQ38" s="21"/>
      <c r="OMR38" s="21"/>
      <c r="OMS38" s="21"/>
      <c r="OMT38" s="21"/>
      <c r="OMU38" s="21"/>
      <c r="OMV38" s="21"/>
      <c r="OMW38" s="21"/>
      <c r="OMX38" s="21"/>
      <c r="OMY38" s="21"/>
      <c r="OMZ38" s="21"/>
      <c r="ONA38" s="21"/>
      <c r="ONB38" s="21"/>
      <c r="ONC38" s="21"/>
      <c r="OND38" s="21"/>
      <c r="ONE38" s="21"/>
      <c r="ONF38" s="21"/>
      <c r="ONG38" s="21"/>
      <c r="ONH38" s="21"/>
      <c r="ONI38" s="21"/>
      <c r="ONJ38" s="21"/>
      <c r="ONK38" s="21"/>
      <c r="ONL38" s="21"/>
      <c r="ONM38" s="21"/>
      <c r="ONN38" s="21"/>
      <c r="ONO38" s="21"/>
      <c r="ONP38" s="21"/>
      <c r="ONQ38" s="21"/>
      <c r="ONR38" s="21"/>
      <c r="ONS38" s="21"/>
      <c r="ONT38" s="21"/>
      <c r="ONU38" s="21"/>
      <c r="ONV38" s="21"/>
      <c r="ONW38" s="21"/>
      <c r="ONX38" s="21"/>
      <c r="ONY38" s="21"/>
      <c r="ONZ38" s="21"/>
      <c r="OOA38" s="21"/>
      <c r="OOB38" s="21"/>
      <c r="OOC38" s="21"/>
      <c r="OOD38" s="21"/>
      <c r="OOE38" s="21"/>
      <c r="OOF38" s="21"/>
      <c r="OOG38" s="21"/>
      <c r="OOH38" s="21"/>
      <c r="OOI38" s="21"/>
      <c r="OOJ38" s="21"/>
      <c r="OOK38" s="21"/>
      <c r="OOL38" s="21"/>
      <c r="OOM38" s="21"/>
      <c r="OON38" s="21"/>
      <c r="OOO38" s="21"/>
      <c r="OOP38" s="21"/>
      <c r="OOQ38" s="21"/>
      <c r="OOR38" s="21"/>
      <c r="OOS38" s="21"/>
      <c r="OOT38" s="21"/>
      <c r="OOU38" s="21"/>
      <c r="OOV38" s="21"/>
      <c r="OOW38" s="21"/>
      <c r="OOX38" s="21"/>
      <c r="OOY38" s="21"/>
      <c r="OOZ38" s="21"/>
      <c r="OPA38" s="21"/>
      <c r="OPB38" s="21"/>
      <c r="OPC38" s="21"/>
      <c r="OPD38" s="21"/>
      <c r="OPE38" s="21"/>
      <c r="OPF38" s="21"/>
      <c r="OPG38" s="21"/>
      <c r="OPH38" s="21"/>
      <c r="OPI38" s="21"/>
      <c r="OPJ38" s="21"/>
      <c r="OPK38" s="21"/>
      <c r="OPL38" s="21"/>
      <c r="OPM38" s="21"/>
      <c r="OPN38" s="21"/>
      <c r="OPO38" s="21"/>
      <c r="OPP38" s="21"/>
      <c r="OPQ38" s="21"/>
      <c r="OPR38" s="21"/>
      <c r="OPS38" s="21"/>
      <c r="OPT38" s="21"/>
      <c r="OPU38" s="21"/>
      <c r="OPV38" s="21"/>
      <c r="OPW38" s="21"/>
      <c r="OPX38" s="21"/>
      <c r="OPY38" s="21"/>
      <c r="OPZ38" s="21"/>
      <c r="OQA38" s="21"/>
      <c r="OQB38" s="21"/>
      <c r="OQC38" s="21"/>
      <c r="OQD38" s="21"/>
      <c r="OQE38" s="21"/>
      <c r="OQF38" s="21"/>
      <c r="OQG38" s="21"/>
      <c r="OQH38" s="21"/>
      <c r="OQI38" s="21"/>
      <c r="OQJ38" s="21"/>
      <c r="OQK38" s="21"/>
      <c r="OQL38" s="21"/>
      <c r="OQM38" s="21"/>
      <c r="OQN38" s="21"/>
      <c r="OQO38" s="21"/>
      <c r="OQP38" s="21"/>
      <c r="OQQ38" s="21"/>
      <c r="OQR38" s="21"/>
      <c r="OQS38" s="21"/>
      <c r="OQT38" s="21"/>
      <c r="OQU38" s="21"/>
      <c r="OQV38" s="21"/>
      <c r="OQW38" s="21"/>
      <c r="OQX38" s="21"/>
      <c r="OQY38" s="21"/>
      <c r="OQZ38" s="21"/>
      <c r="ORA38" s="21"/>
      <c r="ORB38" s="21"/>
      <c r="ORC38" s="21"/>
      <c r="ORD38" s="21"/>
      <c r="ORE38" s="21"/>
      <c r="ORF38" s="21"/>
      <c r="ORG38" s="21"/>
      <c r="ORH38" s="21"/>
      <c r="ORI38" s="21"/>
      <c r="ORJ38" s="21"/>
      <c r="ORK38" s="21"/>
      <c r="ORL38" s="21"/>
      <c r="ORM38" s="21"/>
      <c r="ORN38" s="21"/>
      <c r="ORO38" s="21"/>
      <c r="ORP38" s="21"/>
      <c r="ORQ38" s="21"/>
      <c r="ORR38" s="21"/>
      <c r="ORS38" s="21"/>
      <c r="ORT38" s="21"/>
      <c r="ORU38" s="21"/>
      <c r="ORV38" s="21"/>
      <c r="ORW38" s="21"/>
      <c r="ORX38" s="21"/>
      <c r="ORY38" s="21"/>
      <c r="ORZ38" s="21"/>
      <c r="OSA38" s="21"/>
      <c r="OSB38" s="21"/>
      <c r="OSC38" s="21"/>
      <c r="OSD38" s="21"/>
      <c r="OSE38" s="21"/>
      <c r="OSF38" s="21"/>
      <c r="OSG38" s="21"/>
      <c r="OSH38" s="21"/>
      <c r="OSI38" s="21"/>
      <c r="OSJ38" s="21"/>
      <c r="OSK38" s="21"/>
      <c r="OSL38" s="21"/>
      <c r="OSM38" s="21"/>
      <c r="OSN38" s="21"/>
      <c r="OSO38" s="21"/>
      <c r="OSP38" s="21"/>
      <c r="OSQ38" s="21"/>
      <c r="OSR38" s="21"/>
      <c r="OSS38" s="21"/>
      <c r="OST38" s="21"/>
      <c r="OSU38" s="21"/>
      <c r="OSV38" s="21"/>
      <c r="OSW38" s="21"/>
      <c r="OSX38" s="21"/>
      <c r="OSY38" s="21"/>
      <c r="OSZ38" s="21"/>
      <c r="OTA38" s="21"/>
      <c r="OTB38" s="21"/>
      <c r="OTC38" s="21"/>
      <c r="OTD38" s="21"/>
      <c r="OTE38" s="21"/>
      <c r="OTF38" s="21"/>
      <c r="OTG38" s="21"/>
      <c r="OTH38" s="21"/>
      <c r="OTI38" s="21"/>
      <c r="OTJ38" s="21"/>
      <c r="OTK38" s="21"/>
      <c r="OTL38" s="21"/>
      <c r="OTM38" s="21"/>
      <c r="OTN38" s="21"/>
      <c r="OTO38" s="21"/>
      <c r="OTP38" s="21"/>
      <c r="OTQ38" s="21"/>
      <c r="OTR38" s="21"/>
      <c r="OTS38" s="21"/>
      <c r="OTT38" s="21"/>
      <c r="OTU38" s="21"/>
      <c r="OTV38" s="21"/>
      <c r="OTW38" s="21"/>
      <c r="OTX38" s="21"/>
      <c r="OTY38" s="21"/>
      <c r="OTZ38" s="21"/>
      <c r="OUA38" s="21"/>
      <c r="OUB38" s="21"/>
      <c r="OUC38" s="21"/>
      <c r="OUD38" s="21"/>
      <c r="OUE38" s="21"/>
      <c r="OUF38" s="21"/>
      <c r="OUG38" s="21"/>
      <c r="OUH38" s="21"/>
      <c r="OUI38" s="21"/>
      <c r="OUJ38" s="21"/>
      <c r="OUK38" s="21"/>
      <c r="OUL38" s="21"/>
      <c r="OUM38" s="21"/>
      <c r="OUN38" s="21"/>
      <c r="OUO38" s="21"/>
      <c r="OUP38" s="21"/>
      <c r="OUQ38" s="21"/>
      <c r="OUR38" s="21"/>
      <c r="OUS38" s="21"/>
      <c r="OUT38" s="21"/>
      <c r="OUU38" s="21"/>
      <c r="OUV38" s="21"/>
      <c r="OUW38" s="21"/>
      <c r="OUX38" s="21"/>
      <c r="OUY38" s="21"/>
      <c r="OUZ38" s="21"/>
      <c r="OVA38" s="21"/>
      <c r="OVB38" s="21"/>
      <c r="OVC38" s="21"/>
      <c r="OVD38" s="21"/>
      <c r="OVE38" s="21"/>
      <c r="OVF38" s="21"/>
      <c r="OVG38" s="21"/>
      <c r="OVH38" s="21"/>
      <c r="OVI38" s="21"/>
      <c r="OVJ38" s="21"/>
      <c r="OVK38" s="21"/>
      <c r="OVL38" s="21"/>
      <c r="OVM38" s="21"/>
      <c r="OVN38" s="21"/>
      <c r="OVO38" s="21"/>
      <c r="OVP38" s="21"/>
      <c r="OVQ38" s="21"/>
      <c r="OVR38" s="21"/>
      <c r="OVS38" s="21"/>
      <c r="OVT38" s="21"/>
      <c r="OVU38" s="21"/>
      <c r="OVV38" s="21"/>
      <c r="OVW38" s="21"/>
      <c r="OVX38" s="21"/>
      <c r="OVY38" s="21"/>
      <c r="OVZ38" s="21"/>
      <c r="OWA38" s="21"/>
      <c r="OWB38" s="21"/>
      <c r="OWC38" s="21"/>
      <c r="OWD38" s="21"/>
      <c r="OWE38" s="21"/>
      <c r="OWF38" s="21"/>
      <c r="OWG38" s="21"/>
      <c r="OWH38" s="21"/>
      <c r="OWI38" s="21"/>
      <c r="OWJ38" s="21"/>
      <c r="OWK38" s="21"/>
      <c r="OWL38" s="21"/>
      <c r="OWM38" s="21"/>
      <c r="OWN38" s="21"/>
      <c r="OWO38" s="21"/>
      <c r="OWP38" s="21"/>
      <c r="OWQ38" s="21"/>
      <c r="OWR38" s="21"/>
      <c r="OWS38" s="21"/>
      <c r="OWT38" s="21"/>
      <c r="OWU38" s="21"/>
      <c r="OWV38" s="21"/>
      <c r="OWW38" s="21"/>
      <c r="OWX38" s="21"/>
      <c r="OWY38" s="21"/>
      <c r="OWZ38" s="21"/>
      <c r="OXA38" s="21"/>
      <c r="OXB38" s="21"/>
      <c r="OXC38" s="21"/>
      <c r="OXD38" s="21"/>
      <c r="OXE38" s="21"/>
      <c r="OXF38" s="21"/>
      <c r="OXG38" s="21"/>
      <c r="OXH38" s="21"/>
      <c r="OXI38" s="21"/>
      <c r="OXJ38" s="21"/>
      <c r="OXK38" s="21"/>
      <c r="OXL38" s="21"/>
      <c r="OXM38" s="21"/>
      <c r="OXN38" s="21"/>
      <c r="OXO38" s="21"/>
      <c r="OXP38" s="21"/>
      <c r="OXQ38" s="21"/>
      <c r="OXR38" s="21"/>
      <c r="OXS38" s="21"/>
      <c r="OXT38" s="21"/>
      <c r="OXU38" s="21"/>
      <c r="OXV38" s="21"/>
      <c r="OXW38" s="21"/>
      <c r="OXX38" s="21"/>
      <c r="OXY38" s="21"/>
      <c r="OXZ38" s="21"/>
      <c r="OYA38" s="21"/>
      <c r="OYB38" s="21"/>
      <c r="OYC38" s="21"/>
      <c r="OYD38" s="21"/>
      <c r="OYE38" s="21"/>
      <c r="OYF38" s="21"/>
      <c r="OYG38" s="21"/>
      <c r="OYH38" s="21"/>
      <c r="OYI38" s="21"/>
      <c r="OYJ38" s="21"/>
      <c r="OYK38" s="21"/>
      <c r="OYL38" s="21"/>
      <c r="OYM38" s="21"/>
      <c r="OYN38" s="21"/>
      <c r="OYO38" s="21"/>
      <c r="OYP38" s="21"/>
      <c r="OYQ38" s="21"/>
      <c r="OYR38" s="21"/>
      <c r="OYS38" s="21"/>
      <c r="OYT38" s="21"/>
      <c r="OYU38" s="21"/>
      <c r="OYV38" s="21"/>
      <c r="OYW38" s="21"/>
      <c r="OYX38" s="21"/>
      <c r="OYY38" s="21"/>
      <c r="OYZ38" s="21"/>
      <c r="OZA38" s="21"/>
      <c r="OZB38" s="21"/>
      <c r="OZC38" s="21"/>
      <c r="OZD38" s="21"/>
      <c r="OZE38" s="21"/>
      <c r="OZF38" s="21"/>
      <c r="OZG38" s="21"/>
      <c r="OZH38" s="21"/>
      <c r="OZI38" s="21"/>
      <c r="OZJ38" s="21"/>
      <c r="OZK38" s="21"/>
      <c r="OZL38" s="21"/>
      <c r="OZM38" s="21"/>
      <c r="OZN38" s="21"/>
      <c r="OZO38" s="21"/>
      <c r="OZP38" s="21"/>
      <c r="OZQ38" s="21"/>
      <c r="OZR38" s="21"/>
      <c r="OZS38" s="21"/>
      <c r="OZT38" s="21"/>
      <c r="OZU38" s="21"/>
      <c r="OZV38" s="21"/>
      <c r="OZW38" s="21"/>
      <c r="OZX38" s="21"/>
      <c r="OZY38" s="21"/>
      <c r="OZZ38" s="21"/>
      <c r="PAA38" s="21"/>
      <c r="PAB38" s="21"/>
      <c r="PAC38" s="21"/>
      <c r="PAD38" s="21"/>
      <c r="PAE38" s="21"/>
      <c r="PAF38" s="21"/>
      <c r="PAG38" s="21"/>
      <c r="PAH38" s="21"/>
      <c r="PAI38" s="21"/>
      <c r="PAJ38" s="21"/>
      <c r="PAK38" s="21"/>
      <c r="PAL38" s="21"/>
      <c r="PAM38" s="21"/>
      <c r="PAN38" s="21"/>
      <c r="PAO38" s="21"/>
      <c r="PAP38" s="21"/>
      <c r="PAQ38" s="21"/>
      <c r="PAR38" s="21"/>
      <c r="PAS38" s="21"/>
      <c r="PAT38" s="21"/>
      <c r="PAU38" s="21"/>
      <c r="PAV38" s="21"/>
      <c r="PAW38" s="21"/>
      <c r="PAX38" s="21"/>
      <c r="PAY38" s="21"/>
      <c r="PAZ38" s="21"/>
      <c r="PBA38" s="21"/>
      <c r="PBB38" s="21"/>
      <c r="PBC38" s="21"/>
      <c r="PBD38" s="21"/>
      <c r="PBE38" s="21"/>
      <c r="PBF38" s="21"/>
      <c r="PBG38" s="21"/>
      <c r="PBH38" s="21"/>
      <c r="PBI38" s="21"/>
      <c r="PBJ38" s="21"/>
      <c r="PBK38" s="21"/>
      <c r="PBL38" s="21"/>
      <c r="PBM38" s="21"/>
      <c r="PBN38" s="21"/>
      <c r="PBO38" s="21"/>
      <c r="PBP38" s="21"/>
      <c r="PBQ38" s="21"/>
      <c r="PBR38" s="21"/>
      <c r="PBS38" s="21"/>
      <c r="PBT38" s="21"/>
      <c r="PBU38" s="21"/>
      <c r="PBV38" s="21"/>
      <c r="PBW38" s="21"/>
      <c r="PBX38" s="21"/>
      <c r="PBY38" s="21"/>
      <c r="PBZ38" s="21"/>
      <c r="PCA38" s="21"/>
      <c r="PCB38" s="21"/>
      <c r="PCC38" s="21"/>
      <c r="PCD38" s="21"/>
      <c r="PCE38" s="21"/>
      <c r="PCF38" s="21"/>
      <c r="PCG38" s="21"/>
      <c r="PCH38" s="21"/>
      <c r="PCI38" s="21"/>
      <c r="PCJ38" s="21"/>
      <c r="PCK38" s="21"/>
      <c r="PCL38" s="21"/>
      <c r="PCM38" s="21"/>
      <c r="PCN38" s="21"/>
      <c r="PCO38" s="21"/>
      <c r="PCP38" s="21"/>
      <c r="PCQ38" s="21"/>
      <c r="PCR38" s="21"/>
      <c r="PCS38" s="21"/>
      <c r="PCT38" s="21"/>
      <c r="PCU38" s="21"/>
      <c r="PCV38" s="21"/>
      <c r="PCW38" s="21"/>
      <c r="PCX38" s="21"/>
      <c r="PCY38" s="21"/>
      <c r="PCZ38" s="21"/>
      <c r="PDA38" s="21"/>
      <c r="PDB38" s="21"/>
      <c r="PDC38" s="21"/>
      <c r="PDD38" s="21"/>
      <c r="PDE38" s="21"/>
      <c r="PDF38" s="21"/>
      <c r="PDG38" s="21"/>
      <c r="PDH38" s="21"/>
      <c r="PDI38" s="21"/>
      <c r="PDJ38" s="21"/>
      <c r="PDK38" s="21"/>
      <c r="PDL38" s="21"/>
      <c r="PDM38" s="21"/>
      <c r="PDN38" s="21"/>
      <c r="PDO38" s="21"/>
      <c r="PDP38" s="21"/>
      <c r="PDQ38" s="21"/>
      <c r="PDR38" s="21"/>
      <c r="PDS38" s="21"/>
      <c r="PDT38" s="21"/>
      <c r="PDU38" s="21"/>
      <c r="PDV38" s="21"/>
      <c r="PDW38" s="21"/>
      <c r="PDX38" s="21"/>
      <c r="PDY38" s="21"/>
      <c r="PDZ38" s="21"/>
      <c r="PEA38" s="21"/>
      <c r="PEB38" s="21"/>
      <c r="PEC38" s="21"/>
      <c r="PED38" s="21"/>
      <c r="PEE38" s="21"/>
      <c r="PEF38" s="21"/>
      <c r="PEG38" s="21"/>
      <c r="PEH38" s="21"/>
      <c r="PEI38" s="21"/>
      <c r="PEJ38" s="21"/>
      <c r="PEK38" s="21"/>
      <c r="PEL38" s="21"/>
      <c r="PEM38" s="21"/>
      <c r="PEN38" s="21"/>
      <c r="PEO38" s="21"/>
      <c r="PEP38" s="21"/>
      <c r="PEQ38" s="21"/>
      <c r="PER38" s="21"/>
      <c r="PES38" s="21"/>
      <c r="PET38" s="21"/>
      <c r="PEU38" s="21"/>
      <c r="PEV38" s="21"/>
      <c r="PEW38" s="21"/>
      <c r="PEX38" s="21"/>
      <c r="PEY38" s="21"/>
      <c r="PEZ38" s="21"/>
      <c r="PFA38" s="21"/>
      <c r="PFB38" s="21"/>
      <c r="PFC38" s="21"/>
      <c r="PFD38" s="21"/>
      <c r="PFE38" s="21"/>
      <c r="PFF38" s="21"/>
      <c r="PFG38" s="21"/>
      <c r="PFH38" s="21"/>
      <c r="PFI38" s="21"/>
      <c r="PFJ38" s="21"/>
      <c r="PFK38" s="21"/>
      <c r="PFL38" s="21"/>
      <c r="PFM38" s="21"/>
      <c r="PFN38" s="21"/>
      <c r="PFO38" s="21"/>
      <c r="PFP38" s="21"/>
      <c r="PFQ38" s="21"/>
      <c r="PFR38" s="21"/>
      <c r="PFS38" s="21"/>
      <c r="PFT38" s="21"/>
      <c r="PFU38" s="21"/>
      <c r="PFV38" s="21"/>
      <c r="PFW38" s="21"/>
      <c r="PFX38" s="21"/>
      <c r="PFY38" s="21"/>
      <c r="PFZ38" s="21"/>
      <c r="PGA38" s="21"/>
      <c r="PGB38" s="21"/>
      <c r="PGC38" s="21"/>
      <c r="PGD38" s="21"/>
      <c r="PGE38" s="21"/>
      <c r="PGF38" s="21"/>
      <c r="PGG38" s="21"/>
      <c r="PGH38" s="21"/>
      <c r="PGI38" s="21"/>
      <c r="PGJ38" s="21"/>
      <c r="PGK38" s="21"/>
      <c r="PGL38" s="21"/>
      <c r="PGM38" s="21"/>
      <c r="PGN38" s="21"/>
      <c r="PGO38" s="21"/>
      <c r="PGP38" s="21"/>
      <c r="PGQ38" s="21"/>
      <c r="PGR38" s="21"/>
      <c r="PGS38" s="21"/>
      <c r="PGT38" s="21"/>
      <c r="PGU38" s="21"/>
      <c r="PGV38" s="21"/>
      <c r="PGW38" s="21"/>
      <c r="PGX38" s="21"/>
      <c r="PGY38" s="21"/>
      <c r="PGZ38" s="21"/>
      <c r="PHA38" s="21"/>
      <c r="PHB38" s="21"/>
      <c r="PHC38" s="21"/>
      <c r="PHD38" s="21"/>
      <c r="PHE38" s="21"/>
      <c r="PHF38" s="21"/>
      <c r="PHG38" s="21"/>
      <c r="PHH38" s="21"/>
      <c r="PHI38" s="21"/>
      <c r="PHJ38" s="21"/>
      <c r="PHK38" s="21"/>
      <c r="PHL38" s="21"/>
      <c r="PHM38" s="21"/>
      <c r="PHN38" s="21"/>
      <c r="PHO38" s="21"/>
      <c r="PHP38" s="21"/>
      <c r="PHQ38" s="21"/>
      <c r="PHR38" s="21"/>
      <c r="PHS38" s="21"/>
      <c r="PHT38" s="21"/>
      <c r="PHU38" s="21"/>
      <c r="PHV38" s="21"/>
      <c r="PHW38" s="21"/>
      <c r="PHX38" s="21"/>
      <c r="PHY38" s="21"/>
      <c r="PHZ38" s="21"/>
      <c r="PIA38" s="21"/>
      <c r="PIB38" s="21"/>
      <c r="PIC38" s="21"/>
      <c r="PID38" s="21"/>
      <c r="PIE38" s="21"/>
      <c r="PIF38" s="21"/>
      <c r="PIG38" s="21"/>
      <c r="PIH38" s="21"/>
      <c r="PII38" s="21"/>
      <c r="PIJ38" s="21"/>
      <c r="PIK38" s="21"/>
      <c r="PIL38" s="21"/>
      <c r="PIM38" s="21"/>
      <c r="PIN38" s="21"/>
      <c r="PIO38" s="21"/>
      <c r="PIP38" s="21"/>
      <c r="PIQ38" s="21"/>
      <c r="PIR38" s="21"/>
      <c r="PIS38" s="21"/>
      <c r="PIT38" s="21"/>
      <c r="PIU38" s="21"/>
      <c r="PIV38" s="21"/>
      <c r="PIW38" s="21"/>
      <c r="PIX38" s="21"/>
      <c r="PIY38" s="21"/>
      <c r="PIZ38" s="21"/>
      <c r="PJA38" s="21"/>
      <c r="PJB38" s="21"/>
      <c r="PJC38" s="21"/>
      <c r="PJD38" s="21"/>
      <c r="PJE38" s="21"/>
      <c r="PJF38" s="21"/>
      <c r="PJG38" s="21"/>
      <c r="PJH38" s="21"/>
      <c r="PJI38" s="21"/>
      <c r="PJJ38" s="21"/>
      <c r="PJK38" s="21"/>
      <c r="PJL38" s="21"/>
      <c r="PJM38" s="21"/>
      <c r="PJN38" s="21"/>
      <c r="PJO38" s="21"/>
      <c r="PJP38" s="21"/>
      <c r="PJQ38" s="21"/>
      <c r="PJR38" s="21"/>
      <c r="PJS38" s="21"/>
      <c r="PJT38" s="21"/>
      <c r="PJU38" s="21"/>
      <c r="PJV38" s="21"/>
      <c r="PJW38" s="21"/>
      <c r="PJX38" s="21"/>
      <c r="PJY38" s="21"/>
      <c r="PJZ38" s="21"/>
      <c r="PKA38" s="21"/>
      <c r="PKB38" s="21"/>
      <c r="PKC38" s="21"/>
      <c r="PKD38" s="21"/>
      <c r="PKE38" s="21"/>
      <c r="PKF38" s="21"/>
      <c r="PKG38" s="21"/>
      <c r="PKH38" s="21"/>
      <c r="PKI38" s="21"/>
      <c r="PKJ38" s="21"/>
      <c r="PKK38" s="21"/>
      <c r="PKL38" s="21"/>
      <c r="PKM38" s="21"/>
      <c r="PKN38" s="21"/>
      <c r="PKO38" s="21"/>
      <c r="PKP38" s="21"/>
      <c r="PKQ38" s="21"/>
      <c r="PKR38" s="21"/>
      <c r="PKS38" s="21"/>
      <c r="PKT38" s="21"/>
      <c r="PKU38" s="21"/>
      <c r="PKV38" s="21"/>
      <c r="PKW38" s="21"/>
      <c r="PKX38" s="21"/>
      <c r="PKY38" s="21"/>
      <c r="PKZ38" s="21"/>
      <c r="PLA38" s="21"/>
      <c r="PLB38" s="21"/>
      <c r="PLC38" s="21"/>
      <c r="PLD38" s="21"/>
      <c r="PLE38" s="21"/>
      <c r="PLF38" s="21"/>
      <c r="PLG38" s="21"/>
      <c r="PLH38" s="21"/>
      <c r="PLI38" s="21"/>
      <c r="PLJ38" s="21"/>
      <c r="PLK38" s="21"/>
      <c r="PLL38" s="21"/>
      <c r="PLM38" s="21"/>
      <c r="PLN38" s="21"/>
      <c r="PLO38" s="21"/>
      <c r="PLP38" s="21"/>
      <c r="PLQ38" s="21"/>
      <c r="PLR38" s="21"/>
      <c r="PLS38" s="21"/>
      <c r="PLT38" s="21"/>
      <c r="PLU38" s="21"/>
      <c r="PLV38" s="21"/>
      <c r="PLW38" s="21"/>
      <c r="PLX38" s="21"/>
      <c r="PLY38" s="21"/>
      <c r="PLZ38" s="21"/>
      <c r="PMA38" s="21"/>
      <c r="PMB38" s="21"/>
      <c r="PMC38" s="21"/>
      <c r="PMD38" s="21"/>
      <c r="PME38" s="21"/>
      <c r="PMF38" s="21"/>
      <c r="PMG38" s="21"/>
      <c r="PMH38" s="21"/>
      <c r="PMI38" s="21"/>
      <c r="PMJ38" s="21"/>
      <c r="PMK38" s="21"/>
      <c r="PML38" s="21"/>
      <c r="PMM38" s="21"/>
      <c r="PMN38" s="21"/>
      <c r="PMO38" s="21"/>
      <c r="PMP38" s="21"/>
      <c r="PMQ38" s="21"/>
      <c r="PMR38" s="21"/>
      <c r="PMS38" s="21"/>
      <c r="PMT38" s="21"/>
      <c r="PMU38" s="21"/>
      <c r="PMV38" s="21"/>
      <c r="PMW38" s="21"/>
      <c r="PMX38" s="21"/>
      <c r="PMY38" s="21"/>
      <c r="PMZ38" s="21"/>
      <c r="PNA38" s="21"/>
      <c r="PNB38" s="21"/>
      <c r="PNC38" s="21"/>
      <c r="PND38" s="21"/>
      <c r="PNE38" s="21"/>
      <c r="PNF38" s="21"/>
      <c r="PNG38" s="21"/>
      <c r="PNH38" s="21"/>
      <c r="PNI38" s="21"/>
      <c r="PNJ38" s="21"/>
      <c r="PNK38" s="21"/>
      <c r="PNL38" s="21"/>
      <c r="PNM38" s="21"/>
      <c r="PNN38" s="21"/>
      <c r="PNO38" s="21"/>
      <c r="PNP38" s="21"/>
      <c r="PNQ38" s="21"/>
      <c r="PNR38" s="21"/>
      <c r="PNS38" s="21"/>
      <c r="PNT38" s="21"/>
      <c r="PNU38" s="21"/>
      <c r="PNV38" s="21"/>
      <c r="PNW38" s="21"/>
      <c r="PNX38" s="21"/>
      <c r="PNY38" s="21"/>
      <c r="PNZ38" s="21"/>
      <c r="POA38" s="21"/>
      <c r="POB38" s="21"/>
      <c r="POC38" s="21"/>
      <c r="POD38" s="21"/>
      <c r="POE38" s="21"/>
      <c r="POF38" s="21"/>
      <c r="POG38" s="21"/>
      <c r="POH38" s="21"/>
      <c r="POI38" s="21"/>
      <c r="POJ38" s="21"/>
      <c r="POK38" s="21"/>
      <c r="POL38" s="21"/>
      <c r="POM38" s="21"/>
      <c r="PON38" s="21"/>
      <c r="POO38" s="21"/>
      <c r="POP38" s="21"/>
      <c r="POQ38" s="21"/>
      <c r="POR38" s="21"/>
      <c r="POS38" s="21"/>
      <c r="POT38" s="21"/>
      <c r="POU38" s="21"/>
      <c r="POV38" s="21"/>
      <c r="POW38" s="21"/>
      <c r="POX38" s="21"/>
      <c r="POY38" s="21"/>
      <c r="POZ38" s="21"/>
      <c r="PPA38" s="21"/>
      <c r="PPB38" s="21"/>
      <c r="PPC38" s="21"/>
      <c r="PPD38" s="21"/>
      <c r="PPE38" s="21"/>
      <c r="PPF38" s="21"/>
      <c r="PPG38" s="21"/>
      <c r="PPH38" s="21"/>
      <c r="PPI38" s="21"/>
      <c r="PPJ38" s="21"/>
      <c r="PPK38" s="21"/>
      <c r="PPL38" s="21"/>
      <c r="PPM38" s="21"/>
      <c r="PPN38" s="21"/>
      <c r="PPO38" s="21"/>
      <c r="PPP38" s="21"/>
      <c r="PPQ38" s="21"/>
      <c r="PPR38" s="21"/>
      <c r="PPS38" s="21"/>
      <c r="PPT38" s="21"/>
      <c r="PPU38" s="21"/>
      <c r="PPV38" s="21"/>
      <c r="PPW38" s="21"/>
      <c r="PPX38" s="21"/>
      <c r="PPY38" s="21"/>
      <c r="PPZ38" s="21"/>
      <c r="PQA38" s="21"/>
      <c r="PQB38" s="21"/>
      <c r="PQC38" s="21"/>
      <c r="PQD38" s="21"/>
      <c r="PQE38" s="21"/>
      <c r="PQF38" s="21"/>
      <c r="PQG38" s="21"/>
      <c r="PQH38" s="21"/>
      <c r="PQI38" s="21"/>
      <c r="PQJ38" s="21"/>
      <c r="PQK38" s="21"/>
      <c r="PQL38" s="21"/>
      <c r="PQM38" s="21"/>
      <c r="PQN38" s="21"/>
      <c r="PQO38" s="21"/>
      <c r="PQP38" s="21"/>
      <c r="PQQ38" s="21"/>
      <c r="PQR38" s="21"/>
      <c r="PQS38" s="21"/>
      <c r="PQT38" s="21"/>
      <c r="PQU38" s="21"/>
      <c r="PQV38" s="21"/>
      <c r="PQW38" s="21"/>
      <c r="PQX38" s="21"/>
      <c r="PQY38" s="21"/>
      <c r="PQZ38" s="21"/>
      <c r="PRA38" s="21"/>
      <c r="PRB38" s="21"/>
      <c r="PRC38" s="21"/>
      <c r="PRD38" s="21"/>
      <c r="PRE38" s="21"/>
      <c r="PRF38" s="21"/>
      <c r="PRG38" s="21"/>
      <c r="PRH38" s="21"/>
      <c r="PRI38" s="21"/>
      <c r="PRJ38" s="21"/>
      <c r="PRK38" s="21"/>
      <c r="PRL38" s="21"/>
      <c r="PRM38" s="21"/>
      <c r="PRN38" s="21"/>
      <c r="PRO38" s="21"/>
      <c r="PRP38" s="21"/>
      <c r="PRQ38" s="21"/>
      <c r="PRR38" s="21"/>
      <c r="PRS38" s="21"/>
      <c r="PRT38" s="21"/>
      <c r="PRU38" s="21"/>
      <c r="PRV38" s="21"/>
      <c r="PRW38" s="21"/>
      <c r="PRX38" s="21"/>
      <c r="PRY38" s="21"/>
      <c r="PRZ38" s="21"/>
      <c r="PSA38" s="21"/>
      <c r="PSB38" s="21"/>
      <c r="PSC38" s="21"/>
      <c r="PSD38" s="21"/>
      <c r="PSE38" s="21"/>
      <c r="PSF38" s="21"/>
      <c r="PSG38" s="21"/>
      <c r="PSH38" s="21"/>
      <c r="PSI38" s="21"/>
      <c r="PSJ38" s="21"/>
      <c r="PSK38" s="21"/>
      <c r="PSL38" s="21"/>
      <c r="PSM38" s="21"/>
      <c r="PSN38" s="21"/>
      <c r="PSO38" s="21"/>
      <c r="PSP38" s="21"/>
      <c r="PSQ38" s="21"/>
      <c r="PSR38" s="21"/>
      <c r="PSS38" s="21"/>
      <c r="PST38" s="21"/>
      <c r="PSU38" s="21"/>
      <c r="PSV38" s="21"/>
      <c r="PSW38" s="21"/>
      <c r="PSX38" s="21"/>
      <c r="PSY38" s="21"/>
      <c r="PSZ38" s="21"/>
      <c r="PTA38" s="21"/>
      <c r="PTB38" s="21"/>
      <c r="PTC38" s="21"/>
      <c r="PTD38" s="21"/>
      <c r="PTE38" s="21"/>
      <c r="PTF38" s="21"/>
      <c r="PTG38" s="21"/>
      <c r="PTH38" s="21"/>
      <c r="PTI38" s="21"/>
      <c r="PTJ38" s="21"/>
      <c r="PTK38" s="21"/>
      <c r="PTL38" s="21"/>
      <c r="PTM38" s="21"/>
      <c r="PTN38" s="21"/>
      <c r="PTO38" s="21"/>
      <c r="PTP38" s="21"/>
      <c r="PTQ38" s="21"/>
      <c r="PTR38" s="21"/>
      <c r="PTS38" s="21"/>
      <c r="PTT38" s="21"/>
      <c r="PTU38" s="21"/>
      <c r="PTV38" s="21"/>
      <c r="PTW38" s="21"/>
      <c r="PTX38" s="21"/>
      <c r="PTY38" s="21"/>
      <c r="PTZ38" s="21"/>
      <c r="PUA38" s="21"/>
      <c r="PUB38" s="21"/>
      <c r="PUC38" s="21"/>
      <c r="PUD38" s="21"/>
      <c r="PUE38" s="21"/>
      <c r="PUF38" s="21"/>
      <c r="PUG38" s="21"/>
      <c r="PUH38" s="21"/>
      <c r="PUI38" s="21"/>
      <c r="PUJ38" s="21"/>
      <c r="PUK38" s="21"/>
      <c r="PUL38" s="21"/>
      <c r="PUM38" s="21"/>
      <c r="PUN38" s="21"/>
      <c r="PUO38" s="21"/>
      <c r="PUP38" s="21"/>
      <c r="PUQ38" s="21"/>
      <c r="PUR38" s="21"/>
      <c r="PUS38" s="21"/>
      <c r="PUT38" s="21"/>
      <c r="PUU38" s="21"/>
      <c r="PUV38" s="21"/>
      <c r="PUW38" s="21"/>
      <c r="PUX38" s="21"/>
      <c r="PUY38" s="21"/>
      <c r="PUZ38" s="21"/>
      <c r="PVA38" s="21"/>
      <c r="PVB38" s="21"/>
      <c r="PVC38" s="21"/>
      <c r="PVD38" s="21"/>
      <c r="PVE38" s="21"/>
      <c r="PVF38" s="21"/>
      <c r="PVG38" s="21"/>
      <c r="PVH38" s="21"/>
      <c r="PVI38" s="21"/>
      <c r="PVJ38" s="21"/>
      <c r="PVK38" s="21"/>
      <c r="PVL38" s="21"/>
      <c r="PVM38" s="21"/>
      <c r="PVN38" s="21"/>
      <c r="PVO38" s="21"/>
      <c r="PVP38" s="21"/>
      <c r="PVQ38" s="21"/>
      <c r="PVR38" s="21"/>
      <c r="PVS38" s="21"/>
      <c r="PVT38" s="21"/>
      <c r="PVU38" s="21"/>
      <c r="PVV38" s="21"/>
      <c r="PVW38" s="21"/>
      <c r="PVX38" s="21"/>
      <c r="PVY38" s="21"/>
      <c r="PVZ38" s="21"/>
      <c r="PWA38" s="21"/>
      <c r="PWB38" s="21"/>
      <c r="PWC38" s="21"/>
      <c r="PWD38" s="21"/>
      <c r="PWE38" s="21"/>
      <c r="PWF38" s="21"/>
      <c r="PWG38" s="21"/>
      <c r="PWH38" s="21"/>
      <c r="PWI38" s="21"/>
      <c r="PWJ38" s="21"/>
      <c r="PWK38" s="21"/>
      <c r="PWL38" s="21"/>
      <c r="PWM38" s="21"/>
      <c r="PWN38" s="21"/>
      <c r="PWO38" s="21"/>
      <c r="PWP38" s="21"/>
      <c r="PWQ38" s="21"/>
      <c r="PWR38" s="21"/>
      <c r="PWS38" s="21"/>
      <c r="PWT38" s="21"/>
      <c r="PWU38" s="21"/>
      <c r="PWV38" s="21"/>
      <c r="PWW38" s="21"/>
      <c r="PWX38" s="21"/>
      <c r="PWY38" s="21"/>
      <c r="PWZ38" s="21"/>
      <c r="PXA38" s="21"/>
      <c r="PXB38" s="21"/>
      <c r="PXC38" s="21"/>
      <c r="PXD38" s="21"/>
      <c r="PXE38" s="21"/>
      <c r="PXF38" s="21"/>
      <c r="PXG38" s="21"/>
      <c r="PXH38" s="21"/>
      <c r="PXI38" s="21"/>
      <c r="PXJ38" s="21"/>
      <c r="PXK38" s="21"/>
      <c r="PXL38" s="21"/>
      <c r="PXM38" s="21"/>
      <c r="PXN38" s="21"/>
      <c r="PXO38" s="21"/>
      <c r="PXP38" s="21"/>
      <c r="PXQ38" s="21"/>
      <c r="PXR38" s="21"/>
      <c r="PXS38" s="21"/>
      <c r="PXT38" s="21"/>
      <c r="PXU38" s="21"/>
      <c r="PXV38" s="21"/>
      <c r="PXW38" s="21"/>
      <c r="PXX38" s="21"/>
      <c r="PXY38" s="21"/>
      <c r="PXZ38" s="21"/>
      <c r="PYA38" s="21"/>
      <c r="PYB38" s="21"/>
      <c r="PYC38" s="21"/>
      <c r="PYD38" s="21"/>
      <c r="PYE38" s="21"/>
      <c r="PYF38" s="21"/>
      <c r="PYG38" s="21"/>
      <c r="PYH38" s="21"/>
      <c r="PYI38" s="21"/>
      <c r="PYJ38" s="21"/>
      <c r="PYK38" s="21"/>
      <c r="PYL38" s="21"/>
      <c r="PYM38" s="21"/>
      <c r="PYN38" s="21"/>
      <c r="PYO38" s="21"/>
      <c r="PYP38" s="21"/>
      <c r="PYQ38" s="21"/>
      <c r="PYR38" s="21"/>
      <c r="PYS38" s="21"/>
      <c r="PYT38" s="21"/>
      <c r="PYU38" s="21"/>
      <c r="PYV38" s="21"/>
      <c r="PYW38" s="21"/>
      <c r="PYX38" s="21"/>
      <c r="PYY38" s="21"/>
      <c r="PYZ38" s="21"/>
      <c r="PZA38" s="21"/>
      <c r="PZB38" s="21"/>
      <c r="PZC38" s="21"/>
      <c r="PZD38" s="21"/>
      <c r="PZE38" s="21"/>
      <c r="PZF38" s="21"/>
      <c r="PZG38" s="21"/>
      <c r="PZH38" s="21"/>
      <c r="PZI38" s="21"/>
      <c r="PZJ38" s="21"/>
      <c r="PZK38" s="21"/>
      <c r="PZL38" s="21"/>
      <c r="PZM38" s="21"/>
      <c r="PZN38" s="21"/>
      <c r="PZO38" s="21"/>
      <c r="PZP38" s="21"/>
      <c r="PZQ38" s="21"/>
      <c r="PZR38" s="21"/>
      <c r="PZS38" s="21"/>
      <c r="PZT38" s="21"/>
      <c r="PZU38" s="21"/>
      <c r="PZV38" s="21"/>
      <c r="PZW38" s="21"/>
      <c r="PZX38" s="21"/>
      <c r="PZY38" s="21"/>
      <c r="PZZ38" s="21"/>
      <c r="QAA38" s="21"/>
      <c r="QAB38" s="21"/>
      <c r="QAC38" s="21"/>
      <c r="QAD38" s="21"/>
      <c r="QAE38" s="21"/>
      <c r="QAF38" s="21"/>
      <c r="QAG38" s="21"/>
      <c r="QAH38" s="21"/>
      <c r="QAI38" s="21"/>
      <c r="QAJ38" s="21"/>
      <c r="QAK38" s="21"/>
      <c r="QAL38" s="21"/>
      <c r="QAM38" s="21"/>
      <c r="QAN38" s="21"/>
      <c r="QAO38" s="21"/>
      <c r="QAP38" s="21"/>
      <c r="QAQ38" s="21"/>
      <c r="QAR38" s="21"/>
      <c r="QAS38" s="21"/>
      <c r="QAT38" s="21"/>
      <c r="QAU38" s="21"/>
      <c r="QAV38" s="21"/>
      <c r="QAW38" s="21"/>
      <c r="QAX38" s="21"/>
      <c r="QAY38" s="21"/>
      <c r="QAZ38" s="21"/>
      <c r="QBA38" s="21"/>
      <c r="QBB38" s="21"/>
      <c r="QBC38" s="21"/>
      <c r="QBD38" s="21"/>
      <c r="QBE38" s="21"/>
      <c r="QBF38" s="21"/>
      <c r="QBG38" s="21"/>
      <c r="QBH38" s="21"/>
      <c r="QBI38" s="21"/>
      <c r="QBJ38" s="21"/>
      <c r="QBK38" s="21"/>
      <c r="QBL38" s="21"/>
      <c r="QBM38" s="21"/>
      <c r="QBN38" s="21"/>
      <c r="QBO38" s="21"/>
      <c r="QBP38" s="21"/>
      <c r="QBQ38" s="21"/>
      <c r="QBR38" s="21"/>
      <c r="QBS38" s="21"/>
      <c r="QBT38" s="21"/>
      <c r="QBU38" s="21"/>
      <c r="QBV38" s="21"/>
      <c r="QBW38" s="21"/>
      <c r="QBX38" s="21"/>
      <c r="QBY38" s="21"/>
      <c r="QBZ38" s="21"/>
      <c r="QCA38" s="21"/>
      <c r="QCB38" s="21"/>
      <c r="QCC38" s="21"/>
      <c r="QCD38" s="21"/>
      <c r="QCE38" s="21"/>
      <c r="QCF38" s="21"/>
      <c r="QCG38" s="21"/>
      <c r="QCH38" s="21"/>
      <c r="QCI38" s="21"/>
      <c r="QCJ38" s="21"/>
      <c r="QCK38" s="21"/>
      <c r="QCL38" s="21"/>
      <c r="QCM38" s="21"/>
      <c r="QCN38" s="21"/>
      <c r="QCO38" s="21"/>
      <c r="QCP38" s="21"/>
      <c r="QCQ38" s="21"/>
      <c r="QCR38" s="21"/>
      <c r="QCS38" s="21"/>
      <c r="QCT38" s="21"/>
      <c r="QCU38" s="21"/>
      <c r="QCV38" s="21"/>
      <c r="QCW38" s="21"/>
      <c r="QCX38" s="21"/>
      <c r="QCY38" s="21"/>
      <c r="QCZ38" s="21"/>
      <c r="QDA38" s="21"/>
      <c r="QDB38" s="21"/>
      <c r="QDC38" s="21"/>
      <c r="QDD38" s="21"/>
      <c r="QDE38" s="21"/>
      <c r="QDF38" s="21"/>
      <c r="QDG38" s="21"/>
      <c r="QDH38" s="21"/>
      <c r="QDI38" s="21"/>
      <c r="QDJ38" s="21"/>
      <c r="QDK38" s="21"/>
      <c r="QDL38" s="21"/>
      <c r="QDM38" s="21"/>
      <c r="QDN38" s="21"/>
      <c r="QDO38" s="21"/>
      <c r="QDP38" s="21"/>
      <c r="QDQ38" s="21"/>
      <c r="QDR38" s="21"/>
      <c r="QDS38" s="21"/>
      <c r="QDT38" s="21"/>
      <c r="QDU38" s="21"/>
      <c r="QDV38" s="21"/>
      <c r="QDW38" s="21"/>
      <c r="QDX38" s="21"/>
      <c r="QDY38" s="21"/>
      <c r="QDZ38" s="21"/>
      <c r="QEA38" s="21"/>
      <c r="QEB38" s="21"/>
      <c r="QEC38" s="21"/>
      <c r="QED38" s="21"/>
      <c r="QEE38" s="21"/>
      <c r="QEF38" s="21"/>
      <c r="QEG38" s="21"/>
      <c r="QEH38" s="21"/>
      <c r="QEI38" s="21"/>
      <c r="QEJ38" s="21"/>
      <c r="QEK38" s="21"/>
      <c r="QEL38" s="21"/>
      <c r="QEM38" s="21"/>
      <c r="QEN38" s="21"/>
      <c r="QEO38" s="21"/>
      <c r="QEP38" s="21"/>
      <c r="QEQ38" s="21"/>
      <c r="QER38" s="21"/>
      <c r="QES38" s="21"/>
      <c r="QET38" s="21"/>
      <c r="QEU38" s="21"/>
      <c r="QEV38" s="21"/>
      <c r="QEW38" s="21"/>
      <c r="QEX38" s="21"/>
      <c r="QEY38" s="21"/>
      <c r="QEZ38" s="21"/>
      <c r="QFA38" s="21"/>
      <c r="QFB38" s="21"/>
      <c r="QFC38" s="21"/>
      <c r="QFD38" s="21"/>
      <c r="QFE38" s="21"/>
      <c r="QFF38" s="21"/>
      <c r="QFG38" s="21"/>
      <c r="QFH38" s="21"/>
      <c r="QFI38" s="21"/>
      <c r="QFJ38" s="21"/>
      <c r="QFK38" s="21"/>
      <c r="QFL38" s="21"/>
      <c r="QFM38" s="21"/>
      <c r="QFN38" s="21"/>
      <c r="QFO38" s="21"/>
      <c r="QFP38" s="21"/>
      <c r="QFQ38" s="21"/>
      <c r="QFR38" s="21"/>
      <c r="QFS38" s="21"/>
      <c r="QFT38" s="21"/>
      <c r="QFU38" s="21"/>
      <c r="QFV38" s="21"/>
      <c r="QFW38" s="21"/>
      <c r="QFX38" s="21"/>
      <c r="QFY38" s="21"/>
      <c r="QFZ38" s="21"/>
      <c r="QGA38" s="21"/>
      <c r="QGB38" s="21"/>
      <c r="QGC38" s="21"/>
      <c r="QGD38" s="21"/>
      <c r="QGE38" s="21"/>
      <c r="QGF38" s="21"/>
      <c r="QGG38" s="21"/>
      <c r="QGH38" s="21"/>
      <c r="QGI38" s="21"/>
      <c r="QGJ38" s="21"/>
      <c r="QGK38" s="21"/>
      <c r="QGL38" s="21"/>
      <c r="QGM38" s="21"/>
      <c r="QGN38" s="21"/>
      <c r="QGO38" s="21"/>
      <c r="QGP38" s="21"/>
      <c r="QGQ38" s="21"/>
      <c r="QGR38" s="21"/>
      <c r="QGS38" s="21"/>
      <c r="QGT38" s="21"/>
      <c r="QGU38" s="21"/>
      <c r="QGV38" s="21"/>
      <c r="QGW38" s="21"/>
      <c r="QGX38" s="21"/>
      <c r="QGY38" s="21"/>
      <c r="QGZ38" s="21"/>
      <c r="QHA38" s="21"/>
      <c r="QHB38" s="21"/>
      <c r="QHC38" s="21"/>
      <c r="QHD38" s="21"/>
      <c r="QHE38" s="21"/>
      <c r="QHF38" s="21"/>
      <c r="QHG38" s="21"/>
      <c r="QHH38" s="21"/>
      <c r="QHI38" s="21"/>
      <c r="QHJ38" s="21"/>
      <c r="QHK38" s="21"/>
      <c r="QHL38" s="21"/>
      <c r="QHM38" s="21"/>
      <c r="QHN38" s="21"/>
      <c r="QHO38" s="21"/>
      <c r="QHP38" s="21"/>
      <c r="QHQ38" s="21"/>
      <c r="QHR38" s="21"/>
      <c r="QHS38" s="21"/>
      <c r="QHT38" s="21"/>
      <c r="QHU38" s="21"/>
      <c r="QHV38" s="21"/>
      <c r="QHW38" s="21"/>
      <c r="QHX38" s="21"/>
      <c r="QHY38" s="21"/>
      <c r="QHZ38" s="21"/>
      <c r="QIA38" s="21"/>
      <c r="QIB38" s="21"/>
      <c r="QIC38" s="21"/>
      <c r="QID38" s="21"/>
      <c r="QIE38" s="21"/>
      <c r="QIF38" s="21"/>
      <c r="QIG38" s="21"/>
      <c r="QIH38" s="21"/>
      <c r="QII38" s="21"/>
      <c r="QIJ38" s="21"/>
      <c r="QIK38" s="21"/>
      <c r="QIL38" s="21"/>
      <c r="QIM38" s="21"/>
      <c r="QIN38" s="21"/>
      <c r="QIO38" s="21"/>
      <c r="QIP38" s="21"/>
      <c r="QIQ38" s="21"/>
      <c r="QIR38" s="21"/>
      <c r="QIS38" s="21"/>
      <c r="QIT38" s="21"/>
      <c r="QIU38" s="21"/>
      <c r="QIV38" s="21"/>
      <c r="QIW38" s="21"/>
      <c r="QIX38" s="21"/>
      <c r="QIY38" s="21"/>
      <c r="QIZ38" s="21"/>
      <c r="QJA38" s="21"/>
      <c r="QJB38" s="21"/>
      <c r="QJC38" s="21"/>
      <c r="QJD38" s="21"/>
      <c r="QJE38" s="21"/>
      <c r="QJF38" s="21"/>
      <c r="QJG38" s="21"/>
      <c r="QJH38" s="21"/>
      <c r="QJI38" s="21"/>
      <c r="QJJ38" s="21"/>
      <c r="QJK38" s="21"/>
      <c r="QJL38" s="21"/>
      <c r="QJM38" s="21"/>
      <c r="QJN38" s="21"/>
      <c r="QJO38" s="21"/>
      <c r="QJP38" s="21"/>
      <c r="QJQ38" s="21"/>
      <c r="QJR38" s="21"/>
      <c r="QJS38" s="21"/>
      <c r="QJT38" s="21"/>
      <c r="QJU38" s="21"/>
      <c r="QJV38" s="21"/>
      <c r="QJW38" s="21"/>
      <c r="QJX38" s="21"/>
      <c r="QJY38" s="21"/>
      <c r="QJZ38" s="21"/>
      <c r="QKA38" s="21"/>
      <c r="QKB38" s="21"/>
      <c r="QKC38" s="21"/>
      <c r="QKD38" s="21"/>
      <c r="QKE38" s="21"/>
      <c r="QKF38" s="21"/>
      <c r="QKG38" s="21"/>
      <c r="QKH38" s="21"/>
      <c r="QKI38" s="21"/>
      <c r="QKJ38" s="21"/>
      <c r="QKK38" s="21"/>
      <c r="QKL38" s="21"/>
      <c r="QKM38" s="21"/>
      <c r="QKN38" s="21"/>
      <c r="QKO38" s="21"/>
      <c r="QKP38" s="21"/>
      <c r="QKQ38" s="21"/>
      <c r="QKR38" s="21"/>
      <c r="QKS38" s="21"/>
      <c r="QKT38" s="21"/>
      <c r="QKU38" s="21"/>
      <c r="QKV38" s="21"/>
      <c r="QKW38" s="21"/>
      <c r="QKX38" s="21"/>
      <c r="QKY38" s="21"/>
      <c r="QKZ38" s="21"/>
      <c r="QLA38" s="21"/>
      <c r="QLB38" s="21"/>
      <c r="QLC38" s="21"/>
      <c r="QLD38" s="21"/>
      <c r="QLE38" s="21"/>
      <c r="QLF38" s="21"/>
      <c r="QLG38" s="21"/>
      <c r="QLH38" s="21"/>
      <c r="QLI38" s="21"/>
      <c r="QLJ38" s="21"/>
      <c r="QLK38" s="21"/>
      <c r="QLL38" s="21"/>
      <c r="QLM38" s="21"/>
      <c r="QLN38" s="21"/>
      <c r="QLO38" s="21"/>
      <c r="QLP38" s="21"/>
      <c r="QLQ38" s="21"/>
      <c r="QLR38" s="21"/>
      <c r="QLS38" s="21"/>
      <c r="QLT38" s="21"/>
      <c r="QLU38" s="21"/>
      <c r="QLV38" s="21"/>
      <c r="QLW38" s="21"/>
      <c r="QLX38" s="21"/>
      <c r="QLY38" s="21"/>
      <c r="QLZ38" s="21"/>
      <c r="QMA38" s="21"/>
      <c r="QMB38" s="21"/>
      <c r="QMC38" s="21"/>
      <c r="QMD38" s="21"/>
      <c r="QME38" s="21"/>
      <c r="QMF38" s="21"/>
      <c r="QMG38" s="21"/>
      <c r="QMH38" s="21"/>
      <c r="QMI38" s="21"/>
      <c r="QMJ38" s="21"/>
      <c r="QMK38" s="21"/>
      <c r="QML38" s="21"/>
      <c r="QMM38" s="21"/>
      <c r="QMN38" s="21"/>
      <c r="QMO38" s="21"/>
      <c r="QMP38" s="21"/>
      <c r="QMQ38" s="21"/>
      <c r="QMR38" s="21"/>
      <c r="QMS38" s="21"/>
      <c r="QMT38" s="21"/>
      <c r="QMU38" s="21"/>
      <c r="QMV38" s="21"/>
      <c r="QMW38" s="21"/>
      <c r="QMX38" s="21"/>
      <c r="QMY38" s="21"/>
      <c r="QMZ38" s="21"/>
      <c r="QNA38" s="21"/>
      <c r="QNB38" s="21"/>
      <c r="QNC38" s="21"/>
      <c r="QND38" s="21"/>
      <c r="QNE38" s="21"/>
      <c r="QNF38" s="21"/>
      <c r="QNG38" s="21"/>
      <c r="QNH38" s="21"/>
      <c r="QNI38" s="21"/>
      <c r="QNJ38" s="21"/>
      <c r="QNK38" s="21"/>
      <c r="QNL38" s="21"/>
      <c r="QNM38" s="21"/>
      <c r="QNN38" s="21"/>
      <c r="QNO38" s="21"/>
      <c r="QNP38" s="21"/>
      <c r="QNQ38" s="21"/>
      <c r="QNR38" s="21"/>
      <c r="QNS38" s="21"/>
      <c r="QNT38" s="21"/>
      <c r="QNU38" s="21"/>
      <c r="QNV38" s="21"/>
      <c r="QNW38" s="21"/>
      <c r="QNX38" s="21"/>
      <c r="QNY38" s="21"/>
      <c r="QNZ38" s="21"/>
      <c r="QOA38" s="21"/>
      <c r="QOB38" s="21"/>
      <c r="QOC38" s="21"/>
      <c r="QOD38" s="21"/>
      <c r="QOE38" s="21"/>
      <c r="QOF38" s="21"/>
      <c r="QOG38" s="21"/>
      <c r="QOH38" s="21"/>
      <c r="QOI38" s="21"/>
      <c r="QOJ38" s="21"/>
      <c r="QOK38" s="21"/>
      <c r="QOL38" s="21"/>
      <c r="QOM38" s="21"/>
      <c r="QON38" s="21"/>
      <c r="QOO38" s="21"/>
      <c r="QOP38" s="21"/>
      <c r="QOQ38" s="21"/>
      <c r="QOR38" s="21"/>
      <c r="QOS38" s="21"/>
      <c r="QOT38" s="21"/>
      <c r="QOU38" s="21"/>
      <c r="QOV38" s="21"/>
      <c r="QOW38" s="21"/>
      <c r="QOX38" s="21"/>
      <c r="QOY38" s="21"/>
      <c r="QOZ38" s="21"/>
      <c r="QPA38" s="21"/>
      <c r="QPB38" s="21"/>
      <c r="QPC38" s="21"/>
      <c r="QPD38" s="21"/>
      <c r="QPE38" s="21"/>
      <c r="QPF38" s="21"/>
      <c r="QPG38" s="21"/>
      <c r="QPH38" s="21"/>
      <c r="QPI38" s="21"/>
      <c r="QPJ38" s="21"/>
      <c r="QPK38" s="21"/>
      <c r="QPL38" s="21"/>
      <c r="QPM38" s="21"/>
      <c r="QPN38" s="21"/>
      <c r="QPO38" s="21"/>
      <c r="QPP38" s="21"/>
      <c r="QPQ38" s="21"/>
      <c r="QPR38" s="21"/>
      <c r="QPS38" s="21"/>
      <c r="QPT38" s="21"/>
      <c r="QPU38" s="21"/>
      <c r="QPV38" s="21"/>
      <c r="QPW38" s="21"/>
      <c r="QPX38" s="21"/>
      <c r="QPY38" s="21"/>
      <c r="QPZ38" s="21"/>
      <c r="QQA38" s="21"/>
      <c r="QQB38" s="21"/>
      <c r="QQC38" s="21"/>
      <c r="QQD38" s="21"/>
      <c r="QQE38" s="21"/>
      <c r="QQF38" s="21"/>
      <c r="QQG38" s="21"/>
      <c r="QQH38" s="21"/>
      <c r="QQI38" s="21"/>
      <c r="QQJ38" s="21"/>
      <c r="QQK38" s="21"/>
      <c r="QQL38" s="21"/>
      <c r="QQM38" s="21"/>
      <c r="QQN38" s="21"/>
      <c r="QQO38" s="21"/>
      <c r="QQP38" s="21"/>
      <c r="QQQ38" s="21"/>
      <c r="QQR38" s="21"/>
      <c r="QQS38" s="21"/>
      <c r="QQT38" s="21"/>
      <c r="QQU38" s="21"/>
      <c r="QQV38" s="21"/>
      <c r="QQW38" s="21"/>
      <c r="QQX38" s="21"/>
      <c r="QQY38" s="21"/>
      <c r="QQZ38" s="21"/>
      <c r="QRA38" s="21"/>
      <c r="QRB38" s="21"/>
      <c r="QRC38" s="21"/>
      <c r="QRD38" s="21"/>
      <c r="QRE38" s="21"/>
      <c r="QRF38" s="21"/>
      <c r="QRG38" s="21"/>
      <c r="QRH38" s="21"/>
      <c r="QRI38" s="21"/>
      <c r="QRJ38" s="21"/>
      <c r="QRK38" s="21"/>
      <c r="QRL38" s="21"/>
      <c r="QRM38" s="21"/>
      <c r="QRN38" s="21"/>
      <c r="QRO38" s="21"/>
      <c r="QRP38" s="21"/>
      <c r="QRQ38" s="21"/>
      <c r="QRR38" s="21"/>
      <c r="QRS38" s="21"/>
      <c r="QRT38" s="21"/>
      <c r="QRU38" s="21"/>
      <c r="QRV38" s="21"/>
      <c r="QRW38" s="21"/>
      <c r="QRX38" s="21"/>
      <c r="QRY38" s="21"/>
      <c r="QRZ38" s="21"/>
      <c r="QSA38" s="21"/>
      <c r="QSB38" s="21"/>
      <c r="QSC38" s="21"/>
      <c r="QSD38" s="21"/>
      <c r="QSE38" s="21"/>
      <c r="QSF38" s="21"/>
      <c r="QSG38" s="21"/>
      <c r="QSH38" s="21"/>
      <c r="QSI38" s="21"/>
      <c r="QSJ38" s="21"/>
      <c r="QSK38" s="21"/>
      <c r="QSL38" s="21"/>
      <c r="QSM38" s="21"/>
      <c r="QSN38" s="21"/>
      <c r="QSO38" s="21"/>
      <c r="QSP38" s="21"/>
      <c r="QSQ38" s="21"/>
      <c r="QSR38" s="21"/>
      <c r="QSS38" s="21"/>
      <c r="QST38" s="21"/>
      <c r="QSU38" s="21"/>
      <c r="QSV38" s="21"/>
      <c r="QSW38" s="21"/>
      <c r="QSX38" s="21"/>
      <c r="QSY38" s="21"/>
      <c r="QSZ38" s="21"/>
      <c r="QTA38" s="21"/>
      <c r="QTB38" s="21"/>
      <c r="QTC38" s="21"/>
      <c r="QTD38" s="21"/>
      <c r="QTE38" s="21"/>
      <c r="QTF38" s="21"/>
      <c r="QTG38" s="21"/>
      <c r="QTH38" s="21"/>
      <c r="QTI38" s="21"/>
      <c r="QTJ38" s="21"/>
      <c r="QTK38" s="21"/>
      <c r="QTL38" s="21"/>
      <c r="QTM38" s="21"/>
      <c r="QTN38" s="21"/>
      <c r="QTO38" s="21"/>
      <c r="QTP38" s="21"/>
      <c r="QTQ38" s="21"/>
      <c r="QTR38" s="21"/>
      <c r="QTS38" s="21"/>
      <c r="QTT38" s="21"/>
      <c r="QTU38" s="21"/>
      <c r="QTV38" s="21"/>
      <c r="QTW38" s="21"/>
      <c r="QTX38" s="21"/>
      <c r="QTY38" s="21"/>
      <c r="QTZ38" s="21"/>
      <c r="QUA38" s="21"/>
      <c r="QUB38" s="21"/>
      <c r="QUC38" s="21"/>
      <c r="QUD38" s="21"/>
      <c r="QUE38" s="21"/>
      <c r="QUF38" s="21"/>
      <c r="QUG38" s="21"/>
      <c r="QUH38" s="21"/>
      <c r="QUI38" s="21"/>
      <c r="QUJ38" s="21"/>
      <c r="QUK38" s="21"/>
      <c r="QUL38" s="21"/>
      <c r="QUM38" s="21"/>
      <c r="QUN38" s="21"/>
      <c r="QUO38" s="21"/>
      <c r="QUP38" s="21"/>
      <c r="QUQ38" s="21"/>
      <c r="QUR38" s="21"/>
      <c r="QUS38" s="21"/>
      <c r="QUT38" s="21"/>
      <c r="QUU38" s="21"/>
      <c r="QUV38" s="21"/>
      <c r="QUW38" s="21"/>
      <c r="QUX38" s="21"/>
      <c r="QUY38" s="21"/>
      <c r="QUZ38" s="21"/>
      <c r="QVA38" s="21"/>
      <c r="QVB38" s="21"/>
      <c r="QVC38" s="21"/>
      <c r="QVD38" s="21"/>
      <c r="QVE38" s="21"/>
      <c r="QVF38" s="21"/>
      <c r="QVG38" s="21"/>
      <c r="QVH38" s="21"/>
      <c r="QVI38" s="21"/>
      <c r="QVJ38" s="21"/>
      <c r="QVK38" s="21"/>
      <c r="QVL38" s="21"/>
      <c r="QVM38" s="21"/>
      <c r="QVN38" s="21"/>
      <c r="QVO38" s="21"/>
      <c r="QVP38" s="21"/>
      <c r="QVQ38" s="21"/>
      <c r="QVR38" s="21"/>
      <c r="QVS38" s="21"/>
      <c r="QVT38" s="21"/>
      <c r="QVU38" s="21"/>
      <c r="QVV38" s="21"/>
      <c r="QVW38" s="21"/>
      <c r="QVX38" s="21"/>
      <c r="QVY38" s="21"/>
      <c r="QVZ38" s="21"/>
      <c r="QWA38" s="21"/>
      <c r="QWB38" s="21"/>
      <c r="QWC38" s="21"/>
      <c r="QWD38" s="21"/>
      <c r="QWE38" s="21"/>
      <c r="QWF38" s="21"/>
      <c r="QWG38" s="21"/>
      <c r="QWH38" s="21"/>
      <c r="QWI38" s="21"/>
      <c r="QWJ38" s="21"/>
      <c r="QWK38" s="21"/>
      <c r="QWL38" s="21"/>
      <c r="QWM38" s="21"/>
      <c r="QWN38" s="21"/>
      <c r="QWO38" s="21"/>
      <c r="QWP38" s="21"/>
      <c r="QWQ38" s="21"/>
      <c r="QWR38" s="21"/>
      <c r="QWS38" s="21"/>
      <c r="QWT38" s="21"/>
      <c r="QWU38" s="21"/>
      <c r="QWV38" s="21"/>
      <c r="QWW38" s="21"/>
      <c r="QWX38" s="21"/>
      <c r="QWY38" s="21"/>
      <c r="QWZ38" s="21"/>
      <c r="QXA38" s="21"/>
      <c r="QXB38" s="21"/>
      <c r="QXC38" s="21"/>
      <c r="QXD38" s="21"/>
      <c r="QXE38" s="21"/>
      <c r="QXF38" s="21"/>
      <c r="QXG38" s="21"/>
      <c r="QXH38" s="21"/>
      <c r="QXI38" s="21"/>
      <c r="QXJ38" s="21"/>
      <c r="QXK38" s="21"/>
      <c r="QXL38" s="21"/>
      <c r="QXM38" s="21"/>
      <c r="QXN38" s="21"/>
      <c r="QXO38" s="21"/>
      <c r="QXP38" s="21"/>
      <c r="QXQ38" s="21"/>
      <c r="QXR38" s="21"/>
      <c r="QXS38" s="21"/>
      <c r="QXT38" s="21"/>
      <c r="QXU38" s="21"/>
      <c r="QXV38" s="21"/>
      <c r="QXW38" s="21"/>
      <c r="QXX38" s="21"/>
      <c r="QXY38" s="21"/>
      <c r="QXZ38" s="21"/>
      <c r="QYA38" s="21"/>
      <c r="QYB38" s="21"/>
      <c r="QYC38" s="21"/>
      <c r="QYD38" s="21"/>
      <c r="QYE38" s="21"/>
      <c r="QYF38" s="21"/>
      <c r="QYG38" s="21"/>
      <c r="QYH38" s="21"/>
      <c r="QYI38" s="21"/>
      <c r="QYJ38" s="21"/>
      <c r="QYK38" s="21"/>
      <c r="QYL38" s="21"/>
      <c r="QYM38" s="21"/>
      <c r="QYN38" s="21"/>
      <c r="QYO38" s="21"/>
      <c r="QYP38" s="21"/>
      <c r="QYQ38" s="21"/>
      <c r="QYR38" s="21"/>
      <c r="QYS38" s="21"/>
      <c r="QYT38" s="21"/>
      <c r="QYU38" s="21"/>
      <c r="QYV38" s="21"/>
      <c r="QYW38" s="21"/>
      <c r="QYX38" s="21"/>
      <c r="QYY38" s="21"/>
      <c r="QYZ38" s="21"/>
      <c r="QZA38" s="21"/>
      <c r="QZB38" s="21"/>
      <c r="QZC38" s="21"/>
      <c r="QZD38" s="21"/>
      <c r="QZE38" s="21"/>
      <c r="QZF38" s="21"/>
      <c r="QZG38" s="21"/>
      <c r="QZH38" s="21"/>
      <c r="QZI38" s="21"/>
      <c r="QZJ38" s="21"/>
      <c r="QZK38" s="21"/>
      <c r="QZL38" s="21"/>
      <c r="QZM38" s="21"/>
      <c r="QZN38" s="21"/>
      <c r="QZO38" s="21"/>
      <c r="QZP38" s="21"/>
      <c r="QZQ38" s="21"/>
      <c r="QZR38" s="21"/>
      <c r="QZS38" s="21"/>
      <c r="QZT38" s="21"/>
      <c r="QZU38" s="21"/>
      <c r="QZV38" s="21"/>
      <c r="QZW38" s="21"/>
      <c r="QZX38" s="21"/>
      <c r="QZY38" s="21"/>
      <c r="QZZ38" s="21"/>
      <c r="RAA38" s="21"/>
      <c r="RAB38" s="21"/>
      <c r="RAC38" s="21"/>
      <c r="RAD38" s="21"/>
      <c r="RAE38" s="21"/>
      <c r="RAF38" s="21"/>
      <c r="RAG38" s="21"/>
      <c r="RAH38" s="21"/>
      <c r="RAI38" s="21"/>
      <c r="RAJ38" s="21"/>
      <c r="RAK38" s="21"/>
      <c r="RAL38" s="21"/>
      <c r="RAM38" s="21"/>
      <c r="RAN38" s="21"/>
      <c r="RAO38" s="21"/>
      <c r="RAP38" s="21"/>
      <c r="RAQ38" s="21"/>
      <c r="RAR38" s="21"/>
      <c r="RAS38" s="21"/>
      <c r="RAT38" s="21"/>
      <c r="RAU38" s="21"/>
      <c r="RAV38" s="21"/>
      <c r="RAW38" s="21"/>
      <c r="RAX38" s="21"/>
      <c r="RAY38" s="21"/>
      <c r="RAZ38" s="21"/>
      <c r="RBA38" s="21"/>
      <c r="RBB38" s="21"/>
      <c r="RBC38" s="21"/>
      <c r="RBD38" s="21"/>
      <c r="RBE38" s="21"/>
      <c r="RBF38" s="21"/>
      <c r="RBG38" s="21"/>
      <c r="RBH38" s="21"/>
      <c r="RBI38" s="21"/>
      <c r="RBJ38" s="21"/>
      <c r="RBK38" s="21"/>
      <c r="RBL38" s="21"/>
      <c r="RBM38" s="21"/>
      <c r="RBN38" s="21"/>
      <c r="RBO38" s="21"/>
      <c r="RBP38" s="21"/>
      <c r="RBQ38" s="21"/>
      <c r="RBR38" s="21"/>
      <c r="RBS38" s="21"/>
      <c r="RBT38" s="21"/>
      <c r="RBU38" s="21"/>
      <c r="RBV38" s="21"/>
      <c r="RBW38" s="21"/>
      <c r="RBX38" s="21"/>
      <c r="RBY38" s="21"/>
      <c r="RBZ38" s="21"/>
      <c r="RCA38" s="21"/>
      <c r="RCB38" s="21"/>
      <c r="RCC38" s="21"/>
      <c r="RCD38" s="21"/>
      <c r="RCE38" s="21"/>
      <c r="RCF38" s="21"/>
      <c r="RCG38" s="21"/>
      <c r="RCH38" s="21"/>
      <c r="RCI38" s="21"/>
      <c r="RCJ38" s="21"/>
      <c r="RCK38" s="21"/>
      <c r="RCL38" s="21"/>
      <c r="RCM38" s="21"/>
      <c r="RCN38" s="21"/>
      <c r="RCO38" s="21"/>
      <c r="RCP38" s="21"/>
      <c r="RCQ38" s="21"/>
      <c r="RCR38" s="21"/>
      <c r="RCS38" s="21"/>
      <c r="RCT38" s="21"/>
      <c r="RCU38" s="21"/>
      <c r="RCV38" s="21"/>
      <c r="RCW38" s="21"/>
      <c r="RCX38" s="21"/>
      <c r="RCY38" s="21"/>
      <c r="RCZ38" s="21"/>
      <c r="RDA38" s="21"/>
      <c r="RDB38" s="21"/>
      <c r="RDC38" s="21"/>
      <c r="RDD38" s="21"/>
      <c r="RDE38" s="21"/>
      <c r="RDF38" s="21"/>
      <c r="RDG38" s="21"/>
      <c r="RDH38" s="21"/>
      <c r="RDI38" s="21"/>
      <c r="RDJ38" s="21"/>
      <c r="RDK38" s="21"/>
      <c r="RDL38" s="21"/>
      <c r="RDM38" s="21"/>
      <c r="RDN38" s="21"/>
      <c r="RDO38" s="21"/>
      <c r="RDP38" s="21"/>
      <c r="RDQ38" s="21"/>
      <c r="RDR38" s="21"/>
      <c r="RDS38" s="21"/>
      <c r="RDT38" s="21"/>
      <c r="RDU38" s="21"/>
      <c r="RDV38" s="21"/>
      <c r="RDW38" s="21"/>
      <c r="RDX38" s="21"/>
      <c r="RDY38" s="21"/>
      <c r="RDZ38" s="21"/>
      <c r="REA38" s="21"/>
      <c r="REB38" s="21"/>
      <c r="REC38" s="21"/>
      <c r="RED38" s="21"/>
      <c r="REE38" s="21"/>
      <c r="REF38" s="21"/>
      <c r="REG38" s="21"/>
      <c r="REH38" s="21"/>
      <c r="REI38" s="21"/>
      <c r="REJ38" s="21"/>
      <c r="REK38" s="21"/>
      <c r="REL38" s="21"/>
      <c r="REM38" s="21"/>
      <c r="REN38" s="21"/>
      <c r="REO38" s="21"/>
      <c r="REP38" s="21"/>
      <c r="REQ38" s="21"/>
      <c r="RER38" s="21"/>
      <c r="RES38" s="21"/>
      <c r="RET38" s="21"/>
      <c r="REU38" s="21"/>
      <c r="REV38" s="21"/>
      <c r="REW38" s="21"/>
      <c r="REX38" s="21"/>
      <c r="REY38" s="21"/>
      <c r="REZ38" s="21"/>
      <c r="RFA38" s="21"/>
      <c r="RFB38" s="21"/>
      <c r="RFC38" s="21"/>
      <c r="RFD38" s="21"/>
      <c r="RFE38" s="21"/>
      <c r="RFF38" s="21"/>
      <c r="RFG38" s="21"/>
      <c r="RFH38" s="21"/>
      <c r="RFI38" s="21"/>
      <c r="RFJ38" s="21"/>
      <c r="RFK38" s="21"/>
      <c r="RFL38" s="21"/>
      <c r="RFM38" s="21"/>
      <c r="RFN38" s="21"/>
      <c r="RFO38" s="21"/>
      <c r="RFP38" s="21"/>
      <c r="RFQ38" s="21"/>
      <c r="RFR38" s="21"/>
      <c r="RFS38" s="21"/>
      <c r="RFT38" s="21"/>
      <c r="RFU38" s="21"/>
      <c r="RFV38" s="21"/>
      <c r="RFW38" s="21"/>
      <c r="RFX38" s="21"/>
      <c r="RFY38" s="21"/>
      <c r="RFZ38" s="21"/>
      <c r="RGA38" s="21"/>
      <c r="RGB38" s="21"/>
      <c r="RGC38" s="21"/>
      <c r="RGD38" s="21"/>
      <c r="RGE38" s="21"/>
      <c r="RGF38" s="21"/>
      <c r="RGG38" s="21"/>
      <c r="RGH38" s="21"/>
      <c r="RGI38" s="21"/>
      <c r="RGJ38" s="21"/>
      <c r="RGK38" s="21"/>
      <c r="RGL38" s="21"/>
      <c r="RGM38" s="21"/>
      <c r="RGN38" s="21"/>
      <c r="RGO38" s="21"/>
      <c r="RGP38" s="21"/>
      <c r="RGQ38" s="21"/>
      <c r="RGR38" s="21"/>
      <c r="RGS38" s="21"/>
      <c r="RGT38" s="21"/>
      <c r="RGU38" s="21"/>
      <c r="RGV38" s="21"/>
      <c r="RGW38" s="21"/>
      <c r="RGX38" s="21"/>
      <c r="RGY38" s="21"/>
      <c r="RGZ38" s="21"/>
      <c r="RHA38" s="21"/>
      <c r="RHB38" s="21"/>
      <c r="RHC38" s="21"/>
      <c r="RHD38" s="21"/>
      <c r="RHE38" s="21"/>
      <c r="RHF38" s="21"/>
      <c r="RHG38" s="21"/>
      <c r="RHH38" s="21"/>
      <c r="RHI38" s="21"/>
      <c r="RHJ38" s="21"/>
      <c r="RHK38" s="21"/>
      <c r="RHL38" s="21"/>
      <c r="RHM38" s="21"/>
      <c r="RHN38" s="21"/>
      <c r="RHO38" s="21"/>
      <c r="RHP38" s="21"/>
      <c r="RHQ38" s="21"/>
      <c r="RHR38" s="21"/>
      <c r="RHS38" s="21"/>
      <c r="RHT38" s="21"/>
      <c r="RHU38" s="21"/>
      <c r="RHV38" s="21"/>
      <c r="RHW38" s="21"/>
      <c r="RHX38" s="21"/>
      <c r="RHY38" s="21"/>
      <c r="RHZ38" s="21"/>
      <c r="RIA38" s="21"/>
      <c r="RIB38" s="21"/>
      <c r="RIC38" s="21"/>
      <c r="RID38" s="21"/>
      <c r="RIE38" s="21"/>
      <c r="RIF38" s="21"/>
      <c r="RIG38" s="21"/>
      <c r="RIH38" s="21"/>
      <c r="RII38" s="21"/>
      <c r="RIJ38" s="21"/>
      <c r="RIK38" s="21"/>
      <c r="RIL38" s="21"/>
      <c r="RIM38" s="21"/>
      <c r="RIN38" s="21"/>
      <c r="RIO38" s="21"/>
      <c r="RIP38" s="21"/>
      <c r="RIQ38" s="21"/>
      <c r="RIR38" s="21"/>
      <c r="RIS38" s="21"/>
      <c r="RIT38" s="21"/>
      <c r="RIU38" s="21"/>
      <c r="RIV38" s="21"/>
      <c r="RIW38" s="21"/>
      <c r="RIX38" s="21"/>
      <c r="RIY38" s="21"/>
      <c r="RIZ38" s="21"/>
      <c r="RJA38" s="21"/>
      <c r="RJB38" s="21"/>
      <c r="RJC38" s="21"/>
      <c r="RJD38" s="21"/>
      <c r="RJE38" s="21"/>
      <c r="RJF38" s="21"/>
      <c r="RJG38" s="21"/>
      <c r="RJH38" s="21"/>
      <c r="RJI38" s="21"/>
      <c r="RJJ38" s="21"/>
      <c r="RJK38" s="21"/>
      <c r="RJL38" s="21"/>
      <c r="RJM38" s="21"/>
      <c r="RJN38" s="21"/>
      <c r="RJO38" s="21"/>
      <c r="RJP38" s="21"/>
      <c r="RJQ38" s="21"/>
      <c r="RJR38" s="21"/>
      <c r="RJS38" s="21"/>
      <c r="RJT38" s="21"/>
      <c r="RJU38" s="21"/>
      <c r="RJV38" s="21"/>
      <c r="RJW38" s="21"/>
      <c r="RJX38" s="21"/>
      <c r="RJY38" s="21"/>
      <c r="RJZ38" s="21"/>
      <c r="RKA38" s="21"/>
      <c r="RKB38" s="21"/>
      <c r="RKC38" s="21"/>
      <c r="RKD38" s="21"/>
      <c r="RKE38" s="21"/>
      <c r="RKF38" s="21"/>
      <c r="RKG38" s="21"/>
      <c r="RKH38" s="21"/>
      <c r="RKI38" s="21"/>
      <c r="RKJ38" s="21"/>
      <c r="RKK38" s="21"/>
      <c r="RKL38" s="21"/>
      <c r="RKM38" s="21"/>
      <c r="RKN38" s="21"/>
      <c r="RKO38" s="21"/>
      <c r="RKP38" s="21"/>
      <c r="RKQ38" s="21"/>
      <c r="RKR38" s="21"/>
      <c r="RKS38" s="21"/>
      <c r="RKT38" s="21"/>
      <c r="RKU38" s="21"/>
      <c r="RKV38" s="21"/>
      <c r="RKW38" s="21"/>
      <c r="RKX38" s="21"/>
      <c r="RKY38" s="21"/>
      <c r="RKZ38" s="21"/>
      <c r="RLA38" s="21"/>
      <c r="RLB38" s="21"/>
      <c r="RLC38" s="21"/>
      <c r="RLD38" s="21"/>
      <c r="RLE38" s="21"/>
      <c r="RLF38" s="21"/>
      <c r="RLG38" s="21"/>
      <c r="RLH38" s="21"/>
      <c r="RLI38" s="21"/>
      <c r="RLJ38" s="21"/>
      <c r="RLK38" s="21"/>
      <c r="RLL38" s="21"/>
      <c r="RLM38" s="21"/>
      <c r="RLN38" s="21"/>
      <c r="RLO38" s="21"/>
      <c r="RLP38" s="21"/>
      <c r="RLQ38" s="21"/>
      <c r="RLR38" s="21"/>
      <c r="RLS38" s="21"/>
      <c r="RLT38" s="21"/>
      <c r="RLU38" s="21"/>
      <c r="RLV38" s="21"/>
      <c r="RLW38" s="21"/>
      <c r="RLX38" s="21"/>
      <c r="RLY38" s="21"/>
      <c r="RLZ38" s="21"/>
      <c r="RMA38" s="21"/>
      <c r="RMB38" s="21"/>
      <c r="RMC38" s="21"/>
      <c r="RMD38" s="21"/>
      <c r="RME38" s="21"/>
      <c r="RMF38" s="21"/>
      <c r="RMG38" s="21"/>
      <c r="RMH38" s="21"/>
      <c r="RMI38" s="21"/>
      <c r="RMJ38" s="21"/>
      <c r="RMK38" s="21"/>
      <c r="RML38" s="21"/>
      <c r="RMM38" s="21"/>
      <c r="RMN38" s="21"/>
      <c r="RMO38" s="21"/>
      <c r="RMP38" s="21"/>
      <c r="RMQ38" s="21"/>
      <c r="RMR38" s="21"/>
      <c r="RMS38" s="21"/>
      <c r="RMT38" s="21"/>
      <c r="RMU38" s="21"/>
      <c r="RMV38" s="21"/>
      <c r="RMW38" s="21"/>
      <c r="RMX38" s="21"/>
      <c r="RMY38" s="21"/>
      <c r="RMZ38" s="21"/>
      <c r="RNA38" s="21"/>
      <c r="RNB38" s="21"/>
      <c r="RNC38" s="21"/>
      <c r="RND38" s="21"/>
      <c r="RNE38" s="21"/>
      <c r="RNF38" s="21"/>
      <c r="RNG38" s="21"/>
      <c r="RNH38" s="21"/>
      <c r="RNI38" s="21"/>
      <c r="RNJ38" s="21"/>
      <c r="RNK38" s="21"/>
      <c r="RNL38" s="21"/>
      <c r="RNM38" s="21"/>
      <c r="RNN38" s="21"/>
      <c r="RNO38" s="21"/>
      <c r="RNP38" s="21"/>
      <c r="RNQ38" s="21"/>
      <c r="RNR38" s="21"/>
      <c r="RNS38" s="21"/>
      <c r="RNT38" s="21"/>
      <c r="RNU38" s="21"/>
      <c r="RNV38" s="21"/>
      <c r="RNW38" s="21"/>
      <c r="RNX38" s="21"/>
      <c r="RNY38" s="21"/>
      <c r="RNZ38" s="21"/>
      <c r="ROA38" s="21"/>
      <c r="ROB38" s="21"/>
      <c r="ROC38" s="21"/>
      <c r="ROD38" s="21"/>
      <c r="ROE38" s="21"/>
      <c r="ROF38" s="21"/>
      <c r="ROG38" s="21"/>
      <c r="ROH38" s="21"/>
      <c r="ROI38" s="21"/>
      <c r="ROJ38" s="21"/>
      <c r="ROK38" s="21"/>
      <c r="ROL38" s="21"/>
      <c r="ROM38" s="21"/>
      <c r="RON38" s="21"/>
      <c r="ROO38" s="21"/>
      <c r="ROP38" s="21"/>
      <c r="ROQ38" s="21"/>
      <c r="ROR38" s="21"/>
      <c r="ROS38" s="21"/>
      <c r="ROT38" s="21"/>
      <c r="ROU38" s="21"/>
      <c r="ROV38" s="21"/>
      <c r="ROW38" s="21"/>
      <c r="ROX38" s="21"/>
      <c r="ROY38" s="21"/>
      <c r="ROZ38" s="21"/>
      <c r="RPA38" s="21"/>
      <c r="RPB38" s="21"/>
      <c r="RPC38" s="21"/>
      <c r="RPD38" s="21"/>
      <c r="RPE38" s="21"/>
      <c r="RPF38" s="21"/>
      <c r="RPG38" s="21"/>
      <c r="RPH38" s="21"/>
      <c r="RPI38" s="21"/>
      <c r="RPJ38" s="21"/>
      <c r="RPK38" s="21"/>
      <c r="RPL38" s="21"/>
      <c r="RPM38" s="21"/>
      <c r="RPN38" s="21"/>
      <c r="RPO38" s="21"/>
      <c r="RPP38" s="21"/>
      <c r="RPQ38" s="21"/>
      <c r="RPR38" s="21"/>
      <c r="RPS38" s="21"/>
      <c r="RPT38" s="21"/>
      <c r="RPU38" s="21"/>
      <c r="RPV38" s="21"/>
      <c r="RPW38" s="21"/>
      <c r="RPX38" s="21"/>
      <c r="RPY38" s="21"/>
      <c r="RPZ38" s="21"/>
      <c r="RQA38" s="21"/>
      <c r="RQB38" s="21"/>
      <c r="RQC38" s="21"/>
      <c r="RQD38" s="21"/>
      <c r="RQE38" s="21"/>
      <c r="RQF38" s="21"/>
      <c r="RQG38" s="21"/>
      <c r="RQH38" s="21"/>
      <c r="RQI38" s="21"/>
      <c r="RQJ38" s="21"/>
      <c r="RQK38" s="21"/>
      <c r="RQL38" s="21"/>
      <c r="RQM38" s="21"/>
      <c r="RQN38" s="21"/>
      <c r="RQO38" s="21"/>
      <c r="RQP38" s="21"/>
      <c r="RQQ38" s="21"/>
      <c r="RQR38" s="21"/>
      <c r="RQS38" s="21"/>
      <c r="RQT38" s="21"/>
      <c r="RQU38" s="21"/>
      <c r="RQV38" s="21"/>
      <c r="RQW38" s="21"/>
      <c r="RQX38" s="21"/>
      <c r="RQY38" s="21"/>
      <c r="RQZ38" s="21"/>
      <c r="RRA38" s="21"/>
      <c r="RRB38" s="21"/>
      <c r="RRC38" s="21"/>
      <c r="RRD38" s="21"/>
      <c r="RRE38" s="21"/>
      <c r="RRF38" s="21"/>
      <c r="RRG38" s="21"/>
      <c r="RRH38" s="21"/>
      <c r="RRI38" s="21"/>
      <c r="RRJ38" s="21"/>
      <c r="RRK38" s="21"/>
      <c r="RRL38" s="21"/>
      <c r="RRM38" s="21"/>
      <c r="RRN38" s="21"/>
      <c r="RRO38" s="21"/>
      <c r="RRP38" s="21"/>
      <c r="RRQ38" s="21"/>
      <c r="RRR38" s="21"/>
      <c r="RRS38" s="21"/>
      <c r="RRT38" s="21"/>
      <c r="RRU38" s="21"/>
      <c r="RRV38" s="21"/>
      <c r="RRW38" s="21"/>
      <c r="RRX38" s="21"/>
      <c r="RRY38" s="21"/>
      <c r="RRZ38" s="21"/>
      <c r="RSA38" s="21"/>
      <c r="RSB38" s="21"/>
      <c r="RSC38" s="21"/>
      <c r="RSD38" s="21"/>
      <c r="RSE38" s="21"/>
      <c r="RSF38" s="21"/>
      <c r="RSG38" s="21"/>
      <c r="RSH38" s="21"/>
      <c r="RSI38" s="21"/>
      <c r="RSJ38" s="21"/>
      <c r="RSK38" s="21"/>
      <c r="RSL38" s="21"/>
      <c r="RSM38" s="21"/>
      <c r="RSN38" s="21"/>
      <c r="RSO38" s="21"/>
      <c r="RSP38" s="21"/>
      <c r="RSQ38" s="21"/>
      <c r="RSR38" s="21"/>
      <c r="RSS38" s="21"/>
      <c r="RST38" s="21"/>
      <c r="RSU38" s="21"/>
      <c r="RSV38" s="21"/>
      <c r="RSW38" s="21"/>
      <c r="RSX38" s="21"/>
      <c r="RSY38" s="21"/>
      <c r="RSZ38" s="21"/>
      <c r="RTA38" s="21"/>
      <c r="RTB38" s="21"/>
      <c r="RTC38" s="21"/>
      <c r="RTD38" s="21"/>
      <c r="RTE38" s="21"/>
      <c r="RTF38" s="21"/>
      <c r="RTG38" s="21"/>
      <c r="RTH38" s="21"/>
      <c r="RTI38" s="21"/>
      <c r="RTJ38" s="21"/>
      <c r="RTK38" s="21"/>
      <c r="RTL38" s="21"/>
      <c r="RTM38" s="21"/>
      <c r="RTN38" s="21"/>
      <c r="RTO38" s="21"/>
      <c r="RTP38" s="21"/>
      <c r="RTQ38" s="21"/>
      <c r="RTR38" s="21"/>
      <c r="RTS38" s="21"/>
      <c r="RTT38" s="21"/>
      <c r="RTU38" s="21"/>
      <c r="RTV38" s="21"/>
      <c r="RTW38" s="21"/>
      <c r="RTX38" s="21"/>
      <c r="RTY38" s="21"/>
      <c r="RTZ38" s="21"/>
      <c r="RUA38" s="21"/>
      <c r="RUB38" s="21"/>
      <c r="RUC38" s="21"/>
      <c r="RUD38" s="21"/>
      <c r="RUE38" s="21"/>
      <c r="RUF38" s="21"/>
      <c r="RUG38" s="21"/>
      <c r="RUH38" s="21"/>
      <c r="RUI38" s="21"/>
      <c r="RUJ38" s="21"/>
      <c r="RUK38" s="21"/>
      <c r="RUL38" s="21"/>
      <c r="RUM38" s="21"/>
      <c r="RUN38" s="21"/>
      <c r="RUO38" s="21"/>
      <c r="RUP38" s="21"/>
      <c r="RUQ38" s="21"/>
      <c r="RUR38" s="21"/>
      <c r="RUS38" s="21"/>
      <c r="RUT38" s="21"/>
      <c r="RUU38" s="21"/>
      <c r="RUV38" s="21"/>
      <c r="RUW38" s="21"/>
      <c r="RUX38" s="21"/>
      <c r="RUY38" s="21"/>
      <c r="RUZ38" s="21"/>
      <c r="RVA38" s="21"/>
      <c r="RVB38" s="21"/>
      <c r="RVC38" s="21"/>
      <c r="RVD38" s="21"/>
      <c r="RVE38" s="21"/>
      <c r="RVF38" s="21"/>
      <c r="RVG38" s="21"/>
      <c r="RVH38" s="21"/>
      <c r="RVI38" s="21"/>
      <c r="RVJ38" s="21"/>
      <c r="RVK38" s="21"/>
      <c r="RVL38" s="21"/>
      <c r="RVM38" s="21"/>
      <c r="RVN38" s="21"/>
      <c r="RVO38" s="21"/>
      <c r="RVP38" s="21"/>
      <c r="RVQ38" s="21"/>
      <c r="RVR38" s="21"/>
      <c r="RVS38" s="21"/>
      <c r="RVT38" s="21"/>
      <c r="RVU38" s="21"/>
      <c r="RVV38" s="21"/>
      <c r="RVW38" s="21"/>
      <c r="RVX38" s="21"/>
      <c r="RVY38" s="21"/>
      <c r="RVZ38" s="21"/>
      <c r="RWA38" s="21"/>
      <c r="RWB38" s="21"/>
      <c r="RWC38" s="21"/>
      <c r="RWD38" s="21"/>
      <c r="RWE38" s="21"/>
      <c r="RWF38" s="21"/>
      <c r="RWG38" s="21"/>
      <c r="RWH38" s="21"/>
      <c r="RWI38" s="21"/>
      <c r="RWJ38" s="21"/>
      <c r="RWK38" s="21"/>
      <c r="RWL38" s="21"/>
      <c r="RWM38" s="21"/>
      <c r="RWN38" s="21"/>
      <c r="RWO38" s="21"/>
      <c r="RWP38" s="21"/>
      <c r="RWQ38" s="21"/>
      <c r="RWR38" s="21"/>
      <c r="RWS38" s="21"/>
      <c r="RWT38" s="21"/>
      <c r="RWU38" s="21"/>
      <c r="RWV38" s="21"/>
      <c r="RWW38" s="21"/>
      <c r="RWX38" s="21"/>
      <c r="RWY38" s="21"/>
      <c r="RWZ38" s="21"/>
      <c r="RXA38" s="21"/>
      <c r="RXB38" s="21"/>
      <c r="RXC38" s="21"/>
      <c r="RXD38" s="21"/>
      <c r="RXE38" s="21"/>
      <c r="RXF38" s="21"/>
      <c r="RXG38" s="21"/>
      <c r="RXH38" s="21"/>
      <c r="RXI38" s="21"/>
      <c r="RXJ38" s="21"/>
      <c r="RXK38" s="21"/>
      <c r="RXL38" s="21"/>
      <c r="RXM38" s="21"/>
      <c r="RXN38" s="21"/>
      <c r="RXO38" s="21"/>
      <c r="RXP38" s="21"/>
      <c r="RXQ38" s="21"/>
      <c r="RXR38" s="21"/>
      <c r="RXS38" s="21"/>
      <c r="RXT38" s="21"/>
      <c r="RXU38" s="21"/>
      <c r="RXV38" s="21"/>
      <c r="RXW38" s="21"/>
      <c r="RXX38" s="21"/>
      <c r="RXY38" s="21"/>
      <c r="RXZ38" s="21"/>
      <c r="RYA38" s="21"/>
      <c r="RYB38" s="21"/>
      <c r="RYC38" s="21"/>
      <c r="RYD38" s="21"/>
      <c r="RYE38" s="21"/>
      <c r="RYF38" s="21"/>
      <c r="RYG38" s="21"/>
      <c r="RYH38" s="21"/>
      <c r="RYI38" s="21"/>
      <c r="RYJ38" s="21"/>
      <c r="RYK38" s="21"/>
      <c r="RYL38" s="21"/>
      <c r="RYM38" s="21"/>
      <c r="RYN38" s="21"/>
      <c r="RYO38" s="21"/>
      <c r="RYP38" s="21"/>
      <c r="RYQ38" s="21"/>
      <c r="RYR38" s="21"/>
      <c r="RYS38" s="21"/>
      <c r="RYT38" s="21"/>
      <c r="RYU38" s="21"/>
      <c r="RYV38" s="21"/>
      <c r="RYW38" s="21"/>
      <c r="RYX38" s="21"/>
      <c r="RYY38" s="21"/>
      <c r="RYZ38" s="21"/>
      <c r="RZA38" s="21"/>
      <c r="RZB38" s="21"/>
      <c r="RZC38" s="21"/>
      <c r="RZD38" s="21"/>
      <c r="RZE38" s="21"/>
      <c r="RZF38" s="21"/>
      <c r="RZG38" s="21"/>
      <c r="RZH38" s="21"/>
      <c r="RZI38" s="21"/>
      <c r="RZJ38" s="21"/>
      <c r="RZK38" s="21"/>
      <c r="RZL38" s="21"/>
      <c r="RZM38" s="21"/>
      <c r="RZN38" s="21"/>
      <c r="RZO38" s="21"/>
      <c r="RZP38" s="21"/>
      <c r="RZQ38" s="21"/>
      <c r="RZR38" s="21"/>
      <c r="RZS38" s="21"/>
      <c r="RZT38" s="21"/>
      <c r="RZU38" s="21"/>
      <c r="RZV38" s="21"/>
      <c r="RZW38" s="21"/>
      <c r="RZX38" s="21"/>
      <c r="RZY38" s="21"/>
      <c r="RZZ38" s="21"/>
      <c r="SAA38" s="21"/>
      <c r="SAB38" s="21"/>
      <c r="SAC38" s="21"/>
      <c r="SAD38" s="21"/>
      <c r="SAE38" s="21"/>
      <c r="SAF38" s="21"/>
      <c r="SAG38" s="21"/>
      <c r="SAH38" s="21"/>
      <c r="SAI38" s="21"/>
      <c r="SAJ38" s="21"/>
      <c r="SAK38" s="21"/>
      <c r="SAL38" s="21"/>
      <c r="SAM38" s="21"/>
      <c r="SAN38" s="21"/>
      <c r="SAO38" s="21"/>
      <c r="SAP38" s="21"/>
      <c r="SAQ38" s="21"/>
      <c r="SAR38" s="21"/>
      <c r="SAS38" s="21"/>
      <c r="SAT38" s="21"/>
      <c r="SAU38" s="21"/>
      <c r="SAV38" s="21"/>
      <c r="SAW38" s="21"/>
      <c r="SAX38" s="21"/>
      <c r="SAY38" s="21"/>
      <c r="SAZ38" s="21"/>
      <c r="SBA38" s="21"/>
      <c r="SBB38" s="21"/>
      <c r="SBC38" s="21"/>
      <c r="SBD38" s="21"/>
      <c r="SBE38" s="21"/>
      <c r="SBF38" s="21"/>
      <c r="SBG38" s="21"/>
      <c r="SBH38" s="21"/>
      <c r="SBI38" s="21"/>
      <c r="SBJ38" s="21"/>
      <c r="SBK38" s="21"/>
      <c r="SBL38" s="21"/>
      <c r="SBM38" s="21"/>
      <c r="SBN38" s="21"/>
      <c r="SBO38" s="21"/>
      <c r="SBP38" s="21"/>
      <c r="SBQ38" s="21"/>
      <c r="SBR38" s="21"/>
      <c r="SBS38" s="21"/>
      <c r="SBT38" s="21"/>
      <c r="SBU38" s="21"/>
      <c r="SBV38" s="21"/>
      <c r="SBW38" s="21"/>
      <c r="SBX38" s="21"/>
      <c r="SBY38" s="21"/>
      <c r="SBZ38" s="21"/>
      <c r="SCA38" s="21"/>
      <c r="SCB38" s="21"/>
      <c r="SCC38" s="21"/>
      <c r="SCD38" s="21"/>
      <c r="SCE38" s="21"/>
      <c r="SCF38" s="21"/>
      <c r="SCG38" s="21"/>
      <c r="SCH38" s="21"/>
      <c r="SCI38" s="21"/>
      <c r="SCJ38" s="21"/>
      <c r="SCK38" s="21"/>
      <c r="SCL38" s="21"/>
      <c r="SCM38" s="21"/>
      <c r="SCN38" s="21"/>
      <c r="SCO38" s="21"/>
      <c r="SCP38" s="21"/>
      <c r="SCQ38" s="21"/>
      <c r="SCR38" s="21"/>
      <c r="SCS38" s="21"/>
      <c r="SCT38" s="21"/>
      <c r="SCU38" s="21"/>
      <c r="SCV38" s="21"/>
      <c r="SCW38" s="21"/>
      <c r="SCX38" s="21"/>
      <c r="SCY38" s="21"/>
      <c r="SCZ38" s="21"/>
      <c r="SDA38" s="21"/>
      <c r="SDB38" s="21"/>
      <c r="SDC38" s="21"/>
      <c r="SDD38" s="21"/>
      <c r="SDE38" s="21"/>
      <c r="SDF38" s="21"/>
      <c r="SDG38" s="21"/>
      <c r="SDH38" s="21"/>
      <c r="SDI38" s="21"/>
      <c r="SDJ38" s="21"/>
      <c r="SDK38" s="21"/>
      <c r="SDL38" s="21"/>
      <c r="SDM38" s="21"/>
      <c r="SDN38" s="21"/>
      <c r="SDO38" s="21"/>
      <c r="SDP38" s="21"/>
      <c r="SDQ38" s="21"/>
      <c r="SDR38" s="21"/>
      <c r="SDS38" s="21"/>
      <c r="SDT38" s="21"/>
      <c r="SDU38" s="21"/>
      <c r="SDV38" s="21"/>
      <c r="SDW38" s="21"/>
      <c r="SDX38" s="21"/>
      <c r="SDY38" s="21"/>
      <c r="SDZ38" s="21"/>
      <c r="SEA38" s="21"/>
      <c r="SEB38" s="21"/>
      <c r="SEC38" s="21"/>
      <c r="SED38" s="21"/>
      <c r="SEE38" s="21"/>
      <c r="SEF38" s="21"/>
      <c r="SEG38" s="21"/>
      <c r="SEH38" s="21"/>
      <c r="SEI38" s="21"/>
      <c r="SEJ38" s="21"/>
      <c r="SEK38" s="21"/>
      <c r="SEL38" s="21"/>
      <c r="SEM38" s="21"/>
      <c r="SEN38" s="21"/>
      <c r="SEO38" s="21"/>
      <c r="SEP38" s="21"/>
      <c r="SEQ38" s="21"/>
      <c r="SER38" s="21"/>
      <c r="SES38" s="21"/>
      <c r="SET38" s="21"/>
      <c r="SEU38" s="21"/>
      <c r="SEV38" s="21"/>
      <c r="SEW38" s="21"/>
      <c r="SEX38" s="21"/>
      <c r="SEY38" s="21"/>
      <c r="SEZ38" s="21"/>
      <c r="SFA38" s="21"/>
      <c r="SFB38" s="21"/>
      <c r="SFC38" s="21"/>
      <c r="SFD38" s="21"/>
      <c r="SFE38" s="21"/>
      <c r="SFF38" s="21"/>
      <c r="SFG38" s="21"/>
      <c r="SFH38" s="21"/>
      <c r="SFI38" s="21"/>
      <c r="SFJ38" s="21"/>
      <c r="SFK38" s="21"/>
      <c r="SFL38" s="21"/>
      <c r="SFM38" s="21"/>
      <c r="SFN38" s="21"/>
      <c r="SFO38" s="21"/>
      <c r="SFP38" s="21"/>
      <c r="SFQ38" s="21"/>
      <c r="SFR38" s="21"/>
      <c r="SFS38" s="21"/>
      <c r="SFT38" s="21"/>
      <c r="SFU38" s="21"/>
      <c r="SFV38" s="21"/>
      <c r="SFW38" s="21"/>
      <c r="SFX38" s="21"/>
      <c r="SFY38" s="21"/>
      <c r="SFZ38" s="21"/>
      <c r="SGA38" s="21"/>
      <c r="SGB38" s="21"/>
      <c r="SGC38" s="21"/>
      <c r="SGD38" s="21"/>
      <c r="SGE38" s="21"/>
      <c r="SGF38" s="21"/>
      <c r="SGG38" s="21"/>
      <c r="SGH38" s="21"/>
      <c r="SGI38" s="21"/>
      <c r="SGJ38" s="21"/>
      <c r="SGK38" s="21"/>
      <c r="SGL38" s="21"/>
      <c r="SGM38" s="21"/>
      <c r="SGN38" s="21"/>
      <c r="SGO38" s="21"/>
      <c r="SGP38" s="21"/>
      <c r="SGQ38" s="21"/>
      <c r="SGR38" s="21"/>
      <c r="SGS38" s="21"/>
      <c r="SGT38" s="21"/>
      <c r="SGU38" s="21"/>
      <c r="SGV38" s="21"/>
      <c r="SGW38" s="21"/>
      <c r="SGX38" s="21"/>
      <c r="SGY38" s="21"/>
      <c r="SGZ38" s="21"/>
      <c r="SHA38" s="21"/>
      <c r="SHB38" s="21"/>
      <c r="SHC38" s="21"/>
      <c r="SHD38" s="21"/>
      <c r="SHE38" s="21"/>
      <c r="SHF38" s="21"/>
      <c r="SHG38" s="21"/>
      <c r="SHH38" s="21"/>
      <c r="SHI38" s="21"/>
      <c r="SHJ38" s="21"/>
      <c r="SHK38" s="21"/>
      <c r="SHL38" s="21"/>
      <c r="SHM38" s="21"/>
      <c r="SHN38" s="21"/>
      <c r="SHO38" s="21"/>
      <c r="SHP38" s="21"/>
      <c r="SHQ38" s="21"/>
      <c r="SHR38" s="21"/>
      <c r="SHS38" s="21"/>
      <c r="SHT38" s="21"/>
      <c r="SHU38" s="21"/>
      <c r="SHV38" s="21"/>
      <c r="SHW38" s="21"/>
      <c r="SHX38" s="21"/>
      <c r="SHY38" s="21"/>
      <c r="SHZ38" s="21"/>
      <c r="SIA38" s="21"/>
      <c r="SIB38" s="21"/>
      <c r="SIC38" s="21"/>
      <c r="SID38" s="21"/>
      <c r="SIE38" s="21"/>
      <c r="SIF38" s="21"/>
      <c r="SIG38" s="21"/>
      <c r="SIH38" s="21"/>
      <c r="SII38" s="21"/>
      <c r="SIJ38" s="21"/>
      <c r="SIK38" s="21"/>
      <c r="SIL38" s="21"/>
      <c r="SIM38" s="21"/>
      <c r="SIN38" s="21"/>
      <c r="SIO38" s="21"/>
      <c r="SIP38" s="21"/>
      <c r="SIQ38" s="21"/>
      <c r="SIR38" s="21"/>
      <c r="SIS38" s="21"/>
      <c r="SIT38" s="21"/>
      <c r="SIU38" s="21"/>
      <c r="SIV38" s="21"/>
      <c r="SIW38" s="21"/>
      <c r="SIX38" s="21"/>
      <c r="SIY38" s="21"/>
      <c r="SIZ38" s="21"/>
      <c r="SJA38" s="21"/>
      <c r="SJB38" s="21"/>
      <c r="SJC38" s="21"/>
      <c r="SJD38" s="21"/>
      <c r="SJE38" s="21"/>
      <c r="SJF38" s="21"/>
      <c r="SJG38" s="21"/>
      <c r="SJH38" s="21"/>
      <c r="SJI38" s="21"/>
      <c r="SJJ38" s="21"/>
      <c r="SJK38" s="21"/>
      <c r="SJL38" s="21"/>
      <c r="SJM38" s="21"/>
      <c r="SJN38" s="21"/>
      <c r="SJO38" s="21"/>
      <c r="SJP38" s="21"/>
      <c r="SJQ38" s="21"/>
      <c r="SJR38" s="21"/>
      <c r="SJS38" s="21"/>
      <c r="SJT38" s="21"/>
      <c r="SJU38" s="21"/>
      <c r="SJV38" s="21"/>
      <c r="SJW38" s="21"/>
      <c r="SJX38" s="21"/>
      <c r="SJY38" s="21"/>
      <c r="SJZ38" s="21"/>
      <c r="SKA38" s="21"/>
      <c r="SKB38" s="21"/>
      <c r="SKC38" s="21"/>
      <c r="SKD38" s="21"/>
      <c r="SKE38" s="21"/>
      <c r="SKF38" s="21"/>
      <c r="SKG38" s="21"/>
      <c r="SKH38" s="21"/>
      <c r="SKI38" s="21"/>
      <c r="SKJ38" s="21"/>
      <c r="SKK38" s="21"/>
      <c r="SKL38" s="21"/>
      <c r="SKM38" s="21"/>
      <c r="SKN38" s="21"/>
      <c r="SKO38" s="21"/>
      <c r="SKP38" s="21"/>
      <c r="SKQ38" s="21"/>
      <c r="SKR38" s="21"/>
      <c r="SKS38" s="21"/>
      <c r="SKT38" s="21"/>
      <c r="SKU38" s="21"/>
      <c r="SKV38" s="21"/>
      <c r="SKW38" s="21"/>
      <c r="SKX38" s="21"/>
      <c r="SKY38" s="21"/>
      <c r="SKZ38" s="21"/>
      <c r="SLA38" s="21"/>
      <c r="SLB38" s="21"/>
      <c r="SLC38" s="21"/>
      <c r="SLD38" s="21"/>
      <c r="SLE38" s="21"/>
      <c r="SLF38" s="21"/>
      <c r="SLG38" s="21"/>
      <c r="SLH38" s="21"/>
      <c r="SLI38" s="21"/>
      <c r="SLJ38" s="21"/>
      <c r="SLK38" s="21"/>
      <c r="SLL38" s="21"/>
      <c r="SLM38" s="21"/>
      <c r="SLN38" s="21"/>
      <c r="SLO38" s="21"/>
      <c r="SLP38" s="21"/>
      <c r="SLQ38" s="21"/>
      <c r="SLR38" s="21"/>
      <c r="SLS38" s="21"/>
      <c r="SLT38" s="21"/>
      <c r="SLU38" s="21"/>
      <c r="SLV38" s="21"/>
      <c r="SLW38" s="21"/>
      <c r="SLX38" s="21"/>
      <c r="SLY38" s="21"/>
      <c r="SLZ38" s="21"/>
      <c r="SMA38" s="21"/>
      <c r="SMB38" s="21"/>
      <c r="SMC38" s="21"/>
      <c r="SMD38" s="21"/>
      <c r="SME38" s="21"/>
      <c r="SMF38" s="21"/>
      <c r="SMG38" s="21"/>
      <c r="SMH38" s="21"/>
      <c r="SMI38" s="21"/>
      <c r="SMJ38" s="21"/>
      <c r="SMK38" s="21"/>
      <c r="SML38" s="21"/>
      <c r="SMM38" s="21"/>
      <c r="SMN38" s="21"/>
      <c r="SMO38" s="21"/>
      <c r="SMP38" s="21"/>
      <c r="SMQ38" s="21"/>
      <c r="SMR38" s="21"/>
      <c r="SMS38" s="21"/>
      <c r="SMT38" s="21"/>
      <c r="SMU38" s="21"/>
      <c r="SMV38" s="21"/>
      <c r="SMW38" s="21"/>
      <c r="SMX38" s="21"/>
      <c r="SMY38" s="21"/>
      <c r="SMZ38" s="21"/>
      <c r="SNA38" s="21"/>
      <c r="SNB38" s="21"/>
      <c r="SNC38" s="21"/>
      <c r="SND38" s="21"/>
      <c r="SNE38" s="21"/>
      <c r="SNF38" s="21"/>
      <c r="SNG38" s="21"/>
      <c r="SNH38" s="21"/>
      <c r="SNI38" s="21"/>
      <c r="SNJ38" s="21"/>
      <c r="SNK38" s="21"/>
      <c r="SNL38" s="21"/>
      <c r="SNM38" s="21"/>
      <c r="SNN38" s="21"/>
      <c r="SNO38" s="21"/>
      <c r="SNP38" s="21"/>
      <c r="SNQ38" s="21"/>
      <c r="SNR38" s="21"/>
      <c r="SNS38" s="21"/>
      <c r="SNT38" s="21"/>
      <c r="SNU38" s="21"/>
      <c r="SNV38" s="21"/>
      <c r="SNW38" s="21"/>
      <c r="SNX38" s="21"/>
      <c r="SNY38" s="21"/>
      <c r="SNZ38" s="21"/>
      <c r="SOA38" s="21"/>
      <c r="SOB38" s="21"/>
      <c r="SOC38" s="21"/>
      <c r="SOD38" s="21"/>
      <c r="SOE38" s="21"/>
      <c r="SOF38" s="21"/>
      <c r="SOG38" s="21"/>
      <c r="SOH38" s="21"/>
      <c r="SOI38" s="21"/>
      <c r="SOJ38" s="21"/>
      <c r="SOK38" s="21"/>
      <c r="SOL38" s="21"/>
      <c r="SOM38" s="21"/>
      <c r="SON38" s="21"/>
      <c r="SOO38" s="21"/>
      <c r="SOP38" s="21"/>
      <c r="SOQ38" s="21"/>
      <c r="SOR38" s="21"/>
      <c r="SOS38" s="21"/>
      <c r="SOT38" s="21"/>
      <c r="SOU38" s="21"/>
      <c r="SOV38" s="21"/>
      <c r="SOW38" s="21"/>
      <c r="SOX38" s="21"/>
      <c r="SOY38" s="21"/>
      <c r="SOZ38" s="21"/>
      <c r="SPA38" s="21"/>
      <c r="SPB38" s="21"/>
      <c r="SPC38" s="21"/>
      <c r="SPD38" s="21"/>
      <c r="SPE38" s="21"/>
      <c r="SPF38" s="21"/>
      <c r="SPG38" s="21"/>
      <c r="SPH38" s="21"/>
      <c r="SPI38" s="21"/>
      <c r="SPJ38" s="21"/>
      <c r="SPK38" s="21"/>
      <c r="SPL38" s="21"/>
      <c r="SPM38" s="21"/>
      <c r="SPN38" s="21"/>
      <c r="SPO38" s="21"/>
      <c r="SPP38" s="21"/>
      <c r="SPQ38" s="21"/>
      <c r="SPR38" s="21"/>
      <c r="SPS38" s="21"/>
      <c r="SPT38" s="21"/>
      <c r="SPU38" s="21"/>
      <c r="SPV38" s="21"/>
      <c r="SPW38" s="21"/>
      <c r="SPX38" s="21"/>
      <c r="SPY38" s="21"/>
      <c r="SPZ38" s="21"/>
      <c r="SQA38" s="21"/>
      <c r="SQB38" s="21"/>
      <c r="SQC38" s="21"/>
      <c r="SQD38" s="21"/>
      <c r="SQE38" s="21"/>
      <c r="SQF38" s="21"/>
      <c r="SQG38" s="21"/>
      <c r="SQH38" s="21"/>
      <c r="SQI38" s="21"/>
      <c r="SQJ38" s="21"/>
      <c r="SQK38" s="21"/>
      <c r="SQL38" s="21"/>
      <c r="SQM38" s="21"/>
      <c r="SQN38" s="21"/>
      <c r="SQO38" s="21"/>
      <c r="SQP38" s="21"/>
      <c r="SQQ38" s="21"/>
      <c r="SQR38" s="21"/>
      <c r="SQS38" s="21"/>
      <c r="SQT38" s="21"/>
      <c r="SQU38" s="21"/>
      <c r="SQV38" s="21"/>
      <c r="SQW38" s="21"/>
      <c r="SQX38" s="21"/>
      <c r="SQY38" s="21"/>
      <c r="SQZ38" s="21"/>
      <c r="SRA38" s="21"/>
      <c r="SRB38" s="21"/>
      <c r="SRC38" s="21"/>
      <c r="SRD38" s="21"/>
      <c r="SRE38" s="21"/>
      <c r="SRF38" s="21"/>
      <c r="SRG38" s="21"/>
      <c r="SRH38" s="21"/>
      <c r="SRI38" s="21"/>
      <c r="SRJ38" s="21"/>
      <c r="SRK38" s="21"/>
      <c r="SRL38" s="21"/>
      <c r="SRM38" s="21"/>
      <c r="SRN38" s="21"/>
      <c r="SRO38" s="21"/>
      <c r="SRP38" s="21"/>
      <c r="SRQ38" s="21"/>
      <c r="SRR38" s="21"/>
      <c r="SRS38" s="21"/>
      <c r="SRT38" s="21"/>
      <c r="SRU38" s="21"/>
      <c r="SRV38" s="21"/>
      <c r="SRW38" s="21"/>
      <c r="SRX38" s="21"/>
      <c r="SRY38" s="21"/>
      <c r="SRZ38" s="21"/>
      <c r="SSA38" s="21"/>
      <c r="SSB38" s="21"/>
      <c r="SSC38" s="21"/>
      <c r="SSD38" s="21"/>
      <c r="SSE38" s="21"/>
      <c r="SSF38" s="21"/>
      <c r="SSG38" s="21"/>
      <c r="SSH38" s="21"/>
      <c r="SSI38" s="21"/>
      <c r="SSJ38" s="21"/>
      <c r="SSK38" s="21"/>
      <c r="SSL38" s="21"/>
      <c r="SSM38" s="21"/>
      <c r="SSN38" s="21"/>
      <c r="SSO38" s="21"/>
      <c r="SSP38" s="21"/>
      <c r="SSQ38" s="21"/>
      <c r="SSR38" s="21"/>
      <c r="SSS38" s="21"/>
      <c r="SST38" s="21"/>
      <c r="SSU38" s="21"/>
      <c r="SSV38" s="21"/>
      <c r="SSW38" s="21"/>
      <c r="SSX38" s="21"/>
      <c r="SSY38" s="21"/>
      <c r="SSZ38" s="21"/>
      <c r="STA38" s="21"/>
      <c r="STB38" s="21"/>
      <c r="STC38" s="21"/>
      <c r="STD38" s="21"/>
      <c r="STE38" s="21"/>
      <c r="STF38" s="21"/>
      <c r="STG38" s="21"/>
      <c r="STH38" s="21"/>
      <c r="STI38" s="21"/>
      <c r="STJ38" s="21"/>
      <c r="STK38" s="21"/>
      <c r="STL38" s="21"/>
      <c r="STM38" s="21"/>
      <c r="STN38" s="21"/>
      <c r="STO38" s="21"/>
      <c r="STP38" s="21"/>
      <c r="STQ38" s="21"/>
      <c r="STR38" s="21"/>
      <c r="STS38" s="21"/>
      <c r="STT38" s="21"/>
      <c r="STU38" s="21"/>
      <c r="STV38" s="21"/>
      <c r="STW38" s="21"/>
      <c r="STX38" s="21"/>
      <c r="STY38" s="21"/>
      <c r="STZ38" s="21"/>
      <c r="SUA38" s="21"/>
      <c r="SUB38" s="21"/>
      <c r="SUC38" s="21"/>
      <c r="SUD38" s="21"/>
      <c r="SUE38" s="21"/>
      <c r="SUF38" s="21"/>
      <c r="SUG38" s="21"/>
      <c r="SUH38" s="21"/>
      <c r="SUI38" s="21"/>
      <c r="SUJ38" s="21"/>
      <c r="SUK38" s="21"/>
      <c r="SUL38" s="21"/>
      <c r="SUM38" s="21"/>
      <c r="SUN38" s="21"/>
      <c r="SUO38" s="21"/>
      <c r="SUP38" s="21"/>
      <c r="SUQ38" s="21"/>
      <c r="SUR38" s="21"/>
      <c r="SUS38" s="21"/>
      <c r="SUT38" s="21"/>
      <c r="SUU38" s="21"/>
      <c r="SUV38" s="21"/>
      <c r="SUW38" s="21"/>
      <c r="SUX38" s="21"/>
      <c r="SUY38" s="21"/>
      <c r="SUZ38" s="21"/>
      <c r="SVA38" s="21"/>
      <c r="SVB38" s="21"/>
      <c r="SVC38" s="21"/>
      <c r="SVD38" s="21"/>
      <c r="SVE38" s="21"/>
      <c r="SVF38" s="21"/>
      <c r="SVG38" s="21"/>
      <c r="SVH38" s="21"/>
      <c r="SVI38" s="21"/>
      <c r="SVJ38" s="21"/>
      <c r="SVK38" s="21"/>
      <c r="SVL38" s="21"/>
      <c r="SVM38" s="21"/>
      <c r="SVN38" s="21"/>
      <c r="SVO38" s="21"/>
      <c r="SVP38" s="21"/>
      <c r="SVQ38" s="21"/>
      <c r="SVR38" s="21"/>
      <c r="SVS38" s="21"/>
      <c r="SVT38" s="21"/>
      <c r="SVU38" s="21"/>
      <c r="SVV38" s="21"/>
      <c r="SVW38" s="21"/>
      <c r="SVX38" s="21"/>
      <c r="SVY38" s="21"/>
      <c r="SVZ38" s="21"/>
      <c r="SWA38" s="21"/>
      <c r="SWB38" s="21"/>
      <c r="SWC38" s="21"/>
      <c r="SWD38" s="21"/>
      <c r="SWE38" s="21"/>
      <c r="SWF38" s="21"/>
      <c r="SWG38" s="21"/>
      <c r="SWH38" s="21"/>
      <c r="SWI38" s="21"/>
      <c r="SWJ38" s="21"/>
      <c r="SWK38" s="21"/>
      <c r="SWL38" s="21"/>
      <c r="SWM38" s="21"/>
      <c r="SWN38" s="21"/>
      <c r="SWO38" s="21"/>
      <c r="SWP38" s="21"/>
      <c r="SWQ38" s="21"/>
      <c r="SWR38" s="21"/>
      <c r="SWS38" s="21"/>
      <c r="SWT38" s="21"/>
      <c r="SWU38" s="21"/>
      <c r="SWV38" s="21"/>
      <c r="SWW38" s="21"/>
      <c r="SWX38" s="21"/>
      <c r="SWY38" s="21"/>
      <c r="SWZ38" s="21"/>
      <c r="SXA38" s="21"/>
      <c r="SXB38" s="21"/>
      <c r="SXC38" s="21"/>
      <c r="SXD38" s="21"/>
      <c r="SXE38" s="21"/>
      <c r="SXF38" s="21"/>
      <c r="SXG38" s="21"/>
      <c r="SXH38" s="21"/>
      <c r="SXI38" s="21"/>
      <c r="SXJ38" s="21"/>
      <c r="SXK38" s="21"/>
      <c r="SXL38" s="21"/>
      <c r="SXM38" s="21"/>
      <c r="SXN38" s="21"/>
      <c r="SXO38" s="21"/>
      <c r="SXP38" s="21"/>
      <c r="SXQ38" s="21"/>
      <c r="SXR38" s="21"/>
      <c r="SXS38" s="21"/>
      <c r="SXT38" s="21"/>
      <c r="SXU38" s="21"/>
      <c r="SXV38" s="21"/>
      <c r="SXW38" s="21"/>
      <c r="SXX38" s="21"/>
      <c r="SXY38" s="21"/>
      <c r="SXZ38" s="21"/>
      <c r="SYA38" s="21"/>
      <c r="SYB38" s="21"/>
      <c r="SYC38" s="21"/>
      <c r="SYD38" s="21"/>
      <c r="SYE38" s="21"/>
      <c r="SYF38" s="21"/>
      <c r="SYG38" s="21"/>
      <c r="SYH38" s="21"/>
      <c r="SYI38" s="21"/>
      <c r="SYJ38" s="21"/>
      <c r="SYK38" s="21"/>
      <c r="SYL38" s="21"/>
      <c r="SYM38" s="21"/>
      <c r="SYN38" s="21"/>
      <c r="SYO38" s="21"/>
      <c r="SYP38" s="21"/>
      <c r="SYQ38" s="21"/>
      <c r="SYR38" s="21"/>
      <c r="SYS38" s="21"/>
      <c r="SYT38" s="21"/>
      <c r="SYU38" s="21"/>
      <c r="SYV38" s="21"/>
      <c r="SYW38" s="21"/>
      <c r="SYX38" s="21"/>
      <c r="SYY38" s="21"/>
      <c r="SYZ38" s="21"/>
      <c r="SZA38" s="21"/>
      <c r="SZB38" s="21"/>
      <c r="SZC38" s="21"/>
      <c r="SZD38" s="21"/>
      <c r="SZE38" s="21"/>
      <c r="SZF38" s="21"/>
      <c r="SZG38" s="21"/>
      <c r="SZH38" s="21"/>
      <c r="SZI38" s="21"/>
      <c r="SZJ38" s="21"/>
      <c r="SZK38" s="21"/>
      <c r="SZL38" s="21"/>
      <c r="SZM38" s="21"/>
      <c r="SZN38" s="21"/>
      <c r="SZO38" s="21"/>
      <c r="SZP38" s="21"/>
      <c r="SZQ38" s="21"/>
      <c r="SZR38" s="21"/>
      <c r="SZS38" s="21"/>
      <c r="SZT38" s="21"/>
      <c r="SZU38" s="21"/>
      <c r="SZV38" s="21"/>
      <c r="SZW38" s="21"/>
      <c r="SZX38" s="21"/>
      <c r="SZY38" s="21"/>
      <c r="SZZ38" s="21"/>
      <c r="TAA38" s="21"/>
      <c r="TAB38" s="21"/>
      <c r="TAC38" s="21"/>
      <c r="TAD38" s="21"/>
      <c r="TAE38" s="21"/>
      <c r="TAF38" s="21"/>
      <c r="TAG38" s="21"/>
      <c r="TAH38" s="21"/>
      <c r="TAI38" s="21"/>
      <c r="TAJ38" s="21"/>
      <c r="TAK38" s="21"/>
      <c r="TAL38" s="21"/>
      <c r="TAM38" s="21"/>
      <c r="TAN38" s="21"/>
      <c r="TAO38" s="21"/>
      <c r="TAP38" s="21"/>
      <c r="TAQ38" s="21"/>
      <c r="TAR38" s="21"/>
      <c r="TAS38" s="21"/>
      <c r="TAT38" s="21"/>
      <c r="TAU38" s="21"/>
      <c r="TAV38" s="21"/>
      <c r="TAW38" s="21"/>
      <c r="TAX38" s="21"/>
      <c r="TAY38" s="21"/>
      <c r="TAZ38" s="21"/>
      <c r="TBA38" s="21"/>
      <c r="TBB38" s="21"/>
      <c r="TBC38" s="21"/>
      <c r="TBD38" s="21"/>
      <c r="TBE38" s="21"/>
      <c r="TBF38" s="21"/>
      <c r="TBG38" s="21"/>
      <c r="TBH38" s="21"/>
      <c r="TBI38" s="21"/>
      <c r="TBJ38" s="21"/>
      <c r="TBK38" s="21"/>
      <c r="TBL38" s="21"/>
      <c r="TBM38" s="21"/>
      <c r="TBN38" s="21"/>
      <c r="TBO38" s="21"/>
      <c r="TBP38" s="21"/>
      <c r="TBQ38" s="21"/>
      <c r="TBR38" s="21"/>
      <c r="TBS38" s="21"/>
      <c r="TBT38" s="21"/>
      <c r="TBU38" s="21"/>
      <c r="TBV38" s="21"/>
      <c r="TBW38" s="21"/>
      <c r="TBX38" s="21"/>
      <c r="TBY38" s="21"/>
      <c r="TBZ38" s="21"/>
      <c r="TCA38" s="21"/>
      <c r="TCB38" s="21"/>
      <c r="TCC38" s="21"/>
      <c r="TCD38" s="21"/>
      <c r="TCE38" s="21"/>
      <c r="TCF38" s="21"/>
      <c r="TCG38" s="21"/>
      <c r="TCH38" s="21"/>
      <c r="TCI38" s="21"/>
      <c r="TCJ38" s="21"/>
      <c r="TCK38" s="21"/>
      <c r="TCL38" s="21"/>
      <c r="TCM38" s="21"/>
      <c r="TCN38" s="21"/>
      <c r="TCO38" s="21"/>
      <c r="TCP38" s="21"/>
      <c r="TCQ38" s="21"/>
      <c r="TCR38" s="21"/>
      <c r="TCS38" s="21"/>
      <c r="TCT38" s="21"/>
      <c r="TCU38" s="21"/>
      <c r="TCV38" s="21"/>
      <c r="TCW38" s="21"/>
      <c r="TCX38" s="21"/>
      <c r="TCY38" s="21"/>
      <c r="TCZ38" s="21"/>
      <c r="TDA38" s="21"/>
      <c r="TDB38" s="21"/>
      <c r="TDC38" s="21"/>
      <c r="TDD38" s="21"/>
      <c r="TDE38" s="21"/>
      <c r="TDF38" s="21"/>
      <c r="TDG38" s="21"/>
      <c r="TDH38" s="21"/>
      <c r="TDI38" s="21"/>
      <c r="TDJ38" s="21"/>
      <c r="TDK38" s="21"/>
      <c r="TDL38" s="21"/>
      <c r="TDM38" s="21"/>
      <c r="TDN38" s="21"/>
      <c r="TDO38" s="21"/>
      <c r="TDP38" s="21"/>
      <c r="TDQ38" s="21"/>
      <c r="TDR38" s="21"/>
      <c r="TDS38" s="21"/>
      <c r="TDT38" s="21"/>
      <c r="TDU38" s="21"/>
      <c r="TDV38" s="21"/>
      <c r="TDW38" s="21"/>
      <c r="TDX38" s="21"/>
      <c r="TDY38" s="21"/>
      <c r="TDZ38" s="21"/>
      <c r="TEA38" s="21"/>
      <c r="TEB38" s="21"/>
      <c r="TEC38" s="21"/>
      <c r="TED38" s="21"/>
      <c r="TEE38" s="21"/>
      <c r="TEF38" s="21"/>
      <c r="TEG38" s="21"/>
      <c r="TEH38" s="21"/>
      <c r="TEI38" s="21"/>
      <c r="TEJ38" s="21"/>
      <c r="TEK38" s="21"/>
      <c r="TEL38" s="21"/>
      <c r="TEM38" s="21"/>
      <c r="TEN38" s="21"/>
      <c r="TEO38" s="21"/>
      <c r="TEP38" s="21"/>
      <c r="TEQ38" s="21"/>
      <c r="TER38" s="21"/>
      <c r="TES38" s="21"/>
      <c r="TET38" s="21"/>
      <c r="TEU38" s="21"/>
      <c r="TEV38" s="21"/>
      <c r="TEW38" s="21"/>
      <c r="TEX38" s="21"/>
      <c r="TEY38" s="21"/>
      <c r="TEZ38" s="21"/>
      <c r="TFA38" s="21"/>
      <c r="TFB38" s="21"/>
      <c r="TFC38" s="21"/>
      <c r="TFD38" s="21"/>
      <c r="TFE38" s="21"/>
      <c r="TFF38" s="21"/>
      <c r="TFG38" s="21"/>
      <c r="TFH38" s="21"/>
      <c r="TFI38" s="21"/>
      <c r="TFJ38" s="21"/>
      <c r="TFK38" s="21"/>
      <c r="TFL38" s="21"/>
      <c r="TFM38" s="21"/>
      <c r="TFN38" s="21"/>
      <c r="TFO38" s="21"/>
      <c r="TFP38" s="21"/>
      <c r="TFQ38" s="21"/>
      <c r="TFR38" s="21"/>
      <c r="TFS38" s="21"/>
      <c r="TFT38" s="21"/>
      <c r="TFU38" s="21"/>
      <c r="TFV38" s="21"/>
      <c r="TFW38" s="21"/>
      <c r="TFX38" s="21"/>
      <c r="TFY38" s="21"/>
      <c r="TFZ38" s="21"/>
      <c r="TGA38" s="21"/>
      <c r="TGB38" s="21"/>
      <c r="TGC38" s="21"/>
      <c r="TGD38" s="21"/>
      <c r="TGE38" s="21"/>
      <c r="TGF38" s="21"/>
      <c r="TGG38" s="21"/>
      <c r="TGH38" s="21"/>
      <c r="TGI38" s="21"/>
      <c r="TGJ38" s="21"/>
      <c r="TGK38" s="21"/>
      <c r="TGL38" s="21"/>
      <c r="TGM38" s="21"/>
      <c r="TGN38" s="21"/>
      <c r="TGO38" s="21"/>
      <c r="TGP38" s="21"/>
      <c r="TGQ38" s="21"/>
      <c r="TGR38" s="21"/>
      <c r="TGS38" s="21"/>
      <c r="TGT38" s="21"/>
      <c r="TGU38" s="21"/>
      <c r="TGV38" s="21"/>
      <c r="TGW38" s="21"/>
      <c r="TGX38" s="21"/>
      <c r="TGY38" s="21"/>
      <c r="TGZ38" s="21"/>
      <c r="THA38" s="21"/>
      <c r="THB38" s="21"/>
      <c r="THC38" s="21"/>
      <c r="THD38" s="21"/>
      <c r="THE38" s="21"/>
      <c r="THF38" s="21"/>
      <c r="THG38" s="21"/>
      <c r="THH38" s="21"/>
      <c r="THI38" s="21"/>
      <c r="THJ38" s="21"/>
      <c r="THK38" s="21"/>
      <c r="THL38" s="21"/>
      <c r="THM38" s="21"/>
      <c r="THN38" s="21"/>
      <c r="THO38" s="21"/>
      <c r="THP38" s="21"/>
      <c r="THQ38" s="21"/>
      <c r="THR38" s="21"/>
      <c r="THS38" s="21"/>
      <c r="THT38" s="21"/>
      <c r="THU38" s="21"/>
      <c r="THV38" s="21"/>
      <c r="THW38" s="21"/>
      <c r="THX38" s="21"/>
      <c r="THY38" s="21"/>
      <c r="THZ38" s="21"/>
      <c r="TIA38" s="21"/>
      <c r="TIB38" s="21"/>
      <c r="TIC38" s="21"/>
      <c r="TID38" s="21"/>
      <c r="TIE38" s="21"/>
      <c r="TIF38" s="21"/>
      <c r="TIG38" s="21"/>
      <c r="TIH38" s="21"/>
      <c r="TII38" s="21"/>
      <c r="TIJ38" s="21"/>
      <c r="TIK38" s="21"/>
      <c r="TIL38" s="21"/>
      <c r="TIM38" s="21"/>
      <c r="TIN38" s="21"/>
      <c r="TIO38" s="21"/>
      <c r="TIP38" s="21"/>
      <c r="TIQ38" s="21"/>
      <c r="TIR38" s="21"/>
      <c r="TIS38" s="21"/>
      <c r="TIT38" s="21"/>
      <c r="TIU38" s="21"/>
      <c r="TIV38" s="21"/>
      <c r="TIW38" s="21"/>
      <c r="TIX38" s="21"/>
      <c r="TIY38" s="21"/>
      <c r="TIZ38" s="21"/>
      <c r="TJA38" s="21"/>
      <c r="TJB38" s="21"/>
      <c r="TJC38" s="21"/>
      <c r="TJD38" s="21"/>
      <c r="TJE38" s="21"/>
      <c r="TJF38" s="21"/>
      <c r="TJG38" s="21"/>
      <c r="TJH38" s="21"/>
      <c r="TJI38" s="21"/>
      <c r="TJJ38" s="21"/>
      <c r="TJK38" s="21"/>
      <c r="TJL38" s="21"/>
      <c r="TJM38" s="21"/>
      <c r="TJN38" s="21"/>
      <c r="TJO38" s="21"/>
      <c r="TJP38" s="21"/>
      <c r="TJQ38" s="21"/>
      <c r="TJR38" s="21"/>
      <c r="TJS38" s="21"/>
      <c r="TJT38" s="21"/>
      <c r="TJU38" s="21"/>
      <c r="TJV38" s="21"/>
      <c r="TJW38" s="21"/>
      <c r="TJX38" s="21"/>
      <c r="TJY38" s="21"/>
      <c r="TJZ38" s="21"/>
      <c r="TKA38" s="21"/>
      <c r="TKB38" s="21"/>
      <c r="TKC38" s="21"/>
      <c r="TKD38" s="21"/>
      <c r="TKE38" s="21"/>
      <c r="TKF38" s="21"/>
      <c r="TKG38" s="21"/>
      <c r="TKH38" s="21"/>
      <c r="TKI38" s="21"/>
      <c r="TKJ38" s="21"/>
      <c r="TKK38" s="21"/>
      <c r="TKL38" s="21"/>
      <c r="TKM38" s="21"/>
      <c r="TKN38" s="21"/>
      <c r="TKO38" s="21"/>
      <c r="TKP38" s="21"/>
      <c r="TKQ38" s="21"/>
      <c r="TKR38" s="21"/>
      <c r="TKS38" s="21"/>
      <c r="TKT38" s="21"/>
      <c r="TKU38" s="21"/>
      <c r="TKV38" s="21"/>
      <c r="TKW38" s="21"/>
      <c r="TKX38" s="21"/>
      <c r="TKY38" s="21"/>
      <c r="TKZ38" s="21"/>
      <c r="TLA38" s="21"/>
      <c r="TLB38" s="21"/>
      <c r="TLC38" s="21"/>
      <c r="TLD38" s="21"/>
      <c r="TLE38" s="21"/>
      <c r="TLF38" s="21"/>
      <c r="TLG38" s="21"/>
      <c r="TLH38" s="21"/>
      <c r="TLI38" s="21"/>
      <c r="TLJ38" s="21"/>
      <c r="TLK38" s="21"/>
      <c r="TLL38" s="21"/>
      <c r="TLM38" s="21"/>
      <c r="TLN38" s="21"/>
      <c r="TLO38" s="21"/>
      <c r="TLP38" s="21"/>
      <c r="TLQ38" s="21"/>
      <c r="TLR38" s="21"/>
      <c r="TLS38" s="21"/>
      <c r="TLT38" s="21"/>
      <c r="TLU38" s="21"/>
      <c r="TLV38" s="21"/>
      <c r="TLW38" s="21"/>
      <c r="TLX38" s="21"/>
      <c r="TLY38" s="21"/>
      <c r="TLZ38" s="21"/>
      <c r="TMA38" s="21"/>
      <c r="TMB38" s="21"/>
      <c r="TMC38" s="21"/>
      <c r="TMD38" s="21"/>
      <c r="TME38" s="21"/>
      <c r="TMF38" s="21"/>
      <c r="TMG38" s="21"/>
      <c r="TMH38" s="21"/>
      <c r="TMI38" s="21"/>
      <c r="TMJ38" s="21"/>
      <c r="TMK38" s="21"/>
      <c r="TML38" s="21"/>
      <c r="TMM38" s="21"/>
      <c r="TMN38" s="21"/>
      <c r="TMO38" s="21"/>
      <c r="TMP38" s="21"/>
      <c r="TMQ38" s="21"/>
      <c r="TMR38" s="21"/>
      <c r="TMS38" s="21"/>
      <c r="TMT38" s="21"/>
      <c r="TMU38" s="21"/>
      <c r="TMV38" s="21"/>
      <c r="TMW38" s="21"/>
      <c r="TMX38" s="21"/>
      <c r="TMY38" s="21"/>
      <c r="TMZ38" s="21"/>
      <c r="TNA38" s="21"/>
      <c r="TNB38" s="21"/>
      <c r="TNC38" s="21"/>
      <c r="TND38" s="21"/>
      <c r="TNE38" s="21"/>
      <c r="TNF38" s="21"/>
      <c r="TNG38" s="21"/>
      <c r="TNH38" s="21"/>
      <c r="TNI38" s="21"/>
      <c r="TNJ38" s="21"/>
      <c r="TNK38" s="21"/>
      <c r="TNL38" s="21"/>
      <c r="TNM38" s="21"/>
      <c r="TNN38" s="21"/>
      <c r="TNO38" s="21"/>
      <c r="TNP38" s="21"/>
      <c r="TNQ38" s="21"/>
      <c r="TNR38" s="21"/>
      <c r="TNS38" s="21"/>
      <c r="TNT38" s="21"/>
      <c r="TNU38" s="21"/>
      <c r="TNV38" s="21"/>
      <c r="TNW38" s="21"/>
      <c r="TNX38" s="21"/>
      <c r="TNY38" s="21"/>
      <c r="TNZ38" s="21"/>
      <c r="TOA38" s="21"/>
      <c r="TOB38" s="21"/>
      <c r="TOC38" s="21"/>
      <c r="TOD38" s="21"/>
      <c r="TOE38" s="21"/>
      <c r="TOF38" s="21"/>
      <c r="TOG38" s="21"/>
      <c r="TOH38" s="21"/>
      <c r="TOI38" s="21"/>
      <c r="TOJ38" s="21"/>
      <c r="TOK38" s="21"/>
      <c r="TOL38" s="21"/>
      <c r="TOM38" s="21"/>
      <c r="TON38" s="21"/>
      <c r="TOO38" s="21"/>
      <c r="TOP38" s="21"/>
      <c r="TOQ38" s="21"/>
      <c r="TOR38" s="21"/>
      <c r="TOS38" s="21"/>
      <c r="TOT38" s="21"/>
      <c r="TOU38" s="21"/>
      <c r="TOV38" s="21"/>
      <c r="TOW38" s="21"/>
      <c r="TOX38" s="21"/>
      <c r="TOY38" s="21"/>
      <c r="TOZ38" s="21"/>
      <c r="TPA38" s="21"/>
      <c r="TPB38" s="21"/>
      <c r="TPC38" s="21"/>
      <c r="TPD38" s="21"/>
      <c r="TPE38" s="21"/>
      <c r="TPF38" s="21"/>
      <c r="TPG38" s="21"/>
      <c r="TPH38" s="21"/>
      <c r="TPI38" s="21"/>
      <c r="TPJ38" s="21"/>
      <c r="TPK38" s="21"/>
      <c r="TPL38" s="21"/>
      <c r="TPM38" s="21"/>
      <c r="TPN38" s="21"/>
      <c r="TPO38" s="21"/>
      <c r="TPP38" s="21"/>
      <c r="TPQ38" s="21"/>
      <c r="TPR38" s="21"/>
      <c r="TPS38" s="21"/>
      <c r="TPT38" s="21"/>
      <c r="TPU38" s="21"/>
      <c r="TPV38" s="21"/>
      <c r="TPW38" s="21"/>
      <c r="TPX38" s="21"/>
      <c r="TPY38" s="21"/>
      <c r="TPZ38" s="21"/>
      <c r="TQA38" s="21"/>
      <c r="TQB38" s="21"/>
      <c r="TQC38" s="21"/>
      <c r="TQD38" s="21"/>
      <c r="TQE38" s="21"/>
      <c r="TQF38" s="21"/>
      <c r="TQG38" s="21"/>
      <c r="TQH38" s="21"/>
      <c r="TQI38" s="21"/>
      <c r="TQJ38" s="21"/>
      <c r="TQK38" s="21"/>
      <c r="TQL38" s="21"/>
      <c r="TQM38" s="21"/>
      <c r="TQN38" s="21"/>
      <c r="TQO38" s="21"/>
      <c r="TQP38" s="21"/>
      <c r="TQQ38" s="21"/>
      <c r="TQR38" s="21"/>
      <c r="TQS38" s="21"/>
      <c r="TQT38" s="21"/>
      <c r="TQU38" s="21"/>
      <c r="TQV38" s="21"/>
      <c r="TQW38" s="21"/>
      <c r="TQX38" s="21"/>
      <c r="TQY38" s="21"/>
      <c r="TQZ38" s="21"/>
      <c r="TRA38" s="21"/>
      <c r="TRB38" s="21"/>
      <c r="TRC38" s="21"/>
      <c r="TRD38" s="21"/>
      <c r="TRE38" s="21"/>
      <c r="TRF38" s="21"/>
      <c r="TRG38" s="21"/>
      <c r="TRH38" s="21"/>
      <c r="TRI38" s="21"/>
      <c r="TRJ38" s="21"/>
      <c r="TRK38" s="21"/>
      <c r="TRL38" s="21"/>
      <c r="TRM38" s="21"/>
      <c r="TRN38" s="21"/>
      <c r="TRO38" s="21"/>
      <c r="TRP38" s="21"/>
      <c r="TRQ38" s="21"/>
      <c r="TRR38" s="21"/>
      <c r="TRS38" s="21"/>
      <c r="TRT38" s="21"/>
      <c r="TRU38" s="21"/>
      <c r="TRV38" s="21"/>
      <c r="TRW38" s="21"/>
      <c r="TRX38" s="21"/>
      <c r="TRY38" s="21"/>
      <c r="TRZ38" s="21"/>
      <c r="TSA38" s="21"/>
      <c r="TSB38" s="21"/>
      <c r="TSC38" s="21"/>
      <c r="TSD38" s="21"/>
      <c r="TSE38" s="21"/>
      <c r="TSF38" s="21"/>
      <c r="TSG38" s="21"/>
      <c r="TSH38" s="21"/>
      <c r="TSI38" s="21"/>
      <c r="TSJ38" s="21"/>
      <c r="TSK38" s="21"/>
      <c r="TSL38" s="21"/>
      <c r="TSM38" s="21"/>
      <c r="TSN38" s="21"/>
      <c r="TSO38" s="21"/>
      <c r="TSP38" s="21"/>
      <c r="TSQ38" s="21"/>
      <c r="TSR38" s="21"/>
      <c r="TSS38" s="21"/>
      <c r="TST38" s="21"/>
      <c r="TSU38" s="21"/>
      <c r="TSV38" s="21"/>
      <c r="TSW38" s="21"/>
      <c r="TSX38" s="21"/>
      <c r="TSY38" s="21"/>
      <c r="TSZ38" s="21"/>
      <c r="TTA38" s="21"/>
      <c r="TTB38" s="21"/>
      <c r="TTC38" s="21"/>
      <c r="TTD38" s="21"/>
      <c r="TTE38" s="21"/>
      <c r="TTF38" s="21"/>
      <c r="TTG38" s="21"/>
      <c r="TTH38" s="21"/>
      <c r="TTI38" s="21"/>
      <c r="TTJ38" s="21"/>
      <c r="TTK38" s="21"/>
      <c r="TTL38" s="21"/>
      <c r="TTM38" s="21"/>
      <c r="TTN38" s="21"/>
      <c r="TTO38" s="21"/>
      <c r="TTP38" s="21"/>
      <c r="TTQ38" s="21"/>
      <c r="TTR38" s="21"/>
      <c r="TTS38" s="21"/>
      <c r="TTT38" s="21"/>
      <c r="TTU38" s="21"/>
      <c r="TTV38" s="21"/>
      <c r="TTW38" s="21"/>
      <c r="TTX38" s="21"/>
      <c r="TTY38" s="21"/>
      <c r="TTZ38" s="21"/>
      <c r="TUA38" s="21"/>
      <c r="TUB38" s="21"/>
      <c r="TUC38" s="21"/>
      <c r="TUD38" s="21"/>
      <c r="TUE38" s="21"/>
      <c r="TUF38" s="21"/>
      <c r="TUG38" s="21"/>
      <c r="TUH38" s="21"/>
      <c r="TUI38" s="21"/>
      <c r="TUJ38" s="21"/>
      <c r="TUK38" s="21"/>
      <c r="TUL38" s="21"/>
      <c r="TUM38" s="21"/>
      <c r="TUN38" s="21"/>
      <c r="TUO38" s="21"/>
      <c r="TUP38" s="21"/>
      <c r="TUQ38" s="21"/>
      <c r="TUR38" s="21"/>
      <c r="TUS38" s="21"/>
      <c r="TUT38" s="21"/>
      <c r="TUU38" s="21"/>
      <c r="TUV38" s="21"/>
      <c r="TUW38" s="21"/>
      <c r="TUX38" s="21"/>
      <c r="TUY38" s="21"/>
      <c r="TUZ38" s="21"/>
      <c r="TVA38" s="21"/>
      <c r="TVB38" s="21"/>
      <c r="TVC38" s="21"/>
      <c r="TVD38" s="21"/>
      <c r="TVE38" s="21"/>
      <c r="TVF38" s="21"/>
      <c r="TVG38" s="21"/>
      <c r="TVH38" s="21"/>
      <c r="TVI38" s="21"/>
      <c r="TVJ38" s="21"/>
      <c r="TVK38" s="21"/>
      <c r="TVL38" s="21"/>
      <c r="TVM38" s="21"/>
      <c r="TVN38" s="21"/>
      <c r="TVO38" s="21"/>
      <c r="TVP38" s="21"/>
      <c r="TVQ38" s="21"/>
      <c r="TVR38" s="21"/>
      <c r="TVS38" s="21"/>
      <c r="TVT38" s="21"/>
      <c r="TVU38" s="21"/>
      <c r="TVV38" s="21"/>
      <c r="TVW38" s="21"/>
      <c r="TVX38" s="21"/>
      <c r="TVY38" s="21"/>
      <c r="TVZ38" s="21"/>
      <c r="TWA38" s="21"/>
      <c r="TWB38" s="21"/>
      <c r="TWC38" s="21"/>
      <c r="TWD38" s="21"/>
      <c r="TWE38" s="21"/>
      <c r="TWF38" s="21"/>
      <c r="TWG38" s="21"/>
      <c r="TWH38" s="21"/>
      <c r="TWI38" s="21"/>
      <c r="TWJ38" s="21"/>
      <c r="TWK38" s="21"/>
      <c r="TWL38" s="21"/>
      <c r="TWM38" s="21"/>
      <c r="TWN38" s="21"/>
      <c r="TWO38" s="21"/>
      <c r="TWP38" s="21"/>
      <c r="TWQ38" s="21"/>
      <c r="TWR38" s="21"/>
      <c r="TWS38" s="21"/>
      <c r="TWT38" s="21"/>
      <c r="TWU38" s="21"/>
      <c r="TWV38" s="21"/>
      <c r="TWW38" s="21"/>
      <c r="TWX38" s="21"/>
      <c r="TWY38" s="21"/>
      <c r="TWZ38" s="21"/>
      <c r="TXA38" s="21"/>
      <c r="TXB38" s="21"/>
      <c r="TXC38" s="21"/>
      <c r="TXD38" s="21"/>
      <c r="TXE38" s="21"/>
      <c r="TXF38" s="21"/>
      <c r="TXG38" s="21"/>
      <c r="TXH38" s="21"/>
      <c r="TXI38" s="21"/>
      <c r="TXJ38" s="21"/>
      <c r="TXK38" s="21"/>
      <c r="TXL38" s="21"/>
      <c r="TXM38" s="21"/>
      <c r="TXN38" s="21"/>
      <c r="TXO38" s="21"/>
      <c r="TXP38" s="21"/>
      <c r="TXQ38" s="21"/>
      <c r="TXR38" s="21"/>
      <c r="TXS38" s="21"/>
      <c r="TXT38" s="21"/>
      <c r="TXU38" s="21"/>
      <c r="TXV38" s="21"/>
      <c r="TXW38" s="21"/>
      <c r="TXX38" s="21"/>
      <c r="TXY38" s="21"/>
      <c r="TXZ38" s="21"/>
      <c r="TYA38" s="21"/>
      <c r="TYB38" s="21"/>
      <c r="TYC38" s="21"/>
      <c r="TYD38" s="21"/>
      <c r="TYE38" s="21"/>
      <c r="TYF38" s="21"/>
      <c r="TYG38" s="21"/>
      <c r="TYH38" s="21"/>
      <c r="TYI38" s="21"/>
      <c r="TYJ38" s="21"/>
      <c r="TYK38" s="21"/>
      <c r="TYL38" s="21"/>
      <c r="TYM38" s="21"/>
      <c r="TYN38" s="21"/>
      <c r="TYO38" s="21"/>
      <c r="TYP38" s="21"/>
      <c r="TYQ38" s="21"/>
      <c r="TYR38" s="21"/>
      <c r="TYS38" s="21"/>
      <c r="TYT38" s="21"/>
      <c r="TYU38" s="21"/>
      <c r="TYV38" s="21"/>
      <c r="TYW38" s="21"/>
      <c r="TYX38" s="21"/>
      <c r="TYY38" s="21"/>
      <c r="TYZ38" s="21"/>
      <c r="TZA38" s="21"/>
      <c r="TZB38" s="21"/>
      <c r="TZC38" s="21"/>
      <c r="TZD38" s="21"/>
      <c r="TZE38" s="21"/>
      <c r="TZF38" s="21"/>
      <c r="TZG38" s="21"/>
      <c r="TZH38" s="21"/>
      <c r="TZI38" s="21"/>
      <c r="TZJ38" s="21"/>
      <c r="TZK38" s="21"/>
      <c r="TZL38" s="21"/>
      <c r="TZM38" s="21"/>
      <c r="TZN38" s="21"/>
      <c r="TZO38" s="21"/>
      <c r="TZP38" s="21"/>
      <c r="TZQ38" s="21"/>
      <c r="TZR38" s="21"/>
      <c r="TZS38" s="21"/>
      <c r="TZT38" s="21"/>
      <c r="TZU38" s="21"/>
      <c r="TZV38" s="21"/>
      <c r="TZW38" s="21"/>
      <c r="TZX38" s="21"/>
      <c r="TZY38" s="21"/>
      <c r="TZZ38" s="21"/>
      <c r="UAA38" s="21"/>
      <c r="UAB38" s="21"/>
      <c r="UAC38" s="21"/>
      <c r="UAD38" s="21"/>
      <c r="UAE38" s="21"/>
      <c r="UAF38" s="21"/>
      <c r="UAG38" s="21"/>
      <c r="UAH38" s="21"/>
      <c r="UAI38" s="21"/>
      <c r="UAJ38" s="21"/>
      <c r="UAK38" s="21"/>
      <c r="UAL38" s="21"/>
      <c r="UAM38" s="21"/>
      <c r="UAN38" s="21"/>
      <c r="UAO38" s="21"/>
      <c r="UAP38" s="21"/>
      <c r="UAQ38" s="21"/>
      <c r="UAR38" s="21"/>
      <c r="UAS38" s="21"/>
      <c r="UAT38" s="21"/>
      <c r="UAU38" s="21"/>
      <c r="UAV38" s="21"/>
      <c r="UAW38" s="21"/>
      <c r="UAX38" s="21"/>
      <c r="UAY38" s="21"/>
      <c r="UAZ38" s="21"/>
      <c r="UBA38" s="21"/>
      <c r="UBB38" s="21"/>
      <c r="UBC38" s="21"/>
      <c r="UBD38" s="21"/>
      <c r="UBE38" s="21"/>
      <c r="UBF38" s="21"/>
      <c r="UBG38" s="21"/>
      <c r="UBH38" s="21"/>
      <c r="UBI38" s="21"/>
      <c r="UBJ38" s="21"/>
      <c r="UBK38" s="21"/>
      <c r="UBL38" s="21"/>
      <c r="UBM38" s="21"/>
      <c r="UBN38" s="21"/>
      <c r="UBO38" s="21"/>
      <c r="UBP38" s="21"/>
      <c r="UBQ38" s="21"/>
      <c r="UBR38" s="21"/>
      <c r="UBS38" s="21"/>
      <c r="UBT38" s="21"/>
      <c r="UBU38" s="21"/>
      <c r="UBV38" s="21"/>
      <c r="UBW38" s="21"/>
      <c r="UBX38" s="21"/>
      <c r="UBY38" s="21"/>
      <c r="UBZ38" s="21"/>
      <c r="UCA38" s="21"/>
      <c r="UCB38" s="21"/>
      <c r="UCC38" s="21"/>
      <c r="UCD38" s="21"/>
      <c r="UCE38" s="21"/>
      <c r="UCF38" s="21"/>
      <c r="UCG38" s="21"/>
      <c r="UCH38" s="21"/>
      <c r="UCI38" s="21"/>
      <c r="UCJ38" s="21"/>
      <c r="UCK38" s="21"/>
      <c r="UCL38" s="21"/>
      <c r="UCM38" s="21"/>
      <c r="UCN38" s="21"/>
      <c r="UCO38" s="21"/>
      <c r="UCP38" s="21"/>
      <c r="UCQ38" s="21"/>
      <c r="UCR38" s="21"/>
      <c r="UCS38" s="21"/>
      <c r="UCT38" s="21"/>
      <c r="UCU38" s="21"/>
      <c r="UCV38" s="21"/>
      <c r="UCW38" s="21"/>
      <c r="UCX38" s="21"/>
      <c r="UCY38" s="21"/>
      <c r="UCZ38" s="21"/>
      <c r="UDA38" s="21"/>
      <c r="UDB38" s="21"/>
      <c r="UDC38" s="21"/>
      <c r="UDD38" s="21"/>
      <c r="UDE38" s="21"/>
      <c r="UDF38" s="21"/>
      <c r="UDG38" s="21"/>
      <c r="UDH38" s="21"/>
      <c r="UDI38" s="21"/>
      <c r="UDJ38" s="21"/>
      <c r="UDK38" s="21"/>
      <c r="UDL38" s="21"/>
      <c r="UDM38" s="21"/>
      <c r="UDN38" s="21"/>
      <c r="UDO38" s="21"/>
      <c r="UDP38" s="21"/>
      <c r="UDQ38" s="21"/>
      <c r="UDR38" s="21"/>
      <c r="UDS38" s="21"/>
      <c r="UDT38" s="21"/>
      <c r="UDU38" s="21"/>
      <c r="UDV38" s="21"/>
      <c r="UDW38" s="21"/>
      <c r="UDX38" s="21"/>
      <c r="UDY38" s="21"/>
      <c r="UDZ38" s="21"/>
      <c r="UEA38" s="21"/>
      <c r="UEB38" s="21"/>
      <c r="UEC38" s="21"/>
      <c r="UED38" s="21"/>
      <c r="UEE38" s="21"/>
      <c r="UEF38" s="21"/>
      <c r="UEG38" s="21"/>
      <c r="UEH38" s="21"/>
      <c r="UEI38" s="21"/>
      <c r="UEJ38" s="21"/>
      <c r="UEK38" s="21"/>
      <c r="UEL38" s="21"/>
      <c r="UEM38" s="21"/>
      <c r="UEN38" s="21"/>
      <c r="UEO38" s="21"/>
      <c r="UEP38" s="21"/>
      <c r="UEQ38" s="21"/>
      <c r="UER38" s="21"/>
      <c r="UES38" s="21"/>
      <c r="UET38" s="21"/>
      <c r="UEU38" s="21"/>
      <c r="UEV38" s="21"/>
      <c r="UEW38" s="21"/>
      <c r="UEX38" s="21"/>
      <c r="UEY38" s="21"/>
      <c r="UEZ38" s="21"/>
      <c r="UFA38" s="21"/>
      <c r="UFB38" s="21"/>
      <c r="UFC38" s="21"/>
      <c r="UFD38" s="21"/>
      <c r="UFE38" s="21"/>
      <c r="UFF38" s="21"/>
      <c r="UFG38" s="21"/>
      <c r="UFH38" s="21"/>
      <c r="UFI38" s="21"/>
      <c r="UFJ38" s="21"/>
      <c r="UFK38" s="21"/>
      <c r="UFL38" s="21"/>
      <c r="UFM38" s="21"/>
      <c r="UFN38" s="21"/>
      <c r="UFO38" s="21"/>
      <c r="UFP38" s="21"/>
      <c r="UFQ38" s="21"/>
      <c r="UFR38" s="21"/>
      <c r="UFS38" s="21"/>
      <c r="UFT38" s="21"/>
      <c r="UFU38" s="21"/>
      <c r="UFV38" s="21"/>
      <c r="UFW38" s="21"/>
      <c r="UFX38" s="21"/>
      <c r="UFY38" s="21"/>
      <c r="UFZ38" s="21"/>
      <c r="UGA38" s="21"/>
      <c r="UGB38" s="21"/>
      <c r="UGC38" s="21"/>
      <c r="UGD38" s="21"/>
      <c r="UGE38" s="21"/>
      <c r="UGF38" s="21"/>
      <c r="UGG38" s="21"/>
      <c r="UGH38" s="21"/>
      <c r="UGI38" s="21"/>
      <c r="UGJ38" s="21"/>
      <c r="UGK38" s="21"/>
      <c r="UGL38" s="21"/>
      <c r="UGM38" s="21"/>
      <c r="UGN38" s="21"/>
      <c r="UGO38" s="21"/>
      <c r="UGP38" s="21"/>
      <c r="UGQ38" s="21"/>
      <c r="UGR38" s="21"/>
      <c r="UGS38" s="21"/>
      <c r="UGT38" s="21"/>
      <c r="UGU38" s="21"/>
      <c r="UGV38" s="21"/>
      <c r="UGW38" s="21"/>
      <c r="UGX38" s="21"/>
      <c r="UGY38" s="21"/>
      <c r="UGZ38" s="21"/>
      <c r="UHA38" s="21"/>
      <c r="UHB38" s="21"/>
      <c r="UHC38" s="21"/>
      <c r="UHD38" s="21"/>
      <c r="UHE38" s="21"/>
      <c r="UHF38" s="21"/>
      <c r="UHG38" s="21"/>
      <c r="UHH38" s="21"/>
      <c r="UHI38" s="21"/>
      <c r="UHJ38" s="21"/>
      <c r="UHK38" s="21"/>
      <c r="UHL38" s="21"/>
      <c r="UHM38" s="21"/>
      <c r="UHN38" s="21"/>
      <c r="UHO38" s="21"/>
      <c r="UHP38" s="21"/>
      <c r="UHQ38" s="21"/>
      <c r="UHR38" s="21"/>
      <c r="UHS38" s="21"/>
      <c r="UHT38" s="21"/>
      <c r="UHU38" s="21"/>
      <c r="UHV38" s="21"/>
      <c r="UHW38" s="21"/>
      <c r="UHX38" s="21"/>
      <c r="UHY38" s="21"/>
      <c r="UHZ38" s="21"/>
      <c r="UIA38" s="21"/>
      <c r="UIB38" s="21"/>
      <c r="UIC38" s="21"/>
      <c r="UID38" s="21"/>
      <c r="UIE38" s="21"/>
      <c r="UIF38" s="21"/>
      <c r="UIG38" s="21"/>
      <c r="UIH38" s="21"/>
      <c r="UII38" s="21"/>
      <c r="UIJ38" s="21"/>
      <c r="UIK38" s="21"/>
      <c r="UIL38" s="21"/>
      <c r="UIM38" s="21"/>
      <c r="UIN38" s="21"/>
      <c r="UIO38" s="21"/>
      <c r="UIP38" s="21"/>
      <c r="UIQ38" s="21"/>
      <c r="UIR38" s="21"/>
      <c r="UIS38" s="21"/>
      <c r="UIT38" s="21"/>
      <c r="UIU38" s="21"/>
      <c r="UIV38" s="21"/>
      <c r="UIW38" s="21"/>
      <c r="UIX38" s="21"/>
      <c r="UIY38" s="21"/>
      <c r="UIZ38" s="21"/>
      <c r="UJA38" s="21"/>
      <c r="UJB38" s="21"/>
      <c r="UJC38" s="21"/>
      <c r="UJD38" s="21"/>
      <c r="UJE38" s="21"/>
      <c r="UJF38" s="21"/>
      <c r="UJG38" s="21"/>
      <c r="UJH38" s="21"/>
      <c r="UJI38" s="21"/>
      <c r="UJJ38" s="21"/>
      <c r="UJK38" s="21"/>
      <c r="UJL38" s="21"/>
      <c r="UJM38" s="21"/>
      <c r="UJN38" s="21"/>
      <c r="UJO38" s="21"/>
      <c r="UJP38" s="21"/>
      <c r="UJQ38" s="21"/>
      <c r="UJR38" s="21"/>
      <c r="UJS38" s="21"/>
      <c r="UJT38" s="21"/>
      <c r="UJU38" s="21"/>
      <c r="UJV38" s="21"/>
      <c r="UJW38" s="21"/>
      <c r="UJX38" s="21"/>
      <c r="UJY38" s="21"/>
      <c r="UJZ38" s="21"/>
      <c r="UKA38" s="21"/>
      <c r="UKB38" s="21"/>
      <c r="UKC38" s="21"/>
      <c r="UKD38" s="21"/>
      <c r="UKE38" s="21"/>
      <c r="UKF38" s="21"/>
      <c r="UKG38" s="21"/>
      <c r="UKH38" s="21"/>
      <c r="UKI38" s="21"/>
      <c r="UKJ38" s="21"/>
      <c r="UKK38" s="21"/>
      <c r="UKL38" s="21"/>
      <c r="UKM38" s="21"/>
      <c r="UKN38" s="21"/>
      <c r="UKO38" s="21"/>
      <c r="UKP38" s="21"/>
      <c r="UKQ38" s="21"/>
      <c r="UKR38" s="21"/>
      <c r="UKS38" s="21"/>
      <c r="UKT38" s="21"/>
      <c r="UKU38" s="21"/>
      <c r="UKV38" s="21"/>
      <c r="UKW38" s="21"/>
      <c r="UKX38" s="21"/>
      <c r="UKY38" s="21"/>
      <c r="UKZ38" s="21"/>
      <c r="ULA38" s="21"/>
      <c r="ULB38" s="21"/>
      <c r="ULC38" s="21"/>
      <c r="ULD38" s="21"/>
      <c r="ULE38" s="21"/>
      <c r="ULF38" s="21"/>
      <c r="ULG38" s="21"/>
      <c r="ULH38" s="21"/>
      <c r="ULI38" s="21"/>
      <c r="ULJ38" s="21"/>
      <c r="ULK38" s="21"/>
      <c r="ULL38" s="21"/>
      <c r="ULM38" s="21"/>
      <c r="ULN38" s="21"/>
      <c r="ULO38" s="21"/>
      <c r="ULP38" s="21"/>
      <c r="ULQ38" s="21"/>
      <c r="ULR38" s="21"/>
      <c r="ULS38" s="21"/>
      <c r="ULT38" s="21"/>
      <c r="ULU38" s="21"/>
      <c r="ULV38" s="21"/>
      <c r="ULW38" s="21"/>
      <c r="ULX38" s="21"/>
      <c r="ULY38" s="21"/>
      <c r="ULZ38" s="21"/>
      <c r="UMA38" s="21"/>
      <c r="UMB38" s="21"/>
      <c r="UMC38" s="21"/>
      <c r="UMD38" s="21"/>
      <c r="UME38" s="21"/>
      <c r="UMF38" s="21"/>
      <c r="UMG38" s="21"/>
      <c r="UMH38" s="21"/>
      <c r="UMI38" s="21"/>
      <c r="UMJ38" s="21"/>
      <c r="UMK38" s="21"/>
      <c r="UML38" s="21"/>
      <c r="UMM38" s="21"/>
      <c r="UMN38" s="21"/>
      <c r="UMO38" s="21"/>
      <c r="UMP38" s="21"/>
      <c r="UMQ38" s="21"/>
      <c r="UMR38" s="21"/>
      <c r="UMS38" s="21"/>
      <c r="UMT38" s="21"/>
      <c r="UMU38" s="21"/>
      <c r="UMV38" s="21"/>
      <c r="UMW38" s="21"/>
      <c r="UMX38" s="21"/>
      <c r="UMY38" s="21"/>
      <c r="UMZ38" s="21"/>
      <c r="UNA38" s="21"/>
      <c r="UNB38" s="21"/>
      <c r="UNC38" s="21"/>
      <c r="UND38" s="21"/>
      <c r="UNE38" s="21"/>
      <c r="UNF38" s="21"/>
      <c r="UNG38" s="21"/>
      <c r="UNH38" s="21"/>
      <c r="UNI38" s="21"/>
      <c r="UNJ38" s="21"/>
      <c r="UNK38" s="21"/>
      <c r="UNL38" s="21"/>
      <c r="UNM38" s="21"/>
      <c r="UNN38" s="21"/>
      <c r="UNO38" s="21"/>
      <c r="UNP38" s="21"/>
      <c r="UNQ38" s="21"/>
      <c r="UNR38" s="21"/>
      <c r="UNS38" s="21"/>
      <c r="UNT38" s="21"/>
      <c r="UNU38" s="21"/>
      <c r="UNV38" s="21"/>
      <c r="UNW38" s="21"/>
      <c r="UNX38" s="21"/>
      <c r="UNY38" s="21"/>
      <c r="UNZ38" s="21"/>
      <c r="UOA38" s="21"/>
      <c r="UOB38" s="21"/>
      <c r="UOC38" s="21"/>
      <c r="UOD38" s="21"/>
      <c r="UOE38" s="21"/>
      <c r="UOF38" s="21"/>
      <c r="UOG38" s="21"/>
      <c r="UOH38" s="21"/>
      <c r="UOI38" s="21"/>
      <c r="UOJ38" s="21"/>
      <c r="UOK38" s="21"/>
      <c r="UOL38" s="21"/>
      <c r="UOM38" s="21"/>
      <c r="UON38" s="21"/>
      <c r="UOO38" s="21"/>
      <c r="UOP38" s="21"/>
      <c r="UOQ38" s="21"/>
      <c r="UOR38" s="21"/>
      <c r="UOS38" s="21"/>
      <c r="UOT38" s="21"/>
      <c r="UOU38" s="21"/>
      <c r="UOV38" s="21"/>
      <c r="UOW38" s="21"/>
      <c r="UOX38" s="21"/>
      <c r="UOY38" s="21"/>
      <c r="UOZ38" s="21"/>
      <c r="UPA38" s="21"/>
      <c r="UPB38" s="21"/>
      <c r="UPC38" s="21"/>
      <c r="UPD38" s="21"/>
      <c r="UPE38" s="21"/>
      <c r="UPF38" s="21"/>
      <c r="UPG38" s="21"/>
      <c r="UPH38" s="21"/>
      <c r="UPI38" s="21"/>
      <c r="UPJ38" s="21"/>
      <c r="UPK38" s="21"/>
      <c r="UPL38" s="21"/>
      <c r="UPM38" s="21"/>
      <c r="UPN38" s="21"/>
      <c r="UPO38" s="21"/>
      <c r="UPP38" s="21"/>
      <c r="UPQ38" s="21"/>
      <c r="UPR38" s="21"/>
      <c r="UPS38" s="21"/>
      <c r="UPT38" s="21"/>
      <c r="UPU38" s="21"/>
      <c r="UPV38" s="21"/>
      <c r="UPW38" s="21"/>
      <c r="UPX38" s="21"/>
      <c r="UPY38" s="21"/>
      <c r="UPZ38" s="21"/>
      <c r="UQA38" s="21"/>
      <c r="UQB38" s="21"/>
      <c r="UQC38" s="21"/>
      <c r="UQD38" s="21"/>
      <c r="UQE38" s="21"/>
      <c r="UQF38" s="21"/>
      <c r="UQG38" s="21"/>
      <c r="UQH38" s="21"/>
      <c r="UQI38" s="21"/>
      <c r="UQJ38" s="21"/>
      <c r="UQK38" s="21"/>
      <c r="UQL38" s="21"/>
      <c r="UQM38" s="21"/>
      <c r="UQN38" s="21"/>
      <c r="UQO38" s="21"/>
      <c r="UQP38" s="21"/>
      <c r="UQQ38" s="21"/>
      <c r="UQR38" s="21"/>
      <c r="UQS38" s="21"/>
      <c r="UQT38" s="21"/>
      <c r="UQU38" s="21"/>
      <c r="UQV38" s="21"/>
      <c r="UQW38" s="21"/>
      <c r="UQX38" s="21"/>
      <c r="UQY38" s="21"/>
      <c r="UQZ38" s="21"/>
      <c r="URA38" s="21"/>
      <c r="URB38" s="21"/>
      <c r="URC38" s="21"/>
      <c r="URD38" s="21"/>
      <c r="URE38" s="21"/>
      <c r="URF38" s="21"/>
      <c r="URG38" s="21"/>
      <c r="URH38" s="21"/>
      <c r="URI38" s="21"/>
      <c r="URJ38" s="21"/>
      <c r="URK38" s="21"/>
      <c r="URL38" s="21"/>
      <c r="URM38" s="21"/>
      <c r="URN38" s="21"/>
      <c r="URO38" s="21"/>
      <c r="URP38" s="21"/>
      <c r="URQ38" s="21"/>
      <c r="URR38" s="21"/>
      <c r="URS38" s="21"/>
      <c r="URT38" s="21"/>
      <c r="URU38" s="21"/>
      <c r="URV38" s="21"/>
      <c r="URW38" s="21"/>
      <c r="URX38" s="21"/>
      <c r="URY38" s="21"/>
      <c r="URZ38" s="21"/>
      <c r="USA38" s="21"/>
      <c r="USB38" s="21"/>
      <c r="USC38" s="21"/>
      <c r="USD38" s="21"/>
      <c r="USE38" s="21"/>
      <c r="USF38" s="21"/>
      <c r="USG38" s="21"/>
      <c r="USH38" s="21"/>
      <c r="USI38" s="21"/>
      <c r="USJ38" s="21"/>
      <c r="USK38" s="21"/>
      <c r="USL38" s="21"/>
      <c r="USM38" s="21"/>
      <c r="USN38" s="21"/>
      <c r="USO38" s="21"/>
      <c r="USP38" s="21"/>
      <c r="USQ38" s="21"/>
      <c r="USR38" s="21"/>
      <c r="USS38" s="21"/>
      <c r="UST38" s="21"/>
      <c r="USU38" s="21"/>
      <c r="USV38" s="21"/>
      <c r="USW38" s="21"/>
      <c r="USX38" s="21"/>
      <c r="USY38" s="21"/>
      <c r="USZ38" s="21"/>
      <c r="UTA38" s="21"/>
      <c r="UTB38" s="21"/>
      <c r="UTC38" s="21"/>
      <c r="UTD38" s="21"/>
      <c r="UTE38" s="21"/>
      <c r="UTF38" s="21"/>
      <c r="UTG38" s="21"/>
      <c r="UTH38" s="21"/>
      <c r="UTI38" s="21"/>
      <c r="UTJ38" s="21"/>
      <c r="UTK38" s="21"/>
      <c r="UTL38" s="21"/>
      <c r="UTM38" s="21"/>
      <c r="UTN38" s="21"/>
      <c r="UTO38" s="21"/>
      <c r="UTP38" s="21"/>
      <c r="UTQ38" s="21"/>
      <c r="UTR38" s="21"/>
      <c r="UTS38" s="21"/>
      <c r="UTT38" s="21"/>
      <c r="UTU38" s="21"/>
      <c r="UTV38" s="21"/>
      <c r="UTW38" s="21"/>
      <c r="UTX38" s="21"/>
      <c r="UTY38" s="21"/>
      <c r="UTZ38" s="21"/>
      <c r="UUA38" s="21"/>
      <c r="UUB38" s="21"/>
      <c r="UUC38" s="21"/>
      <c r="UUD38" s="21"/>
      <c r="UUE38" s="21"/>
      <c r="UUF38" s="21"/>
      <c r="UUG38" s="21"/>
      <c r="UUH38" s="21"/>
      <c r="UUI38" s="21"/>
      <c r="UUJ38" s="21"/>
      <c r="UUK38" s="21"/>
      <c r="UUL38" s="21"/>
      <c r="UUM38" s="21"/>
      <c r="UUN38" s="21"/>
      <c r="UUO38" s="21"/>
      <c r="UUP38" s="21"/>
      <c r="UUQ38" s="21"/>
      <c r="UUR38" s="21"/>
      <c r="UUS38" s="21"/>
      <c r="UUT38" s="21"/>
      <c r="UUU38" s="21"/>
      <c r="UUV38" s="21"/>
      <c r="UUW38" s="21"/>
      <c r="UUX38" s="21"/>
      <c r="UUY38" s="21"/>
      <c r="UUZ38" s="21"/>
      <c r="UVA38" s="21"/>
      <c r="UVB38" s="21"/>
      <c r="UVC38" s="21"/>
      <c r="UVD38" s="21"/>
      <c r="UVE38" s="21"/>
      <c r="UVF38" s="21"/>
      <c r="UVG38" s="21"/>
      <c r="UVH38" s="21"/>
      <c r="UVI38" s="21"/>
      <c r="UVJ38" s="21"/>
      <c r="UVK38" s="21"/>
      <c r="UVL38" s="21"/>
      <c r="UVM38" s="21"/>
      <c r="UVN38" s="21"/>
      <c r="UVO38" s="21"/>
      <c r="UVP38" s="21"/>
      <c r="UVQ38" s="21"/>
      <c r="UVR38" s="21"/>
      <c r="UVS38" s="21"/>
      <c r="UVT38" s="21"/>
      <c r="UVU38" s="21"/>
      <c r="UVV38" s="21"/>
      <c r="UVW38" s="21"/>
      <c r="UVX38" s="21"/>
      <c r="UVY38" s="21"/>
      <c r="UVZ38" s="21"/>
      <c r="UWA38" s="21"/>
      <c r="UWB38" s="21"/>
      <c r="UWC38" s="21"/>
      <c r="UWD38" s="21"/>
      <c r="UWE38" s="21"/>
      <c r="UWF38" s="21"/>
      <c r="UWG38" s="21"/>
      <c r="UWH38" s="21"/>
      <c r="UWI38" s="21"/>
      <c r="UWJ38" s="21"/>
      <c r="UWK38" s="21"/>
      <c r="UWL38" s="21"/>
      <c r="UWM38" s="21"/>
      <c r="UWN38" s="21"/>
      <c r="UWO38" s="21"/>
      <c r="UWP38" s="21"/>
      <c r="UWQ38" s="21"/>
      <c r="UWR38" s="21"/>
      <c r="UWS38" s="21"/>
      <c r="UWT38" s="21"/>
      <c r="UWU38" s="21"/>
      <c r="UWV38" s="21"/>
      <c r="UWW38" s="21"/>
      <c r="UWX38" s="21"/>
      <c r="UWY38" s="21"/>
      <c r="UWZ38" s="21"/>
      <c r="UXA38" s="21"/>
      <c r="UXB38" s="21"/>
      <c r="UXC38" s="21"/>
      <c r="UXD38" s="21"/>
      <c r="UXE38" s="21"/>
      <c r="UXF38" s="21"/>
      <c r="UXG38" s="21"/>
      <c r="UXH38" s="21"/>
      <c r="UXI38" s="21"/>
      <c r="UXJ38" s="21"/>
      <c r="UXK38" s="21"/>
      <c r="UXL38" s="21"/>
      <c r="UXM38" s="21"/>
      <c r="UXN38" s="21"/>
      <c r="UXO38" s="21"/>
      <c r="UXP38" s="21"/>
      <c r="UXQ38" s="21"/>
      <c r="UXR38" s="21"/>
      <c r="UXS38" s="21"/>
      <c r="UXT38" s="21"/>
      <c r="UXU38" s="21"/>
      <c r="UXV38" s="21"/>
      <c r="UXW38" s="21"/>
      <c r="UXX38" s="21"/>
      <c r="UXY38" s="21"/>
      <c r="UXZ38" s="21"/>
      <c r="UYA38" s="21"/>
      <c r="UYB38" s="21"/>
      <c r="UYC38" s="21"/>
      <c r="UYD38" s="21"/>
      <c r="UYE38" s="21"/>
      <c r="UYF38" s="21"/>
      <c r="UYG38" s="21"/>
      <c r="UYH38" s="21"/>
      <c r="UYI38" s="21"/>
      <c r="UYJ38" s="21"/>
      <c r="UYK38" s="21"/>
      <c r="UYL38" s="21"/>
      <c r="UYM38" s="21"/>
      <c r="UYN38" s="21"/>
      <c r="UYO38" s="21"/>
      <c r="UYP38" s="21"/>
      <c r="UYQ38" s="21"/>
      <c r="UYR38" s="21"/>
      <c r="UYS38" s="21"/>
      <c r="UYT38" s="21"/>
      <c r="UYU38" s="21"/>
      <c r="UYV38" s="21"/>
      <c r="UYW38" s="21"/>
      <c r="UYX38" s="21"/>
      <c r="UYY38" s="21"/>
      <c r="UYZ38" s="21"/>
      <c r="UZA38" s="21"/>
      <c r="UZB38" s="21"/>
      <c r="UZC38" s="21"/>
      <c r="UZD38" s="21"/>
      <c r="UZE38" s="21"/>
      <c r="UZF38" s="21"/>
      <c r="UZG38" s="21"/>
      <c r="UZH38" s="21"/>
      <c r="UZI38" s="21"/>
      <c r="UZJ38" s="21"/>
      <c r="UZK38" s="21"/>
      <c r="UZL38" s="21"/>
      <c r="UZM38" s="21"/>
      <c r="UZN38" s="21"/>
      <c r="UZO38" s="21"/>
      <c r="UZP38" s="21"/>
      <c r="UZQ38" s="21"/>
      <c r="UZR38" s="21"/>
      <c r="UZS38" s="21"/>
      <c r="UZT38" s="21"/>
      <c r="UZU38" s="21"/>
      <c r="UZV38" s="21"/>
      <c r="UZW38" s="21"/>
      <c r="UZX38" s="21"/>
      <c r="UZY38" s="21"/>
      <c r="UZZ38" s="21"/>
      <c r="VAA38" s="21"/>
      <c r="VAB38" s="21"/>
      <c r="VAC38" s="21"/>
      <c r="VAD38" s="21"/>
      <c r="VAE38" s="21"/>
      <c r="VAF38" s="21"/>
      <c r="VAG38" s="21"/>
      <c r="VAH38" s="21"/>
      <c r="VAI38" s="21"/>
      <c r="VAJ38" s="21"/>
      <c r="VAK38" s="21"/>
      <c r="VAL38" s="21"/>
      <c r="VAM38" s="21"/>
      <c r="VAN38" s="21"/>
      <c r="VAO38" s="21"/>
      <c r="VAP38" s="21"/>
      <c r="VAQ38" s="21"/>
      <c r="VAR38" s="21"/>
      <c r="VAS38" s="21"/>
      <c r="VAT38" s="21"/>
      <c r="VAU38" s="21"/>
      <c r="VAV38" s="21"/>
      <c r="VAW38" s="21"/>
      <c r="VAX38" s="21"/>
      <c r="VAY38" s="21"/>
      <c r="VAZ38" s="21"/>
      <c r="VBA38" s="21"/>
      <c r="VBB38" s="21"/>
      <c r="VBC38" s="21"/>
      <c r="VBD38" s="21"/>
      <c r="VBE38" s="21"/>
      <c r="VBF38" s="21"/>
      <c r="VBG38" s="21"/>
      <c r="VBH38" s="21"/>
      <c r="VBI38" s="21"/>
      <c r="VBJ38" s="21"/>
      <c r="VBK38" s="21"/>
      <c r="VBL38" s="21"/>
      <c r="VBM38" s="21"/>
      <c r="VBN38" s="21"/>
      <c r="VBO38" s="21"/>
      <c r="VBP38" s="21"/>
      <c r="VBQ38" s="21"/>
      <c r="VBR38" s="21"/>
      <c r="VBS38" s="21"/>
      <c r="VBT38" s="21"/>
      <c r="VBU38" s="21"/>
      <c r="VBV38" s="21"/>
      <c r="VBW38" s="21"/>
      <c r="VBX38" s="21"/>
      <c r="VBY38" s="21"/>
      <c r="VBZ38" s="21"/>
      <c r="VCA38" s="21"/>
      <c r="VCB38" s="21"/>
      <c r="VCC38" s="21"/>
      <c r="VCD38" s="21"/>
      <c r="VCE38" s="21"/>
      <c r="VCF38" s="21"/>
      <c r="VCG38" s="21"/>
      <c r="VCH38" s="21"/>
      <c r="VCI38" s="21"/>
      <c r="VCJ38" s="21"/>
      <c r="VCK38" s="21"/>
      <c r="VCL38" s="21"/>
      <c r="VCM38" s="21"/>
      <c r="VCN38" s="21"/>
      <c r="VCO38" s="21"/>
      <c r="VCP38" s="21"/>
      <c r="VCQ38" s="21"/>
      <c r="VCR38" s="21"/>
      <c r="VCS38" s="21"/>
      <c r="VCT38" s="21"/>
      <c r="VCU38" s="21"/>
      <c r="VCV38" s="21"/>
      <c r="VCW38" s="21"/>
      <c r="VCX38" s="21"/>
      <c r="VCY38" s="21"/>
      <c r="VCZ38" s="21"/>
      <c r="VDA38" s="21"/>
      <c r="VDB38" s="21"/>
      <c r="VDC38" s="21"/>
      <c r="VDD38" s="21"/>
      <c r="VDE38" s="21"/>
      <c r="VDF38" s="21"/>
      <c r="VDG38" s="21"/>
      <c r="VDH38" s="21"/>
      <c r="VDI38" s="21"/>
      <c r="VDJ38" s="21"/>
      <c r="VDK38" s="21"/>
      <c r="VDL38" s="21"/>
      <c r="VDM38" s="21"/>
      <c r="VDN38" s="21"/>
      <c r="VDO38" s="21"/>
      <c r="VDP38" s="21"/>
      <c r="VDQ38" s="21"/>
      <c r="VDR38" s="21"/>
      <c r="VDS38" s="21"/>
      <c r="VDT38" s="21"/>
      <c r="VDU38" s="21"/>
      <c r="VDV38" s="21"/>
      <c r="VDW38" s="21"/>
      <c r="VDX38" s="21"/>
      <c r="VDY38" s="21"/>
      <c r="VDZ38" s="21"/>
      <c r="VEA38" s="21"/>
      <c r="VEB38" s="21"/>
      <c r="VEC38" s="21"/>
      <c r="VED38" s="21"/>
      <c r="VEE38" s="21"/>
      <c r="VEF38" s="21"/>
      <c r="VEG38" s="21"/>
      <c r="VEH38" s="21"/>
      <c r="VEI38" s="21"/>
      <c r="VEJ38" s="21"/>
      <c r="VEK38" s="21"/>
      <c r="VEL38" s="21"/>
      <c r="VEM38" s="21"/>
      <c r="VEN38" s="21"/>
      <c r="VEO38" s="21"/>
      <c r="VEP38" s="21"/>
      <c r="VEQ38" s="21"/>
      <c r="VER38" s="21"/>
      <c r="VES38" s="21"/>
      <c r="VET38" s="21"/>
      <c r="VEU38" s="21"/>
      <c r="VEV38" s="21"/>
      <c r="VEW38" s="21"/>
      <c r="VEX38" s="21"/>
      <c r="VEY38" s="21"/>
      <c r="VEZ38" s="21"/>
      <c r="VFA38" s="21"/>
      <c r="VFB38" s="21"/>
      <c r="VFC38" s="21"/>
      <c r="VFD38" s="21"/>
      <c r="VFE38" s="21"/>
      <c r="VFF38" s="21"/>
      <c r="VFG38" s="21"/>
      <c r="VFH38" s="21"/>
      <c r="VFI38" s="21"/>
      <c r="VFJ38" s="21"/>
      <c r="VFK38" s="21"/>
      <c r="VFL38" s="21"/>
      <c r="VFM38" s="21"/>
      <c r="VFN38" s="21"/>
      <c r="VFO38" s="21"/>
      <c r="VFP38" s="21"/>
      <c r="VFQ38" s="21"/>
      <c r="VFR38" s="21"/>
      <c r="VFS38" s="21"/>
      <c r="VFT38" s="21"/>
      <c r="VFU38" s="21"/>
      <c r="VFV38" s="21"/>
      <c r="VFW38" s="21"/>
      <c r="VFX38" s="21"/>
      <c r="VFY38" s="21"/>
      <c r="VFZ38" s="21"/>
      <c r="VGA38" s="21"/>
      <c r="VGB38" s="21"/>
      <c r="VGC38" s="21"/>
      <c r="VGD38" s="21"/>
      <c r="VGE38" s="21"/>
      <c r="VGF38" s="21"/>
      <c r="VGG38" s="21"/>
      <c r="VGH38" s="21"/>
      <c r="VGI38" s="21"/>
      <c r="VGJ38" s="21"/>
      <c r="VGK38" s="21"/>
      <c r="VGL38" s="21"/>
      <c r="VGM38" s="21"/>
      <c r="VGN38" s="21"/>
      <c r="VGO38" s="21"/>
      <c r="VGP38" s="21"/>
      <c r="VGQ38" s="21"/>
      <c r="VGR38" s="21"/>
      <c r="VGS38" s="21"/>
      <c r="VGT38" s="21"/>
      <c r="VGU38" s="21"/>
      <c r="VGV38" s="21"/>
      <c r="VGW38" s="21"/>
      <c r="VGX38" s="21"/>
      <c r="VGY38" s="21"/>
      <c r="VGZ38" s="21"/>
      <c r="VHA38" s="21"/>
      <c r="VHB38" s="21"/>
      <c r="VHC38" s="21"/>
      <c r="VHD38" s="21"/>
      <c r="VHE38" s="21"/>
      <c r="VHF38" s="21"/>
      <c r="VHG38" s="21"/>
      <c r="VHH38" s="21"/>
      <c r="VHI38" s="21"/>
      <c r="VHJ38" s="21"/>
      <c r="VHK38" s="21"/>
      <c r="VHL38" s="21"/>
      <c r="VHM38" s="21"/>
      <c r="VHN38" s="21"/>
      <c r="VHO38" s="21"/>
      <c r="VHP38" s="21"/>
      <c r="VHQ38" s="21"/>
      <c r="VHR38" s="21"/>
      <c r="VHS38" s="21"/>
      <c r="VHT38" s="21"/>
      <c r="VHU38" s="21"/>
      <c r="VHV38" s="21"/>
      <c r="VHW38" s="21"/>
      <c r="VHX38" s="21"/>
      <c r="VHY38" s="21"/>
      <c r="VHZ38" s="21"/>
      <c r="VIA38" s="21"/>
      <c r="VIB38" s="21"/>
      <c r="VIC38" s="21"/>
      <c r="VID38" s="21"/>
      <c r="VIE38" s="21"/>
      <c r="VIF38" s="21"/>
      <c r="VIG38" s="21"/>
      <c r="VIH38" s="21"/>
      <c r="VII38" s="21"/>
      <c r="VIJ38" s="21"/>
      <c r="VIK38" s="21"/>
      <c r="VIL38" s="21"/>
      <c r="VIM38" s="21"/>
      <c r="VIN38" s="21"/>
      <c r="VIO38" s="21"/>
      <c r="VIP38" s="21"/>
      <c r="VIQ38" s="21"/>
      <c r="VIR38" s="21"/>
      <c r="VIS38" s="21"/>
      <c r="VIT38" s="21"/>
      <c r="VIU38" s="21"/>
      <c r="VIV38" s="21"/>
      <c r="VIW38" s="21"/>
      <c r="VIX38" s="21"/>
      <c r="VIY38" s="21"/>
      <c r="VIZ38" s="21"/>
      <c r="VJA38" s="21"/>
      <c r="VJB38" s="21"/>
      <c r="VJC38" s="21"/>
      <c r="VJD38" s="21"/>
      <c r="VJE38" s="21"/>
      <c r="VJF38" s="21"/>
      <c r="VJG38" s="21"/>
      <c r="VJH38" s="21"/>
      <c r="VJI38" s="21"/>
      <c r="VJJ38" s="21"/>
      <c r="VJK38" s="21"/>
      <c r="VJL38" s="21"/>
      <c r="VJM38" s="21"/>
      <c r="VJN38" s="21"/>
      <c r="VJO38" s="21"/>
      <c r="VJP38" s="21"/>
      <c r="VJQ38" s="21"/>
      <c r="VJR38" s="21"/>
      <c r="VJS38" s="21"/>
      <c r="VJT38" s="21"/>
      <c r="VJU38" s="21"/>
      <c r="VJV38" s="21"/>
      <c r="VJW38" s="21"/>
      <c r="VJX38" s="21"/>
      <c r="VJY38" s="21"/>
      <c r="VJZ38" s="21"/>
      <c r="VKA38" s="21"/>
      <c r="VKB38" s="21"/>
      <c r="VKC38" s="21"/>
      <c r="VKD38" s="21"/>
      <c r="VKE38" s="21"/>
      <c r="VKF38" s="21"/>
      <c r="VKG38" s="21"/>
      <c r="VKH38" s="21"/>
      <c r="VKI38" s="21"/>
      <c r="VKJ38" s="21"/>
      <c r="VKK38" s="21"/>
      <c r="VKL38" s="21"/>
      <c r="VKM38" s="21"/>
      <c r="VKN38" s="21"/>
      <c r="VKO38" s="21"/>
      <c r="VKP38" s="21"/>
      <c r="VKQ38" s="21"/>
      <c r="VKR38" s="21"/>
      <c r="VKS38" s="21"/>
      <c r="VKT38" s="21"/>
      <c r="VKU38" s="21"/>
      <c r="VKV38" s="21"/>
      <c r="VKW38" s="21"/>
      <c r="VKX38" s="21"/>
      <c r="VKY38" s="21"/>
      <c r="VKZ38" s="21"/>
      <c r="VLA38" s="21"/>
      <c r="VLB38" s="21"/>
      <c r="VLC38" s="21"/>
      <c r="VLD38" s="21"/>
      <c r="VLE38" s="21"/>
      <c r="VLF38" s="21"/>
      <c r="VLG38" s="21"/>
      <c r="VLH38" s="21"/>
      <c r="VLI38" s="21"/>
      <c r="VLJ38" s="21"/>
      <c r="VLK38" s="21"/>
      <c r="VLL38" s="21"/>
      <c r="VLM38" s="21"/>
      <c r="VLN38" s="21"/>
      <c r="VLO38" s="21"/>
      <c r="VLP38" s="21"/>
      <c r="VLQ38" s="21"/>
      <c r="VLR38" s="21"/>
      <c r="VLS38" s="21"/>
      <c r="VLT38" s="21"/>
      <c r="VLU38" s="21"/>
      <c r="VLV38" s="21"/>
      <c r="VLW38" s="21"/>
      <c r="VLX38" s="21"/>
      <c r="VLY38" s="21"/>
      <c r="VLZ38" s="21"/>
      <c r="VMA38" s="21"/>
      <c r="VMB38" s="21"/>
      <c r="VMC38" s="21"/>
      <c r="VMD38" s="21"/>
      <c r="VME38" s="21"/>
      <c r="VMF38" s="21"/>
      <c r="VMG38" s="21"/>
      <c r="VMH38" s="21"/>
      <c r="VMI38" s="21"/>
      <c r="VMJ38" s="21"/>
      <c r="VMK38" s="21"/>
      <c r="VML38" s="21"/>
      <c r="VMM38" s="21"/>
      <c r="VMN38" s="21"/>
      <c r="VMO38" s="21"/>
      <c r="VMP38" s="21"/>
      <c r="VMQ38" s="21"/>
      <c r="VMR38" s="21"/>
      <c r="VMS38" s="21"/>
      <c r="VMT38" s="21"/>
      <c r="VMU38" s="21"/>
      <c r="VMV38" s="21"/>
      <c r="VMW38" s="21"/>
      <c r="VMX38" s="21"/>
      <c r="VMY38" s="21"/>
      <c r="VMZ38" s="21"/>
      <c r="VNA38" s="21"/>
      <c r="VNB38" s="21"/>
      <c r="VNC38" s="21"/>
      <c r="VND38" s="21"/>
      <c r="VNE38" s="21"/>
      <c r="VNF38" s="21"/>
      <c r="VNG38" s="21"/>
      <c r="VNH38" s="21"/>
      <c r="VNI38" s="21"/>
      <c r="VNJ38" s="21"/>
      <c r="VNK38" s="21"/>
      <c r="VNL38" s="21"/>
      <c r="VNM38" s="21"/>
      <c r="VNN38" s="21"/>
      <c r="VNO38" s="21"/>
      <c r="VNP38" s="21"/>
      <c r="VNQ38" s="21"/>
      <c r="VNR38" s="21"/>
      <c r="VNS38" s="21"/>
      <c r="VNT38" s="21"/>
      <c r="VNU38" s="21"/>
      <c r="VNV38" s="21"/>
      <c r="VNW38" s="21"/>
      <c r="VNX38" s="21"/>
      <c r="VNY38" s="21"/>
      <c r="VNZ38" s="21"/>
      <c r="VOA38" s="21"/>
      <c r="VOB38" s="21"/>
      <c r="VOC38" s="21"/>
      <c r="VOD38" s="21"/>
      <c r="VOE38" s="21"/>
      <c r="VOF38" s="21"/>
      <c r="VOG38" s="21"/>
      <c r="VOH38" s="21"/>
      <c r="VOI38" s="21"/>
      <c r="VOJ38" s="21"/>
      <c r="VOK38" s="21"/>
      <c r="VOL38" s="21"/>
      <c r="VOM38" s="21"/>
      <c r="VON38" s="21"/>
      <c r="VOO38" s="21"/>
      <c r="VOP38" s="21"/>
      <c r="VOQ38" s="21"/>
      <c r="VOR38" s="21"/>
      <c r="VOS38" s="21"/>
      <c r="VOT38" s="21"/>
      <c r="VOU38" s="21"/>
      <c r="VOV38" s="21"/>
      <c r="VOW38" s="21"/>
      <c r="VOX38" s="21"/>
      <c r="VOY38" s="21"/>
      <c r="VOZ38" s="21"/>
      <c r="VPA38" s="21"/>
      <c r="VPB38" s="21"/>
      <c r="VPC38" s="21"/>
      <c r="VPD38" s="21"/>
      <c r="VPE38" s="21"/>
      <c r="VPF38" s="21"/>
      <c r="VPG38" s="21"/>
      <c r="VPH38" s="21"/>
      <c r="VPI38" s="21"/>
      <c r="VPJ38" s="21"/>
      <c r="VPK38" s="21"/>
      <c r="VPL38" s="21"/>
      <c r="VPM38" s="21"/>
      <c r="VPN38" s="21"/>
      <c r="VPO38" s="21"/>
      <c r="VPP38" s="21"/>
      <c r="VPQ38" s="21"/>
      <c r="VPR38" s="21"/>
      <c r="VPS38" s="21"/>
      <c r="VPT38" s="21"/>
      <c r="VPU38" s="21"/>
      <c r="VPV38" s="21"/>
      <c r="VPW38" s="21"/>
      <c r="VPX38" s="21"/>
      <c r="VPY38" s="21"/>
      <c r="VPZ38" s="21"/>
      <c r="VQA38" s="21"/>
      <c r="VQB38" s="21"/>
      <c r="VQC38" s="21"/>
      <c r="VQD38" s="21"/>
      <c r="VQE38" s="21"/>
      <c r="VQF38" s="21"/>
      <c r="VQG38" s="21"/>
      <c r="VQH38" s="21"/>
      <c r="VQI38" s="21"/>
      <c r="VQJ38" s="21"/>
      <c r="VQK38" s="21"/>
      <c r="VQL38" s="21"/>
      <c r="VQM38" s="21"/>
      <c r="VQN38" s="21"/>
      <c r="VQO38" s="21"/>
      <c r="VQP38" s="21"/>
      <c r="VQQ38" s="21"/>
      <c r="VQR38" s="21"/>
      <c r="VQS38" s="21"/>
      <c r="VQT38" s="21"/>
      <c r="VQU38" s="21"/>
      <c r="VQV38" s="21"/>
      <c r="VQW38" s="21"/>
      <c r="VQX38" s="21"/>
      <c r="VQY38" s="21"/>
      <c r="VQZ38" s="21"/>
      <c r="VRA38" s="21"/>
      <c r="VRB38" s="21"/>
      <c r="VRC38" s="21"/>
      <c r="VRD38" s="21"/>
      <c r="VRE38" s="21"/>
      <c r="VRF38" s="21"/>
      <c r="VRG38" s="21"/>
      <c r="VRH38" s="21"/>
      <c r="VRI38" s="21"/>
      <c r="VRJ38" s="21"/>
      <c r="VRK38" s="21"/>
      <c r="VRL38" s="21"/>
      <c r="VRM38" s="21"/>
      <c r="VRN38" s="21"/>
      <c r="VRO38" s="21"/>
      <c r="VRP38" s="21"/>
      <c r="VRQ38" s="21"/>
      <c r="VRR38" s="21"/>
      <c r="VRS38" s="21"/>
      <c r="VRT38" s="21"/>
      <c r="VRU38" s="21"/>
      <c r="VRV38" s="21"/>
      <c r="VRW38" s="21"/>
      <c r="VRX38" s="21"/>
      <c r="VRY38" s="21"/>
      <c r="VRZ38" s="21"/>
      <c r="VSA38" s="21"/>
      <c r="VSB38" s="21"/>
      <c r="VSC38" s="21"/>
      <c r="VSD38" s="21"/>
      <c r="VSE38" s="21"/>
      <c r="VSF38" s="21"/>
      <c r="VSG38" s="21"/>
      <c r="VSH38" s="21"/>
      <c r="VSI38" s="21"/>
      <c r="VSJ38" s="21"/>
      <c r="VSK38" s="21"/>
      <c r="VSL38" s="21"/>
      <c r="VSM38" s="21"/>
      <c r="VSN38" s="21"/>
      <c r="VSO38" s="21"/>
      <c r="VSP38" s="21"/>
      <c r="VSQ38" s="21"/>
      <c r="VSR38" s="21"/>
      <c r="VSS38" s="21"/>
      <c r="VST38" s="21"/>
      <c r="VSU38" s="21"/>
      <c r="VSV38" s="21"/>
      <c r="VSW38" s="21"/>
      <c r="VSX38" s="21"/>
      <c r="VSY38" s="21"/>
      <c r="VSZ38" s="21"/>
      <c r="VTA38" s="21"/>
      <c r="VTB38" s="21"/>
      <c r="VTC38" s="21"/>
      <c r="VTD38" s="21"/>
      <c r="VTE38" s="21"/>
      <c r="VTF38" s="21"/>
      <c r="VTG38" s="21"/>
      <c r="VTH38" s="21"/>
      <c r="VTI38" s="21"/>
      <c r="VTJ38" s="21"/>
      <c r="VTK38" s="21"/>
      <c r="VTL38" s="21"/>
      <c r="VTM38" s="21"/>
      <c r="VTN38" s="21"/>
      <c r="VTO38" s="21"/>
      <c r="VTP38" s="21"/>
      <c r="VTQ38" s="21"/>
      <c r="VTR38" s="21"/>
      <c r="VTS38" s="21"/>
      <c r="VTT38" s="21"/>
      <c r="VTU38" s="21"/>
      <c r="VTV38" s="21"/>
      <c r="VTW38" s="21"/>
      <c r="VTX38" s="21"/>
      <c r="VTY38" s="21"/>
      <c r="VTZ38" s="21"/>
      <c r="VUA38" s="21"/>
      <c r="VUB38" s="21"/>
      <c r="VUC38" s="21"/>
      <c r="VUD38" s="21"/>
      <c r="VUE38" s="21"/>
      <c r="VUF38" s="21"/>
      <c r="VUG38" s="21"/>
      <c r="VUH38" s="21"/>
      <c r="VUI38" s="21"/>
      <c r="VUJ38" s="21"/>
      <c r="VUK38" s="21"/>
      <c r="VUL38" s="21"/>
      <c r="VUM38" s="21"/>
      <c r="VUN38" s="21"/>
      <c r="VUO38" s="21"/>
      <c r="VUP38" s="21"/>
      <c r="VUQ38" s="21"/>
      <c r="VUR38" s="21"/>
      <c r="VUS38" s="21"/>
      <c r="VUT38" s="21"/>
      <c r="VUU38" s="21"/>
      <c r="VUV38" s="21"/>
      <c r="VUW38" s="21"/>
      <c r="VUX38" s="21"/>
      <c r="VUY38" s="21"/>
      <c r="VUZ38" s="21"/>
      <c r="VVA38" s="21"/>
      <c r="VVB38" s="21"/>
      <c r="VVC38" s="21"/>
      <c r="VVD38" s="21"/>
      <c r="VVE38" s="21"/>
      <c r="VVF38" s="21"/>
      <c r="VVG38" s="21"/>
      <c r="VVH38" s="21"/>
      <c r="VVI38" s="21"/>
      <c r="VVJ38" s="21"/>
      <c r="VVK38" s="21"/>
      <c r="VVL38" s="21"/>
      <c r="VVM38" s="21"/>
      <c r="VVN38" s="21"/>
      <c r="VVO38" s="21"/>
      <c r="VVP38" s="21"/>
      <c r="VVQ38" s="21"/>
      <c r="VVR38" s="21"/>
      <c r="VVS38" s="21"/>
      <c r="VVT38" s="21"/>
      <c r="VVU38" s="21"/>
      <c r="VVV38" s="21"/>
      <c r="VVW38" s="21"/>
      <c r="VVX38" s="21"/>
      <c r="VVY38" s="21"/>
      <c r="VVZ38" s="21"/>
      <c r="VWA38" s="21"/>
      <c r="VWB38" s="21"/>
      <c r="VWC38" s="21"/>
      <c r="VWD38" s="21"/>
      <c r="VWE38" s="21"/>
      <c r="VWF38" s="21"/>
      <c r="VWG38" s="21"/>
      <c r="VWH38" s="21"/>
      <c r="VWI38" s="21"/>
      <c r="VWJ38" s="21"/>
      <c r="VWK38" s="21"/>
      <c r="VWL38" s="21"/>
      <c r="VWM38" s="21"/>
      <c r="VWN38" s="21"/>
      <c r="VWO38" s="21"/>
      <c r="VWP38" s="21"/>
      <c r="VWQ38" s="21"/>
      <c r="VWR38" s="21"/>
      <c r="VWS38" s="21"/>
      <c r="VWT38" s="21"/>
      <c r="VWU38" s="21"/>
      <c r="VWV38" s="21"/>
      <c r="VWW38" s="21"/>
      <c r="VWX38" s="21"/>
      <c r="VWY38" s="21"/>
      <c r="VWZ38" s="21"/>
      <c r="VXA38" s="21"/>
      <c r="VXB38" s="21"/>
      <c r="VXC38" s="21"/>
      <c r="VXD38" s="21"/>
      <c r="VXE38" s="21"/>
      <c r="VXF38" s="21"/>
      <c r="VXG38" s="21"/>
      <c r="VXH38" s="21"/>
      <c r="VXI38" s="21"/>
      <c r="VXJ38" s="21"/>
      <c r="VXK38" s="21"/>
      <c r="VXL38" s="21"/>
      <c r="VXM38" s="21"/>
      <c r="VXN38" s="21"/>
      <c r="VXO38" s="21"/>
      <c r="VXP38" s="21"/>
      <c r="VXQ38" s="21"/>
      <c r="VXR38" s="21"/>
      <c r="VXS38" s="21"/>
      <c r="VXT38" s="21"/>
      <c r="VXU38" s="21"/>
      <c r="VXV38" s="21"/>
      <c r="VXW38" s="21"/>
      <c r="VXX38" s="21"/>
      <c r="VXY38" s="21"/>
      <c r="VXZ38" s="21"/>
      <c r="VYA38" s="21"/>
      <c r="VYB38" s="21"/>
      <c r="VYC38" s="21"/>
      <c r="VYD38" s="21"/>
      <c r="VYE38" s="21"/>
      <c r="VYF38" s="21"/>
      <c r="VYG38" s="21"/>
      <c r="VYH38" s="21"/>
      <c r="VYI38" s="21"/>
      <c r="VYJ38" s="21"/>
      <c r="VYK38" s="21"/>
      <c r="VYL38" s="21"/>
      <c r="VYM38" s="21"/>
      <c r="VYN38" s="21"/>
      <c r="VYO38" s="21"/>
      <c r="VYP38" s="21"/>
      <c r="VYQ38" s="21"/>
      <c r="VYR38" s="21"/>
      <c r="VYS38" s="21"/>
      <c r="VYT38" s="21"/>
      <c r="VYU38" s="21"/>
      <c r="VYV38" s="21"/>
      <c r="VYW38" s="21"/>
      <c r="VYX38" s="21"/>
      <c r="VYY38" s="21"/>
      <c r="VYZ38" s="21"/>
      <c r="VZA38" s="21"/>
      <c r="VZB38" s="21"/>
      <c r="VZC38" s="21"/>
      <c r="VZD38" s="21"/>
      <c r="VZE38" s="21"/>
      <c r="VZF38" s="21"/>
      <c r="VZG38" s="21"/>
      <c r="VZH38" s="21"/>
      <c r="VZI38" s="21"/>
      <c r="VZJ38" s="21"/>
      <c r="VZK38" s="21"/>
      <c r="VZL38" s="21"/>
      <c r="VZM38" s="21"/>
      <c r="VZN38" s="21"/>
      <c r="VZO38" s="21"/>
      <c r="VZP38" s="21"/>
      <c r="VZQ38" s="21"/>
      <c r="VZR38" s="21"/>
      <c r="VZS38" s="21"/>
      <c r="VZT38" s="21"/>
      <c r="VZU38" s="21"/>
      <c r="VZV38" s="21"/>
      <c r="VZW38" s="21"/>
      <c r="VZX38" s="21"/>
      <c r="VZY38" s="21"/>
      <c r="VZZ38" s="21"/>
      <c r="WAA38" s="21"/>
      <c r="WAB38" s="21"/>
      <c r="WAC38" s="21"/>
      <c r="WAD38" s="21"/>
      <c r="WAE38" s="21"/>
      <c r="WAF38" s="21"/>
      <c r="WAG38" s="21"/>
      <c r="WAH38" s="21"/>
      <c r="WAI38" s="21"/>
      <c r="WAJ38" s="21"/>
      <c r="WAK38" s="21"/>
      <c r="WAL38" s="21"/>
      <c r="WAM38" s="21"/>
      <c r="WAN38" s="21"/>
      <c r="WAO38" s="21"/>
      <c r="WAP38" s="21"/>
      <c r="WAQ38" s="21"/>
      <c r="WAR38" s="21"/>
      <c r="WAS38" s="21"/>
      <c r="WAT38" s="21"/>
      <c r="WAU38" s="21"/>
      <c r="WAV38" s="21"/>
      <c r="WAW38" s="21"/>
      <c r="WAX38" s="21"/>
      <c r="WAY38" s="21"/>
      <c r="WAZ38" s="21"/>
      <c r="WBA38" s="21"/>
      <c r="WBB38" s="21"/>
      <c r="WBC38" s="21"/>
      <c r="WBD38" s="21"/>
      <c r="WBE38" s="21"/>
      <c r="WBF38" s="21"/>
      <c r="WBG38" s="21"/>
      <c r="WBH38" s="21"/>
      <c r="WBI38" s="21"/>
      <c r="WBJ38" s="21"/>
      <c r="WBK38" s="21"/>
      <c r="WBL38" s="21"/>
      <c r="WBM38" s="21"/>
      <c r="WBN38" s="21"/>
      <c r="WBO38" s="21"/>
      <c r="WBP38" s="21"/>
      <c r="WBQ38" s="21"/>
      <c r="WBR38" s="21"/>
      <c r="WBS38" s="21"/>
      <c r="WBT38" s="21"/>
      <c r="WBU38" s="21"/>
      <c r="WBV38" s="21"/>
      <c r="WBW38" s="21"/>
      <c r="WBX38" s="21"/>
      <c r="WBY38" s="21"/>
      <c r="WBZ38" s="21"/>
      <c r="WCA38" s="21"/>
      <c r="WCB38" s="21"/>
      <c r="WCC38" s="21"/>
      <c r="WCD38" s="21"/>
      <c r="WCE38" s="21"/>
      <c r="WCF38" s="21"/>
      <c r="WCG38" s="21"/>
      <c r="WCH38" s="21"/>
      <c r="WCI38" s="21"/>
      <c r="WCJ38" s="21"/>
      <c r="WCK38" s="21"/>
      <c r="WCL38" s="21"/>
      <c r="WCM38" s="21"/>
      <c r="WCN38" s="21"/>
      <c r="WCO38" s="21"/>
      <c r="WCP38" s="21"/>
      <c r="WCQ38" s="21"/>
      <c r="WCR38" s="21"/>
      <c r="WCS38" s="21"/>
      <c r="WCT38" s="21"/>
      <c r="WCU38" s="21"/>
      <c r="WCV38" s="21"/>
      <c r="WCW38" s="21"/>
      <c r="WCX38" s="21"/>
      <c r="WCY38" s="21"/>
      <c r="WCZ38" s="21"/>
      <c r="WDA38" s="21"/>
      <c r="WDB38" s="21"/>
      <c r="WDC38" s="21"/>
      <c r="WDD38" s="21"/>
      <c r="WDE38" s="21"/>
      <c r="WDF38" s="21"/>
      <c r="WDG38" s="21"/>
      <c r="WDH38" s="21"/>
      <c r="WDI38" s="21"/>
      <c r="WDJ38" s="21"/>
      <c r="WDK38" s="21"/>
      <c r="WDL38" s="21"/>
      <c r="WDM38" s="21"/>
      <c r="WDN38" s="21"/>
      <c r="WDO38" s="21"/>
      <c r="WDP38" s="21"/>
      <c r="WDQ38" s="21"/>
      <c r="WDR38" s="21"/>
      <c r="WDS38" s="21"/>
      <c r="WDT38" s="21"/>
      <c r="WDU38" s="21"/>
      <c r="WDV38" s="21"/>
      <c r="WDW38" s="21"/>
      <c r="WDX38" s="21"/>
      <c r="WDY38" s="21"/>
      <c r="WDZ38" s="21"/>
      <c r="WEA38" s="21"/>
      <c r="WEB38" s="21"/>
      <c r="WEC38" s="21"/>
      <c r="WED38" s="21"/>
      <c r="WEE38" s="21"/>
      <c r="WEF38" s="21"/>
      <c r="WEG38" s="21"/>
      <c r="WEH38" s="21"/>
      <c r="WEI38" s="21"/>
      <c r="WEJ38" s="21"/>
      <c r="WEK38" s="21"/>
      <c r="WEL38" s="21"/>
      <c r="WEM38" s="21"/>
      <c r="WEN38" s="21"/>
      <c r="WEO38" s="21"/>
      <c r="WEP38" s="21"/>
      <c r="WEQ38" s="21"/>
      <c r="WER38" s="21"/>
      <c r="WES38" s="21"/>
      <c r="WET38" s="21"/>
      <c r="WEU38" s="21"/>
      <c r="WEV38" s="21"/>
      <c r="WEW38" s="21"/>
      <c r="WEX38" s="21"/>
      <c r="WEY38" s="21"/>
      <c r="WEZ38" s="21"/>
      <c r="WFA38" s="21"/>
      <c r="WFB38" s="21"/>
      <c r="WFC38" s="21"/>
      <c r="WFD38" s="21"/>
      <c r="WFE38" s="21"/>
      <c r="WFF38" s="21"/>
      <c r="WFG38" s="21"/>
      <c r="WFH38" s="21"/>
      <c r="WFI38" s="21"/>
      <c r="WFJ38" s="21"/>
      <c r="WFK38" s="21"/>
      <c r="WFL38" s="21"/>
      <c r="WFM38" s="21"/>
      <c r="WFN38" s="21"/>
      <c r="WFO38" s="21"/>
      <c r="WFP38" s="21"/>
      <c r="WFQ38" s="21"/>
      <c r="WFR38" s="21"/>
      <c r="WFS38" s="21"/>
      <c r="WFT38" s="21"/>
      <c r="WFU38" s="21"/>
      <c r="WFV38" s="21"/>
      <c r="WFW38" s="21"/>
      <c r="WFX38" s="21"/>
      <c r="WFY38" s="21"/>
      <c r="WFZ38" s="21"/>
      <c r="WGA38" s="21"/>
      <c r="WGB38" s="21"/>
      <c r="WGC38" s="21"/>
      <c r="WGD38" s="21"/>
      <c r="WGE38" s="21"/>
      <c r="WGF38" s="21"/>
      <c r="WGG38" s="21"/>
      <c r="WGH38" s="21"/>
      <c r="WGI38" s="21"/>
      <c r="WGJ38" s="21"/>
      <c r="WGK38" s="21"/>
      <c r="WGL38" s="21"/>
      <c r="WGM38" s="21"/>
      <c r="WGN38" s="21"/>
      <c r="WGO38" s="21"/>
      <c r="WGP38" s="21"/>
      <c r="WGQ38" s="21"/>
      <c r="WGR38" s="21"/>
      <c r="WGS38" s="21"/>
      <c r="WGT38" s="21"/>
      <c r="WGU38" s="21"/>
      <c r="WGV38" s="21"/>
      <c r="WGW38" s="21"/>
      <c r="WGX38" s="21"/>
      <c r="WGY38" s="21"/>
      <c r="WGZ38" s="21"/>
      <c r="WHA38" s="21"/>
      <c r="WHB38" s="21"/>
      <c r="WHC38" s="21"/>
      <c r="WHD38" s="21"/>
      <c r="WHE38" s="21"/>
      <c r="WHF38" s="21"/>
      <c r="WHG38" s="21"/>
      <c r="WHH38" s="21"/>
      <c r="WHI38" s="21"/>
      <c r="WHJ38" s="21"/>
      <c r="WHK38" s="21"/>
      <c r="WHL38" s="21"/>
      <c r="WHM38" s="21"/>
      <c r="WHN38" s="21"/>
      <c r="WHO38" s="21"/>
      <c r="WHP38" s="21"/>
      <c r="WHQ38" s="21"/>
      <c r="WHR38" s="21"/>
      <c r="WHS38" s="21"/>
      <c r="WHT38" s="21"/>
      <c r="WHU38" s="21"/>
      <c r="WHV38" s="21"/>
      <c r="WHW38" s="21"/>
      <c r="WHX38" s="21"/>
      <c r="WHY38" s="21"/>
      <c r="WHZ38" s="21"/>
      <c r="WIA38" s="21"/>
      <c r="WIB38" s="21"/>
      <c r="WIC38" s="21"/>
      <c r="WID38" s="21"/>
      <c r="WIE38" s="21"/>
      <c r="WIF38" s="21"/>
      <c r="WIG38" s="21"/>
      <c r="WIH38" s="21"/>
      <c r="WII38" s="21"/>
      <c r="WIJ38" s="21"/>
      <c r="WIK38" s="21"/>
      <c r="WIL38" s="21"/>
      <c r="WIM38" s="21"/>
      <c r="WIN38" s="21"/>
      <c r="WIO38" s="21"/>
      <c r="WIP38" s="21"/>
      <c r="WIQ38" s="21"/>
      <c r="WIR38" s="21"/>
      <c r="WIS38" s="21"/>
      <c r="WIT38" s="21"/>
      <c r="WIU38" s="21"/>
      <c r="WIV38" s="21"/>
      <c r="WIW38" s="21"/>
      <c r="WIX38" s="21"/>
      <c r="WIY38" s="21"/>
      <c r="WIZ38" s="21"/>
      <c r="WJA38" s="21"/>
      <c r="WJB38" s="21"/>
      <c r="WJC38" s="21"/>
      <c r="WJD38" s="21"/>
      <c r="WJE38" s="21"/>
      <c r="WJF38" s="21"/>
      <c r="WJG38" s="21"/>
      <c r="WJH38" s="21"/>
      <c r="WJI38" s="21"/>
      <c r="WJJ38" s="21"/>
      <c r="WJK38" s="21"/>
      <c r="WJL38" s="21"/>
      <c r="WJM38" s="21"/>
      <c r="WJN38" s="21"/>
      <c r="WJO38" s="21"/>
      <c r="WJP38" s="21"/>
      <c r="WJQ38" s="21"/>
      <c r="WJR38" s="21"/>
      <c r="WJS38" s="21"/>
      <c r="WJT38" s="21"/>
      <c r="WJU38" s="21"/>
      <c r="WJV38" s="21"/>
      <c r="WJW38" s="21"/>
      <c r="WJX38" s="21"/>
      <c r="WJY38" s="21"/>
      <c r="WJZ38" s="21"/>
      <c r="WKA38" s="21"/>
      <c r="WKB38" s="21"/>
      <c r="WKC38" s="21"/>
      <c r="WKD38" s="21"/>
      <c r="WKE38" s="21"/>
      <c r="WKF38" s="21"/>
      <c r="WKG38" s="21"/>
      <c r="WKH38" s="21"/>
      <c r="WKI38" s="21"/>
      <c r="WKJ38" s="21"/>
      <c r="WKK38" s="21"/>
      <c r="WKL38" s="21"/>
      <c r="WKM38" s="21"/>
      <c r="WKN38" s="21"/>
      <c r="WKO38" s="21"/>
      <c r="WKP38" s="21"/>
      <c r="WKQ38" s="21"/>
      <c r="WKR38" s="21"/>
      <c r="WKS38" s="21"/>
      <c r="WKT38" s="21"/>
      <c r="WKU38" s="21"/>
      <c r="WKV38" s="21"/>
      <c r="WKW38" s="21"/>
      <c r="WKX38" s="21"/>
      <c r="WKY38" s="21"/>
      <c r="WKZ38" s="21"/>
      <c r="WLA38" s="21"/>
      <c r="WLB38" s="21"/>
      <c r="WLC38" s="21"/>
      <c r="WLD38" s="21"/>
      <c r="WLE38" s="21"/>
      <c r="WLF38" s="21"/>
      <c r="WLG38" s="21"/>
      <c r="WLH38" s="21"/>
      <c r="WLI38" s="21"/>
      <c r="WLJ38" s="21"/>
      <c r="WLK38" s="21"/>
      <c r="WLL38" s="21"/>
      <c r="WLM38" s="21"/>
      <c r="WLN38" s="21"/>
      <c r="WLO38" s="21"/>
      <c r="WLP38" s="21"/>
      <c r="WLQ38" s="21"/>
      <c r="WLR38" s="21"/>
      <c r="WLS38" s="21"/>
      <c r="WLT38" s="21"/>
      <c r="WLU38" s="21"/>
      <c r="WLV38" s="21"/>
      <c r="WLW38" s="21"/>
      <c r="WLX38" s="21"/>
      <c r="WLY38" s="21"/>
      <c r="WLZ38" s="21"/>
      <c r="WMA38" s="21"/>
      <c r="WMB38" s="21"/>
      <c r="WMC38" s="21"/>
      <c r="WMD38" s="21"/>
      <c r="WME38" s="21"/>
      <c r="WMF38" s="21"/>
      <c r="WMG38" s="21"/>
      <c r="WMH38" s="21"/>
      <c r="WMI38" s="21"/>
      <c r="WMJ38" s="21"/>
      <c r="WMK38" s="21"/>
      <c r="WML38" s="21"/>
      <c r="WMM38" s="21"/>
      <c r="WMN38" s="21"/>
      <c r="WMO38" s="21"/>
      <c r="WMP38" s="21"/>
      <c r="WMQ38" s="21"/>
      <c r="WMR38" s="21"/>
      <c r="WMS38" s="21"/>
      <c r="WMT38" s="21"/>
      <c r="WMU38" s="21"/>
      <c r="WMV38" s="21"/>
      <c r="WMW38" s="21"/>
      <c r="WMX38" s="21"/>
      <c r="WMY38" s="21"/>
      <c r="WMZ38" s="21"/>
      <c r="WNA38" s="21"/>
      <c r="WNB38" s="21"/>
      <c r="WNC38" s="21"/>
      <c r="WND38" s="21"/>
      <c r="WNE38" s="21"/>
      <c r="WNF38" s="21"/>
      <c r="WNG38" s="21"/>
      <c r="WNH38" s="21"/>
      <c r="WNI38" s="21"/>
      <c r="WNJ38" s="21"/>
      <c r="WNK38" s="21"/>
      <c r="WNL38" s="21"/>
      <c r="WNM38" s="21"/>
      <c r="WNN38" s="21"/>
      <c r="WNO38" s="21"/>
      <c r="WNP38" s="21"/>
      <c r="WNQ38" s="21"/>
      <c r="WNR38" s="21"/>
      <c r="WNS38" s="21"/>
      <c r="WNT38" s="21"/>
      <c r="WNU38" s="21"/>
      <c r="WNV38" s="21"/>
      <c r="WNW38" s="21"/>
      <c r="WNX38" s="21"/>
      <c r="WNY38" s="21"/>
      <c r="WNZ38" s="21"/>
      <c r="WOA38" s="21"/>
      <c r="WOB38" s="21"/>
      <c r="WOC38" s="21"/>
      <c r="WOD38" s="21"/>
      <c r="WOE38" s="21"/>
      <c r="WOF38" s="21"/>
      <c r="WOG38" s="21"/>
      <c r="WOH38" s="21"/>
      <c r="WOI38" s="21"/>
      <c r="WOJ38" s="21"/>
      <c r="WOK38" s="21"/>
      <c r="WOL38" s="21"/>
      <c r="WOM38" s="21"/>
      <c r="WON38" s="21"/>
      <c r="WOO38" s="21"/>
      <c r="WOP38" s="21"/>
      <c r="WOQ38" s="21"/>
      <c r="WOR38" s="21"/>
      <c r="WOS38" s="21"/>
      <c r="WOT38" s="21"/>
      <c r="WOU38" s="21"/>
      <c r="WOV38" s="21"/>
      <c r="WOW38" s="21"/>
      <c r="WOX38" s="21"/>
      <c r="WOY38" s="21"/>
      <c r="WOZ38" s="21"/>
      <c r="WPA38" s="21"/>
      <c r="WPB38" s="21"/>
      <c r="WPC38" s="21"/>
      <c r="WPD38" s="21"/>
      <c r="WPE38" s="21"/>
      <c r="WPF38" s="21"/>
      <c r="WPG38" s="21"/>
      <c r="WPH38" s="21"/>
      <c r="WPI38" s="21"/>
      <c r="WPJ38" s="21"/>
      <c r="WPK38" s="21"/>
      <c r="WPL38" s="21"/>
      <c r="WPM38" s="21"/>
      <c r="WPN38" s="21"/>
      <c r="WPO38" s="21"/>
      <c r="WPP38" s="21"/>
      <c r="WPQ38" s="21"/>
      <c r="WPR38" s="21"/>
      <c r="WPS38" s="21"/>
      <c r="WPT38" s="21"/>
      <c r="WPU38" s="21"/>
      <c r="WPV38" s="21"/>
      <c r="WPW38" s="21"/>
      <c r="WPX38" s="21"/>
      <c r="WPY38" s="21"/>
      <c r="WPZ38" s="21"/>
      <c r="WQA38" s="21"/>
      <c r="WQB38" s="21"/>
      <c r="WQC38" s="21"/>
      <c r="WQD38" s="21"/>
      <c r="WQE38" s="21"/>
      <c r="WQF38" s="21"/>
      <c r="WQG38" s="21"/>
      <c r="WQH38" s="21"/>
      <c r="WQI38" s="21"/>
      <c r="WQJ38" s="21"/>
      <c r="WQK38" s="21"/>
      <c r="WQL38" s="21"/>
      <c r="WQM38" s="21"/>
      <c r="WQN38" s="21"/>
      <c r="WQO38" s="21"/>
      <c r="WQP38" s="21"/>
      <c r="WQQ38" s="21"/>
      <c r="WQR38" s="21"/>
      <c r="WQS38" s="21"/>
      <c r="WQT38" s="21"/>
      <c r="WQU38" s="21"/>
      <c r="WQV38" s="21"/>
      <c r="WQW38" s="21"/>
      <c r="WQX38" s="21"/>
      <c r="WQY38" s="21"/>
      <c r="WQZ38" s="21"/>
      <c r="WRA38" s="21"/>
      <c r="WRB38" s="21"/>
      <c r="WRC38" s="21"/>
      <c r="WRD38" s="21"/>
      <c r="WRE38" s="21"/>
      <c r="WRF38" s="21"/>
      <c r="WRG38" s="21"/>
      <c r="WRH38" s="21"/>
      <c r="WRI38" s="21"/>
      <c r="WRJ38" s="21"/>
      <c r="WRK38" s="21"/>
      <c r="WRL38" s="21"/>
      <c r="WRM38" s="21"/>
      <c r="WRN38" s="21"/>
      <c r="WRO38" s="21"/>
      <c r="WRP38" s="21"/>
      <c r="WRQ38" s="21"/>
      <c r="WRR38" s="21"/>
      <c r="WRS38" s="21"/>
      <c r="WRT38" s="21"/>
      <c r="WRU38" s="21"/>
      <c r="WRV38" s="21"/>
      <c r="WRW38" s="21"/>
      <c r="WRX38" s="21"/>
      <c r="WRY38" s="21"/>
      <c r="WRZ38" s="21"/>
      <c r="WSA38" s="21"/>
      <c r="WSB38" s="21"/>
      <c r="WSC38" s="21"/>
      <c r="WSD38" s="21"/>
      <c r="WSE38" s="21"/>
      <c r="WSF38" s="21"/>
      <c r="WSG38" s="21"/>
      <c r="WSH38" s="21"/>
      <c r="WSI38" s="21"/>
      <c r="WSJ38" s="21"/>
      <c r="WSK38" s="21"/>
      <c r="WSL38" s="21"/>
      <c r="WSM38" s="21"/>
      <c r="WSN38" s="21"/>
      <c r="WSO38" s="21"/>
      <c r="WSP38" s="21"/>
      <c r="WSQ38" s="21"/>
      <c r="WSR38" s="21"/>
      <c r="WSS38" s="21"/>
      <c r="WST38" s="21"/>
      <c r="WSU38" s="21"/>
      <c r="WSV38" s="21"/>
      <c r="WSW38" s="21"/>
      <c r="WSX38" s="21"/>
      <c r="WSY38" s="21"/>
      <c r="WSZ38" s="21"/>
      <c r="WTA38" s="21"/>
      <c r="WTB38" s="21"/>
      <c r="WTC38" s="21"/>
      <c r="WTD38" s="21"/>
      <c r="WTE38" s="21"/>
      <c r="WTF38" s="21"/>
      <c r="WTG38" s="21"/>
      <c r="WTH38" s="21"/>
      <c r="WTI38" s="21"/>
      <c r="WTJ38" s="21"/>
      <c r="WTK38" s="21"/>
      <c r="WTL38" s="21"/>
      <c r="WTM38" s="21"/>
      <c r="WTN38" s="21"/>
      <c r="WTO38" s="21"/>
      <c r="WTP38" s="21"/>
      <c r="WTQ38" s="21"/>
      <c r="WTR38" s="21"/>
      <c r="WTS38" s="21"/>
      <c r="WTT38" s="21"/>
      <c r="WTU38" s="21"/>
      <c r="WTV38" s="21"/>
      <c r="WTW38" s="21"/>
      <c r="WTX38" s="21"/>
      <c r="WTY38" s="21"/>
      <c r="WTZ38" s="21"/>
      <c r="WUA38" s="21"/>
      <c r="WUB38" s="21"/>
      <c r="WUC38" s="21"/>
      <c r="WUD38" s="21"/>
      <c r="WUE38" s="21"/>
      <c r="WUF38" s="21"/>
      <c r="WUG38" s="21"/>
      <c r="WUH38" s="21"/>
      <c r="WUI38" s="21"/>
      <c r="WUJ38" s="21"/>
      <c r="WUK38" s="21"/>
      <c r="WUL38" s="21"/>
      <c r="WUM38" s="21"/>
      <c r="WUN38" s="21"/>
      <c r="WUO38" s="21"/>
      <c r="WUP38" s="21"/>
      <c r="WUQ38" s="21"/>
      <c r="WUR38" s="21"/>
      <c r="WUS38" s="21"/>
      <c r="WUT38" s="21"/>
      <c r="WUU38" s="21"/>
      <c r="WUV38" s="21"/>
      <c r="WUW38" s="21"/>
      <c r="WUX38" s="21"/>
      <c r="WUY38" s="21"/>
      <c r="WUZ38" s="21"/>
      <c r="WVA38" s="21"/>
      <c r="WVB38" s="21"/>
      <c r="WVC38" s="21"/>
      <c r="WVD38" s="21"/>
      <c r="WVE38" s="21"/>
      <c r="WVF38" s="21"/>
      <c r="WVG38" s="21"/>
      <c r="WVH38" s="21"/>
      <c r="WVI38" s="21"/>
      <c r="WVJ38" s="21"/>
      <c r="WVK38" s="21"/>
      <c r="WVL38" s="21"/>
      <c r="WVM38" s="21"/>
      <c r="WVN38" s="21"/>
      <c r="WVO38" s="21"/>
      <c r="WVP38" s="21"/>
      <c r="WVQ38" s="21"/>
      <c r="WVR38" s="21"/>
      <c r="WVS38" s="21"/>
      <c r="WVT38" s="21"/>
      <c r="WVU38" s="21"/>
      <c r="WVV38" s="21"/>
      <c r="WVW38" s="21"/>
      <c r="WVX38" s="21"/>
      <c r="WVY38" s="21"/>
      <c r="WVZ38" s="21"/>
      <c r="WWA38" s="21"/>
      <c r="WWB38" s="21"/>
      <c r="WWC38" s="21"/>
      <c r="WWD38" s="21"/>
      <c r="WWE38" s="21"/>
      <c r="WWF38" s="21"/>
      <c r="WWG38" s="21"/>
      <c r="WWH38" s="21"/>
      <c r="WWI38" s="21"/>
      <c r="WWJ38" s="21"/>
      <c r="WWK38" s="21"/>
      <c r="WWL38" s="21"/>
      <c r="WWM38" s="21"/>
      <c r="WWN38" s="21"/>
      <c r="WWO38" s="21"/>
      <c r="WWP38" s="21"/>
      <c r="WWQ38" s="21"/>
      <c r="WWR38" s="21"/>
      <c r="WWS38" s="21"/>
      <c r="WWT38" s="21"/>
      <c r="WWU38" s="21"/>
      <c r="WWV38" s="21"/>
      <c r="WWW38" s="21"/>
      <c r="WWX38" s="21"/>
      <c r="WWY38" s="21"/>
      <c r="WWZ38" s="21"/>
      <c r="WXA38" s="21"/>
      <c r="WXB38" s="21"/>
      <c r="WXC38" s="21"/>
      <c r="WXD38" s="21"/>
      <c r="WXE38" s="21"/>
      <c r="WXF38" s="21"/>
      <c r="WXG38" s="21"/>
      <c r="WXH38" s="21"/>
      <c r="WXI38" s="21"/>
      <c r="WXJ38" s="21"/>
      <c r="WXK38" s="21"/>
      <c r="WXL38" s="21"/>
      <c r="WXM38" s="21"/>
      <c r="WXN38" s="21"/>
      <c r="WXO38" s="21"/>
      <c r="WXP38" s="21"/>
      <c r="WXQ38" s="21"/>
      <c r="WXR38" s="21"/>
      <c r="WXS38" s="21"/>
      <c r="WXT38" s="21"/>
      <c r="WXU38" s="21"/>
      <c r="WXV38" s="21"/>
      <c r="WXW38" s="21"/>
      <c r="WXX38" s="21"/>
      <c r="WXY38" s="21"/>
      <c r="WXZ38" s="21"/>
      <c r="WYA38" s="21"/>
      <c r="WYB38" s="21"/>
      <c r="WYC38" s="21"/>
      <c r="WYD38" s="21"/>
      <c r="WYE38" s="21"/>
      <c r="WYF38" s="21"/>
      <c r="WYG38" s="21"/>
      <c r="WYH38" s="21"/>
      <c r="WYI38" s="21"/>
      <c r="WYJ38" s="21"/>
      <c r="WYK38" s="21"/>
      <c r="WYL38" s="21"/>
      <c r="WYM38" s="21"/>
      <c r="WYN38" s="21"/>
      <c r="WYO38" s="21"/>
      <c r="WYP38" s="21"/>
      <c r="WYQ38" s="21"/>
      <c r="WYR38" s="21"/>
      <c r="WYS38" s="21"/>
      <c r="WYT38" s="21"/>
      <c r="WYU38" s="21"/>
      <c r="WYV38" s="21"/>
      <c r="WYW38" s="21"/>
      <c r="WYX38" s="21"/>
      <c r="WYY38" s="21"/>
      <c r="WYZ38" s="21"/>
      <c r="WZA38" s="21"/>
      <c r="WZB38" s="21"/>
      <c r="WZC38" s="21"/>
      <c r="WZD38" s="21"/>
      <c r="WZE38" s="21"/>
      <c r="WZF38" s="21"/>
      <c r="WZG38" s="21"/>
      <c r="WZH38" s="21"/>
      <c r="WZI38" s="21"/>
      <c r="WZJ38" s="21"/>
      <c r="WZK38" s="21"/>
      <c r="WZL38" s="21"/>
      <c r="WZM38" s="21"/>
      <c r="WZN38" s="21"/>
      <c r="WZO38" s="21"/>
      <c r="WZP38" s="21"/>
      <c r="WZQ38" s="21"/>
      <c r="WZR38" s="21"/>
      <c r="WZS38" s="21"/>
      <c r="WZT38" s="21"/>
      <c r="WZU38" s="21"/>
      <c r="WZV38" s="21"/>
      <c r="WZW38" s="21"/>
      <c r="WZX38" s="21"/>
      <c r="WZY38" s="21"/>
      <c r="WZZ38" s="21"/>
      <c r="XAA38" s="21"/>
      <c r="XAB38" s="21"/>
      <c r="XAC38" s="21"/>
      <c r="XAD38" s="21"/>
      <c r="XAE38" s="21"/>
      <c r="XAF38" s="21"/>
      <c r="XAG38" s="21"/>
      <c r="XAH38" s="21"/>
      <c r="XAI38" s="21"/>
      <c r="XAJ38" s="21"/>
      <c r="XAK38" s="21"/>
      <c r="XAL38" s="21"/>
      <c r="XAM38" s="21"/>
      <c r="XAN38" s="21"/>
      <c r="XAO38" s="21"/>
      <c r="XAP38" s="21"/>
      <c r="XAQ38" s="21"/>
      <c r="XAR38" s="21"/>
      <c r="XAS38" s="21"/>
      <c r="XAT38" s="21"/>
      <c r="XAU38" s="21"/>
      <c r="XAV38" s="21"/>
      <c r="XAW38" s="21"/>
      <c r="XAX38" s="21"/>
      <c r="XAY38" s="21"/>
      <c r="XAZ38" s="21"/>
      <c r="XBA38" s="21"/>
      <c r="XBB38" s="21"/>
      <c r="XBC38" s="21"/>
      <c r="XBD38" s="21"/>
      <c r="XBE38" s="21"/>
      <c r="XBF38" s="21"/>
      <c r="XBG38" s="21"/>
      <c r="XBH38" s="21"/>
      <c r="XBI38" s="21"/>
      <c r="XBJ38" s="21"/>
      <c r="XBK38" s="21"/>
      <c r="XBL38" s="21"/>
      <c r="XBM38" s="21"/>
      <c r="XBN38" s="21"/>
      <c r="XBO38" s="21"/>
      <c r="XBP38" s="21"/>
      <c r="XBQ38" s="21"/>
      <c r="XBR38" s="21"/>
      <c r="XBS38" s="21"/>
      <c r="XBT38" s="21"/>
      <c r="XBU38" s="21"/>
      <c r="XBV38" s="21"/>
      <c r="XBW38" s="21"/>
      <c r="XBX38" s="21"/>
      <c r="XBY38" s="21"/>
      <c r="XBZ38" s="21"/>
      <c r="XCA38" s="21"/>
      <c r="XCB38" s="21"/>
      <c r="XCC38" s="21"/>
      <c r="XCD38" s="21"/>
      <c r="XCE38" s="21"/>
      <c r="XCF38" s="21"/>
      <c r="XCG38" s="21"/>
      <c r="XCH38" s="21"/>
      <c r="XCI38" s="21"/>
      <c r="XCJ38" s="21"/>
      <c r="XCK38" s="21"/>
      <c r="XCL38" s="21"/>
      <c r="XCM38" s="21"/>
      <c r="XCN38" s="21"/>
      <c r="XCO38" s="21"/>
      <c r="XCP38" s="21"/>
      <c r="XCQ38" s="21"/>
      <c r="XCR38" s="21"/>
      <c r="XCS38" s="21"/>
      <c r="XCT38" s="21"/>
      <c r="XCU38" s="21"/>
      <c r="XCV38" s="21"/>
      <c r="XCW38" s="21"/>
      <c r="XCX38" s="21"/>
      <c r="XCY38" s="21"/>
      <c r="XCZ38" s="21"/>
      <c r="XDA38" s="21"/>
      <c r="XDB38" s="21"/>
      <c r="XDC38" s="21"/>
      <c r="XDD38" s="21"/>
      <c r="XDE38" s="21"/>
      <c r="XDF38" s="21"/>
      <c r="XDG38" s="21"/>
      <c r="XDH38" s="21"/>
      <c r="XDI38" s="21"/>
      <c r="XDJ38" s="21"/>
      <c r="XDK38" s="21"/>
      <c r="XDL38" s="21"/>
      <c r="XDM38" s="21"/>
      <c r="XDN38" s="21"/>
      <c r="XDO38" s="21"/>
      <c r="XDP38" s="21"/>
      <c r="XDQ38" s="21"/>
      <c r="XDR38" s="21"/>
      <c r="XDS38" s="21"/>
      <c r="XDT38" s="21"/>
      <c r="XDU38" s="21"/>
      <c r="XDV38" s="21"/>
      <c r="XDW38" s="21"/>
      <c r="XDX38" s="21"/>
      <c r="XDY38" s="21"/>
      <c r="XDZ38" s="21"/>
      <c r="XEA38" s="21"/>
      <c r="XEB38" s="21"/>
      <c r="XEC38" s="21"/>
      <c r="XED38" s="21"/>
      <c r="XEE38" s="21"/>
      <c r="XEF38" s="21"/>
      <c r="XEG38" s="21"/>
      <c r="XEH38" s="21"/>
      <c r="XEI38" s="21"/>
      <c r="XEJ38" s="21"/>
      <c r="XEK38" s="21"/>
      <c r="XEL38" s="21"/>
      <c r="XEM38" s="21"/>
      <c r="XEN38" s="21"/>
      <c r="XEO38" s="21"/>
      <c r="XEP38" s="21"/>
      <c r="XEQ38" s="21"/>
      <c r="XER38" s="21"/>
      <c r="XES38" s="21"/>
      <c r="XET38" s="21"/>
      <c r="XEU38" s="21"/>
      <c r="XEV38" s="21"/>
      <c r="XEW38" s="21"/>
      <c r="XEX38" s="21"/>
      <c r="XEY38" s="21"/>
      <c r="XEZ38" s="21"/>
      <c r="XFA38" s="21"/>
      <c r="XFB38" s="21"/>
      <c r="XFC38" s="21"/>
      <c r="XFD38" s="21"/>
    </row>
    <row r="39" spans="1:16384" ht="17" thickTop="1">
      <c r="XEJ39" s="19"/>
    </row>
    <row r="40" spans="1:16384">
      <c r="B40" s="182" t="s">
        <v>137</v>
      </c>
      <c r="C40" s="182"/>
      <c r="D40" s="182"/>
      <c r="E40" s="182"/>
      <c r="F40" s="182"/>
    </row>
    <row r="41" spans="1:16384">
      <c r="B41" s="25"/>
      <c r="C41" s="25"/>
      <c r="D41" s="25"/>
      <c r="E41" s="25"/>
      <c r="F41" s="25"/>
    </row>
    <row r="42" spans="1:16384" ht="19">
      <c r="B42" s="25" t="s">
        <v>157</v>
      </c>
      <c r="C42" s="25"/>
      <c r="D42" s="25"/>
      <c r="E42" s="183">
        <f>Riskfree_Return</f>
        <v>0.04</v>
      </c>
      <c r="F42" s="184">
        <v>1</v>
      </c>
    </row>
    <row r="43" spans="1:16384" ht="18">
      <c r="B43" s="25" t="s">
        <v>138</v>
      </c>
      <c r="C43" s="25"/>
      <c r="D43" s="25"/>
      <c r="E43" s="185">
        <f>Beta_Equity</f>
        <v>1</v>
      </c>
      <c r="F43" s="184">
        <v>2</v>
      </c>
    </row>
    <row r="44" spans="1:16384" ht="19">
      <c r="B44" s="25" t="s">
        <v>158</v>
      </c>
      <c r="C44" s="25"/>
      <c r="D44" s="25"/>
      <c r="E44" s="183">
        <f>Risk_Premium</f>
        <v>3.0000000000000006E-2</v>
      </c>
      <c r="F44" s="184">
        <v>3</v>
      </c>
    </row>
    <row r="45" spans="1:16384" ht="17" customHeight="1">
      <c r="B45" s="186" t="s">
        <v>159</v>
      </c>
      <c r="C45" s="187"/>
      <c r="D45" s="188"/>
      <c r="E45" s="189">
        <f>E42+E43*E44</f>
        <v>7.0000000000000007E-2</v>
      </c>
      <c r="F45" s="190"/>
    </row>
    <row r="46" spans="1:16384" ht="17" customHeight="1">
      <c r="B46" s="25"/>
      <c r="C46" s="25"/>
      <c r="D46" s="25"/>
      <c r="E46" s="25"/>
      <c r="F46" s="184"/>
    </row>
    <row r="47" spans="1:16384" ht="18">
      <c r="B47" s="25" t="s">
        <v>139</v>
      </c>
      <c r="C47" s="25"/>
      <c r="D47" s="25"/>
      <c r="E47" s="191">
        <f>Interest_Rate</f>
        <v>2.7139874739039668E-2</v>
      </c>
      <c r="F47" s="184">
        <v>4</v>
      </c>
    </row>
    <row r="48" spans="1:16384" ht="18">
      <c r="B48" s="25" t="s">
        <v>140</v>
      </c>
      <c r="C48" s="25"/>
      <c r="D48" s="25"/>
      <c r="E48" s="183">
        <f>Tax_Rate</f>
        <v>0.3</v>
      </c>
      <c r="F48" s="192"/>
    </row>
    <row r="49" spans="2:15" ht="19">
      <c r="B49" s="186" t="s">
        <v>160</v>
      </c>
      <c r="C49" s="187"/>
      <c r="D49" s="187"/>
      <c r="E49" s="189">
        <f>(1-E48)*E47</f>
        <v>1.8997912317327767E-2</v>
      </c>
      <c r="F49" s="190"/>
    </row>
    <row r="50" spans="2:15" ht="17" customHeight="1">
      <c r="B50" s="25"/>
      <c r="C50" s="25"/>
      <c r="D50" s="25"/>
      <c r="E50" s="25"/>
      <c r="F50" s="184"/>
    </row>
    <row r="51" spans="2:15" ht="17" customHeight="1">
      <c r="B51" s="193" t="s">
        <v>141</v>
      </c>
      <c r="C51" s="25"/>
      <c r="D51" s="25"/>
      <c r="E51" s="25"/>
      <c r="F51" s="184"/>
    </row>
    <row r="52" spans="2:15" ht="18">
      <c r="B52" s="194" t="s">
        <v>142</v>
      </c>
      <c r="C52" s="25"/>
      <c r="D52" s="195">
        <f>'Balance Sheet Historic'!C62</f>
        <v>9573</v>
      </c>
      <c r="E52" s="196">
        <f>D52/D54</f>
        <v>0.13257717395820351</v>
      </c>
      <c r="F52" s="184"/>
    </row>
    <row r="53" spans="2:15" ht="18">
      <c r="B53" s="194" t="s">
        <v>143</v>
      </c>
      <c r="C53" s="25"/>
      <c r="D53" s="195">
        <f>'Balance Sheet Historic'!C64</f>
        <v>62634</v>
      </c>
      <c r="E53" s="196">
        <f>D53/D54</f>
        <v>0.86742282604179655</v>
      </c>
      <c r="F53" s="184"/>
    </row>
    <row r="54" spans="2:15" ht="18">
      <c r="B54" s="197" t="s">
        <v>144</v>
      </c>
      <c r="C54" s="187"/>
      <c r="D54" s="198">
        <f>SUM(D52:D53)</f>
        <v>72207</v>
      </c>
      <c r="E54" s="199">
        <v>1</v>
      </c>
      <c r="F54" s="200"/>
    </row>
    <row r="55" spans="2:15" ht="18">
      <c r="B55" s="25"/>
      <c r="C55" s="25"/>
      <c r="D55" s="25"/>
      <c r="E55" s="25"/>
      <c r="F55" s="201"/>
    </row>
    <row r="56" spans="2:15" ht="17" thickBot="1">
      <c r="B56" s="202" t="s">
        <v>137</v>
      </c>
      <c r="C56" s="202"/>
      <c r="D56" s="202"/>
      <c r="E56" s="203">
        <f>E45*E53+E52*E49</f>
        <v>6.3238287349062824E-2</v>
      </c>
      <c r="F56" s="202"/>
    </row>
    <row r="57" spans="2:15" ht="17" thickTop="1">
      <c r="B57" s="17" t="s">
        <v>145</v>
      </c>
      <c r="C57" s="9"/>
      <c r="D57" s="9"/>
      <c r="E57" s="9"/>
      <c r="F57" s="9"/>
    </row>
    <row r="58" spans="2:15">
      <c r="B58" s="17" t="s">
        <v>146</v>
      </c>
      <c r="C58" s="9"/>
      <c r="D58" s="9"/>
      <c r="E58" s="9"/>
      <c r="F58" s="9"/>
    </row>
    <row r="59" spans="2:15">
      <c r="B59" s="17" t="s">
        <v>147</v>
      </c>
      <c r="C59" s="9"/>
      <c r="D59" s="9"/>
      <c r="E59" s="9"/>
      <c r="F59" s="9"/>
    </row>
    <row r="60" spans="2:15">
      <c r="B60" s="17" t="s">
        <v>173</v>
      </c>
      <c r="C60" s="9"/>
      <c r="D60" s="9"/>
      <c r="E60" s="9"/>
      <c r="F60" s="9"/>
    </row>
    <row r="62" spans="2:15" ht="16" customHeight="1">
      <c r="B62" s="204" t="s">
        <v>148</v>
      </c>
      <c r="C62" s="204"/>
      <c r="D62" s="205"/>
      <c r="E62" s="206"/>
      <c r="F62" s="307" t="s">
        <v>149</v>
      </c>
      <c r="G62" s="307"/>
      <c r="H62" s="307"/>
      <c r="I62" s="307"/>
      <c r="J62" s="307"/>
      <c r="K62" s="307"/>
      <c r="L62" s="307"/>
      <c r="M62" s="307"/>
      <c r="N62" s="307"/>
      <c r="O62" s="307"/>
    </row>
    <row r="63" spans="2:15">
      <c r="B63" s="159" t="s">
        <v>150</v>
      </c>
      <c r="C63" s="159" t="s">
        <v>151</v>
      </c>
      <c r="D63" s="207">
        <f>E63-1</f>
        <v>2022</v>
      </c>
      <c r="E63" s="208">
        <f>Start_Year</f>
        <v>2023</v>
      </c>
      <c r="F63" s="209">
        <f t="shared" ref="F63:O63" si="22">IF(COLUMN()-COLUMN($E$63)&lt;=Years_Forecasted, E63+1, "")</f>
        <v>2024</v>
      </c>
      <c r="G63" s="209">
        <f t="shared" si="22"/>
        <v>2025</v>
      </c>
      <c r="H63" s="209">
        <f t="shared" si="22"/>
        <v>2026</v>
      </c>
      <c r="I63" s="209" t="str">
        <f t="shared" si="22"/>
        <v/>
      </c>
      <c r="J63" s="209" t="str">
        <f t="shared" si="22"/>
        <v/>
      </c>
      <c r="K63" s="209" t="str">
        <f t="shared" si="22"/>
        <v/>
      </c>
      <c r="L63" s="209" t="str">
        <f t="shared" si="22"/>
        <v/>
      </c>
      <c r="M63" s="209" t="str">
        <f t="shared" si="22"/>
        <v/>
      </c>
      <c r="N63" s="209" t="str">
        <f t="shared" si="22"/>
        <v/>
      </c>
      <c r="O63" s="209" t="str">
        <f t="shared" si="22"/>
        <v/>
      </c>
    </row>
    <row r="64" spans="2:15">
      <c r="B64" s="25"/>
      <c r="C64" s="25"/>
      <c r="D64" s="25"/>
      <c r="E64" s="34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2:16 16368:16368">
      <c r="B65" s="25" t="s">
        <v>1</v>
      </c>
      <c r="C65" s="159" t="s">
        <v>153</v>
      </c>
      <c r="D65" s="210">
        <f>IF('Income Statement Historic'!D14&lt;&gt;"",'Income Statement Historic'!D14, "")</f>
        <v>13910</v>
      </c>
      <c r="E65" s="211">
        <f>IF('Income Statement Historic'!C14&lt;&gt;"",'Income Statement Historic'!C14, "")</f>
        <v>10129</v>
      </c>
      <c r="F65" s="210">
        <f ca="1">IF(F63="","",F18)</f>
        <v>15774.84272516545</v>
      </c>
      <c r="G65" s="210">
        <f t="shared" ref="G65:O65" ca="1" si="23">IF(G63="","",G18)</f>
        <v>16819.682302256882</v>
      </c>
      <c r="H65" s="210">
        <f t="shared" ca="1" si="23"/>
        <v>18036.629671444698</v>
      </c>
      <c r="I65" s="210" t="str">
        <f t="shared" si="23"/>
        <v/>
      </c>
      <c r="J65" s="210" t="str">
        <f t="shared" si="23"/>
        <v/>
      </c>
      <c r="K65" s="210" t="str">
        <f t="shared" si="23"/>
        <v/>
      </c>
      <c r="L65" s="210" t="str">
        <f t="shared" si="23"/>
        <v/>
      </c>
      <c r="M65" s="210" t="str">
        <f t="shared" si="23"/>
        <v/>
      </c>
      <c r="N65" s="210" t="str">
        <f t="shared" si="23"/>
        <v/>
      </c>
      <c r="O65" s="210" t="str">
        <f t="shared" si="23"/>
        <v/>
      </c>
    </row>
    <row r="66" spans="2:16 16368:16368">
      <c r="B66" s="25" t="str">
        <f>"Taxes @ "&amp;TEXT(Tax_Rate,"0.0%")</f>
        <v>Taxes @ 30%</v>
      </c>
      <c r="C66" s="159" t="s">
        <v>153</v>
      </c>
      <c r="D66" s="210">
        <f>IF(D63="","",-D65*Tax_Rate)</f>
        <v>-4173</v>
      </c>
      <c r="E66" s="211">
        <f>IF(E63="","",-E65*Tax_Rate)</f>
        <v>-3038.7</v>
      </c>
      <c r="F66" s="210">
        <f t="shared" ref="F66:O66" ca="1" si="24">IF(F63="","",-F65*Tax_Rate)</f>
        <v>-4732.4528175496353</v>
      </c>
      <c r="G66" s="210">
        <f t="shared" ca="1" si="24"/>
        <v>-5045.9046906770645</v>
      </c>
      <c r="H66" s="210">
        <f ca="1">IF(H63="","",-H65*Tax_Rate)</f>
        <v>-5410.9889014334094</v>
      </c>
      <c r="I66" s="210" t="str">
        <f t="shared" si="24"/>
        <v/>
      </c>
      <c r="J66" s="210" t="str">
        <f t="shared" si="24"/>
        <v/>
      </c>
      <c r="K66" s="210" t="str">
        <f t="shared" si="24"/>
        <v/>
      </c>
      <c r="L66" s="210" t="str">
        <f t="shared" si="24"/>
        <v/>
      </c>
      <c r="M66" s="210" t="str">
        <f t="shared" si="24"/>
        <v/>
      </c>
      <c r="N66" s="210" t="str">
        <f t="shared" si="24"/>
        <v/>
      </c>
      <c r="O66" s="210" t="str">
        <f t="shared" si="24"/>
        <v/>
      </c>
    </row>
    <row r="67" spans="2:16 16368:16368">
      <c r="B67" s="212" t="s">
        <v>2</v>
      </c>
      <c r="C67" s="213" t="s">
        <v>153</v>
      </c>
      <c r="D67" s="214">
        <f>IF(SUM(D65:D66)=0,"",SUM(D65:D66))</f>
        <v>9737</v>
      </c>
      <c r="E67" s="215">
        <f>IF(SUM(E65:E66)=0,"",SUM(E65:E66))</f>
        <v>7090.3</v>
      </c>
      <c r="F67" s="214">
        <f ca="1">IF(SUM(F65:F66)=0,"",SUM(F65:F66))</f>
        <v>11042.389907615816</v>
      </c>
      <c r="G67" s="214">
        <f ca="1">IF(SUM(G65:G66)=0,"",SUM(G65:G66))</f>
        <v>11773.777611579819</v>
      </c>
      <c r="H67" s="214">
        <f ca="1">IF(SUM(H65:H66)=0,"",SUM(H65:H66))</f>
        <v>12625.640770011289</v>
      </c>
      <c r="I67" s="214" t="str">
        <f t="shared" ref="I67:P67" si="25">IF(SUM(I65:I66)=0,"",SUM(I65:I66))</f>
        <v/>
      </c>
      <c r="J67" s="214" t="str">
        <f t="shared" si="25"/>
        <v/>
      </c>
      <c r="K67" s="214" t="str">
        <f t="shared" si="25"/>
        <v/>
      </c>
      <c r="L67" s="214" t="str">
        <f t="shared" si="25"/>
        <v/>
      </c>
      <c r="M67" s="214" t="str">
        <f t="shared" si="25"/>
        <v/>
      </c>
      <c r="N67" s="214" t="str">
        <f t="shared" si="25"/>
        <v/>
      </c>
      <c r="O67" s="214" t="str">
        <f t="shared" si="25"/>
        <v/>
      </c>
      <c r="P67" s="2" t="str">
        <f t="shared" si="25"/>
        <v/>
      </c>
    </row>
    <row r="68" spans="2:16 16368:16368">
      <c r="B68" s="25"/>
      <c r="C68" s="159"/>
      <c r="D68" s="210"/>
      <c r="E68" s="211"/>
      <c r="F68" s="210"/>
      <c r="G68" s="210"/>
      <c r="H68" s="210"/>
      <c r="I68" s="210"/>
      <c r="J68" s="210"/>
      <c r="K68" s="210"/>
      <c r="L68" s="210"/>
      <c r="M68" s="210"/>
      <c r="N68" s="210"/>
      <c r="O68" s="210"/>
    </row>
    <row r="69" spans="2:16 16368:16368">
      <c r="B69" s="25" t="s">
        <v>3</v>
      </c>
      <c r="C69" s="159" t="s">
        <v>153</v>
      </c>
      <c r="D69" s="210">
        <f ca="1">D82</f>
        <v>-7163</v>
      </c>
      <c r="E69" s="211">
        <f t="shared" ref="E69:O69" ca="1" si="26">E82</f>
        <v>-8899</v>
      </c>
      <c r="F69" s="210">
        <f t="shared" ca="1" si="26"/>
        <v>-9165.9699999999993</v>
      </c>
      <c r="G69" s="210">
        <f t="shared" ca="1" si="26"/>
        <v>-9440.9490999999998</v>
      </c>
      <c r="H69" s="210">
        <f t="shared" ca="1" si="26"/>
        <v>-9724.1775730000008</v>
      </c>
      <c r="I69" s="210" t="str">
        <f t="shared" ca="1" si="26"/>
        <v/>
      </c>
      <c r="J69" s="210" t="str">
        <f t="shared" ca="1" si="26"/>
        <v/>
      </c>
      <c r="K69" s="210" t="str">
        <f t="shared" ca="1" si="26"/>
        <v/>
      </c>
      <c r="L69" s="210" t="str">
        <f t="shared" ca="1" si="26"/>
        <v/>
      </c>
      <c r="M69" s="210" t="str">
        <f t="shared" ca="1" si="26"/>
        <v/>
      </c>
      <c r="N69" s="210" t="str">
        <f t="shared" ca="1" si="26"/>
        <v/>
      </c>
      <c r="O69" s="210" t="str">
        <f t="shared" ca="1" si="26"/>
        <v/>
      </c>
    </row>
    <row r="70" spans="2:16 16368:16368">
      <c r="B70" s="25" t="s">
        <v>4</v>
      </c>
      <c r="C70" s="159" t="s">
        <v>153</v>
      </c>
      <c r="D70" s="210">
        <f ca="1">D32</f>
        <v>3747</v>
      </c>
      <c r="E70" s="211">
        <f t="shared" ref="E70:O70" ca="1" si="27">E32</f>
        <v>4667</v>
      </c>
      <c r="F70" s="210">
        <f t="shared" ca="1" si="27"/>
        <v>5632.9396725001388</v>
      </c>
      <c r="G70" s="210">
        <f t="shared" ca="1" si="27"/>
        <v>6627.8575351752816</v>
      </c>
      <c r="H70" s="210">
        <f t="shared" ca="1" si="27"/>
        <v>7652.6229337306795</v>
      </c>
      <c r="I70" s="210" t="str">
        <f t="shared" si="27"/>
        <v/>
      </c>
      <c r="J70" s="210" t="str">
        <f t="shared" si="27"/>
        <v/>
      </c>
      <c r="K70" s="210" t="str">
        <f t="shared" si="27"/>
        <v/>
      </c>
      <c r="L70" s="210" t="str">
        <f t="shared" si="27"/>
        <v/>
      </c>
      <c r="M70" s="210" t="str">
        <f t="shared" si="27"/>
        <v/>
      </c>
      <c r="N70" s="210" t="str">
        <f t="shared" si="27"/>
        <v/>
      </c>
      <c r="O70" s="210" t="str">
        <f t="shared" si="27"/>
        <v/>
      </c>
    </row>
    <row r="71" spans="2:16 16368:16368">
      <c r="B71" s="25" t="s">
        <v>152</v>
      </c>
      <c r="C71" s="159" t="s">
        <v>153</v>
      </c>
      <c r="D71" s="210">
        <f>IF(D83&lt;&gt;"",-D83,"")</f>
        <v>-2978</v>
      </c>
      <c r="E71" s="211">
        <f t="shared" ref="E71:O71" si="28">IF(E83&lt;&gt;"",-E83,"")</f>
        <v>-2190</v>
      </c>
      <c r="F71" s="210">
        <f t="shared" si="28"/>
        <v>-2233.8000000000002</v>
      </c>
      <c r="G71" s="210">
        <f t="shared" si="28"/>
        <v>-2278.4760000000001</v>
      </c>
      <c r="H71" s="210">
        <f t="shared" si="28"/>
        <v>-2324.0455200000001</v>
      </c>
      <c r="I71" s="210" t="str">
        <f t="shared" si="28"/>
        <v/>
      </c>
      <c r="J71" s="210" t="str">
        <f t="shared" si="28"/>
        <v/>
      </c>
      <c r="K71" s="210" t="str">
        <f t="shared" si="28"/>
        <v/>
      </c>
      <c r="L71" s="210" t="str">
        <f t="shared" si="28"/>
        <v/>
      </c>
      <c r="M71" s="210" t="str">
        <f t="shared" si="28"/>
        <v/>
      </c>
      <c r="N71" s="210" t="str">
        <f t="shared" si="28"/>
        <v/>
      </c>
      <c r="O71" s="210" t="str">
        <f t="shared" si="28"/>
        <v/>
      </c>
    </row>
    <row r="72" spans="2:16 16368:16368">
      <c r="B72" s="25"/>
      <c r="C72" s="159"/>
      <c r="D72" s="210"/>
      <c r="E72" s="211"/>
      <c r="F72" s="210"/>
      <c r="G72" s="216"/>
      <c r="H72" s="210"/>
      <c r="I72" s="210"/>
      <c r="J72" s="210"/>
      <c r="K72" s="210"/>
      <c r="L72" s="210"/>
      <c r="M72" s="210"/>
      <c r="N72" s="210"/>
      <c r="O72" s="210"/>
    </row>
    <row r="73" spans="2:16 16368:16368" ht="17" thickBot="1">
      <c r="B73" s="217" t="s">
        <v>5</v>
      </c>
      <c r="C73" s="218" t="s">
        <v>153</v>
      </c>
      <c r="D73" s="219">
        <f ca="1">IF(SUM(D67:D71)=0,"",SUM(D67:D71))</f>
        <v>3343</v>
      </c>
      <c r="E73" s="220">
        <f t="shared" ref="E73:O73" ca="1" si="29">IF(SUM(E67:E71)=0,"",SUM(E67:E71))</f>
        <v>668.30000000000018</v>
      </c>
      <c r="F73" s="219">
        <f t="shared" ca="1" si="29"/>
        <v>5275.5595801159552</v>
      </c>
      <c r="G73" s="221">
        <f t="shared" ca="1" si="29"/>
        <v>6682.2100467551008</v>
      </c>
      <c r="H73" s="219">
        <f ca="1">IF(SUM(H67:H71)=0,"",SUM(H67:H71))</f>
        <v>8230.0406107419676</v>
      </c>
      <c r="I73" s="219" t="str">
        <f t="shared" ca="1" si="29"/>
        <v/>
      </c>
      <c r="J73" s="219" t="str">
        <f t="shared" ca="1" si="29"/>
        <v/>
      </c>
      <c r="K73" s="219" t="str">
        <f t="shared" ca="1" si="29"/>
        <v/>
      </c>
      <c r="L73" s="219" t="str">
        <f t="shared" ca="1" si="29"/>
        <v/>
      </c>
      <c r="M73" s="219" t="str">
        <f t="shared" ca="1" si="29"/>
        <v/>
      </c>
      <c r="N73" s="219" t="str">
        <f t="shared" ca="1" si="29"/>
        <v/>
      </c>
      <c r="O73" s="219" t="str">
        <f t="shared" ca="1" si="29"/>
        <v/>
      </c>
    </row>
    <row r="74" spans="2:16 16368:16368" ht="17" thickTop="1">
      <c r="B74" s="25"/>
      <c r="C74" s="159"/>
      <c r="D74" s="210"/>
      <c r="E74" s="211"/>
      <c r="F74" s="210"/>
      <c r="G74" s="210"/>
      <c r="H74" s="210"/>
      <c r="I74" s="210"/>
      <c r="J74" s="210"/>
      <c r="K74" s="210"/>
      <c r="L74" s="210"/>
      <c r="M74" s="210"/>
      <c r="N74" s="210"/>
      <c r="O74" s="210"/>
    </row>
    <row r="75" spans="2:16 16368:16368">
      <c r="B75" s="25" t="s">
        <v>6</v>
      </c>
      <c r="C75" s="159" t="s">
        <v>154</v>
      </c>
      <c r="D75" s="210"/>
      <c r="E75" s="211"/>
      <c r="F75" s="210">
        <f t="shared" ref="F75:O75" ca="1" si="30">IF(F73&lt;&gt;"",E75+1, "")</f>
        <v>1</v>
      </c>
      <c r="G75" s="210">
        <f t="shared" ca="1" si="30"/>
        <v>2</v>
      </c>
      <c r="H75" s="210">
        <f ca="1">IF(H73&lt;&gt;"",G75+1, "")</f>
        <v>3</v>
      </c>
      <c r="I75" s="210" t="str">
        <f t="shared" ca="1" si="30"/>
        <v/>
      </c>
      <c r="J75" s="210" t="str">
        <f t="shared" ca="1" si="30"/>
        <v/>
      </c>
      <c r="K75" s="210" t="str">
        <f t="shared" ca="1" si="30"/>
        <v/>
      </c>
      <c r="L75" s="210" t="str">
        <f t="shared" ca="1" si="30"/>
        <v/>
      </c>
      <c r="M75" s="210" t="str">
        <f t="shared" ca="1" si="30"/>
        <v/>
      </c>
      <c r="N75" s="210" t="str">
        <f t="shared" ca="1" si="30"/>
        <v/>
      </c>
      <c r="O75" s="210" t="str">
        <f t="shared" ca="1" si="30"/>
        <v/>
      </c>
      <c r="XEN75" s="20"/>
    </row>
    <row r="76" spans="2:16 16368:16368">
      <c r="B76" s="25" t="s">
        <v>7</v>
      </c>
      <c r="C76" s="159" t="s">
        <v>155</v>
      </c>
      <c r="D76" s="210"/>
      <c r="E76" s="211"/>
      <c r="F76" s="222">
        <f>IF(F63&lt;&gt;"",WACC,"")</f>
        <v>6.3238287349062824E-2</v>
      </c>
      <c r="G76" s="222">
        <f t="shared" ref="G76:O76" si="31">IF(G63&lt;&gt;"",WACC,"")</f>
        <v>6.3238287349062824E-2</v>
      </c>
      <c r="H76" s="222">
        <f t="shared" si="31"/>
        <v>6.3238287349062824E-2</v>
      </c>
      <c r="I76" s="222" t="str">
        <f t="shared" si="31"/>
        <v/>
      </c>
      <c r="J76" s="222" t="str">
        <f t="shared" si="31"/>
        <v/>
      </c>
      <c r="K76" s="222" t="str">
        <f t="shared" si="31"/>
        <v/>
      </c>
      <c r="L76" s="222" t="str">
        <f t="shared" si="31"/>
        <v/>
      </c>
      <c r="M76" s="222" t="str">
        <f t="shared" si="31"/>
        <v/>
      </c>
      <c r="N76" s="222" t="str">
        <f t="shared" si="31"/>
        <v/>
      </c>
      <c r="O76" s="222" t="str">
        <f t="shared" si="31"/>
        <v/>
      </c>
    </row>
    <row r="77" spans="2:16 16368:16368">
      <c r="B77" s="25"/>
      <c r="C77" s="159"/>
      <c r="D77" s="210"/>
      <c r="E77" s="211"/>
      <c r="F77" s="210"/>
      <c r="G77" s="210"/>
      <c r="H77" s="210"/>
      <c r="I77" s="210"/>
      <c r="J77" s="210"/>
      <c r="K77" s="210"/>
      <c r="L77" s="210"/>
      <c r="M77" s="210"/>
      <c r="N77" s="210"/>
      <c r="O77" s="210"/>
    </row>
    <row r="78" spans="2:16 16368:16368" ht="17" thickBot="1">
      <c r="B78" s="223" t="s">
        <v>8</v>
      </c>
      <c r="C78" s="224" t="s">
        <v>153</v>
      </c>
      <c r="D78" s="225"/>
      <c r="E78" s="226"/>
      <c r="F78" s="225">
        <f ca="1">IF(F63&lt;&gt;"",F73/(1+F76)^F75,"")</f>
        <v>4961.7848067429313</v>
      </c>
      <c r="G78" s="225">
        <f t="shared" ref="G78:O78" ca="1" si="32">IF(G63&lt;&gt;"",G73/(1+G76)^G75,"")</f>
        <v>5910.9720878564794</v>
      </c>
      <c r="H78" s="225">
        <f t="shared" ca="1" si="32"/>
        <v>6847.1549591427893</v>
      </c>
      <c r="I78" s="225" t="str">
        <f t="shared" si="32"/>
        <v/>
      </c>
      <c r="J78" s="225" t="str">
        <f t="shared" si="32"/>
        <v/>
      </c>
      <c r="K78" s="225" t="str">
        <f t="shared" si="32"/>
        <v/>
      </c>
      <c r="L78" s="225" t="str">
        <f t="shared" si="32"/>
        <v/>
      </c>
      <c r="M78" s="225" t="str">
        <f t="shared" si="32"/>
        <v/>
      </c>
      <c r="N78" s="225" t="str">
        <f t="shared" si="32"/>
        <v/>
      </c>
      <c r="O78" s="225" t="str">
        <f t="shared" si="32"/>
        <v/>
      </c>
    </row>
    <row r="79" spans="2:16 16368:16368" ht="17" thickTop="1">
      <c r="E79" s="35"/>
    </row>
    <row r="80" spans="2:16 16368:16368">
      <c r="E80" s="35"/>
    </row>
    <row r="81" spans="2:16384">
      <c r="B81" s="75" t="s">
        <v>161</v>
      </c>
      <c r="C81" s="28" t="s">
        <v>151</v>
      </c>
      <c r="D81" s="29"/>
      <c r="E81" s="36"/>
      <c r="F81" s="25"/>
      <c r="G81" s="25"/>
      <c r="H81" s="25"/>
      <c r="I81" s="25"/>
      <c r="J81" s="25"/>
      <c r="K81" s="25"/>
      <c r="L81" s="25"/>
    </row>
    <row r="82" spans="2:16384">
      <c r="B82" s="43" t="s">
        <v>72</v>
      </c>
      <c r="C82" s="44" t="s">
        <v>154</v>
      </c>
      <c r="D82" s="45">
        <f ca="1">IF(D63&lt;&gt;"",-OFFSET('PPE &amp; Depreciation Schedule'!D7,COLUMN()-COLUMN($D$82),0), "")</f>
        <v>-7163</v>
      </c>
      <c r="E82" s="46">
        <f ca="1">IF(E63&lt;&gt;"",-OFFSET('PPE &amp; Depreciation Schedule'!E7,COLUMN()-COLUMN($D$82),0), "")</f>
        <v>-8899</v>
      </c>
      <c r="F82" s="45">
        <f ca="1">IF(F63&lt;&gt;"",-OFFSET('PPE &amp; Depreciation Schedule'!F7,COLUMN()-COLUMN($D$82),0), "")</f>
        <v>-9165.9699999999993</v>
      </c>
      <c r="G82" s="45">
        <f ca="1">IF(G63&lt;&gt;"",-OFFSET('PPE &amp; Depreciation Schedule'!G7,COLUMN()-COLUMN($D$82),0), "")</f>
        <v>-9440.9490999999998</v>
      </c>
      <c r="H82" s="45">
        <f ca="1">IF(H63&lt;&gt;"",-OFFSET('PPE &amp; Depreciation Schedule'!H7,COLUMN()-COLUMN($D$82),0), "")</f>
        <v>-9724.1775730000008</v>
      </c>
      <c r="I82" s="45" t="str">
        <f ca="1">IF(I63&lt;&gt;"",-OFFSET('PPE &amp; Depreciation Schedule'!I7,COLUMN()-COLUMN($D$82),0), "")</f>
        <v/>
      </c>
      <c r="J82" s="45" t="str">
        <f ca="1">IF(J63&lt;&gt;"",-OFFSET('PPE &amp; Depreciation Schedule'!J7,COLUMN()-COLUMN($D$82),0), "")</f>
        <v/>
      </c>
      <c r="K82" s="45" t="str">
        <f ca="1">IF(K63&lt;&gt;"",-OFFSET('PPE &amp; Depreciation Schedule'!K7,COLUMN()-COLUMN($D$82),0), "")</f>
        <v/>
      </c>
      <c r="L82" s="45" t="str">
        <f ca="1">IF(L63&lt;&gt;"",-OFFSET('PPE &amp; Depreciation Schedule'!L7,COLUMN()-COLUMN($D$82),0), "")</f>
        <v/>
      </c>
      <c r="M82" s="45" t="str">
        <f ca="1">IF(M63&lt;&gt;"",-OFFSET('PPE &amp; Depreciation Schedule'!M7,COLUMN()-COLUMN($D$82),0), "")</f>
        <v/>
      </c>
      <c r="N82" s="45" t="str">
        <f ca="1">IF(N63&lt;&gt;"",-OFFSET('PPE &amp; Depreciation Schedule'!N7,COLUMN()-COLUMN($D$82),0), "")</f>
        <v/>
      </c>
      <c r="O82" s="45" t="str">
        <f ca="1">IF(O63&lt;&gt;"",-OFFSET('PPE &amp; Depreciation Schedule'!O7,COLUMN()-COLUMN($D$82),0), "")</f>
        <v/>
      </c>
    </row>
    <row r="83" spans="2:16384">
      <c r="B83" s="43" t="s">
        <v>171</v>
      </c>
      <c r="C83" s="44" t="s">
        <v>153</v>
      </c>
      <c r="D83" s="47">
        <f>IF('Balance Sheet Historic'!D44&lt;&gt;"",'Balance Sheet Historic'!D44, "")</f>
        <v>2978</v>
      </c>
      <c r="E83" s="48">
        <f>IF('Balance Sheet Historic'!C44&lt;&gt;"",'Balance Sheet Historic'!C44,"""")</f>
        <v>2190</v>
      </c>
      <c r="F83" s="278">
        <f>IF(F63&lt;&gt;"",E83*(1+F84),"")</f>
        <v>2233.8000000000002</v>
      </c>
      <c r="G83" s="278">
        <f t="shared" ref="G83:O83" si="33">IF(G63&lt;&gt;"",F83*(1+G84),"")</f>
        <v>2278.4760000000001</v>
      </c>
      <c r="H83" s="278">
        <f t="shared" si="33"/>
        <v>2324.0455200000001</v>
      </c>
      <c r="I83" s="278" t="str">
        <f t="shared" si="33"/>
        <v/>
      </c>
      <c r="J83" s="278" t="str">
        <f t="shared" si="33"/>
        <v/>
      </c>
      <c r="K83" s="278" t="str">
        <f t="shared" si="33"/>
        <v/>
      </c>
      <c r="L83" s="278" t="str">
        <f t="shared" si="33"/>
        <v/>
      </c>
      <c r="M83" s="278" t="str">
        <f t="shared" si="33"/>
        <v/>
      </c>
      <c r="N83" s="278" t="str">
        <f t="shared" si="33"/>
        <v/>
      </c>
      <c r="O83" s="278" t="str">
        <f t="shared" si="33"/>
        <v/>
      </c>
    </row>
    <row r="84" spans="2:16384">
      <c r="B84" s="43" t="s">
        <v>119</v>
      </c>
      <c r="C84" s="44" t="s">
        <v>155</v>
      </c>
      <c r="D84" s="49"/>
      <c r="E84" s="50"/>
      <c r="F84" s="51">
        <f t="shared" ref="F84:O84" si="34">IF(F63&lt;&gt;"",Growth_RATE_ONWC,"")</f>
        <v>0.02</v>
      </c>
      <c r="G84" s="51">
        <f t="shared" si="34"/>
        <v>0.02</v>
      </c>
      <c r="H84" s="51">
        <f t="shared" si="34"/>
        <v>0.02</v>
      </c>
      <c r="I84" s="51" t="str">
        <f t="shared" si="34"/>
        <v/>
      </c>
      <c r="J84" s="51" t="str">
        <f t="shared" si="34"/>
        <v/>
      </c>
      <c r="K84" s="51" t="str">
        <f t="shared" si="34"/>
        <v/>
      </c>
      <c r="L84" s="51" t="str">
        <f t="shared" si="34"/>
        <v/>
      </c>
      <c r="M84" s="51" t="str">
        <f t="shared" si="34"/>
        <v/>
      </c>
      <c r="N84" s="51" t="str">
        <f t="shared" si="34"/>
        <v/>
      </c>
      <c r="O84" s="51" t="str">
        <f t="shared" si="34"/>
        <v/>
      </c>
    </row>
    <row r="85" spans="2:16384">
      <c r="B85" s="30"/>
      <c r="C85" s="28"/>
      <c r="D85" s="29"/>
      <c r="E85" s="29"/>
      <c r="F85" s="32"/>
      <c r="G85" s="32"/>
      <c r="H85" s="32"/>
      <c r="I85" s="32"/>
      <c r="J85" s="32"/>
      <c r="K85" s="25"/>
      <c r="L85" s="25"/>
    </row>
    <row r="86" spans="2:16384">
      <c r="B86" s="30"/>
      <c r="C86" s="28"/>
      <c r="D86" s="31"/>
      <c r="E86" s="31"/>
      <c r="F86" s="24"/>
      <c r="G86" s="24"/>
      <c r="H86" s="24"/>
      <c r="I86" s="24"/>
      <c r="J86" s="24"/>
      <c r="K86" s="25"/>
      <c r="L86" s="25"/>
    </row>
    <row r="87" spans="2:16384">
      <c r="B87" s="30"/>
      <c r="C87" s="28"/>
      <c r="D87" s="31"/>
      <c r="E87" s="31"/>
      <c r="F87" s="24"/>
      <c r="G87" s="24"/>
      <c r="H87" s="24"/>
      <c r="I87" s="24"/>
      <c r="J87" s="24"/>
      <c r="K87" s="25"/>
      <c r="L87" s="25"/>
    </row>
    <row r="88" spans="2:16384" ht="21" thickBot="1">
      <c r="B88" s="22" t="s">
        <v>257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  <c r="BJ88" s="21"/>
      <c r="BK88" s="21"/>
      <c r="BL88" s="21"/>
      <c r="BM88" s="21"/>
      <c r="BN88" s="21"/>
      <c r="BO88" s="21"/>
      <c r="BP88" s="21"/>
      <c r="BQ88" s="21"/>
      <c r="BR88" s="21"/>
      <c r="BS88" s="21"/>
      <c r="BT88" s="21"/>
      <c r="BU88" s="21"/>
      <c r="BV88" s="21"/>
      <c r="BW88" s="21"/>
      <c r="BX88" s="21"/>
      <c r="BY88" s="21"/>
      <c r="BZ88" s="21"/>
      <c r="CA88" s="21"/>
      <c r="CB88" s="21"/>
      <c r="CC88" s="21"/>
      <c r="CD88" s="21"/>
      <c r="CE88" s="21"/>
      <c r="CF88" s="21"/>
      <c r="CG88" s="21"/>
      <c r="CH88" s="21"/>
      <c r="CI88" s="21"/>
      <c r="CJ88" s="21"/>
      <c r="CK88" s="21"/>
      <c r="CL88" s="21"/>
      <c r="CM88" s="21"/>
      <c r="CN88" s="21"/>
      <c r="CO88" s="21"/>
      <c r="CP88" s="21"/>
      <c r="CQ88" s="21"/>
      <c r="CR88" s="21"/>
      <c r="CS88" s="21"/>
      <c r="CT88" s="21"/>
      <c r="CU88" s="21"/>
      <c r="CV88" s="21"/>
      <c r="CW88" s="21"/>
      <c r="CX88" s="21"/>
      <c r="CY88" s="21"/>
      <c r="CZ88" s="21"/>
      <c r="DA88" s="21"/>
      <c r="DB88" s="21"/>
      <c r="DC88" s="21"/>
      <c r="DD88" s="21"/>
      <c r="DE88" s="21"/>
      <c r="DF88" s="21"/>
      <c r="DG88" s="21"/>
      <c r="DH88" s="21"/>
      <c r="DI88" s="21"/>
      <c r="DJ88" s="21"/>
      <c r="DK88" s="21"/>
      <c r="DL88" s="21"/>
      <c r="DM88" s="21"/>
      <c r="DN88" s="21"/>
      <c r="DO88" s="21"/>
      <c r="DP88" s="21"/>
      <c r="DQ88" s="21"/>
      <c r="DR88" s="21"/>
      <c r="DS88" s="21"/>
      <c r="DT88" s="21"/>
      <c r="DU88" s="21"/>
      <c r="DV88" s="21"/>
      <c r="DW88" s="21"/>
      <c r="DX88" s="21"/>
      <c r="DY88" s="21"/>
      <c r="DZ88" s="21"/>
      <c r="EA88" s="21"/>
      <c r="EB88" s="21"/>
      <c r="EC88" s="21"/>
      <c r="ED88" s="21"/>
      <c r="EE88" s="21"/>
      <c r="EF88" s="21"/>
      <c r="EG88" s="21"/>
      <c r="EH88" s="21"/>
      <c r="EI88" s="21"/>
      <c r="EJ88" s="21"/>
      <c r="EK88" s="21"/>
      <c r="EL88" s="21"/>
      <c r="EM88" s="21"/>
      <c r="EN88" s="21"/>
      <c r="EO88" s="21"/>
      <c r="EP88" s="21"/>
      <c r="EQ88" s="21"/>
      <c r="ER88" s="21"/>
      <c r="ES88" s="21"/>
      <c r="ET88" s="21"/>
      <c r="EU88" s="21"/>
      <c r="EV88" s="21"/>
      <c r="EW88" s="21"/>
      <c r="EX88" s="21"/>
      <c r="EY88" s="21"/>
      <c r="EZ88" s="21"/>
      <c r="FA88" s="21"/>
      <c r="FB88" s="21"/>
      <c r="FC88" s="21"/>
      <c r="FD88" s="21"/>
      <c r="FE88" s="21"/>
      <c r="FF88" s="21"/>
      <c r="FG88" s="21"/>
      <c r="FH88" s="21"/>
      <c r="FI88" s="21"/>
      <c r="FJ88" s="21"/>
      <c r="FK88" s="21"/>
      <c r="FL88" s="21"/>
      <c r="FM88" s="21"/>
      <c r="FN88" s="21"/>
      <c r="FO88" s="21"/>
      <c r="FP88" s="21"/>
      <c r="FQ88" s="21"/>
      <c r="FR88" s="21"/>
      <c r="FS88" s="21"/>
      <c r="FT88" s="21"/>
      <c r="FU88" s="21"/>
      <c r="FV88" s="21"/>
      <c r="FW88" s="21"/>
      <c r="FX88" s="21"/>
      <c r="FY88" s="21"/>
      <c r="FZ88" s="21"/>
      <c r="GA88" s="21"/>
      <c r="GB88" s="21"/>
      <c r="GC88" s="21"/>
      <c r="GD88" s="21"/>
      <c r="GE88" s="21"/>
      <c r="GF88" s="21"/>
      <c r="GG88" s="21"/>
      <c r="GH88" s="21"/>
      <c r="GI88" s="21"/>
      <c r="GJ88" s="21"/>
      <c r="GK88" s="21"/>
      <c r="GL88" s="21"/>
      <c r="GM88" s="21"/>
      <c r="GN88" s="21"/>
      <c r="GO88" s="21"/>
      <c r="GP88" s="21"/>
      <c r="GQ88" s="21"/>
      <c r="GR88" s="21"/>
      <c r="GS88" s="21"/>
      <c r="GT88" s="21"/>
      <c r="GU88" s="21"/>
      <c r="GV88" s="21"/>
      <c r="GW88" s="21"/>
      <c r="GX88" s="21"/>
      <c r="GY88" s="21"/>
      <c r="GZ88" s="21"/>
      <c r="HA88" s="21"/>
      <c r="HB88" s="21"/>
      <c r="HC88" s="21"/>
      <c r="HD88" s="21"/>
      <c r="HE88" s="21"/>
      <c r="HF88" s="21"/>
      <c r="HG88" s="21"/>
      <c r="HH88" s="21"/>
      <c r="HI88" s="21"/>
      <c r="HJ88" s="21"/>
      <c r="HK88" s="21"/>
      <c r="HL88" s="21"/>
      <c r="HM88" s="21"/>
      <c r="HN88" s="21"/>
      <c r="HO88" s="21"/>
      <c r="HP88" s="21"/>
      <c r="HQ88" s="21"/>
      <c r="HR88" s="21"/>
      <c r="HS88" s="21"/>
      <c r="HT88" s="21"/>
      <c r="HU88" s="21"/>
      <c r="HV88" s="21"/>
      <c r="HW88" s="21"/>
      <c r="HX88" s="21"/>
      <c r="HY88" s="21"/>
      <c r="HZ88" s="21"/>
      <c r="IA88" s="21"/>
      <c r="IB88" s="21"/>
      <c r="IC88" s="21"/>
      <c r="ID88" s="21"/>
      <c r="IE88" s="21"/>
      <c r="IF88" s="21"/>
      <c r="IG88" s="21"/>
      <c r="IH88" s="21"/>
      <c r="II88" s="21"/>
      <c r="IJ88" s="21"/>
      <c r="IK88" s="21"/>
      <c r="IL88" s="21"/>
      <c r="IM88" s="21"/>
      <c r="IN88" s="21"/>
      <c r="IO88" s="21"/>
      <c r="IP88" s="21"/>
      <c r="IQ88" s="21"/>
      <c r="IR88" s="21"/>
      <c r="IS88" s="21"/>
      <c r="IT88" s="21"/>
      <c r="IU88" s="21"/>
      <c r="IV88" s="21"/>
      <c r="IW88" s="21"/>
      <c r="IX88" s="21"/>
      <c r="IY88" s="21"/>
      <c r="IZ88" s="21"/>
      <c r="JA88" s="21"/>
      <c r="JB88" s="21"/>
      <c r="JC88" s="21"/>
      <c r="JD88" s="21"/>
      <c r="JE88" s="21"/>
      <c r="JF88" s="21"/>
      <c r="JG88" s="21"/>
      <c r="JH88" s="21"/>
      <c r="JI88" s="21"/>
      <c r="JJ88" s="21"/>
      <c r="JK88" s="21"/>
      <c r="JL88" s="21"/>
      <c r="JM88" s="21"/>
      <c r="JN88" s="21"/>
      <c r="JO88" s="21"/>
      <c r="JP88" s="21"/>
      <c r="JQ88" s="21"/>
      <c r="JR88" s="21"/>
      <c r="JS88" s="21"/>
      <c r="JT88" s="21"/>
      <c r="JU88" s="21"/>
      <c r="JV88" s="21"/>
      <c r="JW88" s="21"/>
      <c r="JX88" s="21"/>
      <c r="JY88" s="21"/>
      <c r="JZ88" s="21"/>
      <c r="KA88" s="21"/>
      <c r="KB88" s="21"/>
      <c r="KC88" s="21"/>
      <c r="KD88" s="21"/>
      <c r="KE88" s="21"/>
      <c r="KF88" s="21"/>
      <c r="KG88" s="21"/>
      <c r="KH88" s="21"/>
      <c r="KI88" s="21"/>
      <c r="KJ88" s="21"/>
      <c r="KK88" s="21"/>
      <c r="KL88" s="21"/>
      <c r="KM88" s="21"/>
      <c r="KN88" s="21"/>
      <c r="KO88" s="21"/>
      <c r="KP88" s="21"/>
      <c r="KQ88" s="21"/>
      <c r="KR88" s="21"/>
      <c r="KS88" s="21"/>
      <c r="KT88" s="21"/>
      <c r="KU88" s="21"/>
      <c r="KV88" s="21"/>
      <c r="KW88" s="21"/>
      <c r="KX88" s="21"/>
      <c r="KY88" s="21"/>
      <c r="KZ88" s="21"/>
      <c r="LA88" s="21"/>
      <c r="LB88" s="21"/>
      <c r="LC88" s="21"/>
      <c r="LD88" s="21"/>
      <c r="LE88" s="21"/>
      <c r="LF88" s="21"/>
      <c r="LG88" s="21"/>
      <c r="LH88" s="21"/>
      <c r="LI88" s="21"/>
      <c r="LJ88" s="21"/>
      <c r="LK88" s="21"/>
      <c r="LL88" s="21"/>
      <c r="LM88" s="21"/>
      <c r="LN88" s="21"/>
      <c r="LO88" s="21"/>
      <c r="LP88" s="21"/>
      <c r="LQ88" s="21"/>
      <c r="LR88" s="21"/>
      <c r="LS88" s="21"/>
      <c r="LT88" s="21"/>
      <c r="LU88" s="21"/>
      <c r="LV88" s="21"/>
      <c r="LW88" s="21"/>
      <c r="LX88" s="21"/>
      <c r="LY88" s="21"/>
      <c r="LZ88" s="21"/>
      <c r="MA88" s="21"/>
      <c r="MB88" s="21"/>
      <c r="MC88" s="21"/>
      <c r="MD88" s="21"/>
      <c r="ME88" s="21"/>
      <c r="MF88" s="21"/>
      <c r="MG88" s="21"/>
      <c r="MH88" s="21"/>
      <c r="MI88" s="21"/>
      <c r="MJ88" s="21"/>
      <c r="MK88" s="21"/>
      <c r="ML88" s="21"/>
      <c r="MM88" s="21"/>
      <c r="MN88" s="21"/>
      <c r="MO88" s="21"/>
      <c r="MP88" s="21"/>
      <c r="MQ88" s="21"/>
      <c r="MR88" s="21"/>
      <c r="MS88" s="21"/>
      <c r="MT88" s="21"/>
      <c r="MU88" s="21"/>
      <c r="MV88" s="21"/>
      <c r="MW88" s="21"/>
      <c r="MX88" s="21"/>
      <c r="MY88" s="21"/>
      <c r="MZ88" s="21"/>
      <c r="NA88" s="21"/>
      <c r="NB88" s="21"/>
      <c r="NC88" s="21"/>
      <c r="ND88" s="21"/>
      <c r="NE88" s="21"/>
      <c r="NF88" s="21"/>
      <c r="NG88" s="21"/>
      <c r="NH88" s="21"/>
      <c r="NI88" s="21"/>
      <c r="NJ88" s="21"/>
      <c r="NK88" s="21"/>
      <c r="NL88" s="21"/>
      <c r="NM88" s="21"/>
      <c r="NN88" s="21"/>
      <c r="NO88" s="21"/>
      <c r="NP88" s="21"/>
      <c r="NQ88" s="21"/>
      <c r="NR88" s="21"/>
      <c r="NS88" s="21"/>
      <c r="NT88" s="21"/>
      <c r="NU88" s="21"/>
      <c r="NV88" s="21"/>
      <c r="NW88" s="21"/>
      <c r="NX88" s="21"/>
      <c r="NY88" s="21"/>
      <c r="NZ88" s="21"/>
      <c r="OA88" s="21"/>
      <c r="OB88" s="21"/>
      <c r="OC88" s="21"/>
      <c r="OD88" s="21"/>
      <c r="OE88" s="21"/>
      <c r="OF88" s="21"/>
      <c r="OG88" s="21"/>
      <c r="OH88" s="21"/>
      <c r="OI88" s="21"/>
      <c r="OJ88" s="21"/>
      <c r="OK88" s="21"/>
      <c r="OL88" s="21"/>
      <c r="OM88" s="21"/>
      <c r="ON88" s="21"/>
      <c r="OO88" s="21"/>
      <c r="OP88" s="21"/>
      <c r="OQ88" s="21"/>
      <c r="OR88" s="21"/>
      <c r="OS88" s="21"/>
      <c r="OT88" s="21"/>
      <c r="OU88" s="21"/>
      <c r="OV88" s="21"/>
      <c r="OW88" s="21"/>
      <c r="OX88" s="21"/>
      <c r="OY88" s="21"/>
      <c r="OZ88" s="21"/>
      <c r="PA88" s="21"/>
      <c r="PB88" s="21"/>
      <c r="PC88" s="21"/>
      <c r="PD88" s="21"/>
      <c r="PE88" s="21"/>
      <c r="PF88" s="21"/>
      <c r="PG88" s="21"/>
      <c r="PH88" s="21"/>
      <c r="PI88" s="21"/>
      <c r="PJ88" s="21"/>
      <c r="PK88" s="21"/>
      <c r="PL88" s="21"/>
      <c r="PM88" s="21"/>
      <c r="PN88" s="21"/>
      <c r="PO88" s="21"/>
      <c r="PP88" s="21"/>
      <c r="PQ88" s="21"/>
      <c r="PR88" s="21"/>
      <c r="PS88" s="21"/>
      <c r="PT88" s="21"/>
      <c r="PU88" s="21"/>
      <c r="PV88" s="21"/>
      <c r="PW88" s="21"/>
      <c r="PX88" s="21"/>
      <c r="PY88" s="21"/>
      <c r="PZ88" s="21"/>
      <c r="QA88" s="21"/>
      <c r="QB88" s="21"/>
      <c r="QC88" s="21"/>
      <c r="QD88" s="21"/>
      <c r="QE88" s="21"/>
      <c r="QF88" s="21"/>
      <c r="QG88" s="21"/>
      <c r="QH88" s="21"/>
      <c r="QI88" s="21"/>
      <c r="QJ88" s="21"/>
      <c r="QK88" s="21"/>
      <c r="QL88" s="21"/>
      <c r="QM88" s="21"/>
      <c r="QN88" s="21"/>
      <c r="QO88" s="21"/>
      <c r="QP88" s="21"/>
      <c r="QQ88" s="21"/>
      <c r="QR88" s="21"/>
      <c r="QS88" s="21"/>
      <c r="QT88" s="21"/>
      <c r="QU88" s="21"/>
      <c r="QV88" s="21"/>
      <c r="QW88" s="21"/>
      <c r="QX88" s="21"/>
      <c r="QY88" s="21"/>
      <c r="QZ88" s="21"/>
      <c r="RA88" s="21"/>
      <c r="RB88" s="21"/>
      <c r="RC88" s="21"/>
      <c r="RD88" s="21"/>
      <c r="RE88" s="21"/>
      <c r="RF88" s="21"/>
      <c r="RG88" s="21"/>
      <c r="RH88" s="21"/>
      <c r="RI88" s="21"/>
      <c r="RJ88" s="21"/>
      <c r="RK88" s="21"/>
      <c r="RL88" s="21"/>
      <c r="RM88" s="21"/>
      <c r="RN88" s="21"/>
      <c r="RO88" s="21"/>
      <c r="RP88" s="21"/>
      <c r="RQ88" s="21"/>
      <c r="RR88" s="21"/>
      <c r="RS88" s="21"/>
      <c r="RT88" s="21"/>
      <c r="RU88" s="21"/>
      <c r="RV88" s="21"/>
      <c r="RW88" s="21"/>
      <c r="RX88" s="21"/>
      <c r="RY88" s="21"/>
      <c r="RZ88" s="21"/>
      <c r="SA88" s="21"/>
      <c r="SB88" s="21"/>
      <c r="SC88" s="21"/>
      <c r="SD88" s="21"/>
      <c r="SE88" s="21"/>
      <c r="SF88" s="21"/>
      <c r="SG88" s="21"/>
      <c r="SH88" s="21"/>
      <c r="SI88" s="21"/>
      <c r="SJ88" s="21"/>
      <c r="SK88" s="21"/>
      <c r="SL88" s="21"/>
      <c r="SM88" s="21"/>
      <c r="SN88" s="21"/>
      <c r="SO88" s="21"/>
      <c r="SP88" s="21"/>
      <c r="SQ88" s="21"/>
      <c r="SR88" s="21"/>
      <c r="SS88" s="21"/>
      <c r="ST88" s="21"/>
      <c r="SU88" s="21"/>
      <c r="SV88" s="21"/>
      <c r="SW88" s="21"/>
      <c r="SX88" s="21"/>
      <c r="SY88" s="21"/>
      <c r="SZ88" s="21"/>
      <c r="TA88" s="21"/>
      <c r="TB88" s="21"/>
      <c r="TC88" s="21"/>
      <c r="TD88" s="21"/>
      <c r="TE88" s="21"/>
      <c r="TF88" s="21"/>
      <c r="TG88" s="21"/>
      <c r="TH88" s="21"/>
      <c r="TI88" s="21"/>
      <c r="TJ88" s="21"/>
      <c r="TK88" s="21"/>
      <c r="TL88" s="21"/>
      <c r="TM88" s="21"/>
      <c r="TN88" s="21"/>
      <c r="TO88" s="21"/>
      <c r="TP88" s="21"/>
      <c r="TQ88" s="21"/>
      <c r="TR88" s="21"/>
      <c r="TS88" s="21"/>
      <c r="TT88" s="21"/>
      <c r="TU88" s="21"/>
      <c r="TV88" s="21"/>
      <c r="TW88" s="21"/>
      <c r="TX88" s="21"/>
      <c r="TY88" s="21"/>
      <c r="TZ88" s="21"/>
      <c r="UA88" s="21"/>
      <c r="UB88" s="21"/>
      <c r="UC88" s="21"/>
      <c r="UD88" s="21"/>
      <c r="UE88" s="21"/>
      <c r="UF88" s="21"/>
      <c r="UG88" s="21"/>
      <c r="UH88" s="21"/>
      <c r="UI88" s="21"/>
      <c r="UJ88" s="21"/>
      <c r="UK88" s="21"/>
      <c r="UL88" s="21"/>
      <c r="UM88" s="21"/>
      <c r="UN88" s="21"/>
      <c r="UO88" s="21"/>
      <c r="UP88" s="21"/>
      <c r="UQ88" s="21"/>
      <c r="UR88" s="21"/>
      <c r="US88" s="21"/>
      <c r="UT88" s="21"/>
      <c r="UU88" s="21"/>
      <c r="UV88" s="21"/>
      <c r="UW88" s="21"/>
      <c r="UX88" s="21"/>
      <c r="UY88" s="21"/>
      <c r="UZ88" s="21"/>
      <c r="VA88" s="21"/>
      <c r="VB88" s="21"/>
      <c r="VC88" s="21"/>
      <c r="VD88" s="21"/>
      <c r="VE88" s="21"/>
      <c r="VF88" s="21"/>
      <c r="VG88" s="21"/>
      <c r="VH88" s="21"/>
      <c r="VI88" s="21"/>
      <c r="VJ88" s="21"/>
      <c r="VK88" s="21"/>
      <c r="VL88" s="21"/>
      <c r="VM88" s="21"/>
      <c r="VN88" s="21"/>
      <c r="VO88" s="21"/>
      <c r="VP88" s="21"/>
      <c r="VQ88" s="21"/>
      <c r="VR88" s="21"/>
      <c r="VS88" s="21"/>
      <c r="VT88" s="21"/>
      <c r="VU88" s="21"/>
      <c r="VV88" s="21"/>
      <c r="VW88" s="21"/>
      <c r="VX88" s="21"/>
      <c r="VY88" s="21"/>
      <c r="VZ88" s="21"/>
      <c r="WA88" s="21"/>
      <c r="WB88" s="21"/>
      <c r="WC88" s="21"/>
      <c r="WD88" s="21"/>
      <c r="WE88" s="21"/>
      <c r="WF88" s="21"/>
      <c r="WG88" s="21"/>
      <c r="WH88" s="21"/>
      <c r="WI88" s="21"/>
      <c r="WJ88" s="21"/>
      <c r="WK88" s="21"/>
      <c r="WL88" s="21"/>
      <c r="WM88" s="21"/>
      <c r="WN88" s="21"/>
      <c r="WO88" s="21"/>
      <c r="WP88" s="21"/>
      <c r="WQ88" s="21"/>
      <c r="WR88" s="21"/>
      <c r="WS88" s="21"/>
      <c r="WT88" s="21"/>
      <c r="WU88" s="21"/>
      <c r="WV88" s="21"/>
      <c r="WW88" s="21"/>
      <c r="WX88" s="21"/>
      <c r="WY88" s="21"/>
      <c r="WZ88" s="21"/>
      <c r="XA88" s="21"/>
      <c r="XB88" s="21"/>
      <c r="XC88" s="21"/>
      <c r="XD88" s="21"/>
      <c r="XE88" s="21"/>
      <c r="XF88" s="21"/>
      <c r="XG88" s="21"/>
      <c r="XH88" s="21"/>
      <c r="XI88" s="21"/>
      <c r="XJ88" s="21"/>
      <c r="XK88" s="21"/>
      <c r="XL88" s="21"/>
      <c r="XM88" s="21"/>
      <c r="XN88" s="21"/>
      <c r="XO88" s="21"/>
      <c r="XP88" s="21"/>
      <c r="XQ88" s="21"/>
      <c r="XR88" s="21"/>
      <c r="XS88" s="21"/>
      <c r="XT88" s="21"/>
      <c r="XU88" s="21"/>
      <c r="XV88" s="21"/>
      <c r="XW88" s="21"/>
      <c r="XX88" s="21"/>
      <c r="XY88" s="21"/>
      <c r="XZ88" s="21"/>
      <c r="YA88" s="21"/>
      <c r="YB88" s="21"/>
      <c r="YC88" s="21"/>
      <c r="YD88" s="21"/>
      <c r="YE88" s="21"/>
      <c r="YF88" s="21"/>
      <c r="YG88" s="21"/>
      <c r="YH88" s="21"/>
      <c r="YI88" s="21"/>
      <c r="YJ88" s="21"/>
      <c r="YK88" s="21"/>
      <c r="YL88" s="21"/>
      <c r="YM88" s="21"/>
      <c r="YN88" s="21"/>
      <c r="YO88" s="21"/>
      <c r="YP88" s="21"/>
      <c r="YQ88" s="21"/>
      <c r="YR88" s="21"/>
      <c r="YS88" s="21"/>
      <c r="YT88" s="21"/>
      <c r="YU88" s="21"/>
      <c r="YV88" s="21"/>
      <c r="YW88" s="21"/>
      <c r="YX88" s="21"/>
      <c r="YY88" s="21"/>
      <c r="YZ88" s="21"/>
      <c r="ZA88" s="21"/>
      <c r="ZB88" s="21"/>
      <c r="ZC88" s="21"/>
      <c r="ZD88" s="21"/>
      <c r="ZE88" s="21"/>
      <c r="ZF88" s="21"/>
      <c r="ZG88" s="21"/>
      <c r="ZH88" s="21"/>
      <c r="ZI88" s="21"/>
      <c r="ZJ88" s="21"/>
      <c r="ZK88" s="21"/>
      <c r="ZL88" s="21"/>
      <c r="ZM88" s="21"/>
      <c r="ZN88" s="21"/>
      <c r="ZO88" s="21"/>
      <c r="ZP88" s="21"/>
      <c r="ZQ88" s="21"/>
      <c r="ZR88" s="21"/>
      <c r="ZS88" s="21"/>
      <c r="ZT88" s="21"/>
      <c r="ZU88" s="21"/>
      <c r="ZV88" s="21"/>
      <c r="ZW88" s="21"/>
      <c r="ZX88" s="21"/>
      <c r="ZY88" s="21"/>
      <c r="ZZ88" s="21"/>
      <c r="AAA88" s="21"/>
      <c r="AAB88" s="21"/>
      <c r="AAC88" s="21"/>
      <c r="AAD88" s="21"/>
      <c r="AAE88" s="21"/>
      <c r="AAF88" s="21"/>
      <c r="AAG88" s="21"/>
      <c r="AAH88" s="21"/>
      <c r="AAI88" s="21"/>
      <c r="AAJ88" s="21"/>
      <c r="AAK88" s="21"/>
      <c r="AAL88" s="21"/>
      <c r="AAM88" s="21"/>
      <c r="AAN88" s="21"/>
      <c r="AAO88" s="21"/>
      <c r="AAP88" s="21"/>
      <c r="AAQ88" s="21"/>
      <c r="AAR88" s="21"/>
      <c r="AAS88" s="21"/>
      <c r="AAT88" s="21"/>
      <c r="AAU88" s="21"/>
      <c r="AAV88" s="21"/>
      <c r="AAW88" s="21"/>
      <c r="AAX88" s="21"/>
      <c r="AAY88" s="21"/>
      <c r="AAZ88" s="21"/>
      <c r="ABA88" s="21"/>
      <c r="ABB88" s="21"/>
      <c r="ABC88" s="21"/>
      <c r="ABD88" s="21"/>
      <c r="ABE88" s="21"/>
      <c r="ABF88" s="21"/>
      <c r="ABG88" s="21"/>
      <c r="ABH88" s="21"/>
      <c r="ABI88" s="21"/>
      <c r="ABJ88" s="21"/>
      <c r="ABK88" s="21"/>
      <c r="ABL88" s="21"/>
      <c r="ABM88" s="21"/>
      <c r="ABN88" s="21"/>
      <c r="ABO88" s="21"/>
      <c r="ABP88" s="21"/>
      <c r="ABQ88" s="21"/>
      <c r="ABR88" s="21"/>
      <c r="ABS88" s="21"/>
      <c r="ABT88" s="21"/>
      <c r="ABU88" s="21"/>
      <c r="ABV88" s="21"/>
      <c r="ABW88" s="21"/>
      <c r="ABX88" s="21"/>
      <c r="ABY88" s="21"/>
      <c r="ABZ88" s="21"/>
      <c r="ACA88" s="21"/>
      <c r="ACB88" s="21"/>
      <c r="ACC88" s="21"/>
      <c r="ACD88" s="21"/>
      <c r="ACE88" s="21"/>
      <c r="ACF88" s="21"/>
      <c r="ACG88" s="21"/>
      <c r="ACH88" s="21"/>
      <c r="ACI88" s="21"/>
      <c r="ACJ88" s="21"/>
      <c r="ACK88" s="21"/>
      <c r="ACL88" s="21"/>
      <c r="ACM88" s="21"/>
      <c r="ACN88" s="21"/>
      <c r="ACO88" s="21"/>
      <c r="ACP88" s="21"/>
      <c r="ACQ88" s="21"/>
      <c r="ACR88" s="21"/>
      <c r="ACS88" s="21"/>
      <c r="ACT88" s="21"/>
      <c r="ACU88" s="21"/>
      <c r="ACV88" s="21"/>
      <c r="ACW88" s="21"/>
      <c r="ACX88" s="21"/>
      <c r="ACY88" s="21"/>
      <c r="ACZ88" s="21"/>
      <c r="ADA88" s="21"/>
      <c r="ADB88" s="21"/>
      <c r="ADC88" s="21"/>
      <c r="ADD88" s="21"/>
      <c r="ADE88" s="21"/>
      <c r="ADF88" s="21"/>
      <c r="ADG88" s="21"/>
      <c r="ADH88" s="21"/>
      <c r="ADI88" s="21"/>
      <c r="ADJ88" s="21"/>
      <c r="ADK88" s="21"/>
      <c r="ADL88" s="21"/>
      <c r="ADM88" s="21"/>
      <c r="ADN88" s="21"/>
      <c r="ADO88" s="21"/>
      <c r="ADP88" s="21"/>
      <c r="ADQ88" s="21"/>
      <c r="ADR88" s="21"/>
      <c r="ADS88" s="21"/>
      <c r="ADT88" s="21"/>
      <c r="ADU88" s="21"/>
      <c r="ADV88" s="21"/>
      <c r="ADW88" s="21"/>
      <c r="ADX88" s="21"/>
      <c r="ADY88" s="21"/>
      <c r="ADZ88" s="21"/>
      <c r="AEA88" s="21"/>
      <c r="AEB88" s="21"/>
      <c r="AEC88" s="21"/>
      <c r="AED88" s="21"/>
      <c r="AEE88" s="21"/>
      <c r="AEF88" s="21"/>
      <c r="AEG88" s="21"/>
      <c r="AEH88" s="21"/>
      <c r="AEI88" s="21"/>
      <c r="AEJ88" s="21"/>
      <c r="AEK88" s="21"/>
      <c r="AEL88" s="21"/>
      <c r="AEM88" s="21"/>
      <c r="AEN88" s="21"/>
      <c r="AEO88" s="21"/>
      <c r="AEP88" s="21"/>
      <c r="AEQ88" s="21"/>
      <c r="AER88" s="21"/>
      <c r="AES88" s="21"/>
      <c r="AET88" s="21"/>
      <c r="AEU88" s="21"/>
      <c r="AEV88" s="21"/>
      <c r="AEW88" s="21"/>
      <c r="AEX88" s="21"/>
      <c r="AEY88" s="21"/>
      <c r="AEZ88" s="21"/>
      <c r="AFA88" s="21"/>
      <c r="AFB88" s="21"/>
      <c r="AFC88" s="21"/>
      <c r="AFD88" s="21"/>
      <c r="AFE88" s="21"/>
      <c r="AFF88" s="21"/>
      <c r="AFG88" s="21"/>
      <c r="AFH88" s="21"/>
      <c r="AFI88" s="21"/>
      <c r="AFJ88" s="21"/>
      <c r="AFK88" s="21"/>
      <c r="AFL88" s="21"/>
      <c r="AFM88" s="21"/>
      <c r="AFN88" s="21"/>
      <c r="AFO88" s="21"/>
      <c r="AFP88" s="21"/>
      <c r="AFQ88" s="21"/>
      <c r="AFR88" s="21"/>
      <c r="AFS88" s="21"/>
      <c r="AFT88" s="21"/>
      <c r="AFU88" s="21"/>
      <c r="AFV88" s="21"/>
      <c r="AFW88" s="21"/>
      <c r="AFX88" s="21"/>
      <c r="AFY88" s="21"/>
      <c r="AFZ88" s="21"/>
      <c r="AGA88" s="21"/>
      <c r="AGB88" s="21"/>
      <c r="AGC88" s="21"/>
      <c r="AGD88" s="21"/>
      <c r="AGE88" s="21"/>
      <c r="AGF88" s="21"/>
      <c r="AGG88" s="21"/>
      <c r="AGH88" s="21"/>
      <c r="AGI88" s="21"/>
      <c r="AGJ88" s="21"/>
      <c r="AGK88" s="21"/>
      <c r="AGL88" s="21"/>
      <c r="AGM88" s="21"/>
      <c r="AGN88" s="21"/>
      <c r="AGO88" s="21"/>
      <c r="AGP88" s="21"/>
      <c r="AGQ88" s="21"/>
      <c r="AGR88" s="21"/>
      <c r="AGS88" s="21"/>
      <c r="AGT88" s="21"/>
      <c r="AGU88" s="21"/>
      <c r="AGV88" s="21"/>
      <c r="AGW88" s="21"/>
      <c r="AGX88" s="21"/>
      <c r="AGY88" s="21"/>
      <c r="AGZ88" s="21"/>
      <c r="AHA88" s="21"/>
      <c r="AHB88" s="21"/>
      <c r="AHC88" s="21"/>
      <c r="AHD88" s="21"/>
      <c r="AHE88" s="21"/>
      <c r="AHF88" s="21"/>
      <c r="AHG88" s="21"/>
      <c r="AHH88" s="21"/>
      <c r="AHI88" s="21"/>
      <c r="AHJ88" s="21"/>
      <c r="AHK88" s="21"/>
      <c r="AHL88" s="21"/>
      <c r="AHM88" s="21"/>
      <c r="AHN88" s="21"/>
      <c r="AHO88" s="21"/>
      <c r="AHP88" s="21"/>
      <c r="AHQ88" s="21"/>
      <c r="AHR88" s="21"/>
      <c r="AHS88" s="21"/>
      <c r="AHT88" s="21"/>
      <c r="AHU88" s="21"/>
      <c r="AHV88" s="21"/>
      <c r="AHW88" s="21"/>
      <c r="AHX88" s="21"/>
      <c r="AHY88" s="21"/>
      <c r="AHZ88" s="21"/>
      <c r="AIA88" s="21"/>
      <c r="AIB88" s="21"/>
      <c r="AIC88" s="21"/>
      <c r="AID88" s="21"/>
      <c r="AIE88" s="21"/>
      <c r="AIF88" s="21"/>
      <c r="AIG88" s="21"/>
      <c r="AIH88" s="21"/>
      <c r="AII88" s="21"/>
      <c r="AIJ88" s="21"/>
      <c r="AIK88" s="21"/>
      <c r="AIL88" s="21"/>
      <c r="AIM88" s="21"/>
      <c r="AIN88" s="21"/>
      <c r="AIO88" s="21"/>
      <c r="AIP88" s="21"/>
      <c r="AIQ88" s="21"/>
      <c r="AIR88" s="21"/>
      <c r="AIS88" s="21"/>
      <c r="AIT88" s="21"/>
      <c r="AIU88" s="21"/>
      <c r="AIV88" s="21"/>
      <c r="AIW88" s="21"/>
      <c r="AIX88" s="21"/>
      <c r="AIY88" s="21"/>
      <c r="AIZ88" s="21"/>
      <c r="AJA88" s="21"/>
      <c r="AJB88" s="21"/>
      <c r="AJC88" s="21"/>
      <c r="AJD88" s="21"/>
      <c r="AJE88" s="21"/>
      <c r="AJF88" s="21"/>
      <c r="AJG88" s="21"/>
      <c r="AJH88" s="21"/>
      <c r="AJI88" s="21"/>
      <c r="AJJ88" s="21"/>
      <c r="AJK88" s="21"/>
      <c r="AJL88" s="21"/>
      <c r="AJM88" s="21"/>
      <c r="AJN88" s="21"/>
      <c r="AJO88" s="21"/>
      <c r="AJP88" s="21"/>
      <c r="AJQ88" s="21"/>
      <c r="AJR88" s="21"/>
      <c r="AJS88" s="21"/>
      <c r="AJT88" s="21"/>
      <c r="AJU88" s="21"/>
      <c r="AJV88" s="21"/>
      <c r="AJW88" s="21"/>
      <c r="AJX88" s="21"/>
      <c r="AJY88" s="21"/>
      <c r="AJZ88" s="21"/>
      <c r="AKA88" s="21"/>
      <c r="AKB88" s="21"/>
      <c r="AKC88" s="21"/>
      <c r="AKD88" s="21"/>
      <c r="AKE88" s="21"/>
      <c r="AKF88" s="21"/>
      <c r="AKG88" s="21"/>
      <c r="AKH88" s="21"/>
      <c r="AKI88" s="21"/>
      <c r="AKJ88" s="21"/>
      <c r="AKK88" s="21"/>
      <c r="AKL88" s="21"/>
      <c r="AKM88" s="21"/>
      <c r="AKN88" s="21"/>
      <c r="AKO88" s="21"/>
      <c r="AKP88" s="21"/>
      <c r="AKQ88" s="21"/>
      <c r="AKR88" s="21"/>
      <c r="AKS88" s="21"/>
      <c r="AKT88" s="21"/>
      <c r="AKU88" s="21"/>
      <c r="AKV88" s="21"/>
      <c r="AKW88" s="21"/>
      <c r="AKX88" s="21"/>
      <c r="AKY88" s="21"/>
      <c r="AKZ88" s="21"/>
      <c r="ALA88" s="21"/>
      <c r="ALB88" s="21"/>
      <c r="ALC88" s="21"/>
      <c r="ALD88" s="21"/>
      <c r="ALE88" s="21"/>
      <c r="ALF88" s="21"/>
      <c r="ALG88" s="21"/>
      <c r="ALH88" s="21"/>
      <c r="ALI88" s="21"/>
      <c r="ALJ88" s="21"/>
      <c r="ALK88" s="21"/>
      <c r="ALL88" s="21"/>
      <c r="ALM88" s="21"/>
      <c r="ALN88" s="21"/>
      <c r="ALO88" s="21"/>
      <c r="ALP88" s="21"/>
      <c r="ALQ88" s="21"/>
      <c r="ALR88" s="21"/>
      <c r="ALS88" s="21"/>
      <c r="ALT88" s="21"/>
      <c r="ALU88" s="21"/>
      <c r="ALV88" s="21"/>
      <c r="ALW88" s="21"/>
      <c r="ALX88" s="21"/>
      <c r="ALY88" s="21"/>
      <c r="ALZ88" s="21"/>
      <c r="AMA88" s="21"/>
      <c r="AMB88" s="21"/>
      <c r="AMC88" s="21"/>
      <c r="AMD88" s="21"/>
      <c r="AME88" s="21"/>
      <c r="AMF88" s="21"/>
      <c r="AMG88" s="21"/>
      <c r="AMH88" s="21"/>
      <c r="AMI88" s="21"/>
      <c r="AMJ88" s="21"/>
      <c r="AMK88" s="21"/>
      <c r="AML88" s="21"/>
      <c r="AMM88" s="21"/>
      <c r="AMN88" s="21"/>
      <c r="AMO88" s="21"/>
      <c r="AMP88" s="21"/>
      <c r="AMQ88" s="21"/>
      <c r="AMR88" s="21"/>
      <c r="AMS88" s="21"/>
      <c r="AMT88" s="21"/>
      <c r="AMU88" s="21"/>
      <c r="AMV88" s="21"/>
      <c r="AMW88" s="21"/>
      <c r="AMX88" s="21"/>
      <c r="AMY88" s="21"/>
      <c r="AMZ88" s="21"/>
      <c r="ANA88" s="21"/>
      <c r="ANB88" s="21"/>
      <c r="ANC88" s="21"/>
      <c r="AND88" s="21"/>
      <c r="ANE88" s="21"/>
      <c r="ANF88" s="21"/>
      <c r="ANG88" s="21"/>
      <c r="ANH88" s="21"/>
      <c r="ANI88" s="21"/>
      <c r="ANJ88" s="21"/>
      <c r="ANK88" s="21"/>
      <c r="ANL88" s="21"/>
      <c r="ANM88" s="21"/>
      <c r="ANN88" s="21"/>
      <c r="ANO88" s="21"/>
      <c r="ANP88" s="21"/>
      <c r="ANQ88" s="21"/>
      <c r="ANR88" s="21"/>
      <c r="ANS88" s="21"/>
      <c r="ANT88" s="21"/>
      <c r="ANU88" s="21"/>
      <c r="ANV88" s="21"/>
      <c r="ANW88" s="21"/>
      <c r="ANX88" s="21"/>
      <c r="ANY88" s="21"/>
      <c r="ANZ88" s="21"/>
      <c r="AOA88" s="21"/>
      <c r="AOB88" s="21"/>
      <c r="AOC88" s="21"/>
      <c r="AOD88" s="21"/>
      <c r="AOE88" s="21"/>
      <c r="AOF88" s="21"/>
      <c r="AOG88" s="21"/>
      <c r="AOH88" s="21"/>
      <c r="AOI88" s="21"/>
      <c r="AOJ88" s="21"/>
      <c r="AOK88" s="21"/>
      <c r="AOL88" s="21"/>
      <c r="AOM88" s="21"/>
      <c r="AON88" s="21"/>
      <c r="AOO88" s="21"/>
      <c r="AOP88" s="21"/>
      <c r="AOQ88" s="21"/>
      <c r="AOR88" s="21"/>
      <c r="AOS88" s="21"/>
      <c r="AOT88" s="21"/>
      <c r="AOU88" s="21"/>
      <c r="AOV88" s="21"/>
      <c r="AOW88" s="21"/>
      <c r="AOX88" s="21"/>
      <c r="AOY88" s="21"/>
      <c r="AOZ88" s="21"/>
      <c r="APA88" s="21"/>
      <c r="APB88" s="21"/>
      <c r="APC88" s="21"/>
      <c r="APD88" s="21"/>
      <c r="APE88" s="21"/>
      <c r="APF88" s="21"/>
      <c r="APG88" s="21"/>
      <c r="APH88" s="21"/>
      <c r="API88" s="21"/>
      <c r="APJ88" s="21"/>
      <c r="APK88" s="21"/>
      <c r="APL88" s="21"/>
      <c r="APM88" s="21"/>
      <c r="APN88" s="21"/>
      <c r="APO88" s="21"/>
      <c r="APP88" s="21"/>
      <c r="APQ88" s="21"/>
      <c r="APR88" s="21"/>
      <c r="APS88" s="21"/>
      <c r="APT88" s="21"/>
      <c r="APU88" s="21"/>
      <c r="APV88" s="21"/>
      <c r="APW88" s="21"/>
      <c r="APX88" s="21"/>
      <c r="APY88" s="21"/>
      <c r="APZ88" s="21"/>
      <c r="AQA88" s="21"/>
      <c r="AQB88" s="21"/>
      <c r="AQC88" s="21"/>
      <c r="AQD88" s="21"/>
      <c r="AQE88" s="21"/>
      <c r="AQF88" s="21"/>
      <c r="AQG88" s="21"/>
      <c r="AQH88" s="21"/>
      <c r="AQI88" s="21"/>
      <c r="AQJ88" s="21"/>
      <c r="AQK88" s="21"/>
      <c r="AQL88" s="21"/>
      <c r="AQM88" s="21"/>
      <c r="AQN88" s="21"/>
      <c r="AQO88" s="21"/>
      <c r="AQP88" s="21"/>
      <c r="AQQ88" s="21"/>
      <c r="AQR88" s="21"/>
      <c r="AQS88" s="21"/>
      <c r="AQT88" s="21"/>
      <c r="AQU88" s="21"/>
      <c r="AQV88" s="21"/>
      <c r="AQW88" s="21"/>
      <c r="AQX88" s="21"/>
      <c r="AQY88" s="21"/>
      <c r="AQZ88" s="21"/>
      <c r="ARA88" s="21"/>
      <c r="ARB88" s="21"/>
      <c r="ARC88" s="21"/>
      <c r="ARD88" s="21"/>
      <c r="ARE88" s="21"/>
      <c r="ARF88" s="21"/>
      <c r="ARG88" s="21"/>
      <c r="ARH88" s="21"/>
      <c r="ARI88" s="21"/>
      <c r="ARJ88" s="21"/>
      <c r="ARK88" s="21"/>
      <c r="ARL88" s="21"/>
      <c r="ARM88" s="21"/>
      <c r="ARN88" s="21"/>
      <c r="ARO88" s="21"/>
      <c r="ARP88" s="21"/>
      <c r="ARQ88" s="21"/>
      <c r="ARR88" s="21"/>
      <c r="ARS88" s="21"/>
      <c r="ART88" s="21"/>
      <c r="ARU88" s="21"/>
      <c r="ARV88" s="21"/>
      <c r="ARW88" s="21"/>
      <c r="ARX88" s="21"/>
      <c r="ARY88" s="21"/>
      <c r="ARZ88" s="21"/>
      <c r="ASA88" s="21"/>
      <c r="ASB88" s="21"/>
      <c r="ASC88" s="21"/>
      <c r="ASD88" s="21"/>
      <c r="ASE88" s="21"/>
      <c r="ASF88" s="21"/>
      <c r="ASG88" s="21"/>
      <c r="ASH88" s="21"/>
      <c r="ASI88" s="21"/>
      <c r="ASJ88" s="21"/>
      <c r="ASK88" s="21"/>
      <c r="ASL88" s="21"/>
      <c r="ASM88" s="21"/>
      <c r="ASN88" s="21"/>
      <c r="ASO88" s="21"/>
      <c r="ASP88" s="21"/>
      <c r="ASQ88" s="21"/>
      <c r="ASR88" s="21"/>
      <c r="ASS88" s="21"/>
      <c r="AST88" s="21"/>
      <c r="ASU88" s="21"/>
      <c r="ASV88" s="21"/>
      <c r="ASW88" s="21"/>
      <c r="ASX88" s="21"/>
      <c r="ASY88" s="21"/>
      <c r="ASZ88" s="21"/>
      <c r="ATA88" s="21"/>
      <c r="ATB88" s="21"/>
      <c r="ATC88" s="21"/>
      <c r="ATD88" s="21"/>
      <c r="ATE88" s="21"/>
      <c r="ATF88" s="21"/>
      <c r="ATG88" s="21"/>
      <c r="ATH88" s="21"/>
      <c r="ATI88" s="21"/>
      <c r="ATJ88" s="21"/>
      <c r="ATK88" s="21"/>
      <c r="ATL88" s="21"/>
      <c r="ATM88" s="21"/>
      <c r="ATN88" s="21"/>
      <c r="ATO88" s="21"/>
      <c r="ATP88" s="21"/>
      <c r="ATQ88" s="21"/>
      <c r="ATR88" s="21"/>
      <c r="ATS88" s="21"/>
      <c r="ATT88" s="21"/>
      <c r="ATU88" s="21"/>
      <c r="ATV88" s="21"/>
      <c r="ATW88" s="21"/>
      <c r="ATX88" s="21"/>
      <c r="ATY88" s="21"/>
      <c r="ATZ88" s="21"/>
      <c r="AUA88" s="21"/>
      <c r="AUB88" s="21"/>
      <c r="AUC88" s="21"/>
      <c r="AUD88" s="21"/>
      <c r="AUE88" s="21"/>
      <c r="AUF88" s="21"/>
      <c r="AUG88" s="21"/>
      <c r="AUH88" s="21"/>
      <c r="AUI88" s="21"/>
      <c r="AUJ88" s="21"/>
      <c r="AUK88" s="21"/>
      <c r="AUL88" s="21"/>
      <c r="AUM88" s="21"/>
      <c r="AUN88" s="21"/>
      <c r="AUO88" s="21"/>
      <c r="AUP88" s="21"/>
      <c r="AUQ88" s="21"/>
      <c r="AUR88" s="21"/>
      <c r="AUS88" s="21"/>
      <c r="AUT88" s="21"/>
      <c r="AUU88" s="21"/>
      <c r="AUV88" s="21"/>
      <c r="AUW88" s="21"/>
      <c r="AUX88" s="21"/>
      <c r="AUY88" s="21"/>
      <c r="AUZ88" s="21"/>
      <c r="AVA88" s="21"/>
      <c r="AVB88" s="21"/>
      <c r="AVC88" s="21"/>
      <c r="AVD88" s="21"/>
      <c r="AVE88" s="21"/>
      <c r="AVF88" s="21"/>
      <c r="AVG88" s="21"/>
      <c r="AVH88" s="21"/>
      <c r="AVI88" s="21"/>
      <c r="AVJ88" s="21"/>
      <c r="AVK88" s="21"/>
      <c r="AVL88" s="21"/>
      <c r="AVM88" s="21"/>
      <c r="AVN88" s="21"/>
      <c r="AVO88" s="21"/>
      <c r="AVP88" s="21"/>
      <c r="AVQ88" s="21"/>
      <c r="AVR88" s="21"/>
      <c r="AVS88" s="21"/>
      <c r="AVT88" s="21"/>
      <c r="AVU88" s="21"/>
      <c r="AVV88" s="21"/>
      <c r="AVW88" s="21"/>
      <c r="AVX88" s="21"/>
      <c r="AVY88" s="21"/>
      <c r="AVZ88" s="21"/>
      <c r="AWA88" s="21"/>
      <c r="AWB88" s="21"/>
      <c r="AWC88" s="21"/>
      <c r="AWD88" s="21"/>
      <c r="AWE88" s="21"/>
      <c r="AWF88" s="21"/>
      <c r="AWG88" s="21"/>
      <c r="AWH88" s="21"/>
      <c r="AWI88" s="21"/>
      <c r="AWJ88" s="21"/>
      <c r="AWK88" s="21"/>
      <c r="AWL88" s="21"/>
      <c r="AWM88" s="21"/>
      <c r="AWN88" s="21"/>
      <c r="AWO88" s="21"/>
      <c r="AWP88" s="21"/>
      <c r="AWQ88" s="21"/>
      <c r="AWR88" s="21"/>
      <c r="AWS88" s="21"/>
      <c r="AWT88" s="21"/>
      <c r="AWU88" s="21"/>
      <c r="AWV88" s="21"/>
      <c r="AWW88" s="21"/>
      <c r="AWX88" s="21"/>
      <c r="AWY88" s="21"/>
      <c r="AWZ88" s="21"/>
      <c r="AXA88" s="21"/>
      <c r="AXB88" s="21"/>
      <c r="AXC88" s="21"/>
      <c r="AXD88" s="21"/>
      <c r="AXE88" s="21"/>
      <c r="AXF88" s="21"/>
      <c r="AXG88" s="21"/>
      <c r="AXH88" s="21"/>
      <c r="AXI88" s="21"/>
      <c r="AXJ88" s="21"/>
      <c r="AXK88" s="21"/>
      <c r="AXL88" s="21"/>
      <c r="AXM88" s="21"/>
      <c r="AXN88" s="21"/>
      <c r="AXO88" s="21"/>
      <c r="AXP88" s="21"/>
      <c r="AXQ88" s="21"/>
      <c r="AXR88" s="21"/>
      <c r="AXS88" s="21"/>
      <c r="AXT88" s="21"/>
      <c r="AXU88" s="21"/>
      <c r="AXV88" s="21"/>
      <c r="AXW88" s="21"/>
      <c r="AXX88" s="21"/>
      <c r="AXY88" s="21"/>
      <c r="AXZ88" s="21"/>
      <c r="AYA88" s="21"/>
      <c r="AYB88" s="21"/>
      <c r="AYC88" s="21"/>
      <c r="AYD88" s="21"/>
      <c r="AYE88" s="21"/>
      <c r="AYF88" s="21"/>
      <c r="AYG88" s="21"/>
      <c r="AYH88" s="21"/>
      <c r="AYI88" s="21"/>
      <c r="AYJ88" s="21"/>
      <c r="AYK88" s="21"/>
      <c r="AYL88" s="21"/>
      <c r="AYM88" s="21"/>
      <c r="AYN88" s="21"/>
      <c r="AYO88" s="21"/>
      <c r="AYP88" s="21"/>
      <c r="AYQ88" s="21"/>
      <c r="AYR88" s="21"/>
      <c r="AYS88" s="21"/>
      <c r="AYT88" s="21"/>
      <c r="AYU88" s="21"/>
      <c r="AYV88" s="21"/>
      <c r="AYW88" s="21"/>
      <c r="AYX88" s="21"/>
      <c r="AYY88" s="21"/>
      <c r="AYZ88" s="21"/>
      <c r="AZA88" s="21"/>
      <c r="AZB88" s="21"/>
      <c r="AZC88" s="21"/>
      <c r="AZD88" s="21"/>
      <c r="AZE88" s="21"/>
      <c r="AZF88" s="21"/>
      <c r="AZG88" s="21"/>
      <c r="AZH88" s="21"/>
      <c r="AZI88" s="21"/>
      <c r="AZJ88" s="21"/>
      <c r="AZK88" s="21"/>
      <c r="AZL88" s="21"/>
      <c r="AZM88" s="21"/>
      <c r="AZN88" s="21"/>
      <c r="AZO88" s="21"/>
      <c r="AZP88" s="21"/>
      <c r="AZQ88" s="21"/>
      <c r="AZR88" s="21"/>
      <c r="AZS88" s="21"/>
      <c r="AZT88" s="21"/>
      <c r="AZU88" s="21"/>
      <c r="AZV88" s="21"/>
      <c r="AZW88" s="21"/>
      <c r="AZX88" s="21"/>
      <c r="AZY88" s="21"/>
      <c r="AZZ88" s="21"/>
      <c r="BAA88" s="21"/>
      <c r="BAB88" s="21"/>
      <c r="BAC88" s="21"/>
      <c r="BAD88" s="21"/>
      <c r="BAE88" s="21"/>
      <c r="BAF88" s="21"/>
      <c r="BAG88" s="21"/>
      <c r="BAH88" s="21"/>
      <c r="BAI88" s="21"/>
      <c r="BAJ88" s="21"/>
      <c r="BAK88" s="21"/>
      <c r="BAL88" s="21"/>
      <c r="BAM88" s="21"/>
      <c r="BAN88" s="21"/>
      <c r="BAO88" s="21"/>
      <c r="BAP88" s="21"/>
      <c r="BAQ88" s="21"/>
      <c r="BAR88" s="21"/>
      <c r="BAS88" s="21"/>
      <c r="BAT88" s="21"/>
      <c r="BAU88" s="21"/>
      <c r="BAV88" s="21"/>
      <c r="BAW88" s="21"/>
      <c r="BAX88" s="21"/>
      <c r="BAY88" s="21"/>
      <c r="BAZ88" s="21"/>
      <c r="BBA88" s="21"/>
      <c r="BBB88" s="21"/>
      <c r="BBC88" s="21"/>
      <c r="BBD88" s="21"/>
      <c r="BBE88" s="21"/>
      <c r="BBF88" s="21"/>
      <c r="BBG88" s="21"/>
      <c r="BBH88" s="21"/>
      <c r="BBI88" s="21"/>
      <c r="BBJ88" s="21"/>
      <c r="BBK88" s="21"/>
      <c r="BBL88" s="21"/>
      <c r="BBM88" s="21"/>
      <c r="BBN88" s="21"/>
      <c r="BBO88" s="21"/>
      <c r="BBP88" s="21"/>
      <c r="BBQ88" s="21"/>
      <c r="BBR88" s="21"/>
      <c r="BBS88" s="21"/>
      <c r="BBT88" s="21"/>
      <c r="BBU88" s="21"/>
      <c r="BBV88" s="21"/>
      <c r="BBW88" s="21"/>
      <c r="BBX88" s="21"/>
      <c r="BBY88" s="21"/>
      <c r="BBZ88" s="21"/>
      <c r="BCA88" s="21"/>
      <c r="BCB88" s="21"/>
      <c r="BCC88" s="21"/>
      <c r="BCD88" s="21"/>
      <c r="BCE88" s="21"/>
      <c r="BCF88" s="21"/>
      <c r="BCG88" s="21"/>
      <c r="BCH88" s="21"/>
      <c r="BCI88" s="21"/>
      <c r="BCJ88" s="21"/>
      <c r="BCK88" s="21"/>
      <c r="BCL88" s="21"/>
      <c r="BCM88" s="21"/>
      <c r="BCN88" s="21"/>
      <c r="BCO88" s="21"/>
      <c r="BCP88" s="21"/>
      <c r="BCQ88" s="21"/>
      <c r="BCR88" s="21"/>
      <c r="BCS88" s="21"/>
      <c r="BCT88" s="21"/>
      <c r="BCU88" s="21"/>
      <c r="BCV88" s="21"/>
      <c r="BCW88" s="21"/>
      <c r="BCX88" s="21"/>
      <c r="BCY88" s="21"/>
      <c r="BCZ88" s="21"/>
      <c r="BDA88" s="21"/>
      <c r="BDB88" s="21"/>
      <c r="BDC88" s="21"/>
      <c r="BDD88" s="21"/>
      <c r="BDE88" s="21"/>
      <c r="BDF88" s="21"/>
      <c r="BDG88" s="21"/>
      <c r="BDH88" s="21"/>
      <c r="BDI88" s="21"/>
      <c r="BDJ88" s="21"/>
      <c r="BDK88" s="21"/>
      <c r="BDL88" s="21"/>
      <c r="BDM88" s="21"/>
      <c r="BDN88" s="21"/>
      <c r="BDO88" s="21"/>
      <c r="BDP88" s="21"/>
      <c r="BDQ88" s="21"/>
      <c r="BDR88" s="21"/>
      <c r="BDS88" s="21"/>
      <c r="BDT88" s="21"/>
      <c r="BDU88" s="21"/>
      <c r="BDV88" s="21"/>
      <c r="BDW88" s="21"/>
      <c r="BDX88" s="21"/>
      <c r="BDY88" s="21"/>
      <c r="BDZ88" s="21"/>
      <c r="BEA88" s="21"/>
      <c r="BEB88" s="21"/>
      <c r="BEC88" s="21"/>
      <c r="BED88" s="21"/>
      <c r="BEE88" s="21"/>
      <c r="BEF88" s="21"/>
      <c r="BEG88" s="21"/>
      <c r="BEH88" s="21"/>
      <c r="BEI88" s="21"/>
      <c r="BEJ88" s="21"/>
      <c r="BEK88" s="21"/>
      <c r="BEL88" s="21"/>
      <c r="BEM88" s="21"/>
      <c r="BEN88" s="21"/>
      <c r="BEO88" s="21"/>
      <c r="BEP88" s="21"/>
      <c r="BEQ88" s="21"/>
      <c r="BER88" s="21"/>
      <c r="BES88" s="21"/>
      <c r="BET88" s="21"/>
      <c r="BEU88" s="21"/>
      <c r="BEV88" s="21"/>
      <c r="BEW88" s="21"/>
      <c r="BEX88" s="21"/>
      <c r="BEY88" s="21"/>
      <c r="BEZ88" s="21"/>
      <c r="BFA88" s="21"/>
      <c r="BFB88" s="21"/>
      <c r="BFC88" s="21"/>
      <c r="BFD88" s="21"/>
      <c r="BFE88" s="21"/>
      <c r="BFF88" s="21"/>
      <c r="BFG88" s="21"/>
      <c r="BFH88" s="21"/>
      <c r="BFI88" s="21"/>
      <c r="BFJ88" s="21"/>
      <c r="BFK88" s="21"/>
      <c r="BFL88" s="21"/>
      <c r="BFM88" s="21"/>
      <c r="BFN88" s="21"/>
      <c r="BFO88" s="21"/>
      <c r="BFP88" s="21"/>
      <c r="BFQ88" s="21"/>
      <c r="BFR88" s="21"/>
      <c r="BFS88" s="21"/>
      <c r="BFT88" s="21"/>
      <c r="BFU88" s="21"/>
      <c r="BFV88" s="21"/>
      <c r="BFW88" s="21"/>
      <c r="BFX88" s="21"/>
      <c r="BFY88" s="21"/>
      <c r="BFZ88" s="21"/>
      <c r="BGA88" s="21"/>
      <c r="BGB88" s="21"/>
      <c r="BGC88" s="21"/>
      <c r="BGD88" s="21"/>
      <c r="BGE88" s="21"/>
      <c r="BGF88" s="21"/>
      <c r="BGG88" s="21"/>
      <c r="BGH88" s="21"/>
      <c r="BGI88" s="21"/>
      <c r="BGJ88" s="21"/>
      <c r="BGK88" s="21"/>
      <c r="BGL88" s="21"/>
      <c r="BGM88" s="21"/>
      <c r="BGN88" s="21"/>
      <c r="BGO88" s="21"/>
      <c r="BGP88" s="21"/>
      <c r="BGQ88" s="21"/>
      <c r="BGR88" s="21"/>
      <c r="BGS88" s="21"/>
      <c r="BGT88" s="21"/>
      <c r="BGU88" s="21"/>
      <c r="BGV88" s="21"/>
      <c r="BGW88" s="21"/>
      <c r="BGX88" s="21"/>
      <c r="BGY88" s="21"/>
      <c r="BGZ88" s="21"/>
      <c r="BHA88" s="21"/>
      <c r="BHB88" s="21"/>
      <c r="BHC88" s="21"/>
      <c r="BHD88" s="21"/>
      <c r="BHE88" s="21"/>
      <c r="BHF88" s="21"/>
      <c r="BHG88" s="21"/>
      <c r="BHH88" s="21"/>
      <c r="BHI88" s="21"/>
      <c r="BHJ88" s="21"/>
      <c r="BHK88" s="21"/>
      <c r="BHL88" s="21"/>
      <c r="BHM88" s="21"/>
      <c r="BHN88" s="21"/>
      <c r="BHO88" s="21"/>
      <c r="BHP88" s="21"/>
      <c r="BHQ88" s="21"/>
      <c r="BHR88" s="21"/>
      <c r="BHS88" s="21"/>
      <c r="BHT88" s="21"/>
      <c r="BHU88" s="21"/>
      <c r="BHV88" s="21"/>
      <c r="BHW88" s="21"/>
      <c r="BHX88" s="21"/>
      <c r="BHY88" s="21"/>
      <c r="BHZ88" s="21"/>
      <c r="BIA88" s="21"/>
      <c r="BIB88" s="21"/>
      <c r="BIC88" s="21"/>
      <c r="BID88" s="21"/>
      <c r="BIE88" s="21"/>
      <c r="BIF88" s="21"/>
      <c r="BIG88" s="21"/>
      <c r="BIH88" s="21"/>
      <c r="BII88" s="21"/>
      <c r="BIJ88" s="21"/>
      <c r="BIK88" s="21"/>
      <c r="BIL88" s="21"/>
      <c r="BIM88" s="21"/>
      <c r="BIN88" s="21"/>
      <c r="BIO88" s="21"/>
      <c r="BIP88" s="21"/>
      <c r="BIQ88" s="21"/>
      <c r="BIR88" s="21"/>
      <c r="BIS88" s="21"/>
      <c r="BIT88" s="21"/>
      <c r="BIU88" s="21"/>
      <c r="BIV88" s="21"/>
      <c r="BIW88" s="21"/>
      <c r="BIX88" s="21"/>
      <c r="BIY88" s="21"/>
      <c r="BIZ88" s="21"/>
      <c r="BJA88" s="21"/>
      <c r="BJB88" s="21"/>
      <c r="BJC88" s="21"/>
      <c r="BJD88" s="21"/>
      <c r="BJE88" s="21"/>
      <c r="BJF88" s="21"/>
      <c r="BJG88" s="21"/>
      <c r="BJH88" s="21"/>
      <c r="BJI88" s="21"/>
      <c r="BJJ88" s="21"/>
      <c r="BJK88" s="21"/>
      <c r="BJL88" s="21"/>
      <c r="BJM88" s="21"/>
      <c r="BJN88" s="21"/>
      <c r="BJO88" s="21"/>
      <c r="BJP88" s="21"/>
      <c r="BJQ88" s="21"/>
      <c r="BJR88" s="21"/>
      <c r="BJS88" s="21"/>
      <c r="BJT88" s="21"/>
      <c r="BJU88" s="21"/>
      <c r="BJV88" s="21"/>
      <c r="BJW88" s="21"/>
      <c r="BJX88" s="21"/>
      <c r="BJY88" s="21"/>
      <c r="BJZ88" s="21"/>
      <c r="BKA88" s="21"/>
      <c r="BKB88" s="21"/>
      <c r="BKC88" s="21"/>
      <c r="BKD88" s="21"/>
      <c r="BKE88" s="21"/>
      <c r="BKF88" s="21"/>
      <c r="BKG88" s="21"/>
      <c r="BKH88" s="21"/>
      <c r="BKI88" s="21"/>
      <c r="BKJ88" s="21"/>
      <c r="BKK88" s="21"/>
      <c r="BKL88" s="21"/>
      <c r="BKM88" s="21"/>
      <c r="BKN88" s="21"/>
      <c r="BKO88" s="21"/>
      <c r="BKP88" s="21"/>
      <c r="BKQ88" s="21"/>
      <c r="BKR88" s="21"/>
      <c r="BKS88" s="21"/>
      <c r="BKT88" s="21"/>
      <c r="BKU88" s="21"/>
      <c r="BKV88" s="21"/>
      <c r="BKW88" s="21"/>
      <c r="BKX88" s="21"/>
      <c r="BKY88" s="21"/>
      <c r="BKZ88" s="21"/>
      <c r="BLA88" s="21"/>
      <c r="BLB88" s="21"/>
      <c r="BLC88" s="21"/>
      <c r="BLD88" s="21"/>
      <c r="BLE88" s="21"/>
      <c r="BLF88" s="21"/>
      <c r="BLG88" s="21"/>
      <c r="BLH88" s="21"/>
      <c r="BLI88" s="21"/>
      <c r="BLJ88" s="21"/>
      <c r="BLK88" s="21"/>
      <c r="BLL88" s="21"/>
      <c r="BLM88" s="21"/>
      <c r="BLN88" s="21"/>
      <c r="BLO88" s="21"/>
      <c r="BLP88" s="21"/>
      <c r="BLQ88" s="21"/>
      <c r="BLR88" s="21"/>
      <c r="BLS88" s="21"/>
      <c r="BLT88" s="21"/>
      <c r="BLU88" s="21"/>
      <c r="BLV88" s="21"/>
      <c r="BLW88" s="21"/>
      <c r="BLX88" s="21"/>
      <c r="BLY88" s="21"/>
      <c r="BLZ88" s="21"/>
      <c r="BMA88" s="21"/>
      <c r="BMB88" s="21"/>
      <c r="BMC88" s="21"/>
      <c r="BMD88" s="21"/>
      <c r="BME88" s="21"/>
      <c r="BMF88" s="21"/>
      <c r="BMG88" s="21"/>
      <c r="BMH88" s="21"/>
      <c r="BMI88" s="21"/>
      <c r="BMJ88" s="21"/>
      <c r="BMK88" s="21"/>
      <c r="BML88" s="21"/>
      <c r="BMM88" s="21"/>
      <c r="BMN88" s="21"/>
      <c r="BMO88" s="21"/>
      <c r="BMP88" s="21"/>
      <c r="BMQ88" s="21"/>
      <c r="BMR88" s="21"/>
      <c r="BMS88" s="21"/>
      <c r="BMT88" s="21"/>
      <c r="BMU88" s="21"/>
      <c r="BMV88" s="21"/>
      <c r="BMW88" s="21"/>
      <c r="BMX88" s="21"/>
      <c r="BMY88" s="21"/>
      <c r="BMZ88" s="21"/>
      <c r="BNA88" s="21"/>
      <c r="BNB88" s="21"/>
      <c r="BNC88" s="21"/>
      <c r="BND88" s="21"/>
      <c r="BNE88" s="21"/>
      <c r="BNF88" s="21"/>
      <c r="BNG88" s="21"/>
      <c r="BNH88" s="21"/>
      <c r="BNI88" s="21"/>
      <c r="BNJ88" s="21"/>
      <c r="BNK88" s="21"/>
      <c r="BNL88" s="21"/>
      <c r="BNM88" s="21"/>
      <c r="BNN88" s="21"/>
      <c r="BNO88" s="21"/>
      <c r="BNP88" s="21"/>
      <c r="BNQ88" s="21"/>
      <c r="BNR88" s="21"/>
      <c r="BNS88" s="21"/>
      <c r="BNT88" s="21"/>
      <c r="BNU88" s="21"/>
      <c r="BNV88" s="21"/>
      <c r="BNW88" s="21"/>
      <c r="BNX88" s="21"/>
      <c r="BNY88" s="21"/>
      <c r="BNZ88" s="21"/>
      <c r="BOA88" s="21"/>
      <c r="BOB88" s="21"/>
      <c r="BOC88" s="21"/>
      <c r="BOD88" s="21"/>
      <c r="BOE88" s="21"/>
      <c r="BOF88" s="21"/>
      <c r="BOG88" s="21"/>
      <c r="BOH88" s="21"/>
      <c r="BOI88" s="21"/>
      <c r="BOJ88" s="21"/>
      <c r="BOK88" s="21"/>
      <c r="BOL88" s="21"/>
      <c r="BOM88" s="21"/>
      <c r="BON88" s="21"/>
      <c r="BOO88" s="21"/>
      <c r="BOP88" s="21"/>
      <c r="BOQ88" s="21"/>
      <c r="BOR88" s="21"/>
      <c r="BOS88" s="21"/>
      <c r="BOT88" s="21"/>
      <c r="BOU88" s="21"/>
      <c r="BOV88" s="21"/>
      <c r="BOW88" s="21"/>
      <c r="BOX88" s="21"/>
      <c r="BOY88" s="21"/>
      <c r="BOZ88" s="21"/>
      <c r="BPA88" s="21"/>
      <c r="BPB88" s="21"/>
      <c r="BPC88" s="21"/>
      <c r="BPD88" s="21"/>
      <c r="BPE88" s="21"/>
      <c r="BPF88" s="21"/>
      <c r="BPG88" s="21"/>
      <c r="BPH88" s="21"/>
      <c r="BPI88" s="21"/>
      <c r="BPJ88" s="21"/>
      <c r="BPK88" s="21"/>
      <c r="BPL88" s="21"/>
      <c r="BPM88" s="21"/>
      <c r="BPN88" s="21"/>
      <c r="BPO88" s="21"/>
      <c r="BPP88" s="21"/>
      <c r="BPQ88" s="21"/>
      <c r="BPR88" s="21"/>
      <c r="BPS88" s="21"/>
      <c r="BPT88" s="21"/>
      <c r="BPU88" s="21"/>
      <c r="BPV88" s="21"/>
      <c r="BPW88" s="21"/>
      <c r="BPX88" s="21"/>
      <c r="BPY88" s="21"/>
      <c r="BPZ88" s="21"/>
      <c r="BQA88" s="21"/>
      <c r="BQB88" s="21"/>
      <c r="BQC88" s="21"/>
      <c r="BQD88" s="21"/>
      <c r="BQE88" s="21"/>
      <c r="BQF88" s="21"/>
      <c r="BQG88" s="21"/>
      <c r="BQH88" s="21"/>
      <c r="BQI88" s="21"/>
      <c r="BQJ88" s="21"/>
      <c r="BQK88" s="21"/>
      <c r="BQL88" s="21"/>
      <c r="BQM88" s="21"/>
      <c r="BQN88" s="21"/>
      <c r="BQO88" s="21"/>
      <c r="BQP88" s="21"/>
      <c r="BQQ88" s="21"/>
      <c r="BQR88" s="21"/>
      <c r="BQS88" s="21"/>
      <c r="BQT88" s="21"/>
      <c r="BQU88" s="21"/>
      <c r="BQV88" s="21"/>
      <c r="BQW88" s="21"/>
      <c r="BQX88" s="21"/>
      <c r="BQY88" s="21"/>
      <c r="BQZ88" s="21"/>
      <c r="BRA88" s="21"/>
      <c r="BRB88" s="21"/>
      <c r="BRC88" s="21"/>
      <c r="BRD88" s="21"/>
      <c r="BRE88" s="21"/>
      <c r="BRF88" s="21"/>
      <c r="BRG88" s="21"/>
      <c r="BRH88" s="21"/>
      <c r="BRI88" s="21"/>
      <c r="BRJ88" s="21"/>
      <c r="BRK88" s="21"/>
      <c r="BRL88" s="21"/>
      <c r="BRM88" s="21"/>
      <c r="BRN88" s="21"/>
      <c r="BRO88" s="21"/>
      <c r="BRP88" s="21"/>
      <c r="BRQ88" s="21"/>
      <c r="BRR88" s="21"/>
      <c r="BRS88" s="21"/>
      <c r="BRT88" s="21"/>
      <c r="BRU88" s="21"/>
      <c r="BRV88" s="21"/>
      <c r="BRW88" s="21"/>
      <c r="BRX88" s="21"/>
      <c r="BRY88" s="21"/>
      <c r="BRZ88" s="21"/>
      <c r="BSA88" s="21"/>
      <c r="BSB88" s="21"/>
      <c r="BSC88" s="21"/>
      <c r="BSD88" s="21"/>
      <c r="BSE88" s="21"/>
      <c r="BSF88" s="21"/>
      <c r="BSG88" s="21"/>
      <c r="BSH88" s="21"/>
      <c r="BSI88" s="21"/>
      <c r="BSJ88" s="21"/>
      <c r="BSK88" s="21"/>
      <c r="BSL88" s="21"/>
      <c r="BSM88" s="21"/>
      <c r="BSN88" s="21"/>
      <c r="BSO88" s="21"/>
      <c r="BSP88" s="21"/>
      <c r="BSQ88" s="21"/>
      <c r="BSR88" s="21"/>
      <c r="BSS88" s="21"/>
      <c r="BST88" s="21"/>
      <c r="BSU88" s="21"/>
      <c r="BSV88" s="21"/>
      <c r="BSW88" s="21"/>
      <c r="BSX88" s="21"/>
      <c r="BSY88" s="21"/>
      <c r="BSZ88" s="21"/>
      <c r="BTA88" s="21"/>
      <c r="BTB88" s="21"/>
      <c r="BTC88" s="21"/>
      <c r="BTD88" s="21"/>
      <c r="BTE88" s="21"/>
      <c r="BTF88" s="21"/>
      <c r="BTG88" s="21"/>
      <c r="BTH88" s="21"/>
      <c r="BTI88" s="21"/>
      <c r="BTJ88" s="21"/>
      <c r="BTK88" s="21"/>
      <c r="BTL88" s="21"/>
      <c r="BTM88" s="21"/>
      <c r="BTN88" s="21"/>
      <c r="BTO88" s="21"/>
      <c r="BTP88" s="21"/>
      <c r="BTQ88" s="21"/>
      <c r="BTR88" s="21"/>
      <c r="BTS88" s="21"/>
      <c r="BTT88" s="21"/>
      <c r="BTU88" s="21"/>
      <c r="BTV88" s="21"/>
      <c r="BTW88" s="21"/>
      <c r="BTX88" s="21"/>
      <c r="BTY88" s="21"/>
      <c r="BTZ88" s="21"/>
      <c r="BUA88" s="21"/>
      <c r="BUB88" s="21"/>
      <c r="BUC88" s="21"/>
      <c r="BUD88" s="21"/>
      <c r="BUE88" s="21"/>
      <c r="BUF88" s="21"/>
      <c r="BUG88" s="21"/>
      <c r="BUH88" s="21"/>
      <c r="BUI88" s="21"/>
      <c r="BUJ88" s="21"/>
      <c r="BUK88" s="21"/>
      <c r="BUL88" s="21"/>
      <c r="BUM88" s="21"/>
      <c r="BUN88" s="21"/>
      <c r="BUO88" s="21"/>
      <c r="BUP88" s="21"/>
      <c r="BUQ88" s="21"/>
      <c r="BUR88" s="21"/>
      <c r="BUS88" s="21"/>
      <c r="BUT88" s="21"/>
      <c r="BUU88" s="21"/>
      <c r="BUV88" s="21"/>
      <c r="BUW88" s="21"/>
      <c r="BUX88" s="21"/>
      <c r="BUY88" s="21"/>
      <c r="BUZ88" s="21"/>
      <c r="BVA88" s="21"/>
      <c r="BVB88" s="21"/>
      <c r="BVC88" s="21"/>
      <c r="BVD88" s="21"/>
      <c r="BVE88" s="21"/>
      <c r="BVF88" s="21"/>
      <c r="BVG88" s="21"/>
      <c r="BVH88" s="21"/>
      <c r="BVI88" s="21"/>
      <c r="BVJ88" s="21"/>
      <c r="BVK88" s="21"/>
      <c r="BVL88" s="21"/>
      <c r="BVM88" s="21"/>
      <c r="BVN88" s="21"/>
      <c r="BVO88" s="21"/>
      <c r="BVP88" s="21"/>
      <c r="BVQ88" s="21"/>
      <c r="BVR88" s="21"/>
      <c r="BVS88" s="21"/>
      <c r="BVT88" s="21"/>
      <c r="BVU88" s="21"/>
      <c r="BVV88" s="21"/>
      <c r="BVW88" s="21"/>
      <c r="BVX88" s="21"/>
      <c r="BVY88" s="21"/>
      <c r="BVZ88" s="21"/>
      <c r="BWA88" s="21"/>
      <c r="BWB88" s="21"/>
      <c r="BWC88" s="21"/>
      <c r="BWD88" s="21"/>
      <c r="BWE88" s="21"/>
      <c r="BWF88" s="21"/>
      <c r="BWG88" s="21"/>
      <c r="BWH88" s="21"/>
      <c r="BWI88" s="21"/>
      <c r="BWJ88" s="21"/>
      <c r="BWK88" s="21"/>
      <c r="BWL88" s="21"/>
      <c r="BWM88" s="21"/>
      <c r="BWN88" s="21"/>
      <c r="BWO88" s="21"/>
      <c r="BWP88" s="21"/>
      <c r="BWQ88" s="21"/>
      <c r="BWR88" s="21"/>
      <c r="BWS88" s="21"/>
      <c r="BWT88" s="21"/>
      <c r="BWU88" s="21"/>
      <c r="BWV88" s="21"/>
      <c r="BWW88" s="21"/>
      <c r="BWX88" s="21"/>
      <c r="BWY88" s="21"/>
      <c r="BWZ88" s="21"/>
      <c r="BXA88" s="21"/>
      <c r="BXB88" s="21"/>
      <c r="BXC88" s="21"/>
      <c r="BXD88" s="21"/>
      <c r="BXE88" s="21"/>
      <c r="BXF88" s="21"/>
      <c r="BXG88" s="21"/>
      <c r="BXH88" s="21"/>
      <c r="BXI88" s="21"/>
      <c r="BXJ88" s="21"/>
      <c r="BXK88" s="21"/>
      <c r="BXL88" s="21"/>
      <c r="BXM88" s="21"/>
      <c r="BXN88" s="21"/>
      <c r="BXO88" s="21"/>
      <c r="BXP88" s="21"/>
      <c r="BXQ88" s="21"/>
      <c r="BXR88" s="21"/>
      <c r="BXS88" s="21"/>
      <c r="BXT88" s="21"/>
      <c r="BXU88" s="21"/>
      <c r="BXV88" s="21"/>
      <c r="BXW88" s="21"/>
      <c r="BXX88" s="21"/>
      <c r="BXY88" s="21"/>
      <c r="BXZ88" s="21"/>
      <c r="BYA88" s="21"/>
      <c r="BYB88" s="21"/>
      <c r="BYC88" s="21"/>
      <c r="BYD88" s="21"/>
      <c r="BYE88" s="21"/>
      <c r="BYF88" s="21"/>
      <c r="BYG88" s="21"/>
      <c r="BYH88" s="21"/>
      <c r="BYI88" s="21"/>
      <c r="BYJ88" s="21"/>
      <c r="BYK88" s="21"/>
      <c r="BYL88" s="21"/>
      <c r="BYM88" s="21"/>
      <c r="BYN88" s="21"/>
      <c r="BYO88" s="21"/>
      <c r="BYP88" s="21"/>
      <c r="BYQ88" s="21"/>
      <c r="BYR88" s="21"/>
      <c r="BYS88" s="21"/>
      <c r="BYT88" s="21"/>
      <c r="BYU88" s="21"/>
      <c r="BYV88" s="21"/>
      <c r="BYW88" s="21"/>
      <c r="BYX88" s="21"/>
      <c r="BYY88" s="21"/>
      <c r="BYZ88" s="21"/>
      <c r="BZA88" s="21"/>
      <c r="BZB88" s="21"/>
      <c r="BZC88" s="21"/>
      <c r="BZD88" s="21"/>
      <c r="BZE88" s="21"/>
      <c r="BZF88" s="21"/>
      <c r="BZG88" s="21"/>
      <c r="BZH88" s="21"/>
      <c r="BZI88" s="21"/>
      <c r="BZJ88" s="21"/>
      <c r="BZK88" s="21"/>
      <c r="BZL88" s="21"/>
      <c r="BZM88" s="21"/>
      <c r="BZN88" s="21"/>
      <c r="BZO88" s="21"/>
      <c r="BZP88" s="21"/>
      <c r="BZQ88" s="21"/>
      <c r="BZR88" s="21"/>
      <c r="BZS88" s="21"/>
      <c r="BZT88" s="21"/>
      <c r="BZU88" s="21"/>
      <c r="BZV88" s="21"/>
      <c r="BZW88" s="21"/>
      <c r="BZX88" s="21"/>
      <c r="BZY88" s="21"/>
      <c r="BZZ88" s="21"/>
      <c r="CAA88" s="21"/>
      <c r="CAB88" s="21"/>
      <c r="CAC88" s="21"/>
      <c r="CAD88" s="21"/>
      <c r="CAE88" s="21"/>
      <c r="CAF88" s="21"/>
      <c r="CAG88" s="21"/>
      <c r="CAH88" s="21"/>
      <c r="CAI88" s="21"/>
      <c r="CAJ88" s="21"/>
      <c r="CAK88" s="21"/>
      <c r="CAL88" s="21"/>
      <c r="CAM88" s="21"/>
      <c r="CAN88" s="21"/>
      <c r="CAO88" s="21"/>
      <c r="CAP88" s="21"/>
      <c r="CAQ88" s="21"/>
      <c r="CAR88" s="21"/>
      <c r="CAS88" s="21"/>
      <c r="CAT88" s="21"/>
      <c r="CAU88" s="21"/>
      <c r="CAV88" s="21"/>
      <c r="CAW88" s="21"/>
      <c r="CAX88" s="21"/>
      <c r="CAY88" s="21"/>
      <c r="CAZ88" s="21"/>
      <c r="CBA88" s="21"/>
      <c r="CBB88" s="21"/>
      <c r="CBC88" s="21"/>
      <c r="CBD88" s="21"/>
      <c r="CBE88" s="21"/>
      <c r="CBF88" s="21"/>
      <c r="CBG88" s="21"/>
      <c r="CBH88" s="21"/>
      <c r="CBI88" s="21"/>
      <c r="CBJ88" s="21"/>
      <c r="CBK88" s="21"/>
      <c r="CBL88" s="21"/>
      <c r="CBM88" s="21"/>
      <c r="CBN88" s="21"/>
      <c r="CBO88" s="21"/>
      <c r="CBP88" s="21"/>
      <c r="CBQ88" s="21"/>
      <c r="CBR88" s="21"/>
      <c r="CBS88" s="21"/>
      <c r="CBT88" s="21"/>
      <c r="CBU88" s="21"/>
      <c r="CBV88" s="21"/>
      <c r="CBW88" s="21"/>
      <c r="CBX88" s="21"/>
      <c r="CBY88" s="21"/>
      <c r="CBZ88" s="21"/>
      <c r="CCA88" s="21"/>
      <c r="CCB88" s="21"/>
      <c r="CCC88" s="21"/>
      <c r="CCD88" s="21"/>
      <c r="CCE88" s="21"/>
      <c r="CCF88" s="21"/>
      <c r="CCG88" s="21"/>
      <c r="CCH88" s="21"/>
      <c r="CCI88" s="21"/>
      <c r="CCJ88" s="21"/>
      <c r="CCK88" s="21"/>
      <c r="CCL88" s="21"/>
      <c r="CCM88" s="21"/>
      <c r="CCN88" s="21"/>
      <c r="CCO88" s="21"/>
      <c r="CCP88" s="21"/>
      <c r="CCQ88" s="21"/>
      <c r="CCR88" s="21"/>
      <c r="CCS88" s="21"/>
      <c r="CCT88" s="21"/>
      <c r="CCU88" s="21"/>
      <c r="CCV88" s="21"/>
      <c r="CCW88" s="21"/>
      <c r="CCX88" s="21"/>
      <c r="CCY88" s="21"/>
      <c r="CCZ88" s="21"/>
      <c r="CDA88" s="21"/>
      <c r="CDB88" s="21"/>
      <c r="CDC88" s="21"/>
      <c r="CDD88" s="21"/>
      <c r="CDE88" s="21"/>
      <c r="CDF88" s="21"/>
      <c r="CDG88" s="21"/>
      <c r="CDH88" s="21"/>
      <c r="CDI88" s="21"/>
      <c r="CDJ88" s="21"/>
      <c r="CDK88" s="21"/>
      <c r="CDL88" s="21"/>
      <c r="CDM88" s="21"/>
      <c r="CDN88" s="21"/>
      <c r="CDO88" s="21"/>
      <c r="CDP88" s="21"/>
      <c r="CDQ88" s="21"/>
      <c r="CDR88" s="21"/>
      <c r="CDS88" s="21"/>
      <c r="CDT88" s="21"/>
      <c r="CDU88" s="21"/>
      <c r="CDV88" s="21"/>
      <c r="CDW88" s="21"/>
      <c r="CDX88" s="21"/>
      <c r="CDY88" s="21"/>
      <c r="CDZ88" s="21"/>
      <c r="CEA88" s="21"/>
      <c r="CEB88" s="21"/>
      <c r="CEC88" s="21"/>
      <c r="CED88" s="21"/>
      <c r="CEE88" s="21"/>
      <c r="CEF88" s="21"/>
      <c r="CEG88" s="21"/>
      <c r="CEH88" s="21"/>
      <c r="CEI88" s="21"/>
      <c r="CEJ88" s="21"/>
      <c r="CEK88" s="21"/>
      <c r="CEL88" s="21"/>
      <c r="CEM88" s="21"/>
      <c r="CEN88" s="21"/>
      <c r="CEO88" s="21"/>
      <c r="CEP88" s="21"/>
      <c r="CEQ88" s="21"/>
      <c r="CER88" s="21"/>
      <c r="CES88" s="21"/>
      <c r="CET88" s="21"/>
      <c r="CEU88" s="21"/>
      <c r="CEV88" s="21"/>
      <c r="CEW88" s="21"/>
      <c r="CEX88" s="21"/>
      <c r="CEY88" s="21"/>
      <c r="CEZ88" s="21"/>
      <c r="CFA88" s="21"/>
      <c r="CFB88" s="21"/>
      <c r="CFC88" s="21"/>
      <c r="CFD88" s="21"/>
      <c r="CFE88" s="21"/>
      <c r="CFF88" s="21"/>
      <c r="CFG88" s="21"/>
      <c r="CFH88" s="21"/>
      <c r="CFI88" s="21"/>
      <c r="CFJ88" s="21"/>
      <c r="CFK88" s="21"/>
      <c r="CFL88" s="21"/>
      <c r="CFM88" s="21"/>
      <c r="CFN88" s="21"/>
      <c r="CFO88" s="21"/>
      <c r="CFP88" s="21"/>
      <c r="CFQ88" s="21"/>
      <c r="CFR88" s="21"/>
      <c r="CFS88" s="21"/>
      <c r="CFT88" s="21"/>
      <c r="CFU88" s="21"/>
      <c r="CFV88" s="21"/>
      <c r="CFW88" s="21"/>
      <c r="CFX88" s="21"/>
      <c r="CFY88" s="21"/>
      <c r="CFZ88" s="21"/>
      <c r="CGA88" s="21"/>
      <c r="CGB88" s="21"/>
      <c r="CGC88" s="21"/>
      <c r="CGD88" s="21"/>
      <c r="CGE88" s="21"/>
      <c r="CGF88" s="21"/>
      <c r="CGG88" s="21"/>
      <c r="CGH88" s="21"/>
      <c r="CGI88" s="21"/>
      <c r="CGJ88" s="21"/>
      <c r="CGK88" s="21"/>
      <c r="CGL88" s="21"/>
      <c r="CGM88" s="21"/>
      <c r="CGN88" s="21"/>
      <c r="CGO88" s="21"/>
      <c r="CGP88" s="21"/>
      <c r="CGQ88" s="21"/>
      <c r="CGR88" s="21"/>
      <c r="CGS88" s="21"/>
      <c r="CGT88" s="21"/>
      <c r="CGU88" s="21"/>
      <c r="CGV88" s="21"/>
      <c r="CGW88" s="21"/>
      <c r="CGX88" s="21"/>
      <c r="CGY88" s="21"/>
      <c r="CGZ88" s="21"/>
      <c r="CHA88" s="21"/>
      <c r="CHB88" s="21"/>
      <c r="CHC88" s="21"/>
      <c r="CHD88" s="21"/>
      <c r="CHE88" s="21"/>
      <c r="CHF88" s="21"/>
      <c r="CHG88" s="21"/>
      <c r="CHH88" s="21"/>
      <c r="CHI88" s="21"/>
      <c r="CHJ88" s="21"/>
      <c r="CHK88" s="21"/>
      <c r="CHL88" s="21"/>
      <c r="CHM88" s="21"/>
      <c r="CHN88" s="21"/>
      <c r="CHO88" s="21"/>
      <c r="CHP88" s="21"/>
      <c r="CHQ88" s="21"/>
      <c r="CHR88" s="21"/>
      <c r="CHS88" s="21"/>
      <c r="CHT88" s="21"/>
      <c r="CHU88" s="21"/>
      <c r="CHV88" s="21"/>
      <c r="CHW88" s="21"/>
      <c r="CHX88" s="21"/>
      <c r="CHY88" s="21"/>
      <c r="CHZ88" s="21"/>
      <c r="CIA88" s="21"/>
      <c r="CIB88" s="21"/>
      <c r="CIC88" s="21"/>
      <c r="CID88" s="21"/>
      <c r="CIE88" s="21"/>
      <c r="CIF88" s="21"/>
      <c r="CIG88" s="21"/>
      <c r="CIH88" s="21"/>
      <c r="CII88" s="21"/>
      <c r="CIJ88" s="21"/>
      <c r="CIK88" s="21"/>
      <c r="CIL88" s="21"/>
      <c r="CIM88" s="21"/>
      <c r="CIN88" s="21"/>
      <c r="CIO88" s="21"/>
      <c r="CIP88" s="21"/>
      <c r="CIQ88" s="21"/>
      <c r="CIR88" s="21"/>
      <c r="CIS88" s="21"/>
      <c r="CIT88" s="21"/>
      <c r="CIU88" s="21"/>
      <c r="CIV88" s="21"/>
      <c r="CIW88" s="21"/>
      <c r="CIX88" s="21"/>
      <c r="CIY88" s="21"/>
      <c r="CIZ88" s="21"/>
      <c r="CJA88" s="21"/>
      <c r="CJB88" s="21"/>
      <c r="CJC88" s="21"/>
      <c r="CJD88" s="21"/>
      <c r="CJE88" s="21"/>
      <c r="CJF88" s="21"/>
      <c r="CJG88" s="21"/>
      <c r="CJH88" s="21"/>
      <c r="CJI88" s="21"/>
      <c r="CJJ88" s="21"/>
      <c r="CJK88" s="21"/>
      <c r="CJL88" s="21"/>
      <c r="CJM88" s="21"/>
      <c r="CJN88" s="21"/>
      <c r="CJO88" s="21"/>
      <c r="CJP88" s="21"/>
      <c r="CJQ88" s="21"/>
      <c r="CJR88" s="21"/>
      <c r="CJS88" s="21"/>
      <c r="CJT88" s="21"/>
      <c r="CJU88" s="21"/>
      <c r="CJV88" s="21"/>
      <c r="CJW88" s="21"/>
      <c r="CJX88" s="21"/>
      <c r="CJY88" s="21"/>
      <c r="CJZ88" s="21"/>
      <c r="CKA88" s="21"/>
      <c r="CKB88" s="21"/>
      <c r="CKC88" s="21"/>
      <c r="CKD88" s="21"/>
      <c r="CKE88" s="21"/>
      <c r="CKF88" s="21"/>
      <c r="CKG88" s="21"/>
      <c r="CKH88" s="21"/>
      <c r="CKI88" s="21"/>
      <c r="CKJ88" s="21"/>
      <c r="CKK88" s="21"/>
      <c r="CKL88" s="21"/>
      <c r="CKM88" s="21"/>
      <c r="CKN88" s="21"/>
      <c r="CKO88" s="21"/>
      <c r="CKP88" s="21"/>
      <c r="CKQ88" s="21"/>
      <c r="CKR88" s="21"/>
      <c r="CKS88" s="21"/>
      <c r="CKT88" s="21"/>
      <c r="CKU88" s="21"/>
      <c r="CKV88" s="21"/>
      <c r="CKW88" s="21"/>
      <c r="CKX88" s="21"/>
      <c r="CKY88" s="21"/>
      <c r="CKZ88" s="21"/>
      <c r="CLA88" s="21"/>
      <c r="CLB88" s="21"/>
      <c r="CLC88" s="21"/>
      <c r="CLD88" s="21"/>
      <c r="CLE88" s="21"/>
      <c r="CLF88" s="21"/>
      <c r="CLG88" s="21"/>
      <c r="CLH88" s="21"/>
      <c r="CLI88" s="21"/>
      <c r="CLJ88" s="21"/>
      <c r="CLK88" s="21"/>
      <c r="CLL88" s="21"/>
      <c r="CLM88" s="21"/>
      <c r="CLN88" s="21"/>
      <c r="CLO88" s="21"/>
      <c r="CLP88" s="21"/>
      <c r="CLQ88" s="21"/>
      <c r="CLR88" s="21"/>
      <c r="CLS88" s="21"/>
      <c r="CLT88" s="21"/>
      <c r="CLU88" s="21"/>
      <c r="CLV88" s="21"/>
      <c r="CLW88" s="21"/>
      <c r="CLX88" s="21"/>
      <c r="CLY88" s="21"/>
      <c r="CLZ88" s="21"/>
      <c r="CMA88" s="21"/>
      <c r="CMB88" s="21"/>
      <c r="CMC88" s="21"/>
      <c r="CMD88" s="21"/>
      <c r="CME88" s="21"/>
      <c r="CMF88" s="21"/>
      <c r="CMG88" s="21"/>
      <c r="CMH88" s="21"/>
      <c r="CMI88" s="21"/>
      <c r="CMJ88" s="21"/>
      <c r="CMK88" s="21"/>
      <c r="CML88" s="21"/>
      <c r="CMM88" s="21"/>
      <c r="CMN88" s="21"/>
      <c r="CMO88" s="21"/>
      <c r="CMP88" s="21"/>
      <c r="CMQ88" s="21"/>
      <c r="CMR88" s="21"/>
      <c r="CMS88" s="21"/>
      <c r="CMT88" s="21"/>
      <c r="CMU88" s="21"/>
      <c r="CMV88" s="21"/>
      <c r="CMW88" s="21"/>
      <c r="CMX88" s="21"/>
      <c r="CMY88" s="21"/>
      <c r="CMZ88" s="21"/>
      <c r="CNA88" s="21"/>
      <c r="CNB88" s="21"/>
      <c r="CNC88" s="21"/>
      <c r="CND88" s="21"/>
      <c r="CNE88" s="21"/>
      <c r="CNF88" s="21"/>
      <c r="CNG88" s="21"/>
      <c r="CNH88" s="21"/>
      <c r="CNI88" s="21"/>
      <c r="CNJ88" s="21"/>
      <c r="CNK88" s="21"/>
      <c r="CNL88" s="21"/>
      <c r="CNM88" s="21"/>
      <c r="CNN88" s="21"/>
      <c r="CNO88" s="21"/>
      <c r="CNP88" s="21"/>
      <c r="CNQ88" s="21"/>
      <c r="CNR88" s="21"/>
      <c r="CNS88" s="21"/>
      <c r="CNT88" s="21"/>
      <c r="CNU88" s="21"/>
      <c r="CNV88" s="21"/>
      <c r="CNW88" s="21"/>
      <c r="CNX88" s="21"/>
      <c r="CNY88" s="21"/>
      <c r="CNZ88" s="21"/>
      <c r="COA88" s="21"/>
      <c r="COB88" s="21"/>
      <c r="COC88" s="21"/>
      <c r="COD88" s="21"/>
      <c r="COE88" s="21"/>
      <c r="COF88" s="21"/>
      <c r="COG88" s="21"/>
      <c r="COH88" s="21"/>
      <c r="COI88" s="21"/>
      <c r="COJ88" s="21"/>
      <c r="COK88" s="21"/>
      <c r="COL88" s="21"/>
      <c r="COM88" s="21"/>
      <c r="CON88" s="21"/>
      <c r="COO88" s="21"/>
      <c r="COP88" s="21"/>
      <c r="COQ88" s="21"/>
      <c r="COR88" s="21"/>
      <c r="COS88" s="21"/>
      <c r="COT88" s="21"/>
      <c r="COU88" s="21"/>
      <c r="COV88" s="21"/>
      <c r="COW88" s="21"/>
      <c r="COX88" s="21"/>
      <c r="COY88" s="21"/>
      <c r="COZ88" s="21"/>
      <c r="CPA88" s="21"/>
      <c r="CPB88" s="21"/>
      <c r="CPC88" s="21"/>
      <c r="CPD88" s="21"/>
      <c r="CPE88" s="21"/>
      <c r="CPF88" s="21"/>
      <c r="CPG88" s="21"/>
      <c r="CPH88" s="21"/>
      <c r="CPI88" s="21"/>
      <c r="CPJ88" s="21"/>
      <c r="CPK88" s="21"/>
      <c r="CPL88" s="21"/>
      <c r="CPM88" s="21"/>
      <c r="CPN88" s="21"/>
      <c r="CPO88" s="21"/>
      <c r="CPP88" s="21"/>
      <c r="CPQ88" s="21"/>
      <c r="CPR88" s="21"/>
      <c r="CPS88" s="21"/>
      <c r="CPT88" s="21"/>
      <c r="CPU88" s="21"/>
      <c r="CPV88" s="21"/>
      <c r="CPW88" s="21"/>
      <c r="CPX88" s="21"/>
      <c r="CPY88" s="21"/>
      <c r="CPZ88" s="21"/>
      <c r="CQA88" s="21"/>
      <c r="CQB88" s="21"/>
      <c r="CQC88" s="21"/>
      <c r="CQD88" s="21"/>
      <c r="CQE88" s="21"/>
      <c r="CQF88" s="21"/>
      <c r="CQG88" s="21"/>
      <c r="CQH88" s="21"/>
      <c r="CQI88" s="21"/>
      <c r="CQJ88" s="21"/>
      <c r="CQK88" s="21"/>
      <c r="CQL88" s="21"/>
      <c r="CQM88" s="21"/>
      <c r="CQN88" s="21"/>
      <c r="CQO88" s="21"/>
      <c r="CQP88" s="21"/>
      <c r="CQQ88" s="21"/>
      <c r="CQR88" s="21"/>
      <c r="CQS88" s="21"/>
      <c r="CQT88" s="21"/>
      <c r="CQU88" s="21"/>
      <c r="CQV88" s="21"/>
      <c r="CQW88" s="21"/>
      <c r="CQX88" s="21"/>
      <c r="CQY88" s="21"/>
      <c r="CQZ88" s="21"/>
      <c r="CRA88" s="21"/>
      <c r="CRB88" s="21"/>
      <c r="CRC88" s="21"/>
      <c r="CRD88" s="21"/>
      <c r="CRE88" s="21"/>
      <c r="CRF88" s="21"/>
      <c r="CRG88" s="21"/>
      <c r="CRH88" s="21"/>
      <c r="CRI88" s="21"/>
      <c r="CRJ88" s="21"/>
      <c r="CRK88" s="21"/>
      <c r="CRL88" s="21"/>
      <c r="CRM88" s="21"/>
      <c r="CRN88" s="21"/>
      <c r="CRO88" s="21"/>
      <c r="CRP88" s="21"/>
      <c r="CRQ88" s="21"/>
      <c r="CRR88" s="21"/>
      <c r="CRS88" s="21"/>
      <c r="CRT88" s="21"/>
      <c r="CRU88" s="21"/>
      <c r="CRV88" s="21"/>
      <c r="CRW88" s="21"/>
      <c r="CRX88" s="21"/>
      <c r="CRY88" s="21"/>
      <c r="CRZ88" s="21"/>
      <c r="CSA88" s="21"/>
      <c r="CSB88" s="21"/>
      <c r="CSC88" s="21"/>
      <c r="CSD88" s="21"/>
      <c r="CSE88" s="21"/>
      <c r="CSF88" s="21"/>
      <c r="CSG88" s="21"/>
      <c r="CSH88" s="21"/>
      <c r="CSI88" s="21"/>
      <c r="CSJ88" s="21"/>
      <c r="CSK88" s="21"/>
      <c r="CSL88" s="21"/>
      <c r="CSM88" s="21"/>
      <c r="CSN88" s="21"/>
      <c r="CSO88" s="21"/>
      <c r="CSP88" s="21"/>
      <c r="CSQ88" s="21"/>
      <c r="CSR88" s="21"/>
      <c r="CSS88" s="21"/>
      <c r="CST88" s="21"/>
      <c r="CSU88" s="21"/>
      <c r="CSV88" s="21"/>
      <c r="CSW88" s="21"/>
      <c r="CSX88" s="21"/>
      <c r="CSY88" s="21"/>
      <c r="CSZ88" s="21"/>
      <c r="CTA88" s="21"/>
      <c r="CTB88" s="21"/>
      <c r="CTC88" s="21"/>
      <c r="CTD88" s="21"/>
      <c r="CTE88" s="21"/>
      <c r="CTF88" s="21"/>
      <c r="CTG88" s="21"/>
      <c r="CTH88" s="21"/>
      <c r="CTI88" s="21"/>
      <c r="CTJ88" s="21"/>
      <c r="CTK88" s="21"/>
      <c r="CTL88" s="21"/>
      <c r="CTM88" s="21"/>
      <c r="CTN88" s="21"/>
      <c r="CTO88" s="21"/>
      <c r="CTP88" s="21"/>
      <c r="CTQ88" s="21"/>
      <c r="CTR88" s="21"/>
      <c r="CTS88" s="21"/>
      <c r="CTT88" s="21"/>
      <c r="CTU88" s="21"/>
      <c r="CTV88" s="21"/>
      <c r="CTW88" s="21"/>
      <c r="CTX88" s="21"/>
      <c r="CTY88" s="21"/>
      <c r="CTZ88" s="21"/>
      <c r="CUA88" s="21"/>
      <c r="CUB88" s="21"/>
      <c r="CUC88" s="21"/>
      <c r="CUD88" s="21"/>
      <c r="CUE88" s="21"/>
      <c r="CUF88" s="21"/>
      <c r="CUG88" s="21"/>
      <c r="CUH88" s="21"/>
      <c r="CUI88" s="21"/>
      <c r="CUJ88" s="21"/>
      <c r="CUK88" s="21"/>
      <c r="CUL88" s="21"/>
      <c r="CUM88" s="21"/>
      <c r="CUN88" s="21"/>
      <c r="CUO88" s="21"/>
      <c r="CUP88" s="21"/>
      <c r="CUQ88" s="21"/>
      <c r="CUR88" s="21"/>
      <c r="CUS88" s="21"/>
      <c r="CUT88" s="21"/>
      <c r="CUU88" s="21"/>
      <c r="CUV88" s="21"/>
      <c r="CUW88" s="21"/>
      <c r="CUX88" s="21"/>
      <c r="CUY88" s="21"/>
      <c r="CUZ88" s="21"/>
      <c r="CVA88" s="21"/>
      <c r="CVB88" s="21"/>
      <c r="CVC88" s="21"/>
      <c r="CVD88" s="21"/>
      <c r="CVE88" s="21"/>
      <c r="CVF88" s="21"/>
      <c r="CVG88" s="21"/>
      <c r="CVH88" s="21"/>
      <c r="CVI88" s="21"/>
      <c r="CVJ88" s="21"/>
      <c r="CVK88" s="21"/>
      <c r="CVL88" s="21"/>
      <c r="CVM88" s="21"/>
      <c r="CVN88" s="21"/>
      <c r="CVO88" s="21"/>
      <c r="CVP88" s="21"/>
      <c r="CVQ88" s="21"/>
      <c r="CVR88" s="21"/>
      <c r="CVS88" s="21"/>
      <c r="CVT88" s="21"/>
      <c r="CVU88" s="21"/>
      <c r="CVV88" s="21"/>
      <c r="CVW88" s="21"/>
      <c r="CVX88" s="21"/>
      <c r="CVY88" s="21"/>
      <c r="CVZ88" s="21"/>
      <c r="CWA88" s="21"/>
      <c r="CWB88" s="21"/>
      <c r="CWC88" s="21"/>
      <c r="CWD88" s="21"/>
      <c r="CWE88" s="21"/>
      <c r="CWF88" s="21"/>
      <c r="CWG88" s="21"/>
      <c r="CWH88" s="21"/>
      <c r="CWI88" s="21"/>
      <c r="CWJ88" s="21"/>
      <c r="CWK88" s="21"/>
      <c r="CWL88" s="21"/>
      <c r="CWM88" s="21"/>
      <c r="CWN88" s="21"/>
      <c r="CWO88" s="21"/>
      <c r="CWP88" s="21"/>
      <c r="CWQ88" s="21"/>
      <c r="CWR88" s="21"/>
      <c r="CWS88" s="21"/>
      <c r="CWT88" s="21"/>
      <c r="CWU88" s="21"/>
      <c r="CWV88" s="21"/>
      <c r="CWW88" s="21"/>
      <c r="CWX88" s="21"/>
      <c r="CWY88" s="21"/>
      <c r="CWZ88" s="21"/>
      <c r="CXA88" s="21"/>
      <c r="CXB88" s="21"/>
      <c r="CXC88" s="21"/>
      <c r="CXD88" s="21"/>
      <c r="CXE88" s="21"/>
      <c r="CXF88" s="21"/>
      <c r="CXG88" s="21"/>
      <c r="CXH88" s="21"/>
      <c r="CXI88" s="21"/>
      <c r="CXJ88" s="21"/>
      <c r="CXK88" s="21"/>
      <c r="CXL88" s="21"/>
      <c r="CXM88" s="21"/>
      <c r="CXN88" s="21"/>
      <c r="CXO88" s="21"/>
      <c r="CXP88" s="21"/>
      <c r="CXQ88" s="21"/>
      <c r="CXR88" s="21"/>
      <c r="CXS88" s="21"/>
      <c r="CXT88" s="21"/>
      <c r="CXU88" s="21"/>
      <c r="CXV88" s="21"/>
      <c r="CXW88" s="21"/>
      <c r="CXX88" s="21"/>
      <c r="CXY88" s="21"/>
      <c r="CXZ88" s="21"/>
      <c r="CYA88" s="21"/>
      <c r="CYB88" s="21"/>
      <c r="CYC88" s="21"/>
      <c r="CYD88" s="21"/>
      <c r="CYE88" s="21"/>
      <c r="CYF88" s="21"/>
      <c r="CYG88" s="21"/>
      <c r="CYH88" s="21"/>
      <c r="CYI88" s="21"/>
      <c r="CYJ88" s="21"/>
      <c r="CYK88" s="21"/>
      <c r="CYL88" s="21"/>
      <c r="CYM88" s="21"/>
      <c r="CYN88" s="21"/>
      <c r="CYO88" s="21"/>
      <c r="CYP88" s="21"/>
      <c r="CYQ88" s="21"/>
      <c r="CYR88" s="21"/>
      <c r="CYS88" s="21"/>
      <c r="CYT88" s="21"/>
      <c r="CYU88" s="21"/>
      <c r="CYV88" s="21"/>
      <c r="CYW88" s="21"/>
      <c r="CYX88" s="21"/>
      <c r="CYY88" s="21"/>
      <c r="CYZ88" s="21"/>
      <c r="CZA88" s="21"/>
      <c r="CZB88" s="21"/>
      <c r="CZC88" s="21"/>
      <c r="CZD88" s="21"/>
      <c r="CZE88" s="21"/>
      <c r="CZF88" s="21"/>
      <c r="CZG88" s="21"/>
      <c r="CZH88" s="21"/>
      <c r="CZI88" s="21"/>
      <c r="CZJ88" s="21"/>
      <c r="CZK88" s="21"/>
      <c r="CZL88" s="21"/>
      <c r="CZM88" s="21"/>
      <c r="CZN88" s="21"/>
      <c r="CZO88" s="21"/>
      <c r="CZP88" s="21"/>
      <c r="CZQ88" s="21"/>
      <c r="CZR88" s="21"/>
      <c r="CZS88" s="21"/>
      <c r="CZT88" s="21"/>
      <c r="CZU88" s="21"/>
      <c r="CZV88" s="21"/>
      <c r="CZW88" s="21"/>
      <c r="CZX88" s="21"/>
      <c r="CZY88" s="21"/>
      <c r="CZZ88" s="21"/>
      <c r="DAA88" s="21"/>
      <c r="DAB88" s="21"/>
      <c r="DAC88" s="21"/>
      <c r="DAD88" s="21"/>
      <c r="DAE88" s="21"/>
      <c r="DAF88" s="21"/>
      <c r="DAG88" s="21"/>
      <c r="DAH88" s="21"/>
      <c r="DAI88" s="21"/>
      <c r="DAJ88" s="21"/>
      <c r="DAK88" s="21"/>
      <c r="DAL88" s="21"/>
      <c r="DAM88" s="21"/>
      <c r="DAN88" s="21"/>
      <c r="DAO88" s="21"/>
      <c r="DAP88" s="21"/>
      <c r="DAQ88" s="21"/>
      <c r="DAR88" s="21"/>
      <c r="DAS88" s="21"/>
      <c r="DAT88" s="21"/>
      <c r="DAU88" s="21"/>
      <c r="DAV88" s="21"/>
      <c r="DAW88" s="21"/>
      <c r="DAX88" s="21"/>
      <c r="DAY88" s="21"/>
      <c r="DAZ88" s="21"/>
      <c r="DBA88" s="21"/>
      <c r="DBB88" s="21"/>
      <c r="DBC88" s="21"/>
      <c r="DBD88" s="21"/>
      <c r="DBE88" s="21"/>
      <c r="DBF88" s="21"/>
      <c r="DBG88" s="21"/>
      <c r="DBH88" s="21"/>
      <c r="DBI88" s="21"/>
      <c r="DBJ88" s="21"/>
      <c r="DBK88" s="21"/>
      <c r="DBL88" s="21"/>
      <c r="DBM88" s="21"/>
      <c r="DBN88" s="21"/>
      <c r="DBO88" s="21"/>
      <c r="DBP88" s="21"/>
      <c r="DBQ88" s="21"/>
      <c r="DBR88" s="21"/>
      <c r="DBS88" s="21"/>
      <c r="DBT88" s="21"/>
      <c r="DBU88" s="21"/>
      <c r="DBV88" s="21"/>
      <c r="DBW88" s="21"/>
      <c r="DBX88" s="21"/>
      <c r="DBY88" s="21"/>
      <c r="DBZ88" s="21"/>
      <c r="DCA88" s="21"/>
      <c r="DCB88" s="21"/>
      <c r="DCC88" s="21"/>
      <c r="DCD88" s="21"/>
      <c r="DCE88" s="21"/>
      <c r="DCF88" s="21"/>
      <c r="DCG88" s="21"/>
      <c r="DCH88" s="21"/>
      <c r="DCI88" s="21"/>
      <c r="DCJ88" s="21"/>
      <c r="DCK88" s="21"/>
      <c r="DCL88" s="21"/>
      <c r="DCM88" s="21"/>
      <c r="DCN88" s="21"/>
      <c r="DCO88" s="21"/>
      <c r="DCP88" s="21"/>
      <c r="DCQ88" s="21"/>
      <c r="DCR88" s="21"/>
      <c r="DCS88" s="21"/>
      <c r="DCT88" s="21"/>
      <c r="DCU88" s="21"/>
      <c r="DCV88" s="21"/>
      <c r="DCW88" s="21"/>
      <c r="DCX88" s="21"/>
      <c r="DCY88" s="21"/>
      <c r="DCZ88" s="21"/>
      <c r="DDA88" s="21"/>
      <c r="DDB88" s="21"/>
      <c r="DDC88" s="21"/>
      <c r="DDD88" s="21"/>
      <c r="DDE88" s="21"/>
      <c r="DDF88" s="21"/>
      <c r="DDG88" s="21"/>
      <c r="DDH88" s="21"/>
      <c r="DDI88" s="21"/>
      <c r="DDJ88" s="21"/>
      <c r="DDK88" s="21"/>
      <c r="DDL88" s="21"/>
      <c r="DDM88" s="21"/>
      <c r="DDN88" s="21"/>
      <c r="DDO88" s="21"/>
      <c r="DDP88" s="21"/>
      <c r="DDQ88" s="21"/>
      <c r="DDR88" s="21"/>
      <c r="DDS88" s="21"/>
      <c r="DDT88" s="21"/>
      <c r="DDU88" s="21"/>
      <c r="DDV88" s="21"/>
      <c r="DDW88" s="21"/>
      <c r="DDX88" s="21"/>
      <c r="DDY88" s="21"/>
      <c r="DDZ88" s="21"/>
      <c r="DEA88" s="21"/>
      <c r="DEB88" s="21"/>
      <c r="DEC88" s="21"/>
      <c r="DED88" s="21"/>
      <c r="DEE88" s="21"/>
      <c r="DEF88" s="21"/>
      <c r="DEG88" s="21"/>
      <c r="DEH88" s="21"/>
      <c r="DEI88" s="21"/>
      <c r="DEJ88" s="21"/>
      <c r="DEK88" s="21"/>
      <c r="DEL88" s="21"/>
      <c r="DEM88" s="21"/>
      <c r="DEN88" s="21"/>
      <c r="DEO88" s="21"/>
      <c r="DEP88" s="21"/>
      <c r="DEQ88" s="21"/>
      <c r="DER88" s="21"/>
      <c r="DES88" s="21"/>
      <c r="DET88" s="21"/>
      <c r="DEU88" s="21"/>
      <c r="DEV88" s="21"/>
      <c r="DEW88" s="21"/>
      <c r="DEX88" s="21"/>
      <c r="DEY88" s="21"/>
      <c r="DEZ88" s="21"/>
      <c r="DFA88" s="21"/>
      <c r="DFB88" s="21"/>
      <c r="DFC88" s="21"/>
      <c r="DFD88" s="21"/>
      <c r="DFE88" s="21"/>
      <c r="DFF88" s="21"/>
      <c r="DFG88" s="21"/>
      <c r="DFH88" s="21"/>
      <c r="DFI88" s="21"/>
      <c r="DFJ88" s="21"/>
      <c r="DFK88" s="21"/>
      <c r="DFL88" s="21"/>
      <c r="DFM88" s="21"/>
      <c r="DFN88" s="21"/>
      <c r="DFO88" s="21"/>
      <c r="DFP88" s="21"/>
      <c r="DFQ88" s="21"/>
      <c r="DFR88" s="21"/>
      <c r="DFS88" s="21"/>
      <c r="DFT88" s="21"/>
      <c r="DFU88" s="21"/>
      <c r="DFV88" s="21"/>
      <c r="DFW88" s="21"/>
      <c r="DFX88" s="21"/>
      <c r="DFY88" s="21"/>
      <c r="DFZ88" s="21"/>
      <c r="DGA88" s="21"/>
      <c r="DGB88" s="21"/>
      <c r="DGC88" s="21"/>
      <c r="DGD88" s="21"/>
      <c r="DGE88" s="21"/>
      <c r="DGF88" s="21"/>
      <c r="DGG88" s="21"/>
      <c r="DGH88" s="21"/>
      <c r="DGI88" s="21"/>
      <c r="DGJ88" s="21"/>
      <c r="DGK88" s="21"/>
      <c r="DGL88" s="21"/>
      <c r="DGM88" s="21"/>
      <c r="DGN88" s="21"/>
      <c r="DGO88" s="21"/>
      <c r="DGP88" s="21"/>
      <c r="DGQ88" s="21"/>
      <c r="DGR88" s="21"/>
      <c r="DGS88" s="21"/>
      <c r="DGT88" s="21"/>
      <c r="DGU88" s="21"/>
      <c r="DGV88" s="21"/>
      <c r="DGW88" s="21"/>
      <c r="DGX88" s="21"/>
      <c r="DGY88" s="21"/>
      <c r="DGZ88" s="21"/>
      <c r="DHA88" s="21"/>
      <c r="DHB88" s="21"/>
      <c r="DHC88" s="21"/>
      <c r="DHD88" s="21"/>
      <c r="DHE88" s="21"/>
      <c r="DHF88" s="21"/>
      <c r="DHG88" s="21"/>
      <c r="DHH88" s="21"/>
      <c r="DHI88" s="21"/>
      <c r="DHJ88" s="21"/>
      <c r="DHK88" s="21"/>
      <c r="DHL88" s="21"/>
      <c r="DHM88" s="21"/>
      <c r="DHN88" s="21"/>
      <c r="DHO88" s="21"/>
      <c r="DHP88" s="21"/>
      <c r="DHQ88" s="21"/>
      <c r="DHR88" s="21"/>
      <c r="DHS88" s="21"/>
      <c r="DHT88" s="21"/>
      <c r="DHU88" s="21"/>
      <c r="DHV88" s="21"/>
      <c r="DHW88" s="21"/>
      <c r="DHX88" s="21"/>
      <c r="DHY88" s="21"/>
      <c r="DHZ88" s="21"/>
      <c r="DIA88" s="21"/>
      <c r="DIB88" s="21"/>
      <c r="DIC88" s="21"/>
      <c r="DID88" s="21"/>
      <c r="DIE88" s="21"/>
      <c r="DIF88" s="21"/>
      <c r="DIG88" s="21"/>
      <c r="DIH88" s="21"/>
      <c r="DII88" s="21"/>
      <c r="DIJ88" s="21"/>
      <c r="DIK88" s="21"/>
      <c r="DIL88" s="21"/>
      <c r="DIM88" s="21"/>
      <c r="DIN88" s="21"/>
      <c r="DIO88" s="21"/>
      <c r="DIP88" s="21"/>
      <c r="DIQ88" s="21"/>
      <c r="DIR88" s="21"/>
      <c r="DIS88" s="21"/>
      <c r="DIT88" s="21"/>
      <c r="DIU88" s="21"/>
      <c r="DIV88" s="21"/>
      <c r="DIW88" s="21"/>
      <c r="DIX88" s="21"/>
      <c r="DIY88" s="21"/>
      <c r="DIZ88" s="21"/>
      <c r="DJA88" s="21"/>
      <c r="DJB88" s="21"/>
      <c r="DJC88" s="21"/>
      <c r="DJD88" s="21"/>
      <c r="DJE88" s="21"/>
      <c r="DJF88" s="21"/>
      <c r="DJG88" s="21"/>
      <c r="DJH88" s="21"/>
      <c r="DJI88" s="21"/>
      <c r="DJJ88" s="21"/>
      <c r="DJK88" s="21"/>
      <c r="DJL88" s="21"/>
      <c r="DJM88" s="21"/>
      <c r="DJN88" s="21"/>
      <c r="DJO88" s="21"/>
      <c r="DJP88" s="21"/>
      <c r="DJQ88" s="21"/>
      <c r="DJR88" s="21"/>
      <c r="DJS88" s="21"/>
      <c r="DJT88" s="21"/>
      <c r="DJU88" s="21"/>
      <c r="DJV88" s="21"/>
      <c r="DJW88" s="21"/>
      <c r="DJX88" s="21"/>
      <c r="DJY88" s="21"/>
      <c r="DJZ88" s="21"/>
      <c r="DKA88" s="21"/>
      <c r="DKB88" s="21"/>
      <c r="DKC88" s="21"/>
      <c r="DKD88" s="21"/>
      <c r="DKE88" s="21"/>
      <c r="DKF88" s="21"/>
      <c r="DKG88" s="21"/>
      <c r="DKH88" s="21"/>
      <c r="DKI88" s="21"/>
      <c r="DKJ88" s="21"/>
      <c r="DKK88" s="21"/>
      <c r="DKL88" s="21"/>
      <c r="DKM88" s="21"/>
      <c r="DKN88" s="21"/>
      <c r="DKO88" s="21"/>
      <c r="DKP88" s="21"/>
      <c r="DKQ88" s="21"/>
      <c r="DKR88" s="21"/>
      <c r="DKS88" s="21"/>
      <c r="DKT88" s="21"/>
      <c r="DKU88" s="21"/>
      <c r="DKV88" s="21"/>
      <c r="DKW88" s="21"/>
      <c r="DKX88" s="21"/>
      <c r="DKY88" s="21"/>
      <c r="DKZ88" s="21"/>
      <c r="DLA88" s="21"/>
      <c r="DLB88" s="21"/>
      <c r="DLC88" s="21"/>
      <c r="DLD88" s="21"/>
      <c r="DLE88" s="21"/>
      <c r="DLF88" s="21"/>
      <c r="DLG88" s="21"/>
      <c r="DLH88" s="21"/>
      <c r="DLI88" s="21"/>
      <c r="DLJ88" s="21"/>
      <c r="DLK88" s="21"/>
      <c r="DLL88" s="21"/>
      <c r="DLM88" s="21"/>
      <c r="DLN88" s="21"/>
      <c r="DLO88" s="21"/>
      <c r="DLP88" s="21"/>
      <c r="DLQ88" s="21"/>
      <c r="DLR88" s="21"/>
      <c r="DLS88" s="21"/>
      <c r="DLT88" s="21"/>
      <c r="DLU88" s="21"/>
      <c r="DLV88" s="21"/>
      <c r="DLW88" s="21"/>
      <c r="DLX88" s="21"/>
      <c r="DLY88" s="21"/>
      <c r="DLZ88" s="21"/>
      <c r="DMA88" s="21"/>
      <c r="DMB88" s="21"/>
      <c r="DMC88" s="21"/>
      <c r="DMD88" s="21"/>
      <c r="DME88" s="21"/>
      <c r="DMF88" s="21"/>
      <c r="DMG88" s="21"/>
      <c r="DMH88" s="21"/>
      <c r="DMI88" s="21"/>
      <c r="DMJ88" s="21"/>
      <c r="DMK88" s="21"/>
      <c r="DML88" s="21"/>
      <c r="DMM88" s="21"/>
      <c r="DMN88" s="21"/>
      <c r="DMO88" s="21"/>
      <c r="DMP88" s="21"/>
      <c r="DMQ88" s="21"/>
      <c r="DMR88" s="21"/>
      <c r="DMS88" s="21"/>
      <c r="DMT88" s="21"/>
      <c r="DMU88" s="21"/>
      <c r="DMV88" s="21"/>
      <c r="DMW88" s="21"/>
      <c r="DMX88" s="21"/>
      <c r="DMY88" s="21"/>
      <c r="DMZ88" s="21"/>
      <c r="DNA88" s="21"/>
      <c r="DNB88" s="21"/>
      <c r="DNC88" s="21"/>
      <c r="DND88" s="21"/>
      <c r="DNE88" s="21"/>
      <c r="DNF88" s="21"/>
      <c r="DNG88" s="21"/>
      <c r="DNH88" s="21"/>
      <c r="DNI88" s="21"/>
      <c r="DNJ88" s="21"/>
      <c r="DNK88" s="21"/>
      <c r="DNL88" s="21"/>
      <c r="DNM88" s="21"/>
      <c r="DNN88" s="21"/>
      <c r="DNO88" s="21"/>
      <c r="DNP88" s="21"/>
      <c r="DNQ88" s="21"/>
      <c r="DNR88" s="21"/>
      <c r="DNS88" s="21"/>
      <c r="DNT88" s="21"/>
      <c r="DNU88" s="21"/>
      <c r="DNV88" s="21"/>
      <c r="DNW88" s="21"/>
      <c r="DNX88" s="21"/>
      <c r="DNY88" s="21"/>
      <c r="DNZ88" s="21"/>
      <c r="DOA88" s="21"/>
      <c r="DOB88" s="21"/>
      <c r="DOC88" s="21"/>
      <c r="DOD88" s="21"/>
      <c r="DOE88" s="21"/>
      <c r="DOF88" s="21"/>
      <c r="DOG88" s="21"/>
      <c r="DOH88" s="21"/>
      <c r="DOI88" s="21"/>
      <c r="DOJ88" s="21"/>
      <c r="DOK88" s="21"/>
      <c r="DOL88" s="21"/>
      <c r="DOM88" s="21"/>
      <c r="DON88" s="21"/>
      <c r="DOO88" s="21"/>
      <c r="DOP88" s="21"/>
      <c r="DOQ88" s="21"/>
      <c r="DOR88" s="21"/>
      <c r="DOS88" s="21"/>
      <c r="DOT88" s="21"/>
      <c r="DOU88" s="21"/>
      <c r="DOV88" s="21"/>
      <c r="DOW88" s="21"/>
      <c r="DOX88" s="21"/>
      <c r="DOY88" s="21"/>
      <c r="DOZ88" s="21"/>
      <c r="DPA88" s="21"/>
      <c r="DPB88" s="21"/>
      <c r="DPC88" s="21"/>
      <c r="DPD88" s="21"/>
      <c r="DPE88" s="21"/>
      <c r="DPF88" s="21"/>
      <c r="DPG88" s="21"/>
      <c r="DPH88" s="21"/>
      <c r="DPI88" s="21"/>
      <c r="DPJ88" s="21"/>
      <c r="DPK88" s="21"/>
      <c r="DPL88" s="21"/>
      <c r="DPM88" s="21"/>
      <c r="DPN88" s="21"/>
      <c r="DPO88" s="21"/>
      <c r="DPP88" s="21"/>
      <c r="DPQ88" s="21"/>
      <c r="DPR88" s="21"/>
      <c r="DPS88" s="21"/>
      <c r="DPT88" s="21"/>
      <c r="DPU88" s="21"/>
      <c r="DPV88" s="21"/>
      <c r="DPW88" s="21"/>
      <c r="DPX88" s="21"/>
      <c r="DPY88" s="21"/>
      <c r="DPZ88" s="21"/>
      <c r="DQA88" s="21"/>
      <c r="DQB88" s="21"/>
      <c r="DQC88" s="21"/>
      <c r="DQD88" s="21"/>
      <c r="DQE88" s="21"/>
      <c r="DQF88" s="21"/>
      <c r="DQG88" s="21"/>
      <c r="DQH88" s="21"/>
      <c r="DQI88" s="21"/>
      <c r="DQJ88" s="21"/>
      <c r="DQK88" s="21"/>
      <c r="DQL88" s="21"/>
      <c r="DQM88" s="21"/>
      <c r="DQN88" s="21"/>
      <c r="DQO88" s="21"/>
      <c r="DQP88" s="21"/>
      <c r="DQQ88" s="21"/>
      <c r="DQR88" s="21"/>
      <c r="DQS88" s="21"/>
      <c r="DQT88" s="21"/>
      <c r="DQU88" s="21"/>
      <c r="DQV88" s="21"/>
      <c r="DQW88" s="21"/>
      <c r="DQX88" s="21"/>
      <c r="DQY88" s="21"/>
      <c r="DQZ88" s="21"/>
      <c r="DRA88" s="21"/>
      <c r="DRB88" s="21"/>
      <c r="DRC88" s="21"/>
      <c r="DRD88" s="21"/>
      <c r="DRE88" s="21"/>
      <c r="DRF88" s="21"/>
      <c r="DRG88" s="21"/>
      <c r="DRH88" s="21"/>
      <c r="DRI88" s="21"/>
      <c r="DRJ88" s="21"/>
      <c r="DRK88" s="21"/>
      <c r="DRL88" s="21"/>
      <c r="DRM88" s="21"/>
      <c r="DRN88" s="21"/>
      <c r="DRO88" s="21"/>
      <c r="DRP88" s="21"/>
      <c r="DRQ88" s="21"/>
      <c r="DRR88" s="21"/>
      <c r="DRS88" s="21"/>
      <c r="DRT88" s="21"/>
      <c r="DRU88" s="21"/>
      <c r="DRV88" s="21"/>
      <c r="DRW88" s="21"/>
      <c r="DRX88" s="21"/>
      <c r="DRY88" s="21"/>
      <c r="DRZ88" s="21"/>
      <c r="DSA88" s="21"/>
      <c r="DSB88" s="21"/>
      <c r="DSC88" s="21"/>
      <c r="DSD88" s="21"/>
      <c r="DSE88" s="21"/>
      <c r="DSF88" s="21"/>
      <c r="DSG88" s="21"/>
      <c r="DSH88" s="21"/>
      <c r="DSI88" s="21"/>
      <c r="DSJ88" s="21"/>
      <c r="DSK88" s="21"/>
      <c r="DSL88" s="21"/>
      <c r="DSM88" s="21"/>
      <c r="DSN88" s="21"/>
      <c r="DSO88" s="21"/>
      <c r="DSP88" s="21"/>
      <c r="DSQ88" s="21"/>
      <c r="DSR88" s="21"/>
      <c r="DSS88" s="21"/>
      <c r="DST88" s="21"/>
      <c r="DSU88" s="21"/>
      <c r="DSV88" s="21"/>
      <c r="DSW88" s="21"/>
      <c r="DSX88" s="21"/>
      <c r="DSY88" s="21"/>
      <c r="DSZ88" s="21"/>
      <c r="DTA88" s="21"/>
      <c r="DTB88" s="21"/>
      <c r="DTC88" s="21"/>
      <c r="DTD88" s="21"/>
      <c r="DTE88" s="21"/>
      <c r="DTF88" s="21"/>
      <c r="DTG88" s="21"/>
      <c r="DTH88" s="21"/>
      <c r="DTI88" s="21"/>
      <c r="DTJ88" s="21"/>
      <c r="DTK88" s="21"/>
      <c r="DTL88" s="21"/>
      <c r="DTM88" s="21"/>
      <c r="DTN88" s="21"/>
      <c r="DTO88" s="21"/>
      <c r="DTP88" s="21"/>
      <c r="DTQ88" s="21"/>
      <c r="DTR88" s="21"/>
      <c r="DTS88" s="21"/>
      <c r="DTT88" s="21"/>
      <c r="DTU88" s="21"/>
      <c r="DTV88" s="21"/>
      <c r="DTW88" s="21"/>
      <c r="DTX88" s="21"/>
      <c r="DTY88" s="21"/>
      <c r="DTZ88" s="21"/>
      <c r="DUA88" s="21"/>
      <c r="DUB88" s="21"/>
      <c r="DUC88" s="21"/>
      <c r="DUD88" s="21"/>
      <c r="DUE88" s="21"/>
      <c r="DUF88" s="21"/>
      <c r="DUG88" s="21"/>
      <c r="DUH88" s="21"/>
      <c r="DUI88" s="21"/>
      <c r="DUJ88" s="21"/>
      <c r="DUK88" s="21"/>
      <c r="DUL88" s="21"/>
      <c r="DUM88" s="21"/>
      <c r="DUN88" s="21"/>
      <c r="DUO88" s="21"/>
      <c r="DUP88" s="21"/>
      <c r="DUQ88" s="21"/>
      <c r="DUR88" s="21"/>
      <c r="DUS88" s="21"/>
      <c r="DUT88" s="21"/>
      <c r="DUU88" s="21"/>
      <c r="DUV88" s="21"/>
      <c r="DUW88" s="21"/>
      <c r="DUX88" s="21"/>
      <c r="DUY88" s="21"/>
      <c r="DUZ88" s="21"/>
      <c r="DVA88" s="21"/>
      <c r="DVB88" s="21"/>
      <c r="DVC88" s="21"/>
      <c r="DVD88" s="21"/>
      <c r="DVE88" s="21"/>
      <c r="DVF88" s="21"/>
      <c r="DVG88" s="21"/>
      <c r="DVH88" s="21"/>
      <c r="DVI88" s="21"/>
      <c r="DVJ88" s="21"/>
      <c r="DVK88" s="21"/>
      <c r="DVL88" s="21"/>
      <c r="DVM88" s="21"/>
      <c r="DVN88" s="21"/>
      <c r="DVO88" s="21"/>
      <c r="DVP88" s="21"/>
      <c r="DVQ88" s="21"/>
      <c r="DVR88" s="21"/>
      <c r="DVS88" s="21"/>
      <c r="DVT88" s="21"/>
      <c r="DVU88" s="21"/>
      <c r="DVV88" s="21"/>
      <c r="DVW88" s="21"/>
      <c r="DVX88" s="21"/>
      <c r="DVY88" s="21"/>
      <c r="DVZ88" s="21"/>
      <c r="DWA88" s="21"/>
      <c r="DWB88" s="21"/>
      <c r="DWC88" s="21"/>
      <c r="DWD88" s="21"/>
      <c r="DWE88" s="21"/>
      <c r="DWF88" s="21"/>
      <c r="DWG88" s="21"/>
      <c r="DWH88" s="21"/>
      <c r="DWI88" s="21"/>
      <c r="DWJ88" s="21"/>
      <c r="DWK88" s="21"/>
      <c r="DWL88" s="21"/>
      <c r="DWM88" s="21"/>
      <c r="DWN88" s="21"/>
      <c r="DWO88" s="21"/>
      <c r="DWP88" s="21"/>
      <c r="DWQ88" s="21"/>
      <c r="DWR88" s="21"/>
      <c r="DWS88" s="21"/>
      <c r="DWT88" s="21"/>
      <c r="DWU88" s="21"/>
      <c r="DWV88" s="21"/>
      <c r="DWW88" s="21"/>
      <c r="DWX88" s="21"/>
      <c r="DWY88" s="21"/>
      <c r="DWZ88" s="21"/>
      <c r="DXA88" s="21"/>
      <c r="DXB88" s="21"/>
      <c r="DXC88" s="21"/>
      <c r="DXD88" s="21"/>
      <c r="DXE88" s="21"/>
      <c r="DXF88" s="21"/>
      <c r="DXG88" s="21"/>
      <c r="DXH88" s="21"/>
      <c r="DXI88" s="21"/>
      <c r="DXJ88" s="21"/>
      <c r="DXK88" s="21"/>
      <c r="DXL88" s="21"/>
      <c r="DXM88" s="21"/>
      <c r="DXN88" s="21"/>
      <c r="DXO88" s="21"/>
      <c r="DXP88" s="21"/>
      <c r="DXQ88" s="21"/>
      <c r="DXR88" s="21"/>
      <c r="DXS88" s="21"/>
      <c r="DXT88" s="21"/>
      <c r="DXU88" s="21"/>
      <c r="DXV88" s="21"/>
      <c r="DXW88" s="21"/>
      <c r="DXX88" s="21"/>
      <c r="DXY88" s="21"/>
      <c r="DXZ88" s="21"/>
      <c r="DYA88" s="21"/>
      <c r="DYB88" s="21"/>
      <c r="DYC88" s="21"/>
      <c r="DYD88" s="21"/>
      <c r="DYE88" s="21"/>
      <c r="DYF88" s="21"/>
      <c r="DYG88" s="21"/>
      <c r="DYH88" s="21"/>
      <c r="DYI88" s="21"/>
      <c r="DYJ88" s="21"/>
      <c r="DYK88" s="21"/>
      <c r="DYL88" s="21"/>
      <c r="DYM88" s="21"/>
      <c r="DYN88" s="21"/>
      <c r="DYO88" s="21"/>
      <c r="DYP88" s="21"/>
      <c r="DYQ88" s="21"/>
      <c r="DYR88" s="21"/>
      <c r="DYS88" s="21"/>
      <c r="DYT88" s="21"/>
      <c r="DYU88" s="21"/>
      <c r="DYV88" s="21"/>
      <c r="DYW88" s="21"/>
      <c r="DYX88" s="21"/>
      <c r="DYY88" s="21"/>
      <c r="DYZ88" s="21"/>
      <c r="DZA88" s="21"/>
      <c r="DZB88" s="21"/>
      <c r="DZC88" s="21"/>
      <c r="DZD88" s="21"/>
      <c r="DZE88" s="21"/>
      <c r="DZF88" s="21"/>
      <c r="DZG88" s="21"/>
      <c r="DZH88" s="21"/>
      <c r="DZI88" s="21"/>
      <c r="DZJ88" s="21"/>
      <c r="DZK88" s="21"/>
      <c r="DZL88" s="21"/>
      <c r="DZM88" s="21"/>
      <c r="DZN88" s="21"/>
      <c r="DZO88" s="21"/>
      <c r="DZP88" s="21"/>
      <c r="DZQ88" s="21"/>
      <c r="DZR88" s="21"/>
      <c r="DZS88" s="21"/>
      <c r="DZT88" s="21"/>
      <c r="DZU88" s="21"/>
      <c r="DZV88" s="21"/>
      <c r="DZW88" s="21"/>
      <c r="DZX88" s="21"/>
      <c r="DZY88" s="21"/>
      <c r="DZZ88" s="21"/>
      <c r="EAA88" s="21"/>
      <c r="EAB88" s="21"/>
      <c r="EAC88" s="21"/>
      <c r="EAD88" s="21"/>
      <c r="EAE88" s="21"/>
      <c r="EAF88" s="21"/>
      <c r="EAG88" s="21"/>
      <c r="EAH88" s="21"/>
      <c r="EAI88" s="21"/>
      <c r="EAJ88" s="21"/>
      <c r="EAK88" s="21"/>
      <c r="EAL88" s="21"/>
      <c r="EAM88" s="21"/>
      <c r="EAN88" s="21"/>
      <c r="EAO88" s="21"/>
      <c r="EAP88" s="21"/>
      <c r="EAQ88" s="21"/>
      <c r="EAR88" s="21"/>
      <c r="EAS88" s="21"/>
      <c r="EAT88" s="21"/>
      <c r="EAU88" s="21"/>
      <c r="EAV88" s="21"/>
      <c r="EAW88" s="21"/>
      <c r="EAX88" s="21"/>
      <c r="EAY88" s="21"/>
      <c r="EAZ88" s="21"/>
      <c r="EBA88" s="21"/>
      <c r="EBB88" s="21"/>
      <c r="EBC88" s="21"/>
      <c r="EBD88" s="21"/>
      <c r="EBE88" s="21"/>
      <c r="EBF88" s="21"/>
      <c r="EBG88" s="21"/>
      <c r="EBH88" s="21"/>
      <c r="EBI88" s="21"/>
      <c r="EBJ88" s="21"/>
      <c r="EBK88" s="21"/>
      <c r="EBL88" s="21"/>
      <c r="EBM88" s="21"/>
      <c r="EBN88" s="21"/>
      <c r="EBO88" s="21"/>
      <c r="EBP88" s="21"/>
      <c r="EBQ88" s="21"/>
      <c r="EBR88" s="21"/>
      <c r="EBS88" s="21"/>
      <c r="EBT88" s="21"/>
      <c r="EBU88" s="21"/>
      <c r="EBV88" s="21"/>
      <c r="EBW88" s="21"/>
      <c r="EBX88" s="21"/>
      <c r="EBY88" s="21"/>
      <c r="EBZ88" s="21"/>
      <c r="ECA88" s="21"/>
      <c r="ECB88" s="21"/>
      <c r="ECC88" s="21"/>
      <c r="ECD88" s="21"/>
      <c r="ECE88" s="21"/>
      <c r="ECF88" s="21"/>
      <c r="ECG88" s="21"/>
      <c r="ECH88" s="21"/>
      <c r="ECI88" s="21"/>
      <c r="ECJ88" s="21"/>
      <c r="ECK88" s="21"/>
      <c r="ECL88" s="21"/>
      <c r="ECM88" s="21"/>
      <c r="ECN88" s="21"/>
      <c r="ECO88" s="21"/>
      <c r="ECP88" s="21"/>
      <c r="ECQ88" s="21"/>
      <c r="ECR88" s="21"/>
      <c r="ECS88" s="21"/>
      <c r="ECT88" s="21"/>
      <c r="ECU88" s="21"/>
      <c r="ECV88" s="21"/>
      <c r="ECW88" s="21"/>
      <c r="ECX88" s="21"/>
      <c r="ECY88" s="21"/>
      <c r="ECZ88" s="21"/>
      <c r="EDA88" s="21"/>
      <c r="EDB88" s="21"/>
      <c r="EDC88" s="21"/>
      <c r="EDD88" s="21"/>
      <c r="EDE88" s="21"/>
      <c r="EDF88" s="21"/>
      <c r="EDG88" s="21"/>
      <c r="EDH88" s="21"/>
      <c r="EDI88" s="21"/>
      <c r="EDJ88" s="21"/>
      <c r="EDK88" s="21"/>
      <c r="EDL88" s="21"/>
      <c r="EDM88" s="21"/>
      <c r="EDN88" s="21"/>
      <c r="EDO88" s="21"/>
      <c r="EDP88" s="21"/>
      <c r="EDQ88" s="21"/>
      <c r="EDR88" s="21"/>
      <c r="EDS88" s="21"/>
      <c r="EDT88" s="21"/>
      <c r="EDU88" s="21"/>
      <c r="EDV88" s="21"/>
      <c r="EDW88" s="21"/>
      <c r="EDX88" s="21"/>
      <c r="EDY88" s="21"/>
      <c r="EDZ88" s="21"/>
      <c r="EEA88" s="21"/>
      <c r="EEB88" s="21"/>
      <c r="EEC88" s="21"/>
      <c r="EED88" s="21"/>
      <c r="EEE88" s="21"/>
      <c r="EEF88" s="21"/>
      <c r="EEG88" s="21"/>
      <c r="EEH88" s="21"/>
      <c r="EEI88" s="21"/>
      <c r="EEJ88" s="21"/>
      <c r="EEK88" s="21"/>
      <c r="EEL88" s="21"/>
      <c r="EEM88" s="21"/>
      <c r="EEN88" s="21"/>
      <c r="EEO88" s="21"/>
      <c r="EEP88" s="21"/>
      <c r="EEQ88" s="21"/>
      <c r="EER88" s="21"/>
      <c r="EES88" s="21"/>
      <c r="EET88" s="21"/>
      <c r="EEU88" s="21"/>
      <c r="EEV88" s="21"/>
      <c r="EEW88" s="21"/>
      <c r="EEX88" s="21"/>
      <c r="EEY88" s="21"/>
      <c r="EEZ88" s="21"/>
      <c r="EFA88" s="21"/>
      <c r="EFB88" s="21"/>
      <c r="EFC88" s="21"/>
      <c r="EFD88" s="21"/>
      <c r="EFE88" s="21"/>
      <c r="EFF88" s="21"/>
      <c r="EFG88" s="21"/>
      <c r="EFH88" s="21"/>
      <c r="EFI88" s="21"/>
      <c r="EFJ88" s="21"/>
      <c r="EFK88" s="21"/>
      <c r="EFL88" s="21"/>
      <c r="EFM88" s="21"/>
      <c r="EFN88" s="21"/>
      <c r="EFO88" s="21"/>
      <c r="EFP88" s="21"/>
      <c r="EFQ88" s="21"/>
      <c r="EFR88" s="21"/>
      <c r="EFS88" s="21"/>
      <c r="EFT88" s="21"/>
      <c r="EFU88" s="21"/>
      <c r="EFV88" s="21"/>
      <c r="EFW88" s="21"/>
      <c r="EFX88" s="21"/>
      <c r="EFY88" s="21"/>
      <c r="EFZ88" s="21"/>
      <c r="EGA88" s="21"/>
      <c r="EGB88" s="21"/>
      <c r="EGC88" s="21"/>
      <c r="EGD88" s="21"/>
      <c r="EGE88" s="21"/>
      <c r="EGF88" s="21"/>
      <c r="EGG88" s="21"/>
      <c r="EGH88" s="21"/>
      <c r="EGI88" s="21"/>
      <c r="EGJ88" s="21"/>
      <c r="EGK88" s="21"/>
      <c r="EGL88" s="21"/>
      <c r="EGM88" s="21"/>
      <c r="EGN88" s="21"/>
      <c r="EGO88" s="21"/>
      <c r="EGP88" s="21"/>
      <c r="EGQ88" s="21"/>
      <c r="EGR88" s="21"/>
      <c r="EGS88" s="21"/>
      <c r="EGT88" s="21"/>
      <c r="EGU88" s="21"/>
      <c r="EGV88" s="21"/>
      <c r="EGW88" s="21"/>
      <c r="EGX88" s="21"/>
      <c r="EGY88" s="21"/>
      <c r="EGZ88" s="21"/>
      <c r="EHA88" s="21"/>
      <c r="EHB88" s="21"/>
      <c r="EHC88" s="21"/>
      <c r="EHD88" s="21"/>
      <c r="EHE88" s="21"/>
      <c r="EHF88" s="21"/>
      <c r="EHG88" s="21"/>
      <c r="EHH88" s="21"/>
      <c r="EHI88" s="21"/>
      <c r="EHJ88" s="21"/>
      <c r="EHK88" s="21"/>
      <c r="EHL88" s="21"/>
      <c r="EHM88" s="21"/>
      <c r="EHN88" s="21"/>
      <c r="EHO88" s="21"/>
      <c r="EHP88" s="21"/>
      <c r="EHQ88" s="21"/>
      <c r="EHR88" s="21"/>
      <c r="EHS88" s="21"/>
      <c r="EHT88" s="21"/>
      <c r="EHU88" s="21"/>
      <c r="EHV88" s="21"/>
      <c r="EHW88" s="21"/>
      <c r="EHX88" s="21"/>
      <c r="EHY88" s="21"/>
      <c r="EHZ88" s="21"/>
      <c r="EIA88" s="21"/>
      <c r="EIB88" s="21"/>
      <c r="EIC88" s="21"/>
      <c r="EID88" s="21"/>
      <c r="EIE88" s="21"/>
      <c r="EIF88" s="21"/>
      <c r="EIG88" s="21"/>
      <c r="EIH88" s="21"/>
      <c r="EII88" s="21"/>
      <c r="EIJ88" s="21"/>
      <c r="EIK88" s="21"/>
      <c r="EIL88" s="21"/>
      <c r="EIM88" s="21"/>
      <c r="EIN88" s="21"/>
      <c r="EIO88" s="21"/>
      <c r="EIP88" s="21"/>
      <c r="EIQ88" s="21"/>
      <c r="EIR88" s="21"/>
      <c r="EIS88" s="21"/>
      <c r="EIT88" s="21"/>
      <c r="EIU88" s="21"/>
      <c r="EIV88" s="21"/>
      <c r="EIW88" s="21"/>
      <c r="EIX88" s="21"/>
      <c r="EIY88" s="21"/>
      <c r="EIZ88" s="21"/>
      <c r="EJA88" s="21"/>
      <c r="EJB88" s="21"/>
      <c r="EJC88" s="21"/>
      <c r="EJD88" s="21"/>
      <c r="EJE88" s="21"/>
      <c r="EJF88" s="21"/>
      <c r="EJG88" s="21"/>
      <c r="EJH88" s="21"/>
      <c r="EJI88" s="21"/>
      <c r="EJJ88" s="21"/>
      <c r="EJK88" s="21"/>
      <c r="EJL88" s="21"/>
      <c r="EJM88" s="21"/>
      <c r="EJN88" s="21"/>
      <c r="EJO88" s="21"/>
      <c r="EJP88" s="21"/>
      <c r="EJQ88" s="21"/>
      <c r="EJR88" s="21"/>
      <c r="EJS88" s="21"/>
      <c r="EJT88" s="21"/>
      <c r="EJU88" s="21"/>
      <c r="EJV88" s="21"/>
      <c r="EJW88" s="21"/>
      <c r="EJX88" s="21"/>
      <c r="EJY88" s="21"/>
      <c r="EJZ88" s="21"/>
      <c r="EKA88" s="21"/>
      <c r="EKB88" s="21"/>
      <c r="EKC88" s="21"/>
      <c r="EKD88" s="21"/>
      <c r="EKE88" s="21"/>
      <c r="EKF88" s="21"/>
      <c r="EKG88" s="21"/>
      <c r="EKH88" s="21"/>
      <c r="EKI88" s="21"/>
      <c r="EKJ88" s="21"/>
      <c r="EKK88" s="21"/>
      <c r="EKL88" s="21"/>
      <c r="EKM88" s="21"/>
      <c r="EKN88" s="21"/>
      <c r="EKO88" s="21"/>
      <c r="EKP88" s="21"/>
      <c r="EKQ88" s="21"/>
      <c r="EKR88" s="21"/>
      <c r="EKS88" s="21"/>
      <c r="EKT88" s="21"/>
      <c r="EKU88" s="21"/>
      <c r="EKV88" s="21"/>
      <c r="EKW88" s="21"/>
      <c r="EKX88" s="21"/>
      <c r="EKY88" s="21"/>
      <c r="EKZ88" s="21"/>
      <c r="ELA88" s="21"/>
      <c r="ELB88" s="21"/>
      <c r="ELC88" s="21"/>
      <c r="ELD88" s="21"/>
      <c r="ELE88" s="21"/>
      <c r="ELF88" s="21"/>
      <c r="ELG88" s="21"/>
      <c r="ELH88" s="21"/>
      <c r="ELI88" s="21"/>
      <c r="ELJ88" s="21"/>
      <c r="ELK88" s="21"/>
      <c r="ELL88" s="21"/>
      <c r="ELM88" s="21"/>
      <c r="ELN88" s="21"/>
      <c r="ELO88" s="21"/>
      <c r="ELP88" s="21"/>
      <c r="ELQ88" s="21"/>
      <c r="ELR88" s="21"/>
      <c r="ELS88" s="21"/>
      <c r="ELT88" s="21"/>
      <c r="ELU88" s="21"/>
      <c r="ELV88" s="21"/>
      <c r="ELW88" s="21"/>
      <c r="ELX88" s="21"/>
      <c r="ELY88" s="21"/>
      <c r="ELZ88" s="21"/>
      <c r="EMA88" s="21"/>
      <c r="EMB88" s="21"/>
      <c r="EMC88" s="21"/>
      <c r="EMD88" s="21"/>
      <c r="EME88" s="21"/>
      <c r="EMF88" s="21"/>
      <c r="EMG88" s="21"/>
      <c r="EMH88" s="21"/>
      <c r="EMI88" s="21"/>
      <c r="EMJ88" s="21"/>
      <c r="EMK88" s="21"/>
      <c r="EML88" s="21"/>
      <c r="EMM88" s="21"/>
      <c r="EMN88" s="21"/>
      <c r="EMO88" s="21"/>
      <c r="EMP88" s="21"/>
      <c r="EMQ88" s="21"/>
      <c r="EMR88" s="21"/>
      <c r="EMS88" s="21"/>
      <c r="EMT88" s="21"/>
      <c r="EMU88" s="21"/>
      <c r="EMV88" s="21"/>
      <c r="EMW88" s="21"/>
      <c r="EMX88" s="21"/>
      <c r="EMY88" s="21"/>
      <c r="EMZ88" s="21"/>
      <c r="ENA88" s="21"/>
      <c r="ENB88" s="21"/>
      <c r="ENC88" s="21"/>
      <c r="END88" s="21"/>
      <c r="ENE88" s="21"/>
      <c r="ENF88" s="21"/>
      <c r="ENG88" s="21"/>
      <c r="ENH88" s="21"/>
      <c r="ENI88" s="21"/>
      <c r="ENJ88" s="21"/>
      <c r="ENK88" s="21"/>
      <c r="ENL88" s="21"/>
      <c r="ENM88" s="21"/>
      <c r="ENN88" s="21"/>
      <c r="ENO88" s="21"/>
      <c r="ENP88" s="21"/>
      <c r="ENQ88" s="21"/>
      <c r="ENR88" s="21"/>
      <c r="ENS88" s="21"/>
      <c r="ENT88" s="21"/>
      <c r="ENU88" s="21"/>
      <c r="ENV88" s="21"/>
      <c r="ENW88" s="21"/>
      <c r="ENX88" s="21"/>
      <c r="ENY88" s="21"/>
      <c r="ENZ88" s="21"/>
      <c r="EOA88" s="21"/>
      <c r="EOB88" s="21"/>
      <c r="EOC88" s="21"/>
      <c r="EOD88" s="21"/>
      <c r="EOE88" s="21"/>
      <c r="EOF88" s="21"/>
      <c r="EOG88" s="21"/>
      <c r="EOH88" s="21"/>
      <c r="EOI88" s="21"/>
      <c r="EOJ88" s="21"/>
      <c r="EOK88" s="21"/>
      <c r="EOL88" s="21"/>
      <c r="EOM88" s="21"/>
      <c r="EON88" s="21"/>
      <c r="EOO88" s="21"/>
      <c r="EOP88" s="21"/>
      <c r="EOQ88" s="21"/>
      <c r="EOR88" s="21"/>
      <c r="EOS88" s="21"/>
      <c r="EOT88" s="21"/>
      <c r="EOU88" s="21"/>
      <c r="EOV88" s="21"/>
      <c r="EOW88" s="21"/>
      <c r="EOX88" s="21"/>
      <c r="EOY88" s="21"/>
      <c r="EOZ88" s="21"/>
      <c r="EPA88" s="21"/>
      <c r="EPB88" s="21"/>
      <c r="EPC88" s="21"/>
      <c r="EPD88" s="21"/>
      <c r="EPE88" s="21"/>
      <c r="EPF88" s="21"/>
      <c r="EPG88" s="21"/>
      <c r="EPH88" s="21"/>
      <c r="EPI88" s="21"/>
      <c r="EPJ88" s="21"/>
      <c r="EPK88" s="21"/>
      <c r="EPL88" s="21"/>
      <c r="EPM88" s="21"/>
      <c r="EPN88" s="21"/>
      <c r="EPO88" s="21"/>
      <c r="EPP88" s="21"/>
      <c r="EPQ88" s="21"/>
      <c r="EPR88" s="21"/>
      <c r="EPS88" s="21"/>
      <c r="EPT88" s="21"/>
      <c r="EPU88" s="21"/>
      <c r="EPV88" s="21"/>
      <c r="EPW88" s="21"/>
      <c r="EPX88" s="21"/>
      <c r="EPY88" s="21"/>
      <c r="EPZ88" s="21"/>
      <c r="EQA88" s="21"/>
      <c r="EQB88" s="21"/>
      <c r="EQC88" s="21"/>
      <c r="EQD88" s="21"/>
      <c r="EQE88" s="21"/>
      <c r="EQF88" s="21"/>
      <c r="EQG88" s="21"/>
      <c r="EQH88" s="21"/>
      <c r="EQI88" s="21"/>
      <c r="EQJ88" s="21"/>
      <c r="EQK88" s="21"/>
      <c r="EQL88" s="21"/>
      <c r="EQM88" s="21"/>
      <c r="EQN88" s="21"/>
      <c r="EQO88" s="21"/>
      <c r="EQP88" s="21"/>
      <c r="EQQ88" s="21"/>
      <c r="EQR88" s="21"/>
      <c r="EQS88" s="21"/>
      <c r="EQT88" s="21"/>
      <c r="EQU88" s="21"/>
      <c r="EQV88" s="21"/>
      <c r="EQW88" s="21"/>
      <c r="EQX88" s="21"/>
      <c r="EQY88" s="21"/>
      <c r="EQZ88" s="21"/>
      <c r="ERA88" s="21"/>
      <c r="ERB88" s="21"/>
      <c r="ERC88" s="21"/>
      <c r="ERD88" s="21"/>
      <c r="ERE88" s="21"/>
      <c r="ERF88" s="21"/>
      <c r="ERG88" s="21"/>
      <c r="ERH88" s="21"/>
      <c r="ERI88" s="21"/>
      <c r="ERJ88" s="21"/>
      <c r="ERK88" s="21"/>
      <c r="ERL88" s="21"/>
      <c r="ERM88" s="21"/>
      <c r="ERN88" s="21"/>
      <c r="ERO88" s="21"/>
      <c r="ERP88" s="21"/>
      <c r="ERQ88" s="21"/>
      <c r="ERR88" s="21"/>
      <c r="ERS88" s="21"/>
      <c r="ERT88" s="21"/>
      <c r="ERU88" s="21"/>
      <c r="ERV88" s="21"/>
      <c r="ERW88" s="21"/>
      <c r="ERX88" s="21"/>
      <c r="ERY88" s="21"/>
      <c r="ERZ88" s="21"/>
      <c r="ESA88" s="21"/>
      <c r="ESB88" s="21"/>
      <c r="ESC88" s="21"/>
      <c r="ESD88" s="21"/>
      <c r="ESE88" s="21"/>
      <c r="ESF88" s="21"/>
      <c r="ESG88" s="21"/>
      <c r="ESH88" s="21"/>
      <c r="ESI88" s="21"/>
      <c r="ESJ88" s="21"/>
      <c r="ESK88" s="21"/>
      <c r="ESL88" s="21"/>
      <c r="ESM88" s="21"/>
      <c r="ESN88" s="21"/>
      <c r="ESO88" s="21"/>
      <c r="ESP88" s="21"/>
      <c r="ESQ88" s="21"/>
      <c r="ESR88" s="21"/>
      <c r="ESS88" s="21"/>
      <c r="EST88" s="21"/>
      <c r="ESU88" s="21"/>
      <c r="ESV88" s="21"/>
      <c r="ESW88" s="21"/>
      <c r="ESX88" s="21"/>
      <c r="ESY88" s="21"/>
      <c r="ESZ88" s="21"/>
      <c r="ETA88" s="21"/>
      <c r="ETB88" s="21"/>
      <c r="ETC88" s="21"/>
      <c r="ETD88" s="21"/>
      <c r="ETE88" s="21"/>
      <c r="ETF88" s="21"/>
      <c r="ETG88" s="21"/>
      <c r="ETH88" s="21"/>
      <c r="ETI88" s="21"/>
      <c r="ETJ88" s="21"/>
      <c r="ETK88" s="21"/>
      <c r="ETL88" s="21"/>
      <c r="ETM88" s="21"/>
      <c r="ETN88" s="21"/>
      <c r="ETO88" s="21"/>
      <c r="ETP88" s="21"/>
      <c r="ETQ88" s="21"/>
      <c r="ETR88" s="21"/>
      <c r="ETS88" s="21"/>
      <c r="ETT88" s="21"/>
      <c r="ETU88" s="21"/>
      <c r="ETV88" s="21"/>
      <c r="ETW88" s="21"/>
      <c r="ETX88" s="21"/>
      <c r="ETY88" s="21"/>
      <c r="ETZ88" s="21"/>
      <c r="EUA88" s="21"/>
      <c r="EUB88" s="21"/>
      <c r="EUC88" s="21"/>
      <c r="EUD88" s="21"/>
      <c r="EUE88" s="21"/>
      <c r="EUF88" s="21"/>
      <c r="EUG88" s="21"/>
      <c r="EUH88" s="21"/>
      <c r="EUI88" s="21"/>
      <c r="EUJ88" s="21"/>
      <c r="EUK88" s="21"/>
      <c r="EUL88" s="21"/>
      <c r="EUM88" s="21"/>
      <c r="EUN88" s="21"/>
      <c r="EUO88" s="21"/>
      <c r="EUP88" s="21"/>
      <c r="EUQ88" s="21"/>
      <c r="EUR88" s="21"/>
      <c r="EUS88" s="21"/>
      <c r="EUT88" s="21"/>
      <c r="EUU88" s="21"/>
      <c r="EUV88" s="21"/>
      <c r="EUW88" s="21"/>
      <c r="EUX88" s="21"/>
      <c r="EUY88" s="21"/>
      <c r="EUZ88" s="21"/>
      <c r="EVA88" s="21"/>
      <c r="EVB88" s="21"/>
      <c r="EVC88" s="21"/>
      <c r="EVD88" s="21"/>
      <c r="EVE88" s="21"/>
      <c r="EVF88" s="21"/>
      <c r="EVG88" s="21"/>
      <c r="EVH88" s="21"/>
      <c r="EVI88" s="21"/>
      <c r="EVJ88" s="21"/>
      <c r="EVK88" s="21"/>
      <c r="EVL88" s="21"/>
      <c r="EVM88" s="21"/>
      <c r="EVN88" s="21"/>
      <c r="EVO88" s="21"/>
      <c r="EVP88" s="21"/>
      <c r="EVQ88" s="21"/>
      <c r="EVR88" s="21"/>
      <c r="EVS88" s="21"/>
      <c r="EVT88" s="21"/>
      <c r="EVU88" s="21"/>
      <c r="EVV88" s="21"/>
      <c r="EVW88" s="21"/>
      <c r="EVX88" s="21"/>
      <c r="EVY88" s="21"/>
      <c r="EVZ88" s="21"/>
      <c r="EWA88" s="21"/>
      <c r="EWB88" s="21"/>
      <c r="EWC88" s="21"/>
      <c r="EWD88" s="21"/>
      <c r="EWE88" s="21"/>
      <c r="EWF88" s="21"/>
      <c r="EWG88" s="21"/>
      <c r="EWH88" s="21"/>
      <c r="EWI88" s="21"/>
      <c r="EWJ88" s="21"/>
      <c r="EWK88" s="21"/>
      <c r="EWL88" s="21"/>
      <c r="EWM88" s="21"/>
      <c r="EWN88" s="21"/>
      <c r="EWO88" s="21"/>
      <c r="EWP88" s="21"/>
      <c r="EWQ88" s="21"/>
      <c r="EWR88" s="21"/>
      <c r="EWS88" s="21"/>
      <c r="EWT88" s="21"/>
      <c r="EWU88" s="21"/>
      <c r="EWV88" s="21"/>
      <c r="EWW88" s="21"/>
      <c r="EWX88" s="21"/>
      <c r="EWY88" s="21"/>
      <c r="EWZ88" s="21"/>
      <c r="EXA88" s="21"/>
      <c r="EXB88" s="21"/>
      <c r="EXC88" s="21"/>
      <c r="EXD88" s="21"/>
      <c r="EXE88" s="21"/>
      <c r="EXF88" s="21"/>
      <c r="EXG88" s="21"/>
      <c r="EXH88" s="21"/>
      <c r="EXI88" s="21"/>
      <c r="EXJ88" s="21"/>
      <c r="EXK88" s="21"/>
      <c r="EXL88" s="21"/>
      <c r="EXM88" s="21"/>
      <c r="EXN88" s="21"/>
      <c r="EXO88" s="21"/>
      <c r="EXP88" s="21"/>
      <c r="EXQ88" s="21"/>
      <c r="EXR88" s="21"/>
      <c r="EXS88" s="21"/>
      <c r="EXT88" s="21"/>
      <c r="EXU88" s="21"/>
      <c r="EXV88" s="21"/>
      <c r="EXW88" s="21"/>
      <c r="EXX88" s="21"/>
      <c r="EXY88" s="21"/>
      <c r="EXZ88" s="21"/>
      <c r="EYA88" s="21"/>
      <c r="EYB88" s="21"/>
      <c r="EYC88" s="21"/>
      <c r="EYD88" s="21"/>
      <c r="EYE88" s="21"/>
      <c r="EYF88" s="21"/>
      <c r="EYG88" s="21"/>
      <c r="EYH88" s="21"/>
      <c r="EYI88" s="21"/>
      <c r="EYJ88" s="21"/>
      <c r="EYK88" s="21"/>
      <c r="EYL88" s="21"/>
      <c r="EYM88" s="21"/>
      <c r="EYN88" s="21"/>
      <c r="EYO88" s="21"/>
      <c r="EYP88" s="21"/>
      <c r="EYQ88" s="21"/>
      <c r="EYR88" s="21"/>
      <c r="EYS88" s="21"/>
      <c r="EYT88" s="21"/>
      <c r="EYU88" s="21"/>
      <c r="EYV88" s="21"/>
      <c r="EYW88" s="21"/>
      <c r="EYX88" s="21"/>
      <c r="EYY88" s="21"/>
      <c r="EYZ88" s="21"/>
      <c r="EZA88" s="21"/>
      <c r="EZB88" s="21"/>
      <c r="EZC88" s="21"/>
      <c r="EZD88" s="21"/>
      <c r="EZE88" s="21"/>
      <c r="EZF88" s="21"/>
      <c r="EZG88" s="21"/>
      <c r="EZH88" s="21"/>
      <c r="EZI88" s="21"/>
      <c r="EZJ88" s="21"/>
      <c r="EZK88" s="21"/>
      <c r="EZL88" s="21"/>
      <c r="EZM88" s="21"/>
      <c r="EZN88" s="21"/>
      <c r="EZO88" s="21"/>
      <c r="EZP88" s="21"/>
      <c r="EZQ88" s="21"/>
      <c r="EZR88" s="21"/>
      <c r="EZS88" s="21"/>
      <c r="EZT88" s="21"/>
      <c r="EZU88" s="21"/>
      <c r="EZV88" s="21"/>
      <c r="EZW88" s="21"/>
      <c r="EZX88" s="21"/>
      <c r="EZY88" s="21"/>
      <c r="EZZ88" s="21"/>
      <c r="FAA88" s="21"/>
      <c r="FAB88" s="21"/>
      <c r="FAC88" s="21"/>
      <c r="FAD88" s="21"/>
      <c r="FAE88" s="21"/>
      <c r="FAF88" s="21"/>
      <c r="FAG88" s="21"/>
      <c r="FAH88" s="21"/>
      <c r="FAI88" s="21"/>
      <c r="FAJ88" s="21"/>
      <c r="FAK88" s="21"/>
      <c r="FAL88" s="21"/>
      <c r="FAM88" s="21"/>
      <c r="FAN88" s="21"/>
      <c r="FAO88" s="21"/>
      <c r="FAP88" s="21"/>
      <c r="FAQ88" s="21"/>
      <c r="FAR88" s="21"/>
      <c r="FAS88" s="21"/>
      <c r="FAT88" s="21"/>
      <c r="FAU88" s="21"/>
      <c r="FAV88" s="21"/>
      <c r="FAW88" s="21"/>
      <c r="FAX88" s="21"/>
      <c r="FAY88" s="21"/>
      <c r="FAZ88" s="21"/>
      <c r="FBA88" s="21"/>
      <c r="FBB88" s="21"/>
      <c r="FBC88" s="21"/>
      <c r="FBD88" s="21"/>
      <c r="FBE88" s="21"/>
      <c r="FBF88" s="21"/>
      <c r="FBG88" s="21"/>
      <c r="FBH88" s="21"/>
      <c r="FBI88" s="21"/>
      <c r="FBJ88" s="21"/>
      <c r="FBK88" s="21"/>
      <c r="FBL88" s="21"/>
      <c r="FBM88" s="21"/>
      <c r="FBN88" s="21"/>
      <c r="FBO88" s="21"/>
      <c r="FBP88" s="21"/>
      <c r="FBQ88" s="21"/>
      <c r="FBR88" s="21"/>
      <c r="FBS88" s="21"/>
      <c r="FBT88" s="21"/>
      <c r="FBU88" s="21"/>
      <c r="FBV88" s="21"/>
      <c r="FBW88" s="21"/>
      <c r="FBX88" s="21"/>
      <c r="FBY88" s="21"/>
      <c r="FBZ88" s="21"/>
      <c r="FCA88" s="21"/>
      <c r="FCB88" s="21"/>
      <c r="FCC88" s="21"/>
      <c r="FCD88" s="21"/>
      <c r="FCE88" s="21"/>
      <c r="FCF88" s="21"/>
      <c r="FCG88" s="21"/>
      <c r="FCH88" s="21"/>
      <c r="FCI88" s="21"/>
      <c r="FCJ88" s="21"/>
      <c r="FCK88" s="21"/>
      <c r="FCL88" s="21"/>
      <c r="FCM88" s="21"/>
      <c r="FCN88" s="21"/>
      <c r="FCO88" s="21"/>
      <c r="FCP88" s="21"/>
      <c r="FCQ88" s="21"/>
      <c r="FCR88" s="21"/>
      <c r="FCS88" s="21"/>
      <c r="FCT88" s="21"/>
      <c r="FCU88" s="21"/>
      <c r="FCV88" s="21"/>
      <c r="FCW88" s="21"/>
      <c r="FCX88" s="21"/>
      <c r="FCY88" s="21"/>
      <c r="FCZ88" s="21"/>
      <c r="FDA88" s="21"/>
      <c r="FDB88" s="21"/>
      <c r="FDC88" s="21"/>
      <c r="FDD88" s="21"/>
      <c r="FDE88" s="21"/>
      <c r="FDF88" s="21"/>
      <c r="FDG88" s="21"/>
      <c r="FDH88" s="21"/>
      <c r="FDI88" s="21"/>
      <c r="FDJ88" s="21"/>
      <c r="FDK88" s="21"/>
      <c r="FDL88" s="21"/>
      <c r="FDM88" s="21"/>
      <c r="FDN88" s="21"/>
      <c r="FDO88" s="21"/>
      <c r="FDP88" s="21"/>
      <c r="FDQ88" s="21"/>
      <c r="FDR88" s="21"/>
      <c r="FDS88" s="21"/>
      <c r="FDT88" s="21"/>
      <c r="FDU88" s="21"/>
      <c r="FDV88" s="21"/>
      <c r="FDW88" s="21"/>
      <c r="FDX88" s="21"/>
      <c r="FDY88" s="21"/>
      <c r="FDZ88" s="21"/>
      <c r="FEA88" s="21"/>
      <c r="FEB88" s="21"/>
      <c r="FEC88" s="21"/>
      <c r="FED88" s="21"/>
      <c r="FEE88" s="21"/>
      <c r="FEF88" s="21"/>
      <c r="FEG88" s="21"/>
      <c r="FEH88" s="21"/>
      <c r="FEI88" s="21"/>
      <c r="FEJ88" s="21"/>
      <c r="FEK88" s="21"/>
      <c r="FEL88" s="21"/>
      <c r="FEM88" s="21"/>
      <c r="FEN88" s="21"/>
      <c r="FEO88" s="21"/>
      <c r="FEP88" s="21"/>
      <c r="FEQ88" s="21"/>
      <c r="FER88" s="21"/>
      <c r="FES88" s="21"/>
      <c r="FET88" s="21"/>
      <c r="FEU88" s="21"/>
      <c r="FEV88" s="21"/>
      <c r="FEW88" s="21"/>
      <c r="FEX88" s="21"/>
      <c r="FEY88" s="21"/>
      <c r="FEZ88" s="21"/>
      <c r="FFA88" s="21"/>
      <c r="FFB88" s="21"/>
      <c r="FFC88" s="21"/>
      <c r="FFD88" s="21"/>
      <c r="FFE88" s="21"/>
      <c r="FFF88" s="21"/>
      <c r="FFG88" s="21"/>
      <c r="FFH88" s="21"/>
      <c r="FFI88" s="21"/>
      <c r="FFJ88" s="21"/>
      <c r="FFK88" s="21"/>
      <c r="FFL88" s="21"/>
      <c r="FFM88" s="21"/>
      <c r="FFN88" s="21"/>
      <c r="FFO88" s="21"/>
      <c r="FFP88" s="21"/>
      <c r="FFQ88" s="21"/>
      <c r="FFR88" s="21"/>
      <c r="FFS88" s="21"/>
      <c r="FFT88" s="21"/>
      <c r="FFU88" s="21"/>
      <c r="FFV88" s="21"/>
      <c r="FFW88" s="21"/>
      <c r="FFX88" s="21"/>
      <c r="FFY88" s="21"/>
      <c r="FFZ88" s="21"/>
      <c r="FGA88" s="21"/>
      <c r="FGB88" s="21"/>
      <c r="FGC88" s="21"/>
      <c r="FGD88" s="21"/>
      <c r="FGE88" s="21"/>
      <c r="FGF88" s="21"/>
      <c r="FGG88" s="21"/>
      <c r="FGH88" s="21"/>
      <c r="FGI88" s="21"/>
      <c r="FGJ88" s="21"/>
      <c r="FGK88" s="21"/>
      <c r="FGL88" s="21"/>
      <c r="FGM88" s="21"/>
      <c r="FGN88" s="21"/>
      <c r="FGO88" s="21"/>
      <c r="FGP88" s="21"/>
      <c r="FGQ88" s="21"/>
      <c r="FGR88" s="21"/>
      <c r="FGS88" s="21"/>
      <c r="FGT88" s="21"/>
      <c r="FGU88" s="21"/>
      <c r="FGV88" s="21"/>
      <c r="FGW88" s="21"/>
      <c r="FGX88" s="21"/>
      <c r="FGY88" s="21"/>
      <c r="FGZ88" s="21"/>
      <c r="FHA88" s="21"/>
      <c r="FHB88" s="21"/>
      <c r="FHC88" s="21"/>
      <c r="FHD88" s="21"/>
      <c r="FHE88" s="21"/>
      <c r="FHF88" s="21"/>
      <c r="FHG88" s="21"/>
      <c r="FHH88" s="21"/>
      <c r="FHI88" s="21"/>
      <c r="FHJ88" s="21"/>
      <c r="FHK88" s="21"/>
      <c r="FHL88" s="21"/>
      <c r="FHM88" s="21"/>
      <c r="FHN88" s="21"/>
      <c r="FHO88" s="21"/>
      <c r="FHP88" s="21"/>
      <c r="FHQ88" s="21"/>
      <c r="FHR88" s="21"/>
      <c r="FHS88" s="21"/>
      <c r="FHT88" s="21"/>
      <c r="FHU88" s="21"/>
      <c r="FHV88" s="21"/>
      <c r="FHW88" s="21"/>
      <c r="FHX88" s="21"/>
      <c r="FHY88" s="21"/>
      <c r="FHZ88" s="21"/>
      <c r="FIA88" s="21"/>
      <c r="FIB88" s="21"/>
      <c r="FIC88" s="21"/>
      <c r="FID88" s="21"/>
      <c r="FIE88" s="21"/>
      <c r="FIF88" s="21"/>
      <c r="FIG88" s="21"/>
      <c r="FIH88" s="21"/>
      <c r="FII88" s="21"/>
      <c r="FIJ88" s="21"/>
      <c r="FIK88" s="21"/>
      <c r="FIL88" s="21"/>
      <c r="FIM88" s="21"/>
      <c r="FIN88" s="21"/>
      <c r="FIO88" s="21"/>
      <c r="FIP88" s="21"/>
      <c r="FIQ88" s="21"/>
      <c r="FIR88" s="21"/>
      <c r="FIS88" s="21"/>
      <c r="FIT88" s="21"/>
      <c r="FIU88" s="21"/>
      <c r="FIV88" s="21"/>
      <c r="FIW88" s="21"/>
      <c r="FIX88" s="21"/>
      <c r="FIY88" s="21"/>
      <c r="FIZ88" s="21"/>
      <c r="FJA88" s="21"/>
      <c r="FJB88" s="21"/>
      <c r="FJC88" s="21"/>
      <c r="FJD88" s="21"/>
      <c r="FJE88" s="21"/>
      <c r="FJF88" s="21"/>
      <c r="FJG88" s="21"/>
      <c r="FJH88" s="21"/>
      <c r="FJI88" s="21"/>
      <c r="FJJ88" s="21"/>
      <c r="FJK88" s="21"/>
      <c r="FJL88" s="21"/>
      <c r="FJM88" s="21"/>
      <c r="FJN88" s="21"/>
      <c r="FJO88" s="21"/>
      <c r="FJP88" s="21"/>
      <c r="FJQ88" s="21"/>
      <c r="FJR88" s="21"/>
      <c r="FJS88" s="21"/>
      <c r="FJT88" s="21"/>
      <c r="FJU88" s="21"/>
      <c r="FJV88" s="21"/>
      <c r="FJW88" s="21"/>
      <c r="FJX88" s="21"/>
      <c r="FJY88" s="21"/>
      <c r="FJZ88" s="21"/>
      <c r="FKA88" s="21"/>
      <c r="FKB88" s="21"/>
      <c r="FKC88" s="21"/>
      <c r="FKD88" s="21"/>
      <c r="FKE88" s="21"/>
      <c r="FKF88" s="21"/>
      <c r="FKG88" s="21"/>
      <c r="FKH88" s="21"/>
      <c r="FKI88" s="21"/>
      <c r="FKJ88" s="21"/>
      <c r="FKK88" s="21"/>
      <c r="FKL88" s="21"/>
      <c r="FKM88" s="21"/>
      <c r="FKN88" s="21"/>
      <c r="FKO88" s="21"/>
      <c r="FKP88" s="21"/>
      <c r="FKQ88" s="21"/>
      <c r="FKR88" s="21"/>
      <c r="FKS88" s="21"/>
      <c r="FKT88" s="21"/>
      <c r="FKU88" s="21"/>
      <c r="FKV88" s="21"/>
      <c r="FKW88" s="21"/>
      <c r="FKX88" s="21"/>
      <c r="FKY88" s="21"/>
      <c r="FKZ88" s="21"/>
      <c r="FLA88" s="21"/>
      <c r="FLB88" s="21"/>
      <c r="FLC88" s="21"/>
      <c r="FLD88" s="21"/>
      <c r="FLE88" s="21"/>
      <c r="FLF88" s="21"/>
      <c r="FLG88" s="21"/>
      <c r="FLH88" s="21"/>
      <c r="FLI88" s="21"/>
      <c r="FLJ88" s="21"/>
      <c r="FLK88" s="21"/>
      <c r="FLL88" s="21"/>
      <c r="FLM88" s="21"/>
      <c r="FLN88" s="21"/>
      <c r="FLO88" s="21"/>
      <c r="FLP88" s="21"/>
      <c r="FLQ88" s="21"/>
      <c r="FLR88" s="21"/>
      <c r="FLS88" s="21"/>
      <c r="FLT88" s="21"/>
      <c r="FLU88" s="21"/>
      <c r="FLV88" s="21"/>
      <c r="FLW88" s="21"/>
      <c r="FLX88" s="21"/>
      <c r="FLY88" s="21"/>
      <c r="FLZ88" s="21"/>
      <c r="FMA88" s="21"/>
      <c r="FMB88" s="21"/>
      <c r="FMC88" s="21"/>
      <c r="FMD88" s="21"/>
      <c r="FME88" s="21"/>
      <c r="FMF88" s="21"/>
      <c r="FMG88" s="21"/>
      <c r="FMH88" s="21"/>
      <c r="FMI88" s="21"/>
      <c r="FMJ88" s="21"/>
      <c r="FMK88" s="21"/>
      <c r="FML88" s="21"/>
      <c r="FMM88" s="21"/>
      <c r="FMN88" s="21"/>
      <c r="FMO88" s="21"/>
      <c r="FMP88" s="21"/>
      <c r="FMQ88" s="21"/>
      <c r="FMR88" s="21"/>
      <c r="FMS88" s="21"/>
      <c r="FMT88" s="21"/>
      <c r="FMU88" s="21"/>
      <c r="FMV88" s="21"/>
      <c r="FMW88" s="21"/>
      <c r="FMX88" s="21"/>
      <c r="FMY88" s="21"/>
      <c r="FMZ88" s="21"/>
      <c r="FNA88" s="21"/>
      <c r="FNB88" s="21"/>
      <c r="FNC88" s="21"/>
      <c r="FND88" s="21"/>
      <c r="FNE88" s="21"/>
      <c r="FNF88" s="21"/>
      <c r="FNG88" s="21"/>
      <c r="FNH88" s="21"/>
      <c r="FNI88" s="21"/>
      <c r="FNJ88" s="21"/>
      <c r="FNK88" s="21"/>
      <c r="FNL88" s="21"/>
      <c r="FNM88" s="21"/>
      <c r="FNN88" s="21"/>
      <c r="FNO88" s="21"/>
      <c r="FNP88" s="21"/>
      <c r="FNQ88" s="21"/>
      <c r="FNR88" s="21"/>
      <c r="FNS88" s="21"/>
      <c r="FNT88" s="21"/>
      <c r="FNU88" s="21"/>
      <c r="FNV88" s="21"/>
      <c r="FNW88" s="21"/>
      <c r="FNX88" s="21"/>
      <c r="FNY88" s="21"/>
      <c r="FNZ88" s="21"/>
      <c r="FOA88" s="21"/>
      <c r="FOB88" s="21"/>
      <c r="FOC88" s="21"/>
      <c r="FOD88" s="21"/>
      <c r="FOE88" s="21"/>
      <c r="FOF88" s="21"/>
      <c r="FOG88" s="21"/>
      <c r="FOH88" s="21"/>
      <c r="FOI88" s="21"/>
      <c r="FOJ88" s="21"/>
      <c r="FOK88" s="21"/>
      <c r="FOL88" s="21"/>
      <c r="FOM88" s="21"/>
      <c r="FON88" s="21"/>
      <c r="FOO88" s="21"/>
      <c r="FOP88" s="21"/>
      <c r="FOQ88" s="21"/>
      <c r="FOR88" s="21"/>
      <c r="FOS88" s="21"/>
      <c r="FOT88" s="21"/>
      <c r="FOU88" s="21"/>
      <c r="FOV88" s="21"/>
      <c r="FOW88" s="21"/>
      <c r="FOX88" s="21"/>
      <c r="FOY88" s="21"/>
      <c r="FOZ88" s="21"/>
      <c r="FPA88" s="21"/>
      <c r="FPB88" s="21"/>
      <c r="FPC88" s="21"/>
      <c r="FPD88" s="21"/>
      <c r="FPE88" s="21"/>
      <c r="FPF88" s="21"/>
      <c r="FPG88" s="21"/>
      <c r="FPH88" s="21"/>
      <c r="FPI88" s="21"/>
      <c r="FPJ88" s="21"/>
      <c r="FPK88" s="21"/>
      <c r="FPL88" s="21"/>
      <c r="FPM88" s="21"/>
      <c r="FPN88" s="21"/>
      <c r="FPO88" s="21"/>
      <c r="FPP88" s="21"/>
      <c r="FPQ88" s="21"/>
      <c r="FPR88" s="21"/>
      <c r="FPS88" s="21"/>
      <c r="FPT88" s="21"/>
      <c r="FPU88" s="21"/>
      <c r="FPV88" s="21"/>
      <c r="FPW88" s="21"/>
      <c r="FPX88" s="21"/>
      <c r="FPY88" s="21"/>
      <c r="FPZ88" s="21"/>
      <c r="FQA88" s="21"/>
      <c r="FQB88" s="21"/>
      <c r="FQC88" s="21"/>
      <c r="FQD88" s="21"/>
      <c r="FQE88" s="21"/>
      <c r="FQF88" s="21"/>
      <c r="FQG88" s="21"/>
      <c r="FQH88" s="21"/>
      <c r="FQI88" s="21"/>
      <c r="FQJ88" s="21"/>
      <c r="FQK88" s="21"/>
      <c r="FQL88" s="21"/>
      <c r="FQM88" s="21"/>
      <c r="FQN88" s="21"/>
      <c r="FQO88" s="21"/>
      <c r="FQP88" s="21"/>
      <c r="FQQ88" s="21"/>
      <c r="FQR88" s="21"/>
      <c r="FQS88" s="21"/>
      <c r="FQT88" s="21"/>
      <c r="FQU88" s="21"/>
      <c r="FQV88" s="21"/>
      <c r="FQW88" s="21"/>
      <c r="FQX88" s="21"/>
      <c r="FQY88" s="21"/>
      <c r="FQZ88" s="21"/>
      <c r="FRA88" s="21"/>
      <c r="FRB88" s="21"/>
      <c r="FRC88" s="21"/>
      <c r="FRD88" s="21"/>
      <c r="FRE88" s="21"/>
      <c r="FRF88" s="21"/>
      <c r="FRG88" s="21"/>
      <c r="FRH88" s="21"/>
      <c r="FRI88" s="21"/>
      <c r="FRJ88" s="21"/>
      <c r="FRK88" s="21"/>
      <c r="FRL88" s="21"/>
      <c r="FRM88" s="21"/>
      <c r="FRN88" s="21"/>
      <c r="FRO88" s="21"/>
      <c r="FRP88" s="21"/>
      <c r="FRQ88" s="21"/>
      <c r="FRR88" s="21"/>
      <c r="FRS88" s="21"/>
      <c r="FRT88" s="21"/>
      <c r="FRU88" s="21"/>
      <c r="FRV88" s="21"/>
      <c r="FRW88" s="21"/>
      <c r="FRX88" s="21"/>
      <c r="FRY88" s="21"/>
      <c r="FRZ88" s="21"/>
      <c r="FSA88" s="21"/>
      <c r="FSB88" s="21"/>
      <c r="FSC88" s="21"/>
      <c r="FSD88" s="21"/>
      <c r="FSE88" s="21"/>
      <c r="FSF88" s="21"/>
      <c r="FSG88" s="21"/>
      <c r="FSH88" s="21"/>
      <c r="FSI88" s="21"/>
      <c r="FSJ88" s="21"/>
      <c r="FSK88" s="21"/>
      <c r="FSL88" s="21"/>
      <c r="FSM88" s="21"/>
      <c r="FSN88" s="21"/>
      <c r="FSO88" s="21"/>
      <c r="FSP88" s="21"/>
      <c r="FSQ88" s="21"/>
      <c r="FSR88" s="21"/>
      <c r="FSS88" s="21"/>
      <c r="FST88" s="21"/>
      <c r="FSU88" s="21"/>
      <c r="FSV88" s="21"/>
      <c r="FSW88" s="21"/>
      <c r="FSX88" s="21"/>
      <c r="FSY88" s="21"/>
      <c r="FSZ88" s="21"/>
      <c r="FTA88" s="21"/>
      <c r="FTB88" s="21"/>
      <c r="FTC88" s="21"/>
      <c r="FTD88" s="21"/>
      <c r="FTE88" s="21"/>
      <c r="FTF88" s="21"/>
      <c r="FTG88" s="21"/>
      <c r="FTH88" s="21"/>
      <c r="FTI88" s="21"/>
      <c r="FTJ88" s="21"/>
      <c r="FTK88" s="21"/>
      <c r="FTL88" s="21"/>
      <c r="FTM88" s="21"/>
      <c r="FTN88" s="21"/>
      <c r="FTO88" s="21"/>
      <c r="FTP88" s="21"/>
      <c r="FTQ88" s="21"/>
      <c r="FTR88" s="21"/>
      <c r="FTS88" s="21"/>
      <c r="FTT88" s="21"/>
      <c r="FTU88" s="21"/>
      <c r="FTV88" s="21"/>
      <c r="FTW88" s="21"/>
      <c r="FTX88" s="21"/>
      <c r="FTY88" s="21"/>
      <c r="FTZ88" s="21"/>
      <c r="FUA88" s="21"/>
      <c r="FUB88" s="21"/>
      <c r="FUC88" s="21"/>
      <c r="FUD88" s="21"/>
      <c r="FUE88" s="21"/>
      <c r="FUF88" s="21"/>
      <c r="FUG88" s="21"/>
      <c r="FUH88" s="21"/>
      <c r="FUI88" s="21"/>
      <c r="FUJ88" s="21"/>
      <c r="FUK88" s="21"/>
      <c r="FUL88" s="21"/>
      <c r="FUM88" s="21"/>
      <c r="FUN88" s="21"/>
      <c r="FUO88" s="21"/>
      <c r="FUP88" s="21"/>
      <c r="FUQ88" s="21"/>
      <c r="FUR88" s="21"/>
      <c r="FUS88" s="21"/>
      <c r="FUT88" s="21"/>
      <c r="FUU88" s="21"/>
      <c r="FUV88" s="21"/>
      <c r="FUW88" s="21"/>
      <c r="FUX88" s="21"/>
      <c r="FUY88" s="21"/>
      <c r="FUZ88" s="21"/>
      <c r="FVA88" s="21"/>
      <c r="FVB88" s="21"/>
      <c r="FVC88" s="21"/>
      <c r="FVD88" s="21"/>
      <c r="FVE88" s="21"/>
      <c r="FVF88" s="21"/>
      <c r="FVG88" s="21"/>
      <c r="FVH88" s="21"/>
      <c r="FVI88" s="21"/>
      <c r="FVJ88" s="21"/>
      <c r="FVK88" s="21"/>
      <c r="FVL88" s="21"/>
      <c r="FVM88" s="21"/>
      <c r="FVN88" s="21"/>
      <c r="FVO88" s="21"/>
      <c r="FVP88" s="21"/>
      <c r="FVQ88" s="21"/>
      <c r="FVR88" s="21"/>
      <c r="FVS88" s="21"/>
      <c r="FVT88" s="21"/>
      <c r="FVU88" s="21"/>
      <c r="FVV88" s="21"/>
      <c r="FVW88" s="21"/>
      <c r="FVX88" s="21"/>
      <c r="FVY88" s="21"/>
      <c r="FVZ88" s="21"/>
      <c r="FWA88" s="21"/>
      <c r="FWB88" s="21"/>
      <c r="FWC88" s="21"/>
      <c r="FWD88" s="21"/>
      <c r="FWE88" s="21"/>
      <c r="FWF88" s="21"/>
      <c r="FWG88" s="21"/>
      <c r="FWH88" s="21"/>
      <c r="FWI88" s="21"/>
      <c r="FWJ88" s="21"/>
      <c r="FWK88" s="21"/>
      <c r="FWL88" s="21"/>
      <c r="FWM88" s="21"/>
      <c r="FWN88" s="21"/>
      <c r="FWO88" s="21"/>
      <c r="FWP88" s="21"/>
      <c r="FWQ88" s="21"/>
      <c r="FWR88" s="21"/>
      <c r="FWS88" s="21"/>
      <c r="FWT88" s="21"/>
      <c r="FWU88" s="21"/>
      <c r="FWV88" s="21"/>
      <c r="FWW88" s="21"/>
      <c r="FWX88" s="21"/>
      <c r="FWY88" s="21"/>
      <c r="FWZ88" s="21"/>
      <c r="FXA88" s="21"/>
      <c r="FXB88" s="21"/>
      <c r="FXC88" s="21"/>
      <c r="FXD88" s="21"/>
      <c r="FXE88" s="21"/>
      <c r="FXF88" s="21"/>
      <c r="FXG88" s="21"/>
      <c r="FXH88" s="21"/>
      <c r="FXI88" s="21"/>
      <c r="FXJ88" s="21"/>
      <c r="FXK88" s="21"/>
      <c r="FXL88" s="21"/>
      <c r="FXM88" s="21"/>
      <c r="FXN88" s="21"/>
      <c r="FXO88" s="21"/>
      <c r="FXP88" s="21"/>
      <c r="FXQ88" s="21"/>
      <c r="FXR88" s="21"/>
      <c r="FXS88" s="21"/>
      <c r="FXT88" s="21"/>
      <c r="FXU88" s="21"/>
      <c r="FXV88" s="21"/>
      <c r="FXW88" s="21"/>
      <c r="FXX88" s="21"/>
      <c r="FXY88" s="21"/>
      <c r="FXZ88" s="21"/>
      <c r="FYA88" s="21"/>
      <c r="FYB88" s="21"/>
      <c r="FYC88" s="21"/>
      <c r="FYD88" s="21"/>
      <c r="FYE88" s="21"/>
      <c r="FYF88" s="21"/>
      <c r="FYG88" s="21"/>
      <c r="FYH88" s="21"/>
      <c r="FYI88" s="21"/>
      <c r="FYJ88" s="21"/>
      <c r="FYK88" s="21"/>
      <c r="FYL88" s="21"/>
      <c r="FYM88" s="21"/>
      <c r="FYN88" s="21"/>
      <c r="FYO88" s="21"/>
      <c r="FYP88" s="21"/>
      <c r="FYQ88" s="21"/>
      <c r="FYR88" s="21"/>
      <c r="FYS88" s="21"/>
      <c r="FYT88" s="21"/>
      <c r="FYU88" s="21"/>
      <c r="FYV88" s="21"/>
      <c r="FYW88" s="21"/>
      <c r="FYX88" s="21"/>
      <c r="FYY88" s="21"/>
      <c r="FYZ88" s="21"/>
      <c r="FZA88" s="21"/>
      <c r="FZB88" s="21"/>
      <c r="FZC88" s="21"/>
      <c r="FZD88" s="21"/>
      <c r="FZE88" s="21"/>
      <c r="FZF88" s="21"/>
      <c r="FZG88" s="21"/>
      <c r="FZH88" s="21"/>
      <c r="FZI88" s="21"/>
      <c r="FZJ88" s="21"/>
      <c r="FZK88" s="21"/>
      <c r="FZL88" s="21"/>
      <c r="FZM88" s="21"/>
      <c r="FZN88" s="21"/>
      <c r="FZO88" s="21"/>
      <c r="FZP88" s="21"/>
      <c r="FZQ88" s="21"/>
      <c r="FZR88" s="21"/>
      <c r="FZS88" s="21"/>
      <c r="FZT88" s="21"/>
      <c r="FZU88" s="21"/>
      <c r="FZV88" s="21"/>
      <c r="FZW88" s="21"/>
      <c r="FZX88" s="21"/>
      <c r="FZY88" s="21"/>
      <c r="FZZ88" s="21"/>
      <c r="GAA88" s="21"/>
      <c r="GAB88" s="21"/>
      <c r="GAC88" s="21"/>
      <c r="GAD88" s="21"/>
      <c r="GAE88" s="21"/>
      <c r="GAF88" s="21"/>
      <c r="GAG88" s="21"/>
      <c r="GAH88" s="21"/>
      <c r="GAI88" s="21"/>
      <c r="GAJ88" s="21"/>
      <c r="GAK88" s="21"/>
      <c r="GAL88" s="21"/>
      <c r="GAM88" s="21"/>
      <c r="GAN88" s="21"/>
      <c r="GAO88" s="21"/>
      <c r="GAP88" s="21"/>
      <c r="GAQ88" s="21"/>
      <c r="GAR88" s="21"/>
      <c r="GAS88" s="21"/>
      <c r="GAT88" s="21"/>
      <c r="GAU88" s="21"/>
      <c r="GAV88" s="21"/>
      <c r="GAW88" s="21"/>
      <c r="GAX88" s="21"/>
      <c r="GAY88" s="21"/>
      <c r="GAZ88" s="21"/>
      <c r="GBA88" s="21"/>
      <c r="GBB88" s="21"/>
      <c r="GBC88" s="21"/>
      <c r="GBD88" s="21"/>
      <c r="GBE88" s="21"/>
      <c r="GBF88" s="21"/>
      <c r="GBG88" s="21"/>
      <c r="GBH88" s="21"/>
      <c r="GBI88" s="21"/>
      <c r="GBJ88" s="21"/>
      <c r="GBK88" s="21"/>
      <c r="GBL88" s="21"/>
      <c r="GBM88" s="21"/>
      <c r="GBN88" s="21"/>
      <c r="GBO88" s="21"/>
      <c r="GBP88" s="21"/>
      <c r="GBQ88" s="21"/>
      <c r="GBR88" s="21"/>
      <c r="GBS88" s="21"/>
      <c r="GBT88" s="21"/>
      <c r="GBU88" s="21"/>
      <c r="GBV88" s="21"/>
      <c r="GBW88" s="21"/>
      <c r="GBX88" s="21"/>
      <c r="GBY88" s="21"/>
      <c r="GBZ88" s="21"/>
      <c r="GCA88" s="21"/>
      <c r="GCB88" s="21"/>
      <c r="GCC88" s="21"/>
      <c r="GCD88" s="21"/>
      <c r="GCE88" s="21"/>
      <c r="GCF88" s="21"/>
      <c r="GCG88" s="21"/>
      <c r="GCH88" s="21"/>
      <c r="GCI88" s="21"/>
      <c r="GCJ88" s="21"/>
      <c r="GCK88" s="21"/>
      <c r="GCL88" s="21"/>
      <c r="GCM88" s="21"/>
      <c r="GCN88" s="21"/>
      <c r="GCO88" s="21"/>
      <c r="GCP88" s="21"/>
      <c r="GCQ88" s="21"/>
      <c r="GCR88" s="21"/>
      <c r="GCS88" s="21"/>
      <c r="GCT88" s="21"/>
      <c r="GCU88" s="21"/>
      <c r="GCV88" s="21"/>
      <c r="GCW88" s="21"/>
      <c r="GCX88" s="21"/>
      <c r="GCY88" s="21"/>
      <c r="GCZ88" s="21"/>
      <c r="GDA88" s="21"/>
      <c r="GDB88" s="21"/>
      <c r="GDC88" s="21"/>
      <c r="GDD88" s="21"/>
      <c r="GDE88" s="21"/>
      <c r="GDF88" s="21"/>
      <c r="GDG88" s="21"/>
      <c r="GDH88" s="21"/>
      <c r="GDI88" s="21"/>
      <c r="GDJ88" s="21"/>
      <c r="GDK88" s="21"/>
      <c r="GDL88" s="21"/>
      <c r="GDM88" s="21"/>
      <c r="GDN88" s="21"/>
      <c r="GDO88" s="21"/>
      <c r="GDP88" s="21"/>
      <c r="GDQ88" s="21"/>
      <c r="GDR88" s="21"/>
      <c r="GDS88" s="21"/>
      <c r="GDT88" s="21"/>
      <c r="GDU88" s="21"/>
      <c r="GDV88" s="21"/>
      <c r="GDW88" s="21"/>
      <c r="GDX88" s="21"/>
      <c r="GDY88" s="21"/>
      <c r="GDZ88" s="21"/>
      <c r="GEA88" s="21"/>
      <c r="GEB88" s="21"/>
      <c r="GEC88" s="21"/>
      <c r="GED88" s="21"/>
      <c r="GEE88" s="21"/>
      <c r="GEF88" s="21"/>
      <c r="GEG88" s="21"/>
      <c r="GEH88" s="21"/>
      <c r="GEI88" s="21"/>
      <c r="GEJ88" s="21"/>
      <c r="GEK88" s="21"/>
      <c r="GEL88" s="21"/>
      <c r="GEM88" s="21"/>
      <c r="GEN88" s="21"/>
      <c r="GEO88" s="21"/>
      <c r="GEP88" s="21"/>
      <c r="GEQ88" s="21"/>
      <c r="GER88" s="21"/>
      <c r="GES88" s="21"/>
      <c r="GET88" s="21"/>
      <c r="GEU88" s="21"/>
      <c r="GEV88" s="21"/>
      <c r="GEW88" s="21"/>
      <c r="GEX88" s="21"/>
      <c r="GEY88" s="21"/>
      <c r="GEZ88" s="21"/>
      <c r="GFA88" s="21"/>
      <c r="GFB88" s="21"/>
      <c r="GFC88" s="21"/>
      <c r="GFD88" s="21"/>
      <c r="GFE88" s="21"/>
      <c r="GFF88" s="21"/>
      <c r="GFG88" s="21"/>
      <c r="GFH88" s="21"/>
      <c r="GFI88" s="21"/>
      <c r="GFJ88" s="21"/>
      <c r="GFK88" s="21"/>
      <c r="GFL88" s="21"/>
      <c r="GFM88" s="21"/>
      <c r="GFN88" s="21"/>
      <c r="GFO88" s="21"/>
      <c r="GFP88" s="21"/>
      <c r="GFQ88" s="21"/>
      <c r="GFR88" s="21"/>
      <c r="GFS88" s="21"/>
      <c r="GFT88" s="21"/>
      <c r="GFU88" s="21"/>
      <c r="GFV88" s="21"/>
      <c r="GFW88" s="21"/>
      <c r="GFX88" s="21"/>
      <c r="GFY88" s="21"/>
      <c r="GFZ88" s="21"/>
      <c r="GGA88" s="21"/>
      <c r="GGB88" s="21"/>
      <c r="GGC88" s="21"/>
      <c r="GGD88" s="21"/>
      <c r="GGE88" s="21"/>
      <c r="GGF88" s="21"/>
      <c r="GGG88" s="21"/>
      <c r="GGH88" s="21"/>
      <c r="GGI88" s="21"/>
      <c r="GGJ88" s="21"/>
      <c r="GGK88" s="21"/>
      <c r="GGL88" s="21"/>
      <c r="GGM88" s="21"/>
      <c r="GGN88" s="21"/>
      <c r="GGO88" s="21"/>
      <c r="GGP88" s="21"/>
      <c r="GGQ88" s="21"/>
      <c r="GGR88" s="21"/>
      <c r="GGS88" s="21"/>
      <c r="GGT88" s="21"/>
      <c r="GGU88" s="21"/>
      <c r="GGV88" s="21"/>
      <c r="GGW88" s="21"/>
      <c r="GGX88" s="21"/>
      <c r="GGY88" s="21"/>
      <c r="GGZ88" s="21"/>
      <c r="GHA88" s="21"/>
      <c r="GHB88" s="21"/>
      <c r="GHC88" s="21"/>
      <c r="GHD88" s="21"/>
      <c r="GHE88" s="21"/>
      <c r="GHF88" s="21"/>
      <c r="GHG88" s="21"/>
      <c r="GHH88" s="21"/>
      <c r="GHI88" s="21"/>
      <c r="GHJ88" s="21"/>
      <c r="GHK88" s="21"/>
      <c r="GHL88" s="21"/>
      <c r="GHM88" s="21"/>
      <c r="GHN88" s="21"/>
      <c r="GHO88" s="21"/>
      <c r="GHP88" s="21"/>
      <c r="GHQ88" s="21"/>
      <c r="GHR88" s="21"/>
      <c r="GHS88" s="21"/>
      <c r="GHT88" s="21"/>
      <c r="GHU88" s="21"/>
      <c r="GHV88" s="21"/>
      <c r="GHW88" s="21"/>
      <c r="GHX88" s="21"/>
      <c r="GHY88" s="21"/>
      <c r="GHZ88" s="21"/>
      <c r="GIA88" s="21"/>
      <c r="GIB88" s="21"/>
      <c r="GIC88" s="21"/>
      <c r="GID88" s="21"/>
      <c r="GIE88" s="21"/>
      <c r="GIF88" s="21"/>
      <c r="GIG88" s="21"/>
      <c r="GIH88" s="21"/>
      <c r="GII88" s="21"/>
      <c r="GIJ88" s="21"/>
      <c r="GIK88" s="21"/>
      <c r="GIL88" s="21"/>
      <c r="GIM88" s="21"/>
      <c r="GIN88" s="21"/>
      <c r="GIO88" s="21"/>
      <c r="GIP88" s="21"/>
      <c r="GIQ88" s="21"/>
      <c r="GIR88" s="21"/>
      <c r="GIS88" s="21"/>
      <c r="GIT88" s="21"/>
      <c r="GIU88" s="21"/>
      <c r="GIV88" s="21"/>
      <c r="GIW88" s="21"/>
      <c r="GIX88" s="21"/>
      <c r="GIY88" s="21"/>
      <c r="GIZ88" s="21"/>
      <c r="GJA88" s="21"/>
      <c r="GJB88" s="21"/>
      <c r="GJC88" s="21"/>
      <c r="GJD88" s="21"/>
      <c r="GJE88" s="21"/>
      <c r="GJF88" s="21"/>
      <c r="GJG88" s="21"/>
      <c r="GJH88" s="21"/>
      <c r="GJI88" s="21"/>
      <c r="GJJ88" s="21"/>
      <c r="GJK88" s="21"/>
      <c r="GJL88" s="21"/>
      <c r="GJM88" s="21"/>
      <c r="GJN88" s="21"/>
      <c r="GJO88" s="21"/>
      <c r="GJP88" s="21"/>
      <c r="GJQ88" s="21"/>
      <c r="GJR88" s="21"/>
      <c r="GJS88" s="21"/>
      <c r="GJT88" s="21"/>
      <c r="GJU88" s="21"/>
      <c r="GJV88" s="21"/>
      <c r="GJW88" s="21"/>
      <c r="GJX88" s="21"/>
      <c r="GJY88" s="21"/>
      <c r="GJZ88" s="21"/>
      <c r="GKA88" s="21"/>
      <c r="GKB88" s="21"/>
      <c r="GKC88" s="21"/>
      <c r="GKD88" s="21"/>
      <c r="GKE88" s="21"/>
      <c r="GKF88" s="21"/>
      <c r="GKG88" s="21"/>
      <c r="GKH88" s="21"/>
      <c r="GKI88" s="21"/>
      <c r="GKJ88" s="21"/>
      <c r="GKK88" s="21"/>
      <c r="GKL88" s="21"/>
      <c r="GKM88" s="21"/>
      <c r="GKN88" s="21"/>
      <c r="GKO88" s="21"/>
      <c r="GKP88" s="21"/>
      <c r="GKQ88" s="21"/>
      <c r="GKR88" s="21"/>
      <c r="GKS88" s="21"/>
      <c r="GKT88" s="21"/>
      <c r="GKU88" s="21"/>
      <c r="GKV88" s="21"/>
      <c r="GKW88" s="21"/>
      <c r="GKX88" s="21"/>
      <c r="GKY88" s="21"/>
      <c r="GKZ88" s="21"/>
      <c r="GLA88" s="21"/>
      <c r="GLB88" s="21"/>
      <c r="GLC88" s="21"/>
      <c r="GLD88" s="21"/>
      <c r="GLE88" s="21"/>
      <c r="GLF88" s="21"/>
      <c r="GLG88" s="21"/>
      <c r="GLH88" s="21"/>
      <c r="GLI88" s="21"/>
      <c r="GLJ88" s="21"/>
      <c r="GLK88" s="21"/>
      <c r="GLL88" s="21"/>
      <c r="GLM88" s="21"/>
      <c r="GLN88" s="21"/>
      <c r="GLO88" s="21"/>
      <c r="GLP88" s="21"/>
      <c r="GLQ88" s="21"/>
      <c r="GLR88" s="21"/>
      <c r="GLS88" s="21"/>
      <c r="GLT88" s="21"/>
      <c r="GLU88" s="21"/>
      <c r="GLV88" s="21"/>
      <c r="GLW88" s="21"/>
      <c r="GLX88" s="21"/>
      <c r="GLY88" s="21"/>
      <c r="GLZ88" s="21"/>
      <c r="GMA88" s="21"/>
      <c r="GMB88" s="21"/>
      <c r="GMC88" s="21"/>
      <c r="GMD88" s="21"/>
      <c r="GME88" s="21"/>
      <c r="GMF88" s="21"/>
      <c r="GMG88" s="21"/>
      <c r="GMH88" s="21"/>
      <c r="GMI88" s="21"/>
      <c r="GMJ88" s="21"/>
      <c r="GMK88" s="21"/>
      <c r="GML88" s="21"/>
      <c r="GMM88" s="21"/>
      <c r="GMN88" s="21"/>
      <c r="GMO88" s="21"/>
      <c r="GMP88" s="21"/>
      <c r="GMQ88" s="21"/>
      <c r="GMR88" s="21"/>
      <c r="GMS88" s="21"/>
      <c r="GMT88" s="21"/>
      <c r="GMU88" s="21"/>
      <c r="GMV88" s="21"/>
      <c r="GMW88" s="21"/>
      <c r="GMX88" s="21"/>
      <c r="GMY88" s="21"/>
      <c r="GMZ88" s="21"/>
      <c r="GNA88" s="21"/>
      <c r="GNB88" s="21"/>
      <c r="GNC88" s="21"/>
      <c r="GND88" s="21"/>
      <c r="GNE88" s="21"/>
      <c r="GNF88" s="21"/>
      <c r="GNG88" s="21"/>
      <c r="GNH88" s="21"/>
      <c r="GNI88" s="21"/>
      <c r="GNJ88" s="21"/>
      <c r="GNK88" s="21"/>
      <c r="GNL88" s="21"/>
      <c r="GNM88" s="21"/>
      <c r="GNN88" s="21"/>
      <c r="GNO88" s="21"/>
      <c r="GNP88" s="21"/>
      <c r="GNQ88" s="21"/>
      <c r="GNR88" s="21"/>
      <c r="GNS88" s="21"/>
      <c r="GNT88" s="21"/>
      <c r="GNU88" s="21"/>
      <c r="GNV88" s="21"/>
      <c r="GNW88" s="21"/>
      <c r="GNX88" s="21"/>
      <c r="GNY88" s="21"/>
      <c r="GNZ88" s="21"/>
      <c r="GOA88" s="21"/>
      <c r="GOB88" s="21"/>
      <c r="GOC88" s="21"/>
      <c r="GOD88" s="21"/>
      <c r="GOE88" s="21"/>
      <c r="GOF88" s="21"/>
      <c r="GOG88" s="21"/>
      <c r="GOH88" s="21"/>
      <c r="GOI88" s="21"/>
      <c r="GOJ88" s="21"/>
      <c r="GOK88" s="21"/>
      <c r="GOL88" s="21"/>
      <c r="GOM88" s="21"/>
      <c r="GON88" s="21"/>
      <c r="GOO88" s="21"/>
      <c r="GOP88" s="21"/>
      <c r="GOQ88" s="21"/>
      <c r="GOR88" s="21"/>
      <c r="GOS88" s="21"/>
      <c r="GOT88" s="21"/>
      <c r="GOU88" s="21"/>
      <c r="GOV88" s="21"/>
      <c r="GOW88" s="21"/>
      <c r="GOX88" s="21"/>
      <c r="GOY88" s="21"/>
      <c r="GOZ88" s="21"/>
      <c r="GPA88" s="21"/>
      <c r="GPB88" s="21"/>
      <c r="GPC88" s="21"/>
      <c r="GPD88" s="21"/>
      <c r="GPE88" s="21"/>
      <c r="GPF88" s="21"/>
      <c r="GPG88" s="21"/>
      <c r="GPH88" s="21"/>
      <c r="GPI88" s="21"/>
      <c r="GPJ88" s="21"/>
      <c r="GPK88" s="21"/>
      <c r="GPL88" s="21"/>
      <c r="GPM88" s="21"/>
      <c r="GPN88" s="21"/>
      <c r="GPO88" s="21"/>
      <c r="GPP88" s="21"/>
      <c r="GPQ88" s="21"/>
      <c r="GPR88" s="21"/>
      <c r="GPS88" s="21"/>
      <c r="GPT88" s="21"/>
      <c r="GPU88" s="21"/>
      <c r="GPV88" s="21"/>
      <c r="GPW88" s="21"/>
      <c r="GPX88" s="21"/>
      <c r="GPY88" s="21"/>
      <c r="GPZ88" s="21"/>
      <c r="GQA88" s="21"/>
      <c r="GQB88" s="21"/>
      <c r="GQC88" s="21"/>
      <c r="GQD88" s="21"/>
      <c r="GQE88" s="21"/>
      <c r="GQF88" s="21"/>
      <c r="GQG88" s="21"/>
      <c r="GQH88" s="21"/>
      <c r="GQI88" s="21"/>
      <c r="GQJ88" s="21"/>
      <c r="GQK88" s="21"/>
      <c r="GQL88" s="21"/>
      <c r="GQM88" s="21"/>
      <c r="GQN88" s="21"/>
      <c r="GQO88" s="21"/>
      <c r="GQP88" s="21"/>
      <c r="GQQ88" s="21"/>
      <c r="GQR88" s="21"/>
      <c r="GQS88" s="21"/>
      <c r="GQT88" s="21"/>
      <c r="GQU88" s="21"/>
      <c r="GQV88" s="21"/>
      <c r="GQW88" s="21"/>
      <c r="GQX88" s="21"/>
      <c r="GQY88" s="21"/>
      <c r="GQZ88" s="21"/>
      <c r="GRA88" s="21"/>
      <c r="GRB88" s="21"/>
      <c r="GRC88" s="21"/>
      <c r="GRD88" s="21"/>
      <c r="GRE88" s="21"/>
      <c r="GRF88" s="21"/>
      <c r="GRG88" s="21"/>
      <c r="GRH88" s="21"/>
      <c r="GRI88" s="21"/>
      <c r="GRJ88" s="21"/>
      <c r="GRK88" s="21"/>
      <c r="GRL88" s="21"/>
      <c r="GRM88" s="21"/>
      <c r="GRN88" s="21"/>
      <c r="GRO88" s="21"/>
      <c r="GRP88" s="21"/>
      <c r="GRQ88" s="21"/>
      <c r="GRR88" s="21"/>
      <c r="GRS88" s="21"/>
      <c r="GRT88" s="21"/>
      <c r="GRU88" s="21"/>
      <c r="GRV88" s="21"/>
      <c r="GRW88" s="21"/>
      <c r="GRX88" s="21"/>
      <c r="GRY88" s="21"/>
      <c r="GRZ88" s="21"/>
      <c r="GSA88" s="21"/>
      <c r="GSB88" s="21"/>
      <c r="GSC88" s="21"/>
      <c r="GSD88" s="21"/>
      <c r="GSE88" s="21"/>
      <c r="GSF88" s="21"/>
      <c r="GSG88" s="21"/>
      <c r="GSH88" s="21"/>
      <c r="GSI88" s="21"/>
      <c r="GSJ88" s="21"/>
      <c r="GSK88" s="21"/>
      <c r="GSL88" s="21"/>
      <c r="GSM88" s="21"/>
      <c r="GSN88" s="21"/>
      <c r="GSO88" s="21"/>
      <c r="GSP88" s="21"/>
      <c r="GSQ88" s="21"/>
      <c r="GSR88" s="21"/>
      <c r="GSS88" s="21"/>
      <c r="GST88" s="21"/>
      <c r="GSU88" s="21"/>
      <c r="GSV88" s="21"/>
      <c r="GSW88" s="21"/>
      <c r="GSX88" s="21"/>
      <c r="GSY88" s="21"/>
      <c r="GSZ88" s="21"/>
      <c r="GTA88" s="21"/>
      <c r="GTB88" s="21"/>
      <c r="GTC88" s="21"/>
      <c r="GTD88" s="21"/>
      <c r="GTE88" s="21"/>
      <c r="GTF88" s="21"/>
      <c r="GTG88" s="21"/>
      <c r="GTH88" s="21"/>
      <c r="GTI88" s="21"/>
      <c r="GTJ88" s="21"/>
      <c r="GTK88" s="21"/>
      <c r="GTL88" s="21"/>
      <c r="GTM88" s="21"/>
      <c r="GTN88" s="21"/>
      <c r="GTO88" s="21"/>
      <c r="GTP88" s="21"/>
      <c r="GTQ88" s="21"/>
      <c r="GTR88" s="21"/>
      <c r="GTS88" s="21"/>
      <c r="GTT88" s="21"/>
      <c r="GTU88" s="21"/>
      <c r="GTV88" s="21"/>
      <c r="GTW88" s="21"/>
      <c r="GTX88" s="21"/>
      <c r="GTY88" s="21"/>
      <c r="GTZ88" s="21"/>
      <c r="GUA88" s="21"/>
      <c r="GUB88" s="21"/>
      <c r="GUC88" s="21"/>
      <c r="GUD88" s="21"/>
      <c r="GUE88" s="21"/>
      <c r="GUF88" s="21"/>
      <c r="GUG88" s="21"/>
      <c r="GUH88" s="21"/>
      <c r="GUI88" s="21"/>
      <c r="GUJ88" s="21"/>
      <c r="GUK88" s="21"/>
      <c r="GUL88" s="21"/>
      <c r="GUM88" s="21"/>
      <c r="GUN88" s="21"/>
      <c r="GUO88" s="21"/>
      <c r="GUP88" s="21"/>
      <c r="GUQ88" s="21"/>
      <c r="GUR88" s="21"/>
      <c r="GUS88" s="21"/>
      <c r="GUT88" s="21"/>
      <c r="GUU88" s="21"/>
      <c r="GUV88" s="21"/>
      <c r="GUW88" s="21"/>
      <c r="GUX88" s="21"/>
      <c r="GUY88" s="21"/>
      <c r="GUZ88" s="21"/>
      <c r="GVA88" s="21"/>
      <c r="GVB88" s="21"/>
      <c r="GVC88" s="21"/>
      <c r="GVD88" s="21"/>
      <c r="GVE88" s="21"/>
      <c r="GVF88" s="21"/>
      <c r="GVG88" s="21"/>
      <c r="GVH88" s="21"/>
      <c r="GVI88" s="21"/>
      <c r="GVJ88" s="21"/>
      <c r="GVK88" s="21"/>
      <c r="GVL88" s="21"/>
      <c r="GVM88" s="21"/>
      <c r="GVN88" s="21"/>
      <c r="GVO88" s="21"/>
      <c r="GVP88" s="21"/>
      <c r="GVQ88" s="21"/>
      <c r="GVR88" s="21"/>
      <c r="GVS88" s="21"/>
      <c r="GVT88" s="21"/>
      <c r="GVU88" s="21"/>
      <c r="GVV88" s="21"/>
      <c r="GVW88" s="21"/>
      <c r="GVX88" s="21"/>
      <c r="GVY88" s="21"/>
      <c r="GVZ88" s="21"/>
      <c r="GWA88" s="21"/>
      <c r="GWB88" s="21"/>
      <c r="GWC88" s="21"/>
      <c r="GWD88" s="21"/>
      <c r="GWE88" s="21"/>
      <c r="GWF88" s="21"/>
      <c r="GWG88" s="21"/>
      <c r="GWH88" s="21"/>
      <c r="GWI88" s="21"/>
      <c r="GWJ88" s="21"/>
      <c r="GWK88" s="21"/>
      <c r="GWL88" s="21"/>
      <c r="GWM88" s="21"/>
      <c r="GWN88" s="21"/>
      <c r="GWO88" s="21"/>
      <c r="GWP88" s="21"/>
      <c r="GWQ88" s="21"/>
      <c r="GWR88" s="21"/>
      <c r="GWS88" s="21"/>
      <c r="GWT88" s="21"/>
      <c r="GWU88" s="21"/>
      <c r="GWV88" s="21"/>
      <c r="GWW88" s="21"/>
      <c r="GWX88" s="21"/>
      <c r="GWY88" s="21"/>
      <c r="GWZ88" s="21"/>
      <c r="GXA88" s="21"/>
      <c r="GXB88" s="21"/>
      <c r="GXC88" s="21"/>
      <c r="GXD88" s="21"/>
      <c r="GXE88" s="21"/>
      <c r="GXF88" s="21"/>
      <c r="GXG88" s="21"/>
      <c r="GXH88" s="21"/>
      <c r="GXI88" s="21"/>
      <c r="GXJ88" s="21"/>
      <c r="GXK88" s="21"/>
      <c r="GXL88" s="21"/>
      <c r="GXM88" s="21"/>
      <c r="GXN88" s="21"/>
      <c r="GXO88" s="21"/>
      <c r="GXP88" s="21"/>
      <c r="GXQ88" s="21"/>
      <c r="GXR88" s="21"/>
      <c r="GXS88" s="21"/>
      <c r="GXT88" s="21"/>
      <c r="GXU88" s="21"/>
      <c r="GXV88" s="21"/>
      <c r="GXW88" s="21"/>
      <c r="GXX88" s="21"/>
      <c r="GXY88" s="21"/>
      <c r="GXZ88" s="21"/>
      <c r="GYA88" s="21"/>
      <c r="GYB88" s="21"/>
      <c r="GYC88" s="21"/>
      <c r="GYD88" s="21"/>
      <c r="GYE88" s="21"/>
      <c r="GYF88" s="21"/>
      <c r="GYG88" s="21"/>
      <c r="GYH88" s="21"/>
      <c r="GYI88" s="21"/>
      <c r="GYJ88" s="21"/>
      <c r="GYK88" s="21"/>
      <c r="GYL88" s="21"/>
      <c r="GYM88" s="21"/>
      <c r="GYN88" s="21"/>
      <c r="GYO88" s="21"/>
      <c r="GYP88" s="21"/>
      <c r="GYQ88" s="21"/>
      <c r="GYR88" s="21"/>
      <c r="GYS88" s="21"/>
      <c r="GYT88" s="21"/>
      <c r="GYU88" s="21"/>
      <c r="GYV88" s="21"/>
      <c r="GYW88" s="21"/>
      <c r="GYX88" s="21"/>
      <c r="GYY88" s="21"/>
      <c r="GYZ88" s="21"/>
      <c r="GZA88" s="21"/>
      <c r="GZB88" s="21"/>
      <c r="GZC88" s="21"/>
      <c r="GZD88" s="21"/>
      <c r="GZE88" s="21"/>
      <c r="GZF88" s="21"/>
      <c r="GZG88" s="21"/>
      <c r="GZH88" s="21"/>
      <c r="GZI88" s="21"/>
      <c r="GZJ88" s="21"/>
      <c r="GZK88" s="21"/>
      <c r="GZL88" s="21"/>
      <c r="GZM88" s="21"/>
      <c r="GZN88" s="21"/>
      <c r="GZO88" s="21"/>
      <c r="GZP88" s="21"/>
      <c r="GZQ88" s="21"/>
      <c r="GZR88" s="21"/>
      <c r="GZS88" s="21"/>
      <c r="GZT88" s="21"/>
      <c r="GZU88" s="21"/>
      <c r="GZV88" s="21"/>
      <c r="GZW88" s="21"/>
      <c r="GZX88" s="21"/>
      <c r="GZY88" s="21"/>
      <c r="GZZ88" s="21"/>
      <c r="HAA88" s="21"/>
      <c r="HAB88" s="21"/>
      <c r="HAC88" s="21"/>
      <c r="HAD88" s="21"/>
      <c r="HAE88" s="21"/>
      <c r="HAF88" s="21"/>
      <c r="HAG88" s="21"/>
      <c r="HAH88" s="21"/>
      <c r="HAI88" s="21"/>
      <c r="HAJ88" s="21"/>
      <c r="HAK88" s="21"/>
      <c r="HAL88" s="21"/>
      <c r="HAM88" s="21"/>
      <c r="HAN88" s="21"/>
      <c r="HAO88" s="21"/>
      <c r="HAP88" s="21"/>
      <c r="HAQ88" s="21"/>
      <c r="HAR88" s="21"/>
      <c r="HAS88" s="21"/>
      <c r="HAT88" s="21"/>
      <c r="HAU88" s="21"/>
      <c r="HAV88" s="21"/>
      <c r="HAW88" s="21"/>
      <c r="HAX88" s="21"/>
      <c r="HAY88" s="21"/>
      <c r="HAZ88" s="21"/>
      <c r="HBA88" s="21"/>
      <c r="HBB88" s="21"/>
      <c r="HBC88" s="21"/>
      <c r="HBD88" s="21"/>
      <c r="HBE88" s="21"/>
      <c r="HBF88" s="21"/>
      <c r="HBG88" s="21"/>
      <c r="HBH88" s="21"/>
      <c r="HBI88" s="21"/>
      <c r="HBJ88" s="21"/>
      <c r="HBK88" s="21"/>
      <c r="HBL88" s="21"/>
      <c r="HBM88" s="21"/>
      <c r="HBN88" s="21"/>
      <c r="HBO88" s="21"/>
      <c r="HBP88" s="21"/>
      <c r="HBQ88" s="21"/>
      <c r="HBR88" s="21"/>
      <c r="HBS88" s="21"/>
      <c r="HBT88" s="21"/>
      <c r="HBU88" s="21"/>
      <c r="HBV88" s="21"/>
      <c r="HBW88" s="21"/>
      <c r="HBX88" s="21"/>
      <c r="HBY88" s="21"/>
      <c r="HBZ88" s="21"/>
      <c r="HCA88" s="21"/>
      <c r="HCB88" s="21"/>
      <c r="HCC88" s="21"/>
      <c r="HCD88" s="21"/>
      <c r="HCE88" s="21"/>
      <c r="HCF88" s="21"/>
      <c r="HCG88" s="21"/>
      <c r="HCH88" s="21"/>
      <c r="HCI88" s="21"/>
      <c r="HCJ88" s="21"/>
      <c r="HCK88" s="21"/>
      <c r="HCL88" s="21"/>
      <c r="HCM88" s="21"/>
      <c r="HCN88" s="21"/>
      <c r="HCO88" s="21"/>
      <c r="HCP88" s="21"/>
      <c r="HCQ88" s="21"/>
      <c r="HCR88" s="21"/>
      <c r="HCS88" s="21"/>
      <c r="HCT88" s="21"/>
      <c r="HCU88" s="21"/>
      <c r="HCV88" s="21"/>
      <c r="HCW88" s="21"/>
      <c r="HCX88" s="21"/>
      <c r="HCY88" s="21"/>
      <c r="HCZ88" s="21"/>
      <c r="HDA88" s="21"/>
      <c r="HDB88" s="21"/>
      <c r="HDC88" s="21"/>
      <c r="HDD88" s="21"/>
      <c r="HDE88" s="21"/>
      <c r="HDF88" s="21"/>
      <c r="HDG88" s="21"/>
      <c r="HDH88" s="21"/>
      <c r="HDI88" s="21"/>
      <c r="HDJ88" s="21"/>
      <c r="HDK88" s="21"/>
      <c r="HDL88" s="21"/>
      <c r="HDM88" s="21"/>
      <c r="HDN88" s="21"/>
      <c r="HDO88" s="21"/>
      <c r="HDP88" s="21"/>
      <c r="HDQ88" s="21"/>
      <c r="HDR88" s="21"/>
      <c r="HDS88" s="21"/>
      <c r="HDT88" s="21"/>
      <c r="HDU88" s="21"/>
      <c r="HDV88" s="21"/>
      <c r="HDW88" s="21"/>
      <c r="HDX88" s="21"/>
      <c r="HDY88" s="21"/>
      <c r="HDZ88" s="21"/>
      <c r="HEA88" s="21"/>
      <c r="HEB88" s="21"/>
      <c r="HEC88" s="21"/>
      <c r="HED88" s="21"/>
      <c r="HEE88" s="21"/>
      <c r="HEF88" s="21"/>
      <c r="HEG88" s="21"/>
      <c r="HEH88" s="21"/>
      <c r="HEI88" s="21"/>
      <c r="HEJ88" s="21"/>
      <c r="HEK88" s="21"/>
      <c r="HEL88" s="21"/>
      <c r="HEM88" s="21"/>
      <c r="HEN88" s="21"/>
      <c r="HEO88" s="21"/>
      <c r="HEP88" s="21"/>
      <c r="HEQ88" s="21"/>
      <c r="HER88" s="21"/>
      <c r="HES88" s="21"/>
      <c r="HET88" s="21"/>
      <c r="HEU88" s="21"/>
      <c r="HEV88" s="21"/>
      <c r="HEW88" s="21"/>
      <c r="HEX88" s="21"/>
      <c r="HEY88" s="21"/>
      <c r="HEZ88" s="21"/>
      <c r="HFA88" s="21"/>
      <c r="HFB88" s="21"/>
      <c r="HFC88" s="21"/>
      <c r="HFD88" s="21"/>
      <c r="HFE88" s="21"/>
      <c r="HFF88" s="21"/>
      <c r="HFG88" s="21"/>
      <c r="HFH88" s="21"/>
      <c r="HFI88" s="21"/>
      <c r="HFJ88" s="21"/>
      <c r="HFK88" s="21"/>
      <c r="HFL88" s="21"/>
      <c r="HFM88" s="21"/>
      <c r="HFN88" s="21"/>
      <c r="HFO88" s="21"/>
      <c r="HFP88" s="21"/>
      <c r="HFQ88" s="21"/>
      <c r="HFR88" s="21"/>
      <c r="HFS88" s="21"/>
      <c r="HFT88" s="21"/>
      <c r="HFU88" s="21"/>
      <c r="HFV88" s="21"/>
      <c r="HFW88" s="21"/>
      <c r="HFX88" s="21"/>
      <c r="HFY88" s="21"/>
      <c r="HFZ88" s="21"/>
      <c r="HGA88" s="21"/>
      <c r="HGB88" s="21"/>
      <c r="HGC88" s="21"/>
      <c r="HGD88" s="21"/>
      <c r="HGE88" s="21"/>
      <c r="HGF88" s="21"/>
      <c r="HGG88" s="21"/>
      <c r="HGH88" s="21"/>
      <c r="HGI88" s="21"/>
      <c r="HGJ88" s="21"/>
      <c r="HGK88" s="21"/>
      <c r="HGL88" s="21"/>
      <c r="HGM88" s="21"/>
      <c r="HGN88" s="21"/>
      <c r="HGO88" s="21"/>
      <c r="HGP88" s="21"/>
      <c r="HGQ88" s="21"/>
      <c r="HGR88" s="21"/>
      <c r="HGS88" s="21"/>
      <c r="HGT88" s="21"/>
      <c r="HGU88" s="21"/>
      <c r="HGV88" s="21"/>
      <c r="HGW88" s="21"/>
      <c r="HGX88" s="21"/>
      <c r="HGY88" s="21"/>
      <c r="HGZ88" s="21"/>
      <c r="HHA88" s="21"/>
      <c r="HHB88" s="21"/>
      <c r="HHC88" s="21"/>
      <c r="HHD88" s="21"/>
      <c r="HHE88" s="21"/>
      <c r="HHF88" s="21"/>
      <c r="HHG88" s="21"/>
      <c r="HHH88" s="21"/>
      <c r="HHI88" s="21"/>
      <c r="HHJ88" s="21"/>
      <c r="HHK88" s="21"/>
      <c r="HHL88" s="21"/>
      <c r="HHM88" s="21"/>
      <c r="HHN88" s="21"/>
      <c r="HHO88" s="21"/>
      <c r="HHP88" s="21"/>
      <c r="HHQ88" s="21"/>
      <c r="HHR88" s="21"/>
      <c r="HHS88" s="21"/>
      <c r="HHT88" s="21"/>
      <c r="HHU88" s="21"/>
      <c r="HHV88" s="21"/>
      <c r="HHW88" s="21"/>
      <c r="HHX88" s="21"/>
      <c r="HHY88" s="21"/>
      <c r="HHZ88" s="21"/>
      <c r="HIA88" s="21"/>
      <c r="HIB88" s="21"/>
      <c r="HIC88" s="21"/>
      <c r="HID88" s="21"/>
      <c r="HIE88" s="21"/>
      <c r="HIF88" s="21"/>
      <c r="HIG88" s="21"/>
      <c r="HIH88" s="21"/>
      <c r="HII88" s="21"/>
      <c r="HIJ88" s="21"/>
      <c r="HIK88" s="21"/>
      <c r="HIL88" s="21"/>
      <c r="HIM88" s="21"/>
      <c r="HIN88" s="21"/>
      <c r="HIO88" s="21"/>
      <c r="HIP88" s="21"/>
      <c r="HIQ88" s="21"/>
      <c r="HIR88" s="21"/>
      <c r="HIS88" s="21"/>
      <c r="HIT88" s="21"/>
      <c r="HIU88" s="21"/>
      <c r="HIV88" s="21"/>
      <c r="HIW88" s="21"/>
      <c r="HIX88" s="21"/>
      <c r="HIY88" s="21"/>
      <c r="HIZ88" s="21"/>
      <c r="HJA88" s="21"/>
      <c r="HJB88" s="21"/>
      <c r="HJC88" s="21"/>
      <c r="HJD88" s="21"/>
      <c r="HJE88" s="21"/>
      <c r="HJF88" s="21"/>
      <c r="HJG88" s="21"/>
      <c r="HJH88" s="21"/>
      <c r="HJI88" s="21"/>
      <c r="HJJ88" s="21"/>
      <c r="HJK88" s="21"/>
      <c r="HJL88" s="21"/>
      <c r="HJM88" s="21"/>
      <c r="HJN88" s="21"/>
      <c r="HJO88" s="21"/>
      <c r="HJP88" s="21"/>
      <c r="HJQ88" s="21"/>
      <c r="HJR88" s="21"/>
      <c r="HJS88" s="21"/>
      <c r="HJT88" s="21"/>
      <c r="HJU88" s="21"/>
      <c r="HJV88" s="21"/>
      <c r="HJW88" s="21"/>
      <c r="HJX88" s="21"/>
      <c r="HJY88" s="21"/>
      <c r="HJZ88" s="21"/>
      <c r="HKA88" s="21"/>
      <c r="HKB88" s="21"/>
      <c r="HKC88" s="21"/>
      <c r="HKD88" s="21"/>
      <c r="HKE88" s="21"/>
      <c r="HKF88" s="21"/>
      <c r="HKG88" s="21"/>
      <c r="HKH88" s="21"/>
      <c r="HKI88" s="21"/>
      <c r="HKJ88" s="21"/>
      <c r="HKK88" s="21"/>
      <c r="HKL88" s="21"/>
      <c r="HKM88" s="21"/>
      <c r="HKN88" s="21"/>
      <c r="HKO88" s="21"/>
      <c r="HKP88" s="21"/>
      <c r="HKQ88" s="21"/>
      <c r="HKR88" s="21"/>
      <c r="HKS88" s="21"/>
      <c r="HKT88" s="21"/>
      <c r="HKU88" s="21"/>
      <c r="HKV88" s="21"/>
      <c r="HKW88" s="21"/>
      <c r="HKX88" s="21"/>
      <c r="HKY88" s="21"/>
      <c r="HKZ88" s="21"/>
      <c r="HLA88" s="21"/>
      <c r="HLB88" s="21"/>
      <c r="HLC88" s="21"/>
      <c r="HLD88" s="21"/>
      <c r="HLE88" s="21"/>
      <c r="HLF88" s="21"/>
      <c r="HLG88" s="21"/>
      <c r="HLH88" s="21"/>
      <c r="HLI88" s="21"/>
      <c r="HLJ88" s="21"/>
      <c r="HLK88" s="21"/>
      <c r="HLL88" s="21"/>
      <c r="HLM88" s="21"/>
      <c r="HLN88" s="21"/>
      <c r="HLO88" s="21"/>
      <c r="HLP88" s="21"/>
      <c r="HLQ88" s="21"/>
      <c r="HLR88" s="21"/>
      <c r="HLS88" s="21"/>
      <c r="HLT88" s="21"/>
      <c r="HLU88" s="21"/>
      <c r="HLV88" s="21"/>
      <c r="HLW88" s="21"/>
      <c r="HLX88" s="21"/>
      <c r="HLY88" s="21"/>
      <c r="HLZ88" s="21"/>
      <c r="HMA88" s="21"/>
      <c r="HMB88" s="21"/>
      <c r="HMC88" s="21"/>
      <c r="HMD88" s="21"/>
      <c r="HME88" s="21"/>
      <c r="HMF88" s="21"/>
      <c r="HMG88" s="21"/>
      <c r="HMH88" s="21"/>
      <c r="HMI88" s="21"/>
      <c r="HMJ88" s="21"/>
      <c r="HMK88" s="21"/>
      <c r="HML88" s="21"/>
      <c r="HMM88" s="21"/>
      <c r="HMN88" s="21"/>
      <c r="HMO88" s="21"/>
      <c r="HMP88" s="21"/>
      <c r="HMQ88" s="21"/>
      <c r="HMR88" s="21"/>
      <c r="HMS88" s="21"/>
      <c r="HMT88" s="21"/>
      <c r="HMU88" s="21"/>
      <c r="HMV88" s="21"/>
      <c r="HMW88" s="21"/>
      <c r="HMX88" s="21"/>
      <c r="HMY88" s="21"/>
      <c r="HMZ88" s="21"/>
      <c r="HNA88" s="21"/>
      <c r="HNB88" s="21"/>
      <c r="HNC88" s="21"/>
      <c r="HND88" s="21"/>
      <c r="HNE88" s="21"/>
      <c r="HNF88" s="21"/>
      <c r="HNG88" s="21"/>
      <c r="HNH88" s="21"/>
      <c r="HNI88" s="21"/>
      <c r="HNJ88" s="21"/>
      <c r="HNK88" s="21"/>
      <c r="HNL88" s="21"/>
      <c r="HNM88" s="21"/>
      <c r="HNN88" s="21"/>
      <c r="HNO88" s="21"/>
      <c r="HNP88" s="21"/>
      <c r="HNQ88" s="21"/>
      <c r="HNR88" s="21"/>
      <c r="HNS88" s="21"/>
      <c r="HNT88" s="21"/>
      <c r="HNU88" s="21"/>
      <c r="HNV88" s="21"/>
      <c r="HNW88" s="21"/>
      <c r="HNX88" s="21"/>
      <c r="HNY88" s="21"/>
      <c r="HNZ88" s="21"/>
      <c r="HOA88" s="21"/>
      <c r="HOB88" s="21"/>
      <c r="HOC88" s="21"/>
      <c r="HOD88" s="21"/>
      <c r="HOE88" s="21"/>
      <c r="HOF88" s="21"/>
      <c r="HOG88" s="21"/>
      <c r="HOH88" s="21"/>
      <c r="HOI88" s="21"/>
      <c r="HOJ88" s="21"/>
      <c r="HOK88" s="21"/>
      <c r="HOL88" s="21"/>
      <c r="HOM88" s="21"/>
      <c r="HON88" s="21"/>
      <c r="HOO88" s="21"/>
      <c r="HOP88" s="21"/>
      <c r="HOQ88" s="21"/>
      <c r="HOR88" s="21"/>
      <c r="HOS88" s="21"/>
      <c r="HOT88" s="21"/>
      <c r="HOU88" s="21"/>
      <c r="HOV88" s="21"/>
      <c r="HOW88" s="21"/>
      <c r="HOX88" s="21"/>
      <c r="HOY88" s="21"/>
      <c r="HOZ88" s="21"/>
      <c r="HPA88" s="21"/>
      <c r="HPB88" s="21"/>
      <c r="HPC88" s="21"/>
      <c r="HPD88" s="21"/>
      <c r="HPE88" s="21"/>
      <c r="HPF88" s="21"/>
      <c r="HPG88" s="21"/>
      <c r="HPH88" s="21"/>
      <c r="HPI88" s="21"/>
      <c r="HPJ88" s="21"/>
      <c r="HPK88" s="21"/>
      <c r="HPL88" s="21"/>
      <c r="HPM88" s="21"/>
      <c r="HPN88" s="21"/>
      <c r="HPO88" s="21"/>
      <c r="HPP88" s="21"/>
      <c r="HPQ88" s="21"/>
      <c r="HPR88" s="21"/>
      <c r="HPS88" s="21"/>
      <c r="HPT88" s="21"/>
      <c r="HPU88" s="21"/>
      <c r="HPV88" s="21"/>
      <c r="HPW88" s="21"/>
      <c r="HPX88" s="21"/>
      <c r="HPY88" s="21"/>
      <c r="HPZ88" s="21"/>
      <c r="HQA88" s="21"/>
      <c r="HQB88" s="21"/>
      <c r="HQC88" s="21"/>
      <c r="HQD88" s="21"/>
      <c r="HQE88" s="21"/>
      <c r="HQF88" s="21"/>
      <c r="HQG88" s="21"/>
      <c r="HQH88" s="21"/>
      <c r="HQI88" s="21"/>
      <c r="HQJ88" s="21"/>
      <c r="HQK88" s="21"/>
      <c r="HQL88" s="21"/>
      <c r="HQM88" s="21"/>
      <c r="HQN88" s="21"/>
      <c r="HQO88" s="21"/>
      <c r="HQP88" s="21"/>
      <c r="HQQ88" s="21"/>
      <c r="HQR88" s="21"/>
      <c r="HQS88" s="21"/>
      <c r="HQT88" s="21"/>
      <c r="HQU88" s="21"/>
      <c r="HQV88" s="21"/>
      <c r="HQW88" s="21"/>
      <c r="HQX88" s="21"/>
      <c r="HQY88" s="21"/>
      <c r="HQZ88" s="21"/>
      <c r="HRA88" s="21"/>
      <c r="HRB88" s="21"/>
      <c r="HRC88" s="21"/>
      <c r="HRD88" s="21"/>
      <c r="HRE88" s="21"/>
      <c r="HRF88" s="21"/>
      <c r="HRG88" s="21"/>
      <c r="HRH88" s="21"/>
      <c r="HRI88" s="21"/>
      <c r="HRJ88" s="21"/>
      <c r="HRK88" s="21"/>
      <c r="HRL88" s="21"/>
      <c r="HRM88" s="21"/>
      <c r="HRN88" s="21"/>
      <c r="HRO88" s="21"/>
      <c r="HRP88" s="21"/>
      <c r="HRQ88" s="21"/>
      <c r="HRR88" s="21"/>
      <c r="HRS88" s="21"/>
      <c r="HRT88" s="21"/>
      <c r="HRU88" s="21"/>
      <c r="HRV88" s="21"/>
      <c r="HRW88" s="21"/>
      <c r="HRX88" s="21"/>
      <c r="HRY88" s="21"/>
      <c r="HRZ88" s="21"/>
      <c r="HSA88" s="21"/>
      <c r="HSB88" s="21"/>
      <c r="HSC88" s="21"/>
      <c r="HSD88" s="21"/>
      <c r="HSE88" s="21"/>
      <c r="HSF88" s="21"/>
      <c r="HSG88" s="21"/>
      <c r="HSH88" s="21"/>
      <c r="HSI88" s="21"/>
      <c r="HSJ88" s="21"/>
      <c r="HSK88" s="21"/>
      <c r="HSL88" s="21"/>
      <c r="HSM88" s="21"/>
      <c r="HSN88" s="21"/>
      <c r="HSO88" s="21"/>
      <c r="HSP88" s="21"/>
      <c r="HSQ88" s="21"/>
      <c r="HSR88" s="21"/>
      <c r="HSS88" s="21"/>
      <c r="HST88" s="21"/>
      <c r="HSU88" s="21"/>
      <c r="HSV88" s="21"/>
      <c r="HSW88" s="21"/>
      <c r="HSX88" s="21"/>
      <c r="HSY88" s="21"/>
      <c r="HSZ88" s="21"/>
      <c r="HTA88" s="21"/>
      <c r="HTB88" s="21"/>
      <c r="HTC88" s="21"/>
      <c r="HTD88" s="21"/>
      <c r="HTE88" s="21"/>
      <c r="HTF88" s="21"/>
      <c r="HTG88" s="21"/>
      <c r="HTH88" s="21"/>
      <c r="HTI88" s="21"/>
      <c r="HTJ88" s="21"/>
      <c r="HTK88" s="21"/>
      <c r="HTL88" s="21"/>
      <c r="HTM88" s="21"/>
      <c r="HTN88" s="21"/>
      <c r="HTO88" s="21"/>
      <c r="HTP88" s="21"/>
      <c r="HTQ88" s="21"/>
      <c r="HTR88" s="21"/>
      <c r="HTS88" s="21"/>
      <c r="HTT88" s="21"/>
      <c r="HTU88" s="21"/>
      <c r="HTV88" s="21"/>
      <c r="HTW88" s="21"/>
      <c r="HTX88" s="21"/>
      <c r="HTY88" s="21"/>
      <c r="HTZ88" s="21"/>
      <c r="HUA88" s="21"/>
      <c r="HUB88" s="21"/>
      <c r="HUC88" s="21"/>
      <c r="HUD88" s="21"/>
      <c r="HUE88" s="21"/>
      <c r="HUF88" s="21"/>
      <c r="HUG88" s="21"/>
      <c r="HUH88" s="21"/>
      <c r="HUI88" s="21"/>
      <c r="HUJ88" s="21"/>
      <c r="HUK88" s="21"/>
      <c r="HUL88" s="21"/>
      <c r="HUM88" s="21"/>
      <c r="HUN88" s="21"/>
      <c r="HUO88" s="21"/>
      <c r="HUP88" s="21"/>
      <c r="HUQ88" s="21"/>
      <c r="HUR88" s="21"/>
      <c r="HUS88" s="21"/>
      <c r="HUT88" s="21"/>
      <c r="HUU88" s="21"/>
      <c r="HUV88" s="21"/>
      <c r="HUW88" s="21"/>
      <c r="HUX88" s="21"/>
      <c r="HUY88" s="21"/>
      <c r="HUZ88" s="21"/>
      <c r="HVA88" s="21"/>
      <c r="HVB88" s="21"/>
      <c r="HVC88" s="21"/>
      <c r="HVD88" s="21"/>
      <c r="HVE88" s="21"/>
      <c r="HVF88" s="21"/>
      <c r="HVG88" s="21"/>
      <c r="HVH88" s="21"/>
      <c r="HVI88" s="21"/>
      <c r="HVJ88" s="21"/>
      <c r="HVK88" s="21"/>
      <c r="HVL88" s="21"/>
      <c r="HVM88" s="21"/>
      <c r="HVN88" s="21"/>
      <c r="HVO88" s="21"/>
      <c r="HVP88" s="21"/>
      <c r="HVQ88" s="21"/>
      <c r="HVR88" s="21"/>
      <c r="HVS88" s="21"/>
      <c r="HVT88" s="21"/>
      <c r="HVU88" s="21"/>
      <c r="HVV88" s="21"/>
      <c r="HVW88" s="21"/>
      <c r="HVX88" s="21"/>
      <c r="HVY88" s="21"/>
      <c r="HVZ88" s="21"/>
      <c r="HWA88" s="21"/>
      <c r="HWB88" s="21"/>
      <c r="HWC88" s="21"/>
      <c r="HWD88" s="21"/>
      <c r="HWE88" s="21"/>
      <c r="HWF88" s="21"/>
      <c r="HWG88" s="21"/>
      <c r="HWH88" s="21"/>
      <c r="HWI88" s="21"/>
      <c r="HWJ88" s="21"/>
      <c r="HWK88" s="21"/>
      <c r="HWL88" s="21"/>
      <c r="HWM88" s="21"/>
      <c r="HWN88" s="21"/>
      <c r="HWO88" s="21"/>
      <c r="HWP88" s="21"/>
      <c r="HWQ88" s="21"/>
      <c r="HWR88" s="21"/>
      <c r="HWS88" s="21"/>
      <c r="HWT88" s="21"/>
      <c r="HWU88" s="21"/>
      <c r="HWV88" s="21"/>
      <c r="HWW88" s="21"/>
      <c r="HWX88" s="21"/>
      <c r="HWY88" s="21"/>
      <c r="HWZ88" s="21"/>
      <c r="HXA88" s="21"/>
      <c r="HXB88" s="21"/>
      <c r="HXC88" s="21"/>
      <c r="HXD88" s="21"/>
      <c r="HXE88" s="21"/>
      <c r="HXF88" s="21"/>
      <c r="HXG88" s="21"/>
      <c r="HXH88" s="21"/>
      <c r="HXI88" s="21"/>
      <c r="HXJ88" s="21"/>
      <c r="HXK88" s="21"/>
      <c r="HXL88" s="21"/>
      <c r="HXM88" s="21"/>
      <c r="HXN88" s="21"/>
      <c r="HXO88" s="21"/>
      <c r="HXP88" s="21"/>
      <c r="HXQ88" s="21"/>
      <c r="HXR88" s="21"/>
      <c r="HXS88" s="21"/>
      <c r="HXT88" s="21"/>
      <c r="HXU88" s="21"/>
      <c r="HXV88" s="21"/>
      <c r="HXW88" s="21"/>
      <c r="HXX88" s="21"/>
      <c r="HXY88" s="21"/>
      <c r="HXZ88" s="21"/>
      <c r="HYA88" s="21"/>
      <c r="HYB88" s="21"/>
      <c r="HYC88" s="21"/>
      <c r="HYD88" s="21"/>
      <c r="HYE88" s="21"/>
      <c r="HYF88" s="21"/>
      <c r="HYG88" s="21"/>
      <c r="HYH88" s="21"/>
      <c r="HYI88" s="21"/>
      <c r="HYJ88" s="21"/>
      <c r="HYK88" s="21"/>
      <c r="HYL88" s="21"/>
      <c r="HYM88" s="21"/>
      <c r="HYN88" s="21"/>
      <c r="HYO88" s="21"/>
      <c r="HYP88" s="21"/>
      <c r="HYQ88" s="21"/>
      <c r="HYR88" s="21"/>
      <c r="HYS88" s="21"/>
      <c r="HYT88" s="21"/>
      <c r="HYU88" s="21"/>
      <c r="HYV88" s="21"/>
      <c r="HYW88" s="21"/>
      <c r="HYX88" s="21"/>
      <c r="HYY88" s="21"/>
      <c r="HYZ88" s="21"/>
      <c r="HZA88" s="21"/>
      <c r="HZB88" s="21"/>
      <c r="HZC88" s="21"/>
      <c r="HZD88" s="21"/>
      <c r="HZE88" s="21"/>
      <c r="HZF88" s="21"/>
      <c r="HZG88" s="21"/>
      <c r="HZH88" s="21"/>
      <c r="HZI88" s="21"/>
      <c r="HZJ88" s="21"/>
      <c r="HZK88" s="21"/>
      <c r="HZL88" s="21"/>
      <c r="HZM88" s="21"/>
      <c r="HZN88" s="21"/>
      <c r="HZO88" s="21"/>
      <c r="HZP88" s="21"/>
      <c r="HZQ88" s="21"/>
      <c r="HZR88" s="21"/>
      <c r="HZS88" s="21"/>
      <c r="HZT88" s="21"/>
      <c r="HZU88" s="21"/>
      <c r="HZV88" s="21"/>
      <c r="HZW88" s="21"/>
      <c r="HZX88" s="21"/>
      <c r="HZY88" s="21"/>
      <c r="HZZ88" s="21"/>
      <c r="IAA88" s="21"/>
      <c r="IAB88" s="21"/>
      <c r="IAC88" s="21"/>
      <c r="IAD88" s="21"/>
      <c r="IAE88" s="21"/>
      <c r="IAF88" s="21"/>
      <c r="IAG88" s="21"/>
      <c r="IAH88" s="21"/>
      <c r="IAI88" s="21"/>
      <c r="IAJ88" s="21"/>
      <c r="IAK88" s="21"/>
      <c r="IAL88" s="21"/>
      <c r="IAM88" s="21"/>
      <c r="IAN88" s="21"/>
      <c r="IAO88" s="21"/>
      <c r="IAP88" s="21"/>
      <c r="IAQ88" s="21"/>
      <c r="IAR88" s="21"/>
      <c r="IAS88" s="21"/>
      <c r="IAT88" s="21"/>
      <c r="IAU88" s="21"/>
      <c r="IAV88" s="21"/>
      <c r="IAW88" s="21"/>
      <c r="IAX88" s="21"/>
      <c r="IAY88" s="21"/>
      <c r="IAZ88" s="21"/>
      <c r="IBA88" s="21"/>
      <c r="IBB88" s="21"/>
      <c r="IBC88" s="21"/>
      <c r="IBD88" s="21"/>
      <c r="IBE88" s="21"/>
      <c r="IBF88" s="21"/>
      <c r="IBG88" s="21"/>
      <c r="IBH88" s="21"/>
      <c r="IBI88" s="21"/>
      <c r="IBJ88" s="21"/>
      <c r="IBK88" s="21"/>
      <c r="IBL88" s="21"/>
      <c r="IBM88" s="21"/>
      <c r="IBN88" s="21"/>
      <c r="IBO88" s="21"/>
      <c r="IBP88" s="21"/>
      <c r="IBQ88" s="21"/>
      <c r="IBR88" s="21"/>
      <c r="IBS88" s="21"/>
      <c r="IBT88" s="21"/>
      <c r="IBU88" s="21"/>
      <c r="IBV88" s="21"/>
      <c r="IBW88" s="21"/>
      <c r="IBX88" s="21"/>
      <c r="IBY88" s="21"/>
      <c r="IBZ88" s="21"/>
      <c r="ICA88" s="21"/>
      <c r="ICB88" s="21"/>
      <c r="ICC88" s="21"/>
      <c r="ICD88" s="21"/>
      <c r="ICE88" s="21"/>
      <c r="ICF88" s="21"/>
      <c r="ICG88" s="21"/>
      <c r="ICH88" s="21"/>
      <c r="ICI88" s="21"/>
      <c r="ICJ88" s="21"/>
      <c r="ICK88" s="21"/>
      <c r="ICL88" s="21"/>
      <c r="ICM88" s="21"/>
      <c r="ICN88" s="21"/>
      <c r="ICO88" s="21"/>
      <c r="ICP88" s="21"/>
      <c r="ICQ88" s="21"/>
      <c r="ICR88" s="21"/>
      <c r="ICS88" s="21"/>
      <c r="ICT88" s="21"/>
      <c r="ICU88" s="21"/>
      <c r="ICV88" s="21"/>
      <c r="ICW88" s="21"/>
      <c r="ICX88" s="21"/>
      <c r="ICY88" s="21"/>
      <c r="ICZ88" s="21"/>
      <c r="IDA88" s="21"/>
      <c r="IDB88" s="21"/>
      <c r="IDC88" s="21"/>
      <c r="IDD88" s="21"/>
      <c r="IDE88" s="21"/>
      <c r="IDF88" s="21"/>
      <c r="IDG88" s="21"/>
      <c r="IDH88" s="21"/>
      <c r="IDI88" s="21"/>
      <c r="IDJ88" s="21"/>
      <c r="IDK88" s="21"/>
      <c r="IDL88" s="21"/>
      <c r="IDM88" s="21"/>
      <c r="IDN88" s="21"/>
      <c r="IDO88" s="21"/>
      <c r="IDP88" s="21"/>
      <c r="IDQ88" s="21"/>
      <c r="IDR88" s="21"/>
      <c r="IDS88" s="21"/>
      <c r="IDT88" s="21"/>
      <c r="IDU88" s="21"/>
      <c r="IDV88" s="21"/>
      <c r="IDW88" s="21"/>
      <c r="IDX88" s="21"/>
      <c r="IDY88" s="21"/>
      <c r="IDZ88" s="21"/>
      <c r="IEA88" s="21"/>
      <c r="IEB88" s="21"/>
      <c r="IEC88" s="21"/>
      <c r="IED88" s="21"/>
      <c r="IEE88" s="21"/>
      <c r="IEF88" s="21"/>
      <c r="IEG88" s="21"/>
      <c r="IEH88" s="21"/>
      <c r="IEI88" s="21"/>
      <c r="IEJ88" s="21"/>
      <c r="IEK88" s="21"/>
      <c r="IEL88" s="21"/>
      <c r="IEM88" s="21"/>
      <c r="IEN88" s="21"/>
      <c r="IEO88" s="21"/>
      <c r="IEP88" s="21"/>
      <c r="IEQ88" s="21"/>
      <c r="IER88" s="21"/>
      <c r="IES88" s="21"/>
      <c r="IET88" s="21"/>
      <c r="IEU88" s="21"/>
      <c r="IEV88" s="21"/>
      <c r="IEW88" s="21"/>
      <c r="IEX88" s="21"/>
      <c r="IEY88" s="21"/>
      <c r="IEZ88" s="21"/>
      <c r="IFA88" s="21"/>
      <c r="IFB88" s="21"/>
      <c r="IFC88" s="21"/>
      <c r="IFD88" s="21"/>
      <c r="IFE88" s="21"/>
      <c r="IFF88" s="21"/>
      <c r="IFG88" s="21"/>
      <c r="IFH88" s="21"/>
      <c r="IFI88" s="21"/>
      <c r="IFJ88" s="21"/>
      <c r="IFK88" s="21"/>
      <c r="IFL88" s="21"/>
      <c r="IFM88" s="21"/>
      <c r="IFN88" s="21"/>
      <c r="IFO88" s="21"/>
      <c r="IFP88" s="21"/>
      <c r="IFQ88" s="21"/>
      <c r="IFR88" s="21"/>
      <c r="IFS88" s="21"/>
      <c r="IFT88" s="21"/>
      <c r="IFU88" s="21"/>
      <c r="IFV88" s="21"/>
      <c r="IFW88" s="21"/>
      <c r="IFX88" s="21"/>
      <c r="IFY88" s="21"/>
      <c r="IFZ88" s="21"/>
      <c r="IGA88" s="21"/>
      <c r="IGB88" s="21"/>
      <c r="IGC88" s="21"/>
      <c r="IGD88" s="21"/>
      <c r="IGE88" s="21"/>
      <c r="IGF88" s="21"/>
      <c r="IGG88" s="21"/>
      <c r="IGH88" s="21"/>
      <c r="IGI88" s="21"/>
      <c r="IGJ88" s="21"/>
      <c r="IGK88" s="21"/>
      <c r="IGL88" s="21"/>
      <c r="IGM88" s="21"/>
      <c r="IGN88" s="21"/>
      <c r="IGO88" s="21"/>
      <c r="IGP88" s="21"/>
      <c r="IGQ88" s="21"/>
      <c r="IGR88" s="21"/>
      <c r="IGS88" s="21"/>
      <c r="IGT88" s="21"/>
      <c r="IGU88" s="21"/>
      <c r="IGV88" s="21"/>
      <c r="IGW88" s="21"/>
      <c r="IGX88" s="21"/>
      <c r="IGY88" s="21"/>
      <c r="IGZ88" s="21"/>
      <c r="IHA88" s="21"/>
      <c r="IHB88" s="21"/>
      <c r="IHC88" s="21"/>
      <c r="IHD88" s="21"/>
      <c r="IHE88" s="21"/>
      <c r="IHF88" s="21"/>
      <c r="IHG88" s="21"/>
      <c r="IHH88" s="21"/>
      <c r="IHI88" s="21"/>
      <c r="IHJ88" s="21"/>
      <c r="IHK88" s="21"/>
      <c r="IHL88" s="21"/>
      <c r="IHM88" s="21"/>
      <c r="IHN88" s="21"/>
      <c r="IHO88" s="21"/>
      <c r="IHP88" s="21"/>
      <c r="IHQ88" s="21"/>
      <c r="IHR88" s="21"/>
      <c r="IHS88" s="21"/>
      <c r="IHT88" s="21"/>
      <c r="IHU88" s="21"/>
      <c r="IHV88" s="21"/>
      <c r="IHW88" s="21"/>
      <c r="IHX88" s="21"/>
      <c r="IHY88" s="21"/>
      <c r="IHZ88" s="21"/>
      <c r="IIA88" s="21"/>
      <c r="IIB88" s="21"/>
      <c r="IIC88" s="21"/>
      <c r="IID88" s="21"/>
      <c r="IIE88" s="21"/>
      <c r="IIF88" s="21"/>
      <c r="IIG88" s="21"/>
      <c r="IIH88" s="21"/>
      <c r="III88" s="21"/>
      <c r="IIJ88" s="21"/>
      <c r="IIK88" s="21"/>
      <c r="IIL88" s="21"/>
      <c r="IIM88" s="21"/>
      <c r="IIN88" s="21"/>
      <c r="IIO88" s="21"/>
      <c r="IIP88" s="21"/>
      <c r="IIQ88" s="21"/>
      <c r="IIR88" s="21"/>
      <c r="IIS88" s="21"/>
      <c r="IIT88" s="21"/>
      <c r="IIU88" s="21"/>
      <c r="IIV88" s="21"/>
      <c r="IIW88" s="21"/>
      <c r="IIX88" s="21"/>
      <c r="IIY88" s="21"/>
      <c r="IIZ88" s="21"/>
      <c r="IJA88" s="21"/>
      <c r="IJB88" s="21"/>
      <c r="IJC88" s="21"/>
      <c r="IJD88" s="21"/>
      <c r="IJE88" s="21"/>
      <c r="IJF88" s="21"/>
      <c r="IJG88" s="21"/>
      <c r="IJH88" s="21"/>
      <c r="IJI88" s="21"/>
      <c r="IJJ88" s="21"/>
      <c r="IJK88" s="21"/>
      <c r="IJL88" s="21"/>
      <c r="IJM88" s="21"/>
      <c r="IJN88" s="21"/>
      <c r="IJO88" s="21"/>
      <c r="IJP88" s="21"/>
      <c r="IJQ88" s="21"/>
      <c r="IJR88" s="21"/>
      <c r="IJS88" s="21"/>
      <c r="IJT88" s="21"/>
      <c r="IJU88" s="21"/>
      <c r="IJV88" s="21"/>
      <c r="IJW88" s="21"/>
      <c r="IJX88" s="21"/>
      <c r="IJY88" s="21"/>
      <c r="IJZ88" s="21"/>
      <c r="IKA88" s="21"/>
      <c r="IKB88" s="21"/>
      <c r="IKC88" s="21"/>
      <c r="IKD88" s="21"/>
      <c r="IKE88" s="21"/>
      <c r="IKF88" s="21"/>
      <c r="IKG88" s="21"/>
      <c r="IKH88" s="21"/>
      <c r="IKI88" s="21"/>
      <c r="IKJ88" s="21"/>
      <c r="IKK88" s="21"/>
      <c r="IKL88" s="21"/>
      <c r="IKM88" s="21"/>
      <c r="IKN88" s="21"/>
      <c r="IKO88" s="21"/>
      <c r="IKP88" s="21"/>
      <c r="IKQ88" s="21"/>
      <c r="IKR88" s="21"/>
      <c r="IKS88" s="21"/>
      <c r="IKT88" s="21"/>
      <c r="IKU88" s="21"/>
      <c r="IKV88" s="21"/>
      <c r="IKW88" s="21"/>
      <c r="IKX88" s="21"/>
      <c r="IKY88" s="21"/>
      <c r="IKZ88" s="21"/>
      <c r="ILA88" s="21"/>
      <c r="ILB88" s="21"/>
      <c r="ILC88" s="21"/>
      <c r="ILD88" s="21"/>
      <c r="ILE88" s="21"/>
      <c r="ILF88" s="21"/>
      <c r="ILG88" s="21"/>
      <c r="ILH88" s="21"/>
      <c r="ILI88" s="21"/>
      <c r="ILJ88" s="21"/>
      <c r="ILK88" s="21"/>
      <c r="ILL88" s="21"/>
      <c r="ILM88" s="21"/>
      <c r="ILN88" s="21"/>
      <c r="ILO88" s="21"/>
      <c r="ILP88" s="21"/>
      <c r="ILQ88" s="21"/>
      <c r="ILR88" s="21"/>
      <c r="ILS88" s="21"/>
      <c r="ILT88" s="21"/>
      <c r="ILU88" s="21"/>
      <c r="ILV88" s="21"/>
      <c r="ILW88" s="21"/>
      <c r="ILX88" s="21"/>
      <c r="ILY88" s="21"/>
      <c r="ILZ88" s="21"/>
      <c r="IMA88" s="21"/>
      <c r="IMB88" s="21"/>
      <c r="IMC88" s="21"/>
      <c r="IMD88" s="21"/>
      <c r="IME88" s="21"/>
      <c r="IMF88" s="21"/>
      <c r="IMG88" s="21"/>
      <c r="IMH88" s="21"/>
      <c r="IMI88" s="21"/>
      <c r="IMJ88" s="21"/>
      <c r="IMK88" s="21"/>
      <c r="IML88" s="21"/>
      <c r="IMM88" s="21"/>
      <c r="IMN88" s="21"/>
      <c r="IMO88" s="21"/>
      <c r="IMP88" s="21"/>
      <c r="IMQ88" s="21"/>
      <c r="IMR88" s="21"/>
      <c r="IMS88" s="21"/>
      <c r="IMT88" s="21"/>
      <c r="IMU88" s="21"/>
      <c r="IMV88" s="21"/>
      <c r="IMW88" s="21"/>
      <c r="IMX88" s="21"/>
      <c r="IMY88" s="21"/>
      <c r="IMZ88" s="21"/>
      <c r="INA88" s="21"/>
      <c r="INB88" s="21"/>
      <c r="INC88" s="21"/>
      <c r="IND88" s="21"/>
      <c r="INE88" s="21"/>
      <c r="INF88" s="21"/>
      <c r="ING88" s="21"/>
      <c r="INH88" s="21"/>
      <c r="INI88" s="21"/>
      <c r="INJ88" s="21"/>
      <c r="INK88" s="21"/>
      <c r="INL88" s="21"/>
      <c r="INM88" s="21"/>
      <c r="INN88" s="21"/>
      <c r="INO88" s="21"/>
      <c r="INP88" s="21"/>
      <c r="INQ88" s="21"/>
      <c r="INR88" s="21"/>
      <c r="INS88" s="21"/>
      <c r="INT88" s="21"/>
      <c r="INU88" s="21"/>
      <c r="INV88" s="21"/>
      <c r="INW88" s="21"/>
      <c r="INX88" s="21"/>
      <c r="INY88" s="21"/>
      <c r="INZ88" s="21"/>
      <c r="IOA88" s="21"/>
      <c r="IOB88" s="21"/>
      <c r="IOC88" s="21"/>
      <c r="IOD88" s="21"/>
      <c r="IOE88" s="21"/>
      <c r="IOF88" s="21"/>
      <c r="IOG88" s="21"/>
      <c r="IOH88" s="21"/>
      <c r="IOI88" s="21"/>
      <c r="IOJ88" s="21"/>
      <c r="IOK88" s="21"/>
      <c r="IOL88" s="21"/>
      <c r="IOM88" s="21"/>
      <c r="ION88" s="21"/>
      <c r="IOO88" s="21"/>
      <c r="IOP88" s="21"/>
      <c r="IOQ88" s="21"/>
      <c r="IOR88" s="21"/>
      <c r="IOS88" s="21"/>
      <c r="IOT88" s="21"/>
      <c r="IOU88" s="21"/>
      <c r="IOV88" s="21"/>
      <c r="IOW88" s="21"/>
      <c r="IOX88" s="21"/>
      <c r="IOY88" s="21"/>
      <c r="IOZ88" s="21"/>
      <c r="IPA88" s="21"/>
      <c r="IPB88" s="21"/>
      <c r="IPC88" s="21"/>
      <c r="IPD88" s="21"/>
      <c r="IPE88" s="21"/>
      <c r="IPF88" s="21"/>
      <c r="IPG88" s="21"/>
      <c r="IPH88" s="21"/>
      <c r="IPI88" s="21"/>
      <c r="IPJ88" s="21"/>
      <c r="IPK88" s="21"/>
      <c r="IPL88" s="21"/>
      <c r="IPM88" s="21"/>
      <c r="IPN88" s="21"/>
      <c r="IPO88" s="21"/>
      <c r="IPP88" s="21"/>
      <c r="IPQ88" s="21"/>
      <c r="IPR88" s="21"/>
      <c r="IPS88" s="21"/>
      <c r="IPT88" s="21"/>
      <c r="IPU88" s="21"/>
      <c r="IPV88" s="21"/>
      <c r="IPW88" s="21"/>
      <c r="IPX88" s="21"/>
      <c r="IPY88" s="21"/>
      <c r="IPZ88" s="21"/>
      <c r="IQA88" s="21"/>
      <c r="IQB88" s="21"/>
      <c r="IQC88" s="21"/>
      <c r="IQD88" s="21"/>
      <c r="IQE88" s="21"/>
      <c r="IQF88" s="21"/>
      <c r="IQG88" s="21"/>
      <c r="IQH88" s="21"/>
      <c r="IQI88" s="21"/>
      <c r="IQJ88" s="21"/>
      <c r="IQK88" s="21"/>
      <c r="IQL88" s="21"/>
      <c r="IQM88" s="21"/>
      <c r="IQN88" s="21"/>
      <c r="IQO88" s="21"/>
      <c r="IQP88" s="21"/>
      <c r="IQQ88" s="21"/>
      <c r="IQR88" s="21"/>
      <c r="IQS88" s="21"/>
      <c r="IQT88" s="21"/>
      <c r="IQU88" s="21"/>
      <c r="IQV88" s="21"/>
      <c r="IQW88" s="21"/>
      <c r="IQX88" s="21"/>
      <c r="IQY88" s="21"/>
      <c r="IQZ88" s="21"/>
      <c r="IRA88" s="21"/>
      <c r="IRB88" s="21"/>
      <c r="IRC88" s="21"/>
      <c r="IRD88" s="21"/>
      <c r="IRE88" s="21"/>
      <c r="IRF88" s="21"/>
      <c r="IRG88" s="21"/>
      <c r="IRH88" s="21"/>
      <c r="IRI88" s="21"/>
      <c r="IRJ88" s="21"/>
      <c r="IRK88" s="21"/>
      <c r="IRL88" s="21"/>
      <c r="IRM88" s="21"/>
      <c r="IRN88" s="21"/>
      <c r="IRO88" s="21"/>
      <c r="IRP88" s="21"/>
      <c r="IRQ88" s="21"/>
      <c r="IRR88" s="21"/>
      <c r="IRS88" s="21"/>
      <c r="IRT88" s="21"/>
      <c r="IRU88" s="21"/>
      <c r="IRV88" s="21"/>
      <c r="IRW88" s="21"/>
      <c r="IRX88" s="21"/>
      <c r="IRY88" s="21"/>
      <c r="IRZ88" s="21"/>
      <c r="ISA88" s="21"/>
      <c r="ISB88" s="21"/>
      <c r="ISC88" s="21"/>
      <c r="ISD88" s="21"/>
      <c r="ISE88" s="21"/>
      <c r="ISF88" s="21"/>
      <c r="ISG88" s="21"/>
      <c r="ISH88" s="21"/>
      <c r="ISI88" s="21"/>
      <c r="ISJ88" s="21"/>
      <c r="ISK88" s="21"/>
      <c r="ISL88" s="21"/>
      <c r="ISM88" s="21"/>
      <c r="ISN88" s="21"/>
      <c r="ISO88" s="21"/>
      <c r="ISP88" s="21"/>
      <c r="ISQ88" s="21"/>
      <c r="ISR88" s="21"/>
      <c r="ISS88" s="21"/>
      <c r="IST88" s="21"/>
      <c r="ISU88" s="21"/>
      <c r="ISV88" s="21"/>
      <c r="ISW88" s="21"/>
      <c r="ISX88" s="21"/>
      <c r="ISY88" s="21"/>
      <c r="ISZ88" s="21"/>
      <c r="ITA88" s="21"/>
      <c r="ITB88" s="21"/>
      <c r="ITC88" s="21"/>
      <c r="ITD88" s="21"/>
      <c r="ITE88" s="21"/>
      <c r="ITF88" s="21"/>
      <c r="ITG88" s="21"/>
      <c r="ITH88" s="21"/>
      <c r="ITI88" s="21"/>
      <c r="ITJ88" s="21"/>
      <c r="ITK88" s="21"/>
      <c r="ITL88" s="21"/>
      <c r="ITM88" s="21"/>
      <c r="ITN88" s="21"/>
      <c r="ITO88" s="21"/>
      <c r="ITP88" s="21"/>
      <c r="ITQ88" s="21"/>
      <c r="ITR88" s="21"/>
      <c r="ITS88" s="21"/>
      <c r="ITT88" s="21"/>
      <c r="ITU88" s="21"/>
      <c r="ITV88" s="21"/>
      <c r="ITW88" s="21"/>
      <c r="ITX88" s="21"/>
      <c r="ITY88" s="21"/>
      <c r="ITZ88" s="21"/>
      <c r="IUA88" s="21"/>
      <c r="IUB88" s="21"/>
      <c r="IUC88" s="21"/>
      <c r="IUD88" s="21"/>
      <c r="IUE88" s="21"/>
      <c r="IUF88" s="21"/>
      <c r="IUG88" s="21"/>
      <c r="IUH88" s="21"/>
      <c r="IUI88" s="21"/>
      <c r="IUJ88" s="21"/>
      <c r="IUK88" s="21"/>
      <c r="IUL88" s="21"/>
      <c r="IUM88" s="21"/>
      <c r="IUN88" s="21"/>
      <c r="IUO88" s="21"/>
      <c r="IUP88" s="21"/>
      <c r="IUQ88" s="21"/>
      <c r="IUR88" s="21"/>
      <c r="IUS88" s="21"/>
      <c r="IUT88" s="21"/>
      <c r="IUU88" s="21"/>
      <c r="IUV88" s="21"/>
      <c r="IUW88" s="21"/>
      <c r="IUX88" s="21"/>
      <c r="IUY88" s="21"/>
      <c r="IUZ88" s="21"/>
      <c r="IVA88" s="21"/>
      <c r="IVB88" s="21"/>
      <c r="IVC88" s="21"/>
      <c r="IVD88" s="21"/>
      <c r="IVE88" s="21"/>
      <c r="IVF88" s="21"/>
      <c r="IVG88" s="21"/>
      <c r="IVH88" s="21"/>
      <c r="IVI88" s="21"/>
      <c r="IVJ88" s="21"/>
      <c r="IVK88" s="21"/>
      <c r="IVL88" s="21"/>
      <c r="IVM88" s="21"/>
      <c r="IVN88" s="21"/>
      <c r="IVO88" s="21"/>
      <c r="IVP88" s="21"/>
      <c r="IVQ88" s="21"/>
      <c r="IVR88" s="21"/>
      <c r="IVS88" s="21"/>
      <c r="IVT88" s="21"/>
      <c r="IVU88" s="21"/>
      <c r="IVV88" s="21"/>
      <c r="IVW88" s="21"/>
      <c r="IVX88" s="21"/>
      <c r="IVY88" s="21"/>
      <c r="IVZ88" s="21"/>
      <c r="IWA88" s="21"/>
      <c r="IWB88" s="21"/>
      <c r="IWC88" s="21"/>
      <c r="IWD88" s="21"/>
      <c r="IWE88" s="21"/>
      <c r="IWF88" s="21"/>
      <c r="IWG88" s="21"/>
      <c r="IWH88" s="21"/>
      <c r="IWI88" s="21"/>
      <c r="IWJ88" s="21"/>
      <c r="IWK88" s="21"/>
      <c r="IWL88" s="21"/>
      <c r="IWM88" s="21"/>
      <c r="IWN88" s="21"/>
      <c r="IWO88" s="21"/>
      <c r="IWP88" s="21"/>
      <c r="IWQ88" s="21"/>
      <c r="IWR88" s="21"/>
      <c r="IWS88" s="21"/>
      <c r="IWT88" s="21"/>
      <c r="IWU88" s="21"/>
      <c r="IWV88" s="21"/>
      <c r="IWW88" s="21"/>
      <c r="IWX88" s="21"/>
      <c r="IWY88" s="21"/>
      <c r="IWZ88" s="21"/>
      <c r="IXA88" s="21"/>
      <c r="IXB88" s="21"/>
      <c r="IXC88" s="21"/>
      <c r="IXD88" s="21"/>
      <c r="IXE88" s="21"/>
      <c r="IXF88" s="21"/>
      <c r="IXG88" s="21"/>
      <c r="IXH88" s="21"/>
      <c r="IXI88" s="21"/>
      <c r="IXJ88" s="21"/>
      <c r="IXK88" s="21"/>
      <c r="IXL88" s="21"/>
      <c r="IXM88" s="21"/>
      <c r="IXN88" s="21"/>
      <c r="IXO88" s="21"/>
      <c r="IXP88" s="21"/>
      <c r="IXQ88" s="21"/>
      <c r="IXR88" s="21"/>
      <c r="IXS88" s="21"/>
      <c r="IXT88" s="21"/>
      <c r="IXU88" s="21"/>
      <c r="IXV88" s="21"/>
      <c r="IXW88" s="21"/>
      <c r="IXX88" s="21"/>
      <c r="IXY88" s="21"/>
      <c r="IXZ88" s="21"/>
      <c r="IYA88" s="21"/>
      <c r="IYB88" s="21"/>
      <c r="IYC88" s="21"/>
      <c r="IYD88" s="21"/>
      <c r="IYE88" s="21"/>
      <c r="IYF88" s="21"/>
      <c r="IYG88" s="21"/>
      <c r="IYH88" s="21"/>
      <c r="IYI88" s="21"/>
      <c r="IYJ88" s="21"/>
      <c r="IYK88" s="21"/>
      <c r="IYL88" s="21"/>
      <c r="IYM88" s="21"/>
      <c r="IYN88" s="21"/>
      <c r="IYO88" s="21"/>
      <c r="IYP88" s="21"/>
      <c r="IYQ88" s="21"/>
      <c r="IYR88" s="21"/>
      <c r="IYS88" s="21"/>
      <c r="IYT88" s="21"/>
      <c r="IYU88" s="21"/>
      <c r="IYV88" s="21"/>
      <c r="IYW88" s="21"/>
      <c r="IYX88" s="21"/>
      <c r="IYY88" s="21"/>
      <c r="IYZ88" s="21"/>
      <c r="IZA88" s="21"/>
      <c r="IZB88" s="21"/>
      <c r="IZC88" s="21"/>
      <c r="IZD88" s="21"/>
      <c r="IZE88" s="21"/>
      <c r="IZF88" s="21"/>
      <c r="IZG88" s="21"/>
      <c r="IZH88" s="21"/>
      <c r="IZI88" s="21"/>
      <c r="IZJ88" s="21"/>
      <c r="IZK88" s="21"/>
      <c r="IZL88" s="21"/>
      <c r="IZM88" s="21"/>
      <c r="IZN88" s="21"/>
      <c r="IZO88" s="21"/>
      <c r="IZP88" s="21"/>
      <c r="IZQ88" s="21"/>
      <c r="IZR88" s="21"/>
      <c r="IZS88" s="21"/>
      <c r="IZT88" s="21"/>
      <c r="IZU88" s="21"/>
      <c r="IZV88" s="21"/>
      <c r="IZW88" s="21"/>
      <c r="IZX88" s="21"/>
      <c r="IZY88" s="21"/>
      <c r="IZZ88" s="21"/>
      <c r="JAA88" s="21"/>
      <c r="JAB88" s="21"/>
      <c r="JAC88" s="21"/>
      <c r="JAD88" s="21"/>
      <c r="JAE88" s="21"/>
      <c r="JAF88" s="21"/>
      <c r="JAG88" s="21"/>
      <c r="JAH88" s="21"/>
      <c r="JAI88" s="21"/>
      <c r="JAJ88" s="21"/>
      <c r="JAK88" s="21"/>
      <c r="JAL88" s="21"/>
      <c r="JAM88" s="21"/>
      <c r="JAN88" s="21"/>
      <c r="JAO88" s="21"/>
      <c r="JAP88" s="21"/>
      <c r="JAQ88" s="21"/>
      <c r="JAR88" s="21"/>
      <c r="JAS88" s="21"/>
      <c r="JAT88" s="21"/>
      <c r="JAU88" s="21"/>
      <c r="JAV88" s="21"/>
      <c r="JAW88" s="21"/>
      <c r="JAX88" s="21"/>
      <c r="JAY88" s="21"/>
      <c r="JAZ88" s="21"/>
      <c r="JBA88" s="21"/>
      <c r="JBB88" s="21"/>
      <c r="JBC88" s="21"/>
      <c r="JBD88" s="21"/>
      <c r="JBE88" s="21"/>
      <c r="JBF88" s="21"/>
      <c r="JBG88" s="21"/>
      <c r="JBH88" s="21"/>
      <c r="JBI88" s="21"/>
      <c r="JBJ88" s="21"/>
      <c r="JBK88" s="21"/>
      <c r="JBL88" s="21"/>
      <c r="JBM88" s="21"/>
      <c r="JBN88" s="21"/>
      <c r="JBO88" s="21"/>
      <c r="JBP88" s="21"/>
      <c r="JBQ88" s="21"/>
      <c r="JBR88" s="21"/>
      <c r="JBS88" s="21"/>
      <c r="JBT88" s="21"/>
      <c r="JBU88" s="21"/>
      <c r="JBV88" s="21"/>
      <c r="JBW88" s="21"/>
      <c r="JBX88" s="21"/>
      <c r="JBY88" s="21"/>
      <c r="JBZ88" s="21"/>
      <c r="JCA88" s="21"/>
      <c r="JCB88" s="21"/>
      <c r="JCC88" s="21"/>
      <c r="JCD88" s="21"/>
      <c r="JCE88" s="21"/>
      <c r="JCF88" s="21"/>
      <c r="JCG88" s="21"/>
      <c r="JCH88" s="21"/>
      <c r="JCI88" s="21"/>
      <c r="JCJ88" s="21"/>
      <c r="JCK88" s="21"/>
      <c r="JCL88" s="21"/>
      <c r="JCM88" s="21"/>
      <c r="JCN88" s="21"/>
      <c r="JCO88" s="21"/>
      <c r="JCP88" s="21"/>
      <c r="JCQ88" s="21"/>
      <c r="JCR88" s="21"/>
      <c r="JCS88" s="21"/>
      <c r="JCT88" s="21"/>
      <c r="JCU88" s="21"/>
      <c r="JCV88" s="21"/>
      <c r="JCW88" s="21"/>
      <c r="JCX88" s="21"/>
      <c r="JCY88" s="21"/>
      <c r="JCZ88" s="21"/>
      <c r="JDA88" s="21"/>
      <c r="JDB88" s="21"/>
      <c r="JDC88" s="21"/>
      <c r="JDD88" s="21"/>
      <c r="JDE88" s="21"/>
      <c r="JDF88" s="21"/>
      <c r="JDG88" s="21"/>
      <c r="JDH88" s="21"/>
      <c r="JDI88" s="21"/>
      <c r="JDJ88" s="21"/>
      <c r="JDK88" s="21"/>
      <c r="JDL88" s="21"/>
      <c r="JDM88" s="21"/>
      <c r="JDN88" s="21"/>
      <c r="JDO88" s="21"/>
      <c r="JDP88" s="21"/>
      <c r="JDQ88" s="21"/>
      <c r="JDR88" s="21"/>
      <c r="JDS88" s="21"/>
      <c r="JDT88" s="21"/>
      <c r="JDU88" s="21"/>
      <c r="JDV88" s="21"/>
      <c r="JDW88" s="21"/>
      <c r="JDX88" s="21"/>
      <c r="JDY88" s="21"/>
      <c r="JDZ88" s="21"/>
      <c r="JEA88" s="21"/>
      <c r="JEB88" s="21"/>
      <c r="JEC88" s="21"/>
      <c r="JED88" s="21"/>
      <c r="JEE88" s="21"/>
      <c r="JEF88" s="21"/>
      <c r="JEG88" s="21"/>
      <c r="JEH88" s="21"/>
      <c r="JEI88" s="21"/>
      <c r="JEJ88" s="21"/>
      <c r="JEK88" s="21"/>
      <c r="JEL88" s="21"/>
      <c r="JEM88" s="21"/>
      <c r="JEN88" s="21"/>
      <c r="JEO88" s="21"/>
      <c r="JEP88" s="21"/>
      <c r="JEQ88" s="21"/>
      <c r="JER88" s="21"/>
      <c r="JES88" s="21"/>
      <c r="JET88" s="21"/>
      <c r="JEU88" s="21"/>
      <c r="JEV88" s="21"/>
      <c r="JEW88" s="21"/>
      <c r="JEX88" s="21"/>
      <c r="JEY88" s="21"/>
      <c r="JEZ88" s="21"/>
      <c r="JFA88" s="21"/>
      <c r="JFB88" s="21"/>
      <c r="JFC88" s="21"/>
      <c r="JFD88" s="21"/>
      <c r="JFE88" s="21"/>
      <c r="JFF88" s="21"/>
      <c r="JFG88" s="21"/>
      <c r="JFH88" s="21"/>
      <c r="JFI88" s="21"/>
      <c r="JFJ88" s="21"/>
      <c r="JFK88" s="21"/>
      <c r="JFL88" s="21"/>
      <c r="JFM88" s="21"/>
      <c r="JFN88" s="21"/>
      <c r="JFO88" s="21"/>
      <c r="JFP88" s="21"/>
      <c r="JFQ88" s="21"/>
      <c r="JFR88" s="21"/>
      <c r="JFS88" s="21"/>
      <c r="JFT88" s="21"/>
      <c r="JFU88" s="21"/>
      <c r="JFV88" s="21"/>
      <c r="JFW88" s="21"/>
      <c r="JFX88" s="21"/>
      <c r="JFY88" s="21"/>
      <c r="JFZ88" s="21"/>
      <c r="JGA88" s="21"/>
      <c r="JGB88" s="21"/>
      <c r="JGC88" s="21"/>
      <c r="JGD88" s="21"/>
      <c r="JGE88" s="21"/>
      <c r="JGF88" s="21"/>
      <c r="JGG88" s="21"/>
      <c r="JGH88" s="21"/>
      <c r="JGI88" s="21"/>
      <c r="JGJ88" s="21"/>
      <c r="JGK88" s="21"/>
      <c r="JGL88" s="21"/>
      <c r="JGM88" s="21"/>
      <c r="JGN88" s="21"/>
      <c r="JGO88" s="21"/>
      <c r="JGP88" s="21"/>
      <c r="JGQ88" s="21"/>
      <c r="JGR88" s="21"/>
      <c r="JGS88" s="21"/>
      <c r="JGT88" s="21"/>
      <c r="JGU88" s="21"/>
      <c r="JGV88" s="21"/>
      <c r="JGW88" s="21"/>
      <c r="JGX88" s="21"/>
      <c r="JGY88" s="21"/>
      <c r="JGZ88" s="21"/>
      <c r="JHA88" s="21"/>
      <c r="JHB88" s="21"/>
      <c r="JHC88" s="21"/>
      <c r="JHD88" s="21"/>
      <c r="JHE88" s="21"/>
      <c r="JHF88" s="21"/>
      <c r="JHG88" s="21"/>
      <c r="JHH88" s="21"/>
      <c r="JHI88" s="21"/>
      <c r="JHJ88" s="21"/>
      <c r="JHK88" s="21"/>
      <c r="JHL88" s="21"/>
      <c r="JHM88" s="21"/>
      <c r="JHN88" s="21"/>
      <c r="JHO88" s="21"/>
      <c r="JHP88" s="21"/>
      <c r="JHQ88" s="21"/>
      <c r="JHR88" s="21"/>
      <c r="JHS88" s="21"/>
      <c r="JHT88" s="21"/>
      <c r="JHU88" s="21"/>
      <c r="JHV88" s="21"/>
      <c r="JHW88" s="21"/>
      <c r="JHX88" s="21"/>
      <c r="JHY88" s="21"/>
      <c r="JHZ88" s="21"/>
      <c r="JIA88" s="21"/>
      <c r="JIB88" s="21"/>
      <c r="JIC88" s="21"/>
      <c r="JID88" s="21"/>
      <c r="JIE88" s="21"/>
      <c r="JIF88" s="21"/>
      <c r="JIG88" s="21"/>
      <c r="JIH88" s="21"/>
      <c r="JII88" s="21"/>
      <c r="JIJ88" s="21"/>
      <c r="JIK88" s="21"/>
      <c r="JIL88" s="21"/>
      <c r="JIM88" s="21"/>
      <c r="JIN88" s="21"/>
      <c r="JIO88" s="21"/>
      <c r="JIP88" s="21"/>
      <c r="JIQ88" s="21"/>
      <c r="JIR88" s="21"/>
      <c r="JIS88" s="21"/>
      <c r="JIT88" s="21"/>
      <c r="JIU88" s="21"/>
      <c r="JIV88" s="21"/>
      <c r="JIW88" s="21"/>
      <c r="JIX88" s="21"/>
      <c r="JIY88" s="21"/>
      <c r="JIZ88" s="21"/>
      <c r="JJA88" s="21"/>
      <c r="JJB88" s="21"/>
      <c r="JJC88" s="21"/>
      <c r="JJD88" s="21"/>
      <c r="JJE88" s="21"/>
      <c r="JJF88" s="21"/>
      <c r="JJG88" s="21"/>
      <c r="JJH88" s="21"/>
      <c r="JJI88" s="21"/>
      <c r="JJJ88" s="21"/>
      <c r="JJK88" s="21"/>
      <c r="JJL88" s="21"/>
      <c r="JJM88" s="21"/>
      <c r="JJN88" s="21"/>
      <c r="JJO88" s="21"/>
      <c r="JJP88" s="21"/>
      <c r="JJQ88" s="21"/>
      <c r="JJR88" s="21"/>
      <c r="JJS88" s="21"/>
      <c r="JJT88" s="21"/>
      <c r="JJU88" s="21"/>
      <c r="JJV88" s="21"/>
      <c r="JJW88" s="21"/>
      <c r="JJX88" s="21"/>
      <c r="JJY88" s="21"/>
      <c r="JJZ88" s="21"/>
      <c r="JKA88" s="21"/>
      <c r="JKB88" s="21"/>
      <c r="JKC88" s="21"/>
      <c r="JKD88" s="21"/>
      <c r="JKE88" s="21"/>
      <c r="JKF88" s="21"/>
      <c r="JKG88" s="21"/>
      <c r="JKH88" s="21"/>
      <c r="JKI88" s="21"/>
      <c r="JKJ88" s="21"/>
      <c r="JKK88" s="21"/>
      <c r="JKL88" s="21"/>
      <c r="JKM88" s="21"/>
      <c r="JKN88" s="21"/>
      <c r="JKO88" s="21"/>
      <c r="JKP88" s="21"/>
      <c r="JKQ88" s="21"/>
      <c r="JKR88" s="21"/>
      <c r="JKS88" s="21"/>
      <c r="JKT88" s="21"/>
      <c r="JKU88" s="21"/>
      <c r="JKV88" s="21"/>
      <c r="JKW88" s="21"/>
      <c r="JKX88" s="21"/>
      <c r="JKY88" s="21"/>
      <c r="JKZ88" s="21"/>
      <c r="JLA88" s="21"/>
      <c r="JLB88" s="21"/>
      <c r="JLC88" s="21"/>
      <c r="JLD88" s="21"/>
      <c r="JLE88" s="21"/>
      <c r="JLF88" s="21"/>
      <c r="JLG88" s="21"/>
      <c r="JLH88" s="21"/>
      <c r="JLI88" s="21"/>
      <c r="JLJ88" s="21"/>
      <c r="JLK88" s="21"/>
      <c r="JLL88" s="21"/>
      <c r="JLM88" s="21"/>
      <c r="JLN88" s="21"/>
      <c r="JLO88" s="21"/>
      <c r="JLP88" s="21"/>
      <c r="JLQ88" s="21"/>
      <c r="JLR88" s="21"/>
      <c r="JLS88" s="21"/>
      <c r="JLT88" s="21"/>
      <c r="JLU88" s="21"/>
      <c r="JLV88" s="21"/>
      <c r="JLW88" s="21"/>
      <c r="JLX88" s="21"/>
      <c r="JLY88" s="21"/>
      <c r="JLZ88" s="21"/>
      <c r="JMA88" s="21"/>
      <c r="JMB88" s="21"/>
      <c r="JMC88" s="21"/>
      <c r="JMD88" s="21"/>
      <c r="JME88" s="21"/>
      <c r="JMF88" s="21"/>
      <c r="JMG88" s="21"/>
      <c r="JMH88" s="21"/>
      <c r="JMI88" s="21"/>
      <c r="JMJ88" s="21"/>
      <c r="JMK88" s="21"/>
      <c r="JML88" s="21"/>
      <c r="JMM88" s="21"/>
      <c r="JMN88" s="21"/>
      <c r="JMO88" s="21"/>
      <c r="JMP88" s="21"/>
      <c r="JMQ88" s="21"/>
      <c r="JMR88" s="21"/>
      <c r="JMS88" s="21"/>
      <c r="JMT88" s="21"/>
      <c r="JMU88" s="21"/>
      <c r="JMV88" s="21"/>
      <c r="JMW88" s="21"/>
      <c r="JMX88" s="21"/>
      <c r="JMY88" s="21"/>
      <c r="JMZ88" s="21"/>
      <c r="JNA88" s="21"/>
      <c r="JNB88" s="21"/>
      <c r="JNC88" s="21"/>
      <c r="JND88" s="21"/>
      <c r="JNE88" s="21"/>
      <c r="JNF88" s="21"/>
      <c r="JNG88" s="21"/>
      <c r="JNH88" s="21"/>
      <c r="JNI88" s="21"/>
      <c r="JNJ88" s="21"/>
      <c r="JNK88" s="21"/>
      <c r="JNL88" s="21"/>
      <c r="JNM88" s="21"/>
      <c r="JNN88" s="21"/>
      <c r="JNO88" s="21"/>
      <c r="JNP88" s="21"/>
      <c r="JNQ88" s="21"/>
      <c r="JNR88" s="21"/>
      <c r="JNS88" s="21"/>
      <c r="JNT88" s="21"/>
      <c r="JNU88" s="21"/>
      <c r="JNV88" s="21"/>
      <c r="JNW88" s="21"/>
      <c r="JNX88" s="21"/>
      <c r="JNY88" s="21"/>
      <c r="JNZ88" s="21"/>
      <c r="JOA88" s="21"/>
      <c r="JOB88" s="21"/>
      <c r="JOC88" s="21"/>
      <c r="JOD88" s="21"/>
      <c r="JOE88" s="21"/>
      <c r="JOF88" s="21"/>
      <c r="JOG88" s="21"/>
      <c r="JOH88" s="21"/>
      <c r="JOI88" s="21"/>
      <c r="JOJ88" s="21"/>
      <c r="JOK88" s="21"/>
      <c r="JOL88" s="21"/>
      <c r="JOM88" s="21"/>
      <c r="JON88" s="21"/>
      <c r="JOO88" s="21"/>
      <c r="JOP88" s="21"/>
      <c r="JOQ88" s="21"/>
      <c r="JOR88" s="21"/>
      <c r="JOS88" s="21"/>
      <c r="JOT88" s="21"/>
      <c r="JOU88" s="21"/>
      <c r="JOV88" s="21"/>
      <c r="JOW88" s="21"/>
      <c r="JOX88" s="21"/>
      <c r="JOY88" s="21"/>
      <c r="JOZ88" s="21"/>
      <c r="JPA88" s="21"/>
      <c r="JPB88" s="21"/>
      <c r="JPC88" s="21"/>
      <c r="JPD88" s="21"/>
      <c r="JPE88" s="21"/>
      <c r="JPF88" s="21"/>
      <c r="JPG88" s="21"/>
      <c r="JPH88" s="21"/>
      <c r="JPI88" s="21"/>
      <c r="JPJ88" s="21"/>
      <c r="JPK88" s="21"/>
      <c r="JPL88" s="21"/>
      <c r="JPM88" s="21"/>
      <c r="JPN88" s="21"/>
      <c r="JPO88" s="21"/>
      <c r="JPP88" s="21"/>
      <c r="JPQ88" s="21"/>
      <c r="JPR88" s="21"/>
      <c r="JPS88" s="21"/>
      <c r="JPT88" s="21"/>
      <c r="JPU88" s="21"/>
      <c r="JPV88" s="21"/>
      <c r="JPW88" s="21"/>
      <c r="JPX88" s="21"/>
      <c r="JPY88" s="21"/>
      <c r="JPZ88" s="21"/>
      <c r="JQA88" s="21"/>
      <c r="JQB88" s="21"/>
      <c r="JQC88" s="21"/>
      <c r="JQD88" s="21"/>
      <c r="JQE88" s="21"/>
      <c r="JQF88" s="21"/>
      <c r="JQG88" s="21"/>
      <c r="JQH88" s="21"/>
      <c r="JQI88" s="21"/>
      <c r="JQJ88" s="21"/>
      <c r="JQK88" s="21"/>
      <c r="JQL88" s="21"/>
      <c r="JQM88" s="21"/>
      <c r="JQN88" s="21"/>
      <c r="JQO88" s="21"/>
      <c r="JQP88" s="21"/>
      <c r="JQQ88" s="21"/>
      <c r="JQR88" s="21"/>
      <c r="JQS88" s="21"/>
      <c r="JQT88" s="21"/>
      <c r="JQU88" s="21"/>
      <c r="JQV88" s="21"/>
      <c r="JQW88" s="21"/>
      <c r="JQX88" s="21"/>
      <c r="JQY88" s="21"/>
      <c r="JQZ88" s="21"/>
      <c r="JRA88" s="21"/>
      <c r="JRB88" s="21"/>
      <c r="JRC88" s="21"/>
      <c r="JRD88" s="21"/>
      <c r="JRE88" s="21"/>
      <c r="JRF88" s="21"/>
      <c r="JRG88" s="21"/>
      <c r="JRH88" s="21"/>
      <c r="JRI88" s="21"/>
      <c r="JRJ88" s="21"/>
      <c r="JRK88" s="21"/>
      <c r="JRL88" s="21"/>
      <c r="JRM88" s="21"/>
      <c r="JRN88" s="21"/>
      <c r="JRO88" s="21"/>
      <c r="JRP88" s="21"/>
      <c r="JRQ88" s="21"/>
      <c r="JRR88" s="21"/>
      <c r="JRS88" s="21"/>
      <c r="JRT88" s="21"/>
      <c r="JRU88" s="21"/>
      <c r="JRV88" s="21"/>
      <c r="JRW88" s="21"/>
      <c r="JRX88" s="21"/>
      <c r="JRY88" s="21"/>
      <c r="JRZ88" s="21"/>
      <c r="JSA88" s="21"/>
      <c r="JSB88" s="21"/>
      <c r="JSC88" s="21"/>
      <c r="JSD88" s="21"/>
      <c r="JSE88" s="21"/>
      <c r="JSF88" s="21"/>
      <c r="JSG88" s="21"/>
      <c r="JSH88" s="21"/>
      <c r="JSI88" s="21"/>
      <c r="JSJ88" s="21"/>
      <c r="JSK88" s="21"/>
      <c r="JSL88" s="21"/>
      <c r="JSM88" s="21"/>
      <c r="JSN88" s="21"/>
      <c r="JSO88" s="21"/>
      <c r="JSP88" s="21"/>
      <c r="JSQ88" s="21"/>
      <c r="JSR88" s="21"/>
      <c r="JSS88" s="21"/>
      <c r="JST88" s="21"/>
      <c r="JSU88" s="21"/>
      <c r="JSV88" s="21"/>
      <c r="JSW88" s="21"/>
      <c r="JSX88" s="21"/>
      <c r="JSY88" s="21"/>
      <c r="JSZ88" s="21"/>
      <c r="JTA88" s="21"/>
      <c r="JTB88" s="21"/>
      <c r="JTC88" s="21"/>
      <c r="JTD88" s="21"/>
      <c r="JTE88" s="21"/>
      <c r="JTF88" s="21"/>
      <c r="JTG88" s="21"/>
      <c r="JTH88" s="21"/>
      <c r="JTI88" s="21"/>
      <c r="JTJ88" s="21"/>
      <c r="JTK88" s="21"/>
      <c r="JTL88" s="21"/>
      <c r="JTM88" s="21"/>
      <c r="JTN88" s="21"/>
      <c r="JTO88" s="21"/>
      <c r="JTP88" s="21"/>
      <c r="JTQ88" s="21"/>
      <c r="JTR88" s="21"/>
      <c r="JTS88" s="21"/>
      <c r="JTT88" s="21"/>
      <c r="JTU88" s="21"/>
      <c r="JTV88" s="21"/>
      <c r="JTW88" s="21"/>
      <c r="JTX88" s="21"/>
      <c r="JTY88" s="21"/>
      <c r="JTZ88" s="21"/>
      <c r="JUA88" s="21"/>
      <c r="JUB88" s="21"/>
      <c r="JUC88" s="21"/>
      <c r="JUD88" s="21"/>
      <c r="JUE88" s="21"/>
      <c r="JUF88" s="21"/>
      <c r="JUG88" s="21"/>
      <c r="JUH88" s="21"/>
      <c r="JUI88" s="21"/>
      <c r="JUJ88" s="21"/>
      <c r="JUK88" s="21"/>
      <c r="JUL88" s="21"/>
      <c r="JUM88" s="21"/>
      <c r="JUN88" s="21"/>
      <c r="JUO88" s="21"/>
      <c r="JUP88" s="21"/>
      <c r="JUQ88" s="21"/>
      <c r="JUR88" s="21"/>
      <c r="JUS88" s="21"/>
      <c r="JUT88" s="21"/>
      <c r="JUU88" s="21"/>
      <c r="JUV88" s="21"/>
      <c r="JUW88" s="21"/>
      <c r="JUX88" s="21"/>
      <c r="JUY88" s="21"/>
      <c r="JUZ88" s="21"/>
      <c r="JVA88" s="21"/>
      <c r="JVB88" s="21"/>
      <c r="JVC88" s="21"/>
      <c r="JVD88" s="21"/>
      <c r="JVE88" s="21"/>
      <c r="JVF88" s="21"/>
      <c r="JVG88" s="21"/>
      <c r="JVH88" s="21"/>
      <c r="JVI88" s="21"/>
      <c r="JVJ88" s="21"/>
      <c r="JVK88" s="21"/>
      <c r="JVL88" s="21"/>
      <c r="JVM88" s="21"/>
      <c r="JVN88" s="21"/>
      <c r="JVO88" s="21"/>
      <c r="JVP88" s="21"/>
      <c r="JVQ88" s="21"/>
      <c r="JVR88" s="21"/>
      <c r="JVS88" s="21"/>
      <c r="JVT88" s="21"/>
      <c r="JVU88" s="21"/>
      <c r="JVV88" s="21"/>
      <c r="JVW88" s="21"/>
      <c r="JVX88" s="21"/>
      <c r="JVY88" s="21"/>
      <c r="JVZ88" s="21"/>
      <c r="JWA88" s="21"/>
      <c r="JWB88" s="21"/>
      <c r="JWC88" s="21"/>
      <c r="JWD88" s="21"/>
      <c r="JWE88" s="21"/>
      <c r="JWF88" s="21"/>
      <c r="JWG88" s="21"/>
      <c r="JWH88" s="21"/>
      <c r="JWI88" s="21"/>
      <c r="JWJ88" s="21"/>
      <c r="JWK88" s="21"/>
      <c r="JWL88" s="21"/>
      <c r="JWM88" s="21"/>
      <c r="JWN88" s="21"/>
      <c r="JWO88" s="21"/>
      <c r="JWP88" s="21"/>
      <c r="JWQ88" s="21"/>
      <c r="JWR88" s="21"/>
      <c r="JWS88" s="21"/>
      <c r="JWT88" s="21"/>
      <c r="JWU88" s="21"/>
      <c r="JWV88" s="21"/>
      <c r="JWW88" s="21"/>
      <c r="JWX88" s="21"/>
      <c r="JWY88" s="21"/>
      <c r="JWZ88" s="21"/>
      <c r="JXA88" s="21"/>
      <c r="JXB88" s="21"/>
      <c r="JXC88" s="21"/>
      <c r="JXD88" s="21"/>
      <c r="JXE88" s="21"/>
      <c r="JXF88" s="21"/>
      <c r="JXG88" s="21"/>
      <c r="JXH88" s="21"/>
      <c r="JXI88" s="21"/>
      <c r="JXJ88" s="21"/>
      <c r="JXK88" s="21"/>
      <c r="JXL88" s="21"/>
      <c r="JXM88" s="21"/>
      <c r="JXN88" s="21"/>
      <c r="JXO88" s="21"/>
      <c r="JXP88" s="21"/>
      <c r="JXQ88" s="21"/>
      <c r="JXR88" s="21"/>
      <c r="JXS88" s="21"/>
      <c r="JXT88" s="21"/>
      <c r="JXU88" s="21"/>
      <c r="JXV88" s="21"/>
      <c r="JXW88" s="21"/>
      <c r="JXX88" s="21"/>
      <c r="JXY88" s="21"/>
      <c r="JXZ88" s="21"/>
      <c r="JYA88" s="21"/>
      <c r="JYB88" s="21"/>
      <c r="JYC88" s="21"/>
      <c r="JYD88" s="21"/>
      <c r="JYE88" s="21"/>
      <c r="JYF88" s="21"/>
      <c r="JYG88" s="21"/>
      <c r="JYH88" s="21"/>
      <c r="JYI88" s="21"/>
      <c r="JYJ88" s="21"/>
      <c r="JYK88" s="21"/>
      <c r="JYL88" s="21"/>
      <c r="JYM88" s="21"/>
      <c r="JYN88" s="21"/>
      <c r="JYO88" s="21"/>
      <c r="JYP88" s="21"/>
      <c r="JYQ88" s="21"/>
      <c r="JYR88" s="21"/>
      <c r="JYS88" s="21"/>
      <c r="JYT88" s="21"/>
      <c r="JYU88" s="21"/>
      <c r="JYV88" s="21"/>
      <c r="JYW88" s="21"/>
      <c r="JYX88" s="21"/>
      <c r="JYY88" s="21"/>
      <c r="JYZ88" s="21"/>
      <c r="JZA88" s="21"/>
      <c r="JZB88" s="21"/>
      <c r="JZC88" s="21"/>
      <c r="JZD88" s="21"/>
      <c r="JZE88" s="21"/>
      <c r="JZF88" s="21"/>
      <c r="JZG88" s="21"/>
      <c r="JZH88" s="21"/>
      <c r="JZI88" s="21"/>
      <c r="JZJ88" s="21"/>
      <c r="JZK88" s="21"/>
      <c r="JZL88" s="21"/>
      <c r="JZM88" s="21"/>
      <c r="JZN88" s="21"/>
      <c r="JZO88" s="21"/>
      <c r="JZP88" s="21"/>
      <c r="JZQ88" s="21"/>
      <c r="JZR88" s="21"/>
      <c r="JZS88" s="21"/>
      <c r="JZT88" s="21"/>
      <c r="JZU88" s="21"/>
      <c r="JZV88" s="21"/>
      <c r="JZW88" s="21"/>
      <c r="JZX88" s="21"/>
      <c r="JZY88" s="21"/>
      <c r="JZZ88" s="21"/>
      <c r="KAA88" s="21"/>
      <c r="KAB88" s="21"/>
      <c r="KAC88" s="21"/>
      <c r="KAD88" s="21"/>
      <c r="KAE88" s="21"/>
      <c r="KAF88" s="21"/>
      <c r="KAG88" s="21"/>
      <c r="KAH88" s="21"/>
      <c r="KAI88" s="21"/>
      <c r="KAJ88" s="21"/>
      <c r="KAK88" s="21"/>
      <c r="KAL88" s="21"/>
      <c r="KAM88" s="21"/>
      <c r="KAN88" s="21"/>
      <c r="KAO88" s="21"/>
      <c r="KAP88" s="21"/>
      <c r="KAQ88" s="21"/>
      <c r="KAR88" s="21"/>
      <c r="KAS88" s="21"/>
      <c r="KAT88" s="21"/>
      <c r="KAU88" s="21"/>
      <c r="KAV88" s="21"/>
      <c r="KAW88" s="21"/>
      <c r="KAX88" s="21"/>
      <c r="KAY88" s="21"/>
      <c r="KAZ88" s="21"/>
      <c r="KBA88" s="21"/>
      <c r="KBB88" s="21"/>
      <c r="KBC88" s="21"/>
      <c r="KBD88" s="21"/>
      <c r="KBE88" s="21"/>
      <c r="KBF88" s="21"/>
      <c r="KBG88" s="21"/>
      <c r="KBH88" s="21"/>
      <c r="KBI88" s="21"/>
      <c r="KBJ88" s="21"/>
      <c r="KBK88" s="21"/>
      <c r="KBL88" s="21"/>
      <c r="KBM88" s="21"/>
      <c r="KBN88" s="21"/>
      <c r="KBO88" s="21"/>
      <c r="KBP88" s="21"/>
      <c r="KBQ88" s="21"/>
      <c r="KBR88" s="21"/>
      <c r="KBS88" s="21"/>
      <c r="KBT88" s="21"/>
      <c r="KBU88" s="21"/>
      <c r="KBV88" s="21"/>
      <c r="KBW88" s="21"/>
      <c r="KBX88" s="21"/>
      <c r="KBY88" s="21"/>
      <c r="KBZ88" s="21"/>
      <c r="KCA88" s="21"/>
      <c r="KCB88" s="21"/>
      <c r="KCC88" s="21"/>
      <c r="KCD88" s="21"/>
      <c r="KCE88" s="21"/>
      <c r="KCF88" s="21"/>
      <c r="KCG88" s="21"/>
      <c r="KCH88" s="21"/>
      <c r="KCI88" s="21"/>
      <c r="KCJ88" s="21"/>
      <c r="KCK88" s="21"/>
      <c r="KCL88" s="21"/>
      <c r="KCM88" s="21"/>
      <c r="KCN88" s="21"/>
      <c r="KCO88" s="21"/>
      <c r="KCP88" s="21"/>
      <c r="KCQ88" s="21"/>
      <c r="KCR88" s="21"/>
      <c r="KCS88" s="21"/>
      <c r="KCT88" s="21"/>
      <c r="KCU88" s="21"/>
      <c r="KCV88" s="21"/>
      <c r="KCW88" s="21"/>
      <c r="KCX88" s="21"/>
      <c r="KCY88" s="21"/>
      <c r="KCZ88" s="21"/>
      <c r="KDA88" s="21"/>
      <c r="KDB88" s="21"/>
      <c r="KDC88" s="21"/>
      <c r="KDD88" s="21"/>
      <c r="KDE88" s="21"/>
      <c r="KDF88" s="21"/>
      <c r="KDG88" s="21"/>
      <c r="KDH88" s="21"/>
      <c r="KDI88" s="21"/>
      <c r="KDJ88" s="21"/>
      <c r="KDK88" s="21"/>
      <c r="KDL88" s="21"/>
      <c r="KDM88" s="21"/>
      <c r="KDN88" s="21"/>
      <c r="KDO88" s="21"/>
      <c r="KDP88" s="21"/>
      <c r="KDQ88" s="21"/>
      <c r="KDR88" s="21"/>
      <c r="KDS88" s="21"/>
      <c r="KDT88" s="21"/>
      <c r="KDU88" s="21"/>
      <c r="KDV88" s="21"/>
      <c r="KDW88" s="21"/>
      <c r="KDX88" s="21"/>
      <c r="KDY88" s="21"/>
      <c r="KDZ88" s="21"/>
      <c r="KEA88" s="21"/>
      <c r="KEB88" s="21"/>
      <c r="KEC88" s="21"/>
      <c r="KED88" s="21"/>
      <c r="KEE88" s="21"/>
      <c r="KEF88" s="21"/>
      <c r="KEG88" s="21"/>
      <c r="KEH88" s="21"/>
      <c r="KEI88" s="21"/>
      <c r="KEJ88" s="21"/>
      <c r="KEK88" s="21"/>
      <c r="KEL88" s="21"/>
      <c r="KEM88" s="21"/>
      <c r="KEN88" s="21"/>
      <c r="KEO88" s="21"/>
      <c r="KEP88" s="21"/>
      <c r="KEQ88" s="21"/>
      <c r="KER88" s="21"/>
      <c r="KES88" s="21"/>
      <c r="KET88" s="21"/>
      <c r="KEU88" s="21"/>
      <c r="KEV88" s="21"/>
      <c r="KEW88" s="21"/>
      <c r="KEX88" s="21"/>
      <c r="KEY88" s="21"/>
      <c r="KEZ88" s="21"/>
      <c r="KFA88" s="21"/>
      <c r="KFB88" s="21"/>
      <c r="KFC88" s="21"/>
      <c r="KFD88" s="21"/>
      <c r="KFE88" s="21"/>
      <c r="KFF88" s="21"/>
      <c r="KFG88" s="21"/>
      <c r="KFH88" s="21"/>
      <c r="KFI88" s="21"/>
      <c r="KFJ88" s="21"/>
      <c r="KFK88" s="21"/>
      <c r="KFL88" s="21"/>
      <c r="KFM88" s="21"/>
      <c r="KFN88" s="21"/>
      <c r="KFO88" s="21"/>
      <c r="KFP88" s="21"/>
      <c r="KFQ88" s="21"/>
      <c r="KFR88" s="21"/>
      <c r="KFS88" s="21"/>
      <c r="KFT88" s="21"/>
      <c r="KFU88" s="21"/>
      <c r="KFV88" s="21"/>
      <c r="KFW88" s="21"/>
      <c r="KFX88" s="21"/>
      <c r="KFY88" s="21"/>
      <c r="KFZ88" s="21"/>
      <c r="KGA88" s="21"/>
      <c r="KGB88" s="21"/>
      <c r="KGC88" s="21"/>
      <c r="KGD88" s="21"/>
      <c r="KGE88" s="21"/>
      <c r="KGF88" s="21"/>
      <c r="KGG88" s="21"/>
      <c r="KGH88" s="21"/>
      <c r="KGI88" s="21"/>
      <c r="KGJ88" s="21"/>
      <c r="KGK88" s="21"/>
      <c r="KGL88" s="21"/>
      <c r="KGM88" s="21"/>
      <c r="KGN88" s="21"/>
      <c r="KGO88" s="21"/>
      <c r="KGP88" s="21"/>
      <c r="KGQ88" s="21"/>
      <c r="KGR88" s="21"/>
      <c r="KGS88" s="21"/>
      <c r="KGT88" s="21"/>
      <c r="KGU88" s="21"/>
      <c r="KGV88" s="21"/>
      <c r="KGW88" s="21"/>
      <c r="KGX88" s="21"/>
      <c r="KGY88" s="21"/>
      <c r="KGZ88" s="21"/>
      <c r="KHA88" s="21"/>
      <c r="KHB88" s="21"/>
      <c r="KHC88" s="21"/>
      <c r="KHD88" s="21"/>
      <c r="KHE88" s="21"/>
      <c r="KHF88" s="21"/>
      <c r="KHG88" s="21"/>
      <c r="KHH88" s="21"/>
      <c r="KHI88" s="21"/>
      <c r="KHJ88" s="21"/>
      <c r="KHK88" s="21"/>
      <c r="KHL88" s="21"/>
      <c r="KHM88" s="21"/>
      <c r="KHN88" s="21"/>
      <c r="KHO88" s="21"/>
      <c r="KHP88" s="21"/>
      <c r="KHQ88" s="21"/>
      <c r="KHR88" s="21"/>
      <c r="KHS88" s="21"/>
      <c r="KHT88" s="21"/>
      <c r="KHU88" s="21"/>
      <c r="KHV88" s="21"/>
      <c r="KHW88" s="21"/>
      <c r="KHX88" s="21"/>
      <c r="KHY88" s="21"/>
      <c r="KHZ88" s="21"/>
      <c r="KIA88" s="21"/>
      <c r="KIB88" s="21"/>
      <c r="KIC88" s="21"/>
      <c r="KID88" s="21"/>
      <c r="KIE88" s="21"/>
      <c r="KIF88" s="21"/>
      <c r="KIG88" s="21"/>
      <c r="KIH88" s="21"/>
      <c r="KII88" s="21"/>
      <c r="KIJ88" s="21"/>
      <c r="KIK88" s="21"/>
      <c r="KIL88" s="21"/>
      <c r="KIM88" s="21"/>
      <c r="KIN88" s="21"/>
      <c r="KIO88" s="21"/>
      <c r="KIP88" s="21"/>
      <c r="KIQ88" s="21"/>
      <c r="KIR88" s="21"/>
      <c r="KIS88" s="21"/>
      <c r="KIT88" s="21"/>
      <c r="KIU88" s="21"/>
      <c r="KIV88" s="21"/>
      <c r="KIW88" s="21"/>
      <c r="KIX88" s="21"/>
      <c r="KIY88" s="21"/>
      <c r="KIZ88" s="21"/>
      <c r="KJA88" s="21"/>
      <c r="KJB88" s="21"/>
      <c r="KJC88" s="21"/>
      <c r="KJD88" s="21"/>
      <c r="KJE88" s="21"/>
      <c r="KJF88" s="21"/>
      <c r="KJG88" s="21"/>
      <c r="KJH88" s="21"/>
      <c r="KJI88" s="21"/>
      <c r="KJJ88" s="21"/>
      <c r="KJK88" s="21"/>
      <c r="KJL88" s="21"/>
      <c r="KJM88" s="21"/>
      <c r="KJN88" s="21"/>
      <c r="KJO88" s="21"/>
      <c r="KJP88" s="21"/>
      <c r="KJQ88" s="21"/>
      <c r="KJR88" s="21"/>
      <c r="KJS88" s="21"/>
      <c r="KJT88" s="21"/>
      <c r="KJU88" s="21"/>
      <c r="KJV88" s="21"/>
      <c r="KJW88" s="21"/>
      <c r="KJX88" s="21"/>
      <c r="KJY88" s="21"/>
      <c r="KJZ88" s="21"/>
      <c r="KKA88" s="21"/>
      <c r="KKB88" s="21"/>
      <c r="KKC88" s="21"/>
      <c r="KKD88" s="21"/>
      <c r="KKE88" s="21"/>
      <c r="KKF88" s="21"/>
      <c r="KKG88" s="21"/>
      <c r="KKH88" s="21"/>
      <c r="KKI88" s="21"/>
      <c r="KKJ88" s="21"/>
      <c r="KKK88" s="21"/>
      <c r="KKL88" s="21"/>
      <c r="KKM88" s="21"/>
      <c r="KKN88" s="21"/>
      <c r="KKO88" s="21"/>
      <c r="KKP88" s="21"/>
      <c r="KKQ88" s="21"/>
      <c r="KKR88" s="21"/>
      <c r="KKS88" s="21"/>
      <c r="KKT88" s="21"/>
      <c r="KKU88" s="21"/>
      <c r="KKV88" s="21"/>
      <c r="KKW88" s="21"/>
      <c r="KKX88" s="21"/>
      <c r="KKY88" s="21"/>
      <c r="KKZ88" s="21"/>
      <c r="KLA88" s="21"/>
      <c r="KLB88" s="21"/>
      <c r="KLC88" s="21"/>
      <c r="KLD88" s="21"/>
      <c r="KLE88" s="21"/>
      <c r="KLF88" s="21"/>
      <c r="KLG88" s="21"/>
      <c r="KLH88" s="21"/>
      <c r="KLI88" s="21"/>
      <c r="KLJ88" s="21"/>
      <c r="KLK88" s="21"/>
      <c r="KLL88" s="21"/>
      <c r="KLM88" s="21"/>
      <c r="KLN88" s="21"/>
      <c r="KLO88" s="21"/>
      <c r="KLP88" s="21"/>
      <c r="KLQ88" s="21"/>
      <c r="KLR88" s="21"/>
      <c r="KLS88" s="21"/>
      <c r="KLT88" s="21"/>
      <c r="KLU88" s="21"/>
      <c r="KLV88" s="21"/>
      <c r="KLW88" s="21"/>
      <c r="KLX88" s="21"/>
      <c r="KLY88" s="21"/>
      <c r="KLZ88" s="21"/>
      <c r="KMA88" s="21"/>
      <c r="KMB88" s="21"/>
      <c r="KMC88" s="21"/>
      <c r="KMD88" s="21"/>
      <c r="KME88" s="21"/>
      <c r="KMF88" s="21"/>
      <c r="KMG88" s="21"/>
      <c r="KMH88" s="21"/>
      <c r="KMI88" s="21"/>
      <c r="KMJ88" s="21"/>
      <c r="KMK88" s="21"/>
      <c r="KML88" s="21"/>
      <c r="KMM88" s="21"/>
      <c r="KMN88" s="21"/>
      <c r="KMO88" s="21"/>
      <c r="KMP88" s="21"/>
      <c r="KMQ88" s="21"/>
      <c r="KMR88" s="21"/>
      <c r="KMS88" s="21"/>
      <c r="KMT88" s="21"/>
      <c r="KMU88" s="21"/>
      <c r="KMV88" s="21"/>
      <c r="KMW88" s="21"/>
      <c r="KMX88" s="21"/>
      <c r="KMY88" s="21"/>
      <c r="KMZ88" s="21"/>
      <c r="KNA88" s="21"/>
      <c r="KNB88" s="21"/>
      <c r="KNC88" s="21"/>
      <c r="KND88" s="21"/>
      <c r="KNE88" s="21"/>
      <c r="KNF88" s="21"/>
      <c r="KNG88" s="21"/>
      <c r="KNH88" s="21"/>
      <c r="KNI88" s="21"/>
      <c r="KNJ88" s="21"/>
      <c r="KNK88" s="21"/>
      <c r="KNL88" s="21"/>
      <c r="KNM88" s="21"/>
      <c r="KNN88" s="21"/>
      <c r="KNO88" s="21"/>
      <c r="KNP88" s="21"/>
      <c r="KNQ88" s="21"/>
      <c r="KNR88" s="21"/>
      <c r="KNS88" s="21"/>
      <c r="KNT88" s="21"/>
      <c r="KNU88" s="21"/>
      <c r="KNV88" s="21"/>
      <c r="KNW88" s="21"/>
      <c r="KNX88" s="21"/>
      <c r="KNY88" s="21"/>
      <c r="KNZ88" s="21"/>
      <c r="KOA88" s="21"/>
      <c r="KOB88" s="21"/>
      <c r="KOC88" s="21"/>
      <c r="KOD88" s="21"/>
      <c r="KOE88" s="21"/>
      <c r="KOF88" s="21"/>
      <c r="KOG88" s="21"/>
      <c r="KOH88" s="21"/>
      <c r="KOI88" s="21"/>
      <c r="KOJ88" s="21"/>
      <c r="KOK88" s="21"/>
      <c r="KOL88" s="21"/>
      <c r="KOM88" s="21"/>
      <c r="KON88" s="21"/>
      <c r="KOO88" s="21"/>
      <c r="KOP88" s="21"/>
      <c r="KOQ88" s="21"/>
      <c r="KOR88" s="21"/>
      <c r="KOS88" s="21"/>
      <c r="KOT88" s="21"/>
      <c r="KOU88" s="21"/>
      <c r="KOV88" s="21"/>
      <c r="KOW88" s="21"/>
      <c r="KOX88" s="21"/>
      <c r="KOY88" s="21"/>
      <c r="KOZ88" s="21"/>
      <c r="KPA88" s="21"/>
      <c r="KPB88" s="21"/>
      <c r="KPC88" s="21"/>
      <c r="KPD88" s="21"/>
      <c r="KPE88" s="21"/>
      <c r="KPF88" s="21"/>
      <c r="KPG88" s="21"/>
      <c r="KPH88" s="21"/>
      <c r="KPI88" s="21"/>
      <c r="KPJ88" s="21"/>
      <c r="KPK88" s="21"/>
      <c r="KPL88" s="21"/>
      <c r="KPM88" s="21"/>
      <c r="KPN88" s="21"/>
      <c r="KPO88" s="21"/>
      <c r="KPP88" s="21"/>
      <c r="KPQ88" s="21"/>
      <c r="KPR88" s="21"/>
      <c r="KPS88" s="21"/>
      <c r="KPT88" s="21"/>
      <c r="KPU88" s="21"/>
      <c r="KPV88" s="21"/>
      <c r="KPW88" s="21"/>
      <c r="KPX88" s="21"/>
      <c r="KPY88" s="21"/>
      <c r="KPZ88" s="21"/>
      <c r="KQA88" s="21"/>
      <c r="KQB88" s="21"/>
      <c r="KQC88" s="21"/>
      <c r="KQD88" s="21"/>
      <c r="KQE88" s="21"/>
      <c r="KQF88" s="21"/>
      <c r="KQG88" s="21"/>
      <c r="KQH88" s="21"/>
      <c r="KQI88" s="21"/>
      <c r="KQJ88" s="21"/>
      <c r="KQK88" s="21"/>
      <c r="KQL88" s="21"/>
      <c r="KQM88" s="21"/>
      <c r="KQN88" s="21"/>
      <c r="KQO88" s="21"/>
      <c r="KQP88" s="21"/>
      <c r="KQQ88" s="21"/>
      <c r="KQR88" s="21"/>
      <c r="KQS88" s="21"/>
      <c r="KQT88" s="21"/>
      <c r="KQU88" s="21"/>
      <c r="KQV88" s="21"/>
      <c r="KQW88" s="21"/>
      <c r="KQX88" s="21"/>
      <c r="KQY88" s="21"/>
      <c r="KQZ88" s="21"/>
      <c r="KRA88" s="21"/>
      <c r="KRB88" s="21"/>
      <c r="KRC88" s="21"/>
      <c r="KRD88" s="21"/>
      <c r="KRE88" s="21"/>
      <c r="KRF88" s="21"/>
      <c r="KRG88" s="21"/>
      <c r="KRH88" s="21"/>
      <c r="KRI88" s="21"/>
      <c r="KRJ88" s="21"/>
      <c r="KRK88" s="21"/>
      <c r="KRL88" s="21"/>
      <c r="KRM88" s="21"/>
      <c r="KRN88" s="21"/>
      <c r="KRO88" s="21"/>
      <c r="KRP88" s="21"/>
      <c r="KRQ88" s="21"/>
      <c r="KRR88" s="21"/>
      <c r="KRS88" s="21"/>
      <c r="KRT88" s="21"/>
      <c r="KRU88" s="21"/>
      <c r="KRV88" s="21"/>
      <c r="KRW88" s="21"/>
      <c r="KRX88" s="21"/>
      <c r="KRY88" s="21"/>
      <c r="KRZ88" s="21"/>
      <c r="KSA88" s="21"/>
      <c r="KSB88" s="21"/>
      <c r="KSC88" s="21"/>
      <c r="KSD88" s="21"/>
      <c r="KSE88" s="21"/>
      <c r="KSF88" s="21"/>
      <c r="KSG88" s="21"/>
      <c r="KSH88" s="21"/>
      <c r="KSI88" s="21"/>
      <c r="KSJ88" s="21"/>
      <c r="KSK88" s="21"/>
      <c r="KSL88" s="21"/>
      <c r="KSM88" s="21"/>
      <c r="KSN88" s="21"/>
      <c r="KSO88" s="21"/>
      <c r="KSP88" s="21"/>
      <c r="KSQ88" s="21"/>
      <c r="KSR88" s="21"/>
      <c r="KSS88" s="21"/>
      <c r="KST88" s="21"/>
      <c r="KSU88" s="21"/>
      <c r="KSV88" s="21"/>
      <c r="KSW88" s="21"/>
      <c r="KSX88" s="21"/>
      <c r="KSY88" s="21"/>
      <c r="KSZ88" s="21"/>
      <c r="KTA88" s="21"/>
      <c r="KTB88" s="21"/>
      <c r="KTC88" s="21"/>
      <c r="KTD88" s="21"/>
      <c r="KTE88" s="21"/>
      <c r="KTF88" s="21"/>
      <c r="KTG88" s="21"/>
      <c r="KTH88" s="21"/>
      <c r="KTI88" s="21"/>
      <c r="KTJ88" s="21"/>
      <c r="KTK88" s="21"/>
      <c r="KTL88" s="21"/>
      <c r="KTM88" s="21"/>
      <c r="KTN88" s="21"/>
      <c r="KTO88" s="21"/>
      <c r="KTP88" s="21"/>
      <c r="KTQ88" s="21"/>
      <c r="KTR88" s="21"/>
      <c r="KTS88" s="21"/>
      <c r="KTT88" s="21"/>
      <c r="KTU88" s="21"/>
      <c r="KTV88" s="21"/>
      <c r="KTW88" s="21"/>
      <c r="KTX88" s="21"/>
      <c r="KTY88" s="21"/>
      <c r="KTZ88" s="21"/>
      <c r="KUA88" s="21"/>
      <c r="KUB88" s="21"/>
      <c r="KUC88" s="21"/>
      <c r="KUD88" s="21"/>
      <c r="KUE88" s="21"/>
      <c r="KUF88" s="21"/>
      <c r="KUG88" s="21"/>
      <c r="KUH88" s="21"/>
      <c r="KUI88" s="21"/>
      <c r="KUJ88" s="21"/>
      <c r="KUK88" s="21"/>
      <c r="KUL88" s="21"/>
      <c r="KUM88" s="21"/>
      <c r="KUN88" s="21"/>
      <c r="KUO88" s="21"/>
      <c r="KUP88" s="21"/>
      <c r="KUQ88" s="21"/>
      <c r="KUR88" s="21"/>
      <c r="KUS88" s="21"/>
      <c r="KUT88" s="21"/>
      <c r="KUU88" s="21"/>
      <c r="KUV88" s="21"/>
      <c r="KUW88" s="21"/>
      <c r="KUX88" s="21"/>
      <c r="KUY88" s="21"/>
      <c r="KUZ88" s="21"/>
      <c r="KVA88" s="21"/>
      <c r="KVB88" s="21"/>
      <c r="KVC88" s="21"/>
      <c r="KVD88" s="21"/>
      <c r="KVE88" s="21"/>
      <c r="KVF88" s="21"/>
      <c r="KVG88" s="21"/>
      <c r="KVH88" s="21"/>
      <c r="KVI88" s="21"/>
      <c r="KVJ88" s="21"/>
      <c r="KVK88" s="21"/>
      <c r="KVL88" s="21"/>
      <c r="KVM88" s="21"/>
      <c r="KVN88" s="21"/>
      <c r="KVO88" s="21"/>
      <c r="KVP88" s="21"/>
      <c r="KVQ88" s="21"/>
      <c r="KVR88" s="21"/>
      <c r="KVS88" s="21"/>
      <c r="KVT88" s="21"/>
      <c r="KVU88" s="21"/>
      <c r="KVV88" s="21"/>
      <c r="KVW88" s="21"/>
      <c r="KVX88" s="21"/>
      <c r="KVY88" s="21"/>
      <c r="KVZ88" s="21"/>
      <c r="KWA88" s="21"/>
      <c r="KWB88" s="21"/>
      <c r="KWC88" s="21"/>
      <c r="KWD88" s="21"/>
      <c r="KWE88" s="21"/>
      <c r="KWF88" s="21"/>
      <c r="KWG88" s="21"/>
      <c r="KWH88" s="21"/>
      <c r="KWI88" s="21"/>
      <c r="KWJ88" s="21"/>
      <c r="KWK88" s="21"/>
      <c r="KWL88" s="21"/>
      <c r="KWM88" s="21"/>
      <c r="KWN88" s="21"/>
      <c r="KWO88" s="21"/>
      <c r="KWP88" s="21"/>
      <c r="KWQ88" s="21"/>
      <c r="KWR88" s="21"/>
      <c r="KWS88" s="21"/>
      <c r="KWT88" s="21"/>
      <c r="KWU88" s="21"/>
      <c r="KWV88" s="21"/>
      <c r="KWW88" s="21"/>
      <c r="KWX88" s="21"/>
      <c r="KWY88" s="21"/>
      <c r="KWZ88" s="21"/>
      <c r="KXA88" s="21"/>
      <c r="KXB88" s="21"/>
      <c r="KXC88" s="21"/>
      <c r="KXD88" s="21"/>
      <c r="KXE88" s="21"/>
      <c r="KXF88" s="21"/>
      <c r="KXG88" s="21"/>
      <c r="KXH88" s="21"/>
      <c r="KXI88" s="21"/>
      <c r="KXJ88" s="21"/>
      <c r="KXK88" s="21"/>
      <c r="KXL88" s="21"/>
      <c r="KXM88" s="21"/>
      <c r="KXN88" s="21"/>
      <c r="KXO88" s="21"/>
      <c r="KXP88" s="21"/>
      <c r="KXQ88" s="21"/>
      <c r="KXR88" s="21"/>
      <c r="KXS88" s="21"/>
      <c r="KXT88" s="21"/>
      <c r="KXU88" s="21"/>
      <c r="KXV88" s="21"/>
      <c r="KXW88" s="21"/>
      <c r="KXX88" s="21"/>
      <c r="KXY88" s="21"/>
      <c r="KXZ88" s="21"/>
      <c r="KYA88" s="21"/>
      <c r="KYB88" s="21"/>
      <c r="KYC88" s="21"/>
      <c r="KYD88" s="21"/>
      <c r="KYE88" s="21"/>
      <c r="KYF88" s="21"/>
      <c r="KYG88" s="21"/>
      <c r="KYH88" s="21"/>
      <c r="KYI88" s="21"/>
      <c r="KYJ88" s="21"/>
      <c r="KYK88" s="21"/>
      <c r="KYL88" s="21"/>
      <c r="KYM88" s="21"/>
      <c r="KYN88" s="21"/>
      <c r="KYO88" s="21"/>
      <c r="KYP88" s="21"/>
      <c r="KYQ88" s="21"/>
      <c r="KYR88" s="21"/>
      <c r="KYS88" s="21"/>
      <c r="KYT88" s="21"/>
      <c r="KYU88" s="21"/>
      <c r="KYV88" s="21"/>
      <c r="KYW88" s="21"/>
      <c r="KYX88" s="21"/>
      <c r="KYY88" s="21"/>
      <c r="KYZ88" s="21"/>
      <c r="KZA88" s="21"/>
      <c r="KZB88" s="21"/>
      <c r="KZC88" s="21"/>
      <c r="KZD88" s="21"/>
      <c r="KZE88" s="21"/>
      <c r="KZF88" s="21"/>
      <c r="KZG88" s="21"/>
      <c r="KZH88" s="21"/>
      <c r="KZI88" s="21"/>
      <c r="KZJ88" s="21"/>
      <c r="KZK88" s="21"/>
      <c r="KZL88" s="21"/>
      <c r="KZM88" s="21"/>
      <c r="KZN88" s="21"/>
      <c r="KZO88" s="21"/>
      <c r="KZP88" s="21"/>
      <c r="KZQ88" s="21"/>
      <c r="KZR88" s="21"/>
      <c r="KZS88" s="21"/>
      <c r="KZT88" s="21"/>
      <c r="KZU88" s="21"/>
      <c r="KZV88" s="21"/>
      <c r="KZW88" s="21"/>
      <c r="KZX88" s="21"/>
      <c r="KZY88" s="21"/>
      <c r="KZZ88" s="21"/>
      <c r="LAA88" s="21"/>
      <c r="LAB88" s="21"/>
      <c r="LAC88" s="21"/>
      <c r="LAD88" s="21"/>
      <c r="LAE88" s="21"/>
      <c r="LAF88" s="21"/>
      <c r="LAG88" s="21"/>
      <c r="LAH88" s="21"/>
      <c r="LAI88" s="21"/>
      <c r="LAJ88" s="21"/>
      <c r="LAK88" s="21"/>
      <c r="LAL88" s="21"/>
      <c r="LAM88" s="21"/>
      <c r="LAN88" s="21"/>
      <c r="LAO88" s="21"/>
      <c r="LAP88" s="21"/>
      <c r="LAQ88" s="21"/>
      <c r="LAR88" s="21"/>
      <c r="LAS88" s="21"/>
      <c r="LAT88" s="21"/>
      <c r="LAU88" s="21"/>
      <c r="LAV88" s="21"/>
      <c r="LAW88" s="21"/>
      <c r="LAX88" s="21"/>
      <c r="LAY88" s="21"/>
      <c r="LAZ88" s="21"/>
      <c r="LBA88" s="21"/>
      <c r="LBB88" s="21"/>
      <c r="LBC88" s="21"/>
      <c r="LBD88" s="21"/>
      <c r="LBE88" s="21"/>
      <c r="LBF88" s="21"/>
      <c r="LBG88" s="21"/>
      <c r="LBH88" s="21"/>
      <c r="LBI88" s="21"/>
      <c r="LBJ88" s="21"/>
      <c r="LBK88" s="21"/>
      <c r="LBL88" s="21"/>
      <c r="LBM88" s="21"/>
      <c r="LBN88" s="21"/>
      <c r="LBO88" s="21"/>
      <c r="LBP88" s="21"/>
      <c r="LBQ88" s="21"/>
      <c r="LBR88" s="21"/>
      <c r="LBS88" s="21"/>
      <c r="LBT88" s="21"/>
      <c r="LBU88" s="21"/>
      <c r="LBV88" s="21"/>
      <c r="LBW88" s="21"/>
      <c r="LBX88" s="21"/>
      <c r="LBY88" s="21"/>
      <c r="LBZ88" s="21"/>
      <c r="LCA88" s="21"/>
      <c r="LCB88" s="21"/>
      <c r="LCC88" s="21"/>
      <c r="LCD88" s="21"/>
      <c r="LCE88" s="21"/>
      <c r="LCF88" s="21"/>
      <c r="LCG88" s="21"/>
      <c r="LCH88" s="21"/>
      <c r="LCI88" s="21"/>
      <c r="LCJ88" s="21"/>
      <c r="LCK88" s="21"/>
      <c r="LCL88" s="21"/>
      <c r="LCM88" s="21"/>
      <c r="LCN88" s="21"/>
      <c r="LCO88" s="21"/>
      <c r="LCP88" s="21"/>
      <c r="LCQ88" s="21"/>
      <c r="LCR88" s="21"/>
      <c r="LCS88" s="21"/>
      <c r="LCT88" s="21"/>
      <c r="LCU88" s="21"/>
      <c r="LCV88" s="21"/>
      <c r="LCW88" s="21"/>
      <c r="LCX88" s="21"/>
      <c r="LCY88" s="21"/>
      <c r="LCZ88" s="21"/>
      <c r="LDA88" s="21"/>
      <c r="LDB88" s="21"/>
      <c r="LDC88" s="21"/>
      <c r="LDD88" s="21"/>
      <c r="LDE88" s="21"/>
      <c r="LDF88" s="21"/>
      <c r="LDG88" s="21"/>
      <c r="LDH88" s="21"/>
      <c r="LDI88" s="21"/>
      <c r="LDJ88" s="21"/>
      <c r="LDK88" s="21"/>
      <c r="LDL88" s="21"/>
      <c r="LDM88" s="21"/>
      <c r="LDN88" s="21"/>
      <c r="LDO88" s="21"/>
      <c r="LDP88" s="21"/>
      <c r="LDQ88" s="21"/>
      <c r="LDR88" s="21"/>
      <c r="LDS88" s="21"/>
      <c r="LDT88" s="21"/>
      <c r="LDU88" s="21"/>
      <c r="LDV88" s="21"/>
      <c r="LDW88" s="21"/>
      <c r="LDX88" s="21"/>
      <c r="LDY88" s="21"/>
      <c r="LDZ88" s="21"/>
      <c r="LEA88" s="21"/>
      <c r="LEB88" s="21"/>
      <c r="LEC88" s="21"/>
      <c r="LED88" s="21"/>
      <c r="LEE88" s="21"/>
      <c r="LEF88" s="21"/>
      <c r="LEG88" s="21"/>
      <c r="LEH88" s="21"/>
      <c r="LEI88" s="21"/>
      <c r="LEJ88" s="21"/>
      <c r="LEK88" s="21"/>
      <c r="LEL88" s="21"/>
      <c r="LEM88" s="21"/>
      <c r="LEN88" s="21"/>
      <c r="LEO88" s="21"/>
      <c r="LEP88" s="21"/>
      <c r="LEQ88" s="21"/>
      <c r="LER88" s="21"/>
      <c r="LES88" s="21"/>
      <c r="LET88" s="21"/>
      <c r="LEU88" s="21"/>
      <c r="LEV88" s="21"/>
      <c r="LEW88" s="21"/>
      <c r="LEX88" s="21"/>
      <c r="LEY88" s="21"/>
      <c r="LEZ88" s="21"/>
      <c r="LFA88" s="21"/>
      <c r="LFB88" s="21"/>
      <c r="LFC88" s="21"/>
      <c r="LFD88" s="21"/>
      <c r="LFE88" s="21"/>
      <c r="LFF88" s="21"/>
      <c r="LFG88" s="21"/>
      <c r="LFH88" s="21"/>
      <c r="LFI88" s="21"/>
      <c r="LFJ88" s="21"/>
      <c r="LFK88" s="21"/>
      <c r="LFL88" s="21"/>
      <c r="LFM88" s="21"/>
      <c r="LFN88" s="21"/>
      <c r="LFO88" s="21"/>
      <c r="LFP88" s="21"/>
      <c r="LFQ88" s="21"/>
      <c r="LFR88" s="21"/>
      <c r="LFS88" s="21"/>
      <c r="LFT88" s="21"/>
      <c r="LFU88" s="21"/>
      <c r="LFV88" s="21"/>
      <c r="LFW88" s="21"/>
      <c r="LFX88" s="21"/>
      <c r="LFY88" s="21"/>
      <c r="LFZ88" s="21"/>
      <c r="LGA88" s="21"/>
      <c r="LGB88" s="21"/>
      <c r="LGC88" s="21"/>
      <c r="LGD88" s="21"/>
      <c r="LGE88" s="21"/>
      <c r="LGF88" s="21"/>
      <c r="LGG88" s="21"/>
      <c r="LGH88" s="21"/>
      <c r="LGI88" s="21"/>
      <c r="LGJ88" s="21"/>
      <c r="LGK88" s="21"/>
      <c r="LGL88" s="21"/>
      <c r="LGM88" s="21"/>
      <c r="LGN88" s="21"/>
      <c r="LGO88" s="21"/>
      <c r="LGP88" s="21"/>
      <c r="LGQ88" s="21"/>
      <c r="LGR88" s="21"/>
      <c r="LGS88" s="21"/>
      <c r="LGT88" s="21"/>
      <c r="LGU88" s="21"/>
      <c r="LGV88" s="21"/>
      <c r="LGW88" s="21"/>
      <c r="LGX88" s="21"/>
      <c r="LGY88" s="21"/>
      <c r="LGZ88" s="21"/>
      <c r="LHA88" s="21"/>
      <c r="LHB88" s="21"/>
      <c r="LHC88" s="21"/>
      <c r="LHD88" s="21"/>
      <c r="LHE88" s="21"/>
      <c r="LHF88" s="21"/>
      <c r="LHG88" s="21"/>
      <c r="LHH88" s="21"/>
      <c r="LHI88" s="21"/>
      <c r="LHJ88" s="21"/>
      <c r="LHK88" s="21"/>
      <c r="LHL88" s="21"/>
      <c r="LHM88" s="21"/>
      <c r="LHN88" s="21"/>
      <c r="LHO88" s="21"/>
      <c r="LHP88" s="21"/>
      <c r="LHQ88" s="21"/>
      <c r="LHR88" s="21"/>
      <c r="LHS88" s="21"/>
      <c r="LHT88" s="21"/>
      <c r="LHU88" s="21"/>
      <c r="LHV88" s="21"/>
      <c r="LHW88" s="21"/>
      <c r="LHX88" s="21"/>
      <c r="LHY88" s="21"/>
      <c r="LHZ88" s="21"/>
      <c r="LIA88" s="21"/>
      <c r="LIB88" s="21"/>
      <c r="LIC88" s="21"/>
      <c r="LID88" s="21"/>
      <c r="LIE88" s="21"/>
      <c r="LIF88" s="21"/>
      <c r="LIG88" s="21"/>
      <c r="LIH88" s="21"/>
      <c r="LII88" s="21"/>
      <c r="LIJ88" s="21"/>
      <c r="LIK88" s="21"/>
      <c r="LIL88" s="21"/>
      <c r="LIM88" s="21"/>
      <c r="LIN88" s="21"/>
      <c r="LIO88" s="21"/>
      <c r="LIP88" s="21"/>
      <c r="LIQ88" s="21"/>
      <c r="LIR88" s="21"/>
      <c r="LIS88" s="21"/>
      <c r="LIT88" s="21"/>
      <c r="LIU88" s="21"/>
      <c r="LIV88" s="21"/>
      <c r="LIW88" s="21"/>
      <c r="LIX88" s="21"/>
      <c r="LIY88" s="21"/>
      <c r="LIZ88" s="21"/>
      <c r="LJA88" s="21"/>
      <c r="LJB88" s="21"/>
      <c r="LJC88" s="21"/>
      <c r="LJD88" s="21"/>
      <c r="LJE88" s="21"/>
      <c r="LJF88" s="21"/>
      <c r="LJG88" s="21"/>
      <c r="LJH88" s="21"/>
      <c r="LJI88" s="21"/>
      <c r="LJJ88" s="21"/>
      <c r="LJK88" s="21"/>
      <c r="LJL88" s="21"/>
      <c r="LJM88" s="21"/>
      <c r="LJN88" s="21"/>
      <c r="LJO88" s="21"/>
      <c r="LJP88" s="21"/>
      <c r="LJQ88" s="21"/>
      <c r="LJR88" s="21"/>
      <c r="LJS88" s="21"/>
      <c r="LJT88" s="21"/>
      <c r="LJU88" s="21"/>
      <c r="LJV88" s="21"/>
      <c r="LJW88" s="21"/>
      <c r="LJX88" s="21"/>
      <c r="LJY88" s="21"/>
      <c r="LJZ88" s="21"/>
      <c r="LKA88" s="21"/>
      <c r="LKB88" s="21"/>
      <c r="LKC88" s="21"/>
      <c r="LKD88" s="21"/>
      <c r="LKE88" s="21"/>
      <c r="LKF88" s="21"/>
      <c r="LKG88" s="21"/>
      <c r="LKH88" s="21"/>
      <c r="LKI88" s="21"/>
      <c r="LKJ88" s="21"/>
      <c r="LKK88" s="21"/>
      <c r="LKL88" s="21"/>
      <c r="LKM88" s="21"/>
      <c r="LKN88" s="21"/>
      <c r="LKO88" s="21"/>
      <c r="LKP88" s="21"/>
      <c r="LKQ88" s="21"/>
      <c r="LKR88" s="21"/>
      <c r="LKS88" s="21"/>
      <c r="LKT88" s="21"/>
      <c r="LKU88" s="21"/>
      <c r="LKV88" s="21"/>
      <c r="LKW88" s="21"/>
      <c r="LKX88" s="21"/>
      <c r="LKY88" s="21"/>
      <c r="LKZ88" s="21"/>
      <c r="LLA88" s="21"/>
      <c r="LLB88" s="21"/>
      <c r="LLC88" s="21"/>
      <c r="LLD88" s="21"/>
      <c r="LLE88" s="21"/>
      <c r="LLF88" s="21"/>
      <c r="LLG88" s="21"/>
      <c r="LLH88" s="21"/>
      <c r="LLI88" s="21"/>
      <c r="LLJ88" s="21"/>
      <c r="LLK88" s="21"/>
      <c r="LLL88" s="21"/>
      <c r="LLM88" s="21"/>
      <c r="LLN88" s="21"/>
      <c r="LLO88" s="21"/>
      <c r="LLP88" s="21"/>
      <c r="LLQ88" s="21"/>
      <c r="LLR88" s="21"/>
      <c r="LLS88" s="21"/>
      <c r="LLT88" s="21"/>
      <c r="LLU88" s="21"/>
      <c r="LLV88" s="21"/>
      <c r="LLW88" s="21"/>
      <c r="LLX88" s="21"/>
      <c r="LLY88" s="21"/>
      <c r="LLZ88" s="21"/>
      <c r="LMA88" s="21"/>
      <c r="LMB88" s="21"/>
      <c r="LMC88" s="21"/>
      <c r="LMD88" s="21"/>
      <c r="LME88" s="21"/>
      <c r="LMF88" s="21"/>
      <c r="LMG88" s="21"/>
      <c r="LMH88" s="21"/>
      <c r="LMI88" s="21"/>
      <c r="LMJ88" s="21"/>
      <c r="LMK88" s="21"/>
      <c r="LML88" s="21"/>
      <c r="LMM88" s="21"/>
      <c r="LMN88" s="21"/>
      <c r="LMO88" s="21"/>
      <c r="LMP88" s="21"/>
      <c r="LMQ88" s="21"/>
      <c r="LMR88" s="21"/>
      <c r="LMS88" s="21"/>
      <c r="LMT88" s="21"/>
      <c r="LMU88" s="21"/>
      <c r="LMV88" s="21"/>
      <c r="LMW88" s="21"/>
      <c r="LMX88" s="21"/>
      <c r="LMY88" s="21"/>
      <c r="LMZ88" s="21"/>
      <c r="LNA88" s="21"/>
      <c r="LNB88" s="21"/>
      <c r="LNC88" s="21"/>
      <c r="LND88" s="21"/>
      <c r="LNE88" s="21"/>
      <c r="LNF88" s="21"/>
      <c r="LNG88" s="21"/>
      <c r="LNH88" s="21"/>
      <c r="LNI88" s="21"/>
      <c r="LNJ88" s="21"/>
      <c r="LNK88" s="21"/>
      <c r="LNL88" s="21"/>
      <c r="LNM88" s="21"/>
      <c r="LNN88" s="21"/>
      <c r="LNO88" s="21"/>
      <c r="LNP88" s="21"/>
      <c r="LNQ88" s="21"/>
      <c r="LNR88" s="21"/>
      <c r="LNS88" s="21"/>
      <c r="LNT88" s="21"/>
      <c r="LNU88" s="21"/>
      <c r="LNV88" s="21"/>
      <c r="LNW88" s="21"/>
      <c r="LNX88" s="21"/>
      <c r="LNY88" s="21"/>
      <c r="LNZ88" s="21"/>
      <c r="LOA88" s="21"/>
      <c r="LOB88" s="21"/>
      <c r="LOC88" s="21"/>
      <c r="LOD88" s="21"/>
      <c r="LOE88" s="21"/>
      <c r="LOF88" s="21"/>
      <c r="LOG88" s="21"/>
      <c r="LOH88" s="21"/>
      <c r="LOI88" s="21"/>
      <c r="LOJ88" s="21"/>
      <c r="LOK88" s="21"/>
      <c r="LOL88" s="21"/>
      <c r="LOM88" s="21"/>
      <c r="LON88" s="21"/>
      <c r="LOO88" s="21"/>
      <c r="LOP88" s="21"/>
      <c r="LOQ88" s="21"/>
      <c r="LOR88" s="21"/>
      <c r="LOS88" s="21"/>
      <c r="LOT88" s="21"/>
      <c r="LOU88" s="21"/>
      <c r="LOV88" s="21"/>
      <c r="LOW88" s="21"/>
      <c r="LOX88" s="21"/>
      <c r="LOY88" s="21"/>
      <c r="LOZ88" s="21"/>
      <c r="LPA88" s="21"/>
      <c r="LPB88" s="21"/>
      <c r="LPC88" s="21"/>
      <c r="LPD88" s="21"/>
      <c r="LPE88" s="21"/>
      <c r="LPF88" s="21"/>
      <c r="LPG88" s="21"/>
      <c r="LPH88" s="21"/>
      <c r="LPI88" s="21"/>
      <c r="LPJ88" s="21"/>
      <c r="LPK88" s="21"/>
      <c r="LPL88" s="21"/>
      <c r="LPM88" s="21"/>
      <c r="LPN88" s="21"/>
      <c r="LPO88" s="21"/>
      <c r="LPP88" s="21"/>
      <c r="LPQ88" s="21"/>
      <c r="LPR88" s="21"/>
      <c r="LPS88" s="21"/>
      <c r="LPT88" s="21"/>
      <c r="LPU88" s="21"/>
      <c r="LPV88" s="21"/>
      <c r="LPW88" s="21"/>
      <c r="LPX88" s="21"/>
      <c r="LPY88" s="21"/>
      <c r="LPZ88" s="21"/>
      <c r="LQA88" s="21"/>
      <c r="LQB88" s="21"/>
      <c r="LQC88" s="21"/>
      <c r="LQD88" s="21"/>
      <c r="LQE88" s="21"/>
      <c r="LQF88" s="21"/>
      <c r="LQG88" s="21"/>
      <c r="LQH88" s="21"/>
      <c r="LQI88" s="21"/>
      <c r="LQJ88" s="21"/>
      <c r="LQK88" s="21"/>
      <c r="LQL88" s="21"/>
      <c r="LQM88" s="21"/>
      <c r="LQN88" s="21"/>
      <c r="LQO88" s="21"/>
      <c r="LQP88" s="21"/>
      <c r="LQQ88" s="21"/>
      <c r="LQR88" s="21"/>
      <c r="LQS88" s="21"/>
      <c r="LQT88" s="21"/>
      <c r="LQU88" s="21"/>
      <c r="LQV88" s="21"/>
      <c r="LQW88" s="21"/>
      <c r="LQX88" s="21"/>
      <c r="LQY88" s="21"/>
      <c r="LQZ88" s="21"/>
      <c r="LRA88" s="21"/>
      <c r="LRB88" s="21"/>
      <c r="LRC88" s="21"/>
      <c r="LRD88" s="21"/>
      <c r="LRE88" s="21"/>
      <c r="LRF88" s="21"/>
      <c r="LRG88" s="21"/>
      <c r="LRH88" s="21"/>
      <c r="LRI88" s="21"/>
      <c r="LRJ88" s="21"/>
      <c r="LRK88" s="21"/>
      <c r="LRL88" s="21"/>
      <c r="LRM88" s="21"/>
      <c r="LRN88" s="21"/>
      <c r="LRO88" s="21"/>
      <c r="LRP88" s="21"/>
      <c r="LRQ88" s="21"/>
      <c r="LRR88" s="21"/>
      <c r="LRS88" s="21"/>
      <c r="LRT88" s="21"/>
      <c r="LRU88" s="21"/>
      <c r="LRV88" s="21"/>
      <c r="LRW88" s="21"/>
      <c r="LRX88" s="21"/>
      <c r="LRY88" s="21"/>
      <c r="LRZ88" s="21"/>
      <c r="LSA88" s="21"/>
      <c r="LSB88" s="21"/>
      <c r="LSC88" s="21"/>
      <c r="LSD88" s="21"/>
      <c r="LSE88" s="21"/>
      <c r="LSF88" s="21"/>
      <c r="LSG88" s="21"/>
      <c r="LSH88" s="21"/>
      <c r="LSI88" s="21"/>
      <c r="LSJ88" s="21"/>
      <c r="LSK88" s="21"/>
      <c r="LSL88" s="21"/>
      <c r="LSM88" s="21"/>
      <c r="LSN88" s="21"/>
      <c r="LSO88" s="21"/>
      <c r="LSP88" s="21"/>
      <c r="LSQ88" s="21"/>
      <c r="LSR88" s="21"/>
      <c r="LSS88" s="21"/>
      <c r="LST88" s="21"/>
      <c r="LSU88" s="21"/>
      <c r="LSV88" s="21"/>
      <c r="LSW88" s="21"/>
      <c r="LSX88" s="21"/>
      <c r="LSY88" s="21"/>
      <c r="LSZ88" s="21"/>
      <c r="LTA88" s="21"/>
      <c r="LTB88" s="21"/>
      <c r="LTC88" s="21"/>
      <c r="LTD88" s="21"/>
      <c r="LTE88" s="21"/>
      <c r="LTF88" s="21"/>
      <c r="LTG88" s="21"/>
      <c r="LTH88" s="21"/>
      <c r="LTI88" s="21"/>
      <c r="LTJ88" s="21"/>
      <c r="LTK88" s="21"/>
      <c r="LTL88" s="21"/>
      <c r="LTM88" s="21"/>
      <c r="LTN88" s="21"/>
      <c r="LTO88" s="21"/>
      <c r="LTP88" s="21"/>
      <c r="LTQ88" s="21"/>
      <c r="LTR88" s="21"/>
      <c r="LTS88" s="21"/>
      <c r="LTT88" s="21"/>
      <c r="LTU88" s="21"/>
      <c r="LTV88" s="21"/>
      <c r="LTW88" s="21"/>
      <c r="LTX88" s="21"/>
      <c r="LTY88" s="21"/>
      <c r="LTZ88" s="21"/>
      <c r="LUA88" s="21"/>
      <c r="LUB88" s="21"/>
      <c r="LUC88" s="21"/>
      <c r="LUD88" s="21"/>
      <c r="LUE88" s="21"/>
      <c r="LUF88" s="21"/>
      <c r="LUG88" s="21"/>
      <c r="LUH88" s="21"/>
      <c r="LUI88" s="21"/>
      <c r="LUJ88" s="21"/>
      <c r="LUK88" s="21"/>
      <c r="LUL88" s="21"/>
      <c r="LUM88" s="21"/>
      <c r="LUN88" s="21"/>
      <c r="LUO88" s="21"/>
      <c r="LUP88" s="21"/>
      <c r="LUQ88" s="21"/>
      <c r="LUR88" s="21"/>
      <c r="LUS88" s="21"/>
      <c r="LUT88" s="21"/>
      <c r="LUU88" s="21"/>
      <c r="LUV88" s="21"/>
      <c r="LUW88" s="21"/>
      <c r="LUX88" s="21"/>
      <c r="LUY88" s="21"/>
      <c r="LUZ88" s="21"/>
      <c r="LVA88" s="21"/>
      <c r="LVB88" s="21"/>
      <c r="LVC88" s="21"/>
      <c r="LVD88" s="21"/>
      <c r="LVE88" s="21"/>
      <c r="LVF88" s="21"/>
      <c r="LVG88" s="21"/>
      <c r="LVH88" s="21"/>
      <c r="LVI88" s="21"/>
      <c r="LVJ88" s="21"/>
      <c r="LVK88" s="21"/>
      <c r="LVL88" s="21"/>
      <c r="LVM88" s="21"/>
      <c r="LVN88" s="21"/>
      <c r="LVO88" s="21"/>
      <c r="LVP88" s="21"/>
      <c r="LVQ88" s="21"/>
      <c r="LVR88" s="21"/>
      <c r="LVS88" s="21"/>
      <c r="LVT88" s="21"/>
      <c r="LVU88" s="21"/>
      <c r="LVV88" s="21"/>
      <c r="LVW88" s="21"/>
      <c r="LVX88" s="21"/>
      <c r="LVY88" s="21"/>
      <c r="LVZ88" s="21"/>
      <c r="LWA88" s="21"/>
      <c r="LWB88" s="21"/>
      <c r="LWC88" s="21"/>
      <c r="LWD88" s="21"/>
      <c r="LWE88" s="21"/>
      <c r="LWF88" s="21"/>
      <c r="LWG88" s="21"/>
      <c r="LWH88" s="21"/>
      <c r="LWI88" s="21"/>
      <c r="LWJ88" s="21"/>
      <c r="LWK88" s="21"/>
      <c r="LWL88" s="21"/>
      <c r="LWM88" s="21"/>
      <c r="LWN88" s="21"/>
      <c r="LWO88" s="21"/>
      <c r="LWP88" s="21"/>
      <c r="LWQ88" s="21"/>
      <c r="LWR88" s="21"/>
      <c r="LWS88" s="21"/>
      <c r="LWT88" s="21"/>
      <c r="LWU88" s="21"/>
      <c r="LWV88" s="21"/>
      <c r="LWW88" s="21"/>
      <c r="LWX88" s="21"/>
      <c r="LWY88" s="21"/>
      <c r="LWZ88" s="21"/>
      <c r="LXA88" s="21"/>
      <c r="LXB88" s="21"/>
      <c r="LXC88" s="21"/>
      <c r="LXD88" s="21"/>
      <c r="LXE88" s="21"/>
      <c r="LXF88" s="21"/>
      <c r="LXG88" s="21"/>
      <c r="LXH88" s="21"/>
      <c r="LXI88" s="21"/>
      <c r="LXJ88" s="21"/>
      <c r="LXK88" s="21"/>
      <c r="LXL88" s="21"/>
      <c r="LXM88" s="21"/>
      <c r="LXN88" s="21"/>
      <c r="LXO88" s="21"/>
      <c r="LXP88" s="21"/>
      <c r="LXQ88" s="21"/>
      <c r="LXR88" s="21"/>
      <c r="LXS88" s="21"/>
      <c r="LXT88" s="21"/>
      <c r="LXU88" s="21"/>
      <c r="LXV88" s="21"/>
      <c r="LXW88" s="21"/>
      <c r="LXX88" s="21"/>
      <c r="LXY88" s="21"/>
      <c r="LXZ88" s="21"/>
      <c r="LYA88" s="21"/>
      <c r="LYB88" s="21"/>
      <c r="LYC88" s="21"/>
      <c r="LYD88" s="21"/>
      <c r="LYE88" s="21"/>
      <c r="LYF88" s="21"/>
      <c r="LYG88" s="21"/>
      <c r="LYH88" s="21"/>
      <c r="LYI88" s="21"/>
      <c r="LYJ88" s="21"/>
      <c r="LYK88" s="21"/>
      <c r="LYL88" s="21"/>
      <c r="LYM88" s="21"/>
      <c r="LYN88" s="21"/>
      <c r="LYO88" s="21"/>
      <c r="LYP88" s="21"/>
      <c r="LYQ88" s="21"/>
      <c r="LYR88" s="21"/>
      <c r="LYS88" s="21"/>
      <c r="LYT88" s="21"/>
      <c r="LYU88" s="21"/>
      <c r="LYV88" s="21"/>
      <c r="LYW88" s="21"/>
      <c r="LYX88" s="21"/>
      <c r="LYY88" s="21"/>
      <c r="LYZ88" s="21"/>
      <c r="LZA88" s="21"/>
      <c r="LZB88" s="21"/>
      <c r="LZC88" s="21"/>
      <c r="LZD88" s="21"/>
      <c r="LZE88" s="21"/>
      <c r="LZF88" s="21"/>
      <c r="LZG88" s="21"/>
      <c r="LZH88" s="21"/>
      <c r="LZI88" s="21"/>
      <c r="LZJ88" s="21"/>
      <c r="LZK88" s="21"/>
      <c r="LZL88" s="21"/>
      <c r="LZM88" s="21"/>
      <c r="LZN88" s="21"/>
      <c r="LZO88" s="21"/>
      <c r="LZP88" s="21"/>
      <c r="LZQ88" s="21"/>
      <c r="LZR88" s="21"/>
      <c r="LZS88" s="21"/>
      <c r="LZT88" s="21"/>
      <c r="LZU88" s="21"/>
      <c r="LZV88" s="21"/>
      <c r="LZW88" s="21"/>
      <c r="LZX88" s="21"/>
      <c r="LZY88" s="21"/>
      <c r="LZZ88" s="21"/>
      <c r="MAA88" s="21"/>
      <c r="MAB88" s="21"/>
      <c r="MAC88" s="21"/>
      <c r="MAD88" s="21"/>
      <c r="MAE88" s="21"/>
      <c r="MAF88" s="21"/>
      <c r="MAG88" s="21"/>
      <c r="MAH88" s="21"/>
      <c r="MAI88" s="21"/>
      <c r="MAJ88" s="21"/>
      <c r="MAK88" s="21"/>
      <c r="MAL88" s="21"/>
      <c r="MAM88" s="21"/>
      <c r="MAN88" s="21"/>
      <c r="MAO88" s="21"/>
      <c r="MAP88" s="21"/>
      <c r="MAQ88" s="21"/>
      <c r="MAR88" s="21"/>
      <c r="MAS88" s="21"/>
      <c r="MAT88" s="21"/>
      <c r="MAU88" s="21"/>
      <c r="MAV88" s="21"/>
      <c r="MAW88" s="21"/>
      <c r="MAX88" s="21"/>
      <c r="MAY88" s="21"/>
      <c r="MAZ88" s="21"/>
      <c r="MBA88" s="21"/>
      <c r="MBB88" s="21"/>
      <c r="MBC88" s="21"/>
      <c r="MBD88" s="21"/>
      <c r="MBE88" s="21"/>
      <c r="MBF88" s="21"/>
      <c r="MBG88" s="21"/>
      <c r="MBH88" s="21"/>
      <c r="MBI88" s="21"/>
      <c r="MBJ88" s="21"/>
      <c r="MBK88" s="21"/>
      <c r="MBL88" s="21"/>
      <c r="MBM88" s="21"/>
      <c r="MBN88" s="21"/>
      <c r="MBO88" s="21"/>
      <c r="MBP88" s="21"/>
      <c r="MBQ88" s="21"/>
      <c r="MBR88" s="21"/>
      <c r="MBS88" s="21"/>
      <c r="MBT88" s="21"/>
      <c r="MBU88" s="21"/>
      <c r="MBV88" s="21"/>
      <c r="MBW88" s="21"/>
      <c r="MBX88" s="21"/>
      <c r="MBY88" s="21"/>
      <c r="MBZ88" s="21"/>
      <c r="MCA88" s="21"/>
      <c r="MCB88" s="21"/>
      <c r="MCC88" s="21"/>
      <c r="MCD88" s="21"/>
      <c r="MCE88" s="21"/>
      <c r="MCF88" s="21"/>
      <c r="MCG88" s="21"/>
      <c r="MCH88" s="21"/>
      <c r="MCI88" s="21"/>
      <c r="MCJ88" s="21"/>
      <c r="MCK88" s="21"/>
      <c r="MCL88" s="21"/>
      <c r="MCM88" s="21"/>
      <c r="MCN88" s="21"/>
      <c r="MCO88" s="21"/>
      <c r="MCP88" s="21"/>
      <c r="MCQ88" s="21"/>
      <c r="MCR88" s="21"/>
      <c r="MCS88" s="21"/>
      <c r="MCT88" s="21"/>
      <c r="MCU88" s="21"/>
      <c r="MCV88" s="21"/>
      <c r="MCW88" s="21"/>
      <c r="MCX88" s="21"/>
      <c r="MCY88" s="21"/>
      <c r="MCZ88" s="21"/>
      <c r="MDA88" s="21"/>
      <c r="MDB88" s="21"/>
      <c r="MDC88" s="21"/>
      <c r="MDD88" s="21"/>
      <c r="MDE88" s="21"/>
      <c r="MDF88" s="21"/>
      <c r="MDG88" s="21"/>
      <c r="MDH88" s="21"/>
      <c r="MDI88" s="21"/>
      <c r="MDJ88" s="21"/>
      <c r="MDK88" s="21"/>
      <c r="MDL88" s="21"/>
      <c r="MDM88" s="21"/>
      <c r="MDN88" s="21"/>
      <c r="MDO88" s="21"/>
      <c r="MDP88" s="21"/>
      <c r="MDQ88" s="21"/>
      <c r="MDR88" s="21"/>
      <c r="MDS88" s="21"/>
      <c r="MDT88" s="21"/>
      <c r="MDU88" s="21"/>
      <c r="MDV88" s="21"/>
      <c r="MDW88" s="21"/>
      <c r="MDX88" s="21"/>
      <c r="MDY88" s="21"/>
      <c r="MDZ88" s="21"/>
      <c r="MEA88" s="21"/>
      <c r="MEB88" s="21"/>
      <c r="MEC88" s="21"/>
      <c r="MED88" s="21"/>
      <c r="MEE88" s="21"/>
      <c r="MEF88" s="21"/>
      <c r="MEG88" s="21"/>
      <c r="MEH88" s="21"/>
      <c r="MEI88" s="21"/>
      <c r="MEJ88" s="21"/>
      <c r="MEK88" s="21"/>
      <c r="MEL88" s="21"/>
      <c r="MEM88" s="21"/>
      <c r="MEN88" s="21"/>
      <c r="MEO88" s="21"/>
      <c r="MEP88" s="21"/>
      <c r="MEQ88" s="21"/>
      <c r="MER88" s="21"/>
      <c r="MES88" s="21"/>
      <c r="MET88" s="21"/>
      <c r="MEU88" s="21"/>
      <c r="MEV88" s="21"/>
      <c r="MEW88" s="21"/>
      <c r="MEX88" s="21"/>
      <c r="MEY88" s="21"/>
      <c r="MEZ88" s="21"/>
      <c r="MFA88" s="21"/>
      <c r="MFB88" s="21"/>
      <c r="MFC88" s="21"/>
      <c r="MFD88" s="21"/>
      <c r="MFE88" s="21"/>
      <c r="MFF88" s="21"/>
      <c r="MFG88" s="21"/>
      <c r="MFH88" s="21"/>
      <c r="MFI88" s="21"/>
      <c r="MFJ88" s="21"/>
      <c r="MFK88" s="21"/>
      <c r="MFL88" s="21"/>
      <c r="MFM88" s="21"/>
      <c r="MFN88" s="21"/>
      <c r="MFO88" s="21"/>
      <c r="MFP88" s="21"/>
      <c r="MFQ88" s="21"/>
      <c r="MFR88" s="21"/>
      <c r="MFS88" s="21"/>
      <c r="MFT88" s="21"/>
      <c r="MFU88" s="21"/>
      <c r="MFV88" s="21"/>
      <c r="MFW88" s="21"/>
      <c r="MFX88" s="21"/>
      <c r="MFY88" s="21"/>
      <c r="MFZ88" s="21"/>
      <c r="MGA88" s="21"/>
      <c r="MGB88" s="21"/>
      <c r="MGC88" s="21"/>
      <c r="MGD88" s="21"/>
      <c r="MGE88" s="21"/>
      <c r="MGF88" s="21"/>
      <c r="MGG88" s="21"/>
      <c r="MGH88" s="21"/>
      <c r="MGI88" s="21"/>
      <c r="MGJ88" s="21"/>
      <c r="MGK88" s="21"/>
      <c r="MGL88" s="21"/>
      <c r="MGM88" s="21"/>
      <c r="MGN88" s="21"/>
      <c r="MGO88" s="21"/>
      <c r="MGP88" s="21"/>
      <c r="MGQ88" s="21"/>
      <c r="MGR88" s="21"/>
      <c r="MGS88" s="21"/>
      <c r="MGT88" s="21"/>
      <c r="MGU88" s="21"/>
      <c r="MGV88" s="21"/>
      <c r="MGW88" s="21"/>
      <c r="MGX88" s="21"/>
      <c r="MGY88" s="21"/>
      <c r="MGZ88" s="21"/>
      <c r="MHA88" s="21"/>
      <c r="MHB88" s="21"/>
      <c r="MHC88" s="21"/>
      <c r="MHD88" s="21"/>
      <c r="MHE88" s="21"/>
      <c r="MHF88" s="21"/>
      <c r="MHG88" s="21"/>
      <c r="MHH88" s="21"/>
      <c r="MHI88" s="21"/>
      <c r="MHJ88" s="21"/>
      <c r="MHK88" s="21"/>
      <c r="MHL88" s="21"/>
      <c r="MHM88" s="21"/>
      <c r="MHN88" s="21"/>
      <c r="MHO88" s="21"/>
      <c r="MHP88" s="21"/>
      <c r="MHQ88" s="21"/>
      <c r="MHR88" s="21"/>
      <c r="MHS88" s="21"/>
      <c r="MHT88" s="21"/>
      <c r="MHU88" s="21"/>
      <c r="MHV88" s="21"/>
      <c r="MHW88" s="21"/>
      <c r="MHX88" s="21"/>
      <c r="MHY88" s="21"/>
      <c r="MHZ88" s="21"/>
      <c r="MIA88" s="21"/>
      <c r="MIB88" s="21"/>
      <c r="MIC88" s="21"/>
      <c r="MID88" s="21"/>
      <c r="MIE88" s="21"/>
      <c r="MIF88" s="21"/>
      <c r="MIG88" s="21"/>
      <c r="MIH88" s="21"/>
      <c r="MII88" s="21"/>
      <c r="MIJ88" s="21"/>
      <c r="MIK88" s="21"/>
      <c r="MIL88" s="21"/>
      <c r="MIM88" s="21"/>
      <c r="MIN88" s="21"/>
      <c r="MIO88" s="21"/>
      <c r="MIP88" s="21"/>
      <c r="MIQ88" s="21"/>
      <c r="MIR88" s="21"/>
      <c r="MIS88" s="21"/>
      <c r="MIT88" s="21"/>
      <c r="MIU88" s="21"/>
      <c r="MIV88" s="21"/>
      <c r="MIW88" s="21"/>
      <c r="MIX88" s="21"/>
      <c r="MIY88" s="21"/>
      <c r="MIZ88" s="21"/>
      <c r="MJA88" s="21"/>
      <c r="MJB88" s="21"/>
      <c r="MJC88" s="21"/>
      <c r="MJD88" s="21"/>
      <c r="MJE88" s="21"/>
      <c r="MJF88" s="21"/>
      <c r="MJG88" s="21"/>
      <c r="MJH88" s="21"/>
      <c r="MJI88" s="21"/>
      <c r="MJJ88" s="21"/>
      <c r="MJK88" s="21"/>
      <c r="MJL88" s="21"/>
      <c r="MJM88" s="21"/>
      <c r="MJN88" s="21"/>
      <c r="MJO88" s="21"/>
      <c r="MJP88" s="21"/>
      <c r="MJQ88" s="21"/>
      <c r="MJR88" s="21"/>
      <c r="MJS88" s="21"/>
      <c r="MJT88" s="21"/>
      <c r="MJU88" s="21"/>
      <c r="MJV88" s="21"/>
      <c r="MJW88" s="21"/>
      <c r="MJX88" s="21"/>
      <c r="MJY88" s="21"/>
      <c r="MJZ88" s="21"/>
      <c r="MKA88" s="21"/>
      <c r="MKB88" s="21"/>
      <c r="MKC88" s="21"/>
      <c r="MKD88" s="21"/>
      <c r="MKE88" s="21"/>
      <c r="MKF88" s="21"/>
      <c r="MKG88" s="21"/>
      <c r="MKH88" s="21"/>
      <c r="MKI88" s="21"/>
      <c r="MKJ88" s="21"/>
      <c r="MKK88" s="21"/>
      <c r="MKL88" s="21"/>
      <c r="MKM88" s="21"/>
      <c r="MKN88" s="21"/>
      <c r="MKO88" s="21"/>
      <c r="MKP88" s="21"/>
      <c r="MKQ88" s="21"/>
      <c r="MKR88" s="21"/>
      <c r="MKS88" s="21"/>
      <c r="MKT88" s="21"/>
      <c r="MKU88" s="21"/>
      <c r="MKV88" s="21"/>
      <c r="MKW88" s="21"/>
      <c r="MKX88" s="21"/>
      <c r="MKY88" s="21"/>
      <c r="MKZ88" s="21"/>
      <c r="MLA88" s="21"/>
      <c r="MLB88" s="21"/>
      <c r="MLC88" s="21"/>
      <c r="MLD88" s="21"/>
      <c r="MLE88" s="21"/>
      <c r="MLF88" s="21"/>
      <c r="MLG88" s="21"/>
      <c r="MLH88" s="21"/>
      <c r="MLI88" s="21"/>
      <c r="MLJ88" s="21"/>
      <c r="MLK88" s="21"/>
      <c r="MLL88" s="21"/>
      <c r="MLM88" s="21"/>
      <c r="MLN88" s="21"/>
      <c r="MLO88" s="21"/>
      <c r="MLP88" s="21"/>
      <c r="MLQ88" s="21"/>
      <c r="MLR88" s="21"/>
      <c r="MLS88" s="21"/>
      <c r="MLT88" s="21"/>
      <c r="MLU88" s="21"/>
      <c r="MLV88" s="21"/>
      <c r="MLW88" s="21"/>
      <c r="MLX88" s="21"/>
      <c r="MLY88" s="21"/>
      <c r="MLZ88" s="21"/>
      <c r="MMA88" s="21"/>
      <c r="MMB88" s="21"/>
      <c r="MMC88" s="21"/>
      <c r="MMD88" s="21"/>
      <c r="MME88" s="21"/>
      <c r="MMF88" s="21"/>
      <c r="MMG88" s="21"/>
      <c r="MMH88" s="21"/>
      <c r="MMI88" s="21"/>
      <c r="MMJ88" s="21"/>
      <c r="MMK88" s="21"/>
      <c r="MML88" s="21"/>
      <c r="MMM88" s="21"/>
      <c r="MMN88" s="21"/>
      <c r="MMO88" s="21"/>
      <c r="MMP88" s="21"/>
      <c r="MMQ88" s="21"/>
      <c r="MMR88" s="21"/>
      <c r="MMS88" s="21"/>
      <c r="MMT88" s="21"/>
      <c r="MMU88" s="21"/>
      <c r="MMV88" s="21"/>
      <c r="MMW88" s="21"/>
      <c r="MMX88" s="21"/>
      <c r="MMY88" s="21"/>
      <c r="MMZ88" s="21"/>
      <c r="MNA88" s="21"/>
      <c r="MNB88" s="21"/>
      <c r="MNC88" s="21"/>
      <c r="MND88" s="21"/>
      <c r="MNE88" s="21"/>
      <c r="MNF88" s="21"/>
      <c r="MNG88" s="21"/>
      <c r="MNH88" s="21"/>
      <c r="MNI88" s="21"/>
      <c r="MNJ88" s="21"/>
      <c r="MNK88" s="21"/>
      <c r="MNL88" s="21"/>
      <c r="MNM88" s="21"/>
      <c r="MNN88" s="21"/>
      <c r="MNO88" s="21"/>
      <c r="MNP88" s="21"/>
      <c r="MNQ88" s="21"/>
      <c r="MNR88" s="21"/>
      <c r="MNS88" s="21"/>
      <c r="MNT88" s="21"/>
      <c r="MNU88" s="21"/>
      <c r="MNV88" s="21"/>
      <c r="MNW88" s="21"/>
      <c r="MNX88" s="21"/>
      <c r="MNY88" s="21"/>
      <c r="MNZ88" s="21"/>
      <c r="MOA88" s="21"/>
      <c r="MOB88" s="21"/>
      <c r="MOC88" s="21"/>
      <c r="MOD88" s="21"/>
      <c r="MOE88" s="21"/>
      <c r="MOF88" s="21"/>
      <c r="MOG88" s="21"/>
      <c r="MOH88" s="21"/>
      <c r="MOI88" s="21"/>
      <c r="MOJ88" s="21"/>
      <c r="MOK88" s="21"/>
      <c r="MOL88" s="21"/>
      <c r="MOM88" s="21"/>
      <c r="MON88" s="21"/>
      <c r="MOO88" s="21"/>
      <c r="MOP88" s="21"/>
      <c r="MOQ88" s="21"/>
      <c r="MOR88" s="21"/>
      <c r="MOS88" s="21"/>
      <c r="MOT88" s="21"/>
      <c r="MOU88" s="21"/>
      <c r="MOV88" s="21"/>
      <c r="MOW88" s="21"/>
      <c r="MOX88" s="21"/>
      <c r="MOY88" s="21"/>
      <c r="MOZ88" s="21"/>
      <c r="MPA88" s="21"/>
      <c r="MPB88" s="21"/>
      <c r="MPC88" s="21"/>
      <c r="MPD88" s="21"/>
      <c r="MPE88" s="21"/>
      <c r="MPF88" s="21"/>
      <c r="MPG88" s="21"/>
      <c r="MPH88" s="21"/>
      <c r="MPI88" s="21"/>
      <c r="MPJ88" s="21"/>
      <c r="MPK88" s="21"/>
      <c r="MPL88" s="21"/>
      <c r="MPM88" s="21"/>
      <c r="MPN88" s="21"/>
      <c r="MPO88" s="21"/>
      <c r="MPP88" s="21"/>
      <c r="MPQ88" s="21"/>
      <c r="MPR88" s="21"/>
      <c r="MPS88" s="21"/>
      <c r="MPT88" s="21"/>
      <c r="MPU88" s="21"/>
      <c r="MPV88" s="21"/>
      <c r="MPW88" s="21"/>
      <c r="MPX88" s="21"/>
      <c r="MPY88" s="21"/>
      <c r="MPZ88" s="21"/>
      <c r="MQA88" s="21"/>
      <c r="MQB88" s="21"/>
      <c r="MQC88" s="21"/>
      <c r="MQD88" s="21"/>
      <c r="MQE88" s="21"/>
      <c r="MQF88" s="21"/>
      <c r="MQG88" s="21"/>
      <c r="MQH88" s="21"/>
      <c r="MQI88" s="21"/>
      <c r="MQJ88" s="21"/>
      <c r="MQK88" s="21"/>
      <c r="MQL88" s="21"/>
      <c r="MQM88" s="21"/>
      <c r="MQN88" s="21"/>
      <c r="MQO88" s="21"/>
      <c r="MQP88" s="21"/>
      <c r="MQQ88" s="21"/>
      <c r="MQR88" s="21"/>
      <c r="MQS88" s="21"/>
      <c r="MQT88" s="21"/>
      <c r="MQU88" s="21"/>
      <c r="MQV88" s="21"/>
      <c r="MQW88" s="21"/>
      <c r="MQX88" s="21"/>
      <c r="MQY88" s="21"/>
      <c r="MQZ88" s="21"/>
      <c r="MRA88" s="21"/>
      <c r="MRB88" s="21"/>
      <c r="MRC88" s="21"/>
      <c r="MRD88" s="21"/>
      <c r="MRE88" s="21"/>
      <c r="MRF88" s="21"/>
      <c r="MRG88" s="21"/>
      <c r="MRH88" s="21"/>
      <c r="MRI88" s="21"/>
      <c r="MRJ88" s="21"/>
      <c r="MRK88" s="21"/>
      <c r="MRL88" s="21"/>
      <c r="MRM88" s="21"/>
      <c r="MRN88" s="21"/>
      <c r="MRO88" s="21"/>
      <c r="MRP88" s="21"/>
      <c r="MRQ88" s="21"/>
      <c r="MRR88" s="21"/>
      <c r="MRS88" s="21"/>
      <c r="MRT88" s="21"/>
      <c r="MRU88" s="21"/>
      <c r="MRV88" s="21"/>
      <c r="MRW88" s="21"/>
      <c r="MRX88" s="21"/>
      <c r="MRY88" s="21"/>
      <c r="MRZ88" s="21"/>
      <c r="MSA88" s="21"/>
      <c r="MSB88" s="21"/>
      <c r="MSC88" s="21"/>
      <c r="MSD88" s="21"/>
      <c r="MSE88" s="21"/>
      <c r="MSF88" s="21"/>
      <c r="MSG88" s="21"/>
      <c r="MSH88" s="21"/>
      <c r="MSI88" s="21"/>
      <c r="MSJ88" s="21"/>
      <c r="MSK88" s="21"/>
      <c r="MSL88" s="21"/>
      <c r="MSM88" s="21"/>
      <c r="MSN88" s="21"/>
      <c r="MSO88" s="21"/>
      <c r="MSP88" s="21"/>
      <c r="MSQ88" s="21"/>
      <c r="MSR88" s="21"/>
      <c r="MSS88" s="21"/>
      <c r="MST88" s="21"/>
      <c r="MSU88" s="21"/>
      <c r="MSV88" s="21"/>
      <c r="MSW88" s="21"/>
      <c r="MSX88" s="21"/>
      <c r="MSY88" s="21"/>
      <c r="MSZ88" s="21"/>
      <c r="MTA88" s="21"/>
      <c r="MTB88" s="21"/>
      <c r="MTC88" s="21"/>
      <c r="MTD88" s="21"/>
      <c r="MTE88" s="21"/>
      <c r="MTF88" s="21"/>
      <c r="MTG88" s="21"/>
      <c r="MTH88" s="21"/>
      <c r="MTI88" s="21"/>
      <c r="MTJ88" s="21"/>
      <c r="MTK88" s="21"/>
      <c r="MTL88" s="21"/>
      <c r="MTM88" s="21"/>
      <c r="MTN88" s="21"/>
      <c r="MTO88" s="21"/>
      <c r="MTP88" s="21"/>
      <c r="MTQ88" s="21"/>
      <c r="MTR88" s="21"/>
      <c r="MTS88" s="21"/>
      <c r="MTT88" s="21"/>
      <c r="MTU88" s="21"/>
      <c r="MTV88" s="21"/>
      <c r="MTW88" s="21"/>
      <c r="MTX88" s="21"/>
      <c r="MTY88" s="21"/>
      <c r="MTZ88" s="21"/>
      <c r="MUA88" s="21"/>
      <c r="MUB88" s="21"/>
      <c r="MUC88" s="21"/>
      <c r="MUD88" s="21"/>
      <c r="MUE88" s="21"/>
      <c r="MUF88" s="21"/>
      <c r="MUG88" s="21"/>
      <c r="MUH88" s="21"/>
      <c r="MUI88" s="21"/>
      <c r="MUJ88" s="21"/>
      <c r="MUK88" s="21"/>
      <c r="MUL88" s="21"/>
      <c r="MUM88" s="21"/>
      <c r="MUN88" s="21"/>
      <c r="MUO88" s="21"/>
      <c r="MUP88" s="21"/>
      <c r="MUQ88" s="21"/>
      <c r="MUR88" s="21"/>
      <c r="MUS88" s="21"/>
      <c r="MUT88" s="21"/>
      <c r="MUU88" s="21"/>
      <c r="MUV88" s="21"/>
      <c r="MUW88" s="21"/>
      <c r="MUX88" s="21"/>
      <c r="MUY88" s="21"/>
      <c r="MUZ88" s="21"/>
      <c r="MVA88" s="21"/>
      <c r="MVB88" s="21"/>
      <c r="MVC88" s="21"/>
      <c r="MVD88" s="21"/>
      <c r="MVE88" s="21"/>
      <c r="MVF88" s="21"/>
      <c r="MVG88" s="21"/>
      <c r="MVH88" s="21"/>
      <c r="MVI88" s="21"/>
      <c r="MVJ88" s="21"/>
      <c r="MVK88" s="21"/>
      <c r="MVL88" s="21"/>
      <c r="MVM88" s="21"/>
      <c r="MVN88" s="21"/>
      <c r="MVO88" s="21"/>
      <c r="MVP88" s="21"/>
      <c r="MVQ88" s="21"/>
      <c r="MVR88" s="21"/>
      <c r="MVS88" s="21"/>
      <c r="MVT88" s="21"/>
      <c r="MVU88" s="21"/>
      <c r="MVV88" s="21"/>
      <c r="MVW88" s="21"/>
      <c r="MVX88" s="21"/>
      <c r="MVY88" s="21"/>
      <c r="MVZ88" s="21"/>
      <c r="MWA88" s="21"/>
      <c r="MWB88" s="21"/>
      <c r="MWC88" s="21"/>
      <c r="MWD88" s="21"/>
      <c r="MWE88" s="21"/>
      <c r="MWF88" s="21"/>
      <c r="MWG88" s="21"/>
      <c r="MWH88" s="21"/>
      <c r="MWI88" s="21"/>
      <c r="MWJ88" s="21"/>
      <c r="MWK88" s="21"/>
      <c r="MWL88" s="21"/>
      <c r="MWM88" s="21"/>
      <c r="MWN88" s="21"/>
      <c r="MWO88" s="21"/>
      <c r="MWP88" s="21"/>
      <c r="MWQ88" s="21"/>
      <c r="MWR88" s="21"/>
      <c r="MWS88" s="21"/>
      <c r="MWT88" s="21"/>
      <c r="MWU88" s="21"/>
      <c r="MWV88" s="21"/>
      <c r="MWW88" s="21"/>
      <c r="MWX88" s="21"/>
      <c r="MWY88" s="21"/>
      <c r="MWZ88" s="21"/>
      <c r="MXA88" s="21"/>
      <c r="MXB88" s="21"/>
      <c r="MXC88" s="21"/>
      <c r="MXD88" s="21"/>
      <c r="MXE88" s="21"/>
      <c r="MXF88" s="21"/>
      <c r="MXG88" s="21"/>
      <c r="MXH88" s="21"/>
      <c r="MXI88" s="21"/>
      <c r="MXJ88" s="21"/>
      <c r="MXK88" s="21"/>
      <c r="MXL88" s="21"/>
      <c r="MXM88" s="21"/>
      <c r="MXN88" s="21"/>
      <c r="MXO88" s="21"/>
      <c r="MXP88" s="21"/>
      <c r="MXQ88" s="21"/>
      <c r="MXR88" s="21"/>
      <c r="MXS88" s="21"/>
      <c r="MXT88" s="21"/>
      <c r="MXU88" s="21"/>
      <c r="MXV88" s="21"/>
      <c r="MXW88" s="21"/>
      <c r="MXX88" s="21"/>
      <c r="MXY88" s="21"/>
      <c r="MXZ88" s="21"/>
      <c r="MYA88" s="21"/>
      <c r="MYB88" s="21"/>
      <c r="MYC88" s="21"/>
      <c r="MYD88" s="21"/>
      <c r="MYE88" s="21"/>
      <c r="MYF88" s="21"/>
      <c r="MYG88" s="21"/>
      <c r="MYH88" s="21"/>
      <c r="MYI88" s="21"/>
      <c r="MYJ88" s="21"/>
      <c r="MYK88" s="21"/>
      <c r="MYL88" s="21"/>
      <c r="MYM88" s="21"/>
      <c r="MYN88" s="21"/>
      <c r="MYO88" s="21"/>
      <c r="MYP88" s="21"/>
      <c r="MYQ88" s="21"/>
      <c r="MYR88" s="21"/>
      <c r="MYS88" s="21"/>
      <c r="MYT88" s="21"/>
      <c r="MYU88" s="21"/>
      <c r="MYV88" s="21"/>
      <c r="MYW88" s="21"/>
      <c r="MYX88" s="21"/>
      <c r="MYY88" s="21"/>
      <c r="MYZ88" s="21"/>
      <c r="MZA88" s="21"/>
      <c r="MZB88" s="21"/>
      <c r="MZC88" s="21"/>
      <c r="MZD88" s="21"/>
      <c r="MZE88" s="21"/>
      <c r="MZF88" s="21"/>
      <c r="MZG88" s="21"/>
      <c r="MZH88" s="21"/>
      <c r="MZI88" s="21"/>
      <c r="MZJ88" s="21"/>
      <c r="MZK88" s="21"/>
      <c r="MZL88" s="21"/>
      <c r="MZM88" s="21"/>
      <c r="MZN88" s="21"/>
      <c r="MZO88" s="21"/>
      <c r="MZP88" s="21"/>
      <c r="MZQ88" s="21"/>
      <c r="MZR88" s="21"/>
      <c r="MZS88" s="21"/>
      <c r="MZT88" s="21"/>
      <c r="MZU88" s="21"/>
      <c r="MZV88" s="21"/>
      <c r="MZW88" s="21"/>
      <c r="MZX88" s="21"/>
      <c r="MZY88" s="21"/>
      <c r="MZZ88" s="21"/>
      <c r="NAA88" s="21"/>
      <c r="NAB88" s="21"/>
      <c r="NAC88" s="21"/>
      <c r="NAD88" s="21"/>
      <c r="NAE88" s="21"/>
      <c r="NAF88" s="21"/>
      <c r="NAG88" s="21"/>
      <c r="NAH88" s="21"/>
      <c r="NAI88" s="21"/>
      <c r="NAJ88" s="21"/>
      <c r="NAK88" s="21"/>
      <c r="NAL88" s="21"/>
      <c r="NAM88" s="21"/>
      <c r="NAN88" s="21"/>
      <c r="NAO88" s="21"/>
      <c r="NAP88" s="21"/>
      <c r="NAQ88" s="21"/>
      <c r="NAR88" s="21"/>
      <c r="NAS88" s="21"/>
      <c r="NAT88" s="21"/>
      <c r="NAU88" s="21"/>
      <c r="NAV88" s="21"/>
      <c r="NAW88" s="21"/>
      <c r="NAX88" s="21"/>
      <c r="NAY88" s="21"/>
      <c r="NAZ88" s="21"/>
      <c r="NBA88" s="21"/>
      <c r="NBB88" s="21"/>
      <c r="NBC88" s="21"/>
      <c r="NBD88" s="21"/>
      <c r="NBE88" s="21"/>
      <c r="NBF88" s="21"/>
      <c r="NBG88" s="21"/>
      <c r="NBH88" s="21"/>
      <c r="NBI88" s="21"/>
      <c r="NBJ88" s="21"/>
      <c r="NBK88" s="21"/>
      <c r="NBL88" s="21"/>
      <c r="NBM88" s="21"/>
      <c r="NBN88" s="21"/>
      <c r="NBO88" s="21"/>
      <c r="NBP88" s="21"/>
      <c r="NBQ88" s="21"/>
      <c r="NBR88" s="21"/>
      <c r="NBS88" s="21"/>
      <c r="NBT88" s="21"/>
      <c r="NBU88" s="21"/>
      <c r="NBV88" s="21"/>
      <c r="NBW88" s="21"/>
      <c r="NBX88" s="21"/>
      <c r="NBY88" s="21"/>
      <c r="NBZ88" s="21"/>
      <c r="NCA88" s="21"/>
      <c r="NCB88" s="21"/>
      <c r="NCC88" s="21"/>
      <c r="NCD88" s="21"/>
      <c r="NCE88" s="21"/>
      <c r="NCF88" s="21"/>
      <c r="NCG88" s="21"/>
      <c r="NCH88" s="21"/>
      <c r="NCI88" s="21"/>
      <c r="NCJ88" s="21"/>
      <c r="NCK88" s="21"/>
      <c r="NCL88" s="21"/>
      <c r="NCM88" s="21"/>
      <c r="NCN88" s="21"/>
      <c r="NCO88" s="21"/>
      <c r="NCP88" s="21"/>
      <c r="NCQ88" s="21"/>
      <c r="NCR88" s="21"/>
      <c r="NCS88" s="21"/>
      <c r="NCT88" s="21"/>
      <c r="NCU88" s="21"/>
      <c r="NCV88" s="21"/>
      <c r="NCW88" s="21"/>
      <c r="NCX88" s="21"/>
      <c r="NCY88" s="21"/>
      <c r="NCZ88" s="21"/>
      <c r="NDA88" s="21"/>
      <c r="NDB88" s="21"/>
      <c r="NDC88" s="21"/>
      <c r="NDD88" s="21"/>
      <c r="NDE88" s="21"/>
      <c r="NDF88" s="21"/>
      <c r="NDG88" s="21"/>
      <c r="NDH88" s="21"/>
      <c r="NDI88" s="21"/>
      <c r="NDJ88" s="21"/>
      <c r="NDK88" s="21"/>
      <c r="NDL88" s="21"/>
      <c r="NDM88" s="21"/>
      <c r="NDN88" s="21"/>
      <c r="NDO88" s="21"/>
      <c r="NDP88" s="21"/>
      <c r="NDQ88" s="21"/>
      <c r="NDR88" s="21"/>
      <c r="NDS88" s="21"/>
      <c r="NDT88" s="21"/>
      <c r="NDU88" s="21"/>
      <c r="NDV88" s="21"/>
      <c r="NDW88" s="21"/>
      <c r="NDX88" s="21"/>
      <c r="NDY88" s="21"/>
      <c r="NDZ88" s="21"/>
      <c r="NEA88" s="21"/>
      <c r="NEB88" s="21"/>
      <c r="NEC88" s="21"/>
      <c r="NED88" s="21"/>
      <c r="NEE88" s="21"/>
      <c r="NEF88" s="21"/>
      <c r="NEG88" s="21"/>
      <c r="NEH88" s="21"/>
      <c r="NEI88" s="21"/>
      <c r="NEJ88" s="21"/>
      <c r="NEK88" s="21"/>
      <c r="NEL88" s="21"/>
      <c r="NEM88" s="21"/>
      <c r="NEN88" s="21"/>
      <c r="NEO88" s="21"/>
      <c r="NEP88" s="21"/>
      <c r="NEQ88" s="21"/>
      <c r="NER88" s="21"/>
      <c r="NES88" s="21"/>
      <c r="NET88" s="21"/>
      <c r="NEU88" s="21"/>
      <c r="NEV88" s="21"/>
      <c r="NEW88" s="21"/>
      <c r="NEX88" s="21"/>
      <c r="NEY88" s="21"/>
      <c r="NEZ88" s="21"/>
      <c r="NFA88" s="21"/>
      <c r="NFB88" s="21"/>
      <c r="NFC88" s="21"/>
      <c r="NFD88" s="21"/>
      <c r="NFE88" s="21"/>
      <c r="NFF88" s="21"/>
      <c r="NFG88" s="21"/>
      <c r="NFH88" s="21"/>
      <c r="NFI88" s="21"/>
      <c r="NFJ88" s="21"/>
      <c r="NFK88" s="21"/>
      <c r="NFL88" s="21"/>
      <c r="NFM88" s="21"/>
      <c r="NFN88" s="21"/>
      <c r="NFO88" s="21"/>
      <c r="NFP88" s="21"/>
      <c r="NFQ88" s="21"/>
      <c r="NFR88" s="21"/>
      <c r="NFS88" s="21"/>
      <c r="NFT88" s="21"/>
      <c r="NFU88" s="21"/>
      <c r="NFV88" s="21"/>
      <c r="NFW88" s="21"/>
      <c r="NFX88" s="21"/>
      <c r="NFY88" s="21"/>
      <c r="NFZ88" s="21"/>
      <c r="NGA88" s="21"/>
      <c r="NGB88" s="21"/>
      <c r="NGC88" s="21"/>
      <c r="NGD88" s="21"/>
      <c r="NGE88" s="21"/>
      <c r="NGF88" s="21"/>
      <c r="NGG88" s="21"/>
      <c r="NGH88" s="21"/>
      <c r="NGI88" s="21"/>
      <c r="NGJ88" s="21"/>
      <c r="NGK88" s="21"/>
      <c r="NGL88" s="21"/>
      <c r="NGM88" s="21"/>
      <c r="NGN88" s="21"/>
      <c r="NGO88" s="21"/>
      <c r="NGP88" s="21"/>
      <c r="NGQ88" s="21"/>
      <c r="NGR88" s="21"/>
      <c r="NGS88" s="21"/>
      <c r="NGT88" s="21"/>
      <c r="NGU88" s="21"/>
      <c r="NGV88" s="21"/>
      <c r="NGW88" s="21"/>
      <c r="NGX88" s="21"/>
      <c r="NGY88" s="21"/>
      <c r="NGZ88" s="21"/>
      <c r="NHA88" s="21"/>
      <c r="NHB88" s="21"/>
      <c r="NHC88" s="21"/>
      <c r="NHD88" s="21"/>
      <c r="NHE88" s="21"/>
      <c r="NHF88" s="21"/>
      <c r="NHG88" s="21"/>
      <c r="NHH88" s="21"/>
      <c r="NHI88" s="21"/>
      <c r="NHJ88" s="21"/>
      <c r="NHK88" s="21"/>
      <c r="NHL88" s="21"/>
      <c r="NHM88" s="21"/>
      <c r="NHN88" s="21"/>
      <c r="NHO88" s="21"/>
      <c r="NHP88" s="21"/>
      <c r="NHQ88" s="21"/>
      <c r="NHR88" s="21"/>
      <c r="NHS88" s="21"/>
      <c r="NHT88" s="21"/>
      <c r="NHU88" s="21"/>
      <c r="NHV88" s="21"/>
      <c r="NHW88" s="21"/>
      <c r="NHX88" s="21"/>
      <c r="NHY88" s="21"/>
      <c r="NHZ88" s="21"/>
      <c r="NIA88" s="21"/>
      <c r="NIB88" s="21"/>
      <c r="NIC88" s="21"/>
      <c r="NID88" s="21"/>
      <c r="NIE88" s="21"/>
      <c r="NIF88" s="21"/>
      <c r="NIG88" s="21"/>
      <c r="NIH88" s="21"/>
      <c r="NII88" s="21"/>
      <c r="NIJ88" s="21"/>
      <c r="NIK88" s="21"/>
      <c r="NIL88" s="21"/>
      <c r="NIM88" s="21"/>
      <c r="NIN88" s="21"/>
      <c r="NIO88" s="21"/>
      <c r="NIP88" s="21"/>
      <c r="NIQ88" s="21"/>
      <c r="NIR88" s="21"/>
      <c r="NIS88" s="21"/>
      <c r="NIT88" s="21"/>
      <c r="NIU88" s="21"/>
      <c r="NIV88" s="21"/>
      <c r="NIW88" s="21"/>
      <c r="NIX88" s="21"/>
      <c r="NIY88" s="21"/>
      <c r="NIZ88" s="21"/>
      <c r="NJA88" s="21"/>
      <c r="NJB88" s="21"/>
      <c r="NJC88" s="21"/>
      <c r="NJD88" s="21"/>
      <c r="NJE88" s="21"/>
      <c r="NJF88" s="21"/>
      <c r="NJG88" s="21"/>
      <c r="NJH88" s="21"/>
      <c r="NJI88" s="21"/>
      <c r="NJJ88" s="21"/>
      <c r="NJK88" s="21"/>
      <c r="NJL88" s="21"/>
      <c r="NJM88" s="21"/>
      <c r="NJN88" s="21"/>
      <c r="NJO88" s="21"/>
      <c r="NJP88" s="21"/>
      <c r="NJQ88" s="21"/>
      <c r="NJR88" s="21"/>
      <c r="NJS88" s="21"/>
      <c r="NJT88" s="21"/>
      <c r="NJU88" s="21"/>
      <c r="NJV88" s="21"/>
      <c r="NJW88" s="21"/>
      <c r="NJX88" s="21"/>
      <c r="NJY88" s="21"/>
      <c r="NJZ88" s="21"/>
      <c r="NKA88" s="21"/>
      <c r="NKB88" s="21"/>
      <c r="NKC88" s="21"/>
      <c r="NKD88" s="21"/>
      <c r="NKE88" s="21"/>
      <c r="NKF88" s="21"/>
      <c r="NKG88" s="21"/>
      <c r="NKH88" s="21"/>
      <c r="NKI88" s="21"/>
      <c r="NKJ88" s="21"/>
      <c r="NKK88" s="21"/>
      <c r="NKL88" s="21"/>
      <c r="NKM88" s="21"/>
      <c r="NKN88" s="21"/>
      <c r="NKO88" s="21"/>
      <c r="NKP88" s="21"/>
      <c r="NKQ88" s="21"/>
      <c r="NKR88" s="21"/>
      <c r="NKS88" s="21"/>
      <c r="NKT88" s="21"/>
      <c r="NKU88" s="21"/>
      <c r="NKV88" s="21"/>
      <c r="NKW88" s="21"/>
      <c r="NKX88" s="21"/>
      <c r="NKY88" s="21"/>
      <c r="NKZ88" s="21"/>
      <c r="NLA88" s="21"/>
      <c r="NLB88" s="21"/>
      <c r="NLC88" s="21"/>
      <c r="NLD88" s="21"/>
      <c r="NLE88" s="21"/>
      <c r="NLF88" s="21"/>
      <c r="NLG88" s="21"/>
      <c r="NLH88" s="21"/>
      <c r="NLI88" s="21"/>
      <c r="NLJ88" s="21"/>
      <c r="NLK88" s="21"/>
      <c r="NLL88" s="21"/>
      <c r="NLM88" s="21"/>
      <c r="NLN88" s="21"/>
      <c r="NLO88" s="21"/>
      <c r="NLP88" s="21"/>
      <c r="NLQ88" s="21"/>
      <c r="NLR88" s="21"/>
      <c r="NLS88" s="21"/>
      <c r="NLT88" s="21"/>
      <c r="NLU88" s="21"/>
      <c r="NLV88" s="21"/>
      <c r="NLW88" s="21"/>
      <c r="NLX88" s="21"/>
      <c r="NLY88" s="21"/>
      <c r="NLZ88" s="21"/>
      <c r="NMA88" s="21"/>
      <c r="NMB88" s="21"/>
      <c r="NMC88" s="21"/>
      <c r="NMD88" s="21"/>
      <c r="NME88" s="21"/>
      <c r="NMF88" s="21"/>
      <c r="NMG88" s="21"/>
      <c r="NMH88" s="21"/>
      <c r="NMI88" s="21"/>
      <c r="NMJ88" s="21"/>
      <c r="NMK88" s="21"/>
      <c r="NML88" s="21"/>
      <c r="NMM88" s="21"/>
      <c r="NMN88" s="21"/>
      <c r="NMO88" s="21"/>
      <c r="NMP88" s="21"/>
      <c r="NMQ88" s="21"/>
      <c r="NMR88" s="21"/>
      <c r="NMS88" s="21"/>
      <c r="NMT88" s="21"/>
      <c r="NMU88" s="21"/>
      <c r="NMV88" s="21"/>
      <c r="NMW88" s="21"/>
      <c r="NMX88" s="21"/>
      <c r="NMY88" s="21"/>
      <c r="NMZ88" s="21"/>
      <c r="NNA88" s="21"/>
      <c r="NNB88" s="21"/>
      <c r="NNC88" s="21"/>
      <c r="NND88" s="21"/>
      <c r="NNE88" s="21"/>
      <c r="NNF88" s="21"/>
      <c r="NNG88" s="21"/>
      <c r="NNH88" s="21"/>
      <c r="NNI88" s="21"/>
      <c r="NNJ88" s="21"/>
      <c r="NNK88" s="21"/>
      <c r="NNL88" s="21"/>
      <c r="NNM88" s="21"/>
      <c r="NNN88" s="21"/>
      <c r="NNO88" s="21"/>
      <c r="NNP88" s="21"/>
      <c r="NNQ88" s="21"/>
      <c r="NNR88" s="21"/>
      <c r="NNS88" s="21"/>
      <c r="NNT88" s="21"/>
      <c r="NNU88" s="21"/>
      <c r="NNV88" s="21"/>
      <c r="NNW88" s="21"/>
      <c r="NNX88" s="21"/>
      <c r="NNY88" s="21"/>
      <c r="NNZ88" s="21"/>
      <c r="NOA88" s="21"/>
      <c r="NOB88" s="21"/>
      <c r="NOC88" s="21"/>
      <c r="NOD88" s="21"/>
      <c r="NOE88" s="21"/>
      <c r="NOF88" s="21"/>
      <c r="NOG88" s="21"/>
      <c r="NOH88" s="21"/>
      <c r="NOI88" s="21"/>
      <c r="NOJ88" s="21"/>
      <c r="NOK88" s="21"/>
      <c r="NOL88" s="21"/>
      <c r="NOM88" s="21"/>
      <c r="NON88" s="21"/>
      <c r="NOO88" s="21"/>
      <c r="NOP88" s="21"/>
      <c r="NOQ88" s="21"/>
      <c r="NOR88" s="21"/>
      <c r="NOS88" s="21"/>
      <c r="NOT88" s="21"/>
      <c r="NOU88" s="21"/>
      <c r="NOV88" s="21"/>
      <c r="NOW88" s="21"/>
      <c r="NOX88" s="21"/>
      <c r="NOY88" s="21"/>
      <c r="NOZ88" s="21"/>
      <c r="NPA88" s="21"/>
      <c r="NPB88" s="21"/>
      <c r="NPC88" s="21"/>
      <c r="NPD88" s="21"/>
      <c r="NPE88" s="21"/>
      <c r="NPF88" s="21"/>
      <c r="NPG88" s="21"/>
      <c r="NPH88" s="21"/>
      <c r="NPI88" s="21"/>
      <c r="NPJ88" s="21"/>
      <c r="NPK88" s="21"/>
      <c r="NPL88" s="21"/>
      <c r="NPM88" s="21"/>
      <c r="NPN88" s="21"/>
      <c r="NPO88" s="21"/>
      <c r="NPP88" s="21"/>
      <c r="NPQ88" s="21"/>
      <c r="NPR88" s="21"/>
      <c r="NPS88" s="21"/>
      <c r="NPT88" s="21"/>
      <c r="NPU88" s="21"/>
      <c r="NPV88" s="21"/>
      <c r="NPW88" s="21"/>
      <c r="NPX88" s="21"/>
      <c r="NPY88" s="21"/>
      <c r="NPZ88" s="21"/>
      <c r="NQA88" s="21"/>
      <c r="NQB88" s="21"/>
      <c r="NQC88" s="21"/>
      <c r="NQD88" s="21"/>
      <c r="NQE88" s="21"/>
      <c r="NQF88" s="21"/>
      <c r="NQG88" s="21"/>
      <c r="NQH88" s="21"/>
      <c r="NQI88" s="21"/>
      <c r="NQJ88" s="21"/>
      <c r="NQK88" s="21"/>
      <c r="NQL88" s="21"/>
      <c r="NQM88" s="21"/>
      <c r="NQN88" s="21"/>
      <c r="NQO88" s="21"/>
      <c r="NQP88" s="21"/>
      <c r="NQQ88" s="21"/>
      <c r="NQR88" s="21"/>
      <c r="NQS88" s="21"/>
      <c r="NQT88" s="21"/>
      <c r="NQU88" s="21"/>
      <c r="NQV88" s="21"/>
      <c r="NQW88" s="21"/>
      <c r="NQX88" s="21"/>
      <c r="NQY88" s="21"/>
      <c r="NQZ88" s="21"/>
      <c r="NRA88" s="21"/>
      <c r="NRB88" s="21"/>
      <c r="NRC88" s="21"/>
      <c r="NRD88" s="21"/>
      <c r="NRE88" s="21"/>
      <c r="NRF88" s="21"/>
      <c r="NRG88" s="21"/>
      <c r="NRH88" s="21"/>
      <c r="NRI88" s="21"/>
      <c r="NRJ88" s="21"/>
      <c r="NRK88" s="21"/>
      <c r="NRL88" s="21"/>
      <c r="NRM88" s="21"/>
      <c r="NRN88" s="21"/>
      <c r="NRO88" s="21"/>
      <c r="NRP88" s="21"/>
      <c r="NRQ88" s="21"/>
      <c r="NRR88" s="21"/>
      <c r="NRS88" s="21"/>
      <c r="NRT88" s="21"/>
      <c r="NRU88" s="21"/>
      <c r="NRV88" s="21"/>
      <c r="NRW88" s="21"/>
      <c r="NRX88" s="21"/>
      <c r="NRY88" s="21"/>
      <c r="NRZ88" s="21"/>
      <c r="NSA88" s="21"/>
      <c r="NSB88" s="21"/>
      <c r="NSC88" s="21"/>
      <c r="NSD88" s="21"/>
      <c r="NSE88" s="21"/>
      <c r="NSF88" s="21"/>
      <c r="NSG88" s="21"/>
      <c r="NSH88" s="21"/>
      <c r="NSI88" s="21"/>
      <c r="NSJ88" s="21"/>
      <c r="NSK88" s="21"/>
      <c r="NSL88" s="21"/>
      <c r="NSM88" s="21"/>
      <c r="NSN88" s="21"/>
      <c r="NSO88" s="21"/>
      <c r="NSP88" s="21"/>
      <c r="NSQ88" s="21"/>
      <c r="NSR88" s="21"/>
      <c r="NSS88" s="21"/>
      <c r="NST88" s="21"/>
      <c r="NSU88" s="21"/>
      <c r="NSV88" s="21"/>
      <c r="NSW88" s="21"/>
      <c r="NSX88" s="21"/>
      <c r="NSY88" s="21"/>
      <c r="NSZ88" s="21"/>
      <c r="NTA88" s="21"/>
      <c r="NTB88" s="21"/>
      <c r="NTC88" s="21"/>
      <c r="NTD88" s="21"/>
      <c r="NTE88" s="21"/>
      <c r="NTF88" s="21"/>
      <c r="NTG88" s="21"/>
      <c r="NTH88" s="21"/>
      <c r="NTI88" s="21"/>
      <c r="NTJ88" s="21"/>
      <c r="NTK88" s="21"/>
      <c r="NTL88" s="21"/>
      <c r="NTM88" s="21"/>
      <c r="NTN88" s="21"/>
      <c r="NTO88" s="21"/>
      <c r="NTP88" s="21"/>
      <c r="NTQ88" s="21"/>
      <c r="NTR88" s="21"/>
      <c r="NTS88" s="21"/>
      <c r="NTT88" s="21"/>
      <c r="NTU88" s="21"/>
      <c r="NTV88" s="21"/>
      <c r="NTW88" s="21"/>
      <c r="NTX88" s="21"/>
      <c r="NTY88" s="21"/>
      <c r="NTZ88" s="21"/>
      <c r="NUA88" s="21"/>
      <c r="NUB88" s="21"/>
      <c r="NUC88" s="21"/>
      <c r="NUD88" s="21"/>
      <c r="NUE88" s="21"/>
      <c r="NUF88" s="21"/>
      <c r="NUG88" s="21"/>
      <c r="NUH88" s="21"/>
      <c r="NUI88" s="21"/>
      <c r="NUJ88" s="21"/>
      <c r="NUK88" s="21"/>
      <c r="NUL88" s="21"/>
      <c r="NUM88" s="21"/>
      <c r="NUN88" s="21"/>
      <c r="NUO88" s="21"/>
      <c r="NUP88" s="21"/>
      <c r="NUQ88" s="21"/>
      <c r="NUR88" s="21"/>
      <c r="NUS88" s="21"/>
      <c r="NUT88" s="21"/>
      <c r="NUU88" s="21"/>
      <c r="NUV88" s="21"/>
      <c r="NUW88" s="21"/>
      <c r="NUX88" s="21"/>
      <c r="NUY88" s="21"/>
      <c r="NUZ88" s="21"/>
      <c r="NVA88" s="21"/>
      <c r="NVB88" s="21"/>
      <c r="NVC88" s="21"/>
      <c r="NVD88" s="21"/>
      <c r="NVE88" s="21"/>
      <c r="NVF88" s="21"/>
      <c r="NVG88" s="21"/>
      <c r="NVH88" s="21"/>
      <c r="NVI88" s="21"/>
      <c r="NVJ88" s="21"/>
      <c r="NVK88" s="21"/>
      <c r="NVL88" s="21"/>
      <c r="NVM88" s="21"/>
      <c r="NVN88" s="21"/>
      <c r="NVO88" s="21"/>
      <c r="NVP88" s="21"/>
      <c r="NVQ88" s="21"/>
      <c r="NVR88" s="21"/>
      <c r="NVS88" s="21"/>
      <c r="NVT88" s="21"/>
      <c r="NVU88" s="21"/>
      <c r="NVV88" s="21"/>
      <c r="NVW88" s="21"/>
      <c r="NVX88" s="21"/>
      <c r="NVY88" s="21"/>
      <c r="NVZ88" s="21"/>
      <c r="NWA88" s="21"/>
      <c r="NWB88" s="21"/>
      <c r="NWC88" s="21"/>
      <c r="NWD88" s="21"/>
      <c r="NWE88" s="21"/>
      <c r="NWF88" s="21"/>
      <c r="NWG88" s="21"/>
      <c r="NWH88" s="21"/>
      <c r="NWI88" s="21"/>
      <c r="NWJ88" s="21"/>
      <c r="NWK88" s="21"/>
      <c r="NWL88" s="21"/>
      <c r="NWM88" s="21"/>
      <c r="NWN88" s="21"/>
      <c r="NWO88" s="21"/>
      <c r="NWP88" s="21"/>
      <c r="NWQ88" s="21"/>
      <c r="NWR88" s="21"/>
      <c r="NWS88" s="21"/>
      <c r="NWT88" s="21"/>
      <c r="NWU88" s="21"/>
      <c r="NWV88" s="21"/>
      <c r="NWW88" s="21"/>
      <c r="NWX88" s="21"/>
      <c r="NWY88" s="21"/>
      <c r="NWZ88" s="21"/>
      <c r="NXA88" s="21"/>
      <c r="NXB88" s="21"/>
      <c r="NXC88" s="21"/>
      <c r="NXD88" s="21"/>
      <c r="NXE88" s="21"/>
      <c r="NXF88" s="21"/>
      <c r="NXG88" s="21"/>
      <c r="NXH88" s="21"/>
      <c r="NXI88" s="21"/>
      <c r="NXJ88" s="21"/>
      <c r="NXK88" s="21"/>
      <c r="NXL88" s="21"/>
      <c r="NXM88" s="21"/>
      <c r="NXN88" s="21"/>
      <c r="NXO88" s="21"/>
      <c r="NXP88" s="21"/>
      <c r="NXQ88" s="21"/>
      <c r="NXR88" s="21"/>
      <c r="NXS88" s="21"/>
      <c r="NXT88" s="21"/>
      <c r="NXU88" s="21"/>
      <c r="NXV88" s="21"/>
      <c r="NXW88" s="21"/>
      <c r="NXX88" s="21"/>
      <c r="NXY88" s="21"/>
      <c r="NXZ88" s="21"/>
      <c r="NYA88" s="21"/>
      <c r="NYB88" s="21"/>
      <c r="NYC88" s="21"/>
      <c r="NYD88" s="21"/>
      <c r="NYE88" s="21"/>
      <c r="NYF88" s="21"/>
      <c r="NYG88" s="21"/>
      <c r="NYH88" s="21"/>
      <c r="NYI88" s="21"/>
      <c r="NYJ88" s="21"/>
      <c r="NYK88" s="21"/>
      <c r="NYL88" s="21"/>
      <c r="NYM88" s="21"/>
      <c r="NYN88" s="21"/>
      <c r="NYO88" s="21"/>
      <c r="NYP88" s="21"/>
      <c r="NYQ88" s="21"/>
      <c r="NYR88" s="21"/>
      <c r="NYS88" s="21"/>
      <c r="NYT88" s="21"/>
      <c r="NYU88" s="21"/>
      <c r="NYV88" s="21"/>
      <c r="NYW88" s="21"/>
      <c r="NYX88" s="21"/>
      <c r="NYY88" s="21"/>
      <c r="NYZ88" s="21"/>
      <c r="NZA88" s="21"/>
      <c r="NZB88" s="21"/>
      <c r="NZC88" s="21"/>
      <c r="NZD88" s="21"/>
      <c r="NZE88" s="21"/>
      <c r="NZF88" s="21"/>
      <c r="NZG88" s="21"/>
      <c r="NZH88" s="21"/>
      <c r="NZI88" s="21"/>
      <c r="NZJ88" s="21"/>
      <c r="NZK88" s="21"/>
      <c r="NZL88" s="21"/>
      <c r="NZM88" s="21"/>
      <c r="NZN88" s="21"/>
      <c r="NZO88" s="21"/>
      <c r="NZP88" s="21"/>
      <c r="NZQ88" s="21"/>
      <c r="NZR88" s="21"/>
      <c r="NZS88" s="21"/>
      <c r="NZT88" s="21"/>
      <c r="NZU88" s="21"/>
      <c r="NZV88" s="21"/>
      <c r="NZW88" s="21"/>
      <c r="NZX88" s="21"/>
      <c r="NZY88" s="21"/>
      <c r="NZZ88" s="21"/>
      <c r="OAA88" s="21"/>
      <c r="OAB88" s="21"/>
      <c r="OAC88" s="21"/>
      <c r="OAD88" s="21"/>
      <c r="OAE88" s="21"/>
      <c r="OAF88" s="21"/>
      <c r="OAG88" s="21"/>
      <c r="OAH88" s="21"/>
      <c r="OAI88" s="21"/>
      <c r="OAJ88" s="21"/>
      <c r="OAK88" s="21"/>
      <c r="OAL88" s="21"/>
      <c r="OAM88" s="21"/>
      <c r="OAN88" s="21"/>
      <c r="OAO88" s="21"/>
      <c r="OAP88" s="21"/>
      <c r="OAQ88" s="21"/>
      <c r="OAR88" s="21"/>
      <c r="OAS88" s="21"/>
      <c r="OAT88" s="21"/>
      <c r="OAU88" s="21"/>
      <c r="OAV88" s="21"/>
      <c r="OAW88" s="21"/>
      <c r="OAX88" s="21"/>
      <c r="OAY88" s="21"/>
      <c r="OAZ88" s="21"/>
      <c r="OBA88" s="21"/>
      <c r="OBB88" s="21"/>
      <c r="OBC88" s="21"/>
      <c r="OBD88" s="21"/>
      <c r="OBE88" s="21"/>
      <c r="OBF88" s="21"/>
      <c r="OBG88" s="21"/>
      <c r="OBH88" s="21"/>
      <c r="OBI88" s="21"/>
      <c r="OBJ88" s="21"/>
      <c r="OBK88" s="21"/>
      <c r="OBL88" s="21"/>
      <c r="OBM88" s="21"/>
      <c r="OBN88" s="21"/>
      <c r="OBO88" s="21"/>
      <c r="OBP88" s="21"/>
      <c r="OBQ88" s="21"/>
      <c r="OBR88" s="21"/>
      <c r="OBS88" s="21"/>
      <c r="OBT88" s="21"/>
      <c r="OBU88" s="21"/>
      <c r="OBV88" s="21"/>
      <c r="OBW88" s="21"/>
      <c r="OBX88" s="21"/>
      <c r="OBY88" s="21"/>
      <c r="OBZ88" s="21"/>
      <c r="OCA88" s="21"/>
      <c r="OCB88" s="21"/>
      <c r="OCC88" s="21"/>
      <c r="OCD88" s="21"/>
      <c r="OCE88" s="21"/>
      <c r="OCF88" s="21"/>
      <c r="OCG88" s="21"/>
      <c r="OCH88" s="21"/>
      <c r="OCI88" s="21"/>
      <c r="OCJ88" s="21"/>
      <c r="OCK88" s="21"/>
      <c r="OCL88" s="21"/>
      <c r="OCM88" s="21"/>
      <c r="OCN88" s="21"/>
      <c r="OCO88" s="21"/>
      <c r="OCP88" s="21"/>
      <c r="OCQ88" s="21"/>
      <c r="OCR88" s="21"/>
      <c r="OCS88" s="21"/>
      <c r="OCT88" s="21"/>
      <c r="OCU88" s="21"/>
      <c r="OCV88" s="21"/>
      <c r="OCW88" s="21"/>
      <c r="OCX88" s="21"/>
      <c r="OCY88" s="21"/>
      <c r="OCZ88" s="21"/>
      <c r="ODA88" s="21"/>
      <c r="ODB88" s="21"/>
      <c r="ODC88" s="21"/>
      <c r="ODD88" s="21"/>
      <c r="ODE88" s="21"/>
      <c r="ODF88" s="21"/>
      <c r="ODG88" s="21"/>
      <c r="ODH88" s="21"/>
      <c r="ODI88" s="21"/>
      <c r="ODJ88" s="21"/>
      <c r="ODK88" s="21"/>
      <c r="ODL88" s="21"/>
      <c r="ODM88" s="21"/>
      <c r="ODN88" s="21"/>
      <c r="ODO88" s="21"/>
      <c r="ODP88" s="21"/>
      <c r="ODQ88" s="21"/>
      <c r="ODR88" s="21"/>
      <c r="ODS88" s="21"/>
      <c r="ODT88" s="21"/>
      <c r="ODU88" s="21"/>
      <c r="ODV88" s="21"/>
      <c r="ODW88" s="21"/>
      <c r="ODX88" s="21"/>
      <c r="ODY88" s="21"/>
      <c r="ODZ88" s="21"/>
      <c r="OEA88" s="21"/>
      <c r="OEB88" s="21"/>
      <c r="OEC88" s="21"/>
      <c r="OED88" s="21"/>
      <c r="OEE88" s="21"/>
      <c r="OEF88" s="21"/>
      <c r="OEG88" s="21"/>
      <c r="OEH88" s="21"/>
      <c r="OEI88" s="21"/>
      <c r="OEJ88" s="21"/>
      <c r="OEK88" s="21"/>
      <c r="OEL88" s="21"/>
      <c r="OEM88" s="21"/>
      <c r="OEN88" s="21"/>
      <c r="OEO88" s="21"/>
      <c r="OEP88" s="21"/>
      <c r="OEQ88" s="21"/>
      <c r="OER88" s="21"/>
      <c r="OES88" s="21"/>
      <c r="OET88" s="21"/>
      <c r="OEU88" s="21"/>
      <c r="OEV88" s="21"/>
      <c r="OEW88" s="21"/>
      <c r="OEX88" s="21"/>
      <c r="OEY88" s="21"/>
      <c r="OEZ88" s="21"/>
      <c r="OFA88" s="21"/>
      <c r="OFB88" s="21"/>
      <c r="OFC88" s="21"/>
      <c r="OFD88" s="21"/>
      <c r="OFE88" s="21"/>
      <c r="OFF88" s="21"/>
      <c r="OFG88" s="21"/>
      <c r="OFH88" s="21"/>
      <c r="OFI88" s="21"/>
      <c r="OFJ88" s="21"/>
      <c r="OFK88" s="21"/>
      <c r="OFL88" s="21"/>
      <c r="OFM88" s="21"/>
      <c r="OFN88" s="21"/>
      <c r="OFO88" s="21"/>
      <c r="OFP88" s="21"/>
      <c r="OFQ88" s="21"/>
      <c r="OFR88" s="21"/>
      <c r="OFS88" s="21"/>
      <c r="OFT88" s="21"/>
      <c r="OFU88" s="21"/>
      <c r="OFV88" s="21"/>
      <c r="OFW88" s="21"/>
      <c r="OFX88" s="21"/>
      <c r="OFY88" s="21"/>
      <c r="OFZ88" s="21"/>
      <c r="OGA88" s="21"/>
      <c r="OGB88" s="21"/>
      <c r="OGC88" s="21"/>
      <c r="OGD88" s="21"/>
      <c r="OGE88" s="21"/>
      <c r="OGF88" s="21"/>
      <c r="OGG88" s="21"/>
      <c r="OGH88" s="21"/>
      <c r="OGI88" s="21"/>
      <c r="OGJ88" s="21"/>
      <c r="OGK88" s="21"/>
      <c r="OGL88" s="21"/>
      <c r="OGM88" s="21"/>
      <c r="OGN88" s="21"/>
      <c r="OGO88" s="21"/>
      <c r="OGP88" s="21"/>
      <c r="OGQ88" s="21"/>
      <c r="OGR88" s="21"/>
      <c r="OGS88" s="21"/>
      <c r="OGT88" s="21"/>
      <c r="OGU88" s="21"/>
      <c r="OGV88" s="21"/>
      <c r="OGW88" s="21"/>
      <c r="OGX88" s="21"/>
      <c r="OGY88" s="21"/>
      <c r="OGZ88" s="21"/>
      <c r="OHA88" s="21"/>
      <c r="OHB88" s="21"/>
      <c r="OHC88" s="21"/>
      <c r="OHD88" s="21"/>
      <c r="OHE88" s="21"/>
      <c r="OHF88" s="21"/>
      <c r="OHG88" s="21"/>
      <c r="OHH88" s="21"/>
      <c r="OHI88" s="21"/>
      <c r="OHJ88" s="21"/>
      <c r="OHK88" s="21"/>
      <c r="OHL88" s="21"/>
      <c r="OHM88" s="21"/>
      <c r="OHN88" s="21"/>
      <c r="OHO88" s="21"/>
      <c r="OHP88" s="21"/>
      <c r="OHQ88" s="21"/>
      <c r="OHR88" s="21"/>
      <c r="OHS88" s="21"/>
      <c r="OHT88" s="21"/>
      <c r="OHU88" s="21"/>
      <c r="OHV88" s="21"/>
      <c r="OHW88" s="21"/>
      <c r="OHX88" s="21"/>
      <c r="OHY88" s="21"/>
      <c r="OHZ88" s="21"/>
      <c r="OIA88" s="21"/>
      <c r="OIB88" s="21"/>
      <c r="OIC88" s="21"/>
      <c r="OID88" s="21"/>
      <c r="OIE88" s="21"/>
      <c r="OIF88" s="21"/>
      <c r="OIG88" s="21"/>
      <c r="OIH88" s="21"/>
      <c r="OII88" s="21"/>
      <c r="OIJ88" s="21"/>
      <c r="OIK88" s="21"/>
      <c r="OIL88" s="21"/>
      <c r="OIM88" s="21"/>
      <c r="OIN88" s="21"/>
      <c r="OIO88" s="21"/>
      <c r="OIP88" s="21"/>
      <c r="OIQ88" s="21"/>
      <c r="OIR88" s="21"/>
      <c r="OIS88" s="21"/>
      <c r="OIT88" s="21"/>
      <c r="OIU88" s="21"/>
      <c r="OIV88" s="21"/>
      <c r="OIW88" s="21"/>
      <c r="OIX88" s="21"/>
      <c r="OIY88" s="21"/>
      <c r="OIZ88" s="21"/>
      <c r="OJA88" s="21"/>
      <c r="OJB88" s="21"/>
      <c r="OJC88" s="21"/>
      <c r="OJD88" s="21"/>
      <c r="OJE88" s="21"/>
      <c r="OJF88" s="21"/>
      <c r="OJG88" s="21"/>
      <c r="OJH88" s="21"/>
      <c r="OJI88" s="21"/>
      <c r="OJJ88" s="21"/>
      <c r="OJK88" s="21"/>
      <c r="OJL88" s="21"/>
      <c r="OJM88" s="21"/>
      <c r="OJN88" s="21"/>
      <c r="OJO88" s="21"/>
      <c r="OJP88" s="21"/>
      <c r="OJQ88" s="21"/>
      <c r="OJR88" s="21"/>
      <c r="OJS88" s="21"/>
      <c r="OJT88" s="21"/>
      <c r="OJU88" s="21"/>
      <c r="OJV88" s="21"/>
      <c r="OJW88" s="21"/>
      <c r="OJX88" s="21"/>
      <c r="OJY88" s="21"/>
      <c r="OJZ88" s="21"/>
      <c r="OKA88" s="21"/>
      <c r="OKB88" s="21"/>
      <c r="OKC88" s="21"/>
      <c r="OKD88" s="21"/>
      <c r="OKE88" s="21"/>
      <c r="OKF88" s="21"/>
      <c r="OKG88" s="21"/>
      <c r="OKH88" s="21"/>
      <c r="OKI88" s="21"/>
      <c r="OKJ88" s="21"/>
      <c r="OKK88" s="21"/>
      <c r="OKL88" s="21"/>
      <c r="OKM88" s="21"/>
      <c r="OKN88" s="21"/>
      <c r="OKO88" s="21"/>
      <c r="OKP88" s="21"/>
      <c r="OKQ88" s="21"/>
      <c r="OKR88" s="21"/>
      <c r="OKS88" s="21"/>
      <c r="OKT88" s="21"/>
      <c r="OKU88" s="21"/>
      <c r="OKV88" s="21"/>
      <c r="OKW88" s="21"/>
      <c r="OKX88" s="21"/>
      <c r="OKY88" s="21"/>
      <c r="OKZ88" s="21"/>
      <c r="OLA88" s="21"/>
      <c r="OLB88" s="21"/>
      <c r="OLC88" s="21"/>
      <c r="OLD88" s="21"/>
      <c r="OLE88" s="21"/>
      <c r="OLF88" s="21"/>
      <c r="OLG88" s="21"/>
      <c r="OLH88" s="21"/>
      <c r="OLI88" s="21"/>
      <c r="OLJ88" s="21"/>
      <c r="OLK88" s="21"/>
      <c r="OLL88" s="21"/>
      <c r="OLM88" s="21"/>
      <c r="OLN88" s="21"/>
      <c r="OLO88" s="21"/>
      <c r="OLP88" s="21"/>
      <c r="OLQ88" s="21"/>
      <c r="OLR88" s="21"/>
      <c r="OLS88" s="21"/>
      <c r="OLT88" s="21"/>
      <c r="OLU88" s="21"/>
      <c r="OLV88" s="21"/>
      <c r="OLW88" s="21"/>
      <c r="OLX88" s="21"/>
      <c r="OLY88" s="21"/>
      <c r="OLZ88" s="21"/>
      <c r="OMA88" s="21"/>
      <c r="OMB88" s="21"/>
      <c r="OMC88" s="21"/>
      <c r="OMD88" s="21"/>
      <c r="OME88" s="21"/>
      <c r="OMF88" s="21"/>
      <c r="OMG88" s="21"/>
      <c r="OMH88" s="21"/>
      <c r="OMI88" s="21"/>
      <c r="OMJ88" s="21"/>
      <c r="OMK88" s="21"/>
      <c r="OML88" s="21"/>
      <c r="OMM88" s="21"/>
      <c r="OMN88" s="21"/>
      <c r="OMO88" s="21"/>
      <c r="OMP88" s="21"/>
      <c r="OMQ88" s="21"/>
      <c r="OMR88" s="21"/>
      <c r="OMS88" s="21"/>
      <c r="OMT88" s="21"/>
      <c r="OMU88" s="21"/>
      <c r="OMV88" s="21"/>
      <c r="OMW88" s="21"/>
      <c r="OMX88" s="21"/>
      <c r="OMY88" s="21"/>
      <c r="OMZ88" s="21"/>
      <c r="ONA88" s="21"/>
      <c r="ONB88" s="21"/>
      <c r="ONC88" s="21"/>
      <c r="OND88" s="21"/>
      <c r="ONE88" s="21"/>
      <c r="ONF88" s="21"/>
      <c r="ONG88" s="21"/>
      <c r="ONH88" s="21"/>
      <c r="ONI88" s="21"/>
      <c r="ONJ88" s="21"/>
      <c r="ONK88" s="21"/>
      <c r="ONL88" s="21"/>
      <c r="ONM88" s="21"/>
      <c r="ONN88" s="21"/>
      <c r="ONO88" s="21"/>
      <c r="ONP88" s="21"/>
      <c r="ONQ88" s="21"/>
      <c r="ONR88" s="21"/>
      <c r="ONS88" s="21"/>
      <c r="ONT88" s="21"/>
      <c r="ONU88" s="21"/>
      <c r="ONV88" s="21"/>
      <c r="ONW88" s="21"/>
      <c r="ONX88" s="21"/>
      <c r="ONY88" s="21"/>
      <c r="ONZ88" s="21"/>
      <c r="OOA88" s="21"/>
      <c r="OOB88" s="21"/>
      <c r="OOC88" s="21"/>
      <c r="OOD88" s="21"/>
      <c r="OOE88" s="21"/>
      <c r="OOF88" s="21"/>
      <c r="OOG88" s="21"/>
      <c r="OOH88" s="21"/>
      <c r="OOI88" s="21"/>
      <c r="OOJ88" s="21"/>
      <c r="OOK88" s="21"/>
      <c r="OOL88" s="21"/>
      <c r="OOM88" s="21"/>
      <c r="OON88" s="21"/>
      <c r="OOO88" s="21"/>
      <c r="OOP88" s="21"/>
      <c r="OOQ88" s="21"/>
      <c r="OOR88" s="21"/>
      <c r="OOS88" s="21"/>
      <c r="OOT88" s="21"/>
      <c r="OOU88" s="21"/>
      <c r="OOV88" s="21"/>
      <c r="OOW88" s="21"/>
      <c r="OOX88" s="21"/>
      <c r="OOY88" s="21"/>
      <c r="OOZ88" s="21"/>
      <c r="OPA88" s="21"/>
      <c r="OPB88" s="21"/>
      <c r="OPC88" s="21"/>
      <c r="OPD88" s="21"/>
      <c r="OPE88" s="21"/>
      <c r="OPF88" s="21"/>
      <c r="OPG88" s="21"/>
      <c r="OPH88" s="21"/>
      <c r="OPI88" s="21"/>
      <c r="OPJ88" s="21"/>
      <c r="OPK88" s="21"/>
      <c r="OPL88" s="21"/>
      <c r="OPM88" s="21"/>
      <c r="OPN88" s="21"/>
      <c r="OPO88" s="21"/>
      <c r="OPP88" s="21"/>
      <c r="OPQ88" s="21"/>
      <c r="OPR88" s="21"/>
      <c r="OPS88" s="21"/>
      <c r="OPT88" s="21"/>
      <c r="OPU88" s="21"/>
      <c r="OPV88" s="21"/>
      <c r="OPW88" s="21"/>
      <c r="OPX88" s="21"/>
      <c r="OPY88" s="21"/>
      <c r="OPZ88" s="21"/>
      <c r="OQA88" s="21"/>
      <c r="OQB88" s="21"/>
      <c r="OQC88" s="21"/>
      <c r="OQD88" s="21"/>
      <c r="OQE88" s="21"/>
      <c r="OQF88" s="21"/>
      <c r="OQG88" s="21"/>
      <c r="OQH88" s="21"/>
      <c r="OQI88" s="21"/>
      <c r="OQJ88" s="21"/>
      <c r="OQK88" s="21"/>
      <c r="OQL88" s="21"/>
      <c r="OQM88" s="21"/>
      <c r="OQN88" s="21"/>
      <c r="OQO88" s="21"/>
      <c r="OQP88" s="21"/>
      <c r="OQQ88" s="21"/>
      <c r="OQR88" s="21"/>
      <c r="OQS88" s="21"/>
      <c r="OQT88" s="21"/>
      <c r="OQU88" s="21"/>
      <c r="OQV88" s="21"/>
      <c r="OQW88" s="21"/>
      <c r="OQX88" s="21"/>
      <c r="OQY88" s="21"/>
      <c r="OQZ88" s="21"/>
      <c r="ORA88" s="21"/>
      <c r="ORB88" s="21"/>
      <c r="ORC88" s="21"/>
      <c r="ORD88" s="21"/>
      <c r="ORE88" s="21"/>
      <c r="ORF88" s="21"/>
      <c r="ORG88" s="21"/>
      <c r="ORH88" s="21"/>
      <c r="ORI88" s="21"/>
      <c r="ORJ88" s="21"/>
      <c r="ORK88" s="21"/>
      <c r="ORL88" s="21"/>
      <c r="ORM88" s="21"/>
      <c r="ORN88" s="21"/>
      <c r="ORO88" s="21"/>
      <c r="ORP88" s="21"/>
      <c r="ORQ88" s="21"/>
      <c r="ORR88" s="21"/>
      <c r="ORS88" s="21"/>
      <c r="ORT88" s="21"/>
      <c r="ORU88" s="21"/>
      <c r="ORV88" s="21"/>
      <c r="ORW88" s="21"/>
      <c r="ORX88" s="21"/>
      <c r="ORY88" s="21"/>
      <c r="ORZ88" s="21"/>
      <c r="OSA88" s="21"/>
      <c r="OSB88" s="21"/>
      <c r="OSC88" s="21"/>
      <c r="OSD88" s="21"/>
      <c r="OSE88" s="21"/>
      <c r="OSF88" s="21"/>
      <c r="OSG88" s="21"/>
      <c r="OSH88" s="21"/>
      <c r="OSI88" s="21"/>
      <c r="OSJ88" s="21"/>
      <c r="OSK88" s="21"/>
      <c r="OSL88" s="21"/>
      <c r="OSM88" s="21"/>
      <c r="OSN88" s="21"/>
      <c r="OSO88" s="21"/>
      <c r="OSP88" s="21"/>
      <c r="OSQ88" s="21"/>
      <c r="OSR88" s="21"/>
      <c r="OSS88" s="21"/>
      <c r="OST88" s="21"/>
      <c r="OSU88" s="21"/>
      <c r="OSV88" s="21"/>
      <c r="OSW88" s="21"/>
      <c r="OSX88" s="21"/>
      <c r="OSY88" s="21"/>
      <c r="OSZ88" s="21"/>
      <c r="OTA88" s="21"/>
      <c r="OTB88" s="21"/>
      <c r="OTC88" s="21"/>
      <c r="OTD88" s="21"/>
      <c r="OTE88" s="21"/>
      <c r="OTF88" s="21"/>
      <c r="OTG88" s="21"/>
      <c r="OTH88" s="21"/>
      <c r="OTI88" s="21"/>
      <c r="OTJ88" s="21"/>
      <c r="OTK88" s="21"/>
      <c r="OTL88" s="21"/>
      <c r="OTM88" s="21"/>
      <c r="OTN88" s="21"/>
      <c r="OTO88" s="21"/>
      <c r="OTP88" s="21"/>
      <c r="OTQ88" s="21"/>
      <c r="OTR88" s="21"/>
      <c r="OTS88" s="21"/>
      <c r="OTT88" s="21"/>
      <c r="OTU88" s="21"/>
      <c r="OTV88" s="21"/>
      <c r="OTW88" s="21"/>
      <c r="OTX88" s="21"/>
      <c r="OTY88" s="21"/>
      <c r="OTZ88" s="21"/>
      <c r="OUA88" s="21"/>
      <c r="OUB88" s="21"/>
      <c r="OUC88" s="21"/>
      <c r="OUD88" s="21"/>
      <c r="OUE88" s="21"/>
      <c r="OUF88" s="21"/>
      <c r="OUG88" s="21"/>
      <c r="OUH88" s="21"/>
      <c r="OUI88" s="21"/>
      <c r="OUJ88" s="21"/>
      <c r="OUK88" s="21"/>
      <c r="OUL88" s="21"/>
      <c r="OUM88" s="21"/>
      <c r="OUN88" s="21"/>
      <c r="OUO88" s="21"/>
      <c r="OUP88" s="21"/>
      <c r="OUQ88" s="21"/>
      <c r="OUR88" s="21"/>
      <c r="OUS88" s="21"/>
      <c r="OUT88" s="21"/>
      <c r="OUU88" s="21"/>
      <c r="OUV88" s="21"/>
      <c r="OUW88" s="21"/>
      <c r="OUX88" s="21"/>
      <c r="OUY88" s="21"/>
      <c r="OUZ88" s="21"/>
      <c r="OVA88" s="21"/>
      <c r="OVB88" s="21"/>
      <c r="OVC88" s="21"/>
      <c r="OVD88" s="21"/>
      <c r="OVE88" s="21"/>
      <c r="OVF88" s="21"/>
      <c r="OVG88" s="21"/>
      <c r="OVH88" s="21"/>
      <c r="OVI88" s="21"/>
      <c r="OVJ88" s="21"/>
      <c r="OVK88" s="21"/>
      <c r="OVL88" s="21"/>
      <c r="OVM88" s="21"/>
      <c r="OVN88" s="21"/>
      <c r="OVO88" s="21"/>
      <c r="OVP88" s="21"/>
      <c r="OVQ88" s="21"/>
      <c r="OVR88" s="21"/>
      <c r="OVS88" s="21"/>
      <c r="OVT88" s="21"/>
      <c r="OVU88" s="21"/>
      <c r="OVV88" s="21"/>
      <c r="OVW88" s="21"/>
      <c r="OVX88" s="21"/>
      <c r="OVY88" s="21"/>
      <c r="OVZ88" s="21"/>
      <c r="OWA88" s="21"/>
      <c r="OWB88" s="21"/>
      <c r="OWC88" s="21"/>
      <c r="OWD88" s="21"/>
      <c r="OWE88" s="21"/>
      <c r="OWF88" s="21"/>
      <c r="OWG88" s="21"/>
      <c r="OWH88" s="21"/>
      <c r="OWI88" s="21"/>
      <c r="OWJ88" s="21"/>
      <c r="OWK88" s="21"/>
      <c r="OWL88" s="21"/>
      <c r="OWM88" s="21"/>
      <c r="OWN88" s="21"/>
      <c r="OWO88" s="21"/>
      <c r="OWP88" s="21"/>
      <c r="OWQ88" s="21"/>
      <c r="OWR88" s="21"/>
      <c r="OWS88" s="21"/>
      <c r="OWT88" s="21"/>
      <c r="OWU88" s="21"/>
      <c r="OWV88" s="21"/>
      <c r="OWW88" s="21"/>
      <c r="OWX88" s="21"/>
      <c r="OWY88" s="21"/>
      <c r="OWZ88" s="21"/>
      <c r="OXA88" s="21"/>
      <c r="OXB88" s="21"/>
      <c r="OXC88" s="21"/>
      <c r="OXD88" s="21"/>
      <c r="OXE88" s="21"/>
      <c r="OXF88" s="21"/>
      <c r="OXG88" s="21"/>
      <c r="OXH88" s="21"/>
      <c r="OXI88" s="21"/>
      <c r="OXJ88" s="21"/>
      <c r="OXK88" s="21"/>
      <c r="OXL88" s="21"/>
      <c r="OXM88" s="21"/>
      <c r="OXN88" s="21"/>
      <c r="OXO88" s="21"/>
      <c r="OXP88" s="21"/>
      <c r="OXQ88" s="21"/>
      <c r="OXR88" s="21"/>
      <c r="OXS88" s="21"/>
      <c r="OXT88" s="21"/>
      <c r="OXU88" s="21"/>
      <c r="OXV88" s="21"/>
      <c r="OXW88" s="21"/>
      <c r="OXX88" s="21"/>
      <c r="OXY88" s="21"/>
      <c r="OXZ88" s="21"/>
      <c r="OYA88" s="21"/>
      <c r="OYB88" s="21"/>
      <c r="OYC88" s="21"/>
      <c r="OYD88" s="21"/>
      <c r="OYE88" s="21"/>
      <c r="OYF88" s="21"/>
      <c r="OYG88" s="21"/>
      <c r="OYH88" s="21"/>
      <c r="OYI88" s="21"/>
      <c r="OYJ88" s="21"/>
      <c r="OYK88" s="21"/>
      <c r="OYL88" s="21"/>
      <c r="OYM88" s="21"/>
      <c r="OYN88" s="21"/>
      <c r="OYO88" s="21"/>
      <c r="OYP88" s="21"/>
      <c r="OYQ88" s="21"/>
      <c r="OYR88" s="21"/>
      <c r="OYS88" s="21"/>
      <c r="OYT88" s="21"/>
      <c r="OYU88" s="21"/>
      <c r="OYV88" s="21"/>
      <c r="OYW88" s="21"/>
      <c r="OYX88" s="21"/>
      <c r="OYY88" s="21"/>
      <c r="OYZ88" s="21"/>
      <c r="OZA88" s="21"/>
      <c r="OZB88" s="21"/>
      <c r="OZC88" s="21"/>
      <c r="OZD88" s="21"/>
      <c r="OZE88" s="21"/>
      <c r="OZF88" s="21"/>
      <c r="OZG88" s="21"/>
      <c r="OZH88" s="21"/>
      <c r="OZI88" s="21"/>
      <c r="OZJ88" s="21"/>
      <c r="OZK88" s="21"/>
      <c r="OZL88" s="21"/>
      <c r="OZM88" s="21"/>
      <c r="OZN88" s="21"/>
      <c r="OZO88" s="21"/>
      <c r="OZP88" s="21"/>
      <c r="OZQ88" s="21"/>
      <c r="OZR88" s="21"/>
      <c r="OZS88" s="21"/>
      <c r="OZT88" s="21"/>
      <c r="OZU88" s="21"/>
      <c r="OZV88" s="21"/>
      <c r="OZW88" s="21"/>
      <c r="OZX88" s="21"/>
      <c r="OZY88" s="21"/>
      <c r="OZZ88" s="21"/>
      <c r="PAA88" s="21"/>
      <c r="PAB88" s="21"/>
      <c r="PAC88" s="21"/>
      <c r="PAD88" s="21"/>
      <c r="PAE88" s="21"/>
      <c r="PAF88" s="21"/>
      <c r="PAG88" s="21"/>
      <c r="PAH88" s="21"/>
      <c r="PAI88" s="21"/>
      <c r="PAJ88" s="21"/>
      <c r="PAK88" s="21"/>
      <c r="PAL88" s="21"/>
      <c r="PAM88" s="21"/>
      <c r="PAN88" s="21"/>
      <c r="PAO88" s="21"/>
      <c r="PAP88" s="21"/>
      <c r="PAQ88" s="21"/>
      <c r="PAR88" s="21"/>
      <c r="PAS88" s="21"/>
      <c r="PAT88" s="21"/>
      <c r="PAU88" s="21"/>
      <c r="PAV88" s="21"/>
      <c r="PAW88" s="21"/>
      <c r="PAX88" s="21"/>
      <c r="PAY88" s="21"/>
      <c r="PAZ88" s="21"/>
      <c r="PBA88" s="21"/>
      <c r="PBB88" s="21"/>
      <c r="PBC88" s="21"/>
      <c r="PBD88" s="21"/>
      <c r="PBE88" s="21"/>
      <c r="PBF88" s="21"/>
      <c r="PBG88" s="21"/>
      <c r="PBH88" s="21"/>
      <c r="PBI88" s="21"/>
      <c r="PBJ88" s="21"/>
      <c r="PBK88" s="21"/>
      <c r="PBL88" s="21"/>
      <c r="PBM88" s="21"/>
      <c r="PBN88" s="21"/>
      <c r="PBO88" s="21"/>
      <c r="PBP88" s="21"/>
      <c r="PBQ88" s="21"/>
      <c r="PBR88" s="21"/>
      <c r="PBS88" s="21"/>
      <c r="PBT88" s="21"/>
      <c r="PBU88" s="21"/>
      <c r="PBV88" s="21"/>
      <c r="PBW88" s="21"/>
      <c r="PBX88" s="21"/>
      <c r="PBY88" s="21"/>
      <c r="PBZ88" s="21"/>
      <c r="PCA88" s="21"/>
      <c r="PCB88" s="21"/>
      <c r="PCC88" s="21"/>
      <c r="PCD88" s="21"/>
      <c r="PCE88" s="21"/>
      <c r="PCF88" s="21"/>
      <c r="PCG88" s="21"/>
      <c r="PCH88" s="21"/>
      <c r="PCI88" s="21"/>
      <c r="PCJ88" s="21"/>
      <c r="PCK88" s="21"/>
      <c r="PCL88" s="21"/>
      <c r="PCM88" s="21"/>
      <c r="PCN88" s="21"/>
      <c r="PCO88" s="21"/>
      <c r="PCP88" s="21"/>
      <c r="PCQ88" s="21"/>
      <c r="PCR88" s="21"/>
      <c r="PCS88" s="21"/>
      <c r="PCT88" s="21"/>
      <c r="PCU88" s="21"/>
      <c r="PCV88" s="21"/>
      <c r="PCW88" s="21"/>
      <c r="PCX88" s="21"/>
      <c r="PCY88" s="21"/>
      <c r="PCZ88" s="21"/>
      <c r="PDA88" s="21"/>
      <c r="PDB88" s="21"/>
      <c r="PDC88" s="21"/>
      <c r="PDD88" s="21"/>
      <c r="PDE88" s="21"/>
      <c r="PDF88" s="21"/>
      <c r="PDG88" s="21"/>
      <c r="PDH88" s="21"/>
      <c r="PDI88" s="21"/>
      <c r="PDJ88" s="21"/>
      <c r="PDK88" s="21"/>
      <c r="PDL88" s="21"/>
      <c r="PDM88" s="21"/>
      <c r="PDN88" s="21"/>
      <c r="PDO88" s="21"/>
      <c r="PDP88" s="21"/>
      <c r="PDQ88" s="21"/>
      <c r="PDR88" s="21"/>
      <c r="PDS88" s="21"/>
      <c r="PDT88" s="21"/>
      <c r="PDU88" s="21"/>
      <c r="PDV88" s="21"/>
      <c r="PDW88" s="21"/>
      <c r="PDX88" s="21"/>
      <c r="PDY88" s="21"/>
      <c r="PDZ88" s="21"/>
      <c r="PEA88" s="21"/>
      <c r="PEB88" s="21"/>
      <c r="PEC88" s="21"/>
      <c r="PED88" s="21"/>
      <c r="PEE88" s="21"/>
      <c r="PEF88" s="21"/>
      <c r="PEG88" s="21"/>
      <c r="PEH88" s="21"/>
      <c r="PEI88" s="21"/>
      <c r="PEJ88" s="21"/>
      <c r="PEK88" s="21"/>
      <c r="PEL88" s="21"/>
      <c r="PEM88" s="21"/>
      <c r="PEN88" s="21"/>
      <c r="PEO88" s="21"/>
      <c r="PEP88" s="21"/>
      <c r="PEQ88" s="21"/>
      <c r="PER88" s="21"/>
      <c r="PES88" s="21"/>
      <c r="PET88" s="21"/>
      <c r="PEU88" s="21"/>
      <c r="PEV88" s="21"/>
      <c r="PEW88" s="21"/>
      <c r="PEX88" s="21"/>
      <c r="PEY88" s="21"/>
      <c r="PEZ88" s="21"/>
      <c r="PFA88" s="21"/>
      <c r="PFB88" s="21"/>
      <c r="PFC88" s="21"/>
      <c r="PFD88" s="21"/>
      <c r="PFE88" s="21"/>
      <c r="PFF88" s="21"/>
      <c r="PFG88" s="21"/>
      <c r="PFH88" s="21"/>
      <c r="PFI88" s="21"/>
      <c r="PFJ88" s="21"/>
      <c r="PFK88" s="21"/>
      <c r="PFL88" s="21"/>
      <c r="PFM88" s="21"/>
      <c r="PFN88" s="21"/>
      <c r="PFO88" s="21"/>
      <c r="PFP88" s="21"/>
      <c r="PFQ88" s="21"/>
      <c r="PFR88" s="21"/>
      <c r="PFS88" s="21"/>
      <c r="PFT88" s="21"/>
      <c r="PFU88" s="21"/>
      <c r="PFV88" s="21"/>
      <c r="PFW88" s="21"/>
      <c r="PFX88" s="21"/>
      <c r="PFY88" s="21"/>
      <c r="PFZ88" s="21"/>
      <c r="PGA88" s="21"/>
      <c r="PGB88" s="21"/>
      <c r="PGC88" s="21"/>
      <c r="PGD88" s="21"/>
      <c r="PGE88" s="21"/>
      <c r="PGF88" s="21"/>
      <c r="PGG88" s="21"/>
      <c r="PGH88" s="21"/>
      <c r="PGI88" s="21"/>
      <c r="PGJ88" s="21"/>
      <c r="PGK88" s="21"/>
      <c r="PGL88" s="21"/>
      <c r="PGM88" s="21"/>
      <c r="PGN88" s="21"/>
      <c r="PGO88" s="21"/>
      <c r="PGP88" s="21"/>
      <c r="PGQ88" s="21"/>
      <c r="PGR88" s="21"/>
      <c r="PGS88" s="21"/>
      <c r="PGT88" s="21"/>
      <c r="PGU88" s="21"/>
      <c r="PGV88" s="21"/>
      <c r="PGW88" s="21"/>
      <c r="PGX88" s="21"/>
      <c r="PGY88" s="21"/>
      <c r="PGZ88" s="21"/>
      <c r="PHA88" s="21"/>
      <c r="PHB88" s="21"/>
      <c r="PHC88" s="21"/>
      <c r="PHD88" s="21"/>
      <c r="PHE88" s="21"/>
      <c r="PHF88" s="21"/>
      <c r="PHG88" s="21"/>
      <c r="PHH88" s="21"/>
      <c r="PHI88" s="21"/>
      <c r="PHJ88" s="21"/>
      <c r="PHK88" s="21"/>
      <c r="PHL88" s="21"/>
      <c r="PHM88" s="21"/>
      <c r="PHN88" s="21"/>
      <c r="PHO88" s="21"/>
      <c r="PHP88" s="21"/>
      <c r="PHQ88" s="21"/>
      <c r="PHR88" s="21"/>
      <c r="PHS88" s="21"/>
      <c r="PHT88" s="21"/>
      <c r="PHU88" s="21"/>
      <c r="PHV88" s="21"/>
      <c r="PHW88" s="21"/>
      <c r="PHX88" s="21"/>
      <c r="PHY88" s="21"/>
      <c r="PHZ88" s="21"/>
      <c r="PIA88" s="21"/>
      <c r="PIB88" s="21"/>
      <c r="PIC88" s="21"/>
      <c r="PID88" s="21"/>
      <c r="PIE88" s="21"/>
      <c r="PIF88" s="21"/>
      <c r="PIG88" s="21"/>
      <c r="PIH88" s="21"/>
      <c r="PII88" s="21"/>
      <c r="PIJ88" s="21"/>
      <c r="PIK88" s="21"/>
      <c r="PIL88" s="21"/>
      <c r="PIM88" s="21"/>
      <c r="PIN88" s="21"/>
      <c r="PIO88" s="21"/>
      <c r="PIP88" s="21"/>
      <c r="PIQ88" s="21"/>
      <c r="PIR88" s="21"/>
      <c r="PIS88" s="21"/>
      <c r="PIT88" s="21"/>
      <c r="PIU88" s="21"/>
      <c r="PIV88" s="21"/>
      <c r="PIW88" s="21"/>
      <c r="PIX88" s="21"/>
      <c r="PIY88" s="21"/>
      <c r="PIZ88" s="21"/>
      <c r="PJA88" s="21"/>
      <c r="PJB88" s="21"/>
      <c r="PJC88" s="21"/>
      <c r="PJD88" s="21"/>
      <c r="PJE88" s="21"/>
      <c r="PJF88" s="21"/>
      <c r="PJG88" s="21"/>
      <c r="PJH88" s="21"/>
      <c r="PJI88" s="21"/>
      <c r="PJJ88" s="21"/>
      <c r="PJK88" s="21"/>
      <c r="PJL88" s="21"/>
      <c r="PJM88" s="21"/>
      <c r="PJN88" s="21"/>
      <c r="PJO88" s="21"/>
      <c r="PJP88" s="21"/>
      <c r="PJQ88" s="21"/>
      <c r="PJR88" s="21"/>
      <c r="PJS88" s="21"/>
      <c r="PJT88" s="21"/>
      <c r="PJU88" s="21"/>
      <c r="PJV88" s="21"/>
      <c r="PJW88" s="21"/>
      <c r="PJX88" s="21"/>
      <c r="PJY88" s="21"/>
      <c r="PJZ88" s="21"/>
      <c r="PKA88" s="21"/>
      <c r="PKB88" s="21"/>
      <c r="PKC88" s="21"/>
      <c r="PKD88" s="21"/>
      <c r="PKE88" s="21"/>
      <c r="PKF88" s="21"/>
      <c r="PKG88" s="21"/>
      <c r="PKH88" s="21"/>
      <c r="PKI88" s="21"/>
      <c r="PKJ88" s="21"/>
      <c r="PKK88" s="21"/>
      <c r="PKL88" s="21"/>
      <c r="PKM88" s="21"/>
      <c r="PKN88" s="21"/>
      <c r="PKO88" s="21"/>
      <c r="PKP88" s="21"/>
      <c r="PKQ88" s="21"/>
      <c r="PKR88" s="21"/>
      <c r="PKS88" s="21"/>
      <c r="PKT88" s="21"/>
      <c r="PKU88" s="21"/>
      <c r="PKV88" s="21"/>
      <c r="PKW88" s="21"/>
      <c r="PKX88" s="21"/>
      <c r="PKY88" s="21"/>
      <c r="PKZ88" s="21"/>
      <c r="PLA88" s="21"/>
      <c r="PLB88" s="21"/>
      <c r="PLC88" s="21"/>
      <c r="PLD88" s="21"/>
      <c r="PLE88" s="21"/>
      <c r="PLF88" s="21"/>
      <c r="PLG88" s="21"/>
      <c r="PLH88" s="21"/>
      <c r="PLI88" s="21"/>
      <c r="PLJ88" s="21"/>
      <c r="PLK88" s="21"/>
      <c r="PLL88" s="21"/>
      <c r="PLM88" s="21"/>
      <c r="PLN88" s="21"/>
      <c r="PLO88" s="21"/>
      <c r="PLP88" s="21"/>
      <c r="PLQ88" s="21"/>
      <c r="PLR88" s="21"/>
      <c r="PLS88" s="21"/>
      <c r="PLT88" s="21"/>
      <c r="PLU88" s="21"/>
      <c r="PLV88" s="21"/>
      <c r="PLW88" s="21"/>
      <c r="PLX88" s="21"/>
      <c r="PLY88" s="21"/>
      <c r="PLZ88" s="21"/>
      <c r="PMA88" s="21"/>
      <c r="PMB88" s="21"/>
      <c r="PMC88" s="21"/>
      <c r="PMD88" s="21"/>
      <c r="PME88" s="21"/>
      <c r="PMF88" s="21"/>
      <c r="PMG88" s="21"/>
      <c r="PMH88" s="21"/>
      <c r="PMI88" s="21"/>
      <c r="PMJ88" s="21"/>
      <c r="PMK88" s="21"/>
      <c r="PML88" s="21"/>
      <c r="PMM88" s="21"/>
      <c r="PMN88" s="21"/>
      <c r="PMO88" s="21"/>
      <c r="PMP88" s="21"/>
      <c r="PMQ88" s="21"/>
      <c r="PMR88" s="21"/>
      <c r="PMS88" s="21"/>
      <c r="PMT88" s="21"/>
      <c r="PMU88" s="21"/>
      <c r="PMV88" s="21"/>
      <c r="PMW88" s="21"/>
      <c r="PMX88" s="21"/>
      <c r="PMY88" s="21"/>
      <c r="PMZ88" s="21"/>
      <c r="PNA88" s="21"/>
      <c r="PNB88" s="21"/>
      <c r="PNC88" s="21"/>
      <c r="PND88" s="21"/>
      <c r="PNE88" s="21"/>
      <c r="PNF88" s="21"/>
      <c r="PNG88" s="21"/>
      <c r="PNH88" s="21"/>
      <c r="PNI88" s="21"/>
      <c r="PNJ88" s="21"/>
      <c r="PNK88" s="21"/>
      <c r="PNL88" s="21"/>
      <c r="PNM88" s="21"/>
      <c r="PNN88" s="21"/>
      <c r="PNO88" s="21"/>
      <c r="PNP88" s="21"/>
      <c r="PNQ88" s="21"/>
      <c r="PNR88" s="21"/>
      <c r="PNS88" s="21"/>
      <c r="PNT88" s="21"/>
      <c r="PNU88" s="21"/>
      <c r="PNV88" s="21"/>
      <c r="PNW88" s="21"/>
      <c r="PNX88" s="21"/>
      <c r="PNY88" s="21"/>
      <c r="PNZ88" s="21"/>
      <c r="POA88" s="21"/>
      <c r="POB88" s="21"/>
      <c r="POC88" s="21"/>
      <c r="POD88" s="21"/>
      <c r="POE88" s="21"/>
      <c r="POF88" s="21"/>
      <c r="POG88" s="21"/>
      <c r="POH88" s="21"/>
      <c r="POI88" s="21"/>
      <c r="POJ88" s="21"/>
      <c r="POK88" s="21"/>
      <c r="POL88" s="21"/>
      <c r="POM88" s="21"/>
      <c r="PON88" s="21"/>
      <c r="POO88" s="21"/>
      <c r="POP88" s="21"/>
      <c r="POQ88" s="21"/>
      <c r="POR88" s="21"/>
      <c r="POS88" s="21"/>
      <c r="POT88" s="21"/>
      <c r="POU88" s="21"/>
      <c r="POV88" s="21"/>
      <c r="POW88" s="21"/>
      <c r="POX88" s="21"/>
      <c r="POY88" s="21"/>
      <c r="POZ88" s="21"/>
      <c r="PPA88" s="21"/>
      <c r="PPB88" s="21"/>
      <c r="PPC88" s="21"/>
      <c r="PPD88" s="21"/>
      <c r="PPE88" s="21"/>
      <c r="PPF88" s="21"/>
      <c r="PPG88" s="21"/>
      <c r="PPH88" s="21"/>
      <c r="PPI88" s="21"/>
      <c r="PPJ88" s="21"/>
      <c r="PPK88" s="21"/>
      <c r="PPL88" s="21"/>
      <c r="PPM88" s="21"/>
      <c r="PPN88" s="21"/>
      <c r="PPO88" s="21"/>
      <c r="PPP88" s="21"/>
      <c r="PPQ88" s="21"/>
      <c r="PPR88" s="21"/>
      <c r="PPS88" s="21"/>
      <c r="PPT88" s="21"/>
      <c r="PPU88" s="21"/>
      <c r="PPV88" s="21"/>
      <c r="PPW88" s="21"/>
      <c r="PPX88" s="21"/>
      <c r="PPY88" s="21"/>
      <c r="PPZ88" s="21"/>
      <c r="PQA88" s="21"/>
      <c r="PQB88" s="21"/>
      <c r="PQC88" s="21"/>
      <c r="PQD88" s="21"/>
      <c r="PQE88" s="21"/>
      <c r="PQF88" s="21"/>
      <c r="PQG88" s="21"/>
      <c r="PQH88" s="21"/>
      <c r="PQI88" s="21"/>
      <c r="PQJ88" s="21"/>
      <c r="PQK88" s="21"/>
      <c r="PQL88" s="21"/>
      <c r="PQM88" s="21"/>
      <c r="PQN88" s="21"/>
      <c r="PQO88" s="21"/>
      <c r="PQP88" s="21"/>
      <c r="PQQ88" s="21"/>
      <c r="PQR88" s="21"/>
      <c r="PQS88" s="21"/>
      <c r="PQT88" s="21"/>
      <c r="PQU88" s="21"/>
      <c r="PQV88" s="21"/>
      <c r="PQW88" s="21"/>
      <c r="PQX88" s="21"/>
      <c r="PQY88" s="21"/>
      <c r="PQZ88" s="21"/>
      <c r="PRA88" s="21"/>
      <c r="PRB88" s="21"/>
      <c r="PRC88" s="21"/>
      <c r="PRD88" s="21"/>
      <c r="PRE88" s="21"/>
      <c r="PRF88" s="21"/>
      <c r="PRG88" s="21"/>
      <c r="PRH88" s="21"/>
      <c r="PRI88" s="21"/>
      <c r="PRJ88" s="21"/>
      <c r="PRK88" s="21"/>
      <c r="PRL88" s="21"/>
      <c r="PRM88" s="21"/>
      <c r="PRN88" s="21"/>
      <c r="PRO88" s="21"/>
      <c r="PRP88" s="21"/>
      <c r="PRQ88" s="21"/>
      <c r="PRR88" s="21"/>
      <c r="PRS88" s="21"/>
      <c r="PRT88" s="21"/>
      <c r="PRU88" s="21"/>
      <c r="PRV88" s="21"/>
      <c r="PRW88" s="21"/>
      <c r="PRX88" s="21"/>
      <c r="PRY88" s="21"/>
      <c r="PRZ88" s="21"/>
      <c r="PSA88" s="21"/>
      <c r="PSB88" s="21"/>
      <c r="PSC88" s="21"/>
      <c r="PSD88" s="21"/>
      <c r="PSE88" s="21"/>
      <c r="PSF88" s="21"/>
      <c r="PSG88" s="21"/>
      <c r="PSH88" s="21"/>
      <c r="PSI88" s="21"/>
      <c r="PSJ88" s="21"/>
      <c r="PSK88" s="21"/>
      <c r="PSL88" s="21"/>
      <c r="PSM88" s="21"/>
      <c r="PSN88" s="21"/>
      <c r="PSO88" s="21"/>
      <c r="PSP88" s="21"/>
      <c r="PSQ88" s="21"/>
      <c r="PSR88" s="21"/>
      <c r="PSS88" s="21"/>
      <c r="PST88" s="21"/>
      <c r="PSU88" s="21"/>
      <c r="PSV88" s="21"/>
      <c r="PSW88" s="21"/>
      <c r="PSX88" s="21"/>
      <c r="PSY88" s="21"/>
      <c r="PSZ88" s="21"/>
      <c r="PTA88" s="21"/>
      <c r="PTB88" s="21"/>
      <c r="PTC88" s="21"/>
      <c r="PTD88" s="21"/>
      <c r="PTE88" s="21"/>
      <c r="PTF88" s="21"/>
      <c r="PTG88" s="21"/>
      <c r="PTH88" s="21"/>
      <c r="PTI88" s="21"/>
      <c r="PTJ88" s="21"/>
      <c r="PTK88" s="21"/>
      <c r="PTL88" s="21"/>
      <c r="PTM88" s="21"/>
      <c r="PTN88" s="21"/>
      <c r="PTO88" s="21"/>
      <c r="PTP88" s="21"/>
      <c r="PTQ88" s="21"/>
      <c r="PTR88" s="21"/>
      <c r="PTS88" s="21"/>
      <c r="PTT88" s="21"/>
      <c r="PTU88" s="21"/>
      <c r="PTV88" s="21"/>
      <c r="PTW88" s="21"/>
      <c r="PTX88" s="21"/>
      <c r="PTY88" s="21"/>
      <c r="PTZ88" s="21"/>
      <c r="PUA88" s="21"/>
      <c r="PUB88" s="21"/>
      <c r="PUC88" s="21"/>
      <c r="PUD88" s="21"/>
      <c r="PUE88" s="21"/>
      <c r="PUF88" s="21"/>
      <c r="PUG88" s="21"/>
      <c r="PUH88" s="21"/>
      <c r="PUI88" s="21"/>
      <c r="PUJ88" s="21"/>
      <c r="PUK88" s="21"/>
      <c r="PUL88" s="21"/>
      <c r="PUM88" s="21"/>
      <c r="PUN88" s="21"/>
      <c r="PUO88" s="21"/>
      <c r="PUP88" s="21"/>
      <c r="PUQ88" s="21"/>
      <c r="PUR88" s="21"/>
      <c r="PUS88" s="21"/>
      <c r="PUT88" s="21"/>
      <c r="PUU88" s="21"/>
      <c r="PUV88" s="21"/>
      <c r="PUW88" s="21"/>
      <c r="PUX88" s="21"/>
      <c r="PUY88" s="21"/>
      <c r="PUZ88" s="21"/>
      <c r="PVA88" s="21"/>
      <c r="PVB88" s="21"/>
      <c r="PVC88" s="21"/>
      <c r="PVD88" s="21"/>
      <c r="PVE88" s="21"/>
      <c r="PVF88" s="21"/>
      <c r="PVG88" s="21"/>
      <c r="PVH88" s="21"/>
      <c r="PVI88" s="21"/>
      <c r="PVJ88" s="21"/>
      <c r="PVK88" s="21"/>
      <c r="PVL88" s="21"/>
      <c r="PVM88" s="21"/>
      <c r="PVN88" s="21"/>
      <c r="PVO88" s="21"/>
      <c r="PVP88" s="21"/>
      <c r="PVQ88" s="21"/>
      <c r="PVR88" s="21"/>
      <c r="PVS88" s="21"/>
      <c r="PVT88" s="21"/>
      <c r="PVU88" s="21"/>
      <c r="PVV88" s="21"/>
      <c r="PVW88" s="21"/>
      <c r="PVX88" s="21"/>
      <c r="PVY88" s="21"/>
      <c r="PVZ88" s="21"/>
      <c r="PWA88" s="21"/>
      <c r="PWB88" s="21"/>
      <c r="PWC88" s="21"/>
      <c r="PWD88" s="21"/>
      <c r="PWE88" s="21"/>
      <c r="PWF88" s="21"/>
      <c r="PWG88" s="21"/>
      <c r="PWH88" s="21"/>
      <c r="PWI88" s="21"/>
      <c r="PWJ88" s="21"/>
      <c r="PWK88" s="21"/>
      <c r="PWL88" s="21"/>
      <c r="PWM88" s="21"/>
      <c r="PWN88" s="21"/>
      <c r="PWO88" s="21"/>
      <c r="PWP88" s="21"/>
      <c r="PWQ88" s="21"/>
      <c r="PWR88" s="21"/>
      <c r="PWS88" s="21"/>
      <c r="PWT88" s="21"/>
      <c r="PWU88" s="21"/>
      <c r="PWV88" s="21"/>
      <c r="PWW88" s="21"/>
      <c r="PWX88" s="21"/>
      <c r="PWY88" s="21"/>
      <c r="PWZ88" s="21"/>
      <c r="PXA88" s="21"/>
      <c r="PXB88" s="21"/>
      <c r="PXC88" s="21"/>
      <c r="PXD88" s="21"/>
      <c r="PXE88" s="21"/>
      <c r="PXF88" s="21"/>
      <c r="PXG88" s="21"/>
      <c r="PXH88" s="21"/>
      <c r="PXI88" s="21"/>
      <c r="PXJ88" s="21"/>
      <c r="PXK88" s="21"/>
      <c r="PXL88" s="21"/>
      <c r="PXM88" s="21"/>
      <c r="PXN88" s="21"/>
      <c r="PXO88" s="21"/>
      <c r="PXP88" s="21"/>
      <c r="PXQ88" s="21"/>
      <c r="PXR88" s="21"/>
      <c r="PXS88" s="21"/>
      <c r="PXT88" s="21"/>
      <c r="PXU88" s="21"/>
      <c r="PXV88" s="21"/>
      <c r="PXW88" s="21"/>
      <c r="PXX88" s="21"/>
      <c r="PXY88" s="21"/>
      <c r="PXZ88" s="21"/>
      <c r="PYA88" s="21"/>
      <c r="PYB88" s="21"/>
      <c r="PYC88" s="21"/>
      <c r="PYD88" s="21"/>
      <c r="PYE88" s="21"/>
      <c r="PYF88" s="21"/>
      <c r="PYG88" s="21"/>
      <c r="PYH88" s="21"/>
      <c r="PYI88" s="21"/>
      <c r="PYJ88" s="21"/>
      <c r="PYK88" s="21"/>
      <c r="PYL88" s="21"/>
      <c r="PYM88" s="21"/>
      <c r="PYN88" s="21"/>
      <c r="PYO88" s="21"/>
      <c r="PYP88" s="21"/>
      <c r="PYQ88" s="21"/>
      <c r="PYR88" s="21"/>
      <c r="PYS88" s="21"/>
      <c r="PYT88" s="21"/>
      <c r="PYU88" s="21"/>
      <c r="PYV88" s="21"/>
      <c r="PYW88" s="21"/>
      <c r="PYX88" s="21"/>
      <c r="PYY88" s="21"/>
      <c r="PYZ88" s="21"/>
      <c r="PZA88" s="21"/>
      <c r="PZB88" s="21"/>
      <c r="PZC88" s="21"/>
      <c r="PZD88" s="21"/>
      <c r="PZE88" s="21"/>
      <c r="PZF88" s="21"/>
      <c r="PZG88" s="21"/>
      <c r="PZH88" s="21"/>
      <c r="PZI88" s="21"/>
      <c r="PZJ88" s="21"/>
      <c r="PZK88" s="21"/>
      <c r="PZL88" s="21"/>
      <c r="PZM88" s="21"/>
      <c r="PZN88" s="21"/>
      <c r="PZO88" s="21"/>
      <c r="PZP88" s="21"/>
      <c r="PZQ88" s="21"/>
      <c r="PZR88" s="21"/>
      <c r="PZS88" s="21"/>
      <c r="PZT88" s="21"/>
      <c r="PZU88" s="21"/>
      <c r="PZV88" s="21"/>
      <c r="PZW88" s="21"/>
      <c r="PZX88" s="21"/>
      <c r="PZY88" s="21"/>
      <c r="PZZ88" s="21"/>
      <c r="QAA88" s="21"/>
      <c r="QAB88" s="21"/>
      <c r="QAC88" s="21"/>
      <c r="QAD88" s="21"/>
      <c r="QAE88" s="21"/>
      <c r="QAF88" s="21"/>
      <c r="QAG88" s="21"/>
      <c r="QAH88" s="21"/>
      <c r="QAI88" s="21"/>
      <c r="QAJ88" s="21"/>
      <c r="QAK88" s="21"/>
      <c r="QAL88" s="21"/>
      <c r="QAM88" s="21"/>
      <c r="QAN88" s="21"/>
      <c r="QAO88" s="21"/>
      <c r="QAP88" s="21"/>
      <c r="QAQ88" s="21"/>
      <c r="QAR88" s="21"/>
      <c r="QAS88" s="21"/>
      <c r="QAT88" s="21"/>
      <c r="QAU88" s="21"/>
      <c r="QAV88" s="21"/>
      <c r="QAW88" s="21"/>
      <c r="QAX88" s="21"/>
      <c r="QAY88" s="21"/>
      <c r="QAZ88" s="21"/>
      <c r="QBA88" s="21"/>
      <c r="QBB88" s="21"/>
      <c r="QBC88" s="21"/>
      <c r="QBD88" s="21"/>
      <c r="QBE88" s="21"/>
      <c r="QBF88" s="21"/>
      <c r="QBG88" s="21"/>
      <c r="QBH88" s="21"/>
      <c r="QBI88" s="21"/>
      <c r="QBJ88" s="21"/>
      <c r="QBK88" s="21"/>
      <c r="QBL88" s="21"/>
      <c r="QBM88" s="21"/>
      <c r="QBN88" s="21"/>
      <c r="QBO88" s="21"/>
      <c r="QBP88" s="21"/>
      <c r="QBQ88" s="21"/>
      <c r="QBR88" s="21"/>
      <c r="QBS88" s="21"/>
      <c r="QBT88" s="21"/>
      <c r="QBU88" s="21"/>
      <c r="QBV88" s="21"/>
      <c r="QBW88" s="21"/>
      <c r="QBX88" s="21"/>
      <c r="QBY88" s="21"/>
      <c r="QBZ88" s="21"/>
      <c r="QCA88" s="21"/>
      <c r="QCB88" s="21"/>
      <c r="QCC88" s="21"/>
      <c r="QCD88" s="21"/>
      <c r="QCE88" s="21"/>
      <c r="QCF88" s="21"/>
      <c r="QCG88" s="21"/>
      <c r="QCH88" s="21"/>
      <c r="QCI88" s="21"/>
      <c r="QCJ88" s="21"/>
      <c r="QCK88" s="21"/>
      <c r="QCL88" s="21"/>
      <c r="QCM88" s="21"/>
      <c r="QCN88" s="21"/>
      <c r="QCO88" s="21"/>
      <c r="QCP88" s="21"/>
      <c r="QCQ88" s="21"/>
      <c r="QCR88" s="21"/>
      <c r="QCS88" s="21"/>
      <c r="QCT88" s="21"/>
      <c r="QCU88" s="21"/>
      <c r="QCV88" s="21"/>
      <c r="QCW88" s="21"/>
      <c r="QCX88" s="21"/>
      <c r="QCY88" s="21"/>
      <c r="QCZ88" s="21"/>
      <c r="QDA88" s="21"/>
      <c r="QDB88" s="21"/>
      <c r="QDC88" s="21"/>
      <c r="QDD88" s="21"/>
      <c r="QDE88" s="21"/>
      <c r="QDF88" s="21"/>
      <c r="QDG88" s="21"/>
      <c r="QDH88" s="21"/>
      <c r="QDI88" s="21"/>
      <c r="QDJ88" s="21"/>
      <c r="QDK88" s="21"/>
      <c r="QDL88" s="21"/>
      <c r="QDM88" s="21"/>
      <c r="QDN88" s="21"/>
      <c r="QDO88" s="21"/>
      <c r="QDP88" s="21"/>
      <c r="QDQ88" s="21"/>
      <c r="QDR88" s="21"/>
      <c r="QDS88" s="21"/>
      <c r="QDT88" s="21"/>
      <c r="QDU88" s="21"/>
      <c r="QDV88" s="21"/>
      <c r="QDW88" s="21"/>
      <c r="QDX88" s="21"/>
      <c r="QDY88" s="21"/>
      <c r="QDZ88" s="21"/>
      <c r="QEA88" s="21"/>
      <c r="QEB88" s="21"/>
      <c r="QEC88" s="21"/>
      <c r="QED88" s="21"/>
      <c r="QEE88" s="21"/>
      <c r="QEF88" s="21"/>
      <c r="QEG88" s="21"/>
      <c r="QEH88" s="21"/>
      <c r="QEI88" s="21"/>
      <c r="QEJ88" s="21"/>
      <c r="QEK88" s="21"/>
      <c r="QEL88" s="21"/>
      <c r="QEM88" s="21"/>
      <c r="QEN88" s="21"/>
      <c r="QEO88" s="21"/>
      <c r="QEP88" s="21"/>
      <c r="QEQ88" s="21"/>
      <c r="QER88" s="21"/>
      <c r="QES88" s="21"/>
      <c r="QET88" s="21"/>
      <c r="QEU88" s="21"/>
      <c r="QEV88" s="21"/>
      <c r="QEW88" s="21"/>
      <c r="QEX88" s="21"/>
      <c r="QEY88" s="21"/>
      <c r="QEZ88" s="21"/>
      <c r="QFA88" s="21"/>
      <c r="QFB88" s="21"/>
      <c r="QFC88" s="21"/>
      <c r="QFD88" s="21"/>
      <c r="QFE88" s="21"/>
      <c r="QFF88" s="21"/>
      <c r="QFG88" s="21"/>
      <c r="QFH88" s="21"/>
      <c r="QFI88" s="21"/>
      <c r="QFJ88" s="21"/>
      <c r="QFK88" s="21"/>
      <c r="QFL88" s="21"/>
      <c r="QFM88" s="21"/>
      <c r="QFN88" s="21"/>
      <c r="QFO88" s="21"/>
      <c r="QFP88" s="21"/>
      <c r="QFQ88" s="21"/>
      <c r="QFR88" s="21"/>
      <c r="QFS88" s="21"/>
      <c r="QFT88" s="21"/>
      <c r="QFU88" s="21"/>
      <c r="QFV88" s="21"/>
      <c r="QFW88" s="21"/>
      <c r="QFX88" s="21"/>
      <c r="QFY88" s="21"/>
      <c r="QFZ88" s="21"/>
      <c r="QGA88" s="21"/>
      <c r="QGB88" s="21"/>
      <c r="QGC88" s="21"/>
      <c r="QGD88" s="21"/>
      <c r="QGE88" s="21"/>
      <c r="QGF88" s="21"/>
      <c r="QGG88" s="21"/>
      <c r="QGH88" s="21"/>
      <c r="QGI88" s="21"/>
      <c r="QGJ88" s="21"/>
      <c r="QGK88" s="21"/>
      <c r="QGL88" s="21"/>
      <c r="QGM88" s="21"/>
      <c r="QGN88" s="21"/>
      <c r="QGO88" s="21"/>
      <c r="QGP88" s="21"/>
      <c r="QGQ88" s="21"/>
      <c r="QGR88" s="21"/>
      <c r="QGS88" s="21"/>
      <c r="QGT88" s="21"/>
      <c r="QGU88" s="21"/>
      <c r="QGV88" s="21"/>
      <c r="QGW88" s="21"/>
      <c r="QGX88" s="21"/>
      <c r="QGY88" s="21"/>
      <c r="QGZ88" s="21"/>
      <c r="QHA88" s="21"/>
      <c r="QHB88" s="21"/>
      <c r="QHC88" s="21"/>
      <c r="QHD88" s="21"/>
      <c r="QHE88" s="21"/>
      <c r="QHF88" s="21"/>
      <c r="QHG88" s="21"/>
      <c r="QHH88" s="21"/>
      <c r="QHI88" s="21"/>
      <c r="QHJ88" s="21"/>
      <c r="QHK88" s="21"/>
      <c r="QHL88" s="21"/>
      <c r="QHM88" s="21"/>
      <c r="QHN88" s="21"/>
      <c r="QHO88" s="21"/>
      <c r="QHP88" s="21"/>
      <c r="QHQ88" s="21"/>
      <c r="QHR88" s="21"/>
      <c r="QHS88" s="21"/>
      <c r="QHT88" s="21"/>
      <c r="QHU88" s="21"/>
      <c r="QHV88" s="21"/>
      <c r="QHW88" s="21"/>
      <c r="QHX88" s="21"/>
      <c r="QHY88" s="21"/>
      <c r="QHZ88" s="21"/>
      <c r="QIA88" s="21"/>
      <c r="QIB88" s="21"/>
      <c r="QIC88" s="21"/>
      <c r="QID88" s="21"/>
      <c r="QIE88" s="21"/>
      <c r="QIF88" s="21"/>
      <c r="QIG88" s="21"/>
      <c r="QIH88" s="21"/>
      <c r="QII88" s="21"/>
      <c r="QIJ88" s="21"/>
      <c r="QIK88" s="21"/>
      <c r="QIL88" s="21"/>
      <c r="QIM88" s="21"/>
      <c r="QIN88" s="21"/>
      <c r="QIO88" s="21"/>
      <c r="QIP88" s="21"/>
      <c r="QIQ88" s="21"/>
      <c r="QIR88" s="21"/>
      <c r="QIS88" s="21"/>
      <c r="QIT88" s="21"/>
      <c r="QIU88" s="21"/>
      <c r="QIV88" s="21"/>
      <c r="QIW88" s="21"/>
      <c r="QIX88" s="21"/>
      <c r="QIY88" s="21"/>
      <c r="QIZ88" s="21"/>
      <c r="QJA88" s="21"/>
      <c r="QJB88" s="21"/>
      <c r="QJC88" s="21"/>
      <c r="QJD88" s="21"/>
      <c r="QJE88" s="21"/>
      <c r="QJF88" s="21"/>
      <c r="QJG88" s="21"/>
      <c r="QJH88" s="21"/>
      <c r="QJI88" s="21"/>
      <c r="QJJ88" s="21"/>
      <c r="QJK88" s="21"/>
      <c r="QJL88" s="21"/>
      <c r="QJM88" s="21"/>
      <c r="QJN88" s="21"/>
      <c r="QJO88" s="21"/>
      <c r="QJP88" s="21"/>
      <c r="QJQ88" s="21"/>
      <c r="QJR88" s="21"/>
      <c r="QJS88" s="21"/>
      <c r="QJT88" s="21"/>
      <c r="QJU88" s="21"/>
      <c r="QJV88" s="21"/>
      <c r="QJW88" s="21"/>
      <c r="QJX88" s="21"/>
      <c r="QJY88" s="21"/>
      <c r="QJZ88" s="21"/>
      <c r="QKA88" s="21"/>
      <c r="QKB88" s="21"/>
      <c r="QKC88" s="21"/>
      <c r="QKD88" s="21"/>
      <c r="QKE88" s="21"/>
      <c r="QKF88" s="21"/>
      <c r="QKG88" s="21"/>
      <c r="QKH88" s="21"/>
      <c r="QKI88" s="21"/>
      <c r="QKJ88" s="21"/>
      <c r="QKK88" s="21"/>
      <c r="QKL88" s="21"/>
      <c r="QKM88" s="21"/>
      <c r="QKN88" s="21"/>
      <c r="QKO88" s="21"/>
      <c r="QKP88" s="21"/>
      <c r="QKQ88" s="21"/>
      <c r="QKR88" s="21"/>
      <c r="QKS88" s="21"/>
      <c r="QKT88" s="21"/>
      <c r="QKU88" s="21"/>
      <c r="QKV88" s="21"/>
      <c r="QKW88" s="21"/>
      <c r="QKX88" s="21"/>
      <c r="QKY88" s="21"/>
      <c r="QKZ88" s="21"/>
      <c r="QLA88" s="21"/>
      <c r="QLB88" s="21"/>
      <c r="QLC88" s="21"/>
      <c r="QLD88" s="21"/>
      <c r="QLE88" s="21"/>
      <c r="QLF88" s="21"/>
      <c r="QLG88" s="21"/>
      <c r="QLH88" s="21"/>
      <c r="QLI88" s="21"/>
      <c r="QLJ88" s="21"/>
      <c r="QLK88" s="21"/>
      <c r="QLL88" s="21"/>
      <c r="QLM88" s="21"/>
      <c r="QLN88" s="21"/>
      <c r="QLO88" s="21"/>
      <c r="QLP88" s="21"/>
      <c r="QLQ88" s="21"/>
      <c r="QLR88" s="21"/>
      <c r="QLS88" s="21"/>
      <c r="QLT88" s="21"/>
      <c r="QLU88" s="21"/>
      <c r="QLV88" s="21"/>
      <c r="QLW88" s="21"/>
      <c r="QLX88" s="21"/>
      <c r="QLY88" s="21"/>
      <c r="QLZ88" s="21"/>
      <c r="QMA88" s="21"/>
      <c r="QMB88" s="21"/>
      <c r="QMC88" s="21"/>
      <c r="QMD88" s="21"/>
      <c r="QME88" s="21"/>
      <c r="QMF88" s="21"/>
      <c r="QMG88" s="21"/>
      <c r="QMH88" s="21"/>
      <c r="QMI88" s="21"/>
      <c r="QMJ88" s="21"/>
      <c r="QMK88" s="21"/>
      <c r="QML88" s="21"/>
      <c r="QMM88" s="21"/>
      <c r="QMN88" s="21"/>
      <c r="QMO88" s="21"/>
      <c r="QMP88" s="21"/>
      <c r="QMQ88" s="21"/>
      <c r="QMR88" s="21"/>
      <c r="QMS88" s="21"/>
      <c r="QMT88" s="21"/>
      <c r="QMU88" s="21"/>
      <c r="QMV88" s="21"/>
      <c r="QMW88" s="21"/>
      <c r="QMX88" s="21"/>
      <c r="QMY88" s="21"/>
      <c r="QMZ88" s="21"/>
      <c r="QNA88" s="21"/>
      <c r="QNB88" s="21"/>
      <c r="QNC88" s="21"/>
      <c r="QND88" s="21"/>
      <c r="QNE88" s="21"/>
      <c r="QNF88" s="21"/>
      <c r="QNG88" s="21"/>
      <c r="QNH88" s="21"/>
      <c r="QNI88" s="21"/>
      <c r="QNJ88" s="21"/>
      <c r="QNK88" s="21"/>
      <c r="QNL88" s="21"/>
      <c r="QNM88" s="21"/>
      <c r="QNN88" s="21"/>
      <c r="QNO88" s="21"/>
      <c r="QNP88" s="21"/>
      <c r="QNQ88" s="21"/>
      <c r="QNR88" s="21"/>
      <c r="QNS88" s="21"/>
      <c r="QNT88" s="21"/>
      <c r="QNU88" s="21"/>
      <c r="QNV88" s="21"/>
      <c r="QNW88" s="21"/>
      <c r="QNX88" s="21"/>
      <c r="QNY88" s="21"/>
      <c r="QNZ88" s="21"/>
      <c r="QOA88" s="21"/>
      <c r="QOB88" s="21"/>
      <c r="QOC88" s="21"/>
      <c r="QOD88" s="21"/>
      <c r="QOE88" s="21"/>
      <c r="QOF88" s="21"/>
      <c r="QOG88" s="21"/>
      <c r="QOH88" s="21"/>
      <c r="QOI88" s="21"/>
      <c r="QOJ88" s="21"/>
      <c r="QOK88" s="21"/>
      <c r="QOL88" s="21"/>
      <c r="QOM88" s="21"/>
      <c r="QON88" s="21"/>
      <c r="QOO88" s="21"/>
      <c r="QOP88" s="21"/>
      <c r="QOQ88" s="21"/>
      <c r="QOR88" s="21"/>
      <c r="QOS88" s="21"/>
      <c r="QOT88" s="21"/>
      <c r="QOU88" s="21"/>
      <c r="QOV88" s="21"/>
      <c r="QOW88" s="21"/>
      <c r="QOX88" s="21"/>
      <c r="QOY88" s="21"/>
      <c r="QOZ88" s="21"/>
      <c r="QPA88" s="21"/>
      <c r="QPB88" s="21"/>
      <c r="QPC88" s="21"/>
      <c r="QPD88" s="21"/>
      <c r="QPE88" s="21"/>
      <c r="QPF88" s="21"/>
      <c r="QPG88" s="21"/>
      <c r="QPH88" s="21"/>
      <c r="QPI88" s="21"/>
      <c r="QPJ88" s="21"/>
      <c r="QPK88" s="21"/>
      <c r="QPL88" s="21"/>
      <c r="QPM88" s="21"/>
      <c r="QPN88" s="21"/>
      <c r="QPO88" s="21"/>
      <c r="QPP88" s="21"/>
      <c r="QPQ88" s="21"/>
      <c r="QPR88" s="21"/>
      <c r="QPS88" s="21"/>
      <c r="QPT88" s="21"/>
      <c r="QPU88" s="21"/>
      <c r="QPV88" s="21"/>
      <c r="QPW88" s="21"/>
      <c r="QPX88" s="21"/>
      <c r="QPY88" s="21"/>
      <c r="QPZ88" s="21"/>
      <c r="QQA88" s="21"/>
      <c r="QQB88" s="21"/>
      <c r="QQC88" s="21"/>
      <c r="QQD88" s="21"/>
      <c r="QQE88" s="21"/>
      <c r="QQF88" s="21"/>
      <c r="QQG88" s="21"/>
      <c r="QQH88" s="21"/>
      <c r="QQI88" s="21"/>
      <c r="QQJ88" s="21"/>
      <c r="QQK88" s="21"/>
      <c r="QQL88" s="21"/>
      <c r="QQM88" s="21"/>
      <c r="QQN88" s="21"/>
      <c r="QQO88" s="21"/>
      <c r="QQP88" s="21"/>
      <c r="QQQ88" s="21"/>
      <c r="QQR88" s="21"/>
      <c r="QQS88" s="21"/>
      <c r="QQT88" s="21"/>
      <c r="QQU88" s="21"/>
      <c r="QQV88" s="21"/>
      <c r="QQW88" s="21"/>
      <c r="QQX88" s="21"/>
      <c r="QQY88" s="21"/>
      <c r="QQZ88" s="21"/>
      <c r="QRA88" s="21"/>
      <c r="QRB88" s="21"/>
      <c r="QRC88" s="21"/>
      <c r="QRD88" s="21"/>
      <c r="QRE88" s="21"/>
      <c r="QRF88" s="21"/>
      <c r="QRG88" s="21"/>
      <c r="QRH88" s="21"/>
      <c r="QRI88" s="21"/>
      <c r="QRJ88" s="21"/>
      <c r="QRK88" s="21"/>
      <c r="QRL88" s="21"/>
      <c r="QRM88" s="21"/>
      <c r="QRN88" s="21"/>
      <c r="QRO88" s="21"/>
      <c r="QRP88" s="21"/>
      <c r="QRQ88" s="21"/>
      <c r="QRR88" s="21"/>
      <c r="QRS88" s="21"/>
      <c r="QRT88" s="21"/>
      <c r="QRU88" s="21"/>
      <c r="QRV88" s="21"/>
      <c r="QRW88" s="21"/>
      <c r="QRX88" s="21"/>
      <c r="QRY88" s="21"/>
      <c r="QRZ88" s="21"/>
      <c r="QSA88" s="21"/>
      <c r="QSB88" s="21"/>
      <c r="QSC88" s="21"/>
      <c r="QSD88" s="21"/>
      <c r="QSE88" s="21"/>
      <c r="QSF88" s="21"/>
      <c r="QSG88" s="21"/>
      <c r="QSH88" s="21"/>
      <c r="QSI88" s="21"/>
      <c r="QSJ88" s="21"/>
      <c r="QSK88" s="21"/>
      <c r="QSL88" s="21"/>
      <c r="QSM88" s="21"/>
      <c r="QSN88" s="21"/>
      <c r="QSO88" s="21"/>
      <c r="QSP88" s="21"/>
      <c r="QSQ88" s="21"/>
      <c r="QSR88" s="21"/>
      <c r="QSS88" s="21"/>
      <c r="QST88" s="21"/>
      <c r="QSU88" s="21"/>
      <c r="QSV88" s="21"/>
      <c r="QSW88" s="21"/>
      <c r="QSX88" s="21"/>
      <c r="QSY88" s="21"/>
      <c r="QSZ88" s="21"/>
      <c r="QTA88" s="21"/>
      <c r="QTB88" s="21"/>
      <c r="QTC88" s="21"/>
      <c r="QTD88" s="21"/>
      <c r="QTE88" s="21"/>
      <c r="QTF88" s="21"/>
      <c r="QTG88" s="21"/>
      <c r="QTH88" s="21"/>
      <c r="QTI88" s="21"/>
      <c r="QTJ88" s="21"/>
      <c r="QTK88" s="21"/>
      <c r="QTL88" s="21"/>
      <c r="QTM88" s="21"/>
      <c r="QTN88" s="21"/>
      <c r="QTO88" s="21"/>
      <c r="QTP88" s="21"/>
      <c r="QTQ88" s="21"/>
      <c r="QTR88" s="21"/>
      <c r="QTS88" s="21"/>
      <c r="QTT88" s="21"/>
      <c r="QTU88" s="21"/>
      <c r="QTV88" s="21"/>
      <c r="QTW88" s="21"/>
      <c r="QTX88" s="21"/>
      <c r="QTY88" s="21"/>
      <c r="QTZ88" s="21"/>
      <c r="QUA88" s="21"/>
      <c r="QUB88" s="21"/>
      <c r="QUC88" s="21"/>
      <c r="QUD88" s="21"/>
      <c r="QUE88" s="21"/>
      <c r="QUF88" s="21"/>
      <c r="QUG88" s="21"/>
      <c r="QUH88" s="21"/>
      <c r="QUI88" s="21"/>
      <c r="QUJ88" s="21"/>
      <c r="QUK88" s="21"/>
      <c r="QUL88" s="21"/>
      <c r="QUM88" s="21"/>
      <c r="QUN88" s="21"/>
      <c r="QUO88" s="21"/>
      <c r="QUP88" s="21"/>
      <c r="QUQ88" s="21"/>
      <c r="QUR88" s="21"/>
      <c r="QUS88" s="21"/>
      <c r="QUT88" s="21"/>
      <c r="QUU88" s="21"/>
      <c r="QUV88" s="21"/>
      <c r="QUW88" s="21"/>
      <c r="QUX88" s="21"/>
      <c r="QUY88" s="21"/>
      <c r="QUZ88" s="21"/>
      <c r="QVA88" s="21"/>
      <c r="QVB88" s="21"/>
      <c r="QVC88" s="21"/>
      <c r="QVD88" s="21"/>
      <c r="QVE88" s="21"/>
      <c r="QVF88" s="21"/>
      <c r="QVG88" s="21"/>
      <c r="QVH88" s="21"/>
      <c r="QVI88" s="21"/>
      <c r="QVJ88" s="21"/>
      <c r="QVK88" s="21"/>
      <c r="QVL88" s="21"/>
      <c r="QVM88" s="21"/>
      <c r="QVN88" s="21"/>
      <c r="QVO88" s="21"/>
      <c r="QVP88" s="21"/>
      <c r="QVQ88" s="21"/>
      <c r="QVR88" s="21"/>
      <c r="QVS88" s="21"/>
      <c r="QVT88" s="21"/>
      <c r="QVU88" s="21"/>
      <c r="QVV88" s="21"/>
      <c r="QVW88" s="21"/>
      <c r="QVX88" s="21"/>
      <c r="QVY88" s="21"/>
      <c r="QVZ88" s="21"/>
      <c r="QWA88" s="21"/>
      <c r="QWB88" s="21"/>
      <c r="QWC88" s="21"/>
      <c r="QWD88" s="21"/>
      <c r="QWE88" s="21"/>
      <c r="QWF88" s="21"/>
      <c r="QWG88" s="21"/>
      <c r="QWH88" s="21"/>
      <c r="QWI88" s="21"/>
      <c r="QWJ88" s="21"/>
      <c r="QWK88" s="21"/>
      <c r="QWL88" s="21"/>
      <c r="QWM88" s="21"/>
      <c r="QWN88" s="21"/>
      <c r="QWO88" s="21"/>
      <c r="QWP88" s="21"/>
      <c r="QWQ88" s="21"/>
      <c r="QWR88" s="21"/>
      <c r="QWS88" s="21"/>
      <c r="QWT88" s="21"/>
      <c r="QWU88" s="21"/>
      <c r="QWV88" s="21"/>
      <c r="QWW88" s="21"/>
      <c r="QWX88" s="21"/>
      <c r="QWY88" s="21"/>
      <c r="QWZ88" s="21"/>
      <c r="QXA88" s="21"/>
      <c r="QXB88" s="21"/>
      <c r="QXC88" s="21"/>
      <c r="QXD88" s="21"/>
      <c r="QXE88" s="21"/>
      <c r="QXF88" s="21"/>
      <c r="QXG88" s="21"/>
      <c r="QXH88" s="21"/>
      <c r="QXI88" s="21"/>
      <c r="QXJ88" s="21"/>
      <c r="QXK88" s="21"/>
      <c r="QXL88" s="21"/>
      <c r="QXM88" s="21"/>
      <c r="QXN88" s="21"/>
      <c r="QXO88" s="21"/>
      <c r="QXP88" s="21"/>
      <c r="QXQ88" s="21"/>
      <c r="QXR88" s="21"/>
      <c r="QXS88" s="21"/>
      <c r="QXT88" s="21"/>
      <c r="QXU88" s="21"/>
      <c r="QXV88" s="21"/>
      <c r="QXW88" s="21"/>
      <c r="QXX88" s="21"/>
      <c r="QXY88" s="21"/>
      <c r="QXZ88" s="21"/>
      <c r="QYA88" s="21"/>
      <c r="QYB88" s="21"/>
      <c r="QYC88" s="21"/>
      <c r="QYD88" s="21"/>
      <c r="QYE88" s="21"/>
      <c r="QYF88" s="21"/>
      <c r="QYG88" s="21"/>
      <c r="QYH88" s="21"/>
      <c r="QYI88" s="21"/>
      <c r="QYJ88" s="21"/>
      <c r="QYK88" s="21"/>
      <c r="QYL88" s="21"/>
      <c r="QYM88" s="21"/>
      <c r="QYN88" s="21"/>
      <c r="QYO88" s="21"/>
      <c r="QYP88" s="21"/>
      <c r="QYQ88" s="21"/>
      <c r="QYR88" s="21"/>
      <c r="QYS88" s="21"/>
      <c r="QYT88" s="21"/>
      <c r="QYU88" s="21"/>
      <c r="QYV88" s="21"/>
      <c r="QYW88" s="21"/>
      <c r="QYX88" s="21"/>
      <c r="QYY88" s="21"/>
      <c r="QYZ88" s="21"/>
      <c r="QZA88" s="21"/>
      <c r="QZB88" s="21"/>
      <c r="QZC88" s="21"/>
      <c r="QZD88" s="21"/>
      <c r="QZE88" s="21"/>
      <c r="QZF88" s="21"/>
      <c r="QZG88" s="21"/>
      <c r="QZH88" s="21"/>
      <c r="QZI88" s="21"/>
      <c r="QZJ88" s="21"/>
      <c r="QZK88" s="21"/>
      <c r="QZL88" s="21"/>
      <c r="QZM88" s="21"/>
      <c r="QZN88" s="21"/>
      <c r="QZO88" s="21"/>
      <c r="QZP88" s="21"/>
      <c r="QZQ88" s="21"/>
      <c r="QZR88" s="21"/>
      <c r="QZS88" s="21"/>
      <c r="QZT88" s="21"/>
      <c r="QZU88" s="21"/>
      <c r="QZV88" s="21"/>
      <c r="QZW88" s="21"/>
      <c r="QZX88" s="21"/>
      <c r="QZY88" s="21"/>
      <c r="QZZ88" s="21"/>
      <c r="RAA88" s="21"/>
      <c r="RAB88" s="21"/>
      <c r="RAC88" s="21"/>
      <c r="RAD88" s="21"/>
      <c r="RAE88" s="21"/>
      <c r="RAF88" s="21"/>
      <c r="RAG88" s="21"/>
      <c r="RAH88" s="21"/>
      <c r="RAI88" s="21"/>
      <c r="RAJ88" s="21"/>
      <c r="RAK88" s="21"/>
      <c r="RAL88" s="21"/>
      <c r="RAM88" s="21"/>
      <c r="RAN88" s="21"/>
      <c r="RAO88" s="21"/>
      <c r="RAP88" s="21"/>
      <c r="RAQ88" s="21"/>
      <c r="RAR88" s="21"/>
      <c r="RAS88" s="21"/>
      <c r="RAT88" s="21"/>
      <c r="RAU88" s="21"/>
      <c r="RAV88" s="21"/>
      <c r="RAW88" s="21"/>
      <c r="RAX88" s="21"/>
      <c r="RAY88" s="21"/>
      <c r="RAZ88" s="21"/>
      <c r="RBA88" s="21"/>
      <c r="RBB88" s="21"/>
      <c r="RBC88" s="21"/>
      <c r="RBD88" s="21"/>
      <c r="RBE88" s="21"/>
      <c r="RBF88" s="21"/>
      <c r="RBG88" s="21"/>
      <c r="RBH88" s="21"/>
      <c r="RBI88" s="21"/>
      <c r="RBJ88" s="21"/>
      <c r="RBK88" s="21"/>
      <c r="RBL88" s="21"/>
      <c r="RBM88" s="21"/>
      <c r="RBN88" s="21"/>
      <c r="RBO88" s="21"/>
      <c r="RBP88" s="21"/>
      <c r="RBQ88" s="21"/>
      <c r="RBR88" s="21"/>
      <c r="RBS88" s="21"/>
      <c r="RBT88" s="21"/>
      <c r="RBU88" s="21"/>
      <c r="RBV88" s="21"/>
      <c r="RBW88" s="21"/>
      <c r="RBX88" s="21"/>
      <c r="RBY88" s="21"/>
      <c r="RBZ88" s="21"/>
      <c r="RCA88" s="21"/>
      <c r="RCB88" s="21"/>
      <c r="RCC88" s="21"/>
      <c r="RCD88" s="21"/>
      <c r="RCE88" s="21"/>
      <c r="RCF88" s="21"/>
      <c r="RCG88" s="21"/>
      <c r="RCH88" s="21"/>
      <c r="RCI88" s="21"/>
      <c r="RCJ88" s="21"/>
      <c r="RCK88" s="21"/>
      <c r="RCL88" s="21"/>
      <c r="RCM88" s="21"/>
      <c r="RCN88" s="21"/>
      <c r="RCO88" s="21"/>
      <c r="RCP88" s="21"/>
      <c r="RCQ88" s="21"/>
      <c r="RCR88" s="21"/>
      <c r="RCS88" s="21"/>
      <c r="RCT88" s="21"/>
      <c r="RCU88" s="21"/>
      <c r="RCV88" s="21"/>
      <c r="RCW88" s="21"/>
      <c r="RCX88" s="21"/>
      <c r="RCY88" s="21"/>
      <c r="RCZ88" s="21"/>
      <c r="RDA88" s="21"/>
      <c r="RDB88" s="21"/>
      <c r="RDC88" s="21"/>
      <c r="RDD88" s="21"/>
      <c r="RDE88" s="21"/>
      <c r="RDF88" s="21"/>
      <c r="RDG88" s="21"/>
      <c r="RDH88" s="21"/>
      <c r="RDI88" s="21"/>
      <c r="RDJ88" s="21"/>
      <c r="RDK88" s="21"/>
      <c r="RDL88" s="21"/>
      <c r="RDM88" s="21"/>
      <c r="RDN88" s="21"/>
      <c r="RDO88" s="21"/>
      <c r="RDP88" s="21"/>
      <c r="RDQ88" s="21"/>
      <c r="RDR88" s="21"/>
      <c r="RDS88" s="21"/>
      <c r="RDT88" s="21"/>
      <c r="RDU88" s="21"/>
      <c r="RDV88" s="21"/>
      <c r="RDW88" s="21"/>
      <c r="RDX88" s="21"/>
      <c r="RDY88" s="21"/>
      <c r="RDZ88" s="21"/>
      <c r="REA88" s="21"/>
      <c r="REB88" s="21"/>
      <c r="REC88" s="21"/>
      <c r="RED88" s="21"/>
      <c r="REE88" s="21"/>
      <c r="REF88" s="21"/>
      <c r="REG88" s="21"/>
      <c r="REH88" s="21"/>
      <c r="REI88" s="21"/>
      <c r="REJ88" s="21"/>
      <c r="REK88" s="21"/>
      <c r="REL88" s="21"/>
      <c r="REM88" s="21"/>
      <c r="REN88" s="21"/>
      <c r="REO88" s="21"/>
      <c r="REP88" s="21"/>
      <c r="REQ88" s="21"/>
      <c r="RER88" s="21"/>
      <c r="RES88" s="21"/>
      <c r="RET88" s="21"/>
      <c r="REU88" s="21"/>
      <c r="REV88" s="21"/>
      <c r="REW88" s="21"/>
      <c r="REX88" s="21"/>
      <c r="REY88" s="21"/>
      <c r="REZ88" s="21"/>
      <c r="RFA88" s="21"/>
      <c r="RFB88" s="21"/>
      <c r="RFC88" s="21"/>
      <c r="RFD88" s="21"/>
      <c r="RFE88" s="21"/>
      <c r="RFF88" s="21"/>
      <c r="RFG88" s="21"/>
      <c r="RFH88" s="21"/>
      <c r="RFI88" s="21"/>
      <c r="RFJ88" s="21"/>
      <c r="RFK88" s="21"/>
      <c r="RFL88" s="21"/>
      <c r="RFM88" s="21"/>
      <c r="RFN88" s="21"/>
      <c r="RFO88" s="21"/>
      <c r="RFP88" s="21"/>
      <c r="RFQ88" s="21"/>
      <c r="RFR88" s="21"/>
      <c r="RFS88" s="21"/>
      <c r="RFT88" s="21"/>
      <c r="RFU88" s="21"/>
      <c r="RFV88" s="21"/>
      <c r="RFW88" s="21"/>
      <c r="RFX88" s="21"/>
      <c r="RFY88" s="21"/>
      <c r="RFZ88" s="21"/>
      <c r="RGA88" s="21"/>
      <c r="RGB88" s="21"/>
      <c r="RGC88" s="21"/>
      <c r="RGD88" s="21"/>
      <c r="RGE88" s="21"/>
      <c r="RGF88" s="21"/>
      <c r="RGG88" s="21"/>
      <c r="RGH88" s="21"/>
      <c r="RGI88" s="21"/>
      <c r="RGJ88" s="21"/>
      <c r="RGK88" s="21"/>
      <c r="RGL88" s="21"/>
      <c r="RGM88" s="21"/>
      <c r="RGN88" s="21"/>
      <c r="RGO88" s="21"/>
      <c r="RGP88" s="21"/>
      <c r="RGQ88" s="21"/>
      <c r="RGR88" s="21"/>
      <c r="RGS88" s="21"/>
      <c r="RGT88" s="21"/>
      <c r="RGU88" s="21"/>
      <c r="RGV88" s="21"/>
      <c r="RGW88" s="21"/>
      <c r="RGX88" s="21"/>
      <c r="RGY88" s="21"/>
      <c r="RGZ88" s="21"/>
      <c r="RHA88" s="21"/>
      <c r="RHB88" s="21"/>
      <c r="RHC88" s="21"/>
      <c r="RHD88" s="21"/>
      <c r="RHE88" s="21"/>
      <c r="RHF88" s="21"/>
      <c r="RHG88" s="21"/>
      <c r="RHH88" s="21"/>
      <c r="RHI88" s="21"/>
      <c r="RHJ88" s="21"/>
      <c r="RHK88" s="21"/>
      <c r="RHL88" s="21"/>
      <c r="RHM88" s="21"/>
      <c r="RHN88" s="21"/>
      <c r="RHO88" s="21"/>
      <c r="RHP88" s="21"/>
      <c r="RHQ88" s="21"/>
      <c r="RHR88" s="21"/>
      <c r="RHS88" s="21"/>
      <c r="RHT88" s="21"/>
      <c r="RHU88" s="21"/>
      <c r="RHV88" s="21"/>
      <c r="RHW88" s="21"/>
      <c r="RHX88" s="21"/>
      <c r="RHY88" s="21"/>
      <c r="RHZ88" s="21"/>
      <c r="RIA88" s="21"/>
      <c r="RIB88" s="21"/>
      <c r="RIC88" s="21"/>
      <c r="RID88" s="21"/>
      <c r="RIE88" s="21"/>
      <c r="RIF88" s="21"/>
      <c r="RIG88" s="21"/>
      <c r="RIH88" s="21"/>
      <c r="RII88" s="21"/>
      <c r="RIJ88" s="21"/>
      <c r="RIK88" s="21"/>
      <c r="RIL88" s="21"/>
      <c r="RIM88" s="21"/>
      <c r="RIN88" s="21"/>
      <c r="RIO88" s="21"/>
      <c r="RIP88" s="21"/>
      <c r="RIQ88" s="21"/>
      <c r="RIR88" s="21"/>
      <c r="RIS88" s="21"/>
      <c r="RIT88" s="21"/>
      <c r="RIU88" s="21"/>
      <c r="RIV88" s="21"/>
      <c r="RIW88" s="21"/>
      <c r="RIX88" s="21"/>
      <c r="RIY88" s="21"/>
      <c r="RIZ88" s="21"/>
      <c r="RJA88" s="21"/>
      <c r="RJB88" s="21"/>
      <c r="RJC88" s="21"/>
      <c r="RJD88" s="21"/>
      <c r="RJE88" s="21"/>
      <c r="RJF88" s="21"/>
      <c r="RJG88" s="21"/>
      <c r="RJH88" s="21"/>
      <c r="RJI88" s="21"/>
      <c r="RJJ88" s="21"/>
      <c r="RJK88" s="21"/>
      <c r="RJL88" s="21"/>
      <c r="RJM88" s="21"/>
      <c r="RJN88" s="21"/>
      <c r="RJO88" s="21"/>
      <c r="RJP88" s="21"/>
      <c r="RJQ88" s="21"/>
      <c r="RJR88" s="21"/>
      <c r="RJS88" s="21"/>
      <c r="RJT88" s="21"/>
      <c r="RJU88" s="21"/>
      <c r="RJV88" s="21"/>
      <c r="RJW88" s="21"/>
      <c r="RJX88" s="21"/>
      <c r="RJY88" s="21"/>
      <c r="RJZ88" s="21"/>
      <c r="RKA88" s="21"/>
      <c r="RKB88" s="21"/>
      <c r="RKC88" s="21"/>
      <c r="RKD88" s="21"/>
      <c r="RKE88" s="21"/>
      <c r="RKF88" s="21"/>
      <c r="RKG88" s="21"/>
      <c r="RKH88" s="21"/>
      <c r="RKI88" s="21"/>
      <c r="RKJ88" s="21"/>
      <c r="RKK88" s="21"/>
      <c r="RKL88" s="21"/>
      <c r="RKM88" s="21"/>
      <c r="RKN88" s="21"/>
      <c r="RKO88" s="21"/>
      <c r="RKP88" s="21"/>
      <c r="RKQ88" s="21"/>
      <c r="RKR88" s="21"/>
      <c r="RKS88" s="21"/>
      <c r="RKT88" s="21"/>
      <c r="RKU88" s="21"/>
      <c r="RKV88" s="21"/>
      <c r="RKW88" s="21"/>
      <c r="RKX88" s="21"/>
      <c r="RKY88" s="21"/>
      <c r="RKZ88" s="21"/>
      <c r="RLA88" s="21"/>
      <c r="RLB88" s="21"/>
      <c r="RLC88" s="21"/>
      <c r="RLD88" s="21"/>
      <c r="RLE88" s="21"/>
      <c r="RLF88" s="21"/>
      <c r="RLG88" s="21"/>
      <c r="RLH88" s="21"/>
      <c r="RLI88" s="21"/>
      <c r="RLJ88" s="21"/>
      <c r="RLK88" s="21"/>
      <c r="RLL88" s="21"/>
      <c r="RLM88" s="21"/>
      <c r="RLN88" s="21"/>
      <c r="RLO88" s="21"/>
      <c r="RLP88" s="21"/>
      <c r="RLQ88" s="21"/>
      <c r="RLR88" s="21"/>
      <c r="RLS88" s="21"/>
      <c r="RLT88" s="21"/>
      <c r="RLU88" s="21"/>
      <c r="RLV88" s="21"/>
      <c r="RLW88" s="21"/>
      <c r="RLX88" s="21"/>
      <c r="RLY88" s="21"/>
      <c r="RLZ88" s="21"/>
      <c r="RMA88" s="21"/>
      <c r="RMB88" s="21"/>
      <c r="RMC88" s="21"/>
      <c r="RMD88" s="21"/>
      <c r="RME88" s="21"/>
      <c r="RMF88" s="21"/>
      <c r="RMG88" s="21"/>
      <c r="RMH88" s="21"/>
      <c r="RMI88" s="21"/>
      <c r="RMJ88" s="21"/>
      <c r="RMK88" s="21"/>
      <c r="RML88" s="21"/>
      <c r="RMM88" s="21"/>
      <c r="RMN88" s="21"/>
      <c r="RMO88" s="21"/>
      <c r="RMP88" s="21"/>
      <c r="RMQ88" s="21"/>
      <c r="RMR88" s="21"/>
      <c r="RMS88" s="21"/>
      <c r="RMT88" s="21"/>
      <c r="RMU88" s="21"/>
      <c r="RMV88" s="21"/>
      <c r="RMW88" s="21"/>
      <c r="RMX88" s="21"/>
      <c r="RMY88" s="21"/>
      <c r="RMZ88" s="21"/>
      <c r="RNA88" s="21"/>
      <c r="RNB88" s="21"/>
      <c r="RNC88" s="21"/>
      <c r="RND88" s="21"/>
      <c r="RNE88" s="21"/>
      <c r="RNF88" s="21"/>
      <c r="RNG88" s="21"/>
      <c r="RNH88" s="21"/>
      <c r="RNI88" s="21"/>
      <c r="RNJ88" s="21"/>
      <c r="RNK88" s="21"/>
      <c r="RNL88" s="21"/>
      <c r="RNM88" s="21"/>
      <c r="RNN88" s="21"/>
      <c r="RNO88" s="21"/>
      <c r="RNP88" s="21"/>
      <c r="RNQ88" s="21"/>
      <c r="RNR88" s="21"/>
      <c r="RNS88" s="21"/>
      <c r="RNT88" s="21"/>
      <c r="RNU88" s="21"/>
      <c r="RNV88" s="21"/>
      <c r="RNW88" s="21"/>
      <c r="RNX88" s="21"/>
      <c r="RNY88" s="21"/>
      <c r="RNZ88" s="21"/>
      <c r="ROA88" s="21"/>
      <c r="ROB88" s="21"/>
      <c r="ROC88" s="21"/>
      <c r="ROD88" s="21"/>
      <c r="ROE88" s="21"/>
      <c r="ROF88" s="21"/>
      <c r="ROG88" s="21"/>
      <c r="ROH88" s="21"/>
      <c r="ROI88" s="21"/>
      <c r="ROJ88" s="21"/>
      <c r="ROK88" s="21"/>
      <c r="ROL88" s="21"/>
      <c r="ROM88" s="21"/>
      <c r="RON88" s="21"/>
      <c r="ROO88" s="21"/>
      <c r="ROP88" s="21"/>
      <c r="ROQ88" s="21"/>
      <c r="ROR88" s="21"/>
      <c r="ROS88" s="21"/>
      <c r="ROT88" s="21"/>
      <c r="ROU88" s="21"/>
      <c r="ROV88" s="21"/>
      <c r="ROW88" s="21"/>
      <c r="ROX88" s="21"/>
      <c r="ROY88" s="21"/>
      <c r="ROZ88" s="21"/>
      <c r="RPA88" s="21"/>
      <c r="RPB88" s="21"/>
      <c r="RPC88" s="21"/>
      <c r="RPD88" s="21"/>
      <c r="RPE88" s="21"/>
      <c r="RPF88" s="21"/>
      <c r="RPG88" s="21"/>
      <c r="RPH88" s="21"/>
      <c r="RPI88" s="21"/>
      <c r="RPJ88" s="21"/>
      <c r="RPK88" s="21"/>
      <c r="RPL88" s="21"/>
      <c r="RPM88" s="21"/>
      <c r="RPN88" s="21"/>
      <c r="RPO88" s="21"/>
      <c r="RPP88" s="21"/>
      <c r="RPQ88" s="21"/>
      <c r="RPR88" s="21"/>
      <c r="RPS88" s="21"/>
      <c r="RPT88" s="21"/>
      <c r="RPU88" s="21"/>
      <c r="RPV88" s="21"/>
      <c r="RPW88" s="21"/>
      <c r="RPX88" s="21"/>
      <c r="RPY88" s="21"/>
      <c r="RPZ88" s="21"/>
      <c r="RQA88" s="21"/>
      <c r="RQB88" s="21"/>
      <c r="RQC88" s="21"/>
      <c r="RQD88" s="21"/>
      <c r="RQE88" s="21"/>
      <c r="RQF88" s="21"/>
      <c r="RQG88" s="21"/>
      <c r="RQH88" s="21"/>
      <c r="RQI88" s="21"/>
      <c r="RQJ88" s="21"/>
      <c r="RQK88" s="21"/>
      <c r="RQL88" s="21"/>
      <c r="RQM88" s="21"/>
      <c r="RQN88" s="21"/>
      <c r="RQO88" s="21"/>
      <c r="RQP88" s="21"/>
      <c r="RQQ88" s="21"/>
      <c r="RQR88" s="21"/>
      <c r="RQS88" s="21"/>
      <c r="RQT88" s="21"/>
      <c r="RQU88" s="21"/>
      <c r="RQV88" s="21"/>
      <c r="RQW88" s="21"/>
      <c r="RQX88" s="21"/>
      <c r="RQY88" s="21"/>
      <c r="RQZ88" s="21"/>
      <c r="RRA88" s="21"/>
      <c r="RRB88" s="21"/>
      <c r="RRC88" s="21"/>
      <c r="RRD88" s="21"/>
      <c r="RRE88" s="21"/>
      <c r="RRF88" s="21"/>
      <c r="RRG88" s="21"/>
      <c r="RRH88" s="21"/>
      <c r="RRI88" s="21"/>
      <c r="RRJ88" s="21"/>
      <c r="RRK88" s="21"/>
      <c r="RRL88" s="21"/>
      <c r="RRM88" s="21"/>
      <c r="RRN88" s="21"/>
      <c r="RRO88" s="21"/>
      <c r="RRP88" s="21"/>
      <c r="RRQ88" s="21"/>
      <c r="RRR88" s="21"/>
      <c r="RRS88" s="21"/>
      <c r="RRT88" s="21"/>
      <c r="RRU88" s="21"/>
      <c r="RRV88" s="21"/>
      <c r="RRW88" s="21"/>
      <c r="RRX88" s="21"/>
      <c r="RRY88" s="21"/>
      <c r="RRZ88" s="21"/>
      <c r="RSA88" s="21"/>
      <c r="RSB88" s="21"/>
      <c r="RSC88" s="21"/>
      <c r="RSD88" s="21"/>
      <c r="RSE88" s="21"/>
      <c r="RSF88" s="21"/>
      <c r="RSG88" s="21"/>
      <c r="RSH88" s="21"/>
      <c r="RSI88" s="21"/>
      <c r="RSJ88" s="21"/>
      <c r="RSK88" s="21"/>
      <c r="RSL88" s="21"/>
      <c r="RSM88" s="21"/>
      <c r="RSN88" s="21"/>
      <c r="RSO88" s="21"/>
      <c r="RSP88" s="21"/>
      <c r="RSQ88" s="21"/>
      <c r="RSR88" s="21"/>
      <c r="RSS88" s="21"/>
      <c r="RST88" s="21"/>
      <c r="RSU88" s="21"/>
      <c r="RSV88" s="21"/>
      <c r="RSW88" s="21"/>
      <c r="RSX88" s="21"/>
      <c r="RSY88" s="21"/>
      <c r="RSZ88" s="21"/>
      <c r="RTA88" s="21"/>
      <c r="RTB88" s="21"/>
      <c r="RTC88" s="21"/>
      <c r="RTD88" s="21"/>
      <c r="RTE88" s="21"/>
      <c r="RTF88" s="21"/>
      <c r="RTG88" s="21"/>
      <c r="RTH88" s="21"/>
      <c r="RTI88" s="21"/>
      <c r="RTJ88" s="21"/>
      <c r="RTK88" s="21"/>
      <c r="RTL88" s="21"/>
      <c r="RTM88" s="21"/>
      <c r="RTN88" s="21"/>
      <c r="RTO88" s="21"/>
      <c r="RTP88" s="21"/>
      <c r="RTQ88" s="21"/>
      <c r="RTR88" s="21"/>
      <c r="RTS88" s="21"/>
      <c r="RTT88" s="21"/>
      <c r="RTU88" s="21"/>
      <c r="RTV88" s="21"/>
      <c r="RTW88" s="21"/>
      <c r="RTX88" s="21"/>
      <c r="RTY88" s="21"/>
      <c r="RTZ88" s="21"/>
      <c r="RUA88" s="21"/>
      <c r="RUB88" s="21"/>
      <c r="RUC88" s="21"/>
      <c r="RUD88" s="21"/>
      <c r="RUE88" s="21"/>
      <c r="RUF88" s="21"/>
      <c r="RUG88" s="21"/>
      <c r="RUH88" s="21"/>
      <c r="RUI88" s="21"/>
      <c r="RUJ88" s="21"/>
      <c r="RUK88" s="21"/>
      <c r="RUL88" s="21"/>
      <c r="RUM88" s="21"/>
      <c r="RUN88" s="21"/>
      <c r="RUO88" s="21"/>
      <c r="RUP88" s="21"/>
      <c r="RUQ88" s="21"/>
      <c r="RUR88" s="21"/>
      <c r="RUS88" s="21"/>
      <c r="RUT88" s="21"/>
      <c r="RUU88" s="21"/>
      <c r="RUV88" s="21"/>
      <c r="RUW88" s="21"/>
      <c r="RUX88" s="21"/>
      <c r="RUY88" s="21"/>
      <c r="RUZ88" s="21"/>
      <c r="RVA88" s="21"/>
      <c r="RVB88" s="21"/>
      <c r="RVC88" s="21"/>
      <c r="RVD88" s="21"/>
      <c r="RVE88" s="21"/>
      <c r="RVF88" s="21"/>
      <c r="RVG88" s="21"/>
      <c r="RVH88" s="21"/>
      <c r="RVI88" s="21"/>
      <c r="RVJ88" s="21"/>
      <c r="RVK88" s="21"/>
      <c r="RVL88" s="21"/>
      <c r="RVM88" s="21"/>
      <c r="RVN88" s="21"/>
      <c r="RVO88" s="21"/>
      <c r="RVP88" s="21"/>
      <c r="RVQ88" s="21"/>
      <c r="RVR88" s="21"/>
      <c r="RVS88" s="21"/>
      <c r="RVT88" s="21"/>
      <c r="RVU88" s="21"/>
      <c r="RVV88" s="21"/>
      <c r="RVW88" s="21"/>
      <c r="RVX88" s="21"/>
      <c r="RVY88" s="21"/>
      <c r="RVZ88" s="21"/>
      <c r="RWA88" s="21"/>
      <c r="RWB88" s="21"/>
      <c r="RWC88" s="21"/>
      <c r="RWD88" s="21"/>
      <c r="RWE88" s="21"/>
      <c r="RWF88" s="21"/>
      <c r="RWG88" s="21"/>
      <c r="RWH88" s="21"/>
      <c r="RWI88" s="21"/>
      <c r="RWJ88" s="21"/>
      <c r="RWK88" s="21"/>
      <c r="RWL88" s="21"/>
      <c r="RWM88" s="21"/>
      <c r="RWN88" s="21"/>
      <c r="RWO88" s="21"/>
      <c r="RWP88" s="21"/>
      <c r="RWQ88" s="21"/>
      <c r="RWR88" s="21"/>
      <c r="RWS88" s="21"/>
      <c r="RWT88" s="21"/>
      <c r="RWU88" s="21"/>
      <c r="RWV88" s="21"/>
      <c r="RWW88" s="21"/>
      <c r="RWX88" s="21"/>
      <c r="RWY88" s="21"/>
      <c r="RWZ88" s="21"/>
      <c r="RXA88" s="21"/>
      <c r="RXB88" s="21"/>
      <c r="RXC88" s="21"/>
      <c r="RXD88" s="21"/>
      <c r="RXE88" s="21"/>
      <c r="RXF88" s="21"/>
      <c r="RXG88" s="21"/>
      <c r="RXH88" s="21"/>
      <c r="RXI88" s="21"/>
      <c r="RXJ88" s="21"/>
      <c r="RXK88" s="21"/>
      <c r="RXL88" s="21"/>
      <c r="RXM88" s="21"/>
      <c r="RXN88" s="21"/>
      <c r="RXO88" s="21"/>
      <c r="RXP88" s="21"/>
      <c r="RXQ88" s="21"/>
      <c r="RXR88" s="21"/>
      <c r="RXS88" s="21"/>
      <c r="RXT88" s="21"/>
      <c r="RXU88" s="21"/>
      <c r="RXV88" s="21"/>
      <c r="RXW88" s="21"/>
      <c r="RXX88" s="21"/>
      <c r="RXY88" s="21"/>
      <c r="RXZ88" s="21"/>
      <c r="RYA88" s="21"/>
      <c r="RYB88" s="21"/>
      <c r="RYC88" s="21"/>
      <c r="RYD88" s="21"/>
      <c r="RYE88" s="21"/>
      <c r="RYF88" s="21"/>
      <c r="RYG88" s="21"/>
      <c r="RYH88" s="21"/>
      <c r="RYI88" s="21"/>
      <c r="RYJ88" s="21"/>
      <c r="RYK88" s="21"/>
      <c r="RYL88" s="21"/>
      <c r="RYM88" s="21"/>
      <c r="RYN88" s="21"/>
      <c r="RYO88" s="21"/>
      <c r="RYP88" s="21"/>
      <c r="RYQ88" s="21"/>
      <c r="RYR88" s="21"/>
      <c r="RYS88" s="21"/>
      <c r="RYT88" s="21"/>
      <c r="RYU88" s="21"/>
      <c r="RYV88" s="21"/>
      <c r="RYW88" s="21"/>
      <c r="RYX88" s="21"/>
      <c r="RYY88" s="21"/>
      <c r="RYZ88" s="21"/>
      <c r="RZA88" s="21"/>
      <c r="RZB88" s="21"/>
      <c r="RZC88" s="21"/>
      <c r="RZD88" s="21"/>
      <c r="RZE88" s="21"/>
      <c r="RZF88" s="21"/>
      <c r="RZG88" s="21"/>
      <c r="RZH88" s="21"/>
      <c r="RZI88" s="21"/>
      <c r="RZJ88" s="21"/>
      <c r="RZK88" s="21"/>
      <c r="RZL88" s="21"/>
      <c r="RZM88" s="21"/>
      <c r="RZN88" s="21"/>
      <c r="RZO88" s="21"/>
      <c r="RZP88" s="21"/>
      <c r="RZQ88" s="21"/>
      <c r="RZR88" s="21"/>
      <c r="RZS88" s="21"/>
      <c r="RZT88" s="21"/>
      <c r="RZU88" s="21"/>
      <c r="RZV88" s="21"/>
      <c r="RZW88" s="21"/>
      <c r="RZX88" s="21"/>
      <c r="RZY88" s="21"/>
      <c r="RZZ88" s="21"/>
      <c r="SAA88" s="21"/>
      <c r="SAB88" s="21"/>
      <c r="SAC88" s="21"/>
      <c r="SAD88" s="21"/>
      <c r="SAE88" s="21"/>
      <c r="SAF88" s="21"/>
      <c r="SAG88" s="21"/>
      <c r="SAH88" s="21"/>
      <c r="SAI88" s="21"/>
      <c r="SAJ88" s="21"/>
      <c r="SAK88" s="21"/>
      <c r="SAL88" s="21"/>
      <c r="SAM88" s="21"/>
      <c r="SAN88" s="21"/>
      <c r="SAO88" s="21"/>
      <c r="SAP88" s="21"/>
      <c r="SAQ88" s="21"/>
      <c r="SAR88" s="21"/>
      <c r="SAS88" s="21"/>
      <c r="SAT88" s="21"/>
      <c r="SAU88" s="21"/>
      <c r="SAV88" s="21"/>
      <c r="SAW88" s="21"/>
      <c r="SAX88" s="21"/>
      <c r="SAY88" s="21"/>
      <c r="SAZ88" s="21"/>
      <c r="SBA88" s="21"/>
      <c r="SBB88" s="21"/>
      <c r="SBC88" s="21"/>
      <c r="SBD88" s="21"/>
      <c r="SBE88" s="21"/>
      <c r="SBF88" s="21"/>
      <c r="SBG88" s="21"/>
      <c r="SBH88" s="21"/>
      <c r="SBI88" s="21"/>
      <c r="SBJ88" s="21"/>
      <c r="SBK88" s="21"/>
      <c r="SBL88" s="21"/>
      <c r="SBM88" s="21"/>
      <c r="SBN88" s="21"/>
      <c r="SBO88" s="21"/>
      <c r="SBP88" s="21"/>
      <c r="SBQ88" s="21"/>
      <c r="SBR88" s="21"/>
      <c r="SBS88" s="21"/>
      <c r="SBT88" s="21"/>
      <c r="SBU88" s="21"/>
      <c r="SBV88" s="21"/>
      <c r="SBW88" s="21"/>
      <c r="SBX88" s="21"/>
      <c r="SBY88" s="21"/>
      <c r="SBZ88" s="21"/>
      <c r="SCA88" s="21"/>
      <c r="SCB88" s="21"/>
      <c r="SCC88" s="21"/>
      <c r="SCD88" s="21"/>
      <c r="SCE88" s="21"/>
      <c r="SCF88" s="21"/>
      <c r="SCG88" s="21"/>
      <c r="SCH88" s="21"/>
      <c r="SCI88" s="21"/>
      <c r="SCJ88" s="21"/>
      <c r="SCK88" s="21"/>
      <c r="SCL88" s="21"/>
      <c r="SCM88" s="21"/>
      <c r="SCN88" s="21"/>
      <c r="SCO88" s="21"/>
      <c r="SCP88" s="21"/>
      <c r="SCQ88" s="21"/>
      <c r="SCR88" s="21"/>
      <c r="SCS88" s="21"/>
      <c r="SCT88" s="21"/>
      <c r="SCU88" s="21"/>
      <c r="SCV88" s="21"/>
      <c r="SCW88" s="21"/>
      <c r="SCX88" s="21"/>
      <c r="SCY88" s="21"/>
      <c r="SCZ88" s="21"/>
      <c r="SDA88" s="21"/>
      <c r="SDB88" s="21"/>
      <c r="SDC88" s="21"/>
      <c r="SDD88" s="21"/>
      <c r="SDE88" s="21"/>
      <c r="SDF88" s="21"/>
      <c r="SDG88" s="21"/>
      <c r="SDH88" s="21"/>
      <c r="SDI88" s="21"/>
      <c r="SDJ88" s="21"/>
      <c r="SDK88" s="21"/>
      <c r="SDL88" s="21"/>
      <c r="SDM88" s="21"/>
      <c r="SDN88" s="21"/>
      <c r="SDO88" s="21"/>
      <c r="SDP88" s="21"/>
      <c r="SDQ88" s="21"/>
      <c r="SDR88" s="21"/>
      <c r="SDS88" s="21"/>
      <c r="SDT88" s="21"/>
      <c r="SDU88" s="21"/>
      <c r="SDV88" s="21"/>
      <c r="SDW88" s="21"/>
      <c r="SDX88" s="21"/>
      <c r="SDY88" s="21"/>
      <c r="SDZ88" s="21"/>
      <c r="SEA88" s="21"/>
      <c r="SEB88" s="21"/>
      <c r="SEC88" s="21"/>
      <c r="SED88" s="21"/>
      <c r="SEE88" s="21"/>
      <c r="SEF88" s="21"/>
      <c r="SEG88" s="21"/>
      <c r="SEH88" s="21"/>
      <c r="SEI88" s="21"/>
      <c r="SEJ88" s="21"/>
      <c r="SEK88" s="21"/>
      <c r="SEL88" s="21"/>
      <c r="SEM88" s="21"/>
      <c r="SEN88" s="21"/>
      <c r="SEO88" s="21"/>
      <c r="SEP88" s="21"/>
      <c r="SEQ88" s="21"/>
      <c r="SER88" s="21"/>
      <c r="SES88" s="21"/>
      <c r="SET88" s="21"/>
      <c r="SEU88" s="21"/>
      <c r="SEV88" s="21"/>
      <c r="SEW88" s="21"/>
      <c r="SEX88" s="21"/>
      <c r="SEY88" s="21"/>
      <c r="SEZ88" s="21"/>
      <c r="SFA88" s="21"/>
      <c r="SFB88" s="21"/>
      <c r="SFC88" s="21"/>
      <c r="SFD88" s="21"/>
      <c r="SFE88" s="21"/>
      <c r="SFF88" s="21"/>
      <c r="SFG88" s="21"/>
      <c r="SFH88" s="21"/>
      <c r="SFI88" s="21"/>
      <c r="SFJ88" s="21"/>
      <c r="SFK88" s="21"/>
      <c r="SFL88" s="21"/>
      <c r="SFM88" s="21"/>
      <c r="SFN88" s="21"/>
      <c r="SFO88" s="21"/>
      <c r="SFP88" s="21"/>
      <c r="SFQ88" s="21"/>
      <c r="SFR88" s="21"/>
      <c r="SFS88" s="21"/>
      <c r="SFT88" s="21"/>
      <c r="SFU88" s="21"/>
      <c r="SFV88" s="21"/>
      <c r="SFW88" s="21"/>
      <c r="SFX88" s="21"/>
      <c r="SFY88" s="21"/>
      <c r="SFZ88" s="21"/>
      <c r="SGA88" s="21"/>
      <c r="SGB88" s="21"/>
      <c r="SGC88" s="21"/>
      <c r="SGD88" s="21"/>
      <c r="SGE88" s="21"/>
      <c r="SGF88" s="21"/>
      <c r="SGG88" s="21"/>
      <c r="SGH88" s="21"/>
      <c r="SGI88" s="21"/>
      <c r="SGJ88" s="21"/>
      <c r="SGK88" s="21"/>
      <c r="SGL88" s="21"/>
      <c r="SGM88" s="21"/>
      <c r="SGN88" s="21"/>
      <c r="SGO88" s="21"/>
      <c r="SGP88" s="21"/>
      <c r="SGQ88" s="21"/>
      <c r="SGR88" s="21"/>
      <c r="SGS88" s="21"/>
      <c r="SGT88" s="21"/>
      <c r="SGU88" s="21"/>
      <c r="SGV88" s="21"/>
      <c r="SGW88" s="21"/>
      <c r="SGX88" s="21"/>
      <c r="SGY88" s="21"/>
      <c r="SGZ88" s="21"/>
      <c r="SHA88" s="21"/>
      <c r="SHB88" s="21"/>
      <c r="SHC88" s="21"/>
      <c r="SHD88" s="21"/>
      <c r="SHE88" s="21"/>
      <c r="SHF88" s="21"/>
      <c r="SHG88" s="21"/>
      <c r="SHH88" s="21"/>
      <c r="SHI88" s="21"/>
      <c r="SHJ88" s="21"/>
      <c r="SHK88" s="21"/>
      <c r="SHL88" s="21"/>
      <c r="SHM88" s="21"/>
      <c r="SHN88" s="21"/>
      <c r="SHO88" s="21"/>
      <c r="SHP88" s="21"/>
      <c r="SHQ88" s="21"/>
      <c r="SHR88" s="21"/>
      <c r="SHS88" s="21"/>
      <c r="SHT88" s="21"/>
      <c r="SHU88" s="21"/>
      <c r="SHV88" s="21"/>
      <c r="SHW88" s="21"/>
      <c r="SHX88" s="21"/>
      <c r="SHY88" s="21"/>
      <c r="SHZ88" s="21"/>
      <c r="SIA88" s="21"/>
      <c r="SIB88" s="21"/>
      <c r="SIC88" s="21"/>
      <c r="SID88" s="21"/>
      <c r="SIE88" s="21"/>
      <c r="SIF88" s="21"/>
      <c r="SIG88" s="21"/>
      <c r="SIH88" s="21"/>
      <c r="SII88" s="21"/>
      <c r="SIJ88" s="21"/>
      <c r="SIK88" s="21"/>
      <c r="SIL88" s="21"/>
      <c r="SIM88" s="21"/>
      <c r="SIN88" s="21"/>
      <c r="SIO88" s="21"/>
      <c r="SIP88" s="21"/>
      <c r="SIQ88" s="21"/>
      <c r="SIR88" s="21"/>
      <c r="SIS88" s="21"/>
      <c r="SIT88" s="21"/>
      <c r="SIU88" s="21"/>
      <c r="SIV88" s="21"/>
      <c r="SIW88" s="21"/>
      <c r="SIX88" s="21"/>
      <c r="SIY88" s="21"/>
      <c r="SIZ88" s="21"/>
      <c r="SJA88" s="21"/>
      <c r="SJB88" s="21"/>
      <c r="SJC88" s="21"/>
      <c r="SJD88" s="21"/>
      <c r="SJE88" s="21"/>
      <c r="SJF88" s="21"/>
      <c r="SJG88" s="21"/>
      <c r="SJH88" s="21"/>
      <c r="SJI88" s="21"/>
      <c r="SJJ88" s="21"/>
      <c r="SJK88" s="21"/>
      <c r="SJL88" s="21"/>
      <c r="SJM88" s="21"/>
      <c r="SJN88" s="21"/>
      <c r="SJO88" s="21"/>
      <c r="SJP88" s="21"/>
      <c r="SJQ88" s="21"/>
      <c r="SJR88" s="21"/>
      <c r="SJS88" s="21"/>
      <c r="SJT88" s="21"/>
      <c r="SJU88" s="21"/>
      <c r="SJV88" s="21"/>
      <c r="SJW88" s="21"/>
      <c r="SJX88" s="21"/>
      <c r="SJY88" s="21"/>
      <c r="SJZ88" s="21"/>
      <c r="SKA88" s="21"/>
      <c r="SKB88" s="21"/>
      <c r="SKC88" s="21"/>
      <c r="SKD88" s="21"/>
      <c r="SKE88" s="21"/>
      <c r="SKF88" s="21"/>
      <c r="SKG88" s="21"/>
      <c r="SKH88" s="21"/>
      <c r="SKI88" s="21"/>
      <c r="SKJ88" s="21"/>
      <c r="SKK88" s="21"/>
      <c r="SKL88" s="21"/>
      <c r="SKM88" s="21"/>
      <c r="SKN88" s="21"/>
      <c r="SKO88" s="21"/>
      <c r="SKP88" s="21"/>
      <c r="SKQ88" s="21"/>
      <c r="SKR88" s="21"/>
      <c r="SKS88" s="21"/>
      <c r="SKT88" s="21"/>
      <c r="SKU88" s="21"/>
      <c r="SKV88" s="21"/>
      <c r="SKW88" s="21"/>
      <c r="SKX88" s="21"/>
      <c r="SKY88" s="21"/>
      <c r="SKZ88" s="21"/>
      <c r="SLA88" s="21"/>
      <c r="SLB88" s="21"/>
      <c r="SLC88" s="21"/>
      <c r="SLD88" s="21"/>
      <c r="SLE88" s="21"/>
      <c r="SLF88" s="21"/>
      <c r="SLG88" s="21"/>
      <c r="SLH88" s="21"/>
      <c r="SLI88" s="21"/>
      <c r="SLJ88" s="21"/>
      <c r="SLK88" s="21"/>
      <c r="SLL88" s="21"/>
      <c r="SLM88" s="21"/>
      <c r="SLN88" s="21"/>
      <c r="SLO88" s="21"/>
      <c r="SLP88" s="21"/>
      <c r="SLQ88" s="21"/>
      <c r="SLR88" s="21"/>
      <c r="SLS88" s="21"/>
      <c r="SLT88" s="21"/>
      <c r="SLU88" s="21"/>
      <c r="SLV88" s="21"/>
      <c r="SLW88" s="21"/>
      <c r="SLX88" s="21"/>
      <c r="SLY88" s="21"/>
      <c r="SLZ88" s="21"/>
      <c r="SMA88" s="21"/>
      <c r="SMB88" s="21"/>
      <c r="SMC88" s="21"/>
      <c r="SMD88" s="21"/>
      <c r="SME88" s="21"/>
      <c r="SMF88" s="21"/>
      <c r="SMG88" s="21"/>
      <c r="SMH88" s="21"/>
      <c r="SMI88" s="21"/>
      <c r="SMJ88" s="21"/>
      <c r="SMK88" s="21"/>
      <c r="SML88" s="21"/>
      <c r="SMM88" s="21"/>
      <c r="SMN88" s="21"/>
      <c r="SMO88" s="21"/>
      <c r="SMP88" s="21"/>
      <c r="SMQ88" s="21"/>
      <c r="SMR88" s="21"/>
      <c r="SMS88" s="21"/>
      <c r="SMT88" s="21"/>
      <c r="SMU88" s="21"/>
      <c r="SMV88" s="21"/>
      <c r="SMW88" s="21"/>
      <c r="SMX88" s="21"/>
      <c r="SMY88" s="21"/>
      <c r="SMZ88" s="21"/>
      <c r="SNA88" s="21"/>
      <c r="SNB88" s="21"/>
      <c r="SNC88" s="21"/>
      <c r="SND88" s="21"/>
      <c r="SNE88" s="21"/>
      <c r="SNF88" s="21"/>
      <c r="SNG88" s="21"/>
      <c r="SNH88" s="21"/>
      <c r="SNI88" s="21"/>
      <c r="SNJ88" s="21"/>
      <c r="SNK88" s="21"/>
      <c r="SNL88" s="21"/>
      <c r="SNM88" s="21"/>
      <c r="SNN88" s="21"/>
      <c r="SNO88" s="21"/>
      <c r="SNP88" s="21"/>
      <c r="SNQ88" s="21"/>
      <c r="SNR88" s="21"/>
      <c r="SNS88" s="21"/>
      <c r="SNT88" s="21"/>
      <c r="SNU88" s="21"/>
      <c r="SNV88" s="21"/>
      <c r="SNW88" s="21"/>
      <c r="SNX88" s="21"/>
      <c r="SNY88" s="21"/>
      <c r="SNZ88" s="21"/>
      <c r="SOA88" s="21"/>
      <c r="SOB88" s="21"/>
      <c r="SOC88" s="21"/>
      <c r="SOD88" s="21"/>
      <c r="SOE88" s="21"/>
      <c r="SOF88" s="21"/>
      <c r="SOG88" s="21"/>
      <c r="SOH88" s="21"/>
      <c r="SOI88" s="21"/>
      <c r="SOJ88" s="21"/>
      <c r="SOK88" s="21"/>
      <c r="SOL88" s="21"/>
      <c r="SOM88" s="21"/>
      <c r="SON88" s="21"/>
      <c r="SOO88" s="21"/>
      <c r="SOP88" s="21"/>
      <c r="SOQ88" s="21"/>
      <c r="SOR88" s="21"/>
      <c r="SOS88" s="21"/>
      <c r="SOT88" s="21"/>
      <c r="SOU88" s="21"/>
      <c r="SOV88" s="21"/>
      <c r="SOW88" s="21"/>
      <c r="SOX88" s="21"/>
      <c r="SOY88" s="21"/>
      <c r="SOZ88" s="21"/>
      <c r="SPA88" s="21"/>
      <c r="SPB88" s="21"/>
      <c r="SPC88" s="21"/>
      <c r="SPD88" s="21"/>
      <c r="SPE88" s="21"/>
      <c r="SPF88" s="21"/>
      <c r="SPG88" s="21"/>
      <c r="SPH88" s="21"/>
      <c r="SPI88" s="21"/>
      <c r="SPJ88" s="21"/>
      <c r="SPK88" s="21"/>
      <c r="SPL88" s="21"/>
      <c r="SPM88" s="21"/>
      <c r="SPN88" s="21"/>
      <c r="SPO88" s="21"/>
      <c r="SPP88" s="21"/>
      <c r="SPQ88" s="21"/>
      <c r="SPR88" s="21"/>
      <c r="SPS88" s="21"/>
      <c r="SPT88" s="21"/>
      <c r="SPU88" s="21"/>
      <c r="SPV88" s="21"/>
      <c r="SPW88" s="21"/>
      <c r="SPX88" s="21"/>
      <c r="SPY88" s="21"/>
      <c r="SPZ88" s="21"/>
      <c r="SQA88" s="21"/>
      <c r="SQB88" s="21"/>
      <c r="SQC88" s="21"/>
      <c r="SQD88" s="21"/>
      <c r="SQE88" s="21"/>
      <c r="SQF88" s="21"/>
      <c r="SQG88" s="21"/>
      <c r="SQH88" s="21"/>
      <c r="SQI88" s="21"/>
      <c r="SQJ88" s="21"/>
      <c r="SQK88" s="21"/>
      <c r="SQL88" s="21"/>
      <c r="SQM88" s="21"/>
      <c r="SQN88" s="21"/>
      <c r="SQO88" s="21"/>
      <c r="SQP88" s="21"/>
      <c r="SQQ88" s="21"/>
      <c r="SQR88" s="21"/>
      <c r="SQS88" s="21"/>
      <c r="SQT88" s="21"/>
      <c r="SQU88" s="21"/>
      <c r="SQV88" s="21"/>
      <c r="SQW88" s="21"/>
      <c r="SQX88" s="21"/>
      <c r="SQY88" s="21"/>
      <c r="SQZ88" s="21"/>
      <c r="SRA88" s="21"/>
      <c r="SRB88" s="21"/>
      <c r="SRC88" s="21"/>
      <c r="SRD88" s="21"/>
      <c r="SRE88" s="21"/>
      <c r="SRF88" s="21"/>
      <c r="SRG88" s="21"/>
      <c r="SRH88" s="21"/>
      <c r="SRI88" s="21"/>
      <c r="SRJ88" s="21"/>
      <c r="SRK88" s="21"/>
      <c r="SRL88" s="21"/>
      <c r="SRM88" s="21"/>
      <c r="SRN88" s="21"/>
      <c r="SRO88" s="21"/>
      <c r="SRP88" s="21"/>
      <c r="SRQ88" s="21"/>
      <c r="SRR88" s="21"/>
      <c r="SRS88" s="21"/>
      <c r="SRT88" s="21"/>
      <c r="SRU88" s="21"/>
      <c r="SRV88" s="21"/>
      <c r="SRW88" s="21"/>
      <c r="SRX88" s="21"/>
      <c r="SRY88" s="21"/>
      <c r="SRZ88" s="21"/>
      <c r="SSA88" s="21"/>
      <c r="SSB88" s="21"/>
      <c r="SSC88" s="21"/>
      <c r="SSD88" s="21"/>
      <c r="SSE88" s="21"/>
      <c r="SSF88" s="21"/>
      <c r="SSG88" s="21"/>
      <c r="SSH88" s="21"/>
      <c r="SSI88" s="21"/>
      <c r="SSJ88" s="21"/>
      <c r="SSK88" s="21"/>
      <c r="SSL88" s="21"/>
      <c r="SSM88" s="21"/>
      <c r="SSN88" s="21"/>
      <c r="SSO88" s="21"/>
      <c r="SSP88" s="21"/>
      <c r="SSQ88" s="21"/>
      <c r="SSR88" s="21"/>
      <c r="SSS88" s="21"/>
      <c r="SST88" s="21"/>
      <c r="SSU88" s="21"/>
      <c r="SSV88" s="21"/>
      <c r="SSW88" s="21"/>
      <c r="SSX88" s="21"/>
      <c r="SSY88" s="21"/>
      <c r="SSZ88" s="21"/>
      <c r="STA88" s="21"/>
      <c r="STB88" s="21"/>
      <c r="STC88" s="21"/>
      <c r="STD88" s="21"/>
      <c r="STE88" s="21"/>
      <c r="STF88" s="21"/>
      <c r="STG88" s="21"/>
      <c r="STH88" s="21"/>
      <c r="STI88" s="21"/>
      <c r="STJ88" s="21"/>
      <c r="STK88" s="21"/>
      <c r="STL88" s="21"/>
      <c r="STM88" s="21"/>
      <c r="STN88" s="21"/>
      <c r="STO88" s="21"/>
      <c r="STP88" s="21"/>
      <c r="STQ88" s="21"/>
      <c r="STR88" s="21"/>
      <c r="STS88" s="21"/>
      <c r="STT88" s="21"/>
      <c r="STU88" s="21"/>
      <c r="STV88" s="21"/>
      <c r="STW88" s="21"/>
      <c r="STX88" s="21"/>
      <c r="STY88" s="21"/>
      <c r="STZ88" s="21"/>
      <c r="SUA88" s="21"/>
      <c r="SUB88" s="21"/>
      <c r="SUC88" s="21"/>
      <c r="SUD88" s="21"/>
      <c r="SUE88" s="21"/>
      <c r="SUF88" s="21"/>
      <c r="SUG88" s="21"/>
      <c r="SUH88" s="21"/>
      <c r="SUI88" s="21"/>
      <c r="SUJ88" s="21"/>
      <c r="SUK88" s="21"/>
      <c r="SUL88" s="21"/>
      <c r="SUM88" s="21"/>
      <c r="SUN88" s="21"/>
      <c r="SUO88" s="21"/>
      <c r="SUP88" s="21"/>
      <c r="SUQ88" s="21"/>
      <c r="SUR88" s="21"/>
      <c r="SUS88" s="21"/>
      <c r="SUT88" s="21"/>
      <c r="SUU88" s="21"/>
      <c r="SUV88" s="21"/>
      <c r="SUW88" s="21"/>
      <c r="SUX88" s="21"/>
      <c r="SUY88" s="21"/>
      <c r="SUZ88" s="21"/>
      <c r="SVA88" s="21"/>
      <c r="SVB88" s="21"/>
      <c r="SVC88" s="21"/>
      <c r="SVD88" s="21"/>
      <c r="SVE88" s="21"/>
      <c r="SVF88" s="21"/>
      <c r="SVG88" s="21"/>
      <c r="SVH88" s="21"/>
      <c r="SVI88" s="21"/>
      <c r="SVJ88" s="21"/>
      <c r="SVK88" s="21"/>
      <c r="SVL88" s="21"/>
      <c r="SVM88" s="21"/>
      <c r="SVN88" s="21"/>
      <c r="SVO88" s="21"/>
      <c r="SVP88" s="21"/>
      <c r="SVQ88" s="21"/>
      <c r="SVR88" s="21"/>
      <c r="SVS88" s="21"/>
      <c r="SVT88" s="21"/>
      <c r="SVU88" s="21"/>
      <c r="SVV88" s="21"/>
      <c r="SVW88" s="21"/>
      <c r="SVX88" s="21"/>
      <c r="SVY88" s="21"/>
      <c r="SVZ88" s="21"/>
      <c r="SWA88" s="21"/>
      <c r="SWB88" s="21"/>
      <c r="SWC88" s="21"/>
      <c r="SWD88" s="21"/>
      <c r="SWE88" s="21"/>
      <c r="SWF88" s="21"/>
      <c r="SWG88" s="21"/>
      <c r="SWH88" s="21"/>
      <c r="SWI88" s="21"/>
      <c r="SWJ88" s="21"/>
      <c r="SWK88" s="21"/>
      <c r="SWL88" s="21"/>
      <c r="SWM88" s="21"/>
      <c r="SWN88" s="21"/>
      <c r="SWO88" s="21"/>
      <c r="SWP88" s="21"/>
      <c r="SWQ88" s="21"/>
      <c r="SWR88" s="21"/>
      <c r="SWS88" s="21"/>
      <c r="SWT88" s="21"/>
      <c r="SWU88" s="21"/>
      <c r="SWV88" s="21"/>
      <c r="SWW88" s="21"/>
      <c r="SWX88" s="21"/>
      <c r="SWY88" s="21"/>
      <c r="SWZ88" s="21"/>
      <c r="SXA88" s="21"/>
      <c r="SXB88" s="21"/>
      <c r="SXC88" s="21"/>
      <c r="SXD88" s="21"/>
      <c r="SXE88" s="21"/>
      <c r="SXF88" s="21"/>
      <c r="SXG88" s="21"/>
      <c r="SXH88" s="21"/>
      <c r="SXI88" s="21"/>
      <c r="SXJ88" s="21"/>
      <c r="SXK88" s="21"/>
      <c r="SXL88" s="21"/>
      <c r="SXM88" s="21"/>
      <c r="SXN88" s="21"/>
      <c r="SXO88" s="21"/>
      <c r="SXP88" s="21"/>
      <c r="SXQ88" s="21"/>
      <c r="SXR88" s="21"/>
      <c r="SXS88" s="21"/>
      <c r="SXT88" s="21"/>
      <c r="SXU88" s="21"/>
      <c r="SXV88" s="21"/>
      <c r="SXW88" s="21"/>
      <c r="SXX88" s="21"/>
      <c r="SXY88" s="21"/>
      <c r="SXZ88" s="21"/>
      <c r="SYA88" s="21"/>
      <c r="SYB88" s="21"/>
      <c r="SYC88" s="21"/>
      <c r="SYD88" s="21"/>
      <c r="SYE88" s="21"/>
      <c r="SYF88" s="21"/>
      <c r="SYG88" s="21"/>
      <c r="SYH88" s="21"/>
      <c r="SYI88" s="21"/>
      <c r="SYJ88" s="21"/>
      <c r="SYK88" s="21"/>
      <c r="SYL88" s="21"/>
      <c r="SYM88" s="21"/>
      <c r="SYN88" s="21"/>
      <c r="SYO88" s="21"/>
      <c r="SYP88" s="21"/>
      <c r="SYQ88" s="21"/>
      <c r="SYR88" s="21"/>
      <c r="SYS88" s="21"/>
      <c r="SYT88" s="21"/>
      <c r="SYU88" s="21"/>
      <c r="SYV88" s="21"/>
      <c r="SYW88" s="21"/>
      <c r="SYX88" s="21"/>
      <c r="SYY88" s="21"/>
      <c r="SYZ88" s="21"/>
      <c r="SZA88" s="21"/>
      <c r="SZB88" s="21"/>
      <c r="SZC88" s="21"/>
      <c r="SZD88" s="21"/>
      <c r="SZE88" s="21"/>
      <c r="SZF88" s="21"/>
      <c r="SZG88" s="21"/>
      <c r="SZH88" s="21"/>
      <c r="SZI88" s="21"/>
      <c r="SZJ88" s="21"/>
      <c r="SZK88" s="21"/>
      <c r="SZL88" s="21"/>
      <c r="SZM88" s="21"/>
      <c r="SZN88" s="21"/>
      <c r="SZO88" s="21"/>
      <c r="SZP88" s="21"/>
      <c r="SZQ88" s="21"/>
      <c r="SZR88" s="21"/>
      <c r="SZS88" s="21"/>
      <c r="SZT88" s="21"/>
      <c r="SZU88" s="21"/>
      <c r="SZV88" s="21"/>
      <c r="SZW88" s="21"/>
      <c r="SZX88" s="21"/>
      <c r="SZY88" s="21"/>
      <c r="SZZ88" s="21"/>
      <c r="TAA88" s="21"/>
      <c r="TAB88" s="21"/>
      <c r="TAC88" s="21"/>
      <c r="TAD88" s="21"/>
      <c r="TAE88" s="21"/>
      <c r="TAF88" s="21"/>
      <c r="TAG88" s="21"/>
      <c r="TAH88" s="21"/>
      <c r="TAI88" s="21"/>
      <c r="TAJ88" s="21"/>
      <c r="TAK88" s="21"/>
      <c r="TAL88" s="21"/>
      <c r="TAM88" s="21"/>
      <c r="TAN88" s="21"/>
      <c r="TAO88" s="21"/>
      <c r="TAP88" s="21"/>
      <c r="TAQ88" s="21"/>
      <c r="TAR88" s="21"/>
      <c r="TAS88" s="21"/>
      <c r="TAT88" s="21"/>
      <c r="TAU88" s="21"/>
      <c r="TAV88" s="21"/>
      <c r="TAW88" s="21"/>
      <c r="TAX88" s="21"/>
      <c r="TAY88" s="21"/>
      <c r="TAZ88" s="21"/>
      <c r="TBA88" s="21"/>
      <c r="TBB88" s="21"/>
      <c r="TBC88" s="21"/>
      <c r="TBD88" s="21"/>
      <c r="TBE88" s="21"/>
      <c r="TBF88" s="21"/>
      <c r="TBG88" s="21"/>
      <c r="TBH88" s="21"/>
      <c r="TBI88" s="21"/>
      <c r="TBJ88" s="21"/>
      <c r="TBK88" s="21"/>
      <c r="TBL88" s="21"/>
      <c r="TBM88" s="21"/>
      <c r="TBN88" s="21"/>
      <c r="TBO88" s="21"/>
      <c r="TBP88" s="21"/>
      <c r="TBQ88" s="21"/>
      <c r="TBR88" s="21"/>
      <c r="TBS88" s="21"/>
      <c r="TBT88" s="21"/>
      <c r="TBU88" s="21"/>
      <c r="TBV88" s="21"/>
      <c r="TBW88" s="21"/>
      <c r="TBX88" s="21"/>
      <c r="TBY88" s="21"/>
      <c r="TBZ88" s="21"/>
      <c r="TCA88" s="21"/>
      <c r="TCB88" s="21"/>
      <c r="TCC88" s="21"/>
      <c r="TCD88" s="21"/>
      <c r="TCE88" s="21"/>
      <c r="TCF88" s="21"/>
      <c r="TCG88" s="21"/>
      <c r="TCH88" s="21"/>
      <c r="TCI88" s="21"/>
      <c r="TCJ88" s="21"/>
      <c r="TCK88" s="21"/>
      <c r="TCL88" s="21"/>
      <c r="TCM88" s="21"/>
      <c r="TCN88" s="21"/>
      <c r="TCO88" s="21"/>
      <c r="TCP88" s="21"/>
      <c r="TCQ88" s="21"/>
      <c r="TCR88" s="21"/>
      <c r="TCS88" s="21"/>
      <c r="TCT88" s="21"/>
      <c r="TCU88" s="21"/>
      <c r="TCV88" s="21"/>
      <c r="TCW88" s="21"/>
      <c r="TCX88" s="21"/>
      <c r="TCY88" s="21"/>
      <c r="TCZ88" s="21"/>
      <c r="TDA88" s="21"/>
      <c r="TDB88" s="21"/>
      <c r="TDC88" s="21"/>
      <c r="TDD88" s="21"/>
      <c r="TDE88" s="21"/>
      <c r="TDF88" s="21"/>
      <c r="TDG88" s="21"/>
      <c r="TDH88" s="21"/>
      <c r="TDI88" s="21"/>
      <c r="TDJ88" s="21"/>
      <c r="TDK88" s="21"/>
      <c r="TDL88" s="21"/>
      <c r="TDM88" s="21"/>
      <c r="TDN88" s="21"/>
      <c r="TDO88" s="21"/>
      <c r="TDP88" s="21"/>
      <c r="TDQ88" s="21"/>
      <c r="TDR88" s="21"/>
      <c r="TDS88" s="21"/>
      <c r="TDT88" s="21"/>
      <c r="TDU88" s="21"/>
      <c r="TDV88" s="21"/>
      <c r="TDW88" s="21"/>
      <c r="TDX88" s="21"/>
      <c r="TDY88" s="21"/>
      <c r="TDZ88" s="21"/>
      <c r="TEA88" s="21"/>
      <c r="TEB88" s="21"/>
      <c r="TEC88" s="21"/>
      <c r="TED88" s="21"/>
      <c r="TEE88" s="21"/>
      <c r="TEF88" s="21"/>
      <c r="TEG88" s="21"/>
      <c r="TEH88" s="21"/>
      <c r="TEI88" s="21"/>
      <c r="TEJ88" s="21"/>
      <c r="TEK88" s="21"/>
      <c r="TEL88" s="21"/>
      <c r="TEM88" s="21"/>
      <c r="TEN88" s="21"/>
      <c r="TEO88" s="21"/>
      <c r="TEP88" s="21"/>
      <c r="TEQ88" s="21"/>
      <c r="TER88" s="21"/>
      <c r="TES88" s="21"/>
      <c r="TET88" s="21"/>
      <c r="TEU88" s="21"/>
      <c r="TEV88" s="21"/>
      <c r="TEW88" s="21"/>
      <c r="TEX88" s="21"/>
      <c r="TEY88" s="21"/>
      <c r="TEZ88" s="21"/>
      <c r="TFA88" s="21"/>
      <c r="TFB88" s="21"/>
      <c r="TFC88" s="21"/>
      <c r="TFD88" s="21"/>
      <c r="TFE88" s="21"/>
      <c r="TFF88" s="21"/>
      <c r="TFG88" s="21"/>
      <c r="TFH88" s="21"/>
      <c r="TFI88" s="21"/>
      <c r="TFJ88" s="21"/>
      <c r="TFK88" s="21"/>
      <c r="TFL88" s="21"/>
      <c r="TFM88" s="21"/>
      <c r="TFN88" s="21"/>
      <c r="TFO88" s="21"/>
      <c r="TFP88" s="21"/>
      <c r="TFQ88" s="21"/>
      <c r="TFR88" s="21"/>
      <c r="TFS88" s="21"/>
      <c r="TFT88" s="21"/>
      <c r="TFU88" s="21"/>
      <c r="TFV88" s="21"/>
      <c r="TFW88" s="21"/>
      <c r="TFX88" s="21"/>
      <c r="TFY88" s="21"/>
      <c r="TFZ88" s="21"/>
      <c r="TGA88" s="21"/>
      <c r="TGB88" s="21"/>
      <c r="TGC88" s="21"/>
      <c r="TGD88" s="21"/>
      <c r="TGE88" s="21"/>
      <c r="TGF88" s="21"/>
      <c r="TGG88" s="21"/>
      <c r="TGH88" s="21"/>
      <c r="TGI88" s="21"/>
      <c r="TGJ88" s="21"/>
      <c r="TGK88" s="21"/>
      <c r="TGL88" s="21"/>
      <c r="TGM88" s="21"/>
      <c r="TGN88" s="21"/>
      <c r="TGO88" s="21"/>
      <c r="TGP88" s="21"/>
      <c r="TGQ88" s="21"/>
      <c r="TGR88" s="21"/>
      <c r="TGS88" s="21"/>
      <c r="TGT88" s="21"/>
      <c r="TGU88" s="21"/>
      <c r="TGV88" s="21"/>
      <c r="TGW88" s="21"/>
      <c r="TGX88" s="21"/>
      <c r="TGY88" s="21"/>
      <c r="TGZ88" s="21"/>
      <c r="THA88" s="21"/>
      <c r="THB88" s="21"/>
      <c r="THC88" s="21"/>
      <c r="THD88" s="21"/>
      <c r="THE88" s="21"/>
      <c r="THF88" s="21"/>
      <c r="THG88" s="21"/>
      <c r="THH88" s="21"/>
      <c r="THI88" s="21"/>
      <c r="THJ88" s="21"/>
      <c r="THK88" s="21"/>
      <c r="THL88" s="21"/>
      <c r="THM88" s="21"/>
      <c r="THN88" s="21"/>
      <c r="THO88" s="21"/>
      <c r="THP88" s="21"/>
      <c r="THQ88" s="21"/>
      <c r="THR88" s="21"/>
      <c r="THS88" s="21"/>
      <c r="THT88" s="21"/>
      <c r="THU88" s="21"/>
      <c r="THV88" s="21"/>
      <c r="THW88" s="21"/>
      <c r="THX88" s="21"/>
      <c r="THY88" s="21"/>
      <c r="THZ88" s="21"/>
      <c r="TIA88" s="21"/>
      <c r="TIB88" s="21"/>
      <c r="TIC88" s="21"/>
      <c r="TID88" s="21"/>
      <c r="TIE88" s="21"/>
      <c r="TIF88" s="21"/>
      <c r="TIG88" s="21"/>
      <c r="TIH88" s="21"/>
      <c r="TII88" s="21"/>
      <c r="TIJ88" s="21"/>
      <c r="TIK88" s="21"/>
      <c r="TIL88" s="21"/>
      <c r="TIM88" s="21"/>
      <c r="TIN88" s="21"/>
      <c r="TIO88" s="21"/>
      <c r="TIP88" s="21"/>
      <c r="TIQ88" s="21"/>
      <c r="TIR88" s="21"/>
      <c r="TIS88" s="21"/>
      <c r="TIT88" s="21"/>
      <c r="TIU88" s="21"/>
      <c r="TIV88" s="21"/>
      <c r="TIW88" s="21"/>
      <c r="TIX88" s="21"/>
      <c r="TIY88" s="21"/>
      <c r="TIZ88" s="21"/>
      <c r="TJA88" s="21"/>
      <c r="TJB88" s="21"/>
      <c r="TJC88" s="21"/>
      <c r="TJD88" s="21"/>
      <c r="TJE88" s="21"/>
      <c r="TJF88" s="21"/>
      <c r="TJG88" s="21"/>
      <c r="TJH88" s="21"/>
      <c r="TJI88" s="21"/>
      <c r="TJJ88" s="21"/>
      <c r="TJK88" s="21"/>
      <c r="TJL88" s="21"/>
      <c r="TJM88" s="21"/>
      <c r="TJN88" s="21"/>
      <c r="TJO88" s="21"/>
      <c r="TJP88" s="21"/>
      <c r="TJQ88" s="21"/>
      <c r="TJR88" s="21"/>
      <c r="TJS88" s="21"/>
      <c r="TJT88" s="21"/>
      <c r="TJU88" s="21"/>
      <c r="TJV88" s="21"/>
      <c r="TJW88" s="21"/>
      <c r="TJX88" s="21"/>
      <c r="TJY88" s="21"/>
      <c r="TJZ88" s="21"/>
      <c r="TKA88" s="21"/>
      <c r="TKB88" s="21"/>
      <c r="TKC88" s="21"/>
      <c r="TKD88" s="21"/>
      <c r="TKE88" s="21"/>
      <c r="TKF88" s="21"/>
      <c r="TKG88" s="21"/>
      <c r="TKH88" s="21"/>
      <c r="TKI88" s="21"/>
      <c r="TKJ88" s="21"/>
      <c r="TKK88" s="21"/>
      <c r="TKL88" s="21"/>
      <c r="TKM88" s="21"/>
      <c r="TKN88" s="21"/>
      <c r="TKO88" s="21"/>
      <c r="TKP88" s="21"/>
      <c r="TKQ88" s="21"/>
      <c r="TKR88" s="21"/>
      <c r="TKS88" s="21"/>
      <c r="TKT88" s="21"/>
      <c r="TKU88" s="21"/>
      <c r="TKV88" s="21"/>
      <c r="TKW88" s="21"/>
      <c r="TKX88" s="21"/>
      <c r="TKY88" s="21"/>
      <c r="TKZ88" s="21"/>
      <c r="TLA88" s="21"/>
      <c r="TLB88" s="21"/>
      <c r="TLC88" s="21"/>
      <c r="TLD88" s="21"/>
      <c r="TLE88" s="21"/>
      <c r="TLF88" s="21"/>
      <c r="TLG88" s="21"/>
      <c r="TLH88" s="21"/>
      <c r="TLI88" s="21"/>
      <c r="TLJ88" s="21"/>
      <c r="TLK88" s="21"/>
      <c r="TLL88" s="21"/>
      <c r="TLM88" s="21"/>
      <c r="TLN88" s="21"/>
      <c r="TLO88" s="21"/>
      <c r="TLP88" s="21"/>
      <c r="TLQ88" s="21"/>
      <c r="TLR88" s="21"/>
      <c r="TLS88" s="21"/>
      <c r="TLT88" s="21"/>
      <c r="TLU88" s="21"/>
      <c r="TLV88" s="21"/>
      <c r="TLW88" s="21"/>
      <c r="TLX88" s="21"/>
      <c r="TLY88" s="21"/>
      <c r="TLZ88" s="21"/>
      <c r="TMA88" s="21"/>
      <c r="TMB88" s="21"/>
      <c r="TMC88" s="21"/>
      <c r="TMD88" s="21"/>
      <c r="TME88" s="21"/>
      <c r="TMF88" s="21"/>
      <c r="TMG88" s="21"/>
      <c r="TMH88" s="21"/>
      <c r="TMI88" s="21"/>
      <c r="TMJ88" s="21"/>
      <c r="TMK88" s="21"/>
      <c r="TML88" s="21"/>
      <c r="TMM88" s="21"/>
      <c r="TMN88" s="21"/>
      <c r="TMO88" s="21"/>
      <c r="TMP88" s="21"/>
      <c r="TMQ88" s="21"/>
      <c r="TMR88" s="21"/>
      <c r="TMS88" s="21"/>
      <c r="TMT88" s="21"/>
      <c r="TMU88" s="21"/>
      <c r="TMV88" s="21"/>
      <c r="TMW88" s="21"/>
      <c r="TMX88" s="21"/>
      <c r="TMY88" s="21"/>
      <c r="TMZ88" s="21"/>
      <c r="TNA88" s="21"/>
      <c r="TNB88" s="21"/>
      <c r="TNC88" s="21"/>
      <c r="TND88" s="21"/>
      <c r="TNE88" s="21"/>
      <c r="TNF88" s="21"/>
      <c r="TNG88" s="21"/>
      <c r="TNH88" s="21"/>
      <c r="TNI88" s="21"/>
      <c r="TNJ88" s="21"/>
      <c r="TNK88" s="21"/>
      <c r="TNL88" s="21"/>
      <c r="TNM88" s="21"/>
      <c r="TNN88" s="21"/>
      <c r="TNO88" s="21"/>
      <c r="TNP88" s="21"/>
      <c r="TNQ88" s="21"/>
      <c r="TNR88" s="21"/>
      <c r="TNS88" s="21"/>
      <c r="TNT88" s="21"/>
      <c r="TNU88" s="21"/>
      <c r="TNV88" s="21"/>
      <c r="TNW88" s="21"/>
      <c r="TNX88" s="21"/>
      <c r="TNY88" s="21"/>
      <c r="TNZ88" s="21"/>
      <c r="TOA88" s="21"/>
      <c r="TOB88" s="21"/>
      <c r="TOC88" s="21"/>
      <c r="TOD88" s="21"/>
      <c r="TOE88" s="21"/>
      <c r="TOF88" s="21"/>
      <c r="TOG88" s="21"/>
      <c r="TOH88" s="21"/>
      <c r="TOI88" s="21"/>
      <c r="TOJ88" s="21"/>
      <c r="TOK88" s="21"/>
      <c r="TOL88" s="21"/>
      <c r="TOM88" s="21"/>
      <c r="TON88" s="21"/>
      <c r="TOO88" s="21"/>
      <c r="TOP88" s="21"/>
      <c r="TOQ88" s="21"/>
      <c r="TOR88" s="21"/>
      <c r="TOS88" s="21"/>
      <c r="TOT88" s="21"/>
      <c r="TOU88" s="21"/>
      <c r="TOV88" s="21"/>
      <c r="TOW88" s="21"/>
      <c r="TOX88" s="21"/>
      <c r="TOY88" s="21"/>
      <c r="TOZ88" s="21"/>
      <c r="TPA88" s="21"/>
      <c r="TPB88" s="21"/>
      <c r="TPC88" s="21"/>
      <c r="TPD88" s="21"/>
      <c r="TPE88" s="21"/>
      <c r="TPF88" s="21"/>
      <c r="TPG88" s="21"/>
      <c r="TPH88" s="21"/>
      <c r="TPI88" s="21"/>
      <c r="TPJ88" s="21"/>
      <c r="TPK88" s="21"/>
      <c r="TPL88" s="21"/>
      <c r="TPM88" s="21"/>
      <c r="TPN88" s="21"/>
      <c r="TPO88" s="21"/>
      <c r="TPP88" s="21"/>
      <c r="TPQ88" s="21"/>
      <c r="TPR88" s="21"/>
      <c r="TPS88" s="21"/>
      <c r="TPT88" s="21"/>
      <c r="TPU88" s="21"/>
      <c r="TPV88" s="21"/>
      <c r="TPW88" s="21"/>
      <c r="TPX88" s="21"/>
      <c r="TPY88" s="21"/>
      <c r="TPZ88" s="21"/>
      <c r="TQA88" s="21"/>
      <c r="TQB88" s="21"/>
      <c r="TQC88" s="21"/>
      <c r="TQD88" s="21"/>
      <c r="TQE88" s="21"/>
      <c r="TQF88" s="21"/>
      <c r="TQG88" s="21"/>
      <c r="TQH88" s="21"/>
      <c r="TQI88" s="21"/>
      <c r="TQJ88" s="21"/>
      <c r="TQK88" s="21"/>
      <c r="TQL88" s="21"/>
      <c r="TQM88" s="21"/>
      <c r="TQN88" s="21"/>
      <c r="TQO88" s="21"/>
      <c r="TQP88" s="21"/>
      <c r="TQQ88" s="21"/>
      <c r="TQR88" s="21"/>
      <c r="TQS88" s="21"/>
      <c r="TQT88" s="21"/>
      <c r="TQU88" s="21"/>
      <c r="TQV88" s="21"/>
      <c r="TQW88" s="21"/>
      <c r="TQX88" s="21"/>
      <c r="TQY88" s="21"/>
      <c r="TQZ88" s="21"/>
      <c r="TRA88" s="21"/>
      <c r="TRB88" s="21"/>
      <c r="TRC88" s="21"/>
      <c r="TRD88" s="21"/>
      <c r="TRE88" s="21"/>
      <c r="TRF88" s="21"/>
      <c r="TRG88" s="21"/>
      <c r="TRH88" s="21"/>
      <c r="TRI88" s="21"/>
      <c r="TRJ88" s="21"/>
      <c r="TRK88" s="21"/>
      <c r="TRL88" s="21"/>
      <c r="TRM88" s="21"/>
      <c r="TRN88" s="21"/>
      <c r="TRO88" s="21"/>
      <c r="TRP88" s="21"/>
      <c r="TRQ88" s="21"/>
      <c r="TRR88" s="21"/>
      <c r="TRS88" s="21"/>
      <c r="TRT88" s="21"/>
      <c r="TRU88" s="21"/>
      <c r="TRV88" s="21"/>
      <c r="TRW88" s="21"/>
      <c r="TRX88" s="21"/>
      <c r="TRY88" s="21"/>
      <c r="TRZ88" s="21"/>
      <c r="TSA88" s="21"/>
      <c r="TSB88" s="21"/>
      <c r="TSC88" s="21"/>
      <c r="TSD88" s="21"/>
      <c r="TSE88" s="21"/>
      <c r="TSF88" s="21"/>
      <c r="TSG88" s="21"/>
      <c r="TSH88" s="21"/>
      <c r="TSI88" s="21"/>
      <c r="TSJ88" s="21"/>
      <c r="TSK88" s="21"/>
      <c r="TSL88" s="21"/>
      <c r="TSM88" s="21"/>
      <c r="TSN88" s="21"/>
      <c r="TSO88" s="21"/>
      <c r="TSP88" s="21"/>
      <c r="TSQ88" s="21"/>
      <c r="TSR88" s="21"/>
      <c r="TSS88" s="21"/>
      <c r="TST88" s="21"/>
      <c r="TSU88" s="21"/>
      <c r="TSV88" s="21"/>
      <c r="TSW88" s="21"/>
      <c r="TSX88" s="21"/>
      <c r="TSY88" s="21"/>
      <c r="TSZ88" s="21"/>
      <c r="TTA88" s="21"/>
      <c r="TTB88" s="21"/>
      <c r="TTC88" s="21"/>
      <c r="TTD88" s="21"/>
      <c r="TTE88" s="21"/>
      <c r="TTF88" s="21"/>
      <c r="TTG88" s="21"/>
      <c r="TTH88" s="21"/>
      <c r="TTI88" s="21"/>
      <c r="TTJ88" s="21"/>
      <c r="TTK88" s="21"/>
      <c r="TTL88" s="21"/>
      <c r="TTM88" s="21"/>
      <c r="TTN88" s="21"/>
      <c r="TTO88" s="21"/>
      <c r="TTP88" s="21"/>
      <c r="TTQ88" s="21"/>
      <c r="TTR88" s="21"/>
      <c r="TTS88" s="21"/>
      <c r="TTT88" s="21"/>
      <c r="TTU88" s="21"/>
      <c r="TTV88" s="21"/>
      <c r="TTW88" s="21"/>
      <c r="TTX88" s="21"/>
      <c r="TTY88" s="21"/>
      <c r="TTZ88" s="21"/>
      <c r="TUA88" s="21"/>
      <c r="TUB88" s="21"/>
      <c r="TUC88" s="21"/>
      <c r="TUD88" s="21"/>
      <c r="TUE88" s="21"/>
      <c r="TUF88" s="21"/>
      <c r="TUG88" s="21"/>
      <c r="TUH88" s="21"/>
      <c r="TUI88" s="21"/>
      <c r="TUJ88" s="21"/>
      <c r="TUK88" s="21"/>
      <c r="TUL88" s="21"/>
      <c r="TUM88" s="21"/>
      <c r="TUN88" s="21"/>
      <c r="TUO88" s="21"/>
      <c r="TUP88" s="21"/>
      <c r="TUQ88" s="21"/>
      <c r="TUR88" s="21"/>
      <c r="TUS88" s="21"/>
      <c r="TUT88" s="21"/>
      <c r="TUU88" s="21"/>
      <c r="TUV88" s="21"/>
      <c r="TUW88" s="21"/>
      <c r="TUX88" s="21"/>
      <c r="TUY88" s="21"/>
      <c r="TUZ88" s="21"/>
      <c r="TVA88" s="21"/>
      <c r="TVB88" s="21"/>
      <c r="TVC88" s="21"/>
      <c r="TVD88" s="21"/>
      <c r="TVE88" s="21"/>
      <c r="TVF88" s="21"/>
      <c r="TVG88" s="21"/>
      <c r="TVH88" s="21"/>
      <c r="TVI88" s="21"/>
      <c r="TVJ88" s="21"/>
      <c r="TVK88" s="21"/>
      <c r="TVL88" s="21"/>
      <c r="TVM88" s="21"/>
      <c r="TVN88" s="21"/>
      <c r="TVO88" s="21"/>
      <c r="TVP88" s="21"/>
      <c r="TVQ88" s="21"/>
      <c r="TVR88" s="21"/>
      <c r="TVS88" s="21"/>
      <c r="TVT88" s="21"/>
      <c r="TVU88" s="21"/>
      <c r="TVV88" s="21"/>
      <c r="TVW88" s="21"/>
      <c r="TVX88" s="21"/>
      <c r="TVY88" s="21"/>
      <c r="TVZ88" s="21"/>
      <c r="TWA88" s="21"/>
      <c r="TWB88" s="21"/>
      <c r="TWC88" s="21"/>
      <c r="TWD88" s="21"/>
      <c r="TWE88" s="21"/>
      <c r="TWF88" s="21"/>
      <c r="TWG88" s="21"/>
      <c r="TWH88" s="21"/>
      <c r="TWI88" s="21"/>
      <c r="TWJ88" s="21"/>
      <c r="TWK88" s="21"/>
      <c r="TWL88" s="21"/>
      <c r="TWM88" s="21"/>
      <c r="TWN88" s="21"/>
      <c r="TWO88" s="21"/>
      <c r="TWP88" s="21"/>
      <c r="TWQ88" s="21"/>
      <c r="TWR88" s="21"/>
      <c r="TWS88" s="21"/>
      <c r="TWT88" s="21"/>
      <c r="TWU88" s="21"/>
      <c r="TWV88" s="21"/>
      <c r="TWW88" s="21"/>
      <c r="TWX88" s="21"/>
      <c r="TWY88" s="21"/>
      <c r="TWZ88" s="21"/>
      <c r="TXA88" s="21"/>
      <c r="TXB88" s="21"/>
      <c r="TXC88" s="21"/>
      <c r="TXD88" s="21"/>
      <c r="TXE88" s="21"/>
      <c r="TXF88" s="21"/>
      <c r="TXG88" s="21"/>
      <c r="TXH88" s="21"/>
      <c r="TXI88" s="21"/>
      <c r="TXJ88" s="21"/>
      <c r="TXK88" s="21"/>
      <c r="TXL88" s="21"/>
      <c r="TXM88" s="21"/>
      <c r="TXN88" s="21"/>
      <c r="TXO88" s="21"/>
      <c r="TXP88" s="21"/>
      <c r="TXQ88" s="21"/>
      <c r="TXR88" s="21"/>
      <c r="TXS88" s="21"/>
      <c r="TXT88" s="21"/>
      <c r="TXU88" s="21"/>
      <c r="TXV88" s="21"/>
      <c r="TXW88" s="21"/>
      <c r="TXX88" s="21"/>
      <c r="TXY88" s="21"/>
      <c r="TXZ88" s="21"/>
      <c r="TYA88" s="21"/>
      <c r="TYB88" s="21"/>
      <c r="TYC88" s="21"/>
      <c r="TYD88" s="21"/>
      <c r="TYE88" s="21"/>
      <c r="TYF88" s="21"/>
      <c r="TYG88" s="21"/>
      <c r="TYH88" s="21"/>
      <c r="TYI88" s="21"/>
      <c r="TYJ88" s="21"/>
      <c r="TYK88" s="21"/>
      <c r="TYL88" s="21"/>
      <c r="TYM88" s="21"/>
      <c r="TYN88" s="21"/>
      <c r="TYO88" s="21"/>
      <c r="TYP88" s="21"/>
      <c r="TYQ88" s="21"/>
      <c r="TYR88" s="21"/>
      <c r="TYS88" s="21"/>
      <c r="TYT88" s="21"/>
      <c r="TYU88" s="21"/>
      <c r="TYV88" s="21"/>
      <c r="TYW88" s="21"/>
      <c r="TYX88" s="21"/>
      <c r="TYY88" s="21"/>
      <c r="TYZ88" s="21"/>
      <c r="TZA88" s="21"/>
      <c r="TZB88" s="21"/>
      <c r="TZC88" s="21"/>
      <c r="TZD88" s="21"/>
      <c r="TZE88" s="21"/>
      <c r="TZF88" s="21"/>
      <c r="TZG88" s="21"/>
      <c r="TZH88" s="21"/>
      <c r="TZI88" s="21"/>
      <c r="TZJ88" s="21"/>
      <c r="TZK88" s="21"/>
      <c r="TZL88" s="21"/>
      <c r="TZM88" s="21"/>
      <c r="TZN88" s="21"/>
      <c r="TZO88" s="21"/>
      <c r="TZP88" s="21"/>
      <c r="TZQ88" s="21"/>
      <c r="TZR88" s="21"/>
      <c r="TZS88" s="21"/>
      <c r="TZT88" s="21"/>
      <c r="TZU88" s="21"/>
      <c r="TZV88" s="21"/>
      <c r="TZW88" s="21"/>
      <c r="TZX88" s="21"/>
      <c r="TZY88" s="21"/>
      <c r="TZZ88" s="21"/>
      <c r="UAA88" s="21"/>
      <c r="UAB88" s="21"/>
      <c r="UAC88" s="21"/>
      <c r="UAD88" s="21"/>
      <c r="UAE88" s="21"/>
      <c r="UAF88" s="21"/>
      <c r="UAG88" s="21"/>
      <c r="UAH88" s="21"/>
      <c r="UAI88" s="21"/>
      <c r="UAJ88" s="21"/>
      <c r="UAK88" s="21"/>
      <c r="UAL88" s="21"/>
      <c r="UAM88" s="21"/>
      <c r="UAN88" s="21"/>
      <c r="UAO88" s="21"/>
      <c r="UAP88" s="21"/>
      <c r="UAQ88" s="21"/>
      <c r="UAR88" s="21"/>
      <c r="UAS88" s="21"/>
      <c r="UAT88" s="21"/>
      <c r="UAU88" s="21"/>
      <c r="UAV88" s="21"/>
      <c r="UAW88" s="21"/>
      <c r="UAX88" s="21"/>
      <c r="UAY88" s="21"/>
      <c r="UAZ88" s="21"/>
      <c r="UBA88" s="21"/>
      <c r="UBB88" s="21"/>
      <c r="UBC88" s="21"/>
      <c r="UBD88" s="21"/>
      <c r="UBE88" s="21"/>
      <c r="UBF88" s="21"/>
      <c r="UBG88" s="21"/>
      <c r="UBH88" s="21"/>
      <c r="UBI88" s="21"/>
      <c r="UBJ88" s="21"/>
      <c r="UBK88" s="21"/>
      <c r="UBL88" s="21"/>
      <c r="UBM88" s="21"/>
      <c r="UBN88" s="21"/>
      <c r="UBO88" s="21"/>
      <c r="UBP88" s="21"/>
      <c r="UBQ88" s="21"/>
      <c r="UBR88" s="21"/>
      <c r="UBS88" s="21"/>
      <c r="UBT88" s="21"/>
      <c r="UBU88" s="21"/>
      <c r="UBV88" s="21"/>
      <c r="UBW88" s="21"/>
      <c r="UBX88" s="21"/>
      <c r="UBY88" s="21"/>
      <c r="UBZ88" s="21"/>
      <c r="UCA88" s="21"/>
      <c r="UCB88" s="21"/>
      <c r="UCC88" s="21"/>
      <c r="UCD88" s="21"/>
      <c r="UCE88" s="21"/>
      <c r="UCF88" s="21"/>
      <c r="UCG88" s="21"/>
      <c r="UCH88" s="21"/>
      <c r="UCI88" s="21"/>
      <c r="UCJ88" s="21"/>
      <c r="UCK88" s="21"/>
      <c r="UCL88" s="21"/>
      <c r="UCM88" s="21"/>
      <c r="UCN88" s="21"/>
      <c r="UCO88" s="21"/>
      <c r="UCP88" s="21"/>
      <c r="UCQ88" s="21"/>
      <c r="UCR88" s="21"/>
      <c r="UCS88" s="21"/>
      <c r="UCT88" s="21"/>
      <c r="UCU88" s="21"/>
      <c r="UCV88" s="21"/>
      <c r="UCW88" s="21"/>
      <c r="UCX88" s="21"/>
      <c r="UCY88" s="21"/>
      <c r="UCZ88" s="21"/>
      <c r="UDA88" s="21"/>
      <c r="UDB88" s="21"/>
      <c r="UDC88" s="21"/>
      <c r="UDD88" s="21"/>
      <c r="UDE88" s="21"/>
      <c r="UDF88" s="21"/>
      <c r="UDG88" s="21"/>
      <c r="UDH88" s="21"/>
      <c r="UDI88" s="21"/>
      <c r="UDJ88" s="21"/>
      <c r="UDK88" s="21"/>
      <c r="UDL88" s="21"/>
      <c r="UDM88" s="21"/>
      <c r="UDN88" s="21"/>
      <c r="UDO88" s="21"/>
      <c r="UDP88" s="21"/>
      <c r="UDQ88" s="21"/>
      <c r="UDR88" s="21"/>
      <c r="UDS88" s="21"/>
      <c r="UDT88" s="21"/>
      <c r="UDU88" s="21"/>
      <c r="UDV88" s="21"/>
      <c r="UDW88" s="21"/>
      <c r="UDX88" s="21"/>
      <c r="UDY88" s="21"/>
      <c r="UDZ88" s="21"/>
      <c r="UEA88" s="21"/>
      <c r="UEB88" s="21"/>
      <c r="UEC88" s="21"/>
      <c r="UED88" s="21"/>
      <c r="UEE88" s="21"/>
      <c r="UEF88" s="21"/>
      <c r="UEG88" s="21"/>
      <c r="UEH88" s="21"/>
      <c r="UEI88" s="21"/>
      <c r="UEJ88" s="21"/>
      <c r="UEK88" s="21"/>
      <c r="UEL88" s="21"/>
      <c r="UEM88" s="21"/>
      <c r="UEN88" s="21"/>
      <c r="UEO88" s="21"/>
      <c r="UEP88" s="21"/>
      <c r="UEQ88" s="21"/>
      <c r="UER88" s="21"/>
      <c r="UES88" s="21"/>
      <c r="UET88" s="21"/>
      <c r="UEU88" s="21"/>
      <c r="UEV88" s="21"/>
      <c r="UEW88" s="21"/>
      <c r="UEX88" s="21"/>
      <c r="UEY88" s="21"/>
      <c r="UEZ88" s="21"/>
      <c r="UFA88" s="21"/>
      <c r="UFB88" s="21"/>
      <c r="UFC88" s="21"/>
      <c r="UFD88" s="21"/>
      <c r="UFE88" s="21"/>
      <c r="UFF88" s="21"/>
      <c r="UFG88" s="21"/>
      <c r="UFH88" s="21"/>
      <c r="UFI88" s="21"/>
      <c r="UFJ88" s="21"/>
      <c r="UFK88" s="21"/>
      <c r="UFL88" s="21"/>
      <c r="UFM88" s="21"/>
      <c r="UFN88" s="21"/>
      <c r="UFO88" s="21"/>
      <c r="UFP88" s="21"/>
      <c r="UFQ88" s="21"/>
      <c r="UFR88" s="21"/>
      <c r="UFS88" s="21"/>
      <c r="UFT88" s="21"/>
      <c r="UFU88" s="21"/>
      <c r="UFV88" s="21"/>
      <c r="UFW88" s="21"/>
      <c r="UFX88" s="21"/>
      <c r="UFY88" s="21"/>
      <c r="UFZ88" s="21"/>
      <c r="UGA88" s="21"/>
      <c r="UGB88" s="21"/>
      <c r="UGC88" s="21"/>
      <c r="UGD88" s="21"/>
      <c r="UGE88" s="21"/>
      <c r="UGF88" s="21"/>
      <c r="UGG88" s="21"/>
      <c r="UGH88" s="21"/>
      <c r="UGI88" s="21"/>
      <c r="UGJ88" s="21"/>
      <c r="UGK88" s="21"/>
      <c r="UGL88" s="21"/>
      <c r="UGM88" s="21"/>
      <c r="UGN88" s="21"/>
      <c r="UGO88" s="21"/>
      <c r="UGP88" s="21"/>
      <c r="UGQ88" s="21"/>
      <c r="UGR88" s="21"/>
      <c r="UGS88" s="21"/>
      <c r="UGT88" s="21"/>
      <c r="UGU88" s="21"/>
      <c r="UGV88" s="21"/>
      <c r="UGW88" s="21"/>
      <c r="UGX88" s="21"/>
      <c r="UGY88" s="21"/>
      <c r="UGZ88" s="21"/>
      <c r="UHA88" s="21"/>
      <c r="UHB88" s="21"/>
      <c r="UHC88" s="21"/>
      <c r="UHD88" s="21"/>
      <c r="UHE88" s="21"/>
      <c r="UHF88" s="21"/>
      <c r="UHG88" s="21"/>
      <c r="UHH88" s="21"/>
      <c r="UHI88" s="21"/>
      <c r="UHJ88" s="21"/>
      <c r="UHK88" s="21"/>
      <c r="UHL88" s="21"/>
      <c r="UHM88" s="21"/>
      <c r="UHN88" s="21"/>
      <c r="UHO88" s="21"/>
      <c r="UHP88" s="21"/>
      <c r="UHQ88" s="21"/>
      <c r="UHR88" s="21"/>
      <c r="UHS88" s="21"/>
      <c r="UHT88" s="21"/>
      <c r="UHU88" s="21"/>
      <c r="UHV88" s="21"/>
      <c r="UHW88" s="21"/>
      <c r="UHX88" s="21"/>
      <c r="UHY88" s="21"/>
      <c r="UHZ88" s="21"/>
      <c r="UIA88" s="21"/>
      <c r="UIB88" s="21"/>
      <c r="UIC88" s="21"/>
      <c r="UID88" s="21"/>
      <c r="UIE88" s="21"/>
      <c r="UIF88" s="21"/>
      <c r="UIG88" s="21"/>
      <c r="UIH88" s="21"/>
      <c r="UII88" s="21"/>
      <c r="UIJ88" s="21"/>
      <c r="UIK88" s="21"/>
      <c r="UIL88" s="21"/>
      <c r="UIM88" s="21"/>
      <c r="UIN88" s="21"/>
      <c r="UIO88" s="21"/>
      <c r="UIP88" s="21"/>
      <c r="UIQ88" s="21"/>
      <c r="UIR88" s="21"/>
      <c r="UIS88" s="21"/>
      <c r="UIT88" s="21"/>
      <c r="UIU88" s="21"/>
      <c r="UIV88" s="21"/>
      <c r="UIW88" s="21"/>
      <c r="UIX88" s="21"/>
      <c r="UIY88" s="21"/>
      <c r="UIZ88" s="21"/>
      <c r="UJA88" s="21"/>
      <c r="UJB88" s="21"/>
      <c r="UJC88" s="21"/>
      <c r="UJD88" s="21"/>
      <c r="UJE88" s="21"/>
      <c r="UJF88" s="21"/>
      <c r="UJG88" s="21"/>
      <c r="UJH88" s="21"/>
      <c r="UJI88" s="21"/>
      <c r="UJJ88" s="21"/>
      <c r="UJK88" s="21"/>
      <c r="UJL88" s="21"/>
      <c r="UJM88" s="21"/>
      <c r="UJN88" s="21"/>
      <c r="UJO88" s="21"/>
      <c r="UJP88" s="21"/>
      <c r="UJQ88" s="21"/>
      <c r="UJR88" s="21"/>
      <c r="UJS88" s="21"/>
      <c r="UJT88" s="21"/>
      <c r="UJU88" s="21"/>
      <c r="UJV88" s="21"/>
      <c r="UJW88" s="21"/>
      <c r="UJX88" s="21"/>
      <c r="UJY88" s="21"/>
      <c r="UJZ88" s="21"/>
      <c r="UKA88" s="21"/>
      <c r="UKB88" s="21"/>
      <c r="UKC88" s="21"/>
      <c r="UKD88" s="21"/>
      <c r="UKE88" s="21"/>
      <c r="UKF88" s="21"/>
      <c r="UKG88" s="21"/>
      <c r="UKH88" s="21"/>
      <c r="UKI88" s="21"/>
      <c r="UKJ88" s="21"/>
      <c r="UKK88" s="21"/>
      <c r="UKL88" s="21"/>
      <c r="UKM88" s="21"/>
      <c r="UKN88" s="21"/>
      <c r="UKO88" s="21"/>
      <c r="UKP88" s="21"/>
      <c r="UKQ88" s="21"/>
      <c r="UKR88" s="21"/>
      <c r="UKS88" s="21"/>
      <c r="UKT88" s="21"/>
      <c r="UKU88" s="21"/>
      <c r="UKV88" s="21"/>
      <c r="UKW88" s="21"/>
      <c r="UKX88" s="21"/>
      <c r="UKY88" s="21"/>
      <c r="UKZ88" s="21"/>
      <c r="ULA88" s="21"/>
      <c r="ULB88" s="21"/>
      <c r="ULC88" s="21"/>
      <c r="ULD88" s="21"/>
      <c r="ULE88" s="21"/>
      <c r="ULF88" s="21"/>
      <c r="ULG88" s="21"/>
      <c r="ULH88" s="21"/>
      <c r="ULI88" s="21"/>
      <c r="ULJ88" s="21"/>
      <c r="ULK88" s="21"/>
      <c r="ULL88" s="21"/>
      <c r="ULM88" s="21"/>
      <c r="ULN88" s="21"/>
      <c r="ULO88" s="21"/>
      <c r="ULP88" s="21"/>
      <c r="ULQ88" s="21"/>
      <c r="ULR88" s="21"/>
      <c r="ULS88" s="21"/>
      <c r="ULT88" s="21"/>
      <c r="ULU88" s="21"/>
      <c r="ULV88" s="21"/>
      <c r="ULW88" s="21"/>
      <c r="ULX88" s="21"/>
      <c r="ULY88" s="21"/>
      <c r="ULZ88" s="21"/>
      <c r="UMA88" s="21"/>
      <c r="UMB88" s="21"/>
      <c r="UMC88" s="21"/>
      <c r="UMD88" s="21"/>
      <c r="UME88" s="21"/>
      <c r="UMF88" s="21"/>
      <c r="UMG88" s="21"/>
      <c r="UMH88" s="21"/>
      <c r="UMI88" s="21"/>
      <c r="UMJ88" s="21"/>
      <c r="UMK88" s="21"/>
      <c r="UML88" s="21"/>
      <c r="UMM88" s="21"/>
      <c r="UMN88" s="21"/>
      <c r="UMO88" s="21"/>
      <c r="UMP88" s="21"/>
      <c r="UMQ88" s="21"/>
      <c r="UMR88" s="21"/>
      <c r="UMS88" s="21"/>
      <c r="UMT88" s="21"/>
      <c r="UMU88" s="21"/>
      <c r="UMV88" s="21"/>
      <c r="UMW88" s="21"/>
      <c r="UMX88" s="21"/>
      <c r="UMY88" s="21"/>
      <c r="UMZ88" s="21"/>
      <c r="UNA88" s="21"/>
      <c r="UNB88" s="21"/>
      <c r="UNC88" s="21"/>
      <c r="UND88" s="21"/>
      <c r="UNE88" s="21"/>
      <c r="UNF88" s="21"/>
      <c r="UNG88" s="21"/>
      <c r="UNH88" s="21"/>
      <c r="UNI88" s="21"/>
      <c r="UNJ88" s="21"/>
      <c r="UNK88" s="21"/>
      <c r="UNL88" s="21"/>
      <c r="UNM88" s="21"/>
      <c r="UNN88" s="21"/>
      <c r="UNO88" s="21"/>
      <c r="UNP88" s="21"/>
      <c r="UNQ88" s="21"/>
      <c r="UNR88" s="21"/>
      <c r="UNS88" s="21"/>
      <c r="UNT88" s="21"/>
      <c r="UNU88" s="21"/>
      <c r="UNV88" s="21"/>
      <c r="UNW88" s="21"/>
      <c r="UNX88" s="21"/>
      <c r="UNY88" s="21"/>
      <c r="UNZ88" s="21"/>
      <c r="UOA88" s="21"/>
      <c r="UOB88" s="21"/>
      <c r="UOC88" s="21"/>
      <c r="UOD88" s="21"/>
      <c r="UOE88" s="21"/>
      <c r="UOF88" s="21"/>
      <c r="UOG88" s="21"/>
      <c r="UOH88" s="21"/>
      <c r="UOI88" s="21"/>
      <c r="UOJ88" s="21"/>
      <c r="UOK88" s="21"/>
      <c r="UOL88" s="21"/>
      <c r="UOM88" s="21"/>
      <c r="UON88" s="21"/>
      <c r="UOO88" s="21"/>
      <c r="UOP88" s="21"/>
      <c r="UOQ88" s="21"/>
      <c r="UOR88" s="21"/>
      <c r="UOS88" s="21"/>
      <c r="UOT88" s="21"/>
      <c r="UOU88" s="21"/>
      <c r="UOV88" s="21"/>
      <c r="UOW88" s="21"/>
      <c r="UOX88" s="21"/>
      <c r="UOY88" s="21"/>
      <c r="UOZ88" s="21"/>
      <c r="UPA88" s="21"/>
      <c r="UPB88" s="21"/>
      <c r="UPC88" s="21"/>
      <c r="UPD88" s="21"/>
      <c r="UPE88" s="21"/>
      <c r="UPF88" s="21"/>
      <c r="UPG88" s="21"/>
      <c r="UPH88" s="21"/>
      <c r="UPI88" s="21"/>
      <c r="UPJ88" s="21"/>
      <c r="UPK88" s="21"/>
      <c r="UPL88" s="21"/>
      <c r="UPM88" s="21"/>
      <c r="UPN88" s="21"/>
      <c r="UPO88" s="21"/>
      <c r="UPP88" s="21"/>
      <c r="UPQ88" s="21"/>
      <c r="UPR88" s="21"/>
      <c r="UPS88" s="21"/>
      <c r="UPT88" s="21"/>
      <c r="UPU88" s="21"/>
      <c r="UPV88" s="21"/>
      <c r="UPW88" s="21"/>
      <c r="UPX88" s="21"/>
      <c r="UPY88" s="21"/>
      <c r="UPZ88" s="21"/>
      <c r="UQA88" s="21"/>
      <c r="UQB88" s="21"/>
      <c r="UQC88" s="21"/>
      <c r="UQD88" s="21"/>
      <c r="UQE88" s="21"/>
      <c r="UQF88" s="21"/>
      <c r="UQG88" s="21"/>
      <c r="UQH88" s="21"/>
      <c r="UQI88" s="21"/>
      <c r="UQJ88" s="21"/>
      <c r="UQK88" s="21"/>
      <c r="UQL88" s="21"/>
      <c r="UQM88" s="21"/>
      <c r="UQN88" s="21"/>
      <c r="UQO88" s="21"/>
      <c r="UQP88" s="21"/>
      <c r="UQQ88" s="21"/>
      <c r="UQR88" s="21"/>
      <c r="UQS88" s="21"/>
      <c r="UQT88" s="21"/>
      <c r="UQU88" s="21"/>
      <c r="UQV88" s="21"/>
      <c r="UQW88" s="21"/>
      <c r="UQX88" s="21"/>
      <c r="UQY88" s="21"/>
      <c r="UQZ88" s="21"/>
      <c r="URA88" s="21"/>
      <c r="URB88" s="21"/>
      <c r="URC88" s="21"/>
      <c r="URD88" s="21"/>
      <c r="URE88" s="21"/>
      <c r="URF88" s="21"/>
      <c r="URG88" s="21"/>
      <c r="URH88" s="21"/>
      <c r="URI88" s="21"/>
      <c r="URJ88" s="21"/>
      <c r="URK88" s="21"/>
      <c r="URL88" s="21"/>
      <c r="URM88" s="21"/>
      <c r="URN88" s="21"/>
      <c r="URO88" s="21"/>
      <c r="URP88" s="21"/>
      <c r="URQ88" s="21"/>
      <c r="URR88" s="21"/>
      <c r="URS88" s="21"/>
      <c r="URT88" s="21"/>
      <c r="URU88" s="21"/>
      <c r="URV88" s="21"/>
      <c r="URW88" s="21"/>
      <c r="URX88" s="21"/>
      <c r="URY88" s="21"/>
      <c r="URZ88" s="21"/>
      <c r="USA88" s="21"/>
      <c r="USB88" s="21"/>
      <c r="USC88" s="21"/>
      <c r="USD88" s="21"/>
      <c r="USE88" s="21"/>
      <c r="USF88" s="21"/>
      <c r="USG88" s="21"/>
      <c r="USH88" s="21"/>
      <c r="USI88" s="21"/>
      <c r="USJ88" s="21"/>
      <c r="USK88" s="21"/>
      <c r="USL88" s="21"/>
      <c r="USM88" s="21"/>
      <c r="USN88" s="21"/>
      <c r="USO88" s="21"/>
      <c r="USP88" s="21"/>
      <c r="USQ88" s="21"/>
      <c r="USR88" s="21"/>
      <c r="USS88" s="21"/>
      <c r="UST88" s="21"/>
      <c r="USU88" s="21"/>
      <c r="USV88" s="21"/>
      <c r="USW88" s="21"/>
      <c r="USX88" s="21"/>
      <c r="USY88" s="21"/>
      <c r="USZ88" s="21"/>
      <c r="UTA88" s="21"/>
      <c r="UTB88" s="21"/>
      <c r="UTC88" s="21"/>
      <c r="UTD88" s="21"/>
      <c r="UTE88" s="21"/>
      <c r="UTF88" s="21"/>
      <c r="UTG88" s="21"/>
      <c r="UTH88" s="21"/>
      <c r="UTI88" s="21"/>
      <c r="UTJ88" s="21"/>
      <c r="UTK88" s="21"/>
      <c r="UTL88" s="21"/>
      <c r="UTM88" s="21"/>
      <c r="UTN88" s="21"/>
      <c r="UTO88" s="21"/>
      <c r="UTP88" s="21"/>
      <c r="UTQ88" s="21"/>
      <c r="UTR88" s="21"/>
      <c r="UTS88" s="21"/>
      <c r="UTT88" s="21"/>
      <c r="UTU88" s="21"/>
      <c r="UTV88" s="21"/>
      <c r="UTW88" s="21"/>
      <c r="UTX88" s="21"/>
      <c r="UTY88" s="21"/>
      <c r="UTZ88" s="21"/>
      <c r="UUA88" s="21"/>
      <c r="UUB88" s="21"/>
      <c r="UUC88" s="21"/>
      <c r="UUD88" s="21"/>
      <c r="UUE88" s="21"/>
      <c r="UUF88" s="21"/>
      <c r="UUG88" s="21"/>
      <c r="UUH88" s="21"/>
      <c r="UUI88" s="21"/>
      <c r="UUJ88" s="21"/>
      <c r="UUK88" s="21"/>
      <c r="UUL88" s="21"/>
      <c r="UUM88" s="21"/>
      <c r="UUN88" s="21"/>
      <c r="UUO88" s="21"/>
      <c r="UUP88" s="21"/>
      <c r="UUQ88" s="21"/>
      <c r="UUR88" s="21"/>
      <c r="UUS88" s="21"/>
      <c r="UUT88" s="21"/>
      <c r="UUU88" s="21"/>
      <c r="UUV88" s="21"/>
      <c r="UUW88" s="21"/>
      <c r="UUX88" s="21"/>
      <c r="UUY88" s="21"/>
      <c r="UUZ88" s="21"/>
      <c r="UVA88" s="21"/>
      <c r="UVB88" s="21"/>
      <c r="UVC88" s="21"/>
      <c r="UVD88" s="21"/>
      <c r="UVE88" s="21"/>
      <c r="UVF88" s="21"/>
      <c r="UVG88" s="21"/>
      <c r="UVH88" s="21"/>
      <c r="UVI88" s="21"/>
      <c r="UVJ88" s="21"/>
      <c r="UVK88" s="21"/>
      <c r="UVL88" s="21"/>
      <c r="UVM88" s="21"/>
      <c r="UVN88" s="21"/>
      <c r="UVO88" s="21"/>
      <c r="UVP88" s="21"/>
      <c r="UVQ88" s="21"/>
      <c r="UVR88" s="21"/>
      <c r="UVS88" s="21"/>
      <c r="UVT88" s="21"/>
      <c r="UVU88" s="21"/>
      <c r="UVV88" s="21"/>
      <c r="UVW88" s="21"/>
      <c r="UVX88" s="21"/>
      <c r="UVY88" s="21"/>
      <c r="UVZ88" s="21"/>
      <c r="UWA88" s="21"/>
      <c r="UWB88" s="21"/>
      <c r="UWC88" s="21"/>
      <c r="UWD88" s="21"/>
      <c r="UWE88" s="21"/>
      <c r="UWF88" s="21"/>
      <c r="UWG88" s="21"/>
      <c r="UWH88" s="21"/>
      <c r="UWI88" s="21"/>
      <c r="UWJ88" s="21"/>
      <c r="UWK88" s="21"/>
      <c r="UWL88" s="21"/>
      <c r="UWM88" s="21"/>
      <c r="UWN88" s="21"/>
      <c r="UWO88" s="21"/>
      <c r="UWP88" s="21"/>
      <c r="UWQ88" s="21"/>
      <c r="UWR88" s="21"/>
      <c r="UWS88" s="21"/>
      <c r="UWT88" s="21"/>
      <c r="UWU88" s="21"/>
      <c r="UWV88" s="21"/>
      <c r="UWW88" s="21"/>
      <c r="UWX88" s="21"/>
      <c r="UWY88" s="21"/>
      <c r="UWZ88" s="21"/>
      <c r="UXA88" s="21"/>
      <c r="UXB88" s="21"/>
      <c r="UXC88" s="21"/>
      <c r="UXD88" s="21"/>
      <c r="UXE88" s="21"/>
      <c r="UXF88" s="21"/>
      <c r="UXG88" s="21"/>
      <c r="UXH88" s="21"/>
      <c r="UXI88" s="21"/>
      <c r="UXJ88" s="21"/>
      <c r="UXK88" s="21"/>
      <c r="UXL88" s="21"/>
      <c r="UXM88" s="21"/>
      <c r="UXN88" s="21"/>
      <c r="UXO88" s="21"/>
      <c r="UXP88" s="21"/>
      <c r="UXQ88" s="21"/>
      <c r="UXR88" s="21"/>
      <c r="UXS88" s="21"/>
      <c r="UXT88" s="21"/>
      <c r="UXU88" s="21"/>
      <c r="UXV88" s="21"/>
      <c r="UXW88" s="21"/>
      <c r="UXX88" s="21"/>
      <c r="UXY88" s="21"/>
      <c r="UXZ88" s="21"/>
      <c r="UYA88" s="21"/>
      <c r="UYB88" s="21"/>
      <c r="UYC88" s="21"/>
      <c r="UYD88" s="21"/>
      <c r="UYE88" s="21"/>
      <c r="UYF88" s="21"/>
      <c r="UYG88" s="21"/>
      <c r="UYH88" s="21"/>
      <c r="UYI88" s="21"/>
      <c r="UYJ88" s="21"/>
      <c r="UYK88" s="21"/>
      <c r="UYL88" s="21"/>
      <c r="UYM88" s="21"/>
      <c r="UYN88" s="21"/>
      <c r="UYO88" s="21"/>
      <c r="UYP88" s="21"/>
      <c r="UYQ88" s="21"/>
      <c r="UYR88" s="21"/>
      <c r="UYS88" s="21"/>
      <c r="UYT88" s="21"/>
      <c r="UYU88" s="21"/>
      <c r="UYV88" s="21"/>
      <c r="UYW88" s="21"/>
      <c r="UYX88" s="21"/>
      <c r="UYY88" s="21"/>
      <c r="UYZ88" s="21"/>
      <c r="UZA88" s="21"/>
      <c r="UZB88" s="21"/>
      <c r="UZC88" s="21"/>
      <c r="UZD88" s="21"/>
      <c r="UZE88" s="21"/>
      <c r="UZF88" s="21"/>
      <c r="UZG88" s="21"/>
      <c r="UZH88" s="21"/>
      <c r="UZI88" s="21"/>
      <c r="UZJ88" s="21"/>
      <c r="UZK88" s="21"/>
      <c r="UZL88" s="21"/>
      <c r="UZM88" s="21"/>
      <c r="UZN88" s="21"/>
      <c r="UZO88" s="21"/>
      <c r="UZP88" s="21"/>
      <c r="UZQ88" s="21"/>
      <c r="UZR88" s="21"/>
      <c r="UZS88" s="21"/>
      <c r="UZT88" s="21"/>
      <c r="UZU88" s="21"/>
      <c r="UZV88" s="21"/>
      <c r="UZW88" s="21"/>
      <c r="UZX88" s="21"/>
      <c r="UZY88" s="21"/>
      <c r="UZZ88" s="21"/>
      <c r="VAA88" s="21"/>
      <c r="VAB88" s="21"/>
      <c r="VAC88" s="21"/>
      <c r="VAD88" s="21"/>
      <c r="VAE88" s="21"/>
      <c r="VAF88" s="21"/>
      <c r="VAG88" s="21"/>
      <c r="VAH88" s="21"/>
      <c r="VAI88" s="21"/>
      <c r="VAJ88" s="21"/>
      <c r="VAK88" s="21"/>
      <c r="VAL88" s="21"/>
      <c r="VAM88" s="21"/>
      <c r="VAN88" s="21"/>
      <c r="VAO88" s="21"/>
      <c r="VAP88" s="21"/>
      <c r="VAQ88" s="21"/>
      <c r="VAR88" s="21"/>
      <c r="VAS88" s="21"/>
      <c r="VAT88" s="21"/>
      <c r="VAU88" s="21"/>
      <c r="VAV88" s="21"/>
      <c r="VAW88" s="21"/>
      <c r="VAX88" s="21"/>
      <c r="VAY88" s="21"/>
      <c r="VAZ88" s="21"/>
      <c r="VBA88" s="21"/>
      <c r="VBB88" s="21"/>
      <c r="VBC88" s="21"/>
      <c r="VBD88" s="21"/>
      <c r="VBE88" s="21"/>
      <c r="VBF88" s="21"/>
      <c r="VBG88" s="21"/>
      <c r="VBH88" s="21"/>
      <c r="VBI88" s="21"/>
      <c r="VBJ88" s="21"/>
      <c r="VBK88" s="21"/>
      <c r="VBL88" s="21"/>
      <c r="VBM88" s="21"/>
      <c r="VBN88" s="21"/>
      <c r="VBO88" s="21"/>
      <c r="VBP88" s="21"/>
      <c r="VBQ88" s="21"/>
      <c r="VBR88" s="21"/>
      <c r="VBS88" s="21"/>
      <c r="VBT88" s="21"/>
      <c r="VBU88" s="21"/>
      <c r="VBV88" s="21"/>
      <c r="VBW88" s="21"/>
      <c r="VBX88" s="21"/>
      <c r="VBY88" s="21"/>
      <c r="VBZ88" s="21"/>
      <c r="VCA88" s="21"/>
      <c r="VCB88" s="21"/>
      <c r="VCC88" s="21"/>
      <c r="VCD88" s="21"/>
      <c r="VCE88" s="21"/>
      <c r="VCF88" s="21"/>
      <c r="VCG88" s="21"/>
      <c r="VCH88" s="21"/>
      <c r="VCI88" s="21"/>
      <c r="VCJ88" s="21"/>
      <c r="VCK88" s="21"/>
      <c r="VCL88" s="21"/>
      <c r="VCM88" s="21"/>
      <c r="VCN88" s="21"/>
      <c r="VCO88" s="21"/>
      <c r="VCP88" s="21"/>
      <c r="VCQ88" s="21"/>
      <c r="VCR88" s="21"/>
      <c r="VCS88" s="21"/>
      <c r="VCT88" s="21"/>
      <c r="VCU88" s="21"/>
      <c r="VCV88" s="21"/>
      <c r="VCW88" s="21"/>
      <c r="VCX88" s="21"/>
      <c r="VCY88" s="21"/>
      <c r="VCZ88" s="21"/>
      <c r="VDA88" s="21"/>
      <c r="VDB88" s="21"/>
      <c r="VDC88" s="21"/>
      <c r="VDD88" s="21"/>
      <c r="VDE88" s="21"/>
      <c r="VDF88" s="21"/>
      <c r="VDG88" s="21"/>
      <c r="VDH88" s="21"/>
      <c r="VDI88" s="21"/>
      <c r="VDJ88" s="21"/>
      <c r="VDK88" s="21"/>
      <c r="VDL88" s="21"/>
      <c r="VDM88" s="21"/>
      <c r="VDN88" s="21"/>
      <c r="VDO88" s="21"/>
      <c r="VDP88" s="21"/>
      <c r="VDQ88" s="21"/>
      <c r="VDR88" s="21"/>
      <c r="VDS88" s="21"/>
      <c r="VDT88" s="21"/>
      <c r="VDU88" s="21"/>
      <c r="VDV88" s="21"/>
      <c r="VDW88" s="21"/>
      <c r="VDX88" s="21"/>
      <c r="VDY88" s="21"/>
      <c r="VDZ88" s="21"/>
      <c r="VEA88" s="21"/>
      <c r="VEB88" s="21"/>
      <c r="VEC88" s="21"/>
      <c r="VED88" s="21"/>
      <c r="VEE88" s="21"/>
      <c r="VEF88" s="21"/>
      <c r="VEG88" s="21"/>
      <c r="VEH88" s="21"/>
      <c r="VEI88" s="21"/>
      <c r="VEJ88" s="21"/>
      <c r="VEK88" s="21"/>
      <c r="VEL88" s="21"/>
      <c r="VEM88" s="21"/>
      <c r="VEN88" s="21"/>
      <c r="VEO88" s="21"/>
      <c r="VEP88" s="21"/>
      <c r="VEQ88" s="21"/>
      <c r="VER88" s="21"/>
      <c r="VES88" s="21"/>
      <c r="VET88" s="21"/>
      <c r="VEU88" s="21"/>
      <c r="VEV88" s="21"/>
      <c r="VEW88" s="21"/>
      <c r="VEX88" s="21"/>
      <c r="VEY88" s="21"/>
      <c r="VEZ88" s="21"/>
      <c r="VFA88" s="21"/>
      <c r="VFB88" s="21"/>
      <c r="VFC88" s="21"/>
      <c r="VFD88" s="21"/>
      <c r="VFE88" s="21"/>
      <c r="VFF88" s="21"/>
      <c r="VFG88" s="21"/>
      <c r="VFH88" s="21"/>
      <c r="VFI88" s="21"/>
      <c r="VFJ88" s="21"/>
      <c r="VFK88" s="21"/>
      <c r="VFL88" s="21"/>
      <c r="VFM88" s="21"/>
      <c r="VFN88" s="21"/>
      <c r="VFO88" s="21"/>
      <c r="VFP88" s="21"/>
      <c r="VFQ88" s="21"/>
      <c r="VFR88" s="21"/>
      <c r="VFS88" s="21"/>
      <c r="VFT88" s="21"/>
      <c r="VFU88" s="21"/>
      <c r="VFV88" s="21"/>
      <c r="VFW88" s="21"/>
      <c r="VFX88" s="21"/>
      <c r="VFY88" s="21"/>
      <c r="VFZ88" s="21"/>
      <c r="VGA88" s="21"/>
      <c r="VGB88" s="21"/>
      <c r="VGC88" s="21"/>
      <c r="VGD88" s="21"/>
      <c r="VGE88" s="21"/>
      <c r="VGF88" s="21"/>
      <c r="VGG88" s="21"/>
      <c r="VGH88" s="21"/>
      <c r="VGI88" s="21"/>
      <c r="VGJ88" s="21"/>
      <c r="VGK88" s="21"/>
      <c r="VGL88" s="21"/>
      <c r="VGM88" s="21"/>
      <c r="VGN88" s="21"/>
      <c r="VGO88" s="21"/>
      <c r="VGP88" s="21"/>
      <c r="VGQ88" s="21"/>
      <c r="VGR88" s="21"/>
      <c r="VGS88" s="21"/>
      <c r="VGT88" s="21"/>
      <c r="VGU88" s="21"/>
      <c r="VGV88" s="21"/>
      <c r="VGW88" s="21"/>
      <c r="VGX88" s="21"/>
      <c r="VGY88" s="21"/>
      <c r="VGZ88" s="21"/>
      <c r="VHA88" s="21"/>
      <c r="VHB88" s="21"/>
      <c r="VHC88" s="21"/>
      <c r="VHD88" s="21"/>
      <c r="VHE88" s="21"/>
      <c r="VHF88" s="21"/>
      <c r="VHG88" s="21"/>
      <c r="VHH88" s="21"/>
      <c r="VHI88" s="21"/>
      <c r="VHJ88" s="21"/>
      <c r="VHK88" s="21"/>
      <c r="VHL88" s="21"/>
      <c r="VHM88" s="21"/>
      <c r="VHN88" s="21"/>
      <c r="VHO88" s="21"/>
      <c r="VHP88" s="21"/>
      <c r="VHQ88" s="21"/>
      <c r="VHR88" s="21"/>
      <c r="VHS88" s="21"/>
      <c r="VHT88" s="21"/>
      <c r="VHU88" s="21"/>
      <c r="VHV88" s="21"/>
      <c r="VHW88" s="21"/>
      <c r="VHX88" s="21"/>
      <c r="VHY88" s="21"/>
      <c r="VHZ88" s="21"/>
      <c r="VIA88" s="21"/>
      <c r="VIB88" s="21"/>
      <c r="VIC88" s="21"/>
      <c r="VID88" s="21"/>
      <c r="VIE88" s="21"/>
      <c r="VIF88" s="21"/>
      <c r="VIG88" s="21"/>
      <c r="VIH88" s="21"/>
      <c r="VII88" s="21"/>
      <c r="VIJ88" s="21"/>
      <c r="VIK88" s="21"/>
      <c r="VIL88" s="21"/>
      <c r="VIM88" s="21"/>
      <c r="VIN88" s="21"/>
      <c r="VIO88" s="21"/>
      <c r="VIP88" s="21"/>
      <c r="VIQ88" s="21"/>
      <c r="VIR88" s="21"/>
      <c r="VIS88" s="21"/>
      <c r="VIT88" s="21"/>
      <c r="VIU88" s="21"/>
      <c r="VIV88" s="21"/>
      <c r="VIW88" s="21"/>
      <c r="VIX88" s="21"/>
      <c r="VIY88" s="21"/>
      <c r="VIZ88" s="21"/>
      <c r="VJA88" s="21"/>
      <c r="VJB88" s="21"/>
      <c r="VJC88" s="21"/>
      <c r="VJD88" s="21"/>
      <c r="VJE88" s="21"/>
      <c r="VJF88" s="21"/>
      <c r="VJG88" s="21"/>
      <c r="VJH88" s="21"/>
      <c r="VJI88" s="21"/>
      <c r="VJJ88" s="21"/>
      <c r="VJK88" s="21"/>
      <c r="VJL88" s="21"/>
      <c r="VJM88" s="21"/>
      <c r="VJN88" s="21"/>
      <c r="VJO88" s="21"/>
      <c r="VJP88" s="21"/>
      <c r="VJQ88" s="21"/>
      <c r="VJR88" s="21"/>
      <c r="VJS88" s="21"/>
      <c r="VJT88" s="21"/>
      <c r="VJU88" s="21"/>
      <c r="VJV88" s="21"/>
      <c r="VJW88" s="21"/>
      <c r="VJX88" s="21"/>
      <c r="VJY88" s="21"/>
      <c r="VJZ88" s="21"/>
      <c r="VKA88" s="21"/>
      <c r="VKB88" s="21"/>
      <c r="VKC88" s="21"/>
      <c r="VKD88" s="21"/>
      <c r="VKE88" s="21"/>
      <c r="VKF88" s="21"/>
      <c r="VKG88" s="21"/>
      <c r="VKH88" s="21"/>
      <c r="VKI88" s="21"/>
      <c r="VKJ88" s="21"/>
      <c r="VKK88" s="21"/>
      <c r="VKL88" s="21"/>
      <c r="VKM88" s="21"/>
      <c r="VKN88" s="21"/>
      <c r="VKO88" s="21"/>
      <c r="VKP88" s="21"/>
      <c r="VKQ88" s="21"/>
      <c r="VKR88" s="21"/>
      <c r="VKS88" s="21"/>
      <c r="VKT88" s="21"/>
      <c r="VKU88" s="21"/>
      <c r="VKV88" s="21"/>
      <c r="VKW88" s="21"/>
      <c r="VKX88" s="21"/>
      <c r="VKY88" s="21"/>
      <c r="VKZ88" s="21"/>
      <c r="VLA88" s="21"/>
      <c r="VLB88" s="21"/>
      <c r="VLC88" s="21"/>
      <c r="VLD88" s="21"/>
      <c r="VLE88" s="21"/>
      <c r="VLF88" s="21"/>
      <c r="VLG88" s="21"/>
      <c r="VLH88" s="21"/>
      <c r="VLI88" s="21"/>
      <c r="VLJ88" s="21"/>
      <c r="VLK88" s="21"/>
      <c r="VLL88" s="21"/>
      <c r="VLM88" s="21"/>
      <c r="VLN88" s="21"/>
      <c r="VLO88" s="21"/>
      <c r="VLP88" s="21"/>
      <c r="VLQ88" s="21"/>
      <c r="VLR88" s="21"/>
      <c r="VLS88" s="21"/>
      <c r="VLT88" s="21"/>
      <c r="VLU88" s="21"/>
      <c r="VLV88" s="21"/>
      <c r="VLW88" s="21"/>
      <c r="VLX88" s="21"/>
      <c r="VLY88" s="21"/>
      <c r="VLZ88" s="21"/>
      <c r="VMA88" s="21"/>
      <c r="VMB88" s="21"/>
      <c r="VMC88" s="21"/>
      <c r="VMD88" s="21"/>
      <c r="VME88" s="21"/>
      <c r="VMF88" s="21"/>
      <c r="VMG88" s="21"/>
      <c r="VMH88" s="21"/>
      <c r="VMI88" s="21"/>
      <c r="VMJ88" s="21"/>
      <c r="VMK88" s="21"/>
      <c r="VML88" s="21"/>
      <c r="VMM88" s="21"/>
      <c r="VMN88" s="21"/>
      <c r="VMO88" s="21"/>
      <c r="VMP88" s="21"/>
      <c r="VMQ88" s="21"/>
      <c r="VMR88" s="21"/>
      <c r="VMS88" s="21"/>
      <c r="VMT88" s="21"/>
      <c r="VMU88" s="21"/>
      <c r="VMV88" s="21"/>
      <c r="VMW88" s="21"/>
      <c r="VMX88" s="21"/>
      <c r="VMY88" s="21"/>
      <c r="VMZ88" s="21"/>
      <c r="VNA88" s="21"/>
      <c r="VNB88" s="21"/>
      <c r="VNC88" s="21"/>
      <c r="VND88" s="21"/>
      <c r="VNE88" s="21"/>
      <c r="VNF88" s="21"/>
      <c r="VNG88" s="21"/>
      <c r="VNH88" s="21"/>
      <c r="VNI88" s="21"/>
      <c r="VNJ88" s="21"/>
      <c r="VNK88" s="21"/>
      <c r="VNL88" s="21"/>
      <c r="VNM88" s="21"/>
      <c r="VNN88" s="21"/>
      <c r="VNO88" s="21"/>
      <c r="VNP88" s="21"/>
      <c r="VNQ88" s="21"/>
      <c r="VNR88" s="21"/>
      <c r="VNS88" s="21"/>
      <c r="VNT88" s="21"/>
      <c r="VNU88" s="21"/>
      <c r="VNV88" s="21"/>
      <c r="VNW88" s="21"/>
      <c r="VNX88" s="21"/>
      <c r="VNY88" s="21"/>
      <c r="VNZ88" s="21"/>
      <c r="VOA88" s="21"/>
      <c r="VOB88" s="21"/>
      <c r="VOC88" s="21"/>
      <c r="VOD88" s="21"/>
      <c r="VOE88" s="21"/>
      <c r="VOF88" s="21"/>
      <c r="VOG88" s="21"/>
      <c r="VOH88" s="21"/>
      <c r="VOI88" s="21"/>
      <c r="VOJ88" s="21"/>
      <c r="VOK88" s="21"/>
      <c r="VOL88" s="21"/>
      <c r="VOM88" s="21"/>
      <c r="VON88" s="21"/>
      <c r="VOO88" s="21"/>
      <c r="VOP88" s="21"/>
      <c r="VOQ88" s="21"/>
      <c r="VOR88" s="21"/>
      <c r="VOS88" s="21"/>
      <c r="VOT88" s="21"/>
      <c r="VOU88" s="21"/>
      <c r="VOV88" s="21"/>
      <c r="VOW88" s="21"/>
      <c r="VOX88" s="21"/>
      <c r="VOY88" s="21"/>
      <c r="VOZ88" s="21"/>
      <c r="VPA88" s="21"/>
      <c r="VPB88" s="21"/>
      <c r="VPC88" s="21"/>
      <c r="VPD88" s="21"/>
      <c r="VPE88" s="21"/>
      <c r="VPF88" s="21"/>
      <c r="VPG88" s="21"/>
      <c r="VPH88" s="21"/>
      <c r="VPI88" s="21"/>
      <c r="VPJ88" s="21"/>
      <c r="VPK88" s="21"/>
      <c r="VPL88" s="21"/>
      <c r="VPM88" s="21"/>
      <c r="VPN88" s="21"/>
      <c r="VPO88" s="21"/>
      <c r="VPP88" s="21"/>
      <c r="VPQ88" s="21"/>
      <c r="VPR88" s="21"/>
      <c r="VPS88" s="21"/>
      <c r="VPT88" s="21"/>
      <c r="VPU88" s="21"/>
      <c r="VPV88" s="21"/>
      <c r="VPW88" s="21"/>
      <c r="VPX88" s="21"/>
      <c r="VPY88" s="21"/>
      <c r="VPZ88" s="21"/>
      <c r="VQA88" s="21"/>
      <c r="VQB88" s="21"/>
      <c r="VQC88" s="21"/>
      <c r="VQD88" s="21"/>
      <c r="VQE88" s="21"/>
      <c r="VQF88" s="21"/>
      <c r="VQG88" s="21"/>
      <c r="VQH88" s="21"/>
      <c r="VQI88" s="21"/>
      <c r="VQJ88" s="21"/>
      <c r="VQK88" s="21"/>
      <c r="VQL88" s="21"/>
      <c r="VQM88" s="21"/>
      <c r="VQN88" s="21"/>
      <c r="VQO88" s="21"/>
      <c r="VQP88" s="21"/>
      <c r="VQQ88" s="21"/>
      <c r="VQR88" s="21"/>
      <c r="VQS88" s="21"/>
      <c r="VQT88" s="21"/>
      <c r="VQU88" s="21"/>
      <c r="VQV88" s="21"/>
      <c r="VQW88" s="21"/>
      <c r="VQX88" s="21"/>
      <c r="VQY88" s="21"/>
      <c r="VQZ88" s="21"/>
      <c r="VRA88" s="21"/>
      <c r="VRB88" s="21"/>
      <c r="VRC88" s="21"/>
      <c r="VRD88" s="21"/>
      <c r="VRE88" s="21"/>
      <c r="VRF88" s="21"/>
      <c r="VRG88" s="21"/>
      <c r="VRH88" s="21"/>
      <c r="VRI88" s="21"/>
      <c r="VRJ88" s="21"/>
      <c r="VRK88" s="21"/>
      <c r="VRL88" s="21"/>
      <c r="VRM88" s="21"/>
      <c r="VRN88" s="21"/>
      <c r="VRO88" s="21"/>
      <c r="VRP88" s="21"/>
      <c r="VRQ88" s="21"/>
      <c r="VRR88" s="21"/>
      <c r="VRS88" s="21"/>
      <c r="VRT88" s="21"/>
      <c r="VRU88" s="21"/>
      <c r="VRV88" s="21"/>
      <c r="VRW88" s="21"/>
      <c r="VRX88" s="21"/>
      <c r="VRY88" s="21"/>
      <c r="VRZ88" s="21"/>
      <c r="VSA88" s="21"/>
      <c r="VSB88" s="21"/>
      <c r="VSC88" s="21"/>
      <c r="VSD88" s="21"/>
      <c r="VSE88" s="21"/>
      <c r="VSF88" s="21"/>
      <c r="VSG88" s="21"/>
      <c r="VSH88" s="21"/>
      <c r="VSI88" s="21"/>
      <c r="VSJ88" s="21"/>
      <c r="VSK88" s="21"/>
      <c r="VSL88" s="21"/>
      <c r="VSM88" s="21"/>
      <c r="VSN88" s="21"/>
      <c r="VSO88" s="21"/>
      <c r="VSP88" s="21"/>
      <c r="VSQ88" s="21"/>
      <c r="VSR88" s="21"/>
      <c r="VSS88" s="21"/>
      <c r="VST88" s="21"/>
      <c r="VSU88" s="21"/>
      <c r="VSV88" s="21"/>
      <c r="VSW88" s="21"/>
      <c r="VSX88" s="21"/>
      <c r="VSY88" s="21"/>
      <c r="VSZ88" s="21"/>
      <c r="VTA88" s="21"/>
      <c r="VTB88" s="21"/>
      <c r="VTC88" s="21"/>
      <c r="VTD88" s="21"/>
      <c r="VTE88" s="21"/>
      <c r="VTF88" s="21"/>
      <c r="VTG88" s="21"/>
      <c r="VTH88" s="21"/>
      <c r="VTI88" s="21"/>
      <c r="VTJ88" s="21"/>
      <c r="VTK88" s="21"/>
      <c r="VTL88" s="21"/>
      <c r="VTM88" s="21"/>
      <c r="VTN88" s="21"/>
      <c r="VTO88" s="21"/>
      <c r="VTP88" s="21"/>
      <c r="VTQ88" s="21"/>
      <c r="VTR88" s="21"/>
      <c r="VTS88" s="21"/>
      <c r="VTT88" s="21"/>
      <c r="VTU88" s="21"/>
      <c r="VTV88" s="21"/>
      <c r="VTW88" s="21"/>
      <c r="VTX88" s="21"/>
      <c r="VTY88" s="21"/>
      <c r="VTZ88" s="21"/>
      <c r="VUA88" s="21"/>
      <c r="VUB88" s="21"/>
      <c r="VUC88" s="21"/>
      <c r="VUD88" s="21"/>
      <c r="VUE88" s="21"/>
      <c r="VUF88" s="21"/>
      <c r="VUG88" s="21"/>
      <c r="VUH88" s="21"/>
      <c r="VUI88" s="21"/>
      <c r="VUJ88" s="21"/>
      <c r="VUK88" s="21"/>
      <c r="VUL88" s="21"/>
      <c r="VUM88" s="21"/>
      <c r="VUN88" s="21"/>
      <c r="VUO88" s="21"/>
      <c r="VUP88" s="21"/>
      <c r="VUQ88" s="21"/>
      <c r="VUR88" s="21"/>
      <c r="VUS88" s="21"/>
      <c r="VUT88" s="21"/>
      <c r="VUU88" s="21"/>
      <c r="VUV88" s="21"/>
      <c r="VUW88" s="21"/>
      <c r="VUX88" s="21"/>
      <c r="VUY88" s="21"/>
      <c r="VUZ88" s="21"/>
      <c r="VVA88" s="21"/>
      <c r="VVB88" s="21"/>
      <c r="VVC88" s="21"/>
      <c r="VVD88" s="21"/>
      <c r="VVE88" s="21"/>
      <c r="VVF88" s="21"/>
      <c r="VVG88" s="21"/>
      <c r="VVH88" s="21"/>
      <c r="VVI88" s="21"/>
      <c r="VVJ88" s="21"/>
      <c r="VVK88" s="21"/>
      <c r="VVL88" s="21"/>
      <c r="VVM88" s="21"/>
      <c r="VVN88" s="21"/>
      <c r="VVO88" s="21"/>
      <c r="VVP88" s="21"/>
      <c r="VVQ88" s="21"/>
      <c r="VVR88" s="21"/>
      <c r="VVS88" s="21"/>
      <c r="VVT88" s="21"/>
      <c r="VVU88" s="21"/>
      <c r="VVV88" s="21"/>
      <c r="VVW88" s="21"/>
      <c r="VVX88" s="21"/>
      <c r="VVY88" s="21"/>
      <c r="VVZ88" s="21"/>
      <c r="VWA88" s="21"/>
      <c r="VWB88" s="21"/>
      <c r="VWC88" s="21"/>
      <c r="VWD88" s="21"/>
      <c r="VWE88" s="21"/>
      <c r="VWF88" s="21"/>
      <c r="VWG88" s="21"/>
      <c r="VWH88" s="21"/>
      <c r="VWI88" s="21"/>
      <c r="VWJ88" s="21"/>
      <c r="VWK88" s="21"/>
      <c r="VWL88" s="21"/>
      <c r="VWM88" s="21"/>
      <c r="VWN88" s="21"/>
      <c r="VWO88" s="21"/>
      <c r="VWP88" s="21"/>
      <c r="VWQ88" s="21"/>
      <c r="VWR88" s="21"/>
      <c r="VWS88" s="21"/>
      <c r="VWT88" s="21"/>
      <c r="VWU88" s="21"/>
      <c r="VWV88" s="21"/>
      <c r="VWW88" s="21"/>
      <c r="VWX88" s="21"/>
      <c r="VWY88" s="21"/>
      <c r="VWZ88" s="21"/>
      <c r="VXA88" s="21"/>
      <c r="VXB88" s="21"/>
      <c r="VXC88" s="21"/>
      <c r="VXD88" s="21"/>
      <c r="VXE88" s="21"/>
      <c r="VXF88" s="21"/>
      <c r="VXG88" s="21"/>
      <c r="VXH88" s="21"/>
      <c r="VXI88" s="21"/>
      <c r="VXJ88" s="21"/>
      <c r="VXK88" s="21"/>
      <c r="VXL88" s="21"/>
      <c r="VXM88" s="21"/>
      <c r="VXN88" s="21"/>
      <c r="VXO88" s="21"/>
      <c r="VXP88" s="21"/>
      <c r="VXQ88" s="21"/>
      <c r="VXR88" s="21"/>
      <c r="VXS88" s="21"/>
      <c r="VXT88" s="21"/>
      <c r="VXU88" s="21"/>
      <c r="VXV88" s="21"/>
      <c r="VXW88" s="21"/>
      <c r="VXX88" s="21"/>
      <c r="VXY88" s="21"/>
      <c r="VXZ88" s="21"/>
      <c r="VYA88" s="21"/>
      <c r="VYB88" s="21"/>
      <c r="VYC88" s="21"/>
      <c r="VYD88" s="21"/>
      <c r="VYE88" s="21"/>
      <c r="VYF88" s="21"/>
      <c r="VYG88" s="21"/>
      <c r="VYH88" s="21"/>
      <c r="VYI88" s="21"/>
      <c r="VYJ88" s="21"/>
      <c r="VYK88" s="21"/>
      <c r="VYL88" s="21"/>
      <c r="VYM88" s="21"/>
      <c r="VYN88" s="21"/>
      <c r="VYO88" s="21"/>
      <c r="VYP88" s="21"/>
      <c r="VYQ88" s="21"/>
      <c r="VYR88" s="21"/>
      <c r="VYS88" s="21"/>
      <c r="VYT88" s="21"/>
      <c r="VYU88" s="21"/>
      <c r="VYV88" s="21"/>
      <c r="VYW88" s="21"/>
      <c r="VYX88" s="21"/>
      <c r="VYY88" s="21"/>
      <c r="VYZ88" s="21"/>
      <c r="VZA88" s="21"/>
      <c r="VZB88" s="21"/>
      <c r="VZC88" s="21"/>
      <c r="VZD88" s="21"/>
      <c r="VZE88" s="21"/>
      <c r="VZF88" s="21"/>
      <c r="VZG88" s="21"/>
      <c r="VZH88" s="21"/>
      <c r="VZI88" s="21"/>
      <c r="VZJ88" s="21"/>
      <c r="VZK88" s="21"/>
      <c r="VZL88" s="21"/>
      <c r="VZM88" s="21"/>
      <c r="VZN88" s="21"/>
      <c r="VZO88" s="21"/>
      <c r="VZP88" s="21"/>
      <c r="VZQ88" s="21"/>
      <c r="VZR88" s="21"/>
      <c r="VZS88" s="21"/>
      <c r="VZT88" s="21"/>
      <c r="VZU88" s="21"/>
      <c r="VZV88" s="21"/>
      <c r="VZW88" s="21"/>
      <c r="VZX88" s="21"/>
      <c r="VZY88" s="21"/>
      <c r="VZZ88" s="21"/>
      <c r="WAA88" s="21"/>
      <c r="WAB88" s="21"/>
      <c r="WAC88" s="21"/>
      <c r="WAD88" s="21"/>
      <c r="WAE88" s="21"/>
      <c r="WAF88" s="21"/>
      <c r="WAG88" s="21"/>
      <c r="WAH88" s="21"/>
      <c r="WAI88" s="21"/>
      <c r="WAJ88" s="21"/>
      <c r="WAK88" s="21"/>
      <c r="WAL88" s="21"/>
      <c r="WAM88" s="21"/>
      <c r="WAN88" s="21"/>
      <c r="WAO88" s="21"/>
      <c r="WAP88" s="21"/>
      <c r="WAQ88" s="21"/>
      <c r="WAR88" s="21"/>
      <c r="WAS88" s="21"/>
      <c r="WAT88" s="21"/>
      <c r="WAU88" s="21"/>
      <c r="WAV88" s="21"/>
      <c r="WAW88" s="21"/>
      <c r="WAX88" s="21"/>
      <c r="WAY88" s="21"/>
      <c r="WAZ88" s="21"/>
      <c r="WBA88" s="21"/>
      <c r="WBB88" s="21"/>
      <c r="WBC88" s="21"/>
      <c r="WBD88" s="21"/>
      <c r="WBE88" s="21"/>
      <c r="WBF88" s="21"/>
      <c r="WBG88" s="21"/>
      <c r="WBH88" s="21"/>
      <c r="WBI88" s="21"/>
      <c r="WBJ88" s="21"/>
      <c r="WBK88" s="21"/>
      <c r="WBL88" s="21"/>
      <c r="WBM88" s="21"/>
      <c r="WBN88" s="21"/>
      <c r="WBO88" s="21"/>
      <c r="WBP88" s="21"/>
      <c r="WBQ88" s="21"/>
      <c r="WBR88" s="21"/>
      <c r="WBS88" s="21"/>
      <c r="WBT88" s="21"/>
      <c r="WBU88" s="21"/>
      <c r="WBV88" s="21"/>
      <c r="WBW88" s="21"/>
      <c r="WBX88" s="21"/>
      <c r="WBY88" s="21"/>
      <c r="WBZ88" s="21"/>
      <c r="WCA88" s="21"/>
      <c r="WCB88" s="21"/>
      <c r="WCC88" s="21"/>
      <c r="WCD88" s="21"/>
      <c r="WCE88" s="21"/>
      <c r="WCF88" s="21"/>
      <c r="WCG88" s="21"/>
      <c r="WCH88" s="21"/>
      <c r="WCI88" s="21"/>
      <c r="WCJ88" s="21"/>
      <c r="WCK88" s="21"/>
      <c r="WCL88" s="21"/>
      <c r="WCM88" s="21"/>
      <c r="WCN88" s="21"/>
      <c r="WCO88" s="21"/>
      <c r="WCP88" s="21"/>
      <c r="WCQ88" s="21"/>
      <c r="WCR88" s="21"/>
      <c r="WCS88" s="21"/>
      <c r="WCT88" s="21"/>
      <c r="WCU88" s="21"/>
      <c r="WCV88" s="21"/>
      <c r="WCW88" s="21"/>
      <c r="WCX88" s="21"/>
      <c r="WCY88" s="21"/>
      <c r="WCZ88" s="21"/>
      <c r="WDA88" s="21"/>
      <c r="WDB88" s="21"/>
      <c r="WDC88" s="21"/>
      <c r="WDD88" s="21"/>
      <c r="WDE88" s="21"/>
      <c r="WDF88" s="21"/>
      <c r="WDG88" s="21"/>
      <c r="WDH88" s="21"/>
      <c r="WDI88" s="21"/>
      <c r="WDJ88" s="21"/>
      <c r="WDK88" s="21"/>
      <c r="WDL88" s="21"/>
      <c r="WDM88" s="21"/>
      <c r="WDN88" s="21"/>
      <c r="WDO88" s="21"/>
      <c r="WDP88" s="21"/>
      <c r="WDQ88" s="21"/>
      <c r="WDR88" s="21"/>
      <c r="WDS88" s="21"/>
      <c r="WDT88" s="21"/>
      <c r="WDU88" s="21"/>
      <c r="WDV88" s="21"/>
      <c r="WDW88" s="21"/>
      <c r="WDX88" s="21"/>
      <c r="WDY88" s="21"/>
      <c r="WDZ88" s="21"/>
      <c r="WEA88" s="21"/>
      <c r="WEB88" s="21"/>
      <c r="WEC88" s="21"/>
      <c r="WED88" s="21"/>
      <c r="WEE88" s="21"/>
      <c r="WEF88" s="21"/>
      <c r="WEG88" s="21"/>
      <c r="WEH88" s="21"/>
      <c r="WEI88" s="21"/>
      <c r="WEJ88" s="21"/>
      <c r="WEK88" s="21"/>
      <c r="WEL88" s="21"/>
      <c r="WEM88" s="21"/>
      <c r="WEN88" s="21"/>
      <c r="WEO88" s="21"/>
      <c r="WEP88" s="21"/>
      <c r="WEQ88" s="21"/>
      <c r="WER88" s="21"/>
      <c r="WES88" s="21"/>
      <c r="WET88" s="21"/>
      <c r="WEU88" s="21"/>
      <c r="WEV88" s="21"/>
      <c r="WEW88" s="21"/>
      <c r="WEX88" s="21"/>
      <c r="WEY88" s="21"/>
      <c r="WEZ88" s="21"/>
      <c r="WFA88" s="21"/>
      <c r="WFB88" s="21"/>
      <c r="WFC88" s="21"/>
      <c r="WFD88" s="21"/>
      <c r="WFE88" s="21"/>
      <c r="WFF88" s="21"/>
      <c r="WFG88" s="21"/>
      <c r="WFH88" s="21"/>
      <c r="WFI88" s="21"/>
      <c r="WFJ88" s="21"/>
      <c r="WFK88" s="21"/>
      <c r="WFL88" s="21"/>
      <c r="WFM88" s="21"/>
      <c r="WFN88" s="21"/>
      <c r="WFO88" s="21"/>
      <c r="WFP88" s="21"/>
      <c r="WFQ88" s="21"/>
      <c r="WFR88" s="21"/>
      <c r="WFS88" s="21"/>
      <c r="WFT88" s="21"/>
      <c r="WFU88" s="21"/>
      <c r="WFV88" s="21"/>
      <c r="WFW88" s="21"/>
      <c r="WFX88" s="21"/>
      <c r="WFY88" s="21"/>
      <c r="WFZ88" s="21"/>
      <c r="WGA88" s="21"/>
      <c r="WGB88" s="21"/>
      <c r="WGC88" s="21"/>
      <c r="WGD88" s="21"/>
      <c r="WGE88" s="21"/>
      <c r="WGF88" s="21"/>
      <c r="WGG88" s="21"/>
      <c r="WGH88" s="21"/>
      <c r="WGI88" s="21"/>
      <c r="WGJ88" s="21"/>
      <c r="WGK88" s="21"/>
      <c r="WGL88" s="21"/>
      <c r="WGM88" s="21"/>
      <c r="WGN88" s="21"/>
      <c r="WGO88" s="21"/>
      <c r="WGP88" s="21"/>
      <c r="WGQ88" s="21"/>
      <c r="WGR88" s="21"/>
      <c r="WGS88" s="21"/>
      <c r="WGT88" s="21"/>
      <c r="WGU88" s="21"/>
      <c r="WGV88" s="21"/>
      <c r="WGW88" s="21"/>
      <c r="WGX88" s="21"/>
      <c r="WGY88" s="21"/>
      <c r="WGZ88" s="21"/>
      <c r="WHA88" s="21"/>
      <c r="WHB88" s="21"/>
      <c r="WHC88" s="21"/>
      <c r="WHD88" s="21"/>
      <c r="WHE88" s="21"/>
      <c r="WHF88" s="21"/>
      <c r="WHG88" s="21"/>
      <c r="WHH88" s="21"/>
      <c r="WHI88" s="21"/>
      <c r="WHJ88" s="21"/>
      <c r="WHK88" s="21"/>
      <c r="WHL88" s="21"/>
      <c r="WHM88" s="21"/>
      <c r="WHN88" s="21"/>
      <c r="WHO88" s="21"/>
      <c r="WHP88" s="21"/>
      <c r="WHQ88" s="21"/>
      <c r="WHR88" s="21"/>
      <c r="WHS88" s="21"/>
      <c r="WHT88" s="21"/>
      <c r="WHU88" s="21"/>
      <c r="WHV88" s="21"/>
      <c r="WHW88" s="21"/>
      <c r="WHX88" s="21"/>
      <c r="WHY88" s="21"/>
      <c r="WHZ88" s="21"/>
      <c r="WIA88" s="21"/>
      <c r="WIB88" s="21"/>
      <c r="WIC88" s="21"/>
      <c r="WID88" s="21"/>
      <c r="WIE88" s="21"/>
      <c r="WIF88" s="21"/>
      <c r="WIG88" s="21"/>
      <c r="WIH88" s="21"/>
      <c r="WII88" s="21"/>
      <c r="WIJ88" s="21"/>
      <c r="WIK88" s="21"/>
      <c r="WIL88" s="21"/>
      <c r="WIM88" s="21"/>
      <c r="WIN88" s="21"/>
      <c r="WIO88" s="21"/>
      <c r="WIP88" s="21"/>
      <c r="WIQ88" s="21"/>
      <c r="WIR88" s="21"/>
      <c r="WIS88" s="21"/>
      <c r="WIT88" s="21"/>
      <c r="WIU88" s="21"/>
      <c r="WIV88" s="21"/>
      <c r="WIW88" s="21"/>
      <c r="WIX88" s="21"/>
      <c r="WIY88" s="21"/>
      <c r="WIZ88" s="21"/>
      <c r="WJA88" s="21"/>
      <c r="WJB88" s="21"/>
      <c r="WJC88" s="21"/>
      <c r="WJD88" s="21"/>
      <c r="WJE88" s="21"/>
      <c r="WJF88" s="21"/>
      <c r="WJG88" s="21"/>
      <c r="WJH88" s="21"/>
      <c r="WJI88" s="21"/>
      <c r="WJJ88" s="21"/>
      <c r="WJK88" s="21"/>
      <c r="WJL88" s="21"/>
      <c r="WJM88" s="21"/>
      <c r="WJN88" s="21"/>
      <c r="WJO88" s="21"/>
      <c r="WJP88" s="21"/>
      <c r="WJQ88" s="21"/>
      <c r="WJR88" s="21"/>
      <c r="WJS88" s="21"/>
      <c r="WJT88" s="21"/>
      <c r="WJU88" s="21"/>
      <c r="WJV88" s="21"/>
      <c r="WJW88" s="21"/>
      <c r="WJX88" s="21"/>
      <c r="WJY88" s="21"/>
      <c r="WJZ88" s="21"/>
      <c r="WKA88" s="21"/>
      <c r="WKB88" s="21"/>
      <c r="WKC88" s="21"/>
      <c r="WKD88" s="21"/>
      <c r="WKE88" s="21"/>
      <c r="WKF88" s="21"/>
      <c r="WKG88" s="21"/>
      <c r="WKH88" s="21"/>
      <c r="WKI88" s="21"/>
      <c r="WKJ88" s="21"/>
      <c r="WKK88" s="21"/>
      <c r="WKL88" s="21"/>
      <c r="WKM88" s="21"/>
      <c r="WKN88" s="21"/>
      <c r="WKO88" s="21"/>
      <c r="WKP88" s="21"/>
      <c r="WKQ88" s="21"/>
      <c r="WKR88" s="21"/>
      <c r="WKS88" s="21"/>
      <c r="WKT88" s="21"/>
      <c r="WKU88" s="21"/>
      <c r="WKV88" s="21"/>
      <c r="WKW88" s="21"/>
      <c r="WKX88" s="21"/>
      <c r="WKY88" s="21"/>
      <c r="WKZ88" s="21"/>
      <c r="WLA88" s="21"/>
      <c r="WLB88" s="21"/>
      <c r="WLC88" s="21"/>
      <c r="WLD88" s="21"/>
      <c r="WLE88" s="21"/>
      <c r="WLF88" s="21"/>
      <c r="WLG88" s="21"/>
      <c r="WLH88" s="21"/>
      <c r="WLI88" s="21"/>
      <c r="WLJ88" s="21"/>
      <c r="WLK88" s="21"/>
      <c r="WLL88" s="21"/>
      <c r="WLM88" s="21"/>
      <c r="WLN88" s="21"/>
      <c r="WLO88" s="21"/>
      <c r="WLP88" s="21"/>
      <c r="WLQ88" s="21"/>
      <c r="WLR88" s="21"/>
      <c r="WLS88" s="21"/>
      <c r="WLT88" s="21"/>
      <c r="WLU88" s="21"/>
      <c r="WLV88" s="21"/>
      <c r="WLW88" s="21"/>
      <c r="WLX88" s="21"/>
      <c r="WLY88" s="21"/>
      <c r="WLZ88" s="21"/>
      <c r="WMA88" s="21"/>
      <c r="WMB88" s="21"/>
      <c r="WMC88" s="21"/>
      <c r="WMD88" s="21"/>
      <c r="WME88" s="21"/>
      <c r="WMF88" s="21"/>
      <c r="WMG88" s="21"/>
      <c r="WMH88" s="21"/>
      <c r="WMI88" s="21"/>
      <c r="WMJ88" s="21"/>
      <c r="WMK88" s="21"/>
      <c r="WML88" s="21"/>
      <c r="WMM88" s="21"/>
      <c r="WMN88" s="21"/>
      <c r="WMO88" s="21"/>
      <c r="WMP88" s="21"/>
      <c r="WMQ88" s="21"/>
      <c r="WMR88" s="21"/>
      <c r="WMS88" s="21"/>
      <c r="WMT88" s="21"/>
      <c r="WMU88" s="21"/>
      <c r="WMV88" s="21"/>
      <c r="WMW88" s="21"/>
      <c r="WMX88" s="21"/>
      <c r="WMY88" s="21"/>
      <c r="WMZ88" s="21"/>
      <c r="WNA88" s="21"/>
      <c r="WNB88" s="21"/>
      <c r="WNC88" s="21"/>
      <c r="WND88" s="21"/>
      <c r="WNE88" s="21"/>
      <c r="WNF88" s="21"/>
      <c r="WNG88" s="21"/>
      <c r="WNH88" s="21"/>
      <c r="WNI88" s="21"/>
      <c r="WNJ88" s="21"/>
      <c r="WNK88" s="21"/>
      <c r="WNL88" s="21"/>
      <c r="WNM88" s="21"/>
      <c r="WNN88" s="21"/>
      <c r="WNO88" s="21"/>
      <c r="WNP88" s="21"/>
      <c r="WNQ88" s="21"/>
      <c r="WNR88" s="21"/>
      <c r="WNS88" s="21"/>
      <c r="WNT88" s="21"/>
      <c r="WNU88" s="21"/>
      <c r="WNV88" s="21"/>
      <c r="WNW88" s="21"/>
      <c r="WNX88" s="21"/>
      <c r="WNY88" s="21"/>
      <c r="WNZ88" s="21"/>
      <c r="WOA88" s="21"/>
      <c r="WOB88" s="21"/>
      <c r="WOC88" s="21"/>
      <c r="WOD88" s="21"/>
      <c r="WOE88" s="21"/>
      <c r="WOF88" s="21"/>
      <c r="WOG88" s="21"/>
      <c r="WOH88" s="21"/>
      <c r="WOI88" s="21"/>
      <c r="WOJ88" s="21"/>
      <c r="WOK88" s="21"/>
      <c r="WOL88" s="21"/>
      <c r="WOM88" s="21"/>
      <c r="WON88" s="21"/>
      <c r="WOO88" s="21"/>
      <c r="WOP88" s="21"/>
      <c r="WOQ88" s="21"/>
      <c r="WOR88" s="21"/>
      <c r="WOS88" s="21"/>
      <c r="WOT88" s="21"/>
      <c r="WOU88" s="21"/>
      <c r="WOV88" s="21"/>
      <c r="WOW88" s="21"/>
      <c r="WOX88" s="21"/>
      <c r="WOY88" s="21"/>
      <c r="WOZ88" s="21"/>
      <c r="WPA88" s="21"/>
      <c r="WPB88" s="21"/>
      <c r="WPC88" s="21"/>
      <c r="WPD88" s="21"/>
      <c r="WPE88" s="21"/>
      <c r="WPF88" s="21"/>
      <c r="WPG88" s="21"/>
      <c r="WPH88" s="21"/>
      <c r="WPI88" s="21"/>
      <c r="WPJ88" s="21"/>
      <c r="WPK88" s="21"/>
      <c r="WPL88" s="21"/>
      <c r="WPM88" s="21"/>
      <c r="WPN88" s="21"/>
      <c r="WPO88" s="21"/>
      <c r="WPP88" s="21"/>
      <c r="WPQ88" s="21"/>
      <c r="WPR88" s="21"/>
      <c r="WPS88" s="21"/>
      <c r="WPT88" s="21"/>
      <c r="WPU88" s="21"/>
      <c r="WPV88" s="21"/>
      <c r="WPW88" s="21"/>
      <c r="WPX88" s="21"/>
      <c r="WPY88" s="21"/>
      <c r="WPZ88" s="21"/>
      <c r="WQA88" s="21"/>
      <c r="WQB88" s="21"/>
      <c r="WQC88" s="21"/>
      <c r="WQD88" s="21"/>
      <c r="WQE88" s="21"/>
      <c r="WQF88" s="21"/>
      <c r="WQG88" s="21"/>
      <c r="WQH88" s="21"/>
      <c r="WQI88" s="21"/>
      <c r="WQJ88" s="21"/>
      <c r="WQK88" s="21"/>
      <c r="WQL88" s="21"/>
      <c r="WQM88" s="21"/>
      <c r="WQN88" s="21"/>
      <c r="WQO88" s="21"/>
      <c r="WQP88" s="21"/>
      <c r="WQQ88" s="21"/>
      <c r="WQR88" s="21"/>
      <c r="WQS88" s="21"/>
      <c r="WQT88" s="21"/>
      <c r="WQU88" s="21"/>
      <c r="WQV88" s="21"/>
      <c r="WQW88" s="21"/>
      <c r="WQX88" s="21"/>
      <c r="WQY88" s="21"/>
      <c r="WQZ88" s="21"/>
      <c r="WRA88" s="21"/>
      <c r="WRB88" s="21"/>
      <c r="WRC88" s="21"/>
      <c r="WRD88" s="21"/>
      <c r="WRE88" s="21"/>
      <c r="WRF88" s="21"/>
      <c r="WRG88" s="21"/>
      <c r="WRH88" s="21"/>
      <c r="WRI88" s="21"/>
      <c r="WRJ88" s="21"/>
      <c r="WRK88" s="21"/>
      <c r="WRL88" s="21"/>
      <c r="WRM88" s="21"/>
      <c r="WRN88" s="21"/>
      <c r="WRO88" s="21"/>
      <c r="WRP88" s="21"/>
      <c r="WRQ88" s="21"/>
      <c r="WRR88" s="21"/>
      <c r="WRS88" s="21"/>
      <c r="WRT88" s="21"/>
      <c r="WRU88" s="21"/>
      <c r="WRV88" s="21"/>
      <c r="WRW88" s="21"/>
      <c r="WRX88" s="21"/>
      <c r="WRY88" s="21"/>
      <c r="WRZ88" s="21"/>
      <c r="WSA88" s="21"/>
      <c r="WSB88" s="21"/>
      <c r="WSC88" s="21"/>
      <c r="WSD88" s="21"/>
      <c r="WSE88" s="21"/>
      <c r="WSF88" s="21"/>
      <c r="WSG88" s="21"/>
      <c r="WSH88" s="21"/>
      <c r="WSI88" s="21"/>
      <c r="WSJ88" s="21"/>
      <c r="WSK88" s="21"/>
      <c r="WSL88" s="21"/>
      <c r="WSM88" s="21"/>
      <c r="WSN88" s="21"/>
      <c r="WSO88" s="21"/>
      <c r="WSP88" s="21"/>
      <c r="WSQ88" s="21"/>
      <c r="WSR88" s="21"/>
      <c r="WSS88" s="21"/>
      <c r="WST88" s="21"/>
      <c r="WSU88" s="21"/>
      <c r="WSV88" s="21"/>
      <c r="WSW88" s="21"/>
      <c r="WSX88" s="21"/>
      <c r="WSY88" s="21"/>
      <c r="WSZ88" s="21"/>
      <c r="WTA88" s="21"/>
      <c r="WTB88" s="21"/>
      <c r="WTC88" s="21"/>
      <c r="WTD88" s="21"/>
      <c r="WTE88" s="21"/>
      <c r="WTF88" s="21"/>
      <c r="WTG88" s="21"/>
      <c r="WTH88" s="21"/>
      <c r="WTI88" s="21"/>
      <c r="WTJ88" s="21"/>
      <c r="WTK88" s="21"/>
      <c r="WTL88" s="21"/>
      <c r="WTM88" s="21"/>
      <c r="WTN88" s="21"/>
      <c r="WTO88" s="21"/>
      <c r="WTP88" s="21"/>
      <c r="WTQ88" s="21"/>
      <c r="WTR88" s="21"/>
      <c r="WTS88" s="21"/>
      <c r="WTT88" s="21"/>
      <c r="WTU88" s="21"/>
      <c r="WTV88" s="21"/>
      <c r="WTW88" s="21"/>
      <c r="WTX88" s="21"/>
      <c r="WTY88" s="21"/>
      <c r="WTZ88" s="21"/>
      <c r="WUA88" s="21"/>
      <c r="WUB88" s="21"/>
      <c r="WUC88" s="21"/>
      <c r="WUD88" s="21"/>
      <c r="WUE88" s="21"/>
      <c r="WUF88" s="21"/>
      <c r="WUG88" s="21"/>
      <c r="WUH88" s="21"/>
      <c r="WUI88" s="21"/>
      <c r="WUJ88" s="21"/>
      <c r="WUK88" s="21"/>
      <c r="WUL88" s="21"/>
      <c r="WUM88" s="21"/>
      <c r="WUN88" s="21"/>
      <c r="WUO88" s="21"/>
      <c r="WUP88" s="21"/>
      <c r="WUQ88" s="21"/>
      <c r="WUR88" s="21"/>
      <c r="WUS88" s="21"/>
      <c r="WUT88" s="21"/>
      <c r="WUU88" s="21"/>
      <c r="WUV88" s="21"/>
      <c r="WUW88" s="21"/>
      <c r="WUX88" s="21"/>
      <c r="WUY88" s="21"/>
      <c r="WUZ88" s="21"/>
      <c r="WVA88" s="21"/>
      <c r="WVB88" s="21"/>
      <c r="WVC88" s="21"/>
      <c r="WVD88" s="21"/>
      <c r="WVE88" s="21"/>
      <c r="WVF88" s="21"/>
      <c r="WVG88" s="21"/>
      <c r="WVH88" s="21"/>
      <c r="WVI88" s="21"/>
      <c r="WVJ88" s="21"/>
      <c r="WVK88" s="21"/>
      <c r="WVL88" s="21"/>
      <c r="WVM88" s="21"/>
      <c r="WVN88" s="21"/>
      <c r="WVO88" s="21"/>
      <c r="WVP88" s="21"/>
      <c r="WVQ88" s="21"/>
      <c r="WVR88" s="21"/>
      <c r="WVS88" s="21"/>
      <c r="WVT88" s="21"/>
      <c r="WVU88" s="21"/>
      <c r="WVV88" s="21"/>
      <c r="WVW88" s="21"/>
      <c r="WVX88" s="21"/>
      <c r="WVY88" s="21"/>
      <c r="WVZ88" s="21"/>
      <c r="WWA88" s="21"/>
      <c r="WWB88" s="21"/>
      <c r="WWC88" s="21"/>
      <c r="WWD88" s="21"/>
      <c r="WWE88" s="21"/>
      <c r="WWF88" s="21"/>
      <c r="WWG88" s="21"/>
      <c r="WWH88" s="21"/>
      <c r="WWI88" s="21"/>
      <c r="WWJ88" s="21"/>
      <c r="WWK88" s="21"/>
      <c r="WWL88" s="21"/>
      <c r="WWM88" s="21"/>
      <c r="WWN88" s="21"/>
      <c r="WWO88" s="21"/>
      <c r="WWP88" s="21"/>
      <c r="WWQ88" s="21"/>
      <c r="WWR88" s="21"/>
      <c r="WWS88" s="21"/>
      <c r="WWT88" s="21"/>
      <c r="WWU88" s="21"/>
      <c r="WWV88" s="21"/>
      <c r="WWW88" s="21"/>
      <c r="WWX88" s="21"/>
      <c r="WWY88" s="21"/>
      <c r="WWZ88" s="21"/>
      <c r="WXA88" s="21"/>
      <c r="WXB88" s="21"/>
      <c r="WXC88" s="21"/>
      <c r="WXD88" s="21"/>
      <c r="WXE88" s="21"/>
      <c r="WXF88" s="21"/>
      <c r="WXG88" s="21"/>
      <c r="WXH88" s="21"/>
      <c r="WXI88" s="21"/>
      <c r="WXJ88" s="21"/>
      <c r="WXK88" s="21"/>
      <c r="WXL88" s="21"/>
      <c r="WXM88" s="21"/>
      <c r="WXN88" s="21"/>
      <c r="WXO88" s="21"/>
      <c r="WXP88" s="21"/>
      <c r="WXQ88" s="21"/>
      <c r="WXR88" s="21"/>
      <c r="WXS88" s="21"/>
      <c r="WXT88" s="21"/>
      <c r="WXU88" s="21"/>
      <c r="WXV88" s="21"/>
      <c r="WXW88" s="21"/>
      <c r="WXX88" s="21"/>
      <c r="WXY88" s="21"/>
      <c r="WXZ88" s="21"/>
      <c r="WYA88" s="21"/>
      <c r="WYB88" s="21"/>
      <c r="WYC88" s="21"/>
      <c r="WYD88" s="21"/>
      <c r="WYE88" s="21"/>
      <c r="WYF88" s="21"/>
      <c r="WYG88" s="21"/>
      <c r="WYH88" s="21"/>
      <c r="WYI88" s="21"/>
      <c r="WYJ88" s="21"/>
      <c r="WYK88" s="21"/>
      <c r="WYL88" s="21"/>
      <c r="WYM88" s="21"/>
      <c r="WYN88" s="21"/>
      <c r="WYO88" s="21"/>
      <c r="WYP88" s="21"/>
      <c r="WYQ88" s="21"/>
      <c r="WYR88" s="21"/>
      <c r="WYS88" s="21"/>
      <c r="WYT88" s="21"/>
      <c r="WYU88" s="21"/>
      <c r="WYV88" s="21"/>
      <c r="WYW88" s="21"/>
      <c r="WYX88" s="21"/>
      <c r="WYY88" s="21"/>
      <c r="WYZ88" s="21"/>
      <c r="WZA88" s="21"/>
      <c r="WZB88" s="21"/>
      <c r="WZC88" s="21"/>
      <c r="WZD88" s="21"/>
      <c r="WZE88" s="21"/>
      <c r="WZF88" s="21"/>
      <c r="WZG88" s="21"/>
      <c r="WZH88" s="21"/>
      <c r="WZI88" s="21"/>
      <c r="WZJ88" s="21"/>
      <c r="WZK88" s="21"/>
      <c r="WZL88" s="21"/>
      <c r="WZM88" s="21"/>
      <c r="WZN88" s="21"/>
      <c r="WZO88" s="21"/>
      <c r="WZP88" s="21"/>
      <c r="WZQ88" s="21"/>
      <c r="WZR88" s="21"/>
      <c r="WZS88" s="21"/>
      <c r="WZT88" s="21"/>
      <c r="WZU88" s="21"/>
      <c r="WZV88" s="21"/>
      <c r="WZW88" s="21"/>
      <c r="WZX88" s="21"/>
      <c r="WZY88" s="21"/>
      <c r="WZZ88" s="21"/>
      <c r="XAA88" s="21"/>
      <c r="XAB88" s="21"/>
      <c r="XAC88" s="21"/>
      <c r="XAD88" s="21"/>
      <c r="XAE88" s="21"/>
      <c r="XAF88" s="21"/>
      <c r="XAG88" s="21"/>
      <c r="XAH88" s="21"/>
      <c r="XAI88" s="21"/>
      <c r="XAJ88" s="21"/>
      <c r="XAK88" s="21"/>
      <c r="XAL88" s="21"/>
      <c r="XAM88" s="21"/>
      <c r="XAN88" s="21"/>
      <c r="XAO88" s="21"/>
      <c r="XAP88" s="21"/>
      <c r="XAQ88" s="21"/>
      <c r="XAR88" s="21"/>
      <c r="XAS88" s="21"/>
      <c r="XAT88" s="21"/>
      <c r="XAU88" s="21"/>
      <c r="XAV88" s="21"/>
      <c r="XAW88" s="21"/>
      <c r="XAX88" s="21"/>
      <c r="XAY88" s="21"/>
      <c r="XAZ88" s="21"/>
      <c r="XBA88" s="21"/>
      <c r="XBB88" s="21"/>
      <c r="XBC88" s="21"/>
      <c r="XBD88" s="21"/>
      <c r="XBE88" s="21"/>
      <c r="XBF88" s="21"/>
      <c r="XBG88" s="21"/>
      <c r="XBH88" s="21"/>
      <c r="XBI88" s="21"/>
      <c r="XBJ88" s="21"/>
      <c r="XBK88" s="21"/>
      <c r="XBL88" s="21"/>
      <c r="XBM88" s="21"/>
      <c r="XBN88" s="21"/>
      <c r="XBO88" s="21"/>
      <c r="XBP88" s="21"/>
      <c r="XBQ88" s="21"/>
      <c r="XBR88" s="21"/>
      <c r="XBS88" s="21"/>
      <c r="XBT88" s="21"/>
      <c r="XBU88" s="21"/>
      <c r="XBV88" s="21"/>
      <c r="XBW88" s="21"/>
      <c r="XBX88" s="21"/>
      <c r="XBY88" s="21"/>
      <c r="XBZ88" s="21"/>
      <c r="XCA88" s="21"/>
      <c r="XCB88" s="21"/>
      <c r="XCC88" s="21"/>
      <c r="XCD88" s="21"/>
      <c r="XCE88" s="21"/>
      <c r="XCF88" s="21"/>
      <c r="XCG88" s="21"/>
      <c r="XCH88" s="21"/>
      <c r="XCI88" s="21"/>
      <c r="XCJ88" s="21"/>
      <c r="XCK88" s="21"/>
      <c r="XCL88" s="21"/>
      <c r="XCM88" s="21"/>
      <c r="XCN88" s="21"/>
      <c r="XCO88" s="21"/>
      <c r="XCP88" s="21"/>
      <c r="XCQ88" s="21"/>
      <c r="XCR88" s="21"/>
      <c r="XCS88" s="21"/>
      <c r="XCT88" s="21"/>
      <c r="XCU88" s="21"/>
      <c r="XCV88" s="21"/>
      <c r="XCW88" s="21"/>
      <c r="XCX88" s="21"/>
      <c r="XCY88" s="21"/>
      <c r="XCZ88" s="21"/>
      <c r="XDA88" s="21"/>
      <c r="XDB88" s="21"/>
      <c r="XDC88" s="21"/>
      <c r="XDD88" s="21"/>
      <c r="XDE88" s="21"/>
      <c r="XDF88" s="21"/>
      <c r="XDG88" s="21"/>
      <c r="XDH88" s="21"/>
      <c r="XDI88" s="21"/>
      <c r="XDJ88" s="21"/>
      <c r="XDK88" s="21"/>
      <c r="XDL88" s="21"/>
      <c r="XDM88" s="21"/>
      <c r="XDN88" s="21"/>
      <c r="XDO88" s="21"/>
      <c r="XDP88" s="21"/>
      <c r="XDQ88" s="21"/>
      <c r="XDR88" s="21"/>
      <c r="XDS88" s="21"/>
      <c r="XDT88" s="21"/>
      <c r="XDU88" s="21"/>
      <c r="XDV88" s="21"/>
      <c r="XDW88" s="21"/>
      <c r="XDX88" s="21"/>
      <c r="XDY88" s="21"/>
      <c r="XDZ88" s="21"/>
      <c r="XEA88" s="21"/>
      <c r="XEB88" s="21"/>
      <c r="XEC88" s="21"/>
      <c r="XED88" s="21"/>
      <c r="XEE88" s="21"/>
      <c r="XEF88" s="21"/>
      <c r="XEG88" s="21"/>
      <c r="XEH88" s="21"/>
      <c r="XEI88" s="21"/>
      <c r="XEJ88" s="21"/>
      <c r="XEK88" s="21"/>
      <c r="XEL88" s="21"/>
      <c r="XEM88" s="21"/>
      <c r="XEN88" s="21"/>
      <c r="XEO88" s="21"/>
      <c r="XEP88" s="21"/>
      <c r="XEQ88" s="21"/>
      <c r="XER88" s="21"/>
      <c r="XES88" s="21"/>
      <c r="XET88" s="21"/>
      <c r="XEU88" s="21"/>
      <c r="XEV88" s="21"/>
      <c r="XEW88" s="21"/>
      <c r="XEX88" s="21"/>
      <c r="XEY88" s="21"/>
      <c r="XEZ88" s="21"/>
      <c r="XFA88" s="21"/>
      <c r="XFB88" s="21"/>
      <c r="XFC88" s="21"/>
      <c r="XFD88" s="21"/>
    </row>
    <row r="89" spans="2:16384" ht="17" thickTop="1">
      <c r="B89" s="30"/>
      <c r="C89" s="28"/>
      <c r="D89" s="31"/>
      <c r="E89" s="31"/>
      <c r="F89" s="24"/>
      <c r="G89" s="24"/>
      <c r="H89" s="24"/>
      <c r="I89" s="24"/>
      <c r="J89" s="24"/>
      <c r="K89" s="25"/>
      <c r="L89" s="25"/>
    </row>
    <row r="91" spans="2:16384">
      <c r="B91" s="237" t="s">
        <v>172</v>
      </c>
      <c r="C91" s="238"/>
      <c r="H91" s="1" t="s">
        <v>124</v>
      </c>
      <c r="I91" s="1"/>
    </row>
    <row r="92" spans="2:16384">
      <c r="H92" t="s">
        <v>125</v>
      </c>
      <c r="I92" s="6">
        <f ca="1">OFFSET($E$73,0,Years_Forecasted)</f>
        <v>8230.0406107419676</v>
      </c>
    </row>
    <row r="93" spans="2:16384">
      <c r="B93" t="s">
        <v>9</v>
      </c>
      <c r="C93" s="6">
        <f ca="1">SUM(F78:O78)</f>
        <v>17719.9118537422</v>
      </c>
      <c r="H93" t="s">
        <v>126</v>
      </c>
      <c r="I93" s="13">
        <f>Perpetuity_Growth_Rate</f>
        <v>1.4999999999999999E-2</v>
      </c>
    </row>
    <row r="94" spans="2:16384" ht="16" customHeight="1">
      <c r="B94" t="s">
        <v>135</v>
      </c>
      <c r="C94" s="6">
        <f ca="1">I95</f>
        <v>144073.57029985753</v>
      </c>
      <c r="H94" t="s">
        <v>127</v>
      </c>
      <c r="I94" s="6">
        <f ca="1">$I$92*(1+$I$93)/(WACC-$I$93)</f>
        <v>173171.38893127366</v>
      </c>
    </row>
    <row r="95" spans="2:16384">
      <c r="B95" s="14" t="s">
        <v>129</v>
      </c>
      <c r="C95" s="15">
        <f ca="1">SUM(C93:C94)</f>
        <v>161793.48215359973</v>
      </c>
      <c r="H95" s="14" t="s">
        <v>136</v>
      </c>
      <c r="I95" s="15">
        <f ca="1">$I$94/((1+WACC)^Years_Forecasted)</f>
        <v>144073.57029985753</v>
      </c>
    </row>
    <row r="96" spans="2:16384">
      <c r="B96" t="s">
        <v>130</v>
      </c>
      <c r="C96" s="6">
        <f>-'Balance Sheet Historic'!C62</f>
        <v>-9573</v>
      </c>
    </row>
    <row r="97" spans="2:22">
      <c r="B97" t="s">
        <v>131</v>
      </c>
      <c r="C97" s="6">
        <f>'Balance Sheet Historic'!C53</f>
        <v>28352</v>
      </c>
    </row>
    <row r="98" spans="2:22">
      <c r="B98" t="s">
        <v>132</v>
      </c>
      <c r="C98" s="6">
        <f>'Balance Sheet Historic'!C58</f>
        <v>-3805</v>
      </c>
    </row>
    <row r="99" spans="2:22">
      <c r="B99" s="14" t="s">
        <v>133</v>
      </c>
      <c r="C99" s="15">
        <f ca="1">SUM(C95:C98)</f>
        <v>176767.48215359973</v>
      </c>
      <c r="L99" s="3"/>
    </row>
    <row r="100" spans="2:22" ht="24" customHeight="1">
      <c r="B100" t="s">
        <v>203</v>
      </c>
      <c r="C100" s="6">
        <f>Shares_Outstanding / 1000000</f>
        <v>15171.99</v>
      </c>
    </row>
    <row r="101" spans="2:22">
      <c r="B101" s="14" t="s">
        <v>134</v>
      </c>
      <c r="C101" s="298">
        <f ca="1">C99/C100</f>
        <v>11.650909482118017</v>
      </c>
    </row>
    <row r="103" spans="2:22">
      <c r="B103" s="1" t="s">
        <v>260</v>
      </c>
      <c r="C103" s="287">
        <f ca="1">$C$95/EBITDA_FY0</f>
        <v>10.934947428602307</v>
      </c>
    </row>
    <row r="104" spans="2:22">
      <c r="B104" s="286" t="s">
        <v>261</v>
      </c>
      <c r="C104" s="288">
        <f ca="1">$C$95/Revenue_FY0</f>
        <v>1.6718866021886243</v>
      </c>
    </row>
    <row r="107" spans="2:22">
      <c r="B107" s="227" t="s">
        <v>120</v>
      </c>
      <c r="C107" s="227"/>
      <c r="D107" s="227"/>
      <c r="E107" s="227"/>
      <c r="F107" s="227"/>
      <c r="G107" s="227"/>
      <c r="H107" s="227"/>
      <c r="I107" s="8"/>
      <c r="J107" s="9"/>
      <c r="K107" s="10" t="s">
        <v>121</v>
      </c>
    </row>
    <row r="108" spans="2:22">
      <c r="B108" s="305" t="s">
        <v>110</v>
      </c>
      <c r="C108" s="306" t="s">
        <v>122</v>
      </c>
      <c r="D108" s="306"/>
      <c r="E108" s="306"/>
      <c r="F108" s="306"/>
      <c r="G108" s="306"/>
      <c r="H108" s="306"/>
      <c r="I108" s="8"/>
      <c r="J108" s="11" t="s">
        <v>123</v>
      </c>
      <c r="K108" s="16">
        <v>2.5000000000000001E-3</v>
      </c>
      <c r="O108" s="308" t="s">
        <v>282</v>
      </c>
      <c r="P108" s="308"/>
      <c r="Q108" s="308"/>
      <c r="R108" s="308"/>
    </row>
    <row r="109" spans="2:22" ht="17" thickBot="1">
      <c r="B109" s="305"/>
      <c r="C109" s="299">
        <f ca="1">$C$101</f>
        <v>11.650909482118017</v>
      </c>
      <c r="D109" s="229">
        <f>E109-$K$108</f>
        <v>9.9999999999999985E-3</v>
      </c>
      <c r="E109" s="229">
        <f>F109-$K$108</f>
        <v>1.2499999999999999E-2</v>
      </c>
      <c r="F109" s="230">
        <f>Perpetuity_Growth_Rate</f>
        <v>1.4999999999999999E-2</v>
      </c>
      <c r="G109" s="229">
        <f>F109+$K$108</f>
        <v>1.7499999999999998E-2</v>
      </c>
      <c r="H109" s="229">
        <f>G109+$K$108</f>
        <v>1.9999999999999997E-2</v>
      </c>
      <c r="I109" s="8"/>
      <c r="O109" s="25"/>
      <c r="P109" s="264" t="s">
        <v>223</v>
      </c>
      <c r="Q109" s="264" t="s">
        <v>234</v>
      </c>
      <c r="R109" s="264" t="s">
        <v>224</v>
      </c>
      <c r="T109" s="265" t="s">
        <v>231</v>
      </c>
      <c r="U109" s="265" t="s">
        <v>232</v>
      </c>
      <c r="V109" s="265" t="s">
        <v>233</v>
      </c>
    </row>
    <row r="110" spans="2:22">
      <c r="B110" s="305"/>
      <c r="C110" s="229">
        <f>C111-$K$110</f>
        <v>5.823828734906282E-2</v>
      </c>
      <c r="D110" s="300">
        <f t="dataTable" ref="D110:H114" dt2D="1" dtr="1" r1="I93" r2="E56" ca="1"/>
        <v>11.750365923122569</v>
      </c>
      <c r="E110" s="301">
        <v>12.299224834060901</v>
      </c>
      <c r="F110" s="302">
        <v>12.911552830454372</v>
      </c>
      <c r="G110" s="301">
        <v>13.599034697596851</v>
      </c>
      <c r="H110" s="301">
        <v>14.37641100233099</v>
      </c>
      <c r="I110" s="8"/>
      <c r="J110" s="11" t="s">
        <v>110</v>
      </c>
      <c r="K110" s="16">
        <v>2.5000000000000001E-3</v>
      </c>
      <c r="O110" s="266" t="s">
        <v>279</v>
      </c>
      <c r="P110" s="314">
        <f>MIN(D109:H109)</f>
        <v>9.9999999999999985E-3</v>
      </c>
      <c r="Q110" s="318">
        <f>I93</f>
        <v>1.4999999999999999E-2</v>
      </c>
      <c r="R110" s="316">
        <f>MAX(D109:H109)</f>
        <v>1.9999999999999997E-2</v>
      </c>
      <c r="T110" s="321">
        <f>P110</f>
        <v>9.9999999999999985E-3</v>
      </c>
      <c r="U110" s="322">
        <f>Q110-P110</f>
        <v>5.000000000000001E-3</v>
      </c>
      <c r="V110" s="321">
        <f>R110-Q110</f>
        <v>4.9999999999999975E-3</v>
      </c>
    </row>
    <row r="111" spans="2:22">
      <c r="B111" s="305"/>
      <c r="C111" s="229">
        <f>C112-$K$110</f>
        <v>6.0738287349062822E-2</v>
      </c>
      <c r="D111" s="303">
        <v>11.208020607872035</v>
      </c>
      <c r="E111" s="304">
        <v>11.700462810523559</v>
      </c>
      <c r="F111" s="304">
        <v>12.246737615049016</v>
      </c>
      <c r="G111" s="304">
        <v>12.856182683479174</v>
      </c>
      <c r="H111" s="302">
        <v>13.540427787464102</v>
      </c>
      <c r="I111" s="8"/>
      <c r="J111" s="8"/>
      <c r="K111" s="8"/>
      <c r="O111" s="266" t="s">
        <v>280</v>
      </c>
      <c r="P111" s="315">
        <f>MIN(D175:H179)</f>
        <v>5.6857749266675146E-2</v>
      </c>
      <c r="Q111" s="319">
        <f>F177</f>
        <v>6.1914781924112899E-2</v>
      </c>
      <c r="R111" s="317">
        <f>MAX(D175:H179)</f>
        <v>6.6967289275178879E-2</v>
      </c>
      <c r="T111" s="321">
        <f t="shared" ref="T111" si="35">P111</f>
        <v>5.6857749266675146E-2</v>
      </c>
      <c r="U111" s="322">
        <f t="shared" ref="U111:V112" si="36">Q111-P111</f>
        <v>5.057032657437753E-3</v>
      </c>
      <c r="V111" s="321">
        <f t="shared" si="36"/>
        <v>5.0525073510659796E-3</v>
      </c>
    </row>
    <row r="112" spans="2:22">
      <c r="B112" s="305"/>
      <c r="C112" s="236">
        <f>$E$45*$E$53+$E$52*$E$49</f>
        <v>6.3238287349062824E-2</v>
      </c>
      <c r="D112" s="302">
        <v>10.716682805850986</v>
      </c>
      <c r="E112" s="304">
        <v>11.160780322868984</v>
      </c>
      <c r="F112" s="304">
        <v>11.650909482118017</v>
      </c>
      <c r="G112" s="304">
        <v>12.194618386877469</v>
      </c>
      <c r="H112" s="302">
        <v>12.801200839375994</v>
      </c>
      <c r="I112" s="8"/>
      <c r="J112" s="12"/>
      <c r="K112" s="8"/>
      <c r="O112" s="266" t="s">
        <v>281</v>
      </c>
      <c r="P112" s="315">
        <f>MIN(D228:H232)</f>
        <v>5.6914781924112895E-2</v>
      </c>
      <c r="Q112" s="319">
        <f>F230</f>
        <v>6.1914781924112899E-2</v>
      </c>
      <c r="R112" s="317">
        <f>MAX(D228:H232)</f>
        <v>6.6914781924112904E-2</v>
      </c>
      <c r="T112" s="321">
        <f>P112</f>
        <v>5.6914781924112895E-2</v>
      </c>
      <c r="U112" s="322">
        <f t="shared" si="36"/>
        <v>5.0000000000000044E-3</v>
      </c>
      <c r="V112" s="321">
        <f t="shared" si="36"/>
        <v>5.0000000000000044E-3</v>
      </c>
    </row>
    <row r="113" spans="2:11">
      <c r="B113" s="305"/>
      <c r="C113" s="229">
        <f>C112+$K$110</f>
        <v>6.5738287349062827E-2</v>
      </c>
      <c r="D113" s="303">
        <v>10.269488473619571</v>
      </c>
      <c r="E113" s="304">
        <v>10.671853853421338</v>
      </c>
      <c r="F113" s="304">
        <v>11.113870293677078</v>
      </c>
      <c r="G113" s="304">
        <v>11.601702668177877</v>
      </c>
      <c r="H113" s="302">
        <v>12.142863709182709</v>
      </c>
      <c r="I113" s="8"/>
      <c r="J113" s="8"/>
      <c r="K113" s="8"/>
    </row>
    <row r="114" spans="2:11">
      <c r="B114" s="305"/>
      <c r="C114" s="229">
        <f>C113+$K$110</f>
        <v>6.8238287349062829E-2</v>
      </c>
      <c r="D114" s="303">
        <v>9.8607521877802</v>
      </c>
      <c r="E114" s="302">
        <v>10.226853212607313</v>
      </c>
      <c r="F114" s="302">
        <v>10.627337483314099</v>
      </c>
      <c r="G114" s="302">
        <v>11.067287440746925</v>
      </c>
      <c r="H114" s="302">
        <v>11.55283913713135</v>
      </c>
      <c r="I114" s="8"/>
      <c r="J114" s="8"/>
      <c r="K114" s="8"/>
    </row>
    <row r="118" spans="2:11">
      <c r="B118" s="227" t="s">
        <v>260</v>
      </c>
      <c r="C118" s="227"/>
      <c r="D118" s="227"/>
      <c r="E118" s="227"/>
      <c r="F118" s="227"/>
      <c r="G118" s="227"/>
      <c r="H118" s="227"/>
    </row>
    <row r="119" spans="2:11">
      <c r="B119" s="305" t="s">
        <v>110</v>
      </c>
      <c r="C119" s="306" t="s">
        <v>264</v>
      </c>
      <c r="D119" s="306"/>
      <c r="E119" s="306"/>
      <c r="F119" s="306"/>
      <c r="G119" s="306"/>
      <c r="H119" s="306"/>
    </row>
    <row r="120" spans="2:11" ht="17" thickBot="1">
      <c r="B120" s="305"/>
      <c r="C120" s="228">
        <f ca="1">$C$103</f>
        <v>10.934947428602307</v>
      </c>
      <c r="D120" s="229">
        <f>E120-$K$108</f>
        <v>9.9999999999999985E-3</v>
      </c>
      <c r="E120" s="229">
        <f>F120-$K$108</f>
        <v>1.2499999999999999E-2</v>
      </c>
      <c r="F120" s="230">
        <f>Perpetuity_Growth_Rate</f>
        <v>1.4999999999999999E-2</v>
      </c>
      <c r="G120" s="229">
        <f>F120+$K$108</f>
        <v>1.7499999999999998E-2</v>
      </c>
      <c r="H120" s="229">
        <f>G120+$K$108</f>
        <v>1.9999999999999997E-2</v>
      </c>
    </row>
    <row r="121" spans="2:11">
      <c r="B121" s="305"/>
      <c r="C121" s="229">
        <f>C122-$K$110</f>
        <v>5.823828734906282E-2</v>
      </c>
      <c r="D121" s="231">
        <f t="dataTable" ref="D121:H125" dt2D="1" dtr="1" r1="I93" r2="E56" ca="1"/>
        <v>11.036931216677235</v>
      </c>
      <c r="E121" s="232">
        <v>11.599737509470373</v>
      </c>
      <c r="F121" s="233">
        <v>12.22762573858647</v>
      </c>
      <c r="G121" s="232">
        <v>12.932577618382837</v>
      </c>
      <c r="H121" s="232">
        <v>13.729708297057025</v>
      </c>
    </row>
    <row r="122" spans="2:11">
      <c r="B122" s="305"/>
      <c r="C122" s="229">
        <f>C123-$K$110</f>
        <v>6.0738287349062822E-2</v>
      </c>
      <c r="D122" s="234">
        <v>10.480804040445285</v>
      </c>
      <c r="E122" s="235">
        <v>10.985759986255429</v>
      </c>
      <c r="F122" s="235">
        <v>11.545916506363039</v>
      </c>
      <c r="G122" s="235">
        <v>12.170848547710136</v>
      </c>
      <c r="H122" s="233">
        <v>12.872481413025648</v>
      </c>
    </row>
    <row r="123" spans="2:11">
      <c r="B123" s="305"/>
      <c r="C123" s="236">
        <f>$E$45*$E$53+$E$52*$E$49</f>
        <v>6.3238287349062824E-2</v>
      </c>
      <c r="D123" s="233">
        <v>9.9769805598501708</v>
      </c>
      <c r="E123" s="235">
        <v>10.432363304323127</v>
      </c>
      <c r="F123" s="235">
        <v>10.934947428602307</v>
      </c>
      <c r="G123" s="235">
        <v>11.492472845331244</v>
      </c>
      <c r="H123" s="233">
        <v>12.114469527102202</v>
      </c>
    </row>
    <row r="124" spans="2:11">
      <c r="B124" s="305"/>
      <c r="C124" s="229">
        <f>C123+$K$110</f>
        <v>6.5738287349062827E-2</v>
      </c>
      <c r="D124" s="234">
        <v>9.5184223051413479</v>
      </c>
      <c r="E124" s="235">
        <v>9.9310124321147608</v>
      </c>
      <c r="F124" s="235">
        <v>10.384261216339937</v>
      </c>
      <c r="G124" s="235">
        <v>10.88449019090079</v>
      </c>
      <c r="H124" s="233">
        <v>11.439402998586306</v>
      </c>
    </row>
    <row r="125" spans="2:11">
      <c r="B125" s="305"/>
      <c r="C125" s="229">
        <f>C124+$K$110</f>
        <v>6.8238287349062829E-2</v>
      </c>
      <c r="D125" s="234">
        <v>9.0992993772289346</v>
      </c>
      <c r="E125" s="233">
        <v>9.4747036140271703</v>
      </c>
      <c r="F125" s="233">
        <v>9.8853648299179948</v>
      </c>
      <c r="G125" s="233">
        <v>10.336494618690049</v>
      </c>
      <c r="H125" s="233">
        <v>10.834384959459683</v>
      </c>
    </row>
    <row r="129" spans="2:16384">
      <c r="B129" s="227" t="s">
        <v>261</v>
      </c>
      <c r="C129" s="227"/>
      <c r="D129" s="227"/>
      <c r="E129" s="227"/>
      <c r="F129" s="227"/>
      <c r="G129" s="227"/>
      <c r="H129" s="227"/>
    </row>
    <row r="130" spans="2:16384">
      <c r="B130" s="305" t="s">
        <v>110</v>
      </c>
      <c r="C130" s="306" t="s">
        <v>265</v>
      </c>
      <c r="D130" s="306"/>
      <c r="E130" s="306"/>
      <c r="F130" s="306"/>
      <c r="G130" s="306"/>
      <c r="H130" s="306"/>
    </row>
    <row r="131" spans="2:16384" ht="17" thickBot="1">
      <c r="B131" s="305"/>
      <c r="C131" s="228">
        <f ca="1">$C$104</f>
        <v>1.6718866021886243</v>
      </c>
      <c r="D131" s="229">
        <f>E131-$K$108</f>
        <v>9.9999999999999985E-3</v>
      </c>
      <c r="E131" s="229">
        <f>F131-$K$108</f>
        <v>1.2499999999999999E-2</v>
      </c>
      <c r="F131" s="230">
        <f>Perpetuity_Growth_Rate</f>
        <v>1.4999999999999999E-2</v>
      </c>
      <c r="G131" s="229">
        <f>F131+$K$108</f>
        <v>1.7499999999999998E-2</v>
      </c>
      <c r="H131" s="229">
        <f>G131+$K$108</f>
        <v>1.9999999999999997E-2</v>
      </c>
    </row>
    <row r="132" spans="2:16384">
      <c r="B132" s="305"/>
      <c r="C132" s="229">
        <f>C133-$K$110</f>
        <v>5.823828734906282E-2</v>
      </c>
      <c r="D132" s="231">
        <f t="dataTable" ref="D132:H136" dt2D="1" dtr="1" r1="I93" r2="E56" ca="1"/>
        <v>1.6874792998249137</v>
      </c>
      <c r="E132" s="232">
        <v>1.7735289408215478</v>
      </c>
      <c r="F132" s="233">
        <v>1.8695292119509102</v>
      </c>
      <c r="G132" s="232">
        <v>1.9773120440783323</v>
      </c>
      <c r="H132" s="232">
        <v>2.0991884509445375</v>
      </c>
    </row>
    <row r="133" spans="2:16384">
      <c r="B133" s="305"/>
      <c r="C133" s="229">
        <f>C134-$K$110</f>
        <v>6.0738287349062822E-2</v>
      </c>
      <c r="D133" s="234">
        <v>1.6024508549123044</v>
      </c>
      <c r="E133" s="235">
        <v>1.6796555315701212</v>
      </c>
      <c r="F133" s="235">
        <v>1.765300038524666</v>
      </c>
      <c r="G133" s="235">
        <v>1.8608483266191933</v>
      </c>
      <c r="H133" s="233">
        <v>1.9681237017259718</v>
      </c>
    </row>
    <row r="134" spans="2:16384">
      <c r="B134" s="305"/>
      <c r="C134" s="236">
        <f>$E$45*$E$53+$E$52*$E$49</f>
        <v>6.3238287349062824E-2</v>
      </c>
      <c r="D134" s="233">
        <v>1.5254193252616237</v>
      </c>
      <c r="E134" s="235">
        <v>1.5950445625408429</v>
      </c>
      <c r="F134" s="235">
        <v>1.6718866021886243</v>
      </c>
      <c r="G134" s="235">
        <v>1.7571288295239487</v>
      </c>
      <c r="H134" s="233">
        <v>1.8522283190869786</v>
      </c>
    </row>
    <row r="135" spans="2:16384">
      <c r="B135" s="305"/>
      <c r="C135" s="229">
        <f>C134+$K$110</f>
        <v>6.5738287349062827E-2</v>
      </c>
      <c r="D135" s="234">
        <v>1.4553085718833909</v>
      </c>
      <c r="E135" s="235">
        <v>1.5183910795942051</v>
      </c>
      <c r="F135" s="235">
        <v>1.5876900473992301</v>
      </c>
      <c r="G135" s="235">
        <v>1.6641719990551918</v>
      </c>
      <c r="H135" s="233">
        <v>1.7490147744420756</v>
      </c>
    </row>
    <row r="136" spans="2:16384">
      <c r="B136" s="305"/>
      <c r="C136" s="229">
        <f>C135+$K$110</f>
        <v>6.8238287349062829E-2</v>
      </c>
      <c r="D136" s="234">
        <v>1.3912272388525655</v>
      </c>
      <c r="E136" s="233">
        <v>1.4486242513216085</v>
      </c>
      <c r="F136" s="233">
        <v>1.5114118403218528</v>
      </c>
      <c r="G136" s="233">
        <v>1.5803868266782879</v>
      </c>
      <c r="H136" s="233">
        <v>1.6565112155267012</v>
      </c>
    </row>
    <row r="142" spans="2:16384" ht="21" thickBot="1">
      <c r="B142" s="22" t="s">
        <v>262</v>
      </c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K142" s="21"/>
      <c r="CL142" s="21"/>
      <c r="CM142" s="21"/>
      <c r="CN142" s="21"/>
      <c r="CO142" s="21"/>
      <c r="CP142" s="21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1"/>
      <c r="EL142" s="21"/>
      <c r="EM142" s="21"/>
      <c r="EN142" s="21"/>
      <c r="EO142" s="21"/>
      <c r="EP142" s="21"/>
      <c r="EQ142" s="21"/>
      <c r="ER142" s="21"/>
      <c r="ES142" s="21"/>
      <c r="ET142" s="21"/>
      <c r="EU142" s="21"/>
      <c r="EV142" s="21"/>
      <c r="EW142" s="21"/>
      <c r="EX142" s="21"/>
      <c r="EY142" s="21"/>
      <c r="EZ142" s="21"/>
      <c r="FA142" s="21"/>
      <c r="FB142" s="21"/>
      <c r="FC142" s="21"/>
      <c r="FD142" s="21"/>
      <c r="FE142" s="21"/>
      <c r="FF142" s="21"/>
      <c r="FG142" s="21"/>
      <c r="FH142" s="21"/>
      <c r="FI142" s="21"/>
      <c r="FJ142" s="21"/>
      <c r="FK142" s="21"/>
      <c r="FL142" s="21"/>
      <c r="FM142" s="21"/>
      <c r="FN142" s="21"/>
      <c r="FO142" s="21"/>
      <c r="FP142" s="21"/>
      <c r="FQ142" s="21"/>
      <c r="FR142" s="21"/>
      <c r="FS142" s="21"/>
      <c r="FT142" s="21"/>
      <c r="FU142" s="21"/>
      <c r="FV142" s="21"/>
      <c r="FW142" s="21"/>
      <c r="FX142" s="21"/>
      <c r="FY142" s="21"/>
      <c r="FZ142" s="21"/>
      <c r="GA142" s="21"/>
      <c r="GB142" s="21"/>
      <c r="GC142" s="21"/>
      <c r="GD142" s="21"/>
      <c r="GE142" s="21"/>
      <c r="GF142" s="21"/>
      <c r="GG142" s="21"/>
      <c r="GH142" s="21"/>
      <c r="GI142" s="21"/>
      <c r="GJ142" s="21"/>
      <c r="GK142" s="21"/>
      <c r="GL142" s="21"/>
      <c r="GM142" s="21"/>
      <c r="GN142" s="21"/>
      <c r="GO142" s="21"/>
      <c r="GP142" s="21"/>
      <c r="GQ142" s="21"/>
      <c r="GR142" s="21"/>
      <c r="GS142" s="21"/>
      <c r="GT142" s="21"/>
      <c r="GU142" s="21"/>
      <c r="GV142" s="21"/>
      <c r="GW142" s="21"/>
      <c r="GX142" s="21"/>
      <c r="GY142" s="21"/>
      <c r="GZ142" s="21"/>
      <c r="HA142" s="21"/>
      <c r="HB142" s="21"/>
      <c r="HC142" s="21"/>
      <c r="HD142" s="21"/>
      <c r="HE142" s="21"/>
      <c r="HF142" s="21"/>
      <c r="HG142" s="21"/>
      <c r="HH142" s="21"/>
      <c r="HI142" s="21"/>
      <c r="HJ142" s="21"/>
      <c r="HK142" s="21"/>
      <c r="HL142" s="21"/>
      <c r="HM142" s="21"/>
      <c r="HN142" s="21"/>
      <c r="HO142" s="21"/>
      <c r="HP142" s="21"/>
      <c r="HQ142" s="21"/>
      <c r="HR142" s="21"/>
      <c r="HS142" s="21"/>
      <c r="HT142" s="21"/>
      <c r="HU142" s="21"/>
      <c r="HV142" s="21"/>
      <c r="HW142" s="21"/>
      <c r="HX142" s="21"/>
      <c r="HY142" s="21"/>
      <c r="HZ142" s="21"/>
      <c r="IA142" s="21"/>
      <c r="IB142" s="21"/>
      <c r="IC142" s="21"/>
      <c r="ID142" s="21"/>
      <c r="IE142" s="21"/>
      <c r="IF142" s="21"/>
      <c r="IG142" s="21"/>
      <c r="IH142" s="21"/>
      <c r="II142" s="21"/>
      <c r="IJ142" s="21"/>
      <c r="IK142" s="21"/>
      <c r="IL142" s="21"/>
      <c r="IM142" s="21"/>
      <c r="IN142" s="21"/>
      <c r="IO142" s="21"/>
      <c r="IP142" s="21"/>
      <c r="IQ142" s="21"/>
      <c r="IR142" s="21"/>
      <c r="IS142" s="21"/>
      <c r="IT142" s="21"/>
      <c r="IU142" s="21"/>
      <c r="IV142" s="21"/>
      <c r="IW142" s="21"/>
      <c r="IX142" s="21"/>
      <c r="IY142" s="21"/>
      <c r="IZ142" s="21"/>
      <c r="JA142" s="21"/>
      <c r="JB142" s="21"/>
      <c r="JC142" s="21"/>
      <c r="JD142" s="21"/>
      <c r="JE142" s="21"/>
      <c r="JF142" s="21"/>
      <c r="JG142" s="21"/>
      <c r="JH142" s="21"/>
      <c r="JI142" s="21"/>
      <c r="JJ142" s="21"/>
      <c r="JK142" s="21"/>
      <c r="JL142" s="21"/>
      <c r="JM142" s="21"/>
      <c r="JN142" s="21"/>
      <c r="JO142" s="21"/>
      <c r="JP142" s="21"/>
      <c r="JQ142" s="21"/>
      <c r="JR142" s="21"/>
      <c r="JS142" s="21"/>
      <c r="JT142" s="21"/>
      <c r="JU142" s="21"/>
      <c r="JV142" s="21"/>
      <c r="JW142" s="21"/>
      <c r="JX142" s="21"/>
      <c r="JY142" s="21"/>
      <c r="JZ142" s="21"/>
      <c r="KA142" s="21"/>
      <c r="KB142" s="21"/>
      <c r="KC142" s="21"/>
      <c r="KD142" s="21"/>
      <c r="KE142" s="21"/>
      <c r="KF142" s="21"/>
      <c r="KG142" s="21"/>
      <c r="KH142" s="21"/>
      <c r="KI142" s="21"/>
      <c r="KJ142" s="21"/>
      <c r="KK142" s="21"/>
      <c r="KL142" s="21"/>
      <c r="KM142" s="21"/>
      <c r="KN142" s="21"/>
      <c r="KO142" s="21"/>
      <c r="KP142" s="21"/>
      <c r="KQ142" s="21"/>
      <c r="KR142" s="21"/>
      <c r="KS142" s="21"/>
      <c r="KT142" s="21"/>
      <c r="KU142" s="21"/>
      <c r="KV142" s="21"/>
      <c r="KW142" s="21"/>
      <c r="KX142" s="21"/>
      <c r="KY142" s="21"/>
      <c r="KZ142" s="21"/>
      <c r="LA142" s="21"/>
      <c r="LB142" s="21"/>
      <c r="LC142" s="21"/>
      <c r="LD142" s="21"/>
      <c r="LE142" s="21"/>
      <c r="LF142" s="21"/>
      <c r="LG142" s="21"/>
      <c r="LH142" s="21"/>
      <c r="LI142" s="21"/>
      <c r="LJ142" s="21"/>
      <c r="LK142" s="21"/>
      <c r="LL142" s="21"/>
      <c r="LM142" s="21"/>
      <c r="LN142" s="21"/>
      <c r="LO142" s="21"/>
      <c r="LP142" s="21"/>
      <c r="LQ142" s="21"/>
      <c r="LR142" s="21"/>
      <c r="LS142" s="21"/>
      <c r="LT142" s="21"/>
      <c r="LU142" s="21"/>
      <c r="LV142" s="21"/>
      <c r="LW142" s="21"/>
      <c r="LX142" s="21"/>
      <c r="LY142" s="21"/>
      <c r="LZ142" s="21"/>
      <c r="MA142" s="21"/>
      <c r="MB142" s="21"/>
      <c r="MC142" s="21"/>
      <c r="MD142" s="21"/>
      <c r="ME142" s="21"/>
      <c r="MF142" s="21"/>
      <c r="MG142" s="21"/>
      <c r="MH142" s="21"/>
      <c r="MI142" s="21"/>
      <c r="MJ142" s="21"/>
      <c r="MK142" s="21"/>
      <c r="ML142" s="21"/>
      <c r="MM142" s="21"/>
      <c r="MN142" s="21"/>
      <c r="MO142" s="21"/>
      <c r="MP142" s="21"/>
      <c r="MQ142" s="21"/>
      <c r="MR142" s="21"/>
      <c r="MS142" s="21"/>
      <c r="MT142" s="21"/>
      <c r="MU142" s="21"/>
      <c r="MV142" s="21"/>
      <c r="MW142" s="21"/>
      <c r="MX142" s="21"/>
      <c r="MY142" s="21"/>
      <c r="MZ142" s="21"/>
      <c r="NA142" s="21"/>
      <c r="NB142" s="21"/>
      <c r="NC142" s="21"/>
      <c r="ND142" s="21"/>
      <c r="NE142" s="21"/>
      <c r="NF142" s="21"/>
      <c r="NG142" s="21"/>
      <c r="NH142" s="21"/>
      <c r="NI142" s="21"/>
      <c r="NJ142" s="21"/>
      <c r="NK142" s="21"/>
      <c r="NL142" s="21"/>
      <c r="NM142" s="21"/>
      <c r="NN142" s="21"/>
      <c r="NO142" s="21"/>
      <c r="NP142" s="21"/>
      <c r="NQ142" s="21"/>
      <c r="NR142" s="21"/>
      <c r="NS142" s="21"/>
      <c r="NT142" s="21"/>
      <c r="NU142" s="21"/>
      <c r="NV142" s="21"/>
      <c r="NW142" s="21"/>
      <c r="NX142" s="21"/>
      <c r="NY142" s="21"/>
      <c r="NZ142" s="21"/>
      <c r="OA142" s="21"/>
      <c r="OB142" s="21"/>
      <c r="OC142" s="21"/>
      <c r="OD142" s="21"/>
      <c r="OE142" s="21"/>
      <c r="OF142" s="21"/>
      <c r="OG142" s="21"/>
      <c r="OH142" s="21"/>
      <c r="OI142" s="21"/>
      <c r="OJ142" s="21"/>
      <c r="OK142" s="21"/>
      <c r="OL142" s="21"/>
      <c r="OM142" s="21"/>
      <c r="ON142" s="21"/>
      <c r="OO142" s="21"/>
      <c r="OP142" s="21"/>
      <c r="OQ142" s="21"/>
      <c r="OR142" s="21"/>
      <c r="OS142" s="21"/>
      <c r="OT142" s="21"/>
      <c r="OU142" s="21"/>
      <c r="OV142" s="21"/>
      <c r="OW142" s="21"/>
      <c r="OX142" s="21"/>
      <c r="OY142" s="21"/>
      <c r="OZ142" s="21"/>
      <c r="PA142" s="21"/>
      <c r="PB142" s="21"/>
      <c r="PC142" s="21"/>
      <c r="PD142" s="21"/>
      <c r="PE142" s="21"/>
      <c r="PF142" s="21"/>
      <c r="PG142" s="21"/>
      <c r="PH142" s="21"/>
      <c r="PI142" s="21"/>
      <c r="PJ142" s="21"/>
      <c r="PK142" s="21"/>
      <c r="PL142" s="21"/>
      <c r="PM142" s="21"/>
      <c r="PN142" s="21"/>
      <c r="PO142" s="21"/>
      <c r="PP142" s="21"/>
      <c r="PQ142" s="21"/>
      <c r="PR142" s="21"/>
      <c r="PS142" s="21"/>
      <c r="PT142" s="21"/>
      <c r="PU142" s="21"/>
      <c r="PV142" s="21"/>
      <c r="PW142" s="21"/>
      <c r="PX142" s="21"/>
      <c r="PY142" s="21"/>
      <c r="PZ142" s="21"/>
      <c r="QA142" s="21"/>
      <c r="QB142" s="21"/>
      <c r="QC142" s="21"/>
      <c r="QD142" s="21"/>
      <c r="QE142" s="21"/>
      <c r="QF142" s="21"/>
      <c r="QG142" s="21"/>
      <c r="QH142" s="21"/>
      <c r="QI142" s="21"/>
      <c r="QJ142" s="21"/>
      <c r="QK142" s="21"/>
      <c r="QL142" s="21"/>
      <c r="QM142" s="21"/>
      <c r="QN142" s="21"/>
      <c r="QO142" s="21"/>
      <c r="QP142" s="21"/>
      <c r="QQ142" s="21"/>
      <c r="QR142" s="21"/>
      <c r="QS142" s="21"/>
      <c r="QT142" s="21"/>
      <c r="QU142" s="21"/>
      <c r="QV142" s="21"/>
      <c r="QW142" s="21"/>
      <c r="QX142" s="21"/>
      <c r="QY142" s="21"/>
      <c r="QZ142" s="21"/>
      <c r="RA142" s="21"/>
      <c r="RB142" s="21"/>
      <c r="RC142" s="21"/>
      <c r="RD142" s="21"/>
      <c r="RE142" s="21"/>
      <c r="RF142" s="21"/>
      <c r="RG142" s="21"/>
      <c r="RH142" s="21"/>
      <c r="RI142" s="21"/>
      <c r="RJ142" s="21"/>
      <c r="RK142" s="21"/>
      <c r="RL142" s="21"/>
      <c r="RM142" s="21"/>
      <c r="RN142" s="21"/>
      <c r="RO142" s="21"/>
      <c r="RP142" s="21"/>
      <c r="RQ142" s="21"/>
      <c r="RR142" s="21"/>
      <c r="RS142" s="21"/>
      <c r="RT142" s="21"/>
      <c r="RU142" s="21"/>
      <c r="RV142" s="21"/>
      <c r="RW142" s="21"/>
      <c r="RX142" s="21"/>
      <c r="RY142" s="21"/>
      <c r="RZ142" s="21"/>
      <c r="SA142" s="21"/>
      <c r="SB142" s="21"/>
      <c r="SC142" s="21"/>
      <c r="SD142" s="21"/>
      <c r="SE142" s="21"/>
      <c r="SF142" s="21"/>
      <c r="SG142" s="21"/>
      <c r="SH142" s="21"/>
      <c r="SI142" s="21"/>
      <c r="SJ142" s="21"/>
      <c r="SK142" s="21"/>
      <c r="SL142" s="21"/>
      <c r="SM142" s="21"/>
      <c r="SN142" s="21"/>
      <c r="SO142" s="21"/>
      <c r="SP142" s="21"/>
      <c r="SQ142" s="21"/>
      <c r="SR142" s="21"/>
      <c r="SS142" s="21"/>
      <c r="ST142" s="21"/>
      <c r="SU142" s="21"/>
      <c r="SV142" s="21"/>
      <c r="SW142" s="21"/>
      <c r="SX142" s="21"/>
      <c r="SY142" s="21"/>
      <c r="SZ142" s="21"/>
      <c r="TA142" s="21"/>
      <c r="TB142" s="21"/>
      <c r="TC142" s="21"/>
      <c r="TD142" s="21"/>
      <c r="TE142" s="21"/>
      <c r="TF142" s="21"/>
      <c r="TG142" s="21"/>
      <c r="TH142" s="21"/>
      <c r="TI142" s="21"/>
      <c r="TJ142" s="21"/>
      <c r="TK142" s="21"/>
      <c r="TL142" s="21"/>
      <c r="TM142" s="21"/>
      <c r="TN142" s="21"/>
      <c r="TO142" s="21"/>
      <c r="TP142" s="21"/>
      <c r="TQ142" s="21"/>
      <c r="TR142" s="21"/>
      <c r="TS142" s="21"/>
      <c r="TT142" s="21"/>
      <c r="TU142" s="21"/>
      <c r="TV142" s="21"/>
      <c r="TW142" s="21"/>
      <c r="TX142" s="21"/>
      <c r="TY142" s="21"/>
      <c r="TZ142" s="21"/>
      <c r="UA142" s="21"/>
      <c r="UB142" s="21"/>
      <c r="UC142" s="21"/>
      <c r="UD142" s="21"/>
      <c r="UE142" s="21"/>
      <c r="UF142" s="21"/>
      <c r="UG142" s="21"/>
      <c r="UH142" s="21"/>
      <c r="UI142" s="21"/>
      <c r="UJ142" s="21"/>
      <c r="UK142" s="21"/>
      <c r="UL142" s="21"/>
      <c r="UM142" s="21"/>
      <c r="UN142" s="21"/>
      <c r="UO142" s="21"/>
      <c r="UP142" s="21"/>
      <c r="UQ142" s="21"/>
      <c r="UR142" s="21"/>
      <c r="US142" s="21"/>
      <c r="UT142" s="21"/>
      <c r="UU142" s="21"/>
      <c r="UV142" s="21"/>
      <c r="UW142" s="21"/>
      <c r="UX142" s="21"/>
      <c r="UY142" s="21"/>
      <c r="UZ142" s="21"/>
      <c r="VA142" s="21"/>
      <c r="VB142" s="21"/>
      <c r="VC142" s="21"/>
      <c r="VD142" s="21"/>
      <c r="VE142" s="21"/>
      <c r="VF142" s="21"/>
      <c r="VG142" s="21"/>
      <c r="VH142" s="21"/>
      <c r="VI142" s="21"/>
      <c r="VJ142" s="21"/>
      <c r="VK142" s="21"/>
      <c r="VL142" s="21"/>
      <c r="VM142" s="21"/>
      <c r="VN142" s="21"/>
      <c r="VO142" s="21"/>
      <c r="VP142" s="21"/>
      <c r="VQ142" s="21"/>
      <c r="VR142" s="21"/>
      <c r="VS142" s="21"/>
      <c r="VT142" s="21"/>
      <c r="VU142" s="21"/>
      <c r="VV142" s="21"/>
      <c r="VW142" s="21"/>
      <c r="VX142" s="21"/>
      <c r="VY142" s="21"/>
      <c r="VZ142" s="21"/>
      <c r="WA142" s="21"/>
      <c r="WB142" s="21"/>
      <c r="WC142" s="21"/>
      <c r="WD142" s="21"/>
      <c r="WE142" s="21"/>
      <c r="WF142" s="21"/>
      <c r="WG142" s="21"/>
      <c r="WH142" s="21"/>
      <c r="WI142" s="21"/>
      <c r="WJ142" s="21"/>
      <c r="WK142" s="21"/>
      <c r="WL142" s="21"/>
      <c r="WM142" s="21"/>
      <c r="WN142" s="21"/>
      <c r="WO142" s="21"/>
      <c r="WP142" s="21"/>
      <c r="WQ142" s="21"/>
      <c r="WR142" s="21"/>
      <c r="WS142" s="21"/>
      <c r="WT142" s="21"/>
      <c r="WU142" s="21"/>
      <c r="WV142" s="21"/>
      <c r="WW142" s="21"/>
      <c r="WX142" s="21"/>
      <c r="WY142" s="21"/>
      <c r="WZ142" s="21"/>
      <c r="XA142" s="21"/>
      <c r="XB142" s="21"/>
      <c r="XC142" s="21"/>
      <c r="XD142" s="21"/>
      <c r="XE142" s="21"/>
      <c r="XF142" s="21"/>
      <c r="XG142" s="21"/>
      <c r="XH142" s="21"/>
      <c r="XI142" s="21"/>
      <c r="XJ142" s="21"/>
      <c r="XK142" s="21"/>
      <c r="XL142" s="21"/>
      <c r="XM142" s="21"/>
      <c r="XN142" s="21"/>
      <c r="XO142" s="21"/>
      <c r="XP142" s="21"/>
      <c r="XQ142" s="21"/>
      <c r="XR142" s="21"/>
      <c r="XS142" s="21"/>
      <c r="XT142" s="21"/>
      <c r="XU142" s="21"/>
      <c r="XV142" s="21"/>
      <c r="XW142" s="21"/>
      <c r="XX142" s="21"/>
      <c r="XY142" s="21"/>
      <c r="XZ142" s="21"/>
      <c r="YA142" s="21"/>
      <c r="YB142" s="21"/>
      <c r="YC142" s="21"/>
      <c r="YD142" s="21"/>
      <c r="YE142" s="21"/>
      <c r="YF142" s="21"/>
      <c r="YG142" s="21"/>
      <c r="YH142" s="21"/>
      <c r="YI142" s="21"/>
      <c r="YJ142" s="21"/>
      <c r="YK142" s="21"/>
      <c r="YL142" s="21"/>
      <c r="YM142" s="21"/>
      <c r="YN142" s="21"/>
      <c r="YO142" s="21"/>
      <c r="YP142" s="21"/>
      <c r="YQ142" s="21"/>
      <c r="YR142" s="21"/>
      <c r="YS142" s="21"/>
      <c r="YT142" s="21"/>
      <c r="YU142" s="21"/>
      <c r="YV142" s="21"/>
      <c r="YW142" s="21"/>
      <c r="YX142" s="21"/>
      <c r="YY142" s="21"/>
      <c r="YZ142" s="21"/>
      <c r="ZA142" s="21"/>
      <c r="ZB142" s="21"/>
      <c r="ZC142" s="21"/>
      <c r="ZD142" s="21"/>
      <c r="ZE142" s="21"/>
      <c r="ZF142" s="21"/>
      <c r="ZG142" s="21"/>
      <c r="ZH142" s="21"/>
      <c r="ZI142" s="21"/>
      <c r="ZJ142" s="21"/>
      <c r="ZK142" s="21"/>
      <c r="ZL142" s="21"/>
      <c r="ZM142" s="21"/>
      <c r="ZN142" s="21"/>
      <c r="ZO142" s="21"/>
      <c r="ZP142" s="21"/>
      <c r="ZQ142" s="21"/>
      <c r="ZR142" s="21"/>
      <c r="ZS142" s="21"/>
      <c r="ZT142" s="21"/>
      <c r="ZU142" s="21"/>
      <c r="ZV142" s="21"/>
      <c r="ZW142" s="21"/>
      <c r="ZX142" s="21"/>
      <c r="ZY142" s="21"/>
      <c r="ZZ142" s="21"/>
      <c r="AAA142" s="21"/>
      <c r="AAB142" s="21"/>
      <c r="AAC142" s="21"/>
      <c r="AAD142" s="21"/>
      <c r="AAE142" s="21"/>
      <c r="AAF142" s="21"/>
      <c r="AAG142" s="21"/>
      <c r="AAH142" s="21"/>
      <c r="AAI142" s="21"/>
      <c r="AAJ142" s="21"/>
      <c r="AAK142" s="21"/>
      <c r="AAL142" s="21"/>
      <c r="AAM142" s="21"/>
      <c r="AAN142" s="21"/>
      <c r="AAO142" s="21"/>
      <c r="AAP142" s="21"/>
      <c r="AAQ142" s="21"/>
      <c r="AAR142" s="21"/>
      <c r="AAS142" s="21"/>
      <c r="AAT142" s="21"/>
      <c r="AAU142" s="21"/>
      <c r="AAV142" s="21"/>
      <c r="AAW142" s="21"/>
      <c r="AAX142" s="21"/>
      <c r="AAY142" s="21"/>
      <c r="AAZ142" s="21"/>
      <c r="ABA142" s="21"/>
      <c r="ABB142" s="21"/>
      <c r="ABC142" s="21"/>
      <c r="ABD142" s="21"/>
      <c r="ABE142" s="21"/>
      <c r="ABF142" s="21"/>
      <c r="ABG142" s="21"/>
      <c r="ABH142" s="21"/>
      <c r="ABI142" s="21"/>
      <c r="ABJ142" s="21"/>
      <c r="ABK142" s="21"/>
      <c r="ABL142" s="21"/>
      <c r="ABM142" s="21"/>
      <c r="ABN142" s="21"/>
      <c r="ABO142" s="21"/>
      <c r="ABP142" s="21"/>
      <c r="ABQ142" s="21"/>
      <c r="ABR142" s="21"/>
      <c r="ABS142" s="21"/>
      <c r="ABT142" s="21"/>
      <c r="ABU142" s="21"/>
      <c r="ABV142" s="21"/>
      <c r="ABW142" s="21"/>
      <c r="ABX142" s="21"/>
      <c r="ABY142" s="21"/>
      <c r="ABZ142" s="21"/>
      <c r="ACA142" s="21"/>
      <c r="ACB142" s="21"/>
      <c r="ACC142" s="21"/>
      <c r="ACD142" s="21"/>
      <c r="ACE142" s="21"/>
      <c r="ACF142" s="21"/>
      <c r="ACG142" s="21"/>
      <c r="ACH142" s="21"/>
      <c r="ACI142" s="21"/>
      <c r="ACJ142" s="21"/>
      <c r="ACK142" s="21"/>
      <c r="ACL142" s="21"/>
      <c r="ACM142" s="21"/>
      <c r="ACN142" s="21"/>
      <c r="ACO142" s="21"/>
      <c r="ACP142" s="21"/>
      <c r="ACQ142" s="21"/>
      <c r="ACR142" s="21"/>
      <c r="ACS142" s="21"/>
      <c r="ACT142" s="21"/>
      <c r="ACU142" s="21"/>
      <c r="ACV142" s="21"/>
      <c r="ACW142" s="21"/>
      <c r="ACX142" s="21"/>
      <c r="ACY142" s="21"/>
      <c r="ACZ142" s="21"/>
      <c r="ADA142" s="21"/>
      <c r="ADB142" s="21"/>
      <c r="ADC142" s="21"/>
      <c r="ADD142" s="21"/>
      <c r="ADE142" s="21"/>
      <c r="ADF142" s="21"/>
      <c r="ADG142" s="21"/>
      <c r="ADH142" s="21"/>
      <c r="ADI142" s="21"/>
      <c r="ADJ142" s="21"/>
      <c r="ADK142" s="21"/>
      <c r="ADL142" s="21"/>
      <c r="ADM142" s="21"/>
      <c r="ADN142" s="21"/>
      <c r="ADO142" s="21"/>
      <c r="ADP142" s="21"/>
      <c r="ADQ142" s="21"/>
      <c r="ADR142" s="21"/>
      <c r="ADS142" s="21"/>
      <c r="ADT142" s="21"/>
      <c r="ADU142" s="21"/>
      <c r="ADV142" s="21"/>
      <c r="ADW142" s="21"/>
      <c r="ADX142" s="21"/>
      <c r="ADY142" s="21"/>
      <c r="ADZ142" s="21"/>
      <c r="AEA142" s="21"/>
      <c r="AEB142" s="21"/>
      <c r="AEC142" s="21"/>
      <c r="AED142" s="21"/>
      <c r="AEE142" s="21"/>
      <c r="AEF142" s="21"/>
      <c r="AEG142" s="21"/>
      <c r="AEH142" s="21"/>
      <c r="AEI142" s="21"/>
      <c r="AEJ142" s="21"/>
      <c r="AEK142" s="21"/>
      <c r="AEL142" s="21"/>
      <c r="AEM142" s="21"/>
      <c r="AEN142" s="21"/>
      <c r="AEO142" s="21"/>
      <c r="AEP142" s="21"/>
      <c r="AEQ142" s="21"/>
      <c r="AER142" s="21"/>
      <c r="AES142" s="21"/>
      <c r="AET142" s="21"/>
      <c r="AEU142" s="21"/>
      <c r="AEV142" s="21"/>
      <c r="AEW142" s="21"/>
      <c r="AEX142" s="21"/>
      <c r="AEY142" s="21"/>
      <c r="AEZ142" s="21"/>
      <c r="AFA142" s="21"/>
      <c r="AFB142" s="21"/>
      <c r="AFC142" s="21"/>
      <c r="AFD142" s="21"/>
      <c r="AFE142" s="21"/>
      <c r="AFF142" s="21"/>
      <c r="AFG142" s="21"/>
      <c r="AFH142" s="21"/>
      <c r="AFI142" s="21"/>
      <c r="AFJ142" s="21"/>
      <c r="AFK142" s="21"/>
      <c r="AFL142" s="21"/>
      <c r="AFM142" s="21"/>
      <c r="AFN142" s="21"/>
      <c r="AFO142" s="21"/>
      <c r="AFP142" s="21"/>
      <c r="AFQ142" s="21"/>
      <c r="AFR142" s="21"/>
      <c r="AFS142" s="21"/>
      <c r="AFT142" s="21"/>
      <c r="AFU142" s="21"/>
      <c r="AFV142" s="21"/>
      <c r="AFW142" s="21"/>
      <c r="AFX142" s="21"/>
      <c r="AFY142" s="21"/>
      <c r="AFZ142" s="21"/>
      <c r="AGA142" s="21"/>
      <c r="AGB142" s="21"/>
      <c r="AGC142" s="21"/>
      <c r="AGD142" s="21"/>
      <c r="AGE142" s="21"/>
      <c r="AGF142" s="21"/>
      <c r="AGG142" s="21"/>
      <c r="AGH142" s="21"/>
      <c r="AGI142" s="21"/>
      <c r="AGJ142" s="21"/>
      <c r="AGK142" s="21"/>
      <c r="AGL142" s="21"/>
      <c r="AGM142" s="21"/>
      <c r="AGN142" s="21"/>
      <c r="AGO142" s="21"/>
      <c r="AGP142" s="21"/>
      <c r="AGQ142" s="21"/>
      <c r="AGR142" s="21"/>
      <c r="AGS142" s="21"/>
      <c r="AGT142" s="21"/>
      <c r="AGU142" s="21"/>
      <c r="AGV142" s="21"/>
      <c r="AGW142" s="21"/>
      <c r="AGX142" s="21"/>
      <c r="AGY142" s="21"/>
      <c r="AGZ142" s="21"/>
      <c r="AHA142" s="21"/>
      <c r="AHB142" s="21"/>
      <c r="AHC142" s="21"/>
      <c r="AHD142" s="21"/>
      <c r="AHE142" s="21"/>
      <c r="AHF142" s="21"/>
      <c r="AHG142" s="21"/>
      <c r="AHH142" s="21"/>
      <c r="AHI142" s="21"/>
      <c r="AHJ142" s="21"/>
      <c r="AHK142" s="21"/>
      <c r="AHL142" s="21"/>
      <c r="AHM142" s="21"/>
      <c r="AHN142" s="21"/>
      <c r="AHO142" s="21"/>
      <c r="AHP142" s="21"/>
      <c r="AHQ142" s="21"/>
      <c r="AHR142" s="21"/>
      <c r="AHS142" s="21"/>
      <c r="AHT142" s="21"/>
      <c r="AHU142" s="21"/>
      <c r="AHV142" s="21"/>
      <c r="AHW142" s="21"/>
      <c r="AHX142" s="21"/>
      <c r="AHY142" s="21"/>
      <c r="AHZ142" s="21"/>
      <c r="AIA142" s="21"/>
      <c r="AIB142" s="21"/>
      <c r="AIC142" s="21"/>
      <c r="AID142" s="21"/>
      <c r="AIE142" s="21"/>
      <c r="AIF142" s="21"/>
      <c r="AIG142" s="21"/>
      <c r="AIH142" s="21"/>
      <c r="AII142" s="21"/>
      <c r="AIJ142" s="21"/>
      <c r="AIK142" s="21"/>
      <c r="AIL142" s="21"/>
      <c r="AIM142" s="21"/>
      <c r="AIN142" s="21"/>
      <c r="AIO142" s="21"/>
      <c r="AIP142" s="21"/>
      <c r="AIQ142" s="21"/>
      <c r="AIR142" s="21"/>
      <c r="AIS142" s="21"/>
      <c r="AIT142" s="21"/>
      <c r="AIU142" s="21"/>
      <c r="AIV142" s="21"/>
      <c r="AIW142" s="21"/>
      <c r="AIX142" s="21"/>
      <c r="AIY142" s="21"/>
      <c r="AIZ142" s="21"/>
      <c r="AJA142" s="21"/>
      <c r="AJB142" s="21"/>
      <c r="AJC142" s="21"/>
      <c r="AJD142" s="21"/>
      <c r="AJE142" s="21"/>
      <c r="AJF142" s="21"/>
      <c r="AJG142" s="21"/>
      <c r="AJH142" s="21"/>
      <c r="AJI142" s="21"/>
      <c r="AJJ142" s="21"/>
      <c r="AJK142" s="21"/>
      <c r="AJL142" s="21"/>
      <c r="AJM142" s="21"/>
      <c r="AJN142" s="21"/>
      <c r="AJO142" s="21"/>
      <c r="AJP142" s="21"/>
      <c r="AJQ142" s="21"/>
      <c r="AJR142" s="21"/>
      <c r="AJS142" s="21"/>
      <c r="AJT142" s="21"/>
      <c r="AJU142" s="21"/>
      <c r="AJV142" s="21"/>
      <c r="AJW142" s="21"/>
      <c r="AJX142" s="21"/>
      <c r="AJY142" s="21"/>
      <c r="AJZ142" s="21"/>
      <c r="AKA142" s="21"/>
      <c r="AKB142" s="21"/>
      <c r="AKC142" s="21"/>
      <c r="AKD142" s="21"/>
      <c r="AKE142" s="21"/>
      <c r="AKF142" s="21"/>
      <c r="AKG142" s="21"/>
      <c r="AKH142" s="21"/>
      <c r="AKI142" s="21"/>
      <c r="AKJ142" s="21"/>
      <c r="AKK142" s="21"/>
      <c r="AKL142" s="21"/>
      <c r="AKM142" s="21"/>
      <c r="AKN142" s="21"/>
      <c r="AKO142" s="21"/>
      <c r="AKP142" s="21"/>
      <c r="AKQ142" s="21"/>
      <c r="AKR142" s="21"/>
      <c r="AKS142" s="21"/>
      <c r="AKT142" s="21"/>
      <c r="AKU142" s="21"/>
      <c r="AKV142" s="21"/>
      <c r="AKW142" s="21"/>
      <c r="AKX142" s="21"/>
      <c r="AKY142" s="21"/>
      <c r="AKZ142" s="21"/>
      <c r="ALA142" s="21"/>
      <c r="ALB142" s="21"/>
      <c r="ALC142" s="21"/>
      <c r="ALD142" s="21"/>
      <c r="ALE142" s="21"/>
      <c r="ALF142" s="21"/>
      <c r="ALG142" s="21"/>
      <c r="ALH142" s="21"/>
      <c r="ALI142" s="21"/>
      <c r="ALJ142" s="21"/>
      <c r="ALK142" s="21"/>
      <c r="ALL142" s="21"/>
      <c r="ALM142" s="21"/>
      <c r="ALN142" s="21"/>
      <c r="ALO142" s="21"/>
      <c r="ALP142" s="21"/>
      <c r="ALQ142" s="21"/>
      <c r="ALR142" s="21"/>
      <c r="ALS142" s="21"/>
      <c r="ALT142" s="21"/>
      <c r="ALU142" s="21"/>
      <c r="ALV142" s="21"/>
      <c r="ALW142" s="21"/>
      <c r="ALX142" s="21"/>
      <c r="ALY142" s="21"/>
      <c r="ALZ142" s="21"/>
      <c r="AMA142" s="21"/>
      <c r="AMB142" s="21"/>
      <c r="AMC142" s="21"/>
      <c r="AMD142" s="21"/>
      <c r="AME142" s="21"/>
      <c r="AMF142" s="21"/>
      <c r="AMG142" s="21"/>
      <c r="AMH142" s="21"/>
      <c r="AMI142" s="21"/>
      <c r="AMJ142" s="21"/>
      <c r="AMK142" s="21"/>
      <c r="AML142" s="21"/>
      <c r="AMM142" s="21"/>
      <c r="AMN142" s="21"/>
      <c r="AMO142" s="21"/>
      <c r="AMP142" s="21"/>
      <c r="AMQ142" s="21"/>
      <c r="AMR142" s="21"/>
      <c r="AMS142" s="21"/>
      <c r="AMT142" s="21"/>
      <c r="AMU142" s="21"/>
      <c r="AMV142" s="21"/>
      <c r="AMW142" s="21"/>
      <c r="AMX142" s="21"/>
      <c r="AMY142" s="21"/>
      <c r="AMZ142" s="21"/>
      <c r="ANA142" s="21"/>
      <c r="ANB142" s="21"/>
      <c r="ANC142" s="21"/>
      <c r="AND142" s="21"/>
      <c r="ANE142" s="21"/>
      <c r="ANF142" s="21"/>
      <c r="ANG142" s="21"/>
      <c r="ANH142" s="21"/>
      <c r="ANI142" s="21"/>
      <c r="ANJ142" s="21"/>
      <c r="ANK142" s="21"/>
      <c r="ANL142" s="21"/>
      <c r="ANM142" s="21"/>
      <c r="ANN142" s="21"/>
      <c r="ANO142" s="21"/>
      <c r="ANP142" s="21"/>
      <c r="ANQ142" s="21"/>
      <c r="ANR142" s="21"/>
      <c r="ANS142" s="21"/>
      <c r="ANT142" s="21"/>
      <c r="ANU142" s="21"/>
      <c r="ANV142" s="21"/>
      <c r="ANW142" s="21"/>
      <c r="ANX142" s="21"/>
      <c r="ANY142" s="21"/>
      <c r="ANZ142" s="21"/>
      <c r="AOA142" s="21"/>
      <c r="AOB142" s="21"/>
      <c r="AOC142" s="21"/>
      <c r="AOD142" s="21"/>
      <c r="AOE142" s="21"/>
      <c r="AOF142" s="21"/>
      <c r="AOG142" s="21"/>
      <c r="AOH142" s="21"/>
      <c r="AOI142" s="21"/>
      <c r="AOJ142" s="21"/>
      <c r="AOK142" s="21"/>
      <c r="AOL142" s="21"/>
      <c r="AOM142" s="21"/>
      <c r="AON142" s="21"/>
      <c r="AOO142" s="21"/>
      <c r="AOP142" s="21"/>
      <c r="AOQ142" s="21"/>
      <c r="AOR142" s="21"/>
      <c r="AOS142" s="21"/>
      <c r="AOT142" s="21"/>
      <c r="AOU142" s="21"/>
      <c r="AOV142" s="21"/>
      <c r="AOW142" s="21"/>
      <c r="AOX142" s="21"/>
      <c r="AOY142" s="21"/>
      <c r="AOZ142" s="21"/>
      <c r="APA142" s="21"/>
      <c r="APB142" s="21"/>
      <c r="APC142" s="21"/>
      <c r="APD142" s="21"/>
      <c r="APE142" s="21"/>
      <c r="APF142" s="21"/>
      <c r="APG142" s="21"/>
      <c r="APH142" s="21"/>
      <c r="API142" s="21"/>
      <c r="APJ142" s="21"/>
      <c r="APK142" s="21"/>
      <c r="APL142" s="21"/>
      <c r="APM142" s="21"/>
      <c r="APN142" s="21"/>
      <c r="APO142" s="21"/>
      <c r="APP142" s="21"/>
      <c r="APQ142" s="21"/>
      <c r="APR142" s="21"/>
      <c r="APS142" s="21"/>
      <c r="APT142" s="21"/>
      <c r="APU142" s="21"/>
      <c r="APV142" s="21"/>
      <c r="APW142" s="21"/>
      <c r="APX142" s="21"/>
      <c r="APY142" s="21"/>
      <c r="APZ142" s="21"/>
      <c r="AQA142" s="21"/>
      <c r="AQB142" s="21"/>
      <c r="AQC142" s="21"/>
      <c r="AQD142" s="21"/>
      <c r="AQE142" s="21"/>
      <c r="AQF142" s="21"/>
      <c r="AQG142" s="21"/>
      <c r="AQH142" s="21"/>
      <c r="AQI142" s="21"/>
      <c r="AQJ142" s="21"/>
      <c r="AQK142" s="21"/>
      <c r="AQL142" s="21"/>
      <c r="AQM142" s="21"/>
      <c r="AQN142" s="21"/>
      <c r="AQO142" s="21"/>
      <c r="AQP142" s="21"/>
      <c r="AQQ142" s="21"/>
      <c r="AQR142" s="21"/>
      <c r="AQS142" s="21"/>
      <c r="AQT142" s="21"/>
      <c r="AQU142" s="21"/>
      <c r="AQV142" s="21"/>
      <c r="AQW142" s="21"/>
      <c r="AQX142" s="21"/>
      <c r="AQY142" s="21"/>
      <c r="AQZ142" s="21"/>
      <c r="ARA142" s="21"/>
      <c r="ARB142" s="21"/>
      <c r="ARC142" s="21"/>
      <c r="ARD142" s="21"/>
      <c r="ARE142" s="21"/>
      <c r="ARF142" s="21"/>
      <c r="ARG142" s="21"/>
      <c r="ARH142" s="21"/>
      <c r="ARI142" s="21"/>
      <c r="ARJ142" s="21"/>
      <c r="ARK142" s="21"/>
      <c r="ARL142" s="21"/>
      <c r="ARM142" s="21"/>
      <c r="ARN142" s="21"/>
      <c r="ARO142" s="21"/>
      <c r="ARP142" s="21"/>
      <c r="ARQ142" s="21"/>
      <c r="ARR142" s="21"/>
      <c r="ARS142" s="21"/>
      <c r="ART142" s="21"/>
      <c r="ARU142" s="21"/>
      <c r="ARV142" s="21"/>
      <c r="ARW142" s="21"/>
      <c r="ARX142" s="21"/>
      <c r="ARY142" s="21"/>
      <c r="ARZ142" s="21"/>
      <c r="ASA142" s="21"/>
      <c r="ASB142" s="21"/>
      <c r="ASC142" s="21"/>
      <c r="ASD142" s="21"/>
      <c r="ASE142" s="21"/>
      <c r="ASF142" s="21"/>
      <c r="ASG142" s="21"/>
      <c r="ASH142" s="21"/>
      <c r="ASI142" s="21"/>
      <c r="ASJ142" s="21"/>
      <c r="ASK142" s="21"/>
      <c r="ASL142" s="21"/>
      <c r="ASM142" s="21"/>
      <c r="ASN142" s="21"/>
      <c r="ASO142" s="21"/>
      <c r="ASP142" s="21"/>
      <c r="ASQ142" s="21"/>
      <c r="ASR142" s="21"/>
      <c r="ASS142" s="21"/>
      <c r="AST142" s="21"/>
      <c r="ASU142" s="21"/>
      <c r="ASV142" s="21"/>
      <c r="ASW142" s="21"/>
      <c r="ASX142" s="21"/>
      <c r="ASY142" s="21"/>
      <c r="ASZ142" s="21"/>
      <c r="ATA142" s="21"/>
      <c r="ATB142" s="21"/>
      <c r="ATC142" s="21"/>
      <c r="ATD142" s="21"/>
      <c r="ATE142" s="21"/>
      <c r="ATF142" s="21"/>
      <c r="ATG142" s="21"/>
      <c r="ATH142" s="21"/>
      <c r="ATI142" s="21"/>
      <c r="ATJ142" s="21"/>
      <c r="ATK142" s="21"/>
      <c r="ATL142" s="21"/>
      <c r="ATM142" s="21"/>
      <c r="ATN142" s="21"/>
      <c r="ATO142" s="21"/>
      <c r="ATP142" s="21"/>
      <c r="ATQ142" s="21"/>
      <c r="ATR142" s="21"/>
      <c r="ATS142" s="21"/>
      <c r="ATT142" s="21"/>
      <c r="ATU142" s="21"/>
      <c r="ATV142" s="21"/>
      <c r="ATW142" s="21"/>
      <c r="ATX142" s="21"/>
      <c r="ATY142" s="21"/>
      <c r="ATZ142" s="21"/>
      <c r="AUA142" s="21"/>
      <c r="AUB142" s="21"/>
      <c r="AUC142" s="21"/>
      <c r="AUD142" s="21"/>
      <c r="AUE142" s="21"/>
      <c r="AUF142" s="21"/>
      <c r="AUG142" s="21"/>
      <c r="AUH142" s="21"/>
      <c r="AUI142" s="21"/>
      <c r="AUJ142" s="21"/>
      <c r="AUK142" s="21"/>
      <c r="AUL142" s="21"/>
      <c r="AUM142" s="21"/>
      <c r="AUN142" s="21"/>
      <c r="AUO142" s="21"/>
      <c r="AUP142" s="21"/>
      <c r="AUQ142" s="21"/>
      <c r="AUR142" s="21"/>
      <c r="AUS142" s="21"/>
      <c r="AUT142" s="21"/>
      <c r="AUU142" s="21"/>
      <c r="AUV142" s="21"/>
      <c r="AUW142" s="21"/>
      <c r="AUX142" s="21"/>
      <c r="AUY142" s="21"/>
      <c r="AUZ142" s="21"/>
      <c r="AVA142" s="21"/>
      <c r="AVB142" s="21"/>
      <c r="AVC142" s="21"/>
      <c r="AVD142" s="21"/>
      <c r="AVE142" s="21"/>
      <c r="AVF142" s="21"/>
      <c r="AVG142" s="21"/>
      <c r="AVH142" s="21"/>
      <c r="AVI142" s="21"/>
      <c r="AVJ142" s="21"/>
      <c r="AVK142" s="21"/>
      <c r="AVL142" s="21"/>
      <c r="AVM142" s="21"/>
      <c r="AVN142" s="21"/>
      <c r="AVO142" s="21"/>
      <c r="AVP142" s="21"/>
      <c r="AVQ142" s="21"/>
      <c r="AVR142" s="21"/>
      <c r="AVS142" s="21"/>
      <c r="AVT142" s="21"/>
      <c r="AVU142" s="21"/>
      <c r="AVV142" s="21"/>
      <c r="AVW142" s="21"/>
      <c r="AVX142" s="21"/>
      <c r="AVY142" s="21"/>
      <c r="AVZ142" s="21"/>
      <c r="AWA142" s="21"/>
      <c r="AWB142" s="21"/>
      <c r="AWC142" s="21"/>
      <c r="AWD142" s="21"/>
      <c r="AWE142" s="21"/>
      <c r="AWF142" s="21"/>
      <c r="AWG142" s="21"/>
      <c r="AWH142" s="21"/>
      <c r="AWI142" s="21"/>
      <c r="AWJ142" s="21"/>
      <c r="AWK142" s="21"/>
      <c r="AWL142" s="21"/>
      <c r="AWM142" s="21"/>
      <c r="AWN142" s="21"/>
      <c r="AWO142" s="21"/>
      <c r="AWP142" s="21"/>
      <c r="AWQ142" s="21"/>
      <c r="AWR142" s="21"/>
      <c r="AWS142" s="21"/>
      <c r="AWT142" s="21"/>
      <c r="AWU142" s="21"/>
      <c r="AWV142" s="21"/>
      <c r="AWW142" s="21"/>
      <c r="AWX142" s="21"/>
      <c r="AWY142" s="21"/>
      <c r="AWZ142" s="21"/>
      <c r="AXA142" s="21"/>
      <c r="AXB142" s="21"/>
      <c r="AXC142" s="21"/>
      <c r="AXD142" s="21"/>
      <c r="AXE142" s="21"/>
      <c r="AXF142" s="21"/>
      <c r="AXG142" s="21"/>
      <c r="AXH142" s="21"/>
      <c r="AXI142" s="21"/>
      <c r="AXJ142" s="21"/>
      <c r="AXK142" s="21"/>
      <c r="AXL142" s="21"/>
      <c r="AXM142" s="21"/>
      <c r="AXN142" s="21"/>
      <c r="AXO142" s="21"/>
      <c r="AXP142" s="21"/>
      <c r="AXQ142" s="21"/>
      <c r="AXR142" s="21"/>
      <c r="AXS142" s="21"/>
      <c r="AXT142" s="21"/>
      <c r="AXU142" s="21"/>
      <c r="AXV142" s="21"/>
      <c r="AXW142" s="21"/>
      <c r="AXX142" s="21"/>
      <c r="AXY142" s="21"/>
      <c r="AXZ142" s="21"/>
      <c r="AYA142" s="21"/>
      <c r="AYB142" s="21"/>
      <c r="AYC142" s="21"/>
      <c r="AYD142" s="21"/>
      <c r="AYE142" s="21"/>
      <c r="AYF142" s="21"/>
      <c r="AYG142" s="21"/>
      <c r="AYH142" s="21"/>
      <c r="AYI142" s="21"/>
      <c r="AYJ142" s="21"/>
      <c r="AYK142" s="21"/>
      <c r="AYL142" s="21"/>
      <c r="AYM142" s="21"/>
      <c r="AYN142" s="21"/>
      <c r="AYO142" s="21"/>
      <c r="AYP142" s="21"/>
      <c r="AYQ142" s="21"/>
      <c r="AYR142" s="21"/>
      <c r="AYS142" s="21"/>
      <c r="AYT142" s="21"/>
      <c r="AYU142" s="21"/>
      <c r="AYV142" s="21"/>
      <c r="AYW142" s="21"/>
      <c r="AYX142" s="21"/>
      <c r="AYY142" s="21"/>
      <c r="AYZ142" s="21"/>
      <c r="AZA142" s="21"/>
      <c r="AZB142" s="21"/>
      <c r="AZC142" s="21"/>
      <c r="AZD142" s="21"/>
      <c r="AZE142" s="21"/>
      <c r="AZF142" s="21"/>
      <c r="AZG142" s="21"/>
      <c r="AZH142" s="21"/>
      <c r="AZI142" s="21"/>
      <c r="AZJ142" s="21"/>
      <c r="AZK142" s="21"/>
      <c r="AZL142" s="21"/>
      <c r="AZM142" s="21"/>
      <c r="AZN142" s="21"/>
      <c r="AZO142" s="21"/>
      <c r="AZP142" s="21"/>
      <c r="AZQ142" s="21"/>
      <c r="AZR142" s="21"/>
      <c r="AZS142" s="21"/>
      <c r="AZT142" s="21"/>
      <c r="AZU142" s="21"/>
      <c r="AZV142" s="21"/>
      <c r="AZW142" s="21"/>
      <c r="AZX142" s="21"/>
      <c r="AZY142" s="21"/>
      <c r="AZZ142" s="21"/>
      <c r="BAA142" s="21"/>
      <c r="BAB142" s="21"/>
      <c r="BAC142" s="21"/>
      <c r="BAD142" s="21"/>
      <c r="BAE142" s="21"/>
      <c r="BAF142" s="21"/>
      <c r="BAG142" s="21"/>
      <c r="BAH142" s="21"/>
      <c r="BAI142" s="21"/>
      <c r="BAJ142" s="21"/>
      <c r="BAK142" s="21"/>
      <c r="BAL142" s="21"/>
      <c r="BAM142" s="21"/>
      <c r="BAN142" s="21"/>
      <c r="BAO142" s="21"/>
      <c r="BAP142" s="21"/>
      <c r="BAQ142" s="21"/>
      <c r="BAR142" s="21"/>
      <c r="BAS142" s="21"/>
      <c r="BAT142" s="21"/>
      <c r="BAU142" s="21"/>
      <c r="BAV142" s="21"/>
      <c r="BAW142" s="21"/>
      <c r="BAX142" s="21"/>
      <c r="BAY142" s="21"/>
      <c r="BAZ142" s="21"/>
      <c r="BBA142" s="21"/>
      <c r="BBB142" s="21"/>
      <c r="BBC142" s="21"/>
      <c r="BBD142" s="21"/>
      <c r="BBE142" s="21"/>
      <c r="BBF142" s="21"/>
      <c r="BBG142" s="21"/>
      <c r="BBH142" s="21"/>
      <c r="BBI142" s="21"/>
      <c r="BBJ142" s="21"/>
      <c r="BBK142" s="21"/>
      <c r="BBL142" s="21"/>
      <c r="BBM142" s="21"/>
      <c r="BBN142" s="21"/>
      <c r="BBO142" s="21"/>
      <c r="BBP142" s="21"/>
      <c r="BBQ142" s="21"/>
      <c r="BBR142" s="21"/>
      <c r="BBS142" s="21"/>
      <c r="BBT142" s="21"/>
      <c r="BBU142" s="21"/>
      <c r="BBV142" s="21"/>
      <c r="BBW142" s="21"/>
      <c r="BBX142" s="21"/>
      <c r="BBY142" s="21"/>
      <c r="BBZ142" s="21"/>
      <c r="BCA142" s="21"/>
      <c r="BCB142" s="21"/>
      <c r="BCC142" s="21"/>
      <c r="BCD142" s="21"/>
      <c r="BCE142" s="21"/>
      <c r="BCF142" s="21"/>
      <c r="BCG142" s="21"/>
      <c r="BCH142" s="21"/>
      <c r="BCI142" s="21"/>
      <c r="BCJ142" s="21"/>
      <c r="BCK142" s="21"/>
      <c r="BCL142" s="21"/>
      <c r="BCM142" s="21"/>
      <c r="BCN142" s="21"/>
      <c r="BCO142" s="21"/>
      <c r="BCP142" s="21"/>
      <c r="BCQ142" s="21"/>
      <c r="BCR142" s="21"/>
      <c r="BCS142" s="21"/>
      <c r="BCT142" s="21"/>
      <c r="BCU142" s="21"/>
      <c r="BCV142" s="21"/>
      <c r="BCW142" s="21"/>
      <c r="BCX142" s="21"/>
      <c r="BCY142" s="21"/>
      <c r="BCZ142" s="21"/>
      <c r="BDA142" s="21"/>
      <c r="BDB142" s="21"/>
      <c r="BDC142" s="21"/>
      <c r="BDD142" s="21"/>
      <c r="BDE142" s="21"/>
      <c r="BDF142" s="21"/>
      <c r="BDG142" s="21"/>
      <c r="BDH142" s="21"/>
      <c r="BDI142" s="21"/>
      <c r="BDJ142" s="21"/>
      <c r="BDK142" s="21"/>
      <c r="BDL142" s="21"/>
      <c r="BDM142" s="21"/>
      <c r="BDN142" s="21"/>
      <c r="BDO142" s="21"/>
      <c r="BDP142" s="21"/>
      <c r="BDQ142" s="21"/>
      <c r="BDR142" s="21"/>
      <c r="BDS142" s="21"/>
      <c r="BDT142" s="21"/>
      <c r="BDU142" s="21"/>
      <c r="BDV142" s="21"/>
      <c r="BDW142" s="21"/>
      <c r="BDX142" s="21"/>
      <c r="BDY142" s="21"/>
      <c r="BDZ142" s="21"/>
      <c r="BEA142" s="21"/>
      <c r="BEB142" s="21"/>
      <c r="BEC142" s="21"/>
      <c r="BED142" s="21"/>
      <c r="BEE142" s="21"/>
      <c r="BEF142" s="21"/>
      <c r="BEG142" s="21"/>
      <c r="BEH142" s="21"/>
      <c r="BEI142" s="21"/>
      <c r="BEJ142" s="21"/>
      <c r="BEK142" s="21"/>
      <c r="BEL142" s="21"/>
      <c r="BEM142" s="21"/>
      <c r="BEN142" s="21"/>
      <c r="BEO142" s="21"/>
      <c r="BEP142" s="21"/>
      <c r="BEQ142" s="21"/>
      <c r="BER142" s="21"/>
      <c r="BES142" s="21"/>
      <c r="BET142" s="21"/>
      <c r="BEU142" s="21"/>
      <c r="BEV142" s="21"/>
      <c r="BEW142" s="21"/>
      <c r="BEX142" s="21"/>
      <c r="BEY142" s="21"/>
      <c r="BEZ142" s="21"/>
      <c r="BFA142" s="21"/>
      <c r="BFB142" s="21"/>
      <c r="BFC142" s="21"/>
      <c r="BFD142" s="21"/>
      <c r="BFE142" s="21"/>
      <c r="BFF142" s="21"/>
      <c r="BFG142" s="21"/>
      <c r="BFH142" s="21"/>
      <c r="BFI142" s="21"/>
      <c r="BFJ142" s="21"/>
      <c r="BFK142" s="21"/>
      <c r="BFL142" s="21"/>
      <c r="BFM142" s="21"/>
      <c r="BFN142" s="21"/>
      <c r="BFO142" s="21"/>
      <c r="BFP142" s="21"/>
      <c r="BFQ142" s="21"/>
      <c r="BFR142" s="21"/>
      <c r="BFS142" s="21"/>
      <c r="BFT142" s="21"/>
      <c r="BFU142" s="21"/>
      <c r="BFV142" s="21"/>
      <c r="BFW142" s="21"/>
      <c r="BFX142" s="21"/>
      <c r="BFY142" s="21"/>
      <c r="BFZ142" s="21"/>
      <c r="BGA142" s="21"/>
      <c r="BGB142" s="21"/>
      <c r="BGC142" s="21"/>
      <c r="BGD142" s="21"/>
      <c r="BGE142" s="21"/>
      <c r="BGF142" s="21"/>
      <c r="BGG142" s="21"/>
      <c r="BGH142" s="21"/>
      <c r="BGI142" s="21"/>
      <c r="BGJ142" s="21"/>
      <c r="BGK142" s="21"/>
      <c r="BGL142" s="21"/>
      <c r="BGM142" s="21"/>
      <c r="BGN142" s="21"/>
      <c r="BGO142" s="21"/>
      <c r="BGP142" s="21"/>
      <c r="BGQ142" s="21"/>
      <c r="BGR142" s="21"/>
      <c r="BGS142" s="21"/>
      <c r="BGT142" s="21"/>
      <c r="BGU142" s="21"/>
      <c r="BGV142" s="21"/>
      <c r="BGW142" s="21"/>
      <c r="BGX142" s="21"/>
      <c r="BGY142" s="21"/>
      <c r="BGZ142" s="21"/>
      <c r="BHA142" s="21"/>
      <c r="BHB142" s="21"/>
      <c r="BHC142" s="21"/>
      <c r="BHD142" s="21"/>
      <c r="BHE142" s="21"/>
      <c r="BHF142" s="21"/>
      <c r="BHG142" s="21"/>
      <c r="BHH142" s="21"/>
      <c r="BHI142" s="21"/>
      <c r="BHJ142" s="21"/>
      <c r="BHK142" s="21"/>
      <c r="BHL142" s="21"/>
      <c r="BHM142" s="21"/>
      <c r="BHN142" s="21"/>
      <c r="BHO142" s="21"/>
      <c r="BHP142" s="21"/>
      <c r="BHQ142" s="21"/>
      <c r="BHR142" s="21"/>
      <c r="BHS142" s="21"/>
      <c r="BHT142" s="21"/>
      <c r="BHU142" s="21"/>
      <c r="BHV142" s="21"/>
      <c r="BHW142" s="21"/>
      <c r="BHX142" s="21"/>
      <c r="BHY142" s="21"/>
      <c r="BHZ142" s="21"/>
      <c r="BIA142" s="21"/>
      <c r="BIB142" s="21"/>
      <c r="BIC142" s="21"/>
      <c r="BID142" s="21"/>
      <c r="BIE142" s="21"/>
      <c r="BIF142" s="21"/>
      <c r="BIG142" s="21"/>
      <c r="BIH142" s="21"/>
      <c r="BII142" s="21"/>
      <c r="BIJ142" s="21"/>
      <c r="BIK142" s="21"/>
      <c r="BIL142" s="21"/>
      <c r="BIM142" s="21"/>
      <c r="BIN142" s="21"/>
      <c r="BIO142" s="21"/>
      <c r="BIP142" s="21"/>
      <c r="BIQ142" s="21"/>
      <c r="BIR142" s="21"/>
      <c r="BIS142" s="21"/>
      <c r="BIT142" s="21"/>
      <c r="BIU142" s="21"/>
      <c r="BIV142" s="21"/>
      <c r="BIW142" s="21"/>
      <c r="BIX142" s="21"/>
      <c r="BIY142" s="21"/>
      <c r="BIZ142" s="21"/>
      <c r="BJA142" s="21"/>
      <c r="BJB142" s="21"/>
      <c r="BJC142" s="21"/>
      <c r="BJD142" s="21"/>
      <c r="BJE142" s="21"/>
      <c r="BJF142" s="21"/>
      <c r="BJG142" s="21"/>
      <c r="BJH142" s="21"/>
      <c r="BJI142" s="21"/>
      <c r="BJJ142" s="21"/>
      <c r="BJK142" s="21"/>
      <c r="BJL142" s="21"/>
      <c r="BJM142" s="21"/>
      <c r="BJN142" s="21"/>
      <c r="BJO142" s="21"/>
      <c r="BJP142" s="21"/>
      <c r="BJQ142" s="21"/>
      <c r="BJR142" s="21"/>
      <c r="BJS142" s="21"/>
      <c r="BJT142" s="21"/>
      <c r="BJU142" s="21"/>
      <c r="BJV142" s="21"/>
      <c r="BJW142" s="21"/>
      <c r="BJX142" s="21"/>
      <c r="BJY142" s="21"/>
      <c r="BJZ142" s="21"/>
      <c r="BKA142" s="21"/>
      <c r="BKB142" s="21"/>
      <c r="BKC142" s="21"/>
      <c r="BKD142" s="21"/>
      <c r="BKE142" s="21"/>
      <c r="BKF142" s="21"/>
      <c r="BKG142" s="21"/>
      <c r="BKH142" s="21"/>
      <c r="BKI142" s="21"/>
      <c r="BKJ142" s="21"/>
      <c r="BKK142" s="21"/>
      <c r="BKL142" s="21"/>
      <c r="BKM142" s="21"/>
      <c r="BKN142" s="21"/>
      <c r="BKO142" s="21"/>
      <c r="BKP142" s="21"/>
      <c r="BKQ142" s="21"/>
      <c r="BKR142" s="21"/>
      <c r="BKS142" s="21"/>
      <c r="BKT142" s="21"/>
      <c r="BKU142" s="21"/>
      <c r="BKV142" s="21"/>
      <c r="BKW142" s="21"/>
      <c r="BKX142" s="21"/>
      <c r="BKY142" s="21"/>
      <c r="BKZ142" s="21"/>
      <c r="BLA142" s="21"/>
      <c r="BLB142" s="21"/>
      <c r="BLC142" s="21"/>
      <c r="BLD142" s="21"/>
      <c r="BLE142" s="21"/>
      <c r="BLF142" s="21"/>
      <c r="BLG142" s="21"/>
      <c r="BLH142" s="21"/>
      <c r="BLI142" s="21"/>
      <c r="BLJ142" s="21"/>
      <c r="BLK142" s="21"/>
      <c r="BLL142" s="21"/>
      <c r="BLM142" s="21"/>
      <c r="BLN142" s="21"/>
      <c r="BLO142" s="21"/>
      <c r="BLP142" s="21"/>
      <c r="BLQ142" s="21"/>
      <c r="BLR142" s="21"/>
      <c r="BLS142" s="21"/>
      <c r="BLT142" s="21"/>
      <c r="BLU142" s="21"/>
      <c r="BLV142" s="21"/>
      <c r="BLW142" s="21"/>
      <c r="BLX142" s="21"/>
      <c r="BLY142" s="21"/>
      <c r="BLZ142" s="21"/>
      <c r="BMA142" s="21"/>
      <c r="BMB142" s="21"/>
      <c r="BMC142" s="21"/>
      <c r="BMD142" s="21"/>
      <c r="BME142" s="21"/>
      <c r="BMF142" s="21"/>
      <c r="BMG142" s="21"/>
      <c r="BMH142" s="21"/>
      <c r="BMI142" s="21"/>
      <c r="BMJ142" s="21"/>
      <c r="BMK142" s="21"/>
      <c r="BML142" s="21"/>
      <c r="BMM142" s="21"/>
      <c r="BMN142" s="21"/>
      <c r="BMO142" s="21"/>
      <c r="BMP142" s="21"/>
      <c r="BMQ142" s="21"/>
      <c r="BMR142" s="21"/>
      <c r="BMS142" s="21"/>
      <c r="BMT142" s="21"/>
      <c r="BMU142" s="21"/>
      <c r="BMV142" s="21"/>
      <c r="BMW142" s="21"/>
      <c r="BMX142" s="21"/>
      <c r="BMY142" s="21"/>
      <c r="BMZ142" s="21"/>
      <c r="BNA142" s="21"/>
      <c r="BNB142" s="21"/>
      <c r="BNC142" s="21"/>
      <c r="BND142" s="21"/>
      <c r="BNE142" s="21"/>
      <c r="BNF142" s="21"/>
      <c r="BNG142" s="21"/>
      <c r="BNH142" s="21"/>
      <c r="BNI142" s="21"/>
      <c r="BNJ142" s="21"/>
      <c r="BNK142" s="21"/>
      <c r="BNL142" s="21"/>
      <c r="BNM142" s="21"/>
      <c r="BNN142" s="21"/>
      <c r="BNO142" s="21"/>
      <c r="BNP142" s="21"/>
      <c r="BNQ142" s="21"/>
      <c r="BNR142" s="21"/>
      <c r="BNS142" s="21"/>
      <c r="BNT142" s="21"/>
      <c r="BNU142" s="21"/>
      <c r="BNV142" s="21"/>
      <c r="BNW142" s="21"/>
      <c r="BNX142" s="21"/>
      <c r="BNY142" s="21"/>
      <c r="BNZ142" s="21"/>
      <c r="BOA142" s="21"/>
      <c r="BOB142" s="21"/>
      <c r="BOC142" s="21"/>
      <c r="BOD142" s="21"/>
      <c r="BOE142" s="21"/>
      <c r="BOF142" s="21"/>
      <c r="BOG142" s="21"/>
      <c r="BOH142" s="21"/>
      <c r="BOI142" s="21"/>
      <c r="BOJ142" s="21"/>
      <c r="BOK142" s="21"/>
      <c r="BOL142" s="21"/>
      <c r="BOM142" s="21"/>
      <c r="BON142" s="21"/>
      <c r="BOO142" s="21"/>
      <c r="BOP142" s="21"/>
      <c r="BOQ142" s="21"/>
      <c r="BOR142" s="21"/>
      <c r="BOS142" s="21"/>
      <c r="BOT142" s="21"/>
      <c r="BOU142" s="21"/>
      <c r="BOV142" s="21"/>
      <c r="BOW142" s="21"/>
      <c r="BOX142" s="21"/>
      <c r="BOY142" s="21"/>
      <c r="BOZ142" s="21"/>
      <c r="BPA142" s="21"/>
      <c r="BPB142" s="21"/>
      <c r="BPC142" s="21"/>
      <c r="BPD142" s="21"/>
      <c r="BPE142" s="21"/>
      <c r="BPF142" s="21"/>
      <c r="BPG142" s="21"/>
      <c r="BPH142" s="21"/>
      <c r="BPI142" s="21"/>
      <c r="BPJ142" s="21"/>
      <c r="BPK142" s="21"/>
      <c r="BPL142" s="21"/>
      <c r="BPM142" s="21"/>
      <c r="BPN142" s="21"/>
      <c r="BPO142" s="21"/>
      <c r="BPP142" s="21"/>
      <c r="BPQ142" s="21"/>
      <c r="BPR142" s="21"/>
      <c r="BPS142" s="21"/>
      <c r="BPT142" s="21"/>
      <c r="BPU142" s="21"/>
      <c r="BPV142" s="21"/>
      <c r="BPW142" s="21"/>
      <c r="BPX142" s="21"/>
      <c r="BPY142" s="21"/>
      <c r="BPZ142" s="21"/>
      <c r="BQA142" s="21"/>
      <c r="BQB142" s="21"/>
      <c r="BQC142" s="21"/>
      <c r="BQD142" s="21"/>
      <c r="BQE142" s="21"/>
      <c r="BQF142" s="21"/>
      <c r="BQG142" s="21"/>
      <c r="BQH142" s="21"/>
      <c r="BQI142" s="21"/>
      <c r="BQJ142" s="21"/>
      <c r="BQK142" s="21"/>
      <c r="BQL142" s="21"/>
      <c r="BQM142" s="21"/>
      <c r="BQN142" s="21"/>
      <c r="BQO142" s="21"/>
      <c r="BQP142" s="21"/>
      <c r="BQQ142" s="21"/>
      <c r="BQR142" s="21"/>
      <c r="BQS142" s="21"/>
      <c r="BQT142" s="21"/>
      <c r="BQU142" s="21"/>
      <c r="BQV142" s="21"/>
      <c r="BQW142" s="21"/>
      <c r="BQX142" s="21"/>
      <c r="BQY142" s="21"/>
      <c r="BQZ142" s="21"/>
      <c r="BRA142" s="21"/>
      <c r="BRB142" s="21"/>
      <c r="BRC142" s="21"/>
      <c r="BRD142" s="21"/>
      <c r="BRE142" s="21"/>
      <c r="BRF142" s="21"/>
      <c r="BRG142" s="21"/>
      <c r="BRH142" s="21"/>
      <c r="BRI142" s="21"/>
      <c r="BRJ142" s="21"/>
      <c r="BRK142" s="21"/>
      <c r="BRL142" s="21"/>
      <c r="BRM142" s="21"/>
      <c r="BRN142" s="21"/>
      <c r="BRO142" s="21"/>
      <c r="BRP142" s="21"/>
      <c r="BRQ142" s="21"/>
      <c r="BRR142" s="21"/>
      <c r="BRS142" s="21"/>
      <c r="BRT142" s="21"/>
      <c r="BRU142" s="21"/>
      <c r="BRV142" s="21"/>
      <c r="BRW142" s="21"/>
      <c r="BRX142" s="21"/>
      <c r="BRY142" s="21"/>
      <c r="BRZ142" s="21"/>
      <c r="BSA142" s="21"/>
      <c r="BSB142" s="21"/>
      <c r="BSC142" s="21"/>
      <c r="BSD142" s="21"/>
      <c r="BSE142" s="21"/>
      <c r="BSF142" s="21"/>
      <c r="BSG142" s="21"/>
      <c r="BSH142" s="21"/>
      <c r="BSI142" s="21"/>
      <c r="BSJ142" s="21"/>
      <c r="BSK142" s="21"/>
      <c r="BSL142" s="21"/>
      <c r="BSM142" s="21"/>
      <c r="BSN142" s="21"/>
      <c r="BSO142" s="21"/>
      <c r="BSP142" s="21"/>
      <c r="BSQ142" s="21"/>
      <c r="BSR142" s="21"/>
      <c r="BSS142" s="21"/>
      <c r="BST142" s="21"/>
      <c r="BSU142" s="21"/>
      <c r="BSV142" s="21"/>
      <c r="BSW142" s="21"/>
      <c r="BSX142" s="21"/>
      <c r="BSY142" s="21"/>
      <c r="BSZ142" s="21"/>
      <c r="BTA142" s="21"/>
      <c r="BTB142" s="21"/>
      <c r="BTC142" s="21"/>
      <c r="BTD142" s="21"/>
      <c r="BTE142" s="21"/>
      <c r="BTF142" s="21"/>
      <c r="BTG142" s="21"/>
      <c r="BTH142" s="21"/>
      <c r="BTI142" s="21"/>
      <c r="BTJ142" s="21"/>
      <c r="BTK142" s="21"/>
      <c r="BTL142" s="21"/>
      <c r="BTM142" s="21"/>
      <c r="BTN142" s="21"/>
      <c r="BTO142" s="21"/>
      <c r="BTP142" s="21"/>
      <c r="BTQ142" s="21"/>
      <c r="BTR142" s="21"/>
      <c r="BTS142" s="21"/>
      <c r="BTT142" s="21"/>
      <c r="BTU142" s="21"/>
      <c r="BTV142" s="21"/>
      <c r="BTW142" s="21"/>
      <c r="BTX142" s="21"/>
      <c r="BTY142" s="21"/>
      <c r="BTZ142" s="21"/>
      <c r="BUA142" s="21"/>
      <c r="BUB142" s="21"/>
      <c r="BUC142" s="21"/>
      <c r="BUD142" s="21"/>
      <c r="BUE142" s="21"/>
      <c r="BUF142" s="21"/>
      <c r="BUG142" s="21"/>
      <c r="BUH142" s="21"/>
      <c r="BUI142" s="21"/>
      <c r="BUJ142" s="21"/>
      <c r="BUK142" s="21"/>
      <c r="BUL142" s="21"/>
      <c r="BUM142" s="21"/>
      <c r="BUN142" s="21"/>
      <c r="BUO142" s="21"/>
      <c r="BUP142" s="21"/>
      <c r="BUQ142" s="21"/>
      <c r="BUR142" s="21"/>
      <c r="BUS142" s="21"/>
      <c r="BUT142" s="21"/>
      <c r="BUU142" s="21"/>
      <c r="BUV142" s="21"/>
      <c r="BUW142" s="21"/>
      <c r="BUX142" s="21"/>
      <c r="BUY142" s="21"/>
      <c r="BUZ142" s="21"/>
      <c r="BVA142" s="21"/>
      <c r="BVB142" s="21"/>
      <c r="BVC142" s="21"/>
      <c r="BVD142" s="21"/>
      <c r="BVE142" s="21"/>
      <c r="BVF142" s="21"/>
      <c r="BVG142" s="21"/>
      <c r="BVH142" s="21"/>
      <c r="BVI142" s="21"/>
      <c r="BVJ142" s="21"/>
      <c r="BVK142" s="21"/>
      <c r="BVL142" s="21"/>
      <c r="BVM142" s="21"/>
      <c r="BVN142" s="21"/>
      <c r="BVO142" s="21"/>
      <c r="BVP142" s="21"/>
      <c r="BVQ142" s="21"/>
      <c r="BVR142" s="21"/>
      <c r="BVS142" s="21"/>
      <c r="BVT142" s="21"/>
      <c r="BVU142" s="21"/>
      <c r="BVV142" s="21"/>
      <c r="BVW142" s="21"/>
      <c r="BVX142" s="21"/>
      <c r="BVY142" s="21"/>
      <c r="BVZ142" s="21"/>
      <c r="BWA142" s="21"/>
      <c r="BWB142" s="21"/>
      <c r="BWC142" s="21"/>
      <c r="BWD142" s="21"/>
      <c r="BWE142" s="21"/>
      <c r="BWF142" s="21"/>
      <c r="BWG142" s="21"/>
      <c r="BWH142" s="21"/>
      <c r="BWI142" s="21"/>
      <c r="BWJ142" s="21"/>
      <c r="BWK142" s="21"/>
      <c r="BWL142" s="21"/>
      <c r="BWM142" s="21"/>
      <c r="BWN142" s="21"/>
      <c r="BWO142" s="21"/>
      <c r="BWP142" s="21"/>
      <c r="BWQ142" s="21"/>
      <c r="BWR142" s="21"/>
      <c r="BWS142" s="21"/>
      <c r="BWT142" s="21"/>
      <c r="BWU142" s="21"/>
      <c r="BWV142" s="21"/>
      <c r="BWW142" s="21"/>
      <c r="BWX142" s="21"/>
      <c r="BWY142" s="21"/>
      <c r="BWZ142" s="21"/>
      <c r="BXA142" s="21"/>
      <c r="BXB142" s="21"/>
      <c r="BXC142" s="21"/>
      <c r="BXD142" s="21"/>
      <c r="BXE142" s="21"/>
      <c r="BXF142" s="21"/>
      <c r="BXG142" s="21"/>
      <c r="BXH142" s="21"/>
      <c r="BXI142" s="21"/>
      <c r="BXJ142" s="21"/>
      <c r="BXK142" s="21"/>
      <c r="BXL142" s="21"/>
      <c r="BXM142" s="21"/>
      <c r="BXN142" s="21"/>
      <c r="BXO142" s="21"/>
      <c r="BXP142" s="21"/>
      <c r="BXQ142" s="21"/>
      <c r="BXR142" s="21"/>
      <c r="BXS142" s="21"/>
      <c r="BXT142" s="21"/>
      <c r="BXU142" s="21"/>
      <c r="BXV142" s="21"/>
      <c r="BXW142" s="21"/>
      <c r="BXX142" s="21"/>
      <c r="BXY142" s="21"/>
      <c r="BXZ142" s="21"/>
      <c r="BYA142" s="21"/>
      <c r="BYB142" s="21"/>
      <c r="BYC142" s="21"/>
      <c r="BYD142" s="21"/>
      <c r="BYE142" s="21"/>
      <c r="BYF142" s="21"/>
      <c r="BYG142" s="21"/>
      <c r="BYH142" s="21"/>
      <c r="BYI142" s="21"/>
      <c r="BYJ142" s="21"/>
      <c r="BYK142" s="21"/>
      <c r="BYL142" s="21"/>
      <c r="BYM142" s="21"/>
      <c r="BYN142" s="21"/>
      <c r="BYO142" s="21"/>
      <c r="BYP142" s="21"/>
      <c r="BYQ142" s="21"/>
      <c r="BYR142" s="21"/>
      <c r="BYS142" s="21"/>
      <c r="BYT142" s="21"/>
      <c r="BYU142" s="21"/>
      <c r="BYV142" s="21"/>
      <c r="BYW142" s="21"/>
      <c r="BYX142" s="21"/>
      <c r="BYY142" s="21"/>
      <c r="BYZ142" s="21"/>
      <c r="BZA142" s="21"/>
      <c r="BZB142" s="21"/>
      <c r="BZC142" s="21"/>
      <c r="BZD142" s="21"/>
      <c r="BZE142" s="21"/>
      <c r="BZF142" s="21"/>
      <c r="BZG142" s="21"/>
      <c r="BZH142" s="21"/>
      <c r="BZI142" s="21"/>
      <c r="BZJ142" s="21"/>
      <c r="BZK142" s="21"/>
      <c r="BZL142" s="21"/>
      <c r="BZM142" s="21"/>
      <c r="BZN142" s="21"/>
      <c r="BZO142" s="21"/>
      <c r="BZP142" s="21"/>
      <c r="BZQ142" s="21"/>
      <c r="BZR142" s="21"/>
      <c r="BZS142" s="21"/>
      <c r="BZT142" s="21"/>
      <c r="BZU142" s="21"/>
      <c r="BZV142" s="21"/>
      <c r="BZW142" s="21"/>
      <c r="BZX142" s="21"/>
      <c r="BZY142" s="21"/>
      <c r="BZZ142" s="21"/>
      <c r="CAA142" s="21"/>
      <c r="CAB142" s="21"/>
      <c r="CAC142" s="21"/>
      <c r="CAD142" s="21"/>
      <c r="CAE142" s="21"/>
      <c r="CAF142" s="21"/>
      <c r="CAG142" s="21"/>
      <c r="CAH142" s="21"/>
      <c r="CAI142" s="21"/>
      <c r="CAJ142" s="21"/>
      <c r="CAK142" s="21"/>
      <c r="CAL142" s="21"/>
      <c r="CAM142" s="21"/>
      <c r="CAN142" s="21"/>
      <c r="CAO142" s="21"/>
      <c r="CAP142" s="21"/>
      <c r="CAQ142" s="21"/>
      <c r="CAR142" s="21"/>
      <c r="CAS142" s="21"/>
      <c r="CAT142" s="21"/>
      <c r="CAU142" s="21"/>
      <c r="CAV142" s="21"/>
      <c r="CAW142" s="21"/>
      <c r="CAX142" s="21"/>
      <c r="CAY142" s="21"/>
      <c r="CAZ142" s="21"/>
      <c r="CBA142" s="21"/>
      <c r="CBB142" s="21"/>
      <c r="CBC142" s="21"/>
      <c r="CBD142" s="21"/>
      <c r="CBE142" s="21"/>
      <c r="CBF142" s="21"/>
      <c r="CBG142" s="21"/>
      <c r="CBH142" s="21"/>
      <c r="CBI142" s="21"/>
      <c r="CBJ142" s="21"/>
      <c r="CBK142" s="21"/>
      <c r="CBL142" s="21"/>
      <c r="CBM142" s="21"/>
      <c r="CBN142" s="21"/>
      <c r="CBO142" s="21"/>
      <c r="CBP142" s="21"/>
      <c r="CBQ142" s="21"/>
      <c r="CBR142" s="21"/>
      <c r="CBS142" s="21"/>
      <c r="CBT142" s="21"/>
      <c r="CBU142" s="21"/>
      <c r="CBV142" s="21"/>
      <c r="CBW142" s="21"/>
      <c r="CBX142" s="21"/>
      <c r="CBY142" s="21"/>
      <c r="CBZ142" s="21"/>
      <c r="CCA142" s="21"/>
      <c r="CCB142" s="21"/>
      <c r="CCC142" s="21"/>
      <c r="CCD142" s="21"/>
      <c r="CCE142" s="21"/>
      <c r="CCF142" s="21"/>
      <c r="CCG142" s="21"/>
      <c r="CCH142" s="21"/>
      <c r="CCI142" s="21"/>
      <c r="CCJ142" s="21"/>
      <c r="CCK142" s="21"/>
      <c r="CCL142" s="21"/>
      <c r="CCM142" s="21"/>
      <c r="CCN142" s="21"/>
      <c r="CCO142" s="21"/>
      <c r="CCP142" s="21"/>
      <c r="CCQ142" s="21"/>
      <c r="CCR142" s="21"/>
      <c r="CCS142" s="21"/>
      <c r="CCT142" s="21"/>
      <c r="CCU142" s="21"/>
      <c r="CCV142" s="21"/>
      <c r="CCW142" s="21"/>
      <c r="CCX142" s="21"/>
      <c r="CCY142" s="21"/>
      <c r="CCZ142" s="21"/>
      <c r="CDA142" s="21"/>
      <c r="CDB142" s="21"/>
      <c r="CDC142" s="21"/>
      <c r="CDD142" s="21"/>
      <c r="CDE142" s="21"/>
      <c r="CDF142" s="21"/>
      <c r="CDG142" s="21"/>
      <c r="CDH142" s="21"/>
      <c r="CDI142" s="21"/>
      <c r="CDJ142" s="21"/>
      <c r="CDK142" s="21"/>
      <c r="CDL142" s="21"/>
      <c r="CDM142" s="21"/>
      <c r="CDN142" s="21"/>
      <c r="CDO142" s="21"/>
      <c r="CDP142" s="21"/>
      <c r="CDQ142" s="21"/>
      <c r="CDR142" s="21"/>
      <c r="CDS142" s="21"/>
      <c r="CDT142" s="21"/>
      <c r="CDU142" s="21"/>
      <c r="CDV142" s="21"/>
      <c r="CDW142" s="21"/>
      <c r="CDX142" s="21"/>
      <c r="CDY142" s="21"/>
      <c r="CDZ142" s="21"/>
      <c r="CEA142" s="21"/>
      <c r="CEB142" s="21"/>
      <c r="CEC142" s="21"/>
      <c r="CED142" s="21"/>
      <c r="CEE142" s="21"/>
      <c r="CEF142" s="21"/>
      <c r="CEG142" s="21"/>
      <c r="CEH142" s="21"/>
      <c r="CEI142" s="21"/>
      <c r="CEJ142" s="21"/>
      <c r="CEK142" s="21"/>
      <c r="CEL142" s="21"/>
      <c r="CEM142" s="21"/>
      <c r="CEN142" s="21"/>
      <c r="CEO142" s="21"/>
      <c r="CEP142" s="21"/>
      <c r="CEQ142" s="21"/>
      <c r="CER142" s="21"/>
      <c r="CES142" s="21"/>
      <c r="CET142" s="21"/>
      <c r="CEU142" s="21"/>
      <c r="CEV142" s="21"/>
      <c r="CEW142" s="21"/>
      <c r="CEX142" s="21"/>
      <c r="CEY142" s="21"/>
      <c r="CEZ142" s="21"/>
      <c r="CFA142" s="21"/>
      <c r="CFB142" s="21"/>
      <c r="CFC142" s="21"/>
      <c r="CFD142" s="21"/>
      <c r="CFE142" s="21"/>
      <c r="CFF142" s="21"/>
      <c r="CFG142" s="21"/>
      <c r="CFH142" s="21"/>
      <c r="CFI142" s="21"/>
      <c r="CFJ142" s="21"/>
      <c r="CFK142" s="21"/>
      <c r="CFL142" s="21"/>
      <c r="CFM142" s="21"/>
      <c r="CFN142" s="21"/>
      <c r="CFO142" s="21"/>
      <c r="CFP142" s="21"/>
      <c r="CFQ142" s="21"/>
      <c r="CFR142" s="21"/>
      <c r="CFS142" s="21"/>
      <c r="CFT142" s="21"/>
      <c r="CFU142" s="21"/>
      <c r="CFV142" s="21"/>
      <c r="CFW142" s="21"/>
      <c r="CFX142" s="21"/>
      <c r="CFY142" s="21"/>
      <c r="CFZ142" s="21"/>
      <c r="CGA142" s="21"/>
      <c r="CGB142" s="21"/>
      <c r="CGC142" s="21"/>
      <c r="CGD142" s="21"/>
      <c r="CGE142" s="21"/>
      <c r="CGF142" s="21"/>
      <c r="CGG142" s="21"/>
      <c r="CGH142" s="21"/>
      <c r="CGI142" s="21"/>
      <c r="CGJ142" s="21"/>
      <c r="CGK142" s="21"/>
      <c r="CGL142" s="21"/>
      <c r="CGM142" s="21"/>
      <c r="CGN142" s="21"/>
      <c r="CGO142" s="21"/>
      <c r="CGP142" s="21"/>
      <c r="CGQ142" s="21"/>
      <c r="CGR142" s="21"/>
      <c r="CGS142" s="21"/>
      <c r="CGT142" s="21"/>
      <c r="CGU142" s="21"/>
      <c r="CGV142" s="21"/>
      <c r="CGW142" s="21"/>
      <c r="CGX142" s="21"/>
      <c r="CGY142" s="21"/>
      <c r="CGZ142" s="21"/>
      <c r="CHA142" s="21"/>
      <c r="CHB142" s="21"/>
      <c r="CHC142" s="21"/>
      <c r="CHD142" s="21"/>
      <c r="CHE142" s="21"/>
      <c r="CHF142" s="21"/>
      <c r="CHG142" s="21"/>
      <c r="CHH142" s="21"/>
      <c r="CHI142" s="21"/>
      <c r="CHJ142" s="21"/>
      <c r="CHK142" s="21"/>
      <c r="CHL142" s="21"/>
      <c r="CHM142" s="21"/>
      <c r="CHN142" s="21"/>
      <c r="CHO142" s="21"/>
      <c r="CHP142" s="21"/>
      <c r="CHQ142" s="21"/>
      <c r="CHR142" s="21"/>
      <c r="CHS142" s="21"/>
      <c r="CHT142" s="21"/>
      <c r="CHU142" s="21"/>
      <c r="CHV142" s="21"/>
      <c r="CHW142" s="21"/>
      <c r="CHX142" s="21"/>
      <c r="CHY142" s="21"/>
      <c r="CHZ142" s="21"/>
      <c r="CIA142" s="21"/>
      <c r="CIB142" s="21"/>
      <c r="CIC142" s="21"/>
      <c r="CID142" s="21"/>
      <c r="CIE142" s="21"/>
      <c r="CIF142" s="21"/>
      <c r="CIG142" s="21"/>
      <c r="CIH142" s="21"/>
      <c r="CII142" s="21"/>
      <c r="CIJ142" s="21"/>
      <c r="CIK142" s="21"/>
      <c r="CIL142" s="21"/>
      <c r="CIM142" s="21"/>
      <c r="CIN142" s="21"/>
      <c r="CIO142" s="21"/>
      <c r="CIP142" s="21"/>
      <c r="CIQ142" s="21"/>
      <c r="CIR142" s="21"/>
      <c r="CIS142" s="21"/>
      <c r="CIT142" s="21"/>
      <c r="CIU142" s="21"/>
      <c r="CIV142" s="21"/>
      <c r="CIW142" s="21"/>
      <c r="CIX142" s="21"/>
      <c r="CIY142" s="21"/>
      <c r="CIZ142" s="21"/>
      <c r="CJA142" s="21"/>
      <c r="CJB142" s="21"/>
      <c r="CJC142" s="21"/>
      <c r="CJD142" s="21"/>
      <c r="CJE142" s="21"/>
      <c r="CJF142" s="21"/>
      <c r="CJG142" s="21"/>
      <c r="CJH142" s="21"/>
      <c r="CJI142" s="21"/>
      <c r="CJJ142" s="21"/>
      <c r="CJK142" s="21"/>
      <c r="CJL142" s="21"/>
      <c r="CJM142" s="21"/>
      <c r="CJN142" s="21"/>
      <c r="CJO142" s="21"/>
      <c r="CJP142" s="21"/>
      <c r="CJQ142" s="21"/>
      <c r="CJR142" s="21"/>
      <c r="CJS142" s="21"/>
      <c r="CJT142" s="21"/>
      <c r="CJU142" s="21"/>
      <c r="CJV142" s="21"/>
      <c r="CJW142" s="21"/>
      <c r="CJX142" s="21"/>
      <c r="CJY142" s="21"/>
      <c r="CJZ142" s="21"/>
      <c r="CKA142" s="21"/>
      <c r="CKB142" s="21"/>
      <c r="CKC142" s="21"/>
      <c r="CKD142" s="21"/>
      <c r="CKE142" s="21"/>
      <c r="CKF142" s="21"/>
      <c r="CKG142" s="21"/>
      <c r="CKH142" s="21"/>
      <c r="CKI142" s="21"/>
      <c r="CKJ142" s="21"/>
      <c r="CKK142" s="21"/>
      <c r="CKL142" s="21"/>
      <c r="CKM142" s="21"/>
      <c r="CKN142" s="21"/>
      <c r="CKO142" s="21"/>
      <c r="CKP142" s="21"/>
      <c r="CKQ142" s="21"/>
      <c r="CKR142" s="21"/>
      <c r="CKS142" s="21"/>
      <c r="CKT142" s="21"/>
      <c r="CKU142" s="21"/>
      <c r="CKV142" s="21"/>
      <c r="CKW142" s="21"/>
      <c r="CKX142" s="21"/>
      <c r="CKY142" s="21"/>
      <c r="CKZ142" s="21"/>
      <c r="CLA142" s="21"/>
      <c r="CLB142" s="21"/>
      <c r="CLC142" s="21"/>
      <c r="CLD142" s="21"/>
      <c r="CLE142" s="21"/>
      <c r="CLF142" s="21"/>
      <c r="CLG142" s="21"/>
      <c r="CLH142" s="21"/>
      <c r="CLI142" s="21"/>
      <c r="CLJ142" s="21"/>
      <c r="CLK142" s="21"/>
      <c r="CLL142" s="21"/>
      <c r="CLM142" s="21"/>
      <c r="CLN142" s="21"/>
      <c r="CLO142" s="21"/>
      <c r="CLP142" s="21"/>
      <c r="CLQ142" s="21"/>
      <c r="CLR142" s="21"/>
      <c r="CLS142" s="21"/>
      <c r="CLT142" s="21"/>
      <c r="CLU142" s="21"/>
      <c r="CLV142" s="21"/>
      <c r="CLW142" s="21"/>
      <c r="CLX142" s="21"/>
      <c r="CLY142" s="21"/>
      <c r="CLZ142" s="21"/>
      <c r="CMA142" s="21"/>
      <c r="CMB142" s="21"/>
      <c r="CMC142" s="21"/>
      <c r="CMD142" s="21"/>
      <c r="CME142" s="21"/>
      <c r="CMF142" s="21"/>
      <c r="CMG142" s="21"/>
      <c r="CMH142" s="21"/>
      <c r="CMI142" s="21"/>
      <c r="CMJ142" s="21"/>
      <c r="CMK142" s="21"/>
      <c r="CML142" s="21"/>
      <c r="CMM142" s="21"/>
      <c r="CMN142" s="21"/>
      <c r="CMO142" s="21"/>
      <c r="CMP142" s="21"/>
      <c r="CMQ142" s="21"/>
      <c r="CMR142" s="21"/>
      <c r="CMS142" s="21"/>
      <c r="CMT142" s="21"/>
      <c r="CMU142" s="21"/>
      <c r="CMV142" s="21"/>
      <c r="CMW142" s="21"/>
      <c r="CMX142" s="21"/>
      <c r="CMY142" s="21"/>
      <c r="CMZ142" s="21"/>
      <c r="CNA142" s="21"/>
      <c r="CNB142" s="21"/>
      <c r="CNC142" s="21"/>
      <c r="CND142" s="21"/>
      <c r="CNE142" s="21"/>
      <c r="CNF142" s="21"/>
      <c r="CNG142" s="21"/>
      <c r="CNH142" s="21"/>
      <c r="CNI142" s="21"/>
      <c r="CNJ142" s="21"/>
      <c r="CNK142" s="21"/>
      <c r="CNL142" s="21"/>
      <c r="CNM142" s="21"/>
      <c r="CNN142" s="21"/>
      <c r="CNO142" s="21"/>
      <c r="CNP142" s="21"/>
      <c r="CNQ142" s="21"/>
      <c r="CNR142" s="21"/>
      <c r="CNS142" s="21"/>
      <c r="CNT142" s="21"/>
      <c r="CNU142" s="21"/>
      <c r="CNV142" s="21"/>
      <c r="CNW142" s="21"/>
      <c r="CNX142" s="21"/>
      <c r="CNY142" s="21"/>
      <c r="CNZ142" s="21"/>
      <c r="COA142" s="21"/>
      <c r="COB142" s="21"/>
      <c r="COC142" s="21"/>
      <c r="COD142" s="21"/>
      <c r="COE142" s="21"/>
      <c r="COF142" s="21"/>
      <c r="COG142" s="21"/>
      <c r="COH142" s="21"/>
      <c r="COI142" s="21"/>
      <c r="COJ142" s="21"/>
      <c r="COK142" s="21"/>
      <c r="COL142" s="21"/>
      <c r="COM142" s="21"/>
      <c r="CON142" s="21"/>
      <c r="COO142" s="21"/>
      <c r="COP142" s="21"/>
      <c r="COQ142" s="21"/>
      <c r="COR142" s="21"/>
      <c r="COS142" s="21"/>
      <c r="COT142" s="21"/>
      <c r="COU142" s="21"/>
      <c r="COV142" s="21"/>
      <c r="COW142" s="21"/>
      <c r="COX142" s="21"/>
      <c r="COY142" s="21"/>
      <c r="COZ142" s="21"/>
      <c r="CPA142" s="21"/>
      <c r="CPB142" s="21"/>
      <c r="CPC142" s="21"/>
      <c r="CPD142" s="21"/>
      <c r="CPE142" s="21"/>
      <c r="CPF142" s="21"/>
      <c r="CPG142" s="21"/>
      <c r="CPH142" s="21"/>
      <c r="CPI142" s="21"/>
      <c r="CPJ142" s="21"/>
      <c r="CPK142" s="21"/>
      <c r="CPL142" s="21"/>
      <c r="CPM142" s="21"/>
      <c r="CPN142" s="21"/>
      <c r="CPO142" s="21"/>
      <c r="CPP142" s="21"/>
      <c r="CPQ142" s="21"/>
      <c r="CPR142" s="21"/>
      <c r="CPS142" s="21"/>
      <c r="CPT142" s="21"/>
      <c r="CPU142" s="21"/>
      <c r="CPV142" s="21"/>
      <c r="CPW142" s="21"/>
      <c r="CPX142" s="21"/>
      <c r="CPY142" s="21"/>
      <c r="CPZ142" s="21"/>
      <c r="CQA142" s="21"/>
      <c r="CQB142" s="21"/>
      <c r="CQC142" s="21"/>
      <c r="CQD142" s="21"/>
      <c r="CQE142" s="21"/>
      <c r="CQF142" s="21"/>
      <c r="CQG142" s="21"/>
      <c r="CQH142" s="21"/>
      <c r="CQI142" s="21"/>
      <c r="CQJ142" s="21"/>
      <c r="CQK142" s="21"/>
      <c r="CQL142" s="21"/>
      <c r="CQM142" s="21"/>
      <c r="CQN142" s="21"/>
      <c r="CQO142" s="21"/>
      <c r="CQP142" s="21"/>
      <c r="CQQ142" s="21"/>
      <c r="CQR142" s="21"/>
      <c r="CQS142" s="21"/>
      <c r="CQT142" s="21"/>
      <c r="CQU142" s="21"/>
      <c r="CQV142" s="21"/>
      <c r="CQW142" s="21"/>
      <c r="CQX142" s="21"/>
      <c r="CQY142" s="21"/>
      <c r="CQZ142" s="21"/>
      <c r="CRA142" s="21"/>
      <c r="CRB142" s="21"/>
      <c r="CRC142" s="21"/>
      <c r="CRD142" s="21"/>
      <c r="CRE142" s="21"/>
      <c r="CRF142" s="21"/>
      <c r="CRG142" s="21"/>
      <c r="CRH142" s="21"/>
      <c r="CRI142" s="21"/>
      <c r="CRJ142" s="21"/>
      <c r="CRK142" s="21"/>
      <c r="CRL142" s="21"/>
      <c r="CRM142" s="21"/>
      <c r="CRN142" s="21"/>
      <c r="CRO142" s="21"/>
      <c r="CRP142" s="21"/>
      <c r="CRQ142" s="21"/>
      <c r="CRR142" s="21"/>
      <c r="CRS142" s="21"/>
      <c r="CRT142" s="21"/>
      <c r="CRU142" s="21"/>
      <c r="CRV142" s="21"/>
      <c r="CRW142" s="21"/>
      <c r="CRX142" s="21"/>
      <c r="CRY142" s="21"/>
      <c r="CRZ142" s="21"/>
      <c r="CSA142" s="21"/>
      <c r="CSB142" s="21"/>
      <c r="CSC142" s="21"/>
      <c r="CSD142" s="21"/>
      <c r="CSE142" s="21"/>
      <c r="CSF142" s="21"/>
      <c r="CSG142" s="21"/>
      <c r="CSH142" s="21"/>
      <c r="CSI142" s="21"/>
      <c r="CSJ142" s="21"/>
      <c r="CSK142" s="21"/>
      <c r="CSL142" s="21"/>
      <c r="CSM142" s="21"/>
      <c r="CSN142" s="21"/>
      <c r="CSO142" s="21"/>
      <c r="CSP142" s="21"/>
      <c r="CSQ142" s="21"/>
      <c r="CSR142" s="21"/>
      <c r="CSS142" s="21"/>
      <c r="CST142" s="21"/>
      <c r="CSU142" s="21"/>
      <c r="CSV142" s="21"/>
      <c r="CSW142" s="21"/>
      <c r="CSX142" s="21"/>
      <c r="CSY142" s="21"/>
      <c r="CSZ142" s="21"/>
      <c r="CTA142" s="21"/>
      <c r="CTB142" s="21"/>
      <c r="CTC142" s="21"/>
      <c r="CTD142" s="21"/>
      <c r="CTE142" s="21"/>
      <c r="CTF142" s="21"/>
      <c r="CTG142" s="21"/>
      <c r="CTH142" s="21"/>
      <c r="CTI142" s="21"/>
      <c r="CTJ142" s="21"/>
      <c r="CTK142" s="21"/>
      <c r="CTL142" s="21"/>
      <c r="CTM142" s="21"/>
      <c r="CTN142" s="21"/>
      <c r="CTO142" s="21"/>
      <c r="CTP142" s="21"/>
      <c r="CTQ142" s="21"/>
      <c r="CTR142" s="21"/>
      <c r="CTS142" s="21"/>
      <c r="CTT142" s="21"/>
      <c r="CTU142" s="21"/>
      <c r="CTV142" s="21"/>
      <c r="CTW142" s="21"/>
      <c r="CTX142" s="21"/>
      <c r="CTY142" s="21"/>
      <c r="CTZ142" s="21"/>
      <c r="CUA142" s="21"/>
      <c r="CUB142" s="21"/>
      <c r="CUC142" s="21"/>
      <c r="CUD142" s="21"/>
      <c r="CUE142" s="21"/>
      <c r="CUF142" s="21"/>
      <c r="CUG142" s="21"/>
      <c r="CUH142" s="21"/>
      <c r="CUI142" s="21"/>
      <c r="CUJ142" s="21"/>
      <c r="CUK142" s="21"/>
      <c r="CUL142" s="21"/>
      <c r="CUM142" s="21"/>
      <c r="CUN142" s="21"/>
      <c r="CUO142" s="21"/>
      <c r="CUP142" s="21"/>
      <c r="CUQ142" s="21"/>
      <c r="CUR142" s="21"/>
      <c r="CUS142" s="21"/>
      <c r="CUT142" s="21"/>
      <c r="CUU142" s="21"/>
      <c r="CUV142" s="21"/>
      <c r="CUW142" s="21"/>
      <c r="CUX142" s="21"/>
      <c r="CUY142" s="21"/>
      <c r="CUZ142" s="21"/>
      <c r="CVA142" s="21"/>
      <c r="CVB142" s="21"/>
      <c r="CVC142" s="21"/>
      <c r="CVD142" s="21"/>
      <c r="CVE142" s="21"/>
      <c r="CVF142" s="21"/>
      <c r="CVG142" s="21"/>
      <c r="CVH142" s="21"/>
      <c r="CVI142" s="21"/>
      <c r="CVJ142" s="21"/>
      <c r="CVK142" s="21"/>
      <c r="CVL142" s="21"/>
      <c r="CVM142" s="21"/>
      <c r="CVN142" s="21"/>
      <c r="CVO142" s="21"/>
      <c r="CVP142" s="21"/>
      <c r="CVQ142" s="21"/>
      <c r="CVR142" s="21"/>
      <c r="CVS142" s="21"/>
      <c r="CVT142" s="21"/>
      <c r="CVU142" s="21"/>
      <c r="CVV142" s="21"/>
      <c r="CVW142" s="21"/>
      <c r="CVX142" s="21"/>
      <c r="CVY142" s="21"/>
      <c r="CVZ142" s="21"/>
      <c r="CWA142" s="21"/>
      <c r="CWB142" s="21"/>
      <c r="CWC142" s="21"/>
      <c r="CWD142" s="21"/>
      <c r="CWE142" s="21"/>
      <c r="CWF142" s="21"/>
      <c r="CWG142" s="21"/>
      <c r="CWH142" s="21"/>
      <c r="CWI142" s="21"/>
      <c r="CWJ142" s="21"/>
      <c r="CWK142" s="21"/>
      <c r="CWL142" s="21"/>
      <c r="CWM142" s="21"/>
      <c r="CWN142" s="21"/>
      <c r="CWO142" s="21"/>
      <c r="CWP142" s="21"/>
      <c r="CWQ142" s="21"/>
      <c r="CWR142" s="21"/>
      <c r="CWS142" s="21"/>
      <c r="CWT142" s="21"/>
      <c r="CWU142" s="21"/>
      <c r="CWV142" s="21"/>
      <c r="CWW142" s="21"/>
      <c r="CWX142" s="21"/>
      <c r="CWY142" s="21"/>
      <c r="CWZ142" s="21"/>
      <c r="CXA142" s="21"/>
      <c r="CXB142" s="21"/>
      <c r="CXC142" s="21"/>
      <c r="CXD142" s="21"/>
      <c r="CXE142" s="21"/>
      <c r="CXF142" s="21"/>
      <c r="CXG142" s="21"/>
      <c r="CXH142" s="21"/>
      <c r="CXI142" s="21"/>
      <c r="CXJ142" s="21"/>
      <c r="CXK142" s="21"/>
      <c r="CXL142" s="21"/>
      <c r="CXM142" s="21"/>
      <c r="CXN142" s="21"/>
      <c r="CXO142" s="21"/>
      <c r="CXP142" s="21"/>
      <c r="CXQ142" s="21"/>
      <c r="CXR142" s="21"/>
      <c r="CXS142" s="21"/>
      <c r="CXT142" s="21"/>
      <c r="CXU142" s="21"/>
      <c r="CXV142" s="21"/>
      <c r="CXW142" s="21"/>
      <c r="CXX142" s="21"/>
      <c r="CXY142" s="21"/>
      <c r="CXZ142" s="21"/>
      <c r="CYA142" s="21"/>
      <c r="CYB142" s="21"/>
      <c r="CYC142" s="21"/>
      <c r="CYD142" s="21"/>
      <c r="CYE142" s="21"/>
      <c r="CYF142" s="21"/>
      <c r="CYG142" s="21"/>
      <c r="CYH142" s="21"/>
      <c r="CYI142" s="21"/>
      <c r="CYJ142" s="21"/>
      <c r="CYK142" s="21"/>
      <c r="CYL142" s="21"/>
      <c r="CYM142" s="21"/>
      <c r="CYN142" s="21"/>
      <c r="CYO142" s="21"/>
      <c r="CYP142" s="21"/>
      <c r="CYQ142" s="21"/>
      <c r="CYR142" s="21"/>
      <c r="CYS142" s="21"/>
      <c r="CYT142" s="21"/>
      <c r="CYU142" s="21"/>
      <c r="CYV142" s="21"/>
      <c r="CYW142" s="21"/>
      <c r="CYX142" s="21"/>
      <c r="CYY142" s="21"/>
      <c r="CYZ142" s="21"/>
      <c r="CZA142" s="21"/>
      <c r="CZB142" s="21"/>
      <c r="CZC142" s="21"/>
      <c r="CZD142" s="21"/>
      <c r="CZE142" s="21"/>
      <c r="CZF142" s="21"/>
      <c r="CZG142" s="21"/>
      <c r="CZH142" s="21"/>
      <c r="CZI142" s="21"/>
      <c r="CZJ142" s="21"/>
      <c r="CZK142" s="21"/>
      <c r="CZL142" s="21"/>
      <c r="CZM142" s="21"/>
      <c r="CZN142" s="21"/>
      <c r="CZO142" s="21"/>
      <c r="CZP142" s="21"/>
      <c r="CZQ142" s="21"/>
      <c r="CZR142" s="21"/>
      <c r="CZS142" s="21"/>
      <c r="CZT142" s="21"/>
      <c r="CZU142" s="21"/>
      <c r="CZV142" s="21"/>
      <c r="CZW142" s="21"/>
      <c r="CZX142" s="21"/>
      <c r="CZY142" s="21"/>
      <c r="CZZ142" s="21"/>
      <c r="DAA142" s="21"/>
      <c r="DAB142" s="21"/>
      <c r="DAC142" s="21"/>
      <c r="DAD142" s="21"/>
      <c r="DAE142" s="21"/>
      <c r="DAF142" s="21"/>
      <c r="DAG142" s="21"/>
      <c r="DAH142" s="21"/>
      <c r="DAI142" s="21"/>
      <c r="DAJ142" s="21"/>
      <c r="DAK142" s="21"/>
      <c r="DAL142" s="21"/>
      <c r="DAM142" s="21"/>
      <c r="DAN142" s="21"/>
      <c r="DAO142" s="21"/>
      <c r="DAP142" s="21"/>
      <c r="DAQ142" s="21"/>
      <c r="DAR142" s="21"/>
      <c r="DAS142" s="21"/>
      <c r="DAT142" s="21"/>
      <c r="DAU142" s="21"/>
      <c r="DAV142" s="21"/>
      <c r="DAW142" s="21"/>
      <c r="DAX142" s="21"/>
      <c r="DAY142" s="21"/>
      <c r="DAZ142" s="21"/>
      <c r="DBA142" s="21"/>
      <c r="DBB142" s="21"/>
      <c r="DBC142" s="21"/>
      <c r="DBD142" s="21"/>
      <c r="DBE142" s="21"/>
      <c r="DBF142" s="21"/>
      <c r="DBG142" s="21"/>
      <c r="DBH142" s="21"/>
      <c r="DBI142" s="21"/>
      <c r="DBJ142" s="21"/>
      <c r="DBK142" s="21"/>
      <c r="DBL142" s="21"/>
      <c r="DBM142" s="21"/>
      <c r="DBN142" s="21"/>
      <c r="DBO142" s="21"/>
      <c r="DBP142" s="21"/>
      <c r="DBQ142" s="21"/>
      <c r="DBR142" s="21"/>
      <c r="DBS142" s="21"/>
      <c r="DBT142" s="21"/>
      <c r="DBU142" s="21"/>
      <c r="DBV142" s="21"/>
      <c r="DBW142" s="21"/>
      <c r="DBX142" s="21"/>
      <c r="DBY142" s="21"/>
      <c r="DBZ142" s="21"/>
      <c r="DCA142" s="21"/>
      <c r="DCB142" s="21"/>
      <c r="DCC142" s="21"/>
      <c r="DCD142" s="21"/>
      <c r="DCE142" s="21"/>
      <c r="DCF142" s="21"/>
      <c r="DCG142" s="21"/>
      <c r="DCH142" s="21"/>
      <c r="DCI142" s="21"/>
      <c r="DCJ142" s="21"/>
      <c r="DCK142" s="21"/>
      <c r="DCL142" s="21"/>
      <c r="DCM142" s="21"/>
      <c r="DCN142" s="21"/>
      <c r="DCO142" s="21"/>
      <c r="DCP142" s="21"/>
      <c r="DCQ142" s="21"/>
      <c r="DCR142" s="21"/>
      <c r="DCS142" s="21"/>
      <c r="DCT142" s="21"/>
      <c r="DCU142" s="21"/>
      <c r="DCV142" s="21"/>
      <c r="DCW142" s="21"/>
      <c r="DCX142" s="21"/>
      <c r="DCY142" s="21"/>
      <c r="DCZ142" s="21"/>
      <c r="DDA142" s="21"/>
      <c r="DDB142" s="21"/>
      <c r="DDC142" s="21"/>
      <c r="DDD142" s="21"/>
      <c r="DDE142" s="21"/>
      <c r="DDF142" s="21"/>
      <c r="DDG142" s="21"/>
      <c r="DDH142" s="21"/>
      <c r="DDI142" s="21"/>
      <c r="DDJ142" s="21"/>
      <c r="DDK142" s="21"/>
      <c r="DDL142" s="21"/>
      <c r="DDM142" s="21"/>
      <c r="DDN142" s="21"/>
      <c r="DDO142" s="21"/>
      <c r="DDP142" s="21"/>
      <c r="DDQ142" s="21"/>
      <c r="DDR142" s="21"/>
      <c r="DDS142" s="21"/>
      <c r="DDT142" s="21"/>
      <c r="DDU142" s="21"/>
      <c r="DDV142" s="21"/>
      <c r="DDW142" s="21"/>
      <c r="DDX142" s="21"/>
      <c r="DDY142" s="21"/>
      <c r="DDZ142" s="21"/>
      <c r="DEA142" s="21"/>
      <c r="DEB142" s="21"/>
      <c r="DEC142" s="21"/>
      <c r="DED142" s="21"/>
      <c r="DEE142" s="21"/>
      <c r="DEF142" s="21"/>
      <c r="DEG142" s="21"/>
      <c r="DEH142" s="21"/>
      <c r="DEI142" s="21"/>
      <c r="DEJ142" s="21"/>
      <c r="DEK142" s="21"/>
      <c r="DEL142" s="21"/>
      <c r="DEM142" s="21"/>
      <c r="DEN142" s="21"/>
      <c r="DEO142" s="21"/>
      <c r="DEP142" s="21"/>
      <c r="DEQ142" s="21"/>
      <c r="DER142" s="21"/>
      <c r="DES142" s="21"/>
      <c r="DET142" s="21"/>
      <c r="DEU142" s="21"/>
      <c r="DEV142" s="21"/>
      <c r="DEW142" s="21"/>
      <c r="DEX142" s="21"/>
      <c r="DEY142" s="21"/>
      <c r="DEZ142" s="21"/>
      <c r="DFA142" s="21"/>
      <c r="DFB142" s="21"/>
      <c r="DFC142" s="21"/>
      <c r="DFD142" s="21"/>
      <c r="DFE142" s="21"/>
      <c r="DFF142" s="21"/>
      <c r="DFG142" s="21"/>
      <c r="DFH142" s="21"/>
      <c r="DFI142" s="21"/>
      <c r="DFJ142" s="21"/>
      <c r="DFK142" s="21"/>
      <c r="DFL142" s="21"/>
      <c r="DFM142" s="21"/>
      <c r="DFN142" s="21"/>
      <c r="DFO142" s="21"/>
      <c r="DFP142" s="21"/>
      <c r="DFQ142" s="21"/>
      <c r="DFR142" s="21"/>
      <c r="DFS142" s="21"/>
      <c r="DFT142" s="21"/>
      <c r="DFU142" s="21"/>
      <c r="DFV142" s="21"/>
      <c r="DFW142" s="21"/>
      <c r="DFX142" s="21"/>
      <c r="DFY142" s="21"/>
      <c r="DFZ142" s="21"/>
      <c r="DGA142" s="21"/>
      <c r="DGB142" s="21"/>
      <c r="DGC142" s="21"/>
      <c r="DGD142" s="21"/>
      <c r="DGE142" s="21"/>
      <c r="DGF142" s="21"/>
      <c r="DGG142" s="21"/>
      <c r="DGH142" s="21"/>
      <c r="DGI142" s="21"/>
      <c r="DGJ142" s="21"/>
      <c r="DGK142" s="21"/>
      <c r="DGL142" s="21"/>
      <c r="DGM142" s="21"/>
      <c r="DGN142" s="21"/>
      <c r="DGO142" s="21"/>
      <c r="DGP142" s="21"/>
      <c r="DGQ142" s="21"/>
      <c r="DGR142" s="21"/>
      <c r="DGS142" s="21"/>
      <c r="DGT142" s="21"/>
      <c r="DGU142" s="21"/>
      <c r="DGV142" s="21"/>
      <c r="DGW142" s="21"/>
      <c r="DGX142" s="21"/>
      <c r="DGY142" s="21"/>
      <c r="DGZ142" s="21"/>
      <c r="DHA142" s="21"/>
      <c r="DHB142" s="21"/>
      <c r="DHC142" s="21"/>
      <c r="DHD142" s="21"/>
      <c r="DHE142" s="21"/>
      <c r="DHF142" s="21"/>
      <c r="DHG142" s="21"/>
      <c r="DHH142" s="21"/>
      <c r="DHI142" s="21"/>
      <c r="DHJ142" s="21"/>
      <c r="DHK142" s="21"/>
      <c r="DHL142" s="21"/>
      <c r="DHM142" s="21"/>
      <c r="DHN142" s="21"/>
      <c r="DHO142" s="21"/>
      <c r="DHP142" s="21"/>
      <c r="DHQ142" s="21"/>
      <c r="DHR142" s="21"/>
      <c r="DHS142" s="21"/>
      <c r="DHT142" s="21"/>
      <c r="DHU142" s="21"/>
      <c r="DHV142" s="21"/>
      <c r="DHW142" s="21"/>
      <c r="DHX142" s="21"/>
      <c r="DHY142" s="21"/>
      <c r="DHZ142" s="21"/>
      <c r="DIA142" s="21"/>
      <c r="DIB142" s="21"/>
      <c r="DIC142" s="21"/>
      <c r="DID142" s="21"/>
      <c r="DIE142" s="21"/>
      <c r="DIF142" s="21"/>
      <c r="DIG142" s="21"/>
      <c r="DIH142" s="21"/>
      <c r="DII142" s="21"/>
      <c r="DIJ142" s="21"/>
      <c r="DIK142" s="21"/>
      <c r="DIL142" s="21"/>
      <c r="DIM142" s="21"/>
      <c r="DIN142" s="21"/>
      <c r="DIO142" s="21"/>
      <c r="DIP142" s="21"/>
      <c r="DIQ142" s="21"/>
      <c r="DIR142" s="21"/>
      <c r="DIS142" s="21"/>
      <c r="DIT142" s="21"/>
      <c r="DIU142" s="21"/>
      <c r="DIV142" s="21"/>
      <c r="DIW142" s="21"/>
      <c r="DIX142" s="21"/>
      <c r="DIY142" s="21"/>
      <c r="DIZ142" s="21"/>
      <c r="DJA142" s="21"/>
      <c r="DJB142" s="21"/>
      <c r="DJC142" s="21"/>
      <c r="DJD142" s="21"/>
      <c r="DJE142" s="21"/>
      <c r="DJF142" s="21"/>
      <c r="DJG142" s="21"/>
      <c r="DJH142" s="21"/>
      <c r="DJI142" s="21"/>
      <c r="DJJ142" s="21"/>
      <c r="DJK142" s="21"/>
      <c r="DJL142" s="21"/>
      <c r="DJM142" s="21"/>
      <c r="DJN142" s="21"/>
      <c r="DJO142" s="21"/>
      <c r="DJP142" s="21"/>
      <c r="DJQ142" s="21"/>
      <c r="DJR142" s="21"/>
      <c r="DJS142" s="21"/>
      <c r="DJT142" s="21"/>
      <c r="DJU142" s="21"/>
      <c r="DJV142" s="21"/>
      <c r="DJW142" s="21"/>
      <c r="DJX142" s="21"/>
      <c r="DJY142" s="21"/>
      <c r="DJZ142" s="21"/>
      <c r="DKA142" s="21"/>
      <c r="DKB142" s="21"/>
      <c r="DKC142" s="21"/>
      <c r="DKD142" s="21"/>
      <c r="DKE142" s="21"/>
      <c r="DKF142" s="21"/>
      <c r="DKG142" s="21"/>
      <c r="DKH142" s="21"/>
      <c r="DKI142" s="21"/>
      <c r="DKJ142" s="21"/>
      <c r="DKK142" s="21"/>
      <c r="DKL142" s="21"/>
      <c r="DKM142" s="21"/>
      <c r="DKN142" s="21"/>
      <c r="DKO142" s="21"/>
      <c r="DKP142" s="21"/>
      <c r="DKQ142" s="21"/>
      <c r="DKR142" s="21"/>
      <c r="DKS142" s="21"/>
      <c r="DKT142" s="21"/>
      <c r="DKU142" s="21"/>
      <c r="DKV142" s="21"/>
      <c r="DKW142" s="21"/>
      <c r="DKX142" s="21"/>
      <c r="DKY142" s="21"/>
      <c r="DKZ142" s="21"/>
      <c r="DLA142" s="21"/>
      <c r="DLB142" s="21"/>
      <c r="DLC142" s="21"/>
      <c r="DLD142" s="21"/>
      <c r="DLE142" s="21"/>
      <c r="DLF142" s="21"/>
      <c r="DLG142" s="21"/>
      <c r="DLH142" s="21"/>
      <c r="DLI142" s="21"/>
      <c r="DLJ142" s="21"/>
      <c r="DLK142" s="21"/>
      <c r="DLL142" s="21"/>
      <c r="DLM142" s="21"/>
      <c r="DLN142" s="21"/>
      <c r="DLO142" s="21"/>
      <c r="DLP142" s="21"/>
      <c r="DLQ142" s="21"/>
      <c r="DLR142" s="21"/>
      <c r="DLS142" s="21"/>
      <c r="DLT142" s="21"/>
      <c r="DLU142" s="21"/>
      <c r="DLV142" s="21"/>
      <c r="DLW142" s="21"/>
      <c r="DLX142" s="21"/>
      <c r="DLY142" s="21"/>
      <c r="DLZ142" s="21"/>
      <c r="DMA142" s="21"/>
      <c r="DMB142" s="21"/>
      <c r="DMC142" s="21"/>
      <c r="DMD142" s="21"/>
      <c r="DME142" s="21"/>
      <c r="DMF142" s="21"/>
      <c r="DMG142" s="21"/>
      <c r="DMH142" s="21"/>
      <c r="DMI142" s="21"/>
      <c r="DMJ142" s="21"/>
      <c r="DMK142" s="21"/>
      <c r="DML142" s="21"/>
      <c r="DMM142" s="21"/>
      <c r="DMN142" s="21"/>
      <c r="DMO142" s="21"/>
      <c r="DMP142" s="21"/>
      <c r="DMQ142" s="21"/>
      <c r="DMR142" s="21"/>
      <c r="DMS142" s="21"/>
      <c r="DMT142" s="21"/>
      <c r="DMU142" s="21"/>
      <c r="DMV142" s="21"/>
      <c r="DMW142" s="21"/>
      <c r="DMX142" s="21"/>
      <c r="DMY142" s="21"/>
      <c r="DMZ142" s="21"/>
      <c r="DNA142" s="21"/>
      <c r="DNB142" s="21"/>
      <c r="DNC142" s="21"/>
      <c r="DND142" s="21"/>
      <c r="DNE142" s="21"/>
      <c r="DNF142" s="21"/>
      <c r="DNG142" s="21"/>
      <c r="DNH142" s="21"/>
      <c r="DNI142" s="21"/>
      <c r="DNJ142" s="21"/>
      <c r="DNK142" s="21"/>
      <c r="DNL142" s="21"/>
      <c r="DNM142" s="21"/>
      <c r="DNN142" s="21"/>
      <c r="DNO142" s="21"/>
      <c r="DNP142" s="21"/>
      <c r="DNQ142" s="21"/>
      <c r="DNR142" s="21"/>
      <c r="DNS142" s="21"/>
      <c r="DNT142" s="21"/>
      <c r="DNU142" s="21"/>
      <c r="DNV142" s="21"/>
      <c r="DNW142" s="21"/>
      <c r="DNX142" s="21"/>
      <c r="DNY142" s="21"/>
      <c r="DNZ142" s="21"/>
      <c r="DOA142" s="21"/>
      <c r="DOB142" s="21"/>
      <c r="DOC142" s="21"/>
      <c r="DOD142" s="21"/>
      <c r="DOE142" s="21"/>
      <c r="DOF142" s="21"/>
      <c r="DOG142" s="21"/>
      <c r="DOH142" s="21"/>
      <c r="DOI142" s="21"/>
      <c r="DOJ142" s="21"/>
      <c r="DOK142" s="21"/>
      <c r="DOL142" s="21"/>
      <c r="DOM142" s="21"/>
      <c r="DON142" s="21"/>
      <c r="DOO142" s="21"/>
      <c r="DOP142" s="21"/>
      <c r="DOQ142" s="21"/>
      <c r="DOR142" s="21"/>
      <c r="DOS142" s="21"/>
      <c r="DOT142" s="21"/>
      <c r="DOU142" s="21"/>
      <c r="DOV142" s="21"/>
      <c r="DOW142" s="21"/>
      <c r="DOX142" s="21"/>
      <c r="DOY142" s="21"/>
      <c r="DOZ142" s="21"/>
      <c r="DPA142" s="21"/>
      <c r="DPB142" s="21"/>
      <c r="DPC142" s="21"/>
      <c r="DPD142" s="21"/>
      <c r="DPE142" s="21"/>
      <c r="DPF142" s="21"/>
      <c r="DPG142" s="21"/>
      <c r="DPH142" s="21"/>
      <c r="DPI142" s="21"/>
      <c r="DPJ142" s="21"/>
      <c r="DPK142" s="21"/>
      <c r="DPL142" s="21"/>
      <c r="DPM142" s="21"/>
      <c r="DPN142" s="21"/>
      <c r="DPO142" s="21"/>
      <c r="DPP142" s="21"/>
      <c r="DPQ142" s="21"/>
      <c r="DPR142" s="21"/>
      <c r="DPS142" s="21"/>
      <c r="DPT142" s="21"/>
      <c r="DPU142" s="21"/>
      <c r="DPV142" s="21"/>
      <c r="DPW142" s="21"/>
      <c r="DPX142" s="21"/>
      <c r="DPY142" s="21"/>
      <c r="DPZ142" s="21"/>
      <c r="DQA142" s="21"/>
      <c r="DQB142" s="21"/>
      <c r="DQC142" s="21"/>
      <c r="DQD142" s="21"/>
      <c r="DQE142" s="21"/>
      <c r="DQF142" s="21"/>
      <c r="DQG142" s="21"/>
      <c r="DQH142" s="21"/>
      <c r="DQI142" s="21"/>
      <c r="DQJ142" s="21"/>
      <c r="DQK142" s="21"/>
      <c r="DQL142" s="21"/>
      <c r="DQM142" s="21"/>
      <c r="DQN142" s="21"/>
      <c r="DQO142" s="21"/>
      <c r="DQP142" s="21"/>
      <c r="DQQ142" s="21"/>
      <c r="DQR142" s="21"/>
      <c r="DQS142" s="21"/>
      <c r="DQT142" s="21"/>
      <c r="DQU142" s="21"/>
      <c r="DQV142" s="21"/>
      <c r="DQW142" s="21"/>
      <c r="DQX142" s="21"/>
      <c r="DQY142" s="21"/>
      <c r="DQZ142" s="21"/>
      <c r="DRA142" s="21"/>
      <c r="DRB142" s="21"/>
      <c r="DRC142" s="21"/>
      <c r="DRD142" s="21"/>
      <c r="DRE142" s="21"/>
      <c r="DRF142" s="21"/>
      <c r="DRG142" s="21"/>
      <c r="DRH142" s="21"/>
      <c r="DRI142" s="21"/>
      <c r="DRJ142" s="21"/>
      <c r="DRK142" s="21"/>
      <c r="DRL142" s="21"/>
      <c r="DRM142" s="21"/>
      <c r="DRN142" s="21"/>
      <c r="DRO142" s="21"/>
      <c r="DRP142" s="21"/>
      <c r="DRQ142" s="21"/>
      <c r="DRR142" s="21"/>
      <c r="DRS142" s="21"/>
      <c r="DRT142" s="21"/>
      <c r="DRU142" s="21"/>
      <c r="DRV142" s="21"/>
      <c r="DRW142" s="21"/>
      <c r="DRX142" s="21"/>
      <c r="DRY142" s="21"/>
      <c r="DRZ142" s="21"/>
      <c r="DSA142" s="21"/>
      <c r="DSB142" s="21"/>
      <c r="DSC142" s="21"/>
      <c r="DSD142" s="21"/>
      <c r="DSE142" s="21"/>
      <c r="DSF142" s="21"/>
      <c r="DSG142" s="21"/>
      <c r="DSH142" s="21"/>
      <c r="DSI142" s="21"/>
      <c r="DSJ142" s="21"/>
      <c r="DSK142" s="21"/>
      <c r="DSL142" s="21"/>
      <c r="DSM142" s="21"/>
      <c r="DSN142" s="21"/>
      <c r="DSO142" s="21"/>
      <c r="DSP142" s="21"/>
      <c r="DSQ142" s="21"/>
      <c r="DSR142" s="21"/>
      <c r="DSS142" s="21"/>
      <c r="DST142" s="21"/>
      <c r="DSU142" s="21"/>
      <c r="DSV142" s="21"/>
      <c r="DSW142" s="21"/>
      <c r="DSX142" s="21"/>
      <c r="DSY142" s="21"/>
      <c r="DSZ142" s="21"/>
      <c r="DTA142" s="21"/>
      <c r="DTB142" s="21"/>
      <c r="DTC142" s="21"/>
      <c r="DTD142" s="21"/>
      <c r="DTE142" s="21"/>
      <c r="DTF142" s="21"/>
      <c r="DTG142" s="21"/>
      <c r="DTH142" s="21"/>
      <c r="DTI142" s="21"/>
      <c r="DTJ142" s="21"/>
      <c r="DTK142" s="21"/>
      <c r="DTL142" s="21"/>
      <c r="DTM142" s="21"/>
      <c r="DTN142" s="21"/>
      <c r="DTO142" s="21"/>
      <c r="DTP142" s="21"/>
      <c r="DTQ142" s="21"/>
      <c r="DTR142" s="21"/>
      <c r="DTS142" s="21"/>
      <c r="DTT142" s="21"/>
      <c r="DTU142" s="21"/>
      <c r="DTV142" s="21"/>
      <c r="DTW142" s="21"/>
      <c r="DTX142" s="21"/>
      <c r="DTY142" s="21"/>
      <c r="DTZ142" s="21"/>
      <c r="DUA142" s="21"/>
      <c r="DUB142" s="21"/>
      <c r="DUC142" s="21"/>
      <c r="DUD142" s="21"/>
      <c r="DUE142" s="21"/>
      <c r="DUF142" s="21"/>
      <c r="DUG142" s="21"/>
      <c r="DUH142" s="21"/>
      <c r="DUI142" s="21"/>
      <c r="DUJ142" s="21"/>
      <c r="DUK142" s="21"/>
      <c r="DUL142" s="21"/>
      <c r="DUM142" s="21"/>
      <c r="DUN142" s="21"/>
      <c r="DUO142" s="21"/>
      <c r="DUP142" s="21"/>
      <c r="DUQ142" s="21"/>
      <c r="DUR142" s="21"/>
      <c r="DUS142" s="21"/>
      <c r="DUT142" s="21"/>
      <c r="DUU142" s="21"/>
      <c r="DUV142" s="21"/>
      <c r="DUW142" s="21"/>
      <c r="DUX142" s="21"/>
      <c r="DUY142" s="21"/>
      <c r="DUZ142" s="21"/>
      <c r="DVA142" s="21"/>
      <c r="DVB142" s="21"/>
      <c r="DVC142" s="21"/>
      <c r="DVD142" s="21"/>
      <c r="DVE142" s="21"/>
      <c r="DVF142" s="21"/>
      <c r="DVG142" s="21"/>
      <c r="DVH142" s="21"/>
      <c r="DVI142" s="21"/>
      <c r="DVJ142" s="21"/>
      <c r="DVK142" s="21"/>
      <c r="DVL142" s="21"/>
      <c r="DVM142" s="21"/>
      <c r="DVN142" s="21"/>
      <c r="DVO142" s="21"/>
      <c r="DVP142" s="21"/>
      <c r="DVQ142" s="21"/>
      <c r="DVR142" s="21"/>
      <c r="DVS142" s="21"/>
      <c r="DVT142" s="21"/>
      <c r="DVU142" s="21"/>
      <c r="DVV142" s="21"/>
      <c r="DVW142" s="21"/>
      <c r="DVX142" s="21"/>
      <c r="DVY142" s="21"/>
      <c r="DVZ142" s="21"/>
      <c r="DWA142" s="21"/>
      <c r="DWB142" s="21"/>
      <c r="DWC142" s="21"/>
      <c r="DWD142" s="21"/>
      <c r="DWE142" s="21"/>
      <c r="DWF142" s="21"/>
      <c r="DWG142" s="21"/>
      <c r="DWH142" s="21"/>
      <c r="DWI142" s="21"/>
      <c r="DWJ142" s="21"/>
      <c r="DWK142" s="21"/>
      <c r="DWL142" s="21"/>
      <c r="DWM142" s="21"/>
      <c r="DWN142" s="21"/>
      <c r="DWO142" s="21"/>
      <c r="DWP142" s="21"/>
      <c r="DWQ142" s="21"/>
      <c r="DWR142" s="21"/>
      <c r="DWS142" s="21"/>
      <c r="DWT142" s="21"/>
      <c r="DWU142" s="21"/>
      <c r="DWV142" s="21"/>
      <c r="DWW142" s="21"/>
      <c r="DWX142" s="21"/>
      <c r="DWY142" s="21"/>
      <c r="DWZ142" s="21"/>
      <c r="DXA142" s="21"/>
      <c r="DXB142" s="21"/>
      <c r="DXC142" s="21"/>
      <c r="DXD142" s="21"/>
      <c r="DXE142" s="21"/>
      <c r="DXF142" s="21"/>
      <c r="DXG142" s="21"/>
      <c r="DXH142" s="21"/>
      <c r="DXI142" s="21"/>
      <c r="DXJ142" s="21"/>
      <c r="DXK142" s="21"/>
      <c r="DXL142" s="21"/>
      <c r="DXM142" s="21"/>
      <c r="DXN142" s="21"/>
      <c r="DXO142" s="21"/>
      <c r="DXP142" s="21"/>
      <c r="DXQ142" s="21"/>
      <c r="DXR142" s="21"/>
      <c r="DXS142" s="21"/>
      <c r="DXT142" s="21"/>
      <c r="DXU142" s="21"/>
      <c r="DXV142" s="21"/>
      <c r="DXW142" s="21"/>
      <c r="DXX142" s="21"/>
      <c r="DXY142" s="21"/>
      <c r="DXZ142" s="21"/>
      <c r="DYA142" s="21"/>
      <c r="DYB142" s="21"/>
      <c r="DYC142" s="21"/>
      <c r="DYD142" s="21"/>
      <c r="DYE142" s="21"/>
      <c r="DYF142" s="21"/>
      <c r="DYG142" s="21"/>
      <c r="DYH142" s="21"/>
      <c r="DYI142" s="21"/>
      <c r="DYJ142" s="21"/>
      <c r="DYK142" s="21"/>
      <c r="DYL142" s="21"/>
      <c r="DYM142" s="21"/>
      <c r="DYN142" s="21"/>
      <c r="DYO142" s="21"/>
      <c r="DYP142" s="21"/>
      <c r="DYQ142" s="21"/>
      <c r="DYR142" s="21"/>
      <c r="DYS142" s="21"/>
      <c r="DYT142" s="21"/>
      <c r="DYU142" s="21"/>
      <c r="DYV142" s="21"/>
      <c r="DYW142" s="21"/>
      <c r="DYX142" s="21"/>
      <c r="DYY142" s="21"/>
      <c r="DYZ142" s="21"/>
      <c r="DZA142" s="21"/>
      <c r="DZB142" s="21"/>
      <c r="DZC142" s="21"/>
      <c r="DZD142" s="21"/>
      <c r="DZE142" s="21"/>
      <c r="DZF142" s="21"/>
      <c r="DZG142" s="21"/>
      <c r="DZH142" s="21"/>
      <c r="DZI142" s="21"/>
      <c r="DZJ142" s="21"/>
      <c r="DZK142" s="21"/>
      <c r="DZL142" s="21"/>
      <c r="DZM142" s="21"/>
      <c r="DZN142" s="21"/>
      <c r="DZO142" s="21"/>
      <c r="DZP142" s="21"/>
      <c r="DZQ142" s="21"/>
      <c r="DZR142" s="21"/>
      <c r="DZS142" s="21"/>
      <c r="DZT142" s="21"/>
      <c r="DZU142" s="21"/>
      <c r="DZV142" s="21"/>
      <c r="DZW142" s="21"/>
      <c r="DZX142" s="21"/>
      <c r="DZY142" s="21"/>
      <c r="DZZ142" s="21"/>
      <c r="EAA142" s="21"/>
      <c r="EAB142" s="21"/>
      <c r="EAC142" s="21"/>
      <c r="EAD142" s="21"/>
      <c r="EAE142" s="21"/>
      <c r="EAF142" s="21"/>
      <c r="EAG142" s="21"/>
      <c r="EAH142" s="21"/>
      <c r="EAI142" s="21"/>
      <c r="EAJ142" s="21"/>
      <c r="EAK142" s="21"/>
      <c r="EAL142" s="21"/>
      <c r="EAM142" s="21"/>
      <c r="EAN142" s="21"/>
      <c r="EAO142" s="21"/>
      <c r="EAP142" s="21"/>
      <c r="EAQ142" s="21"/>
      <c r="EAR142" s="21"/>
      <c r="EAS142" s="21"/>
      <c r="EAT142" s="21"/>
      <c r="EAU142" s="21"/>
      <c r="EAV142" s="21"/>
      <c r="EAW142" s="21"/>
      <c r="EAX142" s="21"/>
      <c r="EAY142" s="21"/>
      <c r="EAZ142" s="21"/>
      <c r="EBA142" s="21"/>
      <c r="EBB142" s="21"/>
      <c r="EBC142" s="21"/>
      <c r="EBD142" s="21"/>
      <c r="EBE142" s="21"/>
      <c r="EBF142" s="21"/>
      <c r="EBG142" s="21"/>
      <c r="EBH142" s="21"/>
      <c r="EBI142" s="21"/>
      <c r="EBJ142" s="21"/>
      <c r="EBK142" s="21"/>
      <c r="EBL142" s="21"/>
      <c r="EBM142" s="21"/>
      <c r="EBN142" s="21"/>
      <c r="EBO142" s="21"/>
      <c r="EBP142" s="21"/>
      <c r="EBQ142" s="21"/>
      <c r="EBR142" s="21"/>
      <c r="EBS142" s="21"/>
      <c r="EBT142" s="21"/>
      <c r="EBU142" s="21"/>
      <c r="EBV142" s="21"/>
      <c r="EBW142" s="21"/>
      <c r="EBX142" s="21"/>
      <c r="EBY142" s="21"/>
      <c r="EBZ142" s="21"/>
      <c r="ECA142" s="21"/>
      <c r="ECB142" s="21"/>
      <c r="ECC142" s="21"/>
      <c r="ECD142" s="21"/>
      <c r="ECE142" s="21"/>
      <c r="ECF142" s="21"/>
      <c r="ECG142" s="21"/>
      <c r="ECH142" s="21"/>
      <c r="ECI142" s="21"/>
      <c r="ECJ142" s="21"/>
      <c r="ECK142" s="21"/>
      <c r="ECL142" s="21"/>
      <c r="ECM142" s="21"/>
      <c r="ECN142" s="21"/>
      <c r="ECO142" s="21"/>
      <c r="ECP142" s="21"/>
      <c r="ECQ142" s="21"/>
      <c r="ECR142" s="21"/>
      <c r="ECS142" s="21"/>
      <c r="ECT142" s="21"/>
      <c r="ECU142" s="21"/>
      <c r="ECV142" s="21"/>
      <c r="ECW142" s="21"/>
      <c r="ECX142" s="21"/>
      <c r="ECY142" s="21"/>
      <c r="ECZ142" s="21"/>
      <c r="EDA142" s="21"/>
      <c r="EDB142" s="21"/>
      <c r="EDC142" s="21"/>
      <c r="EDD142" s="21"/>
      <c r="EDE142" s="21"/>
      <c r="EDF142" s="21"/>
      <c r="EDG142" s="21"/>
      <c r="EDH142" s="21"/>
      <c r="EDI142" s="21"/>
      <c r="EDJ142" s="21"/>
      <c r="EDK142" s="21"/>
      <c r="EDL142" s="21"/>
      <c r="EDM142" s="21"/>
      <c r="EDN142" s="21"/>
      <c r="EDO142" s="21"/>
      <c r="EDP142" s="21"/>
      <c r="EDQ142" s="21"/>
      <c r="EDR142" s="21"/>
      <c r="EDS142" s="21"/>
      <c r="EDT142" s="21"/>
      <c r="EDU142" s="21"/>
      <c r="EDV142" s="21"/>
      <c r="EDW142" s="21"/>
      <c r="EDX142" s="21"/>
      <c r="EDY142" s="21"/>
      <c r="EDZ142" s="21"/>
      <c r="EEA142" s="21"/>
      <c r="EEB142" s="21"/>
      <c r="EEC142" s="21"/>
      <c r="EED142" s="21"/>
      <c r="EEE142" s="21"/>
      <c r="EEF142" s="21"/>
      <c r="EEG142" s="21"/>
      <c r="EEH142" s="21"/>
      <c r="EEI142" s="21"/>
      <c r="EEJ142" s="21"/>
      <c r="EEK142" s="21"/>
      <c r="EEL142" s="21"/>
      <c r="EEM142" s="21"/>
      <c r="EEN142" s="21"/>
      <c r="EEO142" s="21"/>
      <c r="EEP142" s="21"/>
      <c r="EEQ142" s="21"/>
      <c r="EER142" s="21"/>
      <c r="EES142" s="21"/>
      <c r="EET142" s="21"/>
      <c r="EEU142" s="21"/>
      <c r="EEV142" s="21"/>
      <c r="EEW142" s="21"/>
      <c r="EEX142" s="21"/>
      <c r="EEY142" s="21"/>
      <c r="EEZ142" s="21"/>
      <c r="EFA142" s="21"/>
      <c r="EFB142" s="21"/>
      <c r="EFC142" s="21"/>
      <c r="EFD142" s="21"/>
      <c r="EFE142" s="21"/>
      <c r="EFF142" s="21"/>
      <c r="EFG142" s="21"/>
      <c r="EFH142" s="21"/>
      <c r="EFI142" s="21"/>
      <c r="EFJ142" s="21"/>
      <c r="EFK142" s="21"/>
      <c r="EFL142" s="21"/>
      <c r="EFM142" s="21"/>
      <c r="EFN142" s="21"/>
      <c r="EFO142" s="21"/>
      <c r="EFP142" s="21"/>
      <c r="EFQ142" s="21"/>
      <c r="EFR142" s="21"/>
      <c r="EFS142" s="21"/>
      <c r="EFT142" s="21"/>
      <c r="EFU142" s="21"/>
      <c r="EFV142" s="21"/>
      <c r="EFW142" s="21"/>
      <c r="EFX142" s="21"/>
      <c r="EFY142" s="21"/>
      <c r="EFZ142" s="21"/>
      <c r="EGA142" s="21"/>
      <c r="EGB142" s="21"/>
      <c r="EGC142" s="21"/>
      <c r="EGD142" s="21"/>
      <c r="EGE142" s="21"/>
      <c r="EGF142" s="21"/>
      <c r="EGG142" s="21"/>
      <c r="EGH142" s="21"/>
      <c r="EGI142" s="21"/>
      <c r="EGJ142" s="21"/>
      <c r="EGK142" s="21"/>
      <c r="EGL142" s="21"/>
      <c r="EGM142" s="21"/>
      <c r="EGN142" s="21"/>
      <c r="EGO142" s="21"/>
      <c r="EGP142" s="21"/>
      <c r="EGQ142" s="21"/>
      <c r="EGR142" s="21"/>
      <c r="EGS142" s="21"/>
      <c r="EGT142" s="21"/>
      <c r="EGU142" s="21"/>
      <c r="EGV142" s="21"/>
      <c r="EGW142" s="21"/>
      <c r="EGX142" s="21"/>
      <c r="EGY142" s="21"/>
      <c r="EGZ142" s="21"/>
      <c r="EHA142" s="21"/>
      <c r="EHB142" s="21"/>
      <c r="EHC142" s="21"/>
      <c r="EHD142" s="21"/>
      <c r="EHE142" s="21"/>
      <c r="EHF142" s="21"/>
      <c r="EHG142" s="21"/>
      <c r="EHH142" s="21"/>
      <c r="EHI142" s="21"/>
      <c r="EHJ142" s="21"/>
      <c r="EHK142" s="21"/>
      <c r="EHL142" s="21"/>
      <c r="EHM142" s="21"/>
      <c r="EHN142" s="21"/>
      <c r="EHO142" s="21"/>
      <c r="EHP142" s="21"/>
      <c r="EHQ142" s="21"/>
      <c r="EHR142" s="21"/>
      <c r="EHS142" s="21"/>
      <c r="EHT142" s="21"/>
      <c r="EHU142" s="21"/>
      <c r="EHV142" s="21"/>
      <c r="EHW142" s="21"/>
      <c r="EHX142" s="21"/>
      <c r="EHY142" s="21"/>
      <c r="EHZ142" s="21"/>
      <c r="EIA142" s="21"/>
      <c r="EIB142" s="21"/>
      <c r="EIC142" s="21"/>
      <c r="EID142" s="21"/>
      <c r="EIE142" s="21"/>
      <c r="EIF142" s="21"/>
      <c r="EIG142" s="21"/>
      <c r="EIH142" s="21"/>
      <c r="EII142" s="21"/>
      <c r="EIJ142" s="21"/>
      <c r="EIK142" s="21"/>
      <c r="EIL142" s="21"/>
      <c r="EIM142" s="21"/>
      <c r="EIN142" s="21"/>
      <c r="EIO142" s="21"/>
      <c r="EIP142" s="21"/>
      <c r="EIQ142" s="21"/>
      <c r="EIR142" s="21"/>
      <c r="EIS142" s="21"/>
      <c r="EIT142" s="21"/>
      <c r="EIU142" s="21"/>
      <c r="EIV142" s="21"/>
      <c r="EIW142" s="21"/>
      <c r="EIX142" s="21"/>
      <c r="EIY142" s="21"/>
      <c r="EIZ142" s="21"/>
      <c r="EJA142" s="21"/>
      <c r="EJB142" s="21"/>
      <c r="EJC142" s="21"/>
      <c r="EJD142" s="21"/>
      <c r="EJE142" s="21"/>
      <c r="EJF142" s="21"/>
      <c r="EJG142" s="21"/>
      <c r="EJH142" s="21"/>
      <c r="EJI142" s="21"/>
      <c r="EJJ142" s="21"/>
      <c r="EJK142" s="21"/>
      <c r="EJL142" s="21"/>
      <c r="EJM142" s="21"/>
      <c r="EJN142" s="21"/>
      <c r="EJO142" s="21"/>
      <c r="EJP142" s="21"/>
      <c r="EJQ142" s="21"/>
      <c r="EJR142" s="21"/>
      <c r="EJS142" s="21"/>
      <c r="EJT142" s="21"/>
      <c r="EJU142" s="21"/>
      <c r="EJV142" s="21"/>
      <c r="EJW142" s="21"/>
      <c r="EJX142" s="21"/>
      <c r="EJY142" s="21"/>
      <c r="EJZ142" s="21"/>
      <c r="EKA142" s="21"/>
      <c r="EKB142" s="21"/>
      <c r="EKC142" s="21"/>
      <c r="EKD142" s="21"/>
      <c r="EKE142" s="21"/>
      <c r="EKF142" s="21"/>
      <c r="EKG142" s="21"/>
      <c r="EKH142" s="21"/>
      <c r="EKI142" s="21"/>
      <c r="EKJ142" s="21"/>
      <c r="EKK142" s="21"/>
      <c r="EKL142" s="21"/>
      <c r="EKM142" s="21"/>
      <c r="EKN142" s="21"/>
      <c r="EKO142" s="21"/>
      <c r="EKP142" s="21"/>
      <c r="EKQ142" s="21"/>
      <c r="EKR142" s="21"/>
      <c r="EKS142" s="21"/>
      <c r="EKT142" s="21"/>
      <c r="EKU142" s="21"/>
      <c r="EKV142" s="21"/>
      <c r="EKW142" s="21"/>
      <c r="EKX142" s="21"/>
      <c r="EKY142" s="21"/>
      <c r="EKZ142" s="21"/>
      <c r="ELA142" s="21"/>
      <c r="ELB142" s="21"/>
      <c r="ELC142" s="21"/>
      <c r="ELD142" s="21"/>
      <c r="ELE142" s="21"/>
      <c r="ELF142" s="21"/>
      <c r="ELG142" s="21"/>
      <c r="ELH142" s="21"/>
      <c r="ELI142" s="21"/>
      <c r="ELJ142" s="21"/>
      <c r="ELK142" s="21"/>
      <c r="ELL142" s="21"/>
      <c r="ELM142" s="21"/>
      <c r="ELN142" s="21"/>
      <c r="ELO142" s="21"/>
      <c r="ELP142" s="21"/>
      <c r="ELQ142" s="21"/>
      <c r="ELR142" s="21"/>
      <c r="ELS142" s="21"/>
      <c r="ELT142" s="21"/>
      <c r="ELU142" s="21"/>
      <c r="ELV142" s="21"/>
      <c r="ELW142" s="21"/>
      <c r="ELX142" s="21"/>
      <c r="ELY142" s="21"/>
      <c r="ELZ142" s="21"/>
      <c r="EMA142" s="21"/>
      <c r="EMB142" s="21"/>
      <c r="EMC142" s="21"/>
      <c r="EMD142" s="21"/>
      <c r="EME142" s="21"/>
      <c r="EMF142" s="21"/>
      <c r="EMG142" s="21"/>
      <c r="EMH142" s="21"/>
      <c r="EMI142" s="21"/>
      <c r="EMJ142" s="21"/>
      <c r="EMK142" s="21"/>
      <c r="EML142" s="21"/>
      <c r="EMM142" s="21"/>
      <c r="EMN142" s="21"/>
      <c r="EMO142" s="21"/>
      <c r="EMP142" s="21"/>
      <c r="EMQ142" s="21"/>
      <c r="EMR142" s="21"/>
      <c r="EMS142" s="21"/>
      <c r="EMT142" s="21"/>
      <c r="EMU142" s="21"/>
      <c r="EMV142" s="21"/>
      <c r="EMW142" s="21"/>
      <c r="EMX142" s="21"/>
      <c r="EMY142" s="21"/>
      <c r="EMZ142" s="21"/>
      <c r="ENA142" s="21"/>
      <c r="ENB142" s="21"/>
      <c r="ENC142" s="21"/>
      <c r="END142" s="21"/>
      <c r="ENE142" s="21"/>
      <c r="ENF142" s="21"/>
      <c r="ENG142" s="21"/>
      <c r="ENH142" s="21"/>
      <c r="ENI142" s="21"/>
      <c r="ENJ142" s="21"/>
      <c r="ENK142" s="21"/>
      <c r="ENL142" s="21"/>
      <c r="ENM142" s="21"/>
      <c r="ENN142" s="21"/>
      <c r="ENO142" s="21"/>
      <c r="ENP142" s="21"/>
      <c r="ENQ142" s="21"/>
      <c r="ENR142" s="21"/>
      <c r="ENS142" s="21"/>
      <c r="ENT142" s="21"/>
      <c r="ENU142" s="21"/>
      <c r="ENV142" s="21"/>
      <c r="ENW142" s="21"/>
      <c r="ENX142" s="21"/>
      <c r="ENY142" s="21"/>
      <c r="ENZ142" s="21"/>
      <c r="EOA142" s="21"/>
      <c r="EOB142" s="21"/>
      <c r="EOC142" s="21"/>
      <c r="EOD142" s="21"/>
      <c r="EOE142" s="21"/>
      <c r="EOF142" s="21"/>
      <c r="EOG142" s="21"/>
      <c r="EOH142" s="21"/>
      <c r="EOI142" s="21"/>
      <c r="EOJ142" s="21"/>
      <c r="EOK142" s="21"/>
      <c r="EOL142" s="21"/>
      <c r="EOM142" s="21"/>
      <c r="EON142" s="21"/>
      <c r="EOO142" s="21"/>
      <c r="EOP142" s="21"/>
      <c r="EOQ142" s="21"/>
      <c r="EOR142" s="21"/>
      <c r="EOS142" s="21"/>
      <c r="EOT142" s="21"/>
      <c r="EOU142" s="21"/>
      <c r="EOV142" s="21"/>
      <c r="EOW142" s="21"/>
      <c r="EOX142" s="21"/>
      <c r="EOY142" s="21"/>
      <c r="EOZ142" s="21"/>
      <c r="EPA142" s="21"/>
      <c r="EPB142" s="21"/>
      <c r="EPC142" s="21"/>
      <c r="EPD142" s="21"/>
      <c r="EPE142" s="21"/>
      <c r="EPF142" s="21"/>
      <c r="EPG142" s="21"/>
      <c r="EPH142" s="21"/>
      <c r="EPI142" s="21"/>
      <c r="EPJ142" s="21"/>
      <c r="EPK142" s="21"/>
      <c r="EPL142" s="21"/>
      <c r="EPM142" s="21"/>
      <c r="EPN142" s="21"/>
      <c r="EPO142" s="21"/>
      <c r="EPP142" s="21"/>
      <c r="EPQ142" s="21"/>
      <c r="EPR142" s="21"/>
      <c r="EPS142" s="21"/>
      <c r="EPT142" s="21"/>
      <c r="EPU142" s="21"/>
      <c r="EPV142" s="21"/>
      <c r="EPW142" s="21"/>
      <c r="EPX142" s="21"/>
      <c r="EPY142" s="21"/>
      <c r="EPZ142" s="21"/>
      <c r="EQA142" s="21"/>
      <c r="EQB142" s="21"/>
      <c r="EQC142" s="21"/>
      <c r="EQD142" s="21"/>
      <c r="EQE142" s="21"/>
      <c r="EQF142" s="21"/>
      <c r="EQG142" s="21"/>
      <c r="EQH142" s="21"/>
      <c r="EQI142" s="21"/>
      <c r="EQJ142" s="21"/>
      <c r="EQK142" s="21"/>
      <c r="EQL142" s="21"/>
      <c r="EQM142" s="21"/>
      <c r="EQN142" s="21"/>
      <c r="EQO142" s="21"/>
      <c r="EQP142" s="21"/>
      <c r="EQQ142" s="21"/>
      <c r="EQR142" s="21"/>
      <c r="EQS142" s="21"/>
      <c r="EQT142" s="21"/>
      <c r="EQU142" s="21"/>
      <c r="EQV142" s="21"/>
      <c r="EQW142" s="21"/>
      <c r="EQX142" s="21"/>
      <c r="EQY142" s="21"/>
      <c r="EQZ142" s="21"/>
      <c r="ERA142" s="21"/>
      <c r="ERB142" s="21"/>
      <c r="ERC142" s="21"/>
      <c r="ERD142" s="21"/>
      <c r="ERE142" s="21"/>
      <c r="ERF142" s="21"/>
      <c r="ERG142" s="21"/>
      <c r="ERH142" s="21"/>
      <c r="ERI142" s="21"/>
      <c r="ERJ142" s="21"/>
      <c r="ERK142" s="21"/>
      <c r="ERL142" s="21"/>
      <c r="ERM142" s="21"/>
      <c r="ERN142" s="21"/>
      <c r="ERO142" s="21"/>
      <c r="ERP142" s="21"/>
      <c r="ERQ142" s="21"/>
      <c r="ERR142" s="21"/>
      <c r="ERS142" s="21"/>
      <c r="ERT142" s="21"/>
      <c r="ERU142" s="21"/>
      <c r="ERV142" s="21"/>
      <c r="ERW142" s="21"/>
      <c r="ERX142" s="21"/>
      <c r="ERY142" s="21"/>
      <c r="ERZ142" s="21"/>
      <c r="ESA142" s="21"/>
      <c r="ESB142" s="21"/>
      <c r="ESC142" s="21"/>
      <c r="ESD142" s="21"/>
      <c r="ESE142" s="21"/>
      <c r="ESF142" s="21"/>
      <c r="ESG142" s="21"/>
      <c r="ESH142" s="21"/>
      <c r="ESI142" s="21"/>
      <c r="ESJ142" s="21"/>
      <c r="ESK142" s="21"/>
      <c r="ESL142" s="21"/>
      <c r="ESM142" s="21"/>
      <c r="ESN142" s="21"/>
      <c r="ESO142" s="21"/>
      <c r="ESP142" s="21"/>
      <c r="ESQ142" s="21"/>
      <c r="ESR142" s="21"/>
      <c r="ESS142" s="21"/>
      <c r="EST142" s="21"/>
      <c r="ESU142" s="21"/>
      <c r="ESV142" s="21"/>
      <c r="ESW142" s="21"/>
      <c r="ESX142" s="21"/>
      <c r="ESY142" s="21"/>
      <c r="ESZ142" s="21"/>
      <c r="ETA142" s="21"/>
      <c r="ETB142" s="21"/>
      <c r="ETC142" s="21"/>
      <c r="ETD142" s="21"/>
      <c r="ETE142" s="21"/>
      <c r="ETF142" s="21"/>
      <c r="ETG142" s="21"/>
      <c r="ETH142" s="21"/>
      <c r="ETI142" s="21"/>
      <c r="ETJ142" s="21"/>
      <c r="ETK142" s="21"/>
      <c r="ETL142" s="21"/>
      <c r="ETM142" s="21"/>
      <c r="ETN142" s="21"/>
      <c r="ETO142" s="21"/>
      <c r="ETP142" s="21"/>
      <c r="ETQ142" s="21"/>
      <c r="ETR142" s="21"/>
      <c r="ETS142" s="21"/>
      <c r="ETT142" s="21"/>
      <c r="ETU142" s="21"/>
      <c r="ETV142" s="21"/>
      <c r="ETW142" s="21"/>
      <c r="ETX142" s="21"/>
      <c r="ETY142" s="21"/>
      <c r="ETZ142" s="21"/>
      <c r="EUA142" s="21"/>
      <c r="EUB142" s="21"/>
      <c r="EUC142" s="21"/>
      <c r="EUD142" s="21"/>
      <c r="EUE142" s="21"/>
      <c r="EUF142" s="21"/>
      <c r="EUG142" s="21"/>
      <c r="EUH142" s="21"/>
      <c r="EUI142" s="21"/>
      <c r="EUJ142" s="21"/>
      <c r="EUK142" s="21"/>
      <c r="EUL142" s="21"/>
      <c r="EUM142" s="21"/>
      <c r="EUN142" s="21"/>
      <c r="EUO142" s="21"/>
      <c r="EUP142" s="21"/>
      <c r="EUQ142" s="21"/>
      <c r="EUR142" s="21"/>
      <c r="EUS142" s="21"/>
      <c r="EUT142" s="21"/>
      <c r="EUU142" s="21"/>
      <c r="EUV142" s="21"/>
      <c r="EUW142" s="21"/>
      <c r="EUX142" s="21"/>
      <c r="EUY142" s="21"/>
      <c r="EUZ142" s="21"/>
      <c r="EVA142" s="21"/>
      <c r="EVB142" s="21"/>
      <c r="EVC142" s="21"/>
      <c r="EVD142" s="21"/>
      <c r="EVE142" s="21"/>
      <c r="EVF142" s="21"/>
      <c r="EVG142" s="21"/>
      <c r="EVH142" s="21"/>
      <c r="EVI142" s="21"/>
      <c r="EVJ142" s="21"/>
      <c r="EVK142" s="21"/>
      <c r="EVL142" s="21"/>
      <c r="EVM142" s="21"/>
      <c r="EVN142" s="21"/>
      <c r="EVO142" s="21"/>
      <c r="EVP142" s="21"/>
      <c r="EVQ142" s="21"/>
      <c r="EVR142" s="21"/>
      <c r="EVS142" s="21"/>
      <c r="EVT142" s="21"/>
      <c r="EVU142" s="21"/>
      <c r="EVV142" s="21"/>
      <c r="EVW142" s="21"/>
      <c r="EVX142" s="21"/>
      <c r="EVY142" s="21"/>
      <c r="EVZ142" s="21"/>
      <c r="EWA142" s="21"/>
      <c r="EWB142" s="21"/>
      <c r="EWC142" s="21"/>
      <c r="EWD142" s="21"/>
      <c r="EWE142" s="21"/>
      <c r="EWF142" s="21"/>
      <c r="EWG142" s="21"/>
      <c r="EWH142" s="21"/>
      <c r="EWI142" s="21"/>
      <c r="EWJ142" s="21"/>
      <c r="EWK142" s="21"/>
      <c r="EWL142" s="21"/>
      <c r="EWM142" s="21"/>
      <c r="EWN142" s="21"/>
      <c r="EWO142" s="21"/>
      <c r="EWP142" s="21"/>
      <c r="EWQ142" s="21"/>
      <c r="EWR142" s="21"/>
      <c r="EWS142" s="21"/>
      <c r="EWT142" s="21"/>
      <c r="EWU142" s="21"/>
      <c r="EWV142" s="21"/>
      <c r="EWW142" s="21"/>
      <c r="EWX142" s="21"/>
      <c r="EWY142" s="21"/>
      <c r="EWZ142" s="21"/>
      <c r="EXA142" s="21"/>
      <c r="EXB142" s="21"/>
      <c r="EXC142" s="21"/>
      <c r="EXD142" s="21"/>
      <c r="EXE142" s="21"/>
      <c r="EXF142" s="21"/>
      <c r="EXG142" s="21"/>
      <c r="EXH142" s="21"/>
      <c r="EXI142" s="21"/>
      <c r="EXJ142" s="21"/>
      <c r="EXK142" s="21"/>
      <c r="EXL142" s="21"/>
      <c r="EXM142" s="21"/>
      <c r="EXN142" s="21"/>
      <c r="EXO142" s="21"/>
      <c r="EXP142" s="21"/>
      <c r="EXQ142" s="21"/>
      <c r="EXR142" s="21"/>
      <c r="EXS142" s="21"/>
      <c r="EXT142" s="21"/>
      <c r="EXU142" s="21"/>
      <c r="EXV142" s="21"/>
      <c r="EXW142" s="21"/>
      <c r="EXX142" s="21"/>
      <c r="EXY142" s="21"/>
      <c r="EXZ142" s="21"/>
      <c r="EYA142" s="21"/>
      <c r="EYB142" s="21"/>
      <c r="EYC142" s="21"/>
      <c r="EYD142" s="21"/>
      <c r="EYE142" s="21"/>
      <c r="EYF142" s="21"/>
      <c r="EYG142" s="21"/>
      <c r="EYH142" s="21"/>
      <c r="EYI142" s="21"/>
      <c r="EYJ142" s="21"/>
      <c r="EYK142" s="21"/>
      <c r="EYL142" s="21"/>
      <c r="EYM142" s="21"/>
      <c r="EYN142" s="21"/>
      <c r="EYO142" s="21"/>
      <c r="EYP142" s="21"/>
      <c r="EYQ142" s="21"/>
      <c r="EYR142" s="21"/>
      <c r="EYS142" s="21"/>
      <c r="EYT142" s="21"/>
      <c r="EYU142" s="21"/>
      <c r="EYV142" s="21"/>
      <c r="EYW142" s="21"/>
      <c r="EYX142" s="21"/>
      <c r="EYY142" s="21"/>
      <c r="EYZ142" s="21"/>
      <c r="EZA142" s="21"/>
      <c r="EZB142" s="21"/>
      <c r="EZC142" s="21"/>
      <c r="EZD142" s="21"/>
      <c r="EZE142" s="21"/>
      <c r="EZF142" s="21"/>
      <c r="EZG142" s="21"/>
      <c r="EZH142" s="21"/>
      <c r="EZI142" s="21"/>
      <c r="EZJ142" s="21"/>
      <c r="EZK142" s="21"/>
      <c r="EZL142" s="21"/>
      <c r="EZM142" s="21"/>
      <c r="EZN142" s="21"/>
      <c r="EZO142" s="21"/>
      <c r="EZP142" s="21"/>
      <c r="EZQ142" s="21"/>
      <c r="EZR142" s="21"/>
      <c r="EZS142" s="21"/>
      <c r="EZT142" s="21"/>
      <c r="EZU142" s="21"/>
      <c r="EZV142" s="21"/>
      <c r="EZW142" s="21"/>
      <c r="EZX142" s="21"/>
      <c r="EZY142" s="21"/>
      <c r="EZZ142" s="21"/>
      <c r="FAA142" s="21"/>
      <c r="FAB142" s="21"/>
      <c r="FAC142" s="21"/>
      <c r="FAD142" s="21"/>
      <c r="FAE142" s="21"/>
      <c r="FAF142" s="21"/>
      <c r="FAG142" s="21"/>
      <c r="FAH142" s="21"/>
      <c r="FAI142" s="21"/>
      <c r="FAJ142" s="21"/>
      <c r="FAK142" s="21"/>
      <c r="FAL142" s="21"/>
      <c r="FAM142" s="21"/>
      <c r="FAN142" s="21"/>
      <c r="FAO142" s="21"/>
      <c r="FAP142" s="21"/>
      <c r="FAQ142" s="21"/>
      <c r="FAR142" s="21"/>
      <c r="FAS142" s="21"/>
      <c r="FAT142" s="21"/>
      <c r="FAU142" s="21"/>
      <c r="FAV142" s="21"/>
      <c r="FAW142" s="21"/>
      <c r="FAX142" s="21"/>
      <c r="FAY142" s="21"/>
      <c r="FAZ142" s="21"/>
      <c r="FBA142" s="21"/>
      <c r="FBB142" s="21"/>
      <c r="FBC142" s="21"/>
      <c r="FBD142" s="21"/>
      <c r="FBE142" s="21"/>
      <c r="FBF142" s="21"/>
      <c r="FBG142" s="21"/>
      <c r="FBH142" s="21"/>
      <c r="FBI142" s="21"/>
      <c r="FBJ142" s="21"/>
      <c r="FBK142" s="21"/>
      <c r="FBL142" s="21"/>
      <c r="FBM142" s="21"/>
      <c r="FBN142" s="21"/>
      <c r="FBO142" s="21"/>
      <c r="FBP142" s="21"/>
      <c r="FBQ142" s="21"/>
      <c r="FBR142" s="21"/>
      <c r="FBS142" s="21"/>
      <c r="FBT142" s="21"/>
      <c r="FBU142" s="21"/>
      <c r="FBV142" s="21"/>
      <c r="FBW142" s="21"/>
      <c r="FBX142" s="21"/>
      <c r="FBY142" s="21"/>
      <c r="FBZ142" s="21"/>
      <c r="FCA142" s="21"/>
      <c r="FCB142" s="21"/>
      <c r="FCC142" s="21"/>
      <c r="FCD142" s="21"/>
      <c r="FCE142" s="21"/>
      <c r="FCF142" s="21"/>
      <c r="FCG142" s="21"/>
      <c r="FCH142" s="21"/>
      <c r="FCI142" s="21"/>
      <c r="FCJ142" s="21"/>
      <c r="FCK142" s="21"/>
      <c r="FCL142" s="21"/>
      <c r="FCM142" s="21"/>
      <c r="FCN142" s="21"/>
      <c r="FCO142" s="21"/>
      <c r="FCP142" s="21"/>
      <c r="FCQ142" s="21"/>
      <c r="FCR142" s="21"/>
      <c r="FCS142" s="21"/>
      <c r="FCT142" s="21"/>
      <c r="FCU142" s="21"/>
      <c r="FCV142" s="21"/>
      <c r="FCW142" s="21"/>
      <c r="FCX142" s="21"/>
      <c r="FCY142" s="21"/>
      <c r="FCZ142" s="21"/>
      <c r="FDA142" s="21"/>
      <c r="FDB142" s="21"/>
      <c r="FDC142" s="21"/>
      <c r="FDD142" s="21"/>
      <c r="FDE142" s="21"/>
      <c r="FDF142" s="21"/>
      <c r="FDG142" s="21"/>
      <c r="FDH142" s="21"/>
      <c r="FDI142" s="21"/>
      <c r="FDJ142" s="21"/>
      <c r="FDK142" s="21"/>
      <c r="FDL142" s="21"/>
      <c r="FDM142" s="21"/>
      <c r="FDN142" s="21"/>
      <c r="FDO142" s="21"/>
      <c r="FDP142" s="21"/>
      <c r="FDQ142" s="21"/>
      <c r="FDR142" s="21"/>
      <c r="FDS142" s="21"/>
      <c r="FDT142" s="21"/>
      <c r="FDU142" s="21"/>
      <c r="FDV142" s="21"/>
      <c r="FDW142" s="21"/>
      <c r="FDX142" s="21"/>
      <c r="FDY142" s="21"/>
      <c r="FDZ142" s="21"/>
      <c r="FEA142" s="21"/>
      <c r="FEB142" s="21"/>
      <c r="FEC142" s="21"/>
      <c r="FED142" s="21"/>
      <c r="FEE142" s="21"/>
      <c r="FEF142" s="21"/>
      <c r="FEG142" s="21"/>
      <c r="FEH142" s="21"/>
      <c r="FEI142" s="21"/>
      <c r="FEJ142" s="21"/>
      <c r="FEK142" s="21"/>
      <c r="FEL142" s="21"/>
      <c r="FEM142" s="21"/>
      <c r="FEN142" s="21"/>
      <c r="FEO142" s="21"/>
      <c r="FEP142" s="21"/>
      <c r="FEQ142" s="21"/>
      <c r="FER142" s="21"/>
      <c r="FES142" s="21"/>
      <c r="FET142" s="21"/>
      <c r="FEU142" s="21"/>
      <c r="FEV142" s="21"/>
      <c r="FEW142" s="21"/>
      <c r="FEX142" s="21"/>
      <c r="FEY142" s="21"/>
      <c r="FEZ142" s="21"/>
      <c r="FFA142" s="21"/>
      <c r="FFB142" s="21"/>
      <c r="FFC142" s="21"/>
      <c r="FFD142" s="21"/>
      <c r="FFE142" s="21"/>
      <c r="FFF142" s="21"/>
      <c r="FFG142" s="21"/>
      <c r="FFH142" s="21"/>
      <c r="FFI142" s="21"/>
      <c r="FFJ142" s="21"/>
      <c r="FFK142" s="21"/>
      <c r="FFL142" s="21"/>
      <c r="FFM142" s="21"/>
      <c r="FFN142" s="21"/>
      <c r="FFO142" s="21"/>
      <c r="FFP142" s="21"/>
      <c r="FFQ142" s="21"/>
      <c r="FFR142" s="21"/>
      <c r="FFS142" s="21"/>
      <c r="FFT142" s="21"/>
      <c r="FFU142" s="21"/>
      <c r="FFV142" s="21"/>
      <c r="FFW142" s="21"/>
      <c r="FFX142" s="21"/>
      <c r="FFY142" s="21"/>
      <c r="FFZ142" s="21"/>
      <c r="FGA142" s="21"/>
      <c r="FGB142" s="21"/>
      <c r="FGC142" s="21"/>
      <c r="FGD142" s="21"/>
      <c r="FGE142" s="21"/>
      <c r="FGF142" s="21"/>
      <c r="FGG142" s="21"/>
      <c r="FGH142" s="21"/>
      <c r="FGI142" s="21"/>
      <c r="FGJ142" s="21"/>
      <c r="FGK142" s="21"/>
      <c r="FGL142" s="21"/>
      <c r="FGM142" s="21"/>
      <c r="FGN142" s="21"/>
      <c r="FGO142" s="21"/>
      <c r="FGP142" s="21"/>
      <c r="FGQ142" s="21"/>
      <c r="FGR142" s="21"/>
      <c r="FGS142" s="21"/>
      <c r="FGT142" s="21"/>
      <c r="FGU142" s="21"/>
      <c r="FGV142" s="21"/>
      <c r="FGW142" s="21"/>
      <c r="FGX142" s="21"/>
      <c r="FGY142" s="21"/>
      <c r="FGZ142" s="21"/>
      <c r="FHA142" s="21"/>
      <c r="FHB142" s="21"/>
      <c r="FHC142" s="21"/>
      <c r="FHD142" s="21"/>
      <c r="FHE142" s="21"/>
      <c r="FHF142" s="21"/>
      <c r="FHG142" s="21"/>
      <c r="FHH142" s="21"/>
      <c r="FHI142" s="21"/>
      <c r="FHJ142" s="21"/>
      <c r="FHK142" s="21"/>
      <c r="FHL142" s="21"/>
      <c r="FHM142" s="21"/>
      <c r="FHN142" s="21"/>
      <c r="FHO142" s="21"/>
      <c r="FHP142" s="21"/>
      <c r="FHQ142" s="21"/>
      <c r="FHR142" s="21"/>
      <c r="FHS142" s="21"/>
      <c r="FHT142" s="21"/>
      <c r="FHU142" s="21"/>
      <c r="FHV142" s="21"/>
      <c r="FHW142" s="21"/>
      <c r="FHX142" s="21"/>
      <c r="FHY142" s="21"/>
      <c r="FHZ142" s="21"/>
      <c r="FIA142" s="21"/>
      <c r="FIB142" s="21"/>
      <c r="FIC142" s="21"/>
      <c r="FID142" s="21"/>
      <c r="FIE142" s="21"/>
      <c r="FIF142" s="21"/>
      <c r="FIG142" s="21"/>
      <c r="FIH142" s="21"/>
      <c r="FII142" s="21"/>
      <c r="FIJ142" s="21"/>
      <c r="FIK142" s="21"/>
      <c r="FIL142" s="21"/>
      <c r="FIM142" s="21"/>
      <c r="FIN142" s="21"/>
      <c r="FIO142" s="21"/>
      <c r="FIP142" s="21"/>
      <c r="FIQ142" s="21"/>
      <c r="FIR142" s="21"/>
      <c r="FIS142" s="21"/>
      <c r="FIT142" s="21"/>
      <c r="FIU142" s="21"/>
      <c r="FIV142" s="21"/>
      <c r="FIW142" s="21"/>
      <c r="FIX142" s="21"/>
      <c r="FIY142" s="21"/>
      <c r="FIZ142" s="21"/>
      <c r="FJA142" s="21"/>
      <c r="FJB142" s="21"/>
      <c r="FJC142" s="21"/>
      <c r="FJD142" s="21"/>
      <c r="FJE142" s="21"/>
      <c r="FJF142" s="21"/>
      <c r="FJG142" s="21"/>
      <c r="FJH142" s="21"/>
      <c r="FJI142" s="21"/>
      <c r="FJJ142" s="21"/>
      <c r="FJK142" s="21"/>
      <c r="FJL142" s="21"/>
      <c r="FJM142" s="21"/>
      <c r="FJN142" s="21"/>
      <c r="FJO142" s="21"/>
      <c r="FJP142" s="21"/>
      <c r="FJQ142" s="21"/>
      <c r="FJR142" s="21"/>
      <c r="FJS142" s="21"/>
      <c r="FJT142" s="21"/>
      <c r="FJU142" s="21"/>
      <c r="FJV142" s="21"/>
      <c r="FJW142" s="21"/>
      <c r="FJX142" s="21"/>
      <c r="FJY142" s="21"/>
      <c r="FJZ142" s="21"/>
      <c r="FKA142" s="21"/>
      <c r="FKB142" s="21"/>
      <c r="FKC142" s="21"/>
      <c r="FKD142" s="21"/>
      <c r="FKE142" s="21"/>
      <c r="FKF142" s="21"/>
      <c r="FKG142" s="21"/>
      <c r="FKH142" s="21"/>
      <c r="FKI142" s="21"/>
      <c r="FKJ142" s="21"/>
      <c r="FKK142" s="21"/>
      <c r="FKL142" s="21"/>
      <c r="FKM142" s="21"/>
      <c r="FKN142" s="21"/>
      <c r="FKO142" s="21"/>
      <c r="FKP142" s="21"/>
      <c r="FKQ142" s="21"/>
      <c r="FKR142" s="21"/>
      <c r="FKS142" s="21"/>
      <c r="FKT142" s="21"/>
      <c r="FKU142" s="21"/>
      <c r="FKV142" s="21"/>
      <c r="FKW142" s="21"/>
      <c r="FKX142" s="21"/>
      <c r="FKY142" s="21"/>
      <c r="FKZ142" s="21"/>
      <c r="FLA142" s="21"/>
      <c r="FLB142" s="21"/>
      <c r="FLC142" s="21"/>
      <c r="FLD142" s="21"/>
      <c r="FLE142" s="21"/>
      <c r="FLF142" s="21"/>
      <c r="FLG142" s="21"/>
      <c r="FLH142" s="21"/>
      <c r="FLI142" s="21"/>
      <c r="FLJ142" s="21"/>
      <c r="FLK142" s="21"/>
      <c r="FLL142" s="21"/>
      <c r="FLM142" s="21"/>
      <c r="FLN142" s="21"/>
      <c r="FLO142" s="21"/>
      <c r="FLP142" s="21"/>
      <c r="FLQ142" s="21"/>
      <c r="FLR142" s="21"/>
      <c r="FLS142" s="21"/>
      <c r="FLT142" s="21"/>
      <c r="FLU142" s="21"/>
      <c r="FLV142" s="21"/>
      <c r="FLW142" s="21"/>
      <c r="FLX142" s="21"/>
      <c r="FLY142" s="21"/>
      <c r="FLZ142" s="21"/>
      <c r="FMA142" s="21"/>
      <c r="FMB142" s="21"/>
      <c r="FMC142" s="21"/>
      <c r="FMD142" s="21"/>
      <c r="FME142" s="21"/>
      <c r="FMF142" s="21"/>
      <c r="FMG142" s="21"/>
      <c r="FMH142" s="21"/>
      <c r="FMI142" s="21"/>
      <c r="FMJ142" s="21"/>
      <c r="FMK142" s="21"/>
      <c r="FML142" s="21"/>
      <c r="FMM142" s="21"/>
      <c r="FMN142" s="21"/>
      <c r="FMO142" s="21"/>
      <c r="FMP142" s="21"/>
      <c r="FMQ142" s="21"/>
      <c r="FMR142" s="21"/>
      <c r="FMS142" s="21"/>
      <c r="FMT142" s="21"/>
      <c r="FMU142" s="21"/>
      <c r="FMV142" s="21"/>
      <c r="FMW142" s="21"/>
      <c r="FMX142" s="21"/>
      <c r="FMY142" s="21"/>
      <c r="FMZ142" s="21"/>
      <c r="FNA142" s="21"/>
      <c r="FNB142" s="21"/>
      <c r="FNC142" s="21"/>
      <c r="FND142" s="21"/>
      <c r="FNE142" s="21"/>
      <c r="FNF142" s="21"/>
      <c r="FNG142" s="21"/>
      <c r="FNH142" s="21"/>
      <c r="FNI142" s="21"/>
      <c r="FNJ142" s="21"/>
      <c r="FNK142" s="21"/>
      <c r="FNL142" s="21"/>
      <c r="FNM142" s="21"/>
      <c r="FNN142" s="21"/>
      <c r="FNO142" s="21"/>
      <c r="FNP142" s="21"/>
      <c r="FNQ142" s="21"/>
      <c r="FNR142" s="21"/>
      <c r="FNS142" s="21"/>
      <c r="FNT142" s="21"/>
      <c r="FNU142" s="21"/>
      <c r="FNV142" s="21"/>
      <c r="FNW142" s="21"/>
      <c r="FNX142" s="21"/>
      <c r="FNY142" s="21"/>
      <c r="FNZ142" s="21"/>
      <c r="FOA142" s="21"/>
      <c r="FOB142" s="21"/>
      <c r="FOC142" s="21"/>
      <c r="FOD142" s="21"/>
      <c r="FOE142" s="21"/>
      <c r="FOF142" s="21"/>
      <c r="FOG142" s="21"/>
      <c r="FOH142" s="21"/>
      <c r="FOI142" s="21"/>
      <c r="FOJ142" s="21"/>
      <c r="FOK142" s="21"/>
      <c r="FOL142" s="21"/>
      <c r="FOM142" s="21"/>
      <c r="FON142" s="21"/>
      <c r="FOO142" s="21"/>
      <c r="FOP142" s="21"/>
      <c r="FOQ142" s="21"/>
      <c r="FOR142" s="21"/>
      <c r="FOS142" s="21"/>
      <c r="FOT142" s="21"/>
      <c r="FOU142" s="21"/>
      <c r="FOV142" s="21"/>
      <c r="FOW142" s="21"/>
      <c r="FOX142" s="21"/>
      <c r="FOY142" s="21"/>
      <c r="FOZ142" s="21"/>
      <c r="FPA142" s="21"/>
      <c r="FPB142" s="21"/>
      <c r="FPC142" s="21"/>
      <c r="FPD142" s="21"/>
      <c r="FPE142" s="21"/>
      <c r="FPF142" s="21"/>
      <c r="FPG142" s="21"/>
      <c r="FPH142" s="21"/>
      <c r="FPI142" s="21"/>
      <c r="FPJ142" s="21"/>
      <c r="FPK142" s="21"/>
      <c r="FPL142" s="21"/>
      <c r="FPM142" s="21"/>
      <c r="FPN142" s="21"/>
      <c r="FPO142" s="21"/>
      <c r="FPP142" s="21"/>
      <c r="FPQ142" s="21"/>
      <c r="FPR142" s="21"/>
      <c r="FPS142" s="21"/>
      <c r="FPT142" s="21"/>
      <c r="FPU142" s="21"/>
      <c r="FPV142" s="21"/>
      <c r="FPW142" s="21"/>
      <c r="FPX142" s="21"/>
      <c r="FPY142" s="21"/>
      <c r="FPZ142" s="21"/>
      <c r="FQA142" s="21"/>
      <c r="FQB142" s="21"/>
      <c r="FQC142" s="21"/>
      <c r="FQD142" s="21"/>
      <c r="FQE142" s="21"/>
      <c r="FQF142" s="21"/>
      <c r="FQG142" s="21"/>
      <c r="FQH142" s="21"/>
      <c r="FQI142" s="21"/>
      <c r="FQJ142" s="21"/>
      <c r="FQK142" s="21"/>
      <c r="FQL142" s="21"/>
      <c r="FQM142" s="21"/>
      <c r="FQN142" s="21"/>
      <c r="FQO142" s="21"/>
      <c r="FQP142" s="21"/>
      <c r="FQQ142" s="21"/>
      <c r="FQR142" s="21"/>
      <c r="FQS142" s="21"/>
      <c r="FQT142" s="21"/>
      <c r="FQU142" s="21"/>
      <c r="FQV142" s="21"/>
      <c r="FQW142" s="21"/>
      <c r="FQX142" s="21"/>
      <c r="FQY142" s="21"/>
      <c r="FQZ142" s="21"/>
      <c r="FRA142" s="21"/>
      <c r="FRB142" s="21"/>
      <c r="FRC142" s="21"/>
      <c r="FRD142" s="21"/>
      <c r="FRE142" s="21"/>
      <c r="FRF142" s="21"/>
      <c r="FRG142" s="21"/>
      <c r="FRH142" s="21"/>
      <c r="FRI142" s="21"/>
      <c r="FRJ142" s="21"/>
      <c r="FRK142" s="21"/>
      <c r="FRL142" s="21"/>
      <c r="FRM142" s="21"/>
      <c r="FRN142" s="21"/>
      <c r="FRO142" s="21"/>
      <c r="FRP142" s="21"/>
      <c r="FRQ142" s="21"/>
      <c r="FRR142" s="21"/>
      <c r="FRS142" s="21"/>
      <c r="FRT142" s="21"/>
      <c r="FRU142" s="21"/>
      <c r="FRV142" s="21"/>
      <c r="FRW142" s="21"/>
      <c r="FRX142" s="21"/>
      <c r="FRY142" s="21"/>
      <c r="FRZ142" s="21"/>
      <c r="FSA142" s="21"/>
      <c r="FSB142" s="21"/>
      <c r="FSC142" s="21"/>
      <c r="FSD142" s="21"/>
      <c r="FSE142" s="21"/>
      <c r="FSF142" s="21"/>
      <c r="FSG142" s="21"/>
      <c r="FSH142" s="21"/>
      <c r="FSI142" s="21"/>
      <c r="FSJ142" s="21"/>
      <c r="FSK142" s="21"/>
      <c r="FSL142" s="21"/>
      <c r="FSM142" s="21"/>
      <c r="FSN142" s="21"/>
      <c r="FSO142" s="21"/>
      <c r="FSP142" s="21"/>
      <c r="FSQ142" s="21"/>
      <c r="FSR142" s="21"/>
      <c r="FSS142" s="21"/>
      <c r="FST142" s="21"/>
      <c r="FSU142" s="21"/>
      <c r="FSV142" s="21"/>
      <c r="FSW142" s="21"/>
      <c r="FSX142" s="21"/>
      <c r="FSY142" s="21"/>
      <c r="FSZ142" s="21"/>
      <c r="FTA142" s="21"/>
      <c r="FTB142" s="21"/>
      <c r="FTC142" s="21"/>
      <c r="FTD142" s="21"/>
      <c r="FTE142" s="21"/>
      <c r="FTF142" s="21"/>
      <c r="FTG142" s="21"/>
      <c r="FTH142" s="21"/>
      <c r="FTI142" s="21"/>
      <c r="FTJ142" s="21"/>
      <c r="FTK142" s="21"/>
      <c r="FTL142" s="21"/>
      <c r="FTM142" s="21"/>
      <c r="FTN142" s="21"/>
      <c r="FTO142" s="21"/>
      <c r="FTP142" s="21"/>
      <c r="FTQ142" s="21"/>
      <c r="FTR142" s="21"/>
      <c r="FTS142" s="21"/>
      <c r="FTT142" s="21"/>
      <c r="FTU142" s="21"/>
      <c r="FTV142" s="21"/>
      <c r="FTW142" s="21"/>
      <c r="FTX142" s="21"/>
      <c r="FTY142" s="21"/>
      <c r="FTZ142" s="21"/>
      <c r="FUA142" s="21"/>
      <c r="FUB142" s="21"/>
      <c r="FUC142" s="21"/>
      <c r="FUD142" s="21"/>
      <c r="FUE142" s="21"/>
      <c r="FUF142" s="21"/>
      <c r="FUG142" s="21"/>
      <c r="FUH142" s="21"/>
      <c r="FUI142" s="21"/>
      <c r="FUJ142" s="21"/>
      <c r="FUK142" s="21"/>
      <c r="FUL142" s="21"/>
      <c r="FUM142" s="21"/>
      <c r="FUN142" s="21"/>
      <c r="FUO142" s="21"/>
      <c r="FUP142" s="21"/>
      <c r="FUQ142" s="21"/>
      <c r="FUR142" s="21"/>
      <c r="FUS142" s="21"/>
      <c r="FUT142" s="21"/>
      <c r="FUU142" s="21"/>
      <c r="FUV142" s="21"/>
      <c r="FUW142" s="21"/>
      <c r="FUX142" s="21"/>
      <c r="FUY142" s="21"/>
      <c r="FUZ142" s="21"/>
      <c r="FVA142" s="21"/>
      <c r="FVB142" s="21"/>
      <c r="FVC142" s="21"/>
      <c r="FVD142" s="21"/>
      <c r="FVE142" s="21"/>
      <c r="FVF142" s="21"/>
      <c r="FVG142" s="21"/>
      <c r="FVH142" s="21"/>
      <c r="FVI142" s="21"/>
      <c r="FVJ142" s="21"/>
      <c r="FVK142" s="21"/>
      <c r="FVL142" s="21"/>
      <c r="FVM142" s="21"/>
      <c r="FVN142" s="21"/>
      <c r="FVO142" s="21"/>
      <c r="FVP142" s="21"/>
      <c r="FVQ142" s="21"/>
      <c r="FVR142" s="21"/>
      <c r="FVS142" s="21"/>
      <c r="FVT142" s="21"/>
      <c r="FVU142" s="21"/>
      <c r="FVV142" s="21"/>
      <c r="FVW142" s="21"/>
      <c r="FVX142" s="21"/>
      <c r="FVY142" s="21"/>
      <c r="FVZ142" s="21"/>
      <c r="FWA142" s="21"/>
      <c r="FWB142" s="21"/>
      <c r="FWC142" s="21"/>
      <c r="FWD142" s="21"/>
      <c r="FWE142" s="21"/>
      <c r="FWF142" s="21"/>
      <c r="FWG142" s="21"/>
      <c r="FWH142" s="21"/>
      <c r="FWI142" s="21"/>
      <c r="FWJ142" s="21"/>
      <c r="FWK142" s="21"/>
      <c r="FWL142" s="21"/>
      <c r="FWM142" s="21"/>
      <c r="FWN142" s="21"/>
      <c r="FWO142" s="21"/>
      <c r="FWP142" s="21"/>
      <c r="FWQ142" s="21"/>
      <c r="FWR142" s="21"/>
      <c r="FWS142" s="21"/>
      <c r="FWT142" s="21"/>
      <c r="FWU142" s="21"/>
      <c r="FWV142" s="21"/>
      <c r="FWW142" s="21"/>
      <c r="FWX142" s="21"/>
      <c r="FWY142" s="21"/>
      <c r="FWZ142" s="21"/>
      <c r="FXA142" s="21"/>
      <c r="FXB142" s="21"/>
      <c r="FXC142" s="21"/>
      <c r="FXD142" s="21"/>
      <c r="FXE142" s="21"/>
      <c r="FXF142" s="21"/>
      <c r="FXG142" s="21"/>
      <c r="FXH142" s="21"/>
      <c r="FXI142" s="21"/>
      <c r="FXJ142" s="21"/>
      <c r="FXK142" s="21"/>
      <c r="FXL142" s="21"/>
      <c r="FXM142" s="21"/>
      <c r="FXN142" s="21"/>
      <c r="FXO142" s="21"/>
      <c r="FXP142" s="21"/>
      <c r="FXQ142" s="21"/>
      <c r="FXR142" s="21"/>
      <c r="FXS142" s="21"/>
      <c r="FXT142" s="21"/>
      <c r="FXU142" s="21"/>
      <c r="FXV142" s="21"/>
      <c r="FXW142" s="21"/>
      <c r="FXX142" s="21"/>
      <c r="FXY142" s="21"/>
      <c r="FXZ142" s="21"/>
      <c r="FYA142" s="21"/>
      <c r="FYB142" s="21"/>
      <c r="FYC142" s="21"/>
      <c r="FYD142" s="21"/>
      <c r="FYE142" s="21"/>
      <c r="FYF142" s="21"/>
      <c r="FYG142" s="21"/>
      <c r="FYH142" s="21"/>
      <c r="FYI142" s="21"/>
      <c r="FYJ142" s="21"/>
      <c r="FYK142" s="21"/>
      <c r="FYL142" s="21"/>
      <c r="FYM142" s="21"/>
      <c r="FYN142" s="21"/>
      <c r="FYO142" s="21"/>
      <c r="FYP142" s="21"/>
      <c r="FYQ142" s="21"/>
      <c r="FYR142" s="21"/>
      <c r="FYS142" s="21"/>
      <c r="FYT142" s="21"/>
      <c r="FYU142" s="21"/>
      <c r="FYV142" s="21"/>
      <c r="FYW142" s="21"/>
      <c r="FYX142" s="21"/>
      <c r="FYY142" s="21"/>
      <c r="FYZ142" s="21"/>
      <c r="FZA142" s="21"/>
      <c r="FZB142" s="21"/>
      <c r="FZC142" s="21"/>
      <c r="FZD142" s="21"/>
      <c r="FZE142" s="21"/>
      <c r="FZF142" s="21"/>
      <c r="FZG142" s="21"/>
      <c r="FZH142" s="21"/>
      <c r="FZI142" s="21"/>
      <c r="FZJ142" s="21"/>
      <c r="FZK142" s="21"/>
      <c r="FZL142" s="21"/>
      <c r="FZM142" s="21"/>
      <c r="FZN142" s="21"/>
      <c r="FZO142" s="21"/>
      <c r="FZP142" s="21"/>
      <c r="FZQ142" s="21"/>
      <c r="FZR142" s="21"/>
      <c r="FZS142" s="21"/>
      <c r="FZT142" s="21"/>
      <c r="FZU142" s="21"/>
      <c r="FZV142" s="21"/>
      <c r="FZW142" s="21"/>
      <c r="FZX142" s="21"/>
      <c r="FZY142" s="21"/>
      <c r="FZZ142" s="21"/>
      <c r="GAA142" s="21"/>
      <c r="GAB142" s="21"/>
      <c r="GAC142" s="21"/>
      <c r="GAD142" s="21"/>
      <c r="GAE142" s="21"/>
      <c r="GAF142" s="21"/>
      <c r="GAG142" s="21"/>
      <c r="GAH142" s="21"/>
      <c r="GAI142" s="21"/>
      <c r="GAJ142" s="21"/>
      <c r="GAK142" s="21"/>
      <c r="GAL142" s="21"/>
      <c r="GAM142" s="21"/>
      <c r="GAN142" s="21"/>
      <c r="GAO142" s="21"/>
      <c r="GAP142" s="21"/>
      <c r="GAQ142" s="21"/>
      <c r="GAR142" s="21"/>
      <c r="GAS142" s="21"/>
      <c r="GAT142" s="21"/>
      <c r="GAU142" s="21"/>
      <c r="GAV142" s="21"/>
      <c r="GAW142" s="21"/>
      <c r="GAX142" s="21"/>
      <c r="GAY142" s="21"/>
      <c r="GAZ142" s="21"/>
      <c r="GBA142" s="21"/>
      <c r="GBB142" s="21"/>
      <c r="GBC142" s="21"/>
      <c r="GBD142" s="21"/>
      <c r="GBE142" s="21"/>
      <c r="GBF142" s="21"/>
      <c r="GBG142" s="21"/>
      <c r="GBH142" s="21"/>
      <c r="GBI142" s="21"/>
      <c r="GBJ142" s="21"/>
      <c r="GBK142" s="21"/>
      <c r="GBL142" s="21"/>
      <c r="GBM142" s="21"/>
      <c r="GBN142" s="21"/>
      <c r="GBO142" s="21"/>
      <c r="GBP142" s="21"/>
      <c r="GBQ142" s="21"/>
      <c r="GBR142" s="21"/>
      <c r="GBS142" s="21"/>
      <c r="GBT142" s="21"/>
      <c r="GBU142" s="21"/>
      <c r="GBV142" s="21"/>
      <c r="GBW142" s="21"/>
      <c r="GBX142" s="21"/>
      <c r="GBY142" s="21"/>
      <c r="GBZ142" s="21"/>
      <c r="GCA142" s="21"/>
      <c r="GCB142" s="21"/>
      <c r="GCC142" s="21"/>
      <c r="GCD142" s="21"/>
      <c r="GCE142" s="21"/>
      <c r="GCF142" s="21"/>
      <c r="GCG142" s="21"/>
      <c r="GCH142" s="21"/>
      <c r="GCI142" s="21"/>
      <c r="GCJ142" s="21"/>
      <c r="GCK142" s="21"/>
      <c r="GCL142" s="21"/>
      <c r="GCM142" s="21"/>
      <c r="GCN142" s="21"/>
      <c r="GCO142" s="21"/>
      <c r="GCP142" s="21"/>
      <c r="GCQ142" s="21"/>
      <c r="GCR142" s="21"/>
      <c r="GCS142" s="21"/>
      <c r="GCT142" s="21"/>
      <c r="GCU142" s="21"/>
      <c r="GCV142" s="21"/>
      <c r="GCW142" s="21"/>
      <c r="GCX142" s="21"/>
      <c r="GCY142" s="21"/>
      <c r="GCZ142" s="21"/>
      <c r="GDA142" s="21"/>
      <c r="GDB142" s="21"/>
      <c r="GDC142" s="21"/>
      <c r="GDD142" s="21"/>
      <c r="GDE142" s="21"/>
      <c r="GDF142" s="21"/>
      <c r="GDG142" s="21"/>
      <c r="GDH142" s="21"/>
      <c r="GDI142" s="21"/>
      <c r="GDJ142" s="21"/>
      <c r="GDK142" s="21"/>
      <c r="GDL142" s="21"/>
      <c r="GDM142" s="21"/>
      <c r="GDN142" s="21"/>
      <c r="GDO142" s="21"/>
      <c r="GDP142" s="21"/>
      <c r="GDQ142" s="21"/>
      <c r="GDR142" s="21"/>
      <c r="GDS142" s="21"/>
      <c r="GDT142" s="21"/>
      <c r="GDU142" s="21"/>
      <c r="GDV142" s="21"/>
      <c r="GDW142" s="21"/>
      <c r="GDX142" s="21"/>
      <c r="GDY142" s="21"/>
      <c r="GDZ142" s="21"/>
      <c r="GEA142" s="21"/>
      <c r="GEB142" s="21"/>
      <c r="GEC142" s="21"/>
      <c r="GED142" s="21"/>
      <c r="GEE142" s="21"/>
      <c r="GEF142" s="21"/>
      <c r="GEG142" s="21"/>
      <c r="GEH142" s="21"/>
      <c r="GEI142" s="21"/>
      <c r="GEJ142" s="21"/>
      <c r="GEK142" s="21"/>
      <c r="GEL142" s="21"/>
      <c r="GEM142" s="21"/>
      <c r="GEN142" s="21"/>
      <c r="GEO142" s="21"/>
      <c r="GEP142" s="21"/>
      <c r="GEQ142" s="21"/>
      <c r="GER142" s="21"/>
      <c r="GES142" s="21"/>
      <c r="GET142" s="21"/>
      <c r="GEU142" s="21"/>
      <c r="GEV142" s="21"/>
      <c r="GEW142" s="21"/>
      <c r="GEX142" s="21"/>
      <c r="GEY142" s="21"/>
      <c r="GEZ142" s="21"/>
      <c r="GFA142" s="21"/>
      <c r="GFB142" s="21"/>
      <c r="GFC142" s="21"/>
      <c r="GFD142" s="21"/>
      <c r="GFE142" s="21"/>
      <c r="GFF142" s="21"/>
      <c r="GFG142" s="21"/>
      <c r="GFH142" s="21"/>
      <c r="GFI142" s="21"/>
      <c r="GFJ142" s="21"/>
      <c r="GFK142" s="21"/>
      <c r="GFL142" s="21"/>
      <c r="GFM142" s="21"/>
      <c r="GFN142" s="21"/>
      <c r="GFO142" s="21"/>
      <c r="GFP142" s="21"/>
      <c r="GFQ142" s="21"/>
      <c r="GFR142" s="21"/>
      <c r="GFS142" s="21"/>
      <c r="GFT142" s="21"/>
      <c r="GFU142" s="21"/>
      <c r="GFV142" s="21"/>
      <c r="GFW142" s="21"/>
      <c r="GFX142" s="21"/>
      <c r="GFY142" s="21"/>
      <c r="GFZ142" s="21"/>
      <c r="GGA142" s="21"/>
      <c r="GGB142" s="21"/>
      <c r="GGC142" s="21"/>
      <c r="GGD142" s="21"/>
      <c r="GGE142" s="21"/>
      <c r="GGF142" s="21"/>
      <c r="GGG142" s="21"/>
      <c r="GGH142" s="21"/>
      <c r="GGI142" s="21"/>
      <c r="GGJ142" s="21"/>
      <c r="GGK142" s="21"/>
      <c r="GGL142" s="21"/>
      <c r="GGM142" s="21"/>
      <c r="GGN142" s="21"/>
      <c r="GGO142" s="21"/>
      <c r="GGP142" s="21"/>
      <c r="GGQ142" s="21"/>
      <c r="GGR142" s="21"/>
      <c r="GGS142" s="21"/>
      <c r="GGT142" s="21"/>
      <c r="GGU142" s="21"/>
      <c r="GGV142" s="21"/>
      <c r="GGW142" s="21"/>
      <c r="GGX142" s="21"/>
      <c r="GGY142" s="21"/>
      <c r="GGZ142" s="21"/>
      <c r="GHA142" s="21"/>
      <c r="GHB142" s="21"/>
      <c r="GHC142" s="21"/>
      <c r="GHD142" s="21"/>
      <c r="GHE142" s="21"/>
      <c r="GHF142" s="21"/>
      <c r="GHG142" s="21"/>
      <c r="GHH142" s="21"/>
      <c r="GHI142" s="21"/>
      <c r="GHJ142" s="21"/>
      <c r="GHK142" s="21"/>
      <c r="GHL142" s="21"/>
      <c r="GHM142" s="21"/>
      <c r="GHN142" s="21"/>
      <c r="GHO142" s="21"/>
      <c r="GHP142" s="21"/>
      <c r="GHQ142" s="21"/>
      <c r="GHR142" s="21"/>
      <c r="GHS142" s="21"/>
      <c r="GHT142" s="21"/>
      <c r="GHU142" s="21"/>
      <c r="GHV142" s="21"/>
      <c r="GHW142" s="21"/>
      <c r="GHX142" s="21"/>
      <c r="GHY142" s="21"/>
      <c r="GHZ142" s="21"/>
      <c r="GIA142" s="21"/>
      <c r="GIB142" s="21"/>
      <c r="GIC142" s="21"/>
      <c r="GID142" s="21"/>
      <c r="GIE142" s="21"/>
      <c r="GIF142" s="21"/>
      <c r="GIG142" s="21"/>
      <c r="GIH142" s="21"/>
      <c r="GII142" s="21"/>
      <c r="GIJ142" s="21"/>
      <c r="GIK142" s="21"/>
      <c r="GIL142" s="21"/>
      <c r="GIM142" s="21"/>
      <c r="GIN142" s="21"/>
      <c r="GIO142" s="21"/>
      <c r="GIP142" s="21"/>
      <c r="GIQ142" s="21"/>
      <c r="GIR142" s="21"/>
      <c r="GIS142" s="21"/>
      <c r="GIT142" s="21"/>
      <c r="GIU142" s="21"/>
      <c r="GIV142" s="21"/>
      <c r="GIW142" s="21"/>
      <c r="GIX142" s="21"/>
      <c r="GIY142" s="21"/>
      <c r="GIZ142" s="21"/>
      <c r="GJA142" s="21"/>
      <c r="GJB142" s="21"/>
      <c r="GJC142" s="21"/>
      <c r="GJD142" s="21"/>
      <c r="GJE142" s="21"/>
      <c r="GJF142" s="21"/>
      <c r="GJG142" s="21"/>
      <c r="GJH142" s="21"/>
      <c r="GJI142" s="21"/>
      <c r="GJJ142" s="21"/>
      <c r="GJK142" s="21"/>
      <c r="GJL142" s="21"/>
      <c r="GJM142" s="21"/>
      <c r="GJN142" s="21"/>
      <c r="GJO142" s="21"/>
      <c r="GJP142" s="21"/>
      <c r="GJQ142" s="21"/>
      <c r="GJR142" s="21"/>
      <c r="GJS142" s="21"/>
      <c r="GJT142" s="21"/>
      <c r="GJU142" s="21"/>
      <c r="GJV142" s="21"/>
      <c r="GJW142" s="21"/>
      <c r="GJX142" s="21"/>
      <c r="GJY142" s="21"/>
      <c r="GJZ142" s="21"/>
      <c r="GKA142" s="21"/>
      <c r="GKB142" s="21"/>
      <c r="GKC142" s="21"/>
      <c r="GKD142" s="21"/>
      <c r="GKE142" s="21"/>
      <c r="GKF142" s="21"/>
      <c r="GKG142" s="21"/>
      <c r="GKH142" s="21"/>
      <c r="GKI142" s="21"/>
      <c r="GKJ142" s="21"/>
      <c r="GKK142" s="21"/>
      <c r="GKL142" s="21"/>
      <c r="GKM142" s="21"/>
      <c r="GKN142" s="21"/>
      <c r="GKO142" s="21"/>
      <c r="GKP142" s="21"/>
      <c r="GKQ142" s="21"/>
      <c r="GKR142" s="21"/>
      <c r="GKS142" s="21"/>
      <c r="GKT142" s="21"/>
      <c r="GKU142" s="21"/>
      <c r="GKV142" s="21"/>
      <c r="GKW142" s="21"/>
      <c r="GKX142" s="21"/>
      <c r="GKY142" s="21"/>
      <c r="GKZ142" s="21"/>
      <c r="GLA142" s="21"/>
      <c r="GLB142" s="21"/>
      <c r="GLC142" s="21"/>
      <c r="GLD142" s="21"/>
      <c r="GLE142" s="21"/>
      <c r="GLF142" s="21"/>
      <c r="GLG142" s="21"/>
      <c r="GLH142" s="21"/>
      <c r="GLI142" s="21"/>
      <c r="GLJ142" s="21"/>
      <c r="GLK142" s="21"/>
      <c r="GLL142" s="21"/>
      <c r="GLM142" s="21"/>
      <c r="GLN142" s="21"/>
      <c r="GLO142" s="21"/>
      <c r="GLP142" s="21"/>
      <c r="GLQ142" s="21"/>
      <c r="GLR142" s="21"/>
      <c r="GLS142" s="21"/>
      <c r="GLT142" s="21"/>
      <c r="GLU142" s="21"/>
      <c r="GLV142" s="21"/>
      <c r="GLW142" s="21"/>
      <c r="GLX142" s="21"/>
      <c r="GLY142" s="21"/>
      <c r="GLZ142" s="21"/>
      <c r="GMA142" s="21"/>
      <c r="GMB142" s="21"/>
      <c r="GMC142" s="21"/>
      <c r="GMD142" s="21"/>
      <c r="GME142" s="21"/>
      <c r="GMF142" s="21"/>
      <c r="GMG142" s="21"/>
      <c r="GMH142" s="21"/>
      <c r="GMI142" s="21"/>
      <c r="GMJ142" s="21"/>
      <c r="GMK142" s="21"/>
      <c r="GML142" s="21"/>
      <c r="GMM142" s="21"/>
      <c r="GMN142" s="21"/>
      <c r="GMO142" s="21"/>
      <c r="GMP142" s="21"/>
      <c r="GMQ142" s="21"/>
      <c r="GMR142" s="21"/>
      <c r="GMS142" s="21"/>
      <c r="GMT142" s="21"/>
      <c r="GMU142" s="21"/>
      <c r="GMV142" s="21"/>
      <c r="GMW142" s="21"/>
      <c r="GMX142" s="21"/>
      <c r="GMY142" s="21"/>
      <c r="GMZ142" s="21"/>
      <c r="GNA142" s="21"/>
      <c r="GNB142" s="21"/>
      <c r="GNC142" s="21"/>
      <c r="GND142" s="21"/>
      <c r="GNE142" s="21"/>
      <c r="GNF142" s="21"/>
      <c r="GNG142" s="21"/>
      <c r="GNH142" s="21"/>
      <c r="GNI142" s="21"/>
      <c r="GNJ142" s="21"/>
      <c r="GNK142" s="21"/>
      <c r="GNL142" s="21"/>
      <c r="GNM142" s="21"/>
      <c r="GNN142" s="21"/>
      <c r="GNO142" s="21"/>
      <c r="GNP142" s="21"/>
      <c r="GNQ142" s="21"/>
      <c r="GNR142" s="21"/>
      <c r="GNS142" s="21"/>
      <c r="GNT142" s="21"/>
      <c r="GNU142" s="21"/>
      <c r="GNV142" s="21"/>
      <c r="GNW142" s="21"/>
      <c r="GNX142" s="21"/>
      <c r="GNY142" s="21"/>
      <c r="GNZ142" s="21"/>
      <c r="GOA142" s="21"/>
      <c r="GOB142" s="21"/>
      <c r="GOC142" s="21"/>
      <c r="GOD142" s="21"/>
      <c r="GOE142" s="21"/>
      <c r="GOF142" s="21"/>
      <c r="GOG142" s="21"/>
      <c r="GOH142" s="21"/>
      <c r="GOI142" s="21"/>
      <c r="GOJ142" s="21"/>
      <c r="GOK142" s="21"/>
      <c r="GOL142" s="21"/>
      <c r="GOM142" s="21"/>
      <c r="GON142" s="21"/>
      <c r="GOO142" s="21"/>
      <c r="GOP142" s="21"/>
      <c r="GOQ142" s="21"/>
      <c r="GOR142" s="21"/>
      <c r="GOS142" s="21"/>
      <c r="GOT142" s="21"/>
      <c r="GOU142" s="21"/>
      <c r="GOV142" s="21"/>
      <c r="GOW142" s="21"/>
      <c r="GOX142" s="21"/>
      <c r="GOY142" s="21"/>
      <c r="GOZ142" s="21"/>
      <c r="GPA142" s="21"/>
      <c r="GPB142" s="21"/>
      <c r="GPC142" s="21"/>
      <c r="GPD142" s="21"/>
      <c r="GPE142" s="21"/>
      <c r="GPF142" s="21"/>
      <c r="GPG142" s="21"/>
      <c r="GPH142" s="21"/>
      <c r="GPI142" s="21"/>
      <c r="GPJ142" s="21"/>
      <c r="GPK142" s="21"/>
      <c r="GPL142" s="21"/>
      <c r="GPM142" s="21"/>
      <c r="GPN142" s="21"/>
      <c r="GPO142" s="21"/>
      <c r="GPP142" s="21"/>
      <c r="GPQ142" s="21"/>
      <c r="GPR142" s="21"/>
      <c r="GPS142" s="21"/>
      <c r="GPT142" s="21"/>
      <c r="GPU142" s="21"/>
      <c r="GPV142" s="21"/>
      <c r="GPW142" s="21"/>
      <c r="GPX142" s="21"/>
      <c r="GPY142" s="21"/>
      <c r="GPZ142" s="21"/>
      <c r="GQA142" s="21"/>
      <c r="GQB142" s="21"/>
      <c r="GQC142" s="21"/>
      <c r="GQD142" s="21"/>
      <c r="GQE142" s="21"/>
      <c r="GQF142" s="21"/>
      <c r="GQG142" s="21"/>
      <c r="GQH142" s="21"/>
      <c r="GQI142" s="21"/>
      <c r="GQJ142" s="21"/>
      <c r="GQK142" s="21"/>
      <c r="GQL142" s="21"/>
      <c r="GQM142" s="21"/>
      <c r="GQN142" s="21"/>
      <c r="GQO142" s="21"/>
      <c r="GQP142" s="21"/>
      <c r="GQQ142" s="21"/>
      <c r="GQR142" s="21"/>
      <c r="GQS142" s="21"/>
      <c r="GQT142" s="21"/>
      <c r="GQU142" s="21"/>
      <c r="GQV142" s="21"/>
      <c r="GQW142" s="21"/>
      <c r="GQX142" s="21"/>
      <c r="GQY142" s="21"/>
      <c r="GQZ142" s="21"/>
      <c r="GRA142" s="21"/>
      <c r="GRB142" s="21"/>
      <c r="GRC142" s="21"/>
      <c r="GRD142" s="21"/>
      <c r="GRE142" s="21"/>
      <c r="GRF142" s="21"/>
      <c r="GRG142" s="21"/>
      <c r="GRH142" s="21"/>
      <c r="GRI142" s="21"/>
      <c r="GRJ142" s="21"/>
      <c r="GRK142" s="21"/>
      <c r="GRL142" s="21"/>
      <c r="GRM142" s="21"/>
      <c r="GRN142" s="21"/>
      <c r="GRO142" s="21"/>
      <c r="GRP142" s="21"/>
      <c r="GRQ142" s="21"/>
      <c r="GRR142" s="21"/>
      <c r="GRS142" s="21"/>
      <c r="GRT142" s="21"/>
      <c r="GRU142" s="21"/>
      <c r="GRV142" s="21"/>
      <c r="GRW142" s="21"/>
      <c r="GRX142" s="21"/>
      <c r="GRY142" s="21"/>
      <c r="GRZ142" s="21"/>
      <c r="GSA142" s="21"/>
      <c r="GSB142" s="21"/>
      <c r="GSC142" s="21"/>
      <c r="GSD142" s="21"/>
      <c r="GSE142" s="21"/>
      <c r="GSF142" s="21"/>
      <c r="GSG142" s="21"/>
      <c r="GSH142" s="21"/>
      <c r="GSI142" s="21"/>
      <c r="GSJ142" s="21"/>
      <c r="GSK142" s="21"/>
      <c r="GSL142" s="21"/>
      <c r="GSM142" s="21"/>
      <c r="GSN142" s="21"/>
      <c r="GSO142" s="21"/>
      <c r="GSP142" s="21"/>
      <c r="GSQ142" s="21"/>
      <c r="GSR142" s="21"/>
      <c r="GSS142" s="21"/>
      <c r="GST142" s="21"/>
      <c r="GSU142" s="21"/>
      <c r="GSV142" s="21"/>
      <c r="GSW142" s="21"/>
      <c r="GSX142" s="21"/>
      <c r="GSY142" s="21"/>
      <c r="GSZ142" s="21"/>
      <c r="GTA142" s="21"/>
      <c r="GTB142" s="21"/>
      <c r="GTC142" s="21"/>
      <c r="GTD142" s="21"/>
      <c r="GTE142" s="21"/>
      <c r="GTF142" s="21"/>
      <c r="GTG142" s="21"/>
      <c r="GTH142" s="21"/>
      <c r="GTI142" s="21"/>
      <c r="GTJ142" s="21"/>
      <c r="GTK142" s="21"/>
      <c r="GTL142" s="21"/>
      <c r="GTM142" s="21"/>
      <c r="GTN142" s="21"/>
      <c r="GTO142" s="21"/>
      <c r="GTP142" s="21"/>
      <c r="GTQ142" s="21"/>
      <c r="GTR142" s="21"/>
      <c r="GTS142" s="21"/>
      <c r="GTT142" s="21"/>
      <c r="GTU142" s="21"/>
      <c r="GTV142" s="21"/>
      <c r="GTW142" s="21"/>
      <c r="GTX142" s="21"/>
      <c r="GTY142" s="21"/>
      <c r="GTZ142" s="21"/>
      <c r="GUA142" s="21"/>
      <c r="GUB142" s="21"/>
      <c r="GUC142" s="21"/>
      <c r="GUD142" s="21"/>
      <c r="GUE142" s="21"/>
      <c r="GUF142" s="21"/>
      <c r="GUG142" s="21"/>
      <c r="GUH142" s="21"/>
      <c r="GUI142" s="21"/>
      <c r="GUJ142" s="21"/>
      <c r="GUK142" s="21"/>
      <c r="GUL142" s="21"/>
      <c r="GUM142" s="21"/>
      <c r="GUN142" s="21"/>
      <c r="GUO142" s="21"/>
      <c r="GUP142" s="21"/>
      <c r="GUQ142" s="21"/>
      <c r="GUR142" s="21"/>
      <c r="GUS142" s="21"/>
      <c r="GUT142" s="21"/>
      <c r="GUU142" s="21"/>
      <c r="GUV142" s="21"/>
      <c r="GUW142" s="21"/>
      <c r="GUX142" s="21"/>
      <c r="GUY142" s="21"/>
      <c r="GUZ142" s="21"/>
      <c r="GVA142" s="21"/>
      <c r="GVB142" s="21"/>
      <c r="GVC142" s="21"/>
      <c r="GVD142" s="21"/>
      <c r="GVE142" s="21"/>
      <c r="GVF142" s="21"/>
      <c r="GVG142" s="21"/>
      <c r="GVH142" s="21"/>
      <c r="GVI142" s="21"/>
      <c r="GVJ142" s="21"/>
      <c r="GVK142" s="21"/>
      <c r="GVL142" s="21"/>
      <c r="GVM142" s="21"/>
      <c r="GVN142" s="21"/>
      <c r="GVO142" s="21"/>
      <c r="GVP142" s="21"/>
      <c r="GVQ142" s="21"/>
      <c r="GVR142" s="21"/>
      <c r="GVS142" s="21"/>
      <c r="GVT142" s="21"/>
      <c r="GVU142" s="21"/>
      <c r="GVV142" s="21"/>
      <c r="GVW142" s="21"/>
      <c r="GVX142" s="21"/>
      <c r="GVY142" s="21"/>
      <c r="GVZ142" s="21"/>
      <c r="GWA142" s="21"/>
      <c r="GWB142" s="21"/>
      <c r="GWC142" s="21"/>
      <c r="GWD142" s="21"/>
      <c r="GWE142" s="21"/>
      <c r="GWF142" s="21"/>
      <c r="GWG142" s="21"/>
      <c r="GWH142" s="21"/>
      <c r="GWI142" s="21"/>
      <c r="GWJ142" s="21"/>
      <c r="GWK142" s="21"/>
      <c r="GWL142" s="21"/>
      <c r="GWM142" s="21"/>
      <c r="GWN142" s="21"/>
      <c r="GWO142" s="21"/>
      <c r="GWP142" s="21"/>
      <c r="GWQ142" s="21"/>
      <c r="GWR142" s="21"/>
      <c r="GWS142" s="21"/>
      <c r="GWT142" s="21"/>
      <c r="GWU142" s="21"/>
      <c r="GWV142" s="21"/>
      <c r="GWW142" s="21"/>
      <c r="GWX142" s="21"/>
      <c r="GWY142" s="21"/>
      <c r="GWZ142" s="21"/>
      <c r="GXA142" s="21"/>
      <c r="GXB142" s="21"/>
      <c r="GXC142" s="21"/>
      <c r="GXD142" s="21"/>
      <c r="GXE142" s="21"/>
      <c r="GXF142" s="21"/>
      <c r="GXG142" s="21"/>
      <c r="GXH142" s="21"/>
      <c r="GXI142" s="21"/>
      <c r="GXJ142" s="21"/>
      <c r="GXK142" s="21"/>
      <c r="GXL142" s="21"/>
      <c r="GXM142" s="21"/>
      <c r="GXN142" s="21"/>
      <c r="GXO142" s="21"/>
      <c r="GXP142" s="21"/>
      <c r="GXQ142" s="21"/>
      <c r="GXR142" s="21"/>
      <c r="GXS142" s="21"/>
      <c r="GXT142" s="21"/>
      <c r="GXU142" s="21"/>
      <c r="GXV142" s="21"/>
      <c r="GXW142" s="21"/>
      <c r="GXX142" s="21"/>
      <c r="GXY142" s="21"/>
      <c r="GXZ142" s="21"/>
      <c r="GYA142" s="21"/>
      <c r="GYB142" s="21"/>
      <c r="GYC142" s="21"/>
      <c r="GYD142" s="21"/>
      <c r="GYE142" s="21"/>
      <c r="GYF142" s="21"/>
      <c r="GYG142" s="21"/>
      <c r="GYH142" s="21"/>
      <c r="GYI142" s="21"/>
      <c r="GYJ142" s="21"/>
      <c r="GYK142" s="21"/>
      <c r="GYL142" s="21"/>
      <c r="GYM142" s="21"/>
      <c r="GYN142" s="21"/>
      <c r="GYO142" s="21"/>
      <c r="GYP142" s="21"/>
      <c r="GYQ142" s="21"/>
      <c r="GYR142" s="21"/>
      <c r="GYS142" s="21"/>
      <c r="GYT142" s="21"/>
      <c r="GYU142" s="21"/>
      <c r="GYV142" s="21"/>
      <c r="GYW142" s="21"/>
      <c r="GYX142" s="21"/>
      <c r="GYY142" s="21"/>
      <c r="GYZ142" s="21"/>
      <c r="GZA142" s="21"/>
      <c r="GZB142" s="21"/>
      <c r="GZC142" s="21"/>
      <c r="GZD142" s="21"/>
      <c r="GZE142" s="21"/>
      <c r="GZF142" s="21"/>
      <c r="GZG142" s="21"/>
      <c r="GZH142" s="21"/>
      <c r="GZI142" s="21"/>
      <c r="GZJ142" s="21"/>
      <c r="GZK142" s="21"/>
      <c r="GZL142" s="21"/>
      <c r="GZM142" s="21"/>
      <c r="GZN142" s="21"/>
      <c r="GZO142" s="21"/>
      <c r="GZP142" s="21"/>
      <c r="GZQ142" s="21"/>
      <c r="GZR142" s="21"/>
      <c r="GZS142" s="21"/>
      <c r="GZT142" s="21"/>
      <c r="GZU142" s="21"/>
      <c r="GZV142" s="21"/>
      <c r="GZW142" s="21"/>
      <c r="GZX142" s="21"/>
      <c r="GZY142" s="21"/>
      <c r="GZZ142" s="21"/>
      <c r="HAA142" s="21"/>
      <c r="HAB142" s="21"/>
      <c r="HAC142" s="21"/>
      <c r="HAD142" s="21"/>
      <c r="HAE142" s="21"/>
      <c r="HAF142" s="21"/>
      <c r="HAG142" s="21"/>
      <c r="HAH142" s="21"/>
      <c r="HAI142" s="21"/>
      <c r="HAJ142" s="21"/>
      <c r="HAK142" s="21"/>
      <c r="HAL142" s="21"/>
      <c r="HAM142" s="21"/>
      <c r="HAN142" s="21"/>
      <c r="HAO142" s="21"/>
      <c r="HAP142" s="21"/>
      <c r="HAQ142" s="21"/>
      <c r="HAR142" s="21"/>
      <c r="HAS142" s="21"/>
      <c r="HAT142" s="21"/>
      <c r="HAU142" s="21"/>
      <c r="HAV142" s="21"/>
      <c r="HAW142" s="21"/>
      <c r="HAX142" s="21"/>
      <c r="HAY142" s="21"/>
      <c r="HAZ142" s="21"/>
      <c r="HBA142" s="21"/>
      <c r="HBB142" s="21"/>
      <c r="HBC142" s="21"/>
      <c r="HBD142" s="21"/>
      <c r="HBE142" s="21"/>
      <c r="HBF142" s="21"/>
      <c r="HBG142" s="21"/>
      <c r="HBH142" s="21"/>
      <c r="HBI142" s="21"/>
      <c r="HBJ142" s="21"/>
      <c r="HBK142" s="21"/>
      <c r="HBL142" s="21"/>
      <c r="HBM142" s="21"/>
      <c r="HBN142" s="21"/>
      <c r="HBO142" s="21"/>
      <c r="HBP142" s="21"/>
      <c r="HBQ142" s="21"/>
      <c r="HBR142" s="21"/>
      <c r="HBS142" s="21"/>
      <c r="HBT142" s="21"/>
      <c r="HBU142" s="21"/>
      <c r="HBV142" s="21"/>
      <c r="HBW142" s="21"/>
      <c r="HBX142" s="21"/>
      <c r="HBY142" s="21"/>
      <c r="HBZ142" s="21"/>
      <c r="HCA142" s="21"/>
      <c r="HCB142" s="21"/>
      <c r="HCC142" s="21"/>
      <c r="HCD142" s="21"/>
      <c r="HCE142" s="21"/>
      <c r="HCF142" s="21"/>
      <c r="HCG142" s="21"/>
      <c r="HCH142" s="21"/>
      <c r="HCI142" s="21"/>
      <c r="HCJ142" s="21"/>
      <c r="HCK142" s="21"/>
      <c r="HCL142" s="21"/>
      <c r="HCM142" s="21"/>
      <c r="HCN142" s="21"/>
      <c r="HCO142" s="21"/>
      <c r="HCP142" s="21"/>
      <c r="HCQ142" s="21"/>
      <c r="HCR142" s="21"/>
      <c r="HCS142" s="21"/>
      <c r="HCT142" s="21"/>
      <c r="HCU142" s="21"/>
      <c r="HCV142" s="21"/>
      <c r="HCW142" s="21"/>
      <c r="HCX142" s="21"/>
      <c r="HCY142" s="21"/>
      <c r="HCZ142" s="21"/>
      <c r="HDA142" s="21"/>
      <c r="HDB142" s="21"/>
      <c r="HDC142" s="21"/>
      <c r="HDD142" s="21"/>
      <c r="HDE142" s="21"/>
      <c r="HDF142" s="21"/>
      <c r="HDG142" s="21"/>
      <c r="HDH142" s="21"/>
      <c r="HDI142" s="21"/>
      <c r="HDJ142" s="21"/>
      <c r="HDK142" s="21"/>
      <c r="HDL142" s="21"/>
      <c r="HDM142" s="21"/>
      <c r="HDN142" s="21"/>
      <c r="HDO142" s="21"/>
      <c r="HDP142" s="21"/>
      <c r="HDQ142" s="21"/>
      <c r="HDR142" s="21"/>
      <c r="HDS142" s="21"/>
      <c r="HDT142" s="21"/>
      <c r="HDU142" s="21"/>
      <c r="HDV142" s="21"/>
      <c r="HDW142" s="21"/>
      <c r="HDX142" s="21"/>
      <c r="HDY142" s="21"/>
      <c r="HDZ142" s="21"/>
      <c r="HEA142" s="21"/>
      <c r="HEB142" s="21"/>
      <c r="HEC142" s="21"/>
      <c r="HED142" s="21"/>
      <c r="HEE142" s="21"/>
      <c r="HEF142" s="21"/>
      <c r="HEG142" s="21"/>
      <c r="HEH142" s="21"/>
      <c r="HEI142" s="21"/>
      <c r="HEJ142" s="21"/>
      <c r="HEK142" s="21"/>
      <c r="HEL142" s="21"/>
      <c r="HEM142" s="21"/>
      <c r="HEN142" s="21"/>
      <c r="HEO142" s="21"/>
      <c r="HEP142" s="21"/>
      <c r="HEQ142" s="21"/>
      <c r="HER142" s="21"/>
      <c r="HES142" s="21"/>
      <c r="HET142" s="21"/>
      <c r="HEU142" s="21"/>
      <c r="HEV142" s="21"/>
      <c r="HEW142" s="21"/>
      <c r="HEX142" s="21"/>
      <c r="HEY142" s="21"/>
      <c r="HEZ142" s="21"/>
      <c r="HFA142" s="21"/>
      <c r="HFB142" s="21"/>
      <c r="HFC142" s="21"/>
      <c r="HFD142" s="21"/>
      <c r="HFE142" s="21"/>
      <c r="HFF142" s="21"/>
      <c r="HFG142" s="21"/>
      <c r="HFH142" s="21"/>
      <c r="HFI142" s="21"/>
      <c r="HFJ142" s="21"/>
      <c r="HFK142" s="21"/>
      <c r="HFL142" s="21"/>
      <c r="HFM142" s="21"/>
      <c r="HFN142" s="21"/>
      <c r="HFO142" s="21"/>
      <c r="HFP142" s="21"/>
      <c r="HFQ142" s="21"/>
      <c r="HFR142" s="21"/>
      <c r="HFS142" s="21"/>
      <c r="HFT142" s="21"/>
      <c r="HFU142" s="21"/>
      <c r="HFV142" s="21"/>
      <c r="HFW142" s="21"/>
      <c r="HFX142" s="21"/>
      <c r="HFY142" s="21"/>
      <c r="HFZ142" s="21"/>
      <c r="HGA142" s="21"/>
      <c r="HGB142" s="21"/>
      <c r="HGC142" s="21"/>
      <c r="HGD142" s="21"/>
      <c r="HGE142" s="21"/>
      <c r="HGF142" s="21"/>
      <c r="HGG142" s="21"/>
      <c r="HGH142" s="21"/>
      <c r="HGI142" s="21"/>
      <c r="HGJ142" s="21"/>
      <c r="HGK142" s="21"/>
      <c r="HGL142" s="21"/>
      <c r="HGM142" s="21"/>
      <c r="HGN142" s="21"/>
      <c r="HGO142" s="21"/>
      <c r="HGP142" s="21"/>
      <c r="HGQ142" s="21"/>
      <c r="HGR142" s="21"/>
      <c r="HGS142" s="21"/>
      <c r="HGT142" s="21"/>
      <c r="HGU142" s="21"/>
      <c r="HGV142" s="21"/>
      <c r="HGW142" s="21"/>
      <c r="HGX142" s="21"/>
      <c r="HGY142" s="21"/>
      <c r="HGZ142" s="21"/>
      <c r="HHA142" s="21"/>
      <c r="HHB142" s="21"/>
      <c r="HHC142" s="21"/>
      <c r="HHD142" s="21"/>
      <c r="HHE142" s="21"/>
      <c r="HHF142" s="21"/>
      <c r="HHG142" s="21"/>
      <c r="HHH142" s="21"/>
      <c r="HHI142" s="21"/>
      <c r="HHJ142" s="21"/>
      <c r="HHK142" s="21"/>
      <c r="HHL142" s="21"/>
      <c r="HHM142" s="21"/>
      <c r="HHN142" s="21"/>
      <c r="HHO142" s="21"/>
      <c r="HHP142" s="21"/>
      <c r="HHQ142" s="21"/>
      <c r="HHR142" s="21"/>
      <c r="HHS142" s="21"/>
      <c r="HHT142" s="21"/>
      <c r="HHU142" s="21"/>
      <c r="HHV142" s="21"/>
      <c r="HHW142" s="21"/>
      <c r="HHX142" s="21"/>
      <c r="HHY142" s="21"/>
      <c r="HHZ142" s="21"/>
      <c r="HIA142" s="21"/>
      <c r="HIB142" s="21"/>
      <c r="HIC142" s="21"/>
      <c r="HID142" s="21"/>
      <c r="HIE142" s="21"/>
      <c r="HIF142" s="21"/>
      <c r="HIG142" s="21"/>
      <c r="HIH142" s="21"/>
      <c r="HII142" s="21"/>
      <c r="HIJ142" s="21"/>
      <c r="HIK142" s="21"/>
      <c r="HIL142" s="21"/>
      <c r="HIM142" s="21"/>
      <c r="HIN142" s="21"/>
      <c r="HIO142" s="21"/>
      <c r="HIP142" s="21"/>
      <c r="HIQ142" s="21"/>
      <c r="HIR142" s="21"/>
      <c r="HIS142" s="21"/>
      <c r="HIT142" s="21"/>
      <c r="HIU142" s="21"/>
      <c r="HIV142" s="21"/>
      <c r="HIW142" s="21"/>
      <c r="HIX142" s="21"/>
      <c r="HIY142" s="21"/>
      <c r="HIZ142" s="21"/>
      <c r="HJA142" s="21"/>
      <c r="HJB142" s="21"/>
      <c r="HJC142" s="21"/>
      <c r="HJD142" s="21"/>
      <c r="HJE142" s="21"/>
      <c r="HJF142" s="21"/>
      <c r="HJG142" s="21"/>
      <c r="HJH142" s="21"/>
      <c r="HJI142" s="21"/>
      <c r="HJJ142" s="21"/>
      <c r="HJK142" s="21"/>
      <c r="HJL142" s="21"/>
      <c r="HJM142" s="21"/>
      <c r="HJN142" s="21"/>
      <c r="HJO142" s="21"/>
      <c r="HJP142" s="21"/>
      <c r="HJQ142" s="21"/>
      <c r="HJR142" s="21"/>
      <c r="HJS142" s="21"/>
      <c r="HJT142" s="21"/>
      <c r="HJU142" s="21"/>
      <c r="HJV142" s="21"/>
      <c r="HJW142" s="21"/>
      <c r="HJX142" s="21"/>
      <c r="HJY142" s="21"/>
      <c r="HJZ142" s="21"/>
      <c r="HKA142" s="21"/>
      <c r="HKB142" s="21"/>
      <c r="HKC142" s="21"/>
      <c r="HKD142" s="21"/>
      <c r="HKE142" s="21"/>
      <c r="HKF142" s="21"/>
      <c r="HKG142" s="21"/>
      <c r="HKH142" s="21"/>
      <c r="HKI142" s="21"/>
      <c r="HKJ142" s="21"/>
      <c r="HKK142" s="21"/>
      <c r="HKL142" s="21"/>
      <c r="HKM142" s="21"/>
      <c r="HKN142" s="21"/>
      <c r="HKO142" s="21"/>
      <c r="HKP142" s="21"/>
      <c r="HKQ142" s="21"/>
      <c r="HKR142" s="21"/>
      <c r="HKS142" s="21"/>
      <c r="HKT142" s="21"/>
      <c r="HKU142" s="21"/>
      <c r="HKV142" s="21"/>
      <c r="HKW142" s="21"/>
      <c r="HKX142" s="21"/>
      <c r="HKY142" s="21"/>
      <c r="HKZ142" s="21"/>
      <c r="HLA142" s="21"/>
      <c r="HLB142" s="21"/>
      <c r="HLC142" s="21"/>
      <c r="HLD142" s="21"/>
      <c r="HLE142" s="21"/>
      <c r="HLF142" s="21"/>
      <c r="HLG142" s="21"/>
      <c r="HLH142" s="21"/>
      <c r="HLI142" s="21"/>
      <c r="HLJ142" s="21"/>
      <c r="HLK142" s="21"/>
      <c r="HLL142" s="21"/>
      <c r="HLM142" s="21"/>
      <c r="HLN142" s="21"/>
      <c r="HLO142" s="21"/>
      <c r="HLP142" s="21"/>
      <c r="HLQ142" s="21"/>
      <c r="HLR142" s="21"/>
      <c r="HLS142" s="21"/>
      <c r="HLT142" s="21"/>
      <c r="HLU142" s="21"/>
      <c r="HLV142" s="21"/>
      <c r="HLW142" s="21"/>
      <c r="HLX142" s="21"/>
      <c r="HLY142" s="21"/>
      <c r="HLZ142" s="21"/>
      <c r="HMA142" s="21"/>
      <c r="HMB142" s="21"/>
      <c r="HMC142" s="21"/>
      <c r="HMD142" s="21"/>
      <c r="HME142" s="21"/>
      <c r="HMF142" s="21"/>
      <c r="HMG142" s="21"/>
      <c r="HMH142" s="21"/>
      <c r="HMI142" s="21"/>
      <c r="HMJ142" s="21"/>
      <c r="HMK142" s="21"/>
      <c r="HML142" s="21"/>
      <c r="HMM142" s="21"/>
      <c r="HMN142" s="21"/>
      <c r="HMO142" s="21"/>
      <c r="HMP142" s="21"/>
      <c r="HMQ142" s="21"/>
      <c r="HMR142" s="21"/>
      <c r="HMS142" s="21"/>
      <c r="HMT142" s="21"/>
      <c r="HMU142" s="21"/>
      <c r="HMV142" s="21"/>
      <c r="HMW142" s="21"/>
      <c r="HMX142" s="21"/>
      <c r="HMY142" s="21"/>
      <c r="HMZ142" s="21"/>
      <c r="HNA142" s="21"/>
      <c r="HNB142" s="21"/>
      <c r="HNC142" s="21"/>
      <c r="HND142" s="21"/>
      <c r="HNE142" s="21"/>
      <c r="HNF142" s="21"/>
      <c r="HNG142" s="21"/>
      <c r="HNH142" s="21"/>
      <c r="HNI142" s="21"/>
      <c r="HNJ142" s="21"/>
      <c r="HNK142" s="21"/>
      <c r="HNL142" s="21"/>
      <c r="HNM142" s="21"/>
      <c r="HNN142" s="21"/>
      <c r="HNO142" s="21"/>
      <c r="HNP142" s="21"/>
      <c r="HNQ142" s="21"/>
      <c r="HNR142" s="21"/>
      <c r="HNS142" s="21"/>
      <c r="HNT142" s="21"/>
      <c r="HNU142" s="21"/>
      <c r="HNV142" s="21"/>
      <c r="HNW142" s="21"/>
      <c r="HNX142" s="21"/>
      <c r="HNY142" s="21"/>
      <c r="HNZ142" s="21"/>
      <c r="HOA142" s="21"/>
      <c r="HOB142" s="21"/>
      <c r="HOC142" s="21"/>
      <c r="HOD142" s="21"/>
      <c r="HOE142" s="21"/>
      <c r="HOF142" s="21"/>
      <c r="HOG142" s="21"/>
      <c r="HOH142" s="21"/>
      <c r="HOI142" s="21"/>
      <c r="HOJ142" s="21"/>
      <c r="HOK142" s="21"/>
      <c r="HOL142" s="21"/>
      <c r="HOM142" s="21"/>
      <c r="HON142" s="21"/>
      <c r="HOO142" s="21"/>
      <c r="HOP142" s="21"/>
      <c r="HOQ142" s="21"/>
      <c r="HOR142" s="21"/>
      <c r="HOS142" s="21"/>
      <c r="HOT142" s="21"/>
      <c r="HOU142" s="21"/>
      <c r="HOV142" s="21"/>
      <c r="HOW142" s="21"/>
      <c r="HOX142" s="21"/>
      <c r="HOY142" s="21"/>
      <c r="HOZ142" s="21"/>
      <c r="HPA142" s="21"/>
      <c r="HPB142" s="21"/>
      <c r="HPC142" s="21"/>
      <c r="HPD142" s="21"/>
      <c r="HPE142" s="21"/>
      <c r="HPF142" s="21"/>
      <c r="HPG142" s="21"/>
      <c r="HPH142" s="21"/>
      <c r="HPI142" s="21"/>
      <c r="HPJ142" s="21"/>
      <c r="HPK142" s="21"/>
      <c r="HPL142" s="21"/>
      <c r="HPM142" s="21"/>
      <c r="HPN142" s="21"/>
      <c r="HPO142" s="21"/>
      <c r="HPP142" s="21"/>
      <c r="HPQ142" s="21"/>
      <c r="HPR142" s="21"/>
      <c r="HPS142" s="21"/>
      <c r="HPT142" s="21"/>
      <c r="HPU142" s="21"/>
      <c r="HPV142" s="21"/>
      <c r="HPW142" s="21"/>
      <c r="HPX142" s="21"/>
      <c r="HPY142" s="21"/>
      <c r="HPZ142" s="21"/>
      <c r="HQA142" s="21"/>
      <c r="HQB142" s="21"/>
      <c r="HQC142" s="21"/>
      <c r="HQD142" s="21"/>
      <c r="HQE142" s="21"/>
      <c r="HQF142" s="21"/>
      <c r="HQG142" s="21"/>
      <c r="HQH142" s="21"/>
      <c r="HQI142" s="21"/>
      <c r="HQJ142" s="21"/>
      <c r="HQK142" s="21"/>
      <c r="HQL142" s="21"/>
      <c r="HQM142" s="21"/>
      <c r="HQN142" s="21"/>
      <c r="HQO142" s="21"/>
      <c r="HQP142" s="21"/>
      <c r="HQQ142" s="21"/>
      <c r="HQR142" s="21"/>
      <c r="HQS142" s="21"/>
      <c r="HQT142" s="21"/>
      <c r="HQU142" s="21"/>
      <c r="HQV142" s="21"/>
      <c r="HQW142" s="21"/>
      <c r="HQX142" s="21"/>
      <c r="HQY142" s="21"/>
      <c r="HQZ142" s="21"/>
      <c r="HRA142" s="21"/>
      <c r="HRB142" s="21"/>
      <c r="HRC142" s="21"/>
      <c r="HRD142" s="21"/>
      <c r="HRE142" s="21"/>
      <c r="HRF142" s="21"/>
      <c r="HRG142" s="21"/>
      <c r="HRH142" s="21"/>
      <c r="HRI142" s="21"/>
      <c r="HRJ142" s="21"/>
      <c r="HRK142" s="21"/>
      <c r="HRL142" s="21"/>
      <c r="HRM142" s="21"/>
      <c r="HRN142" s="21"/>
      <c r="HRO142" s="21"/>
      <c r="HRP142" s="21"/>
      <c r="HRQ142" s="21"/>
      <c r="HRR142" s="21"/>
      <c r="HRS142" s="21"/>
      <c r="HRT142" s="21"/>
      <c r="HRU142" s="21"/>
      <c r="HRV142" s="21"/>
      <c r="HRW142" s="21"/>
      <c r="HRX142" s="21"/>
      <c r="HRY142" s="21"/>
      <c r="HRZ142" s="21"/>
      <c r="HSA142" s="21"/>
      <c r="HSB142" s="21"/>
      <c r="HSC142" s="21"/>
      <c r="HSD142" s="21"/>
      <c r="HSE142" s="21"/>
      <c r="HSF142" s="21"/>
      <c r="HSG142" s="21"/>
      <c r="HSH142" s="21"/>
      <c r="HSI142" s="21"/>
      <c r="HSJ142" s="21"/>
      <c r="HSK142" s="21"/>
      <c r="HSL142" s="21"/>
      <c r="HSM142" s="21"/>
      <c r="HSN142" s="21"/>
      <c r="HSO142" s="21"/>
      <c r="HSP142" s="21"/>
      <c r="HSQ142" s="21"/>
      <c r="HSR142" s="21"/>
      <c r="HSS142" s="21"/>
      <c r="HST142" s="21"/>
      <c r="HSU142" s="21"/>
      <c r="HSV142" s="21"/>
      <c r="HSW142" s="21"/>
      <c r="HSX142" s="21"/>
      <c r="HSY142" s="21"/>
      <c r="HSZ142" s="21"/>
      <c r="HTA142" s="21"/>
      <c r="HTB142" s="21"/>
      <c r="HTC142" s="21"/>
      <c r="HTD142" s="21"/>
      <c r="HTE142" s="21"/>
      <c r="HTF142" s="21"/>
      <c r="HTG142" s="21"/>
      <c r="HTH142" s="21"/>
      <c r="HTI142" s="21"/>
      <c r="HTJ142" s="21"/>
      <c r="HTK142" s="21"/>
      <c r="HTL142" s="21"/>
      <c r="HTM142" s="21"/>
      <c r="HTN142" s="21"/>
      <c r="HTO142" s="21"/>
      <c r="HTP142" s="21"/>
      <c r="HTQ142" s="21"/>
      <c r="HTR142" s="21"/>
      <c r="HTS142" s="21"/>
      <c r="HTT142" s="21"/>
      <c r="HTU142" s="21"/>
      <c r="HTV142" s="21"/>
      <c r="HTW142" s="21"/>
      <c r="HTX142" s="21"/>
      <c r="HTY142" s="21"/>
      <c r="HTZ142" s="21"/>
      <c r="HUA142" s="21"/>
      <c r="HUB142" s="21"/>
      <c r="HUC142" s="21"/>
      <c r="HUD142" s="21"/>
      <c r="HUE142" s="21"/>
      <c r="HUF142" s="21"/>
      <c r="HUG142" s="21"/>
      <c r="HUH142" s="21"/>
      <c r="HUI142" s="21"/>
      <c r="HUJ142" s="21"/>
      <c r="HUK142" s="21"/>
      <c r="HUL142" s="21"/>
      <c r="HUM142" s="21"/>
      <c r="HUN142" s="21"/>
      <c r="HUO142" s="21"/>
      <c r="HUP142" s="21"/>
      <c r="HUQ142" s="21"/>
      <c r="HUR142" s="21"/>
      <c r="HUS142" s="21"/>
      <c r="HUT142" s="21"/>
      <c r="HUU142" s="21"/>
      <c r="HUV142" s="21"/>
      <c r="HUW142" s="21"/>
      <c r="HUX142" s="21"/>
      <c r="HUY142" s="21"/>
      <c r="HUZ142" s="21"/>
      <c r="HVA142" s="21"/>
      <c r="HVB142" s="21"/>
      <c r="HVC142" s="21"/>
      <c r="HVD142" s="21"/>
      <c r="HVE142" s="21"/>
      <c r="HVF142" s="21"/>
      <c r="HVG142" s="21"/>
      <c r="HVH142" s="21"/>
      <c r="HVI142" s="21"/>
      <c r="HVJ142" s="21"/>
      <c r="HVK142" s="21"/>
      <c r="HVL142" s="21"/>
      <c r="HVM142" s="21"/>
      <c r="HVN142" s="21"/>
      <c r="HVO142" s="21"/>
      <c r="HVP142" s="21"/>
      <c r="HVQ142" s="21"/>
      <c r="HVR142" s="21"/>
      <c r="HVS142" s="21"/>
      <c r="HVT142" s="21"/>
      <c r="HVU142" s="21"/>
      <c r="HVV142" s="21"/>
      <c r="HVW142" s="21"/>
      <c r="HVX142" s="21"/>
      <c r="HVY142" s="21"/>
      <c r="HVZ142" s="21"/>
      <c r="HWA142" s="21"/>
      <c r="HWB142" s="21"/>
      <c r="HWC142" s="21"/>
      <c r="HWD142" s="21"/>
      <c r="HWE142" s="21"/>
      <c r="HWF142" s="21"/>
      <c r="HWG142" s="21"/>
      <c r="HWH142" s="21"/>
      <c r="HWI142" s="21"/>
      <c r="HWJ142" s="21"/>
      <c r="HWK142" s="21"/>
      <c r="HWL142" s="21"/>
      <c r="HWM142" s="21"/>
      <c r="HWN142" s="21"/>
      <c r="HWO142" s="21"/>
      <c r="HWP142" s="21"/>
      <c r="HWQ142" s="21"/>
      <c r="HWR142" s="21"/>
      <c r="HWS142" s="21"/>
      <c r="HWT142" s="21"/>
      <c r="HWU142" s="21"/>
      <c r="HWV142" s="21"/>
      <c r="HWW142" s="21"/>
      <c r="HWX142" s="21"/>
      <c r="HWY142" s="21"/>
      <c r="HWZ142" s="21"/>
      <c r="HXA142" s="21"/>
      <c r="HXB142" s="21"/>
      <c r="HXC142" s="21"/>
      <c r="HXD142" s="21"/>
      <c r="HXE142" s="21"/>
      <c r="HXF142" s="21"/>
      <c r="HXG142" s="21"/>
      <c r="HXH142" s="21"/>
      <c r="HXI142" s="21"/>
      <c r="HXJ142" s="21"/>
      <c r="HXK142" s="21"/>
      <c r="HXL142" s="21"/>
      <c r="HXM142" s="21"/>
      <c r="HXN142" s="21"/>
      <c r="HXO142" s="21"/>
      <c r="HXP142" s="21"/>
      <c r="HXQ142" s="21"/>
      <c r="HXR142" s="21"/>
      <c r="HXS142" s="21"/>
      <c r="HXT142" s="21"/>
      <c r="HXU142" s="21"/>
      <c r="HXV142" s="21"/>
      <c r="HXW142" s="21"/>
      <c r="HXX142" s="21"/>
      <c r="HXY142" s="21"/>
      <c r="HXZ142" s="21"/>
      <c r="HYA142" s="21"/>
      <c r="HYB142" s="21"/>
      <c r="HYC142" s="21"/>
      <c r="HYD142" s="21"/>
      <c r="HYE142" s="21"/>
      <c r="HYF142" s="21"/>
      <c r="HYG142" s="21"/>
      <c r="HYH142" s="21"/>
      <c r="HYI142" s="21"/>
      <c r="HYJ142" s="21"/>
      <c r="HYK142" s="21"/>
      <c r="HYL142" s="21"/>
      <c r="HYM142" s="21"/>
      <c r="HYN142" s="21"/>
      <c r="HYO142" s="21"/>
      <c r="HYP142" s="21"/>
      <c r="HYQ142" s="21"/>
      <c r="HYR142" s="21"/>
      <c r="HYS142" s="21"/>
      <c r="HYT142" s="21"/>
      <c r="HYU142" s="21"/>
      <c r="HYV142" s="21"/>
      <c r="HYW142" s="21"/>
      <c r="HYX142" s="21"/>
      <c r="HYY142" s="21"/>
      <c r="HYZ142" s="21"/>
      <c r="HZA142" s="21"/>
      <c r="HZB142" s="21"/>
      <c r="HZC142" s="21"/>
      <c r="HZD142" s="21"/>
      <c r="HZE142" s="21"/>
      <c r="HZF142" s="21"/>
      <c r="HZG142" s="21"/>
      <c r="HZH142" s="21"/>
      <c r="HZI142" s="21"/>
      <c r="HZJ142" s="21"/>
      <c r="HZK142" s="21"/>
      <c r="HZL142" s="21"/>
      <c r="HZM142" s="21"/>
      <c r="HZN142" s="21"/>
      <c r="HZO142" s="21"/>
      <c r="HZP142" s="21"/>
      <c r="HZQ142" s="21"/>
      <c r="HZR142" s="21"/>
      <c r="HZS142" s="21"/>
      <c r="HZT142" s="21"/>
      <c r="HZU142" s="21"/>
      <c r="HZV142" s="21"/>
      <c r="HZW142" s="21"/>
      <c r="HZX142" s="21"/>
      <c r="HZY142" s="21"/>
      <c r="HZZ142" s="21"/>
      <c r="IAA142" s="21"/>
      <c r="IAB142" s="21"/>
      <c r="IAC142" s="21"/>
      <c r="IAD142" s="21"/>
      <c r="IAE142" s="21"/>
      <c r="IAF142" s="21"/>
      <c r="IAG142" s="21"/>
      <c r="IAH142" s="21"/>
      <c r="IAI142" s="21"/>
      <c r="IAJ142" s="21"/>
      <c r="IAK142" s="21"/>
      <c r="IAL142" s="21"/>
      <c r="IAM142" s="21"/>
      <c r="IAN142" s="21"/>
      <c r="IAO142" s="21"/>
      <c r="IAP142" s="21"/>
      <c r="IAQ142" s="21"/>
      <c r="IAR142" s="21"/>
      <c r="IAS142" s="21"/>
      <c r="IAT142" s="21"/>
      <c r="IAU142" s="21"/>
      <c r="IAV142" s="21"/>
      <c r="IAW142" s="21"/>
      <c r="IAX142" s="21"/>
      <c r="IAY142" s="21"/>
      <c r="IAZ142" s="21"/>
      <c r="IBA142" s="21"/>
      <c r="IBB142" s="21"/>
      <c r="IBC142" s="21"/>
      <c r="IBD142" s="21"/>
      <c r="IBE142" s="21"/>
      <c r="IBF142" s="21"/>
      <c r="IBG142" s="21"/>
      <c r="IBH142" s="21"/>
      <c r="IBI142" s="21"/>
      <c r="IBJ142" s="21"/>
      <c r="IBK142" s="21"/>
      <c r="IBL142" s="21"/>
      <c r="IBM142" s="21"/>
      <c r="IBN142" s="21"/>
      <c r="IBO142" s="21"/>
      <c r="IBP142" s="21"/>
      <c r="IBQ142" s="21"/>
      <c r="IBR142" s="21"/>
      <c r="IBS142" s="21"/>
      <c r="IBT142" s="21"/>
      <c r="IBU142" s="21"/>
      <c r="IBV142" s="21"/>
      <c r="IBW142" s="21"/>
      <c r="IBX142" s="21"/>
      <c r="IBY142" s="21"/>
      <c r="IBZ142" s="21"/>
      <c r="ICA142" s="21"/>
      <c r="ICB142" s="21"/>
      <c r="ICC142" s="21"/>
      <c r="ICD142" s="21"/>
      <c r="ICE142" s="21"/>
      <c r="ICF142" s="21"/>
      <c r="ICG142" s="21"/>
      <c r="ICH142" s="21"/>
      <c r="ICI142" s="21"/>
      <c r="ICJ142" s="21"/>
      <c r="ICK142" s="21"/>
      <c r="ICL142" s="21"/>
      <c r="ICM142" s="21"/>
      <c r="ICN142" s="21"/>
      <c r="ICO142" s="21"/>
      <c r="ICP142" s="21"/>
      <c r="ICQ142" s="21"/>
      <c r="ICR142" s="21"/>
      <c r="ICS142" s="21"/>
      <c r="ICT142" s="21"/>
      <c r="ICU142" s="21"/>
      <c r="ICV142" s="21"/>
      <c r="ICW142" s="21"/>
      <c r="ICX142" s="21"/>
      <c r="ICY142" s="21"/>
      <c r="ICZ142" s="21"/>
      <c r="IDA142" s="21"/>
      <c r="IDB142" s="21"/>
      <c r="IDC142" s="21"/>
      <c r="IDD142" s="21"/>
      <c r="IDE142" s="21"/>
      <c r="IDF142" s="21"/>
      <c r="IDG142" s="21"/>
      <c r="IDH142" s="21"/>
      <c r="IDI142" s="21"/>
      <c r="IDJ142" s="21"/>
      <c r="IDK142" s="21"/>
      <c r="IDL142" s="21"/>
      <c r="IDM142" s="21"/>
      <c r="IDN142" s="21"/>
      <c r="IDO142" s="21"/>
      <c r="IDP142" s="21"/>
      <c r="IDQ142" s="21"/>
      <c r="IDR142" s="21"/>
      <c r="IDS142" s="21"/>
      <c r="IDT142" s="21"/>
      <c r="IDU142" s="21"/>
      <c r="IDV142" s="21"/>
      <c r="IDW142" s="21"/>
      <c r="IDX142" s="21"/>
      <c r="IDY142" s="21"/>
      <c r="IDZ142" s="21"/>
      <c r="IEA142" s="21"/>
      <c r="IEB142" s="21"/>
      <c r="IEC142" s="21"/>
      <c r="IED142" s="21"/>
      <c r="IEE142" s="21"/>
      <c r="IEF142" s="21"/>
      <c r="IEG142" s="21"/>
      <c r="IEH142" s="21"/>
      <c r="IEI142" s="21"/>
      <c r="IEJ142" s="21"/>
      <c r="IEK142" s="21"/>
      <c r="IEL142" s="21"/>
      <c r="IEM142" s="21"/>
      <c r="IEN142" s="21"/>
      <c r="IEO142" s="21"/>
      <c r="IEP142" s="21"/>
      <c r="IEQ142" s="21"/>
      <c r="IER142" s="21"/>
      <c r="IES142" s="21"/>
      <c r="IET142" s="21"/>
      <c r="IEU142" s="21"/>
      <c r="IEV142" s="21"/>
      <c r="IEW142" s="21"/>
      <c r="IEX142" s="21"/>
      <c r="IEY142" s="21"/>
      <c r="IEZ142" s="21"/>
      <c r="IFA142" s="21"/>
      <c r="IFB142" s="21"/>
      <c r="IFC142" s="21"/>
      <c r="IFD142" s="21"/>
      <c r="IFE142" s="21"/>
      <c r="IFF142" s="21"/>
      <c r="IFG142" s="21"/>
      <c r="IFH142" s="21"/>
      <c r="IFI142" s="21"/>
      <c r="IFJ142" s="21"/>
      <c r="IFK142" s="21"/>
      <c r="IFL142" s="21"/>
      <c r="IFM142" s="21"/>
      <c r="IFN142" s="21"/>
      <c r="IFO142" s="21"/>
      <c r="IFP142" s="21"/>
      <c r="IFQ142" s="21"/>
      <c r="IFR142" s="21"/>
      <c r="IFS142" s="21"/>
      <c r="IFT142" s="21"/>
      <c r="IFU142" s="21"/>
      <c r="IFV142" s="21"/>
      <c r="IFW142" s="21"/>
      <c r="IFX142" s="21"/>
      <c r="IFY142" s="21"/>
      <c r="IFZ142" s="21"/>
      <c r="IGA142" s="21"/>
      <c r="IGB142" s="21"/>
      <c r="IGC142" s="21"/>
      <c r="IGD142" s="21"/>
      <c r="IGE142" s="21"/>
      <c r="IGF142" s="21"/>
      <c r="IGG142" s="21"/>
      <c r="IGH142" s="21"/>
      <c r="IGI142" s="21"/>
      <c r="IGJ142" s="21"/>
      <c r="IGK142" s="21"/>
      <c r="IGL142" s="21"/>
      <c r="IGM142" s="21"/>
      <c r="IGN142" s="21"/>
      <c r="IGO142" s="21"/>
      <c r="IGP142" s="21"/>
      <c r="IGQ142" s="21"/>
      <c r="IGR142" s="21"/>
      <c r="IGS142" s="21"/>
      <c r="IGT142" s="21"/>
      <c r="IGU142" s="21"/>
      <c r="IGV142" s="21"/>
      <c r="IGW142" s="21"/>
      <c r="IGX142" s="21"/>
      <c r="IGY142" s="21"/>
      <c r="IGZ142" s="21"/>
      <c r="IHA142" s="21"/>
      <c r="IHB142" s="21"/>
      <c r="IHC142" s="21"/>
      <c r="IHD142" s="21"/>
      <c r="IHE142" s="21"/>
      <c r="IHF142" s="21"/>
      <c r="IHG142" s="21"/>
      <c r="IHH142" s="21"/>
      <c r="IHI142" s="21"/>
      <c r="IHJ142" s="21"/>
      <c r="IHK142" s="21"/>
      <c r="IHL142" s="21"/>
      <c r="IHM142" s="21"/>
      <c r="IHN142" s="21"/>
      <c r="IHO142" s="21"/>
      <c r="IHP142" s="21"/>
      <c r="IHQ142" s="21"/>
      <c r="IHR142" s="21"/>
      <c r="IHS142" s="21"/>
      <c r="IHT142" s="21"/>
      <c r="IHU142" s="21"/>
      <c r="IHV142" s="21"/>
      <c r="IHW142" s="21"/>
      <c r="IHX142" s="21"/>
      <c r="IHY142" s="21"/>
      <c r="IHZ142" s="21"/>
      <c r="IIA142" s="21"/>
      <c r="IIB142" s="21"/>
      <c r="IIC142" s="21"/>
      <c r="IID142" s="21"/>
      <c r="IIE142" s="21"/>
      <c r="IIF142" s="21"/>
      <c r="IIG142" s="21"/>
      <c r="IIH142" s="21"/>
      <c r="III142" s="21"/>
      <c r="IIJ142" s="21"/>
      <c r="IIK142" s="21"/>
      <c r="IIL142" s="21"/>
      <c r="IIM142" s="21"/>
      <c r="IIN142" s="21"/>
      <c r="IIO142" s="21"/>
      <c r="IIP142" s="21"/>
      <c r="IIQ142" s="21"/>
      <c r="IIR142" s="21"/>
      <c r="IIS142" s="21"/>
      <c r="IIT142" s="21"/>
      <c r="IIU142" s="21"/>
      <c r="IIV142" s="21"/>
      <c r="IIW142" s="21"/>
      <c r="IIX142" s="21"/>
      <c r="IIY142" s="21"/>
      <c r="IIZ142" s="21"/>
      <c r="IJA142" s="21"/>
      <c r="IJB142" s="21"/>
      <c r="IJC142" s="21"/>
      <c r="IJD142" s="21"/>
      <c r="IJE142" s="21"/>
      <c r="IJF142" s="21"/>
      <c r="IJG142" s="21"/>
      <c r="IJH142" s="21"/>
      <c r="IJI142" s="21"/>
      <c r="IJJ142" s="21"/>
      <c r="IJK142" s="21"/>
      <c r="IJL142" s="21"/>
      <c r="IJM142" s="21"/>
      <c r="IJN142" s="21"/>
      <c r="IJO142" s="21"/>
      <c r="IJP142" s="21"/>
      <c r="IJQ142" s="21"/>
      <c r="IJR142" s="21"/>
      <c r="IJS142" s="21"/>
      <c r="IJT142" s="21"/>
      <c r="IJU142" s="21"/>
      <c r="IJV142" s="21"/>
      <c r="IJW142" s="21"/>
      <c r="IJX142" s="21"/>
      <c r="IJY142" s="21"/>
      <c r="IJZ142" s="21"/>
      <c r="IKA142" s="21"/>
      <c r="IKB142" s="21"/>
      <c r="IKC142" s="21"/>
      <c r="IKD142" s="21"/>
      <c r="IKE142" s="21"/>
      <c r="IKF142" s="21"/>
      <c r="IKG142" s="21"/>
      <c r="IKH142" s="21"/>
      <c r="IKI142" s="21"/>
      <c r="IKJ142" s="21"/>
      <c r="IKK142" s="21"/>
      <c r="IKL142" s="21"/>
      <c r="IKM142" s="21"/>
      <c r="IKN142" s="21"/>
      <c r="IKO142" s="21"/>
      <c r="IKP142" s="21"/>
      <c r="IKQ142" s="21"/>
      <c r="IKR142" s="21"/>
      <c r="IKS142" s="21"/>
      <c r="IKT142" s="21"/>
      <c r="IKU142" s="21"/>
      <c r="IKV142" s="21"/>
      <c r="IKW142" s="21"/>
      <c r="IKX142" s="21"/>
      <c r="IKY142" s="21"/>
      <c r="IKZ142" s="21"/>
      <c r="ILA142" s="21"/>
      <c r="ILB142" s="21"/>
      <c r="ILC142" s="21"/>
      <c r="ILD142" s="21"/>
      <c r="ILE142" s="21"/>
      <c r="ILF142" s="21"/>
      <c r="ILG142" s="21"/>
      <c r="ILH142" s="21"/>
      <c r="ILI142" s="21"/>
      <c r="ILJ142" s="21"/>
      <c r="ILK142" s="21"/>
      <c r="ILL142" s="21"/>
      <c r="ILM142" s="21"/>
      <c r="ILN142" s="21"/>
      <c r="ILO142" s="21"/>
      <c r="ILP142" s="21"/>
      <c r="ILQ142" s="21"/>
      <c r="ILR142" s="21"/>
      <c r="ILS142" s="21"/>
      <c r="ILT142" s="21"/>
      <c r="ILU142" s="21"/>
      <c r="ILV142" s="21"/>
      <c r="ILW142" s="21"/>
      <c r="ILX142" s="21"/>
      <c r="ILY142" s="21"/>
      <c r="ILZ142" s="21"/>
      <c r="IMA142" s="21"/>
      <c r="IMB142" s="21"/>
      <c r="IMC142" s="21"/>
      <c r="IMD142" s="21"/>
      <c r="IME142" s="21"/>
      <c r="IMF142" s="21"/>
      <c r="IMG142" s="21"/>
      <c r="IMH142" s="21"/>
      <c r="IMI142" s="21"/>
      <c r="IMJ142" s="21"/>
      <c r="IMK142" s="21"/>
      <c r="IML142" s="21"/>
      <c r="IMM142" s="21"/>
      <c r="IMN142" s="21"/>
      <c r="IMO142" s="21"/>
      <c r="IMP142" s="21"/>
      <c r="IMQ142" s="21"/>
      <c r="IMR142" s="21"/>
      <c r="IMS142" s="21"/>
      <c r="IMT142" s="21"/>
      <c r="IMU142" s="21"/>
      <c r="IMV142" s="21"/>
      <c r="IMW142" s="21"/>
      <c r="IMX142" s="21"/>
      <c r="IMY142" s="21"/>
      <c r="IMZ142" s="21"/>
      <c r="INA142" s="21"/>
      <c r="INB142" s="21"/>
      <c r="INC142" s="21"/>
      <c r="IND142" s="21"/>
      <c r="INE142" s="21"/>
      <c r="INF142" s="21"/>
      <c r="ING142" s="21"/>
      <c r="INH142" s="21"/>
      <c r="INI142" s="21"/>
      <c r="INJ142" s="21"/>
      <c r="INK142" s="21"/>
      <c r="INL142" s="21"/>
      <c r="INM142" s="21"/>
      <c r="INN142" s="21"/>
      <c r="INO142" s="21"/>
      <c r="INP142" s="21"/>
      <c r="INQ142" s="21"/>
      <c r="INR142" s="21"/>
      <c r="INS142" s="21"/>
      <c r="INT142" s="21"/>
      <c r="INU142" s="21"/>
      <c r="INV142" s="21"/>
      <c r="INW142" s="21"/>
      <c r="INX142" s="21"/>
      <c r="INY142" s="21"/>
      <c r="INZ142" s="21"/>
      <c r="IOA142" s="21"/>
      <c r="IOB142" s="21"/>
      <c r="IOC142" s="21"/>
      <c r="IOD142" s="21"/>
      <c r="IOE142" s="21"/>
      <c r="IOF142" s="21"/>
      <c r="IOG142" s="21"/>
      <c r="IOH142" s="21"/>
      <c r="IOI142" s="21"/>
      <c r="IOJ142" s="21"/>
      <c r="IOK142" s="21"/>
      <c r="IOL142" s="21"/>
      <c r="IOM142" s="21"/>
      <c r="ION142" s="21"/>
      <c r="IOO142" s="21"/>
      <c r="IOP142" s="21"/>
      <c r="IOQ142" s="21"/>
      <c r="IOR142" s="21"/>
      <c r="IOS142" s="21"/>
      <c r="IOT142" s="21"/>
      <c r="IOU142" s="21"/>
      <c r="IOV142" s="21"/>
      <c r="IOW142" s="21"/>
      <c r="IOX142" s="21"/>
      <c r="IOY142" s="21"/>
      <c r="IOZ142" s="21"/>
      <c r="IPA142" s="21"/>
      <c r="IPB142" s="21"/>
      <c r="IPC142" s="21"/>
      <c r="IPD142" s="21"/>
      <c r="IPE142" s="21"/>
      <c r="IPF142" s="21"/>
      <c r="IPG142" s="21"/>
      <c r="IPH142" s="21"/>
      <c r="IPI142" s="21"/>
      <c r="IPJ142" s="21"/>
      <c r="IPK142" s="21"/>
      <c r="IPL142" s="21"/>
      <c r="IPM142" s="21"/>
      <c r="IPN142" s="21"/>
      <c r="IPO142" s="21"/>
      <c r="IPP142" s="21"/>
      <c r="IPQ142" s="21"/>
      <c r="IPR142" s="21"/>
      <c r="IPS142" s="21"/>
      <c r="IPT142" s="21"/>
      <c r="IPU142" s="21"/>
      <c r="IPV142" s="21"/>
      <c r="IPW142" s="21"/>
      <c r="IPX142" s="21"/>
      <c r="IPY142" s="21"/>
      <c r="IPZ142" s="21"/>
      <c r="IQA142" s="21"/>
      <c r="IQB142" s="21"/>
      <c r="IQC142" s="21"/>
      <c r="IQD142" s="21"/>
      <c r="IQE142" s="21"/>
      <c r="IQF142" s="21"/>
      <c r="IQG142" s="21"/>
      <c r="IQH142" s="21"/>
      <c r="IQI142" s="21"/>
      <c r="IQJ142" s="21"/>
      <c r="IQK142" s="21"/>
      <c r="IQL142" s="21"/>
      <c r="IQM142" s="21"/>
      <c r="IQN142" s="21"/>
      <c r="IQO142" s="21"/>
      <c r="IQP142" s="21"/>
      <c r="IQQ142" s="21"/>
      <c r="IQR142" s="21"/>
      <c r="IQS142" s="21"/>
      <c r="IQT142" s="21"/>
      <c r="IQU142" s="21"/>
      <c r="IQV142" s="21"/>
      <c r="IQW142" s="21"/>
      <c r="IQX142" s="21"/>
      <c r="IQY142" s="21"/>
      <c r="IQZ142" s="21"/>
      <c r="IRA142" s="21"/>
      <c r="IRB142" s="21"/>
      <c r="IRC142" s="21"/>
      <c r="IRD142" s="21"/>
      <c r="IRE142" s="21"/>
      <c r="IRF142" s="21"/>
      <c r="IRG142" s="21"/>
      <c r="IRH142" s="21"/>
      <c r="IRI142" s="21"/>
      <c r="IRJ142" s="21"/>
      <c r="IRK142" s="21"/>
      <c r="IRL142" s="21"/>
      <c r="IRM142" s="21"/>
      <c r="IRN142" s="21"/>
      <c r="IRO142" s="21"/>
      <c r="IRP142" s="21"/>
      <c r="IRQ142" s="21"/>
      <c r="IRR142" s="21"/>
      <c r="IRS142" s="21"/>
      <c r="IRT142" s="21"/>
      <c r="IRU142" s="21"/>
      <c r="IRV142" s="21"/>
      <c r="IRW142" s="21"/>
      <c r="IRX142" s="21"/>
      <c r="IRY142" s="21"/>
      <c r="IRZ142" s="21"/>
      <c r="ISA142" s="21"/>
      <c r="ISB142" s="21"/>
      <c r="ISC142" s="21"/>
      <c r="ISD142" s="21"/>
      <c r="ISE142" s="21"/>
      <c r="ISF142" s="21"/>
      <c r="ISG142" s="21"/>
      <c r="ISH142" s="21"/>
      <c r="ISI142" s="21"/>
      <c r="ISJ142" s="21"/>
      <c r="ISK142" s="21"/>
      <c r="ISL142" s="21"/>
      <c r="ISM142" s="21"/>
      <c r="ISN142" s="21"/>
      <c r="ISO142" s="21"/>
      <c r="ISP142" s="21"/>
      <c r="ISQ142" s="21"/>
      <c r="ISR142" s="21"/>
      <c r="ISS142" s="21"/>
      <c r="IST142" s="21"/>
      <c r="ISU142" s="21"/>
      <c r="ISV142" s="21"/>
      <c r="ISW142" s="21"/>
      <c r="ISX142" s="21"/>
      <c r="ISY142" s="21"/>
      <c r="ISZ142" s="21"/>
      <c r="ITA142" s="21"/>
      <c r="ITB142" s="21"/>
      <c r="ITC142" s="21"/>
      <c r="ITD142" s="21"/>
      <c r="ITE142" s="21"/>
      <c r="ITF142" s="21"/>
      <c r="ITG142" s="21"/>
      <c r="ITH142" s="21"/>
      <c r="ITI142" s="21"/>
      <c r="ITJ142" s="21"/>
      <c r="ITK142" s="21"/>
      <c r="ITL142" s="21"/>
      <c r="ITM142" s="21"/>
      <c r="ITN142" s="21"/>
      <c r="ITO142" s="21"/>
      <c r="ITP142" s="21"/>
      <c r="ITQ142" s="21"/>
      <c r="ITR142" s="21"/>
      <c r="ITS142" s="21"/>
      <c r="ITT142" s="21"/>
      <c r="ITU142" s="21"/>
      <c r="ITV142" s="21"/>
      <c r="ITW142" s="21"/>
      <c r="ITX142" s="21"/>
      <c r="ITY142" s="21"/>
      <c r="ITZ142" s="21"/>
      <c r="IUA142" s="21"/>
      <c r="IUB142" s="21"/>
      <c r="IUC142" s="21"/>
      <c r="IUD142" s="21"/>
      <c r="IUE142" s="21"/>
      <c r="IUF142" s="21"/>
      <c r="IUG142" s="21"/>
      <c r="IUH142" s="21"/>
      <c r="IUI142" s="21"/>
      <c r="IUJ142" s="21"/>
      <c r="IUK142" s="21"/>
      <c r="IUL142" s="21"/>
      <c r="IUM142" s="21"/>
      <c r="IUN142" s="21"/>
      <c r="IUO142" s="21"/>
      <c r="IUP142" s="21"/>
      <c r="IUQ142" s="21"/>
      <c r="IUR142" s="21"/>
      <c r="IUS142" s="21"/>
      <c r="IUT142" s="21"/>
      <c r="IUU142" s="21"/>
      <c r="IUV142" s="21"/>
      <c r="IUW142" s="21"/>
      <c r="IUX142" s="21"/>
      <c r="IUY142" s="21"/>
      <c r="IUZ142" s="21"/>
      <c r="IVA142" s="21"/>
      <c r="IVB142" s="21"/>
      <c r="IVC142" s="21"/>
      <c r="IVD142" s="21"/>
      <c r="IVE142" s="21"/>
      <c r="IVF142" s="21"/>
      <c r="IVG142" s="21"/>
      <c r="IVH142" s="21"/>
      <c r="IVI142" s="21"/>
      <c r="IVJ142" s="21"/>
      <c r="IVK142" s="21"/>
      <c r="IVL142" s="21"/>
      <c r="IVM142" s="21"/>
      <c r="IVN142" s="21"/>
      <c r="IVO142" s="21"/>
      <c r="IVP142" s="21"/>
      <c r="IVQ142" s="21"/>
      <c r="IVR142" s="21"/>
      <c r="IVS142" s="21"/>
      <c r="IVT142" s="21"/>
      <c r="IVU142" s="21"/>
      <c r="IVV142" s="21"/>
      <c r="IVW142" s="21"/>
      <c r="IVX142" s="21"/>
      <c r="IVY142" s="21"/>
      <c r="IVZ142" s="21"/>
      <c r="IWA142" s="21"/>
      <c r="IWB142" s="21"/>
      <c r="IWC142" s="21"/>
      <c r="IWD142" s="21"/>
      <c r="IWE142" s="21"/>
      <c r="IWF142" s="21"/>
      <c r="IWG142" s="21"/>
      <c r="IWH142" s="21"/>
      <c r="IWI142" s="21"/>
      <c r="IWJ142" s="21"/>
      <c r="IWK142" s="21"/>
      <c r="IWL142" s="21"/>
      <c r="IWM142" s="21"/>
      <c r="IWN142" s="21"/>
      <c r="IWO142" s="21"/>
      <c r="IWP142" s="21"/>
      <c r="IWQ142" s="21"/>
      <c r="IWR142" s="21"/>
      <c r="IWS142" s="21"/>
      <c r="IWT142" s="21"/>
      <c r="IWU142" s="21"/>
      <c r="IWV142" s="21"/>
      <c r="IWW142" s="21"/>
      <c r="IWX142" s="21"/>
      <c r="IWY142" s="21"/>
      <c r="IWZ142" s="21"/>
      <c r="IXA142" s="21"/>
      <c r="IXB142" s="21"/>
      <c r="IXC142" s="21"/>
      <c r="IXD142" s="21"/>
      <c r="IXE142" s="21"/>
      <c r="IXF142" s="21"/>
      <c r="IXG142" s="21"/>
      <c r="IXH142" s="21"/>
      <c r="IXI142" s="21"/>
      <c r="IXJ142" s="21"/>
      <c r="IXK142" s="21"/>
      <c r="IXL142" s="21"/>
      <c r="IXM142" s="21"/>
      <c r="IXN142" s="21"/>
      <c r="IXO142" s="21"/>
      <c r="IXP142" s="21"/>
      <c r="IXQ142" s="21"/>
      <c r="IXR142" s="21"/>
      <c r="IXS142" s="21"/>
      <c r="IXT142" s="21"/>
      <c r="IXU142" s="21"/>
      <c r="IXV142" s="21"/>
      <c r="IXW142" s="21"/>
      <c r="IXX142" s="21"/>
      <c r="IXY142" s="21"/>
      <c r="IXZ142" s="21"/>
      <c r="IYA142" s="21"/>
      <c r="IYB142" s="21"/>
      <c r="IYC142" s="21"/>
      <c r="IYD142" s="21"/>
      <c r="IYE142" s="21"/>
      <c r="IYF142" s="21"/>
      <c r="IYG142" s="21"/>
      <c r="IYH142" s="21"/>
      <c r="IYI142" s="21"/>
      <c r="IYJ142" s="21"/>
      <c r="IYK142" s="21"/>
      <c r="IYL142" s="21"/>
      <c r="IYM142" s="21"/>
      <c r="IYN142" s="21"/>
      <c r="IYO142" s="21"/>
      <c r="IYP142" s="21"/>
      <c r="IYQ142" s="21"/>
      <c r="IYR142" s="21"/>
      <c r="IYS142" s="21"/>
      <c r="IYT142" s="21"/>
      <c r="IYU142" s="21"/>
      <c r="IYV142" s="21"/>
      <c r="IYW142" s="21"/>
      <c r="IYX142" s="21"/>
      <c r="IYY142" s="21"/>
      <c r="IYZ142" s="21"/>
      <c r="IZA142" s="21"/>
      <c r="IZB142" s="21"/>
      <c r="IZC142" s="21"/>
      <c r="IZD142" s="21"/>
      <c r="IZE142" s="21"/>
      <c r="IZF142" s="21"/>
      <c r="IZG142" s="21"/>
      <c r="IZH142" s="21"/>
      <c r="IZI142" s="21"/>
      <c r="IZJ142" s="21"/>
      <c r="IZK142" s="21"/>
      <c r="IZL142" s="21"/>
      <c r="IZM142" s="21"/>
      <c r="IZN142" s="21"/>
      <c r="IZO142" s="21"/>
      <c r="IZP142" s="21"/>
      <c r="IZQ142" s="21"/>
      <c r="IZR142" s="21"/>
      <c r="IZS142" s="21"/>
      <c r="IZT142" s="21"/>
      <c r="IZU142" s="21"/>
      <c r="IZV142" s="21"/>
      <c r="IZW142" s="21"/>
      <c r="IZX142" s="21"/>
      <c r="IZY142" s="21"/>
      <c r="IZZ142" s="21"/>
      <c r="JAA142" s="21"/>
      <c r="JAB142" s="21"/>
      <c r="JAC142" s="21"/>
      <c r="JAD142" s="21"/>
      <c r="JAE142" s="21"/>
      <c r="JAF142" s="21"/>
      <c r="JAG142" s="21"/>
      <c r="JAH142" s="21"/>
      <c r="JAI142" s="21"/>
      <c r="JAJ142" s="21"/>
      <c r="JAK142" s="21"/>
      <c r="JAL142" s="21"/>
      <c r="JAM142" s="21"/>
      <c r="JAN142" s="21"/>
      <c r="JAO142" s="21"/>
      <c r="JAP142" s="21"/>
      <c r="JAQ142" s="21"/>
      <c r="JAR142" s="21"/>
      <c r="JAS142" s="21"/>
      <c r="JAT142" s="21"/>
      <c r="JAU142" s="21"/>
      <c r="JAV142" s="21"/>
      <c r="JAW142" s="21"/>
      <c r="JAX142" s="21"/>
      <c r="JAY142" s="21"/>
      <c r="JAZ142" s="21"/>
      <c r="JBA142" s="21"/>
      <c r="JBB142" s="21"/>
      <c r="JBC142" s="21"/>
      <c r="JBD142" s="21"/>
      <c r="JBE142" s="21"/>
      <c r="JBF142" s="21"/>
      <c r="JBG142" s="21"/>
      <c r="JBH142" s="21"/>
      <c r="JBI142" s="21"/>
      <c r="JBJ142" s="21"/>
      <c r="JBK142" s="21"/>
      <c r="JBL142" s="21"/>
      <c r="JBM142" s="21"/>
      <c r="JBN142" s="21"/>
      <c r="JBO142" s="21"/>
      <c r="JBP142" s="21"/>
      <c r="JBQ142" s="21"/>
      <c r="JBR142" s="21"/>
      <c r="JBS142" s="21"/>
      <c r="JBT142" s="21"/>
      <c r="JBU142" s="21"/>
      <c r="JBV142" s="21"/>
      <c r="JBW142" s="21"/>
      <c r="JBX142" s="21"/>
      <c r="JBY142" s="21"/>
      <c r="JBZ142" s="21"/>
      <c r="JCA142" s="21"/>
      <c r="JCB142" s="21"/>
      <c r="JCC142" s="21"/>
      <c r="JCD142" s="21"/>
      <c r="JCE142" s="21"/>
      <c r="JCF142" s="21"/>
      <c r="JCG142" s="21"/>
      <c r="JCH142" s="21"/>
      <c r="JCI142" s="21"/>
      <c r="JCJ142" s="21"/>
      <c r="JCK142" s="21"/>
      <c r="JCL142" s="21"/>
      <c r="JCM142" s="21"/>
      <c r="JCN142" s="21"/>
      <c r="JCO142" s="21"/>
      <c r="JCP142" s="21"/>
      <c r="JCQ142" s="21"/>
      <c r="JCR142" s="21"/>
      <c r="JCS142" s="21"/>
      <c r="JCT142" s="21"/>
      <c r="JCU142" s="21"/>
      <c r="JCV142" s="21"/>
      <c r="JCW142" s="21"/>
      <c r="JCX142" s="21"/>
      <c r="JCY142" s="21"/>
      <c r="JCZ142" s="21"/>
      <c r="JDA142" s="21"/>
      <c r="JDB142" s="21"/>
      <c r="JDC142" s="21"/>
      <c r="JDD142" s="21"/>
      <c r="JDE142" s="21"/>
      <c r="JDF142" s="21"/>
      <c r="JDG142" s="21"/>
      <c r="JDH142" s="21"/>
      <c r="JDI142" s="21"/>
      <c r="JDJ142" s="21"/>
      <c r="JDK142" s="21"/>
      <c r="JDL142" s="21"/>
      <c r="JDM142" s="21"/>
      <c r="JDN142" s="21"/>
      <c r="JDO142" s="21"/>
      <c r="JDP142" s="21"/>
      <c r="JDQ142" s="21"/>
      <c r="JDR142" s="21"/>
      <c r="JDS142" s="21"/>
      <c r="JDT142" s="21"/>
      <c r="JDU142" s="21"/>
      <c r="JDV142" s="21"/>
      <c r="JDW142" s="21"/>
      <c r="JDX142" s="21"/>
      <c r="JDY142" s="21"/>
      <c r="JDZ142" s="21"/>
      <c r="JEA142" s="21"/>
      <c r="JEB142" s="21"/>
      <c r="JEC142" s="21"/>
      <c r="JED142" s="21"/>
      <c r="JEE142" s="21"/>
      <c r="JEF142" s="21"/>
      <c r="JEG142" s="21"/>
      <c r="JEH142" s="21"/>
      <c r="JEI142" s="21"/>
      <c r="JEJ142" s="21"/>
      <c r="JEK142" s="21"/>
      <c r="JEL142" s="21"/>
      <c r="JEM142" s="21"/>
      <c r="JEN142" s="21"/>
      <c r="JEO142" s="21"/>
      <c r="JEP142" s="21"/>
      <c r="JEQ142" s="21"/>
      <c r="JER142" s="21"/>
      <c r="JES142" s="21"/>
      <c r="JET142" s="21"/>
      <c r="JEU142" s="21"/>
      <c r="JEV142" s="21"/>
      <c r="JEW142" s="21"/>
      <c r="JEX142" s="21"/>
      <c r="JEY142" s="21"/>
      <c r="JEZ142" s="21"/>
      <c r="JFA142" s="21"/>
      <c r="JFB142" s="21"/>
      <c r="JFC142" s="21"/>
      <c r="JFD142" s="21"/>
      <c r="JFE142" s="21"/>
      <c r="JFF142" s="21"/>
      <c r="JFG142" s="21"/>
      <c r="JFH142" s="21"/>
      <c r="JFI142" s="21"/>
      <c r="JFJ142" s="21"/>
      <c r="JFK142" s="21"/>
      <c r="JFL142" s="21"/>
      <c r="JFM142" s="21"/>
      <c r="JFN142" s="21"/>
      <c r="JFO142" s="21"/>
      <c r="JFP142" s="21"/>
      <c r="JFQ142" s="21"/>
      <c r="JFR142" s="21"/>
      <c r="JFS142" s="21"/>
      <c r="JFT142" s="21"/>
      <c r="JFU142" s="21"/>
      <c r="JFV142" s="21"/>
      <c r="JFW142" s="21"/>
      <c r="JFX142" s="21"/>
      <c r="JFY142" s="21"/>
      <c r="JFZ142" s="21"/>
      <c r="JGA142" s="21"/>
      <c r="JGB142" s="21"/>
      <c r="JGC142" s="21"/>
      <c r="JGD142" s="21"/>
      <c r="JGE142" s="21"/>
      <c r="JGF142" s="21"/>
      <c r="JGG142" s="21"/>
      <c r="JGH142" s="21"/>
      <c r="JGI142" s="21"/>
      <c r="JGJ142" s="21"/>
      <c r="JGK142" s="21"/>
      <c r="JGL142" s="21"/>
      <c r="JGM142" s="21"/>
      <c r="JGN142" s="21"/>
      <c r="JGO142" s="21"/>
      <c r="JGP142" s="21"/>
      <c r="JGQ142" s="21"/>
      <c r="JGR142" s="21"/>
      <c r="JGS142" s="21"/>
      <c r="JGT142" s="21"/>
      <c r="JGU142" s="21"/>
      <c r="JGV142" s="21"/>
      <c r="JGW142" s="21"/>
      <c r="JGX142" s="21"/>
      <c r="JGY142" s="21"/>
      <c r="JGZ142" s="21"/>
      <c r="JHA142" s="21"/>
      <c r="JHB142" s="21"/>
      <c r="JHC142" s="21"/>
      <c r="JHD142" s="21"/>
      <c r="JHE142" s="21"/>
      <c r="JHF142" s="21"/>
      <c r="JHG142" s="21"/>
      <c r="JHH142" s="21"/>
      <c r="JHI142" s="21"/>
      <c r="JHJ142" s="21"/>
      <c r="JHK142" s="21"/>
      <c r="JHL142" s="21"/>
      <c r="JHM142" s="21"/>
      <c r="JHN142" s="21"/>
      <c r="JHO142" s="21"/>
      <c r="JHP142" s="21"/>
      <c r="JHQ142" s="21"/>
      <c r="JHR142" s="21"/>
      <c r="JHS142" s="21"/>
      <c r="JHT142" s="21"/>
      <c r="JHU142" s="21"/>
      <c r="JHV142" s="21"/>
      <c r="JHW142" s="21"/>
      <c r="JHX142" s="21"/>
      <c r="JHY142" s="21"/>
      <c r="JHZ142" s="21"/>
      <c r="JIA142" s="21"/>
      <c r="JIB142" s="21"/>
      <c r="JIC142" s="21"/>
      <c r="JID142" s="21"/>
      <c r="JIE142" s="21"/>
      <c r="JIF142" s="21"/>
      <c r="JIG142" s="21"/>
      <c r="JIH142" s="21"/>
      <c r="JII142" s="21"/>
      <c r="JIJ142" s="21"/>
      <c r="JIK142" s="21"/>
      <c r="JIL142" s="21"/>
      <c r="JIM142" s="21"/>
      <c r="JIN142" s="21"/>
      <c r="JIO142" s="21"/>
      <c r="JIP142" s="21"/>
      <c r="JIQ142" s="21"/>
      <c r="JIR142" s="21"/>
      <c r="JIS142" s="21"/>
      <c r="JIT142" s="21"/>
      <c r="JIU142" s="21"/>
      <c r="JIV142" s="21"/>
      <c r="JIW142" s="21"/>
      <c r="JIX142" s="21"/>
      <c r="JIY142" s="21"/>
      <c r="JIZ142" s="21"/>
      <c r="JJA142" s="21"/>
      <c r="JJB142" s="21"/>
      <c r="JJC142" s="21"/>
      <c r="JJD142" s="21"/>
      <c r="JJE142" s="21"/>
      <c r="JJF142" s="21"/>
      <c r="JJG142" s="21"/>
      <c r="JJH142" s="21"/>
      <c r="JJI142" s="21"/>
      <c r="JJJ142" s="21"/>
      <c r="JJK142" s="21"/>
      <c r="JJL142" s="21"/>
      <c r="JJM142" s="21"/>
      <c r="JJN142" s="21"/>
      <c r="JJO142" s="21"/>
      <c r="JJP142" s="21"/>
      <c r="JJQ142" s="21"/>
      <c r="JJR142" s="21"/>
      <c r="JJS142" s="21"/>
      <c r="JJT142" s="21"/>
      <c r="JJU142" s="21"/>
      <c r="JJV142" s="21"/>
      <c r="JJW142" s="21"/>
      <c r="JJX142" s="21"/>
      <c r="JJY142" s="21"/>
      <c r="JJZ142" s="21"/>
      <c r="JKA142" s="21"/>
      <c r="JKB142" s="21"/>
      <c r="JKC142" s="21"/>
      <c r="JKD142" s="21"/>
      <c r="JKE142" s="21"/>
      <c r="JKF142" s="21"/>
      <c r="JKG142" s="21"/>
      <c r="JKH142" s="21"/>
      <c r="JKI142" s="21"/>
      <c r="JKJ142" s="21"/>
      <c r="JKK142" s="21"/>
      <c r="JKL142" s="21"/>
      <c r="JKM142" s="21"/>
      <c r="JKN142" s="21"/>
      <c r="JKO142" s="21"/>
      <c r="JKP142" s="21"/>
      <c r="JKQ142" s="21"/>
      <c r="JKR142" s="21"/>
      <c r="JKS142" s="21"/>
      <c r="JKT142" s="21"/>
      <c r="JKU142" s="21"/>
      <c r="JKV142" s="21"/>
      <c r="JKW142" s="21"/>
      <c r="JKX142" s="21"/>
      <c r="JKY142" s="21"/>
      <c r="JKZ142" s="21"/>
      <c r="JLA142" s="21"/>
      <c r="JLB142" s="21"/>
      <c r="JLC142" s="21"/>
      <c r="JLD142" s="21"/>
      <c r="JLE142" s="21"/>
      <c r="JLF142" s="21"/>
      <c r="JLG142" s="21"/>
      <c r="JLH142" s="21"/>
      <c r="JLI142" s="21"/>
      <c r="JLJ142" s="21"/>
      <c r="JLK142" s="21"/>
      <c r="JLL142" s="21"/>
      <c r="JLM142" s="21"/>
      <c r="JLN142" s="21"/>
      <c r="JLO142" s="21"/>
      <c r="JLP142" s="21"/>
      <c r="JLQ142" s="21"/>
      <c r="JLR142" s="21"/>
      <c r="JLS142" s="21"/>
      <c r="JLT142" s="21"/>
      <c r="JLU142" s="21"/>
      <c r="JLV142" s="21"/>
      <c r="JLW142" s="21"/>
      <c r="JLX142" s="21"/>
      <c r="JLY142" s="21"/>
      <c r="JLZ142" s="21"/>
      <c r="JMA142" s="21"/>
      <c r="JMB142" s="21"/>
      <c r="JMC142" s="21"/>
      <c r="JMD142" s="21"/>
      <c r="JME142" s="21"/>
      <c r="JMF142" s="21"/>
      <c r="JMG142" s="21"/>
      <c r="JMH142" s="21"/>
      <c r="JMI142" s="21"/>
      <c r="JMJ142" s="21"/>
      <c r="JMK142" s="21"/>
      <c r="JML142" s="21"/>
      <c r="JMM142" s="21"/>
      <c r="JMN142" s="21"/>
      <c r="JMO142" s="21"/>
      <c r="JMP142" s="21"/>
      <c r="JMQ142" s="21"/>
      <c r="JMR142" s="21"/>
      <c r="JMS142" s="21"/>
      <c r="JMT142" s="21"/>
      <c r="JMU142" s="21"/>
      <c r="JMV142" s="21"/>
      <c r="JMW142" s="21"/>
      <c r="JMX142" s="21"/>
      <c r="JMY142" s="21"/>
      <c r="JMZ142" s="21"/>
      <c r="JNA142" s="21"/>
      <c r="JNB142" s="21"/>
      <c r="JNC142" s="21"/>
      <c r="JND142" s="21"/>
      <c r="JNE142" s="21"/>
      <c r="JNF142" s="21"/>
      <c r="JNG142" s="21"/>
      <c r="JNH142" s="21"/>
      <c r="JNI142" s="21"/>
      <c r="JNJ142" s="21"/>
      <c r="JNK142" s="21"/>
      <c r="JNL142" s="21"/>
      <c r="JNM142" s="21"/>
      <c r="JNN142" s="21"/>
      <c r="JNO142" s="21"/>
      <c r="JNP142" s="21"/>
      <c r="JNQ142" s="21"/>
      <c r="JNR142" s="21"/>
      <c r="JNS142" s="21"/>
      <c r="JNT142" s="21"/>
      <c r="JNU142" s="21"/>
      <c r="JNV142" s="21"/>
      <c r="JNW142" s="21"/>
      <c r="JNX142" s="21"/>
      <c r="JNY142" s="21"/>
      <c r="JNZ142" s="21"/>
      <c r="JOA142" s="21"/>
      <c r="JOB142" s="21"/>
      <c r="JOC142" s="21"/>
      <c r="JOD142" s="21"/>
      <c r="JOE142" s="21"/>
      <c r="JOF142" s="21"/>
      <c r="JOG142" s="21"/>
      <c r="JOH142" s="21"/>
      <c r="JOI142" s="21"/>
      <c r="JOJ142" s="21"/>
      <c r="JOK142" s="21"/>
      <c r="JOL142" s="21"/>
      <c r="JOM142" s="21"/>
      <c r="JON142" s="21"/>
      <c r="JOO142" s="21"/>
      <c r="JOP142" s="21"/>
      <c r="JOQ142" s="21"/>
      <c r="JOR142" s="21"/>
      <c r="JOS142" s="21"/>
      <c r="JOT142" s="21"/>
      <c r="JOU142" s="21"/>
      <c r="JOV142" s="21"/>
      <c r="JOW142" s="21"/>
      <c r="JOX142" s="21"/>
      <c r="JOY142" s="21"/>
      <c r="JOZ142" s="21"/>
      <c r="JPA142" s="21"/>
      <c r="JPB142" s="21"/>
      <c r="JPC142" s="21"/>
      <c r="JPD142" s="21"/>
      <c r="JPE142" s="21"/>
      <c r="JPF142" s="21"/>
      <c r="JPG142" s="21"/>
      <c r="JPH142" s="21"/>
      <c r="JPI142" s="21"/>
      <c r="JPJ142" s="21"/>
      <c r="JPK142" s="21"/>
      <c r="JPL142" s="21"/>
      <c r="JPM142" s="21"/>
      <c r="JPN142" s="21"/>
      <c r="JPO142" s="21"/>
      <c r="JPP142" s="21"/>
      <c r="JPQ142" s="21"/>
      <c r="JPR142" s="21"/>
      <c r="JPS142" s="21"/>
      <c r="JPT142" s="21"/>
      <c r="JPU142" s="21"/>
      <c r="JPV142" s="21"/>
      <c r="JPW142" s="21"/>
      <c r="JPX142" s="21"/>
      <c r="JPY142" s="21"/>
      <c r="JPZ142" s="21"/>
      <c r="JQA142" s="21"/>
      <c r="JQB142" s="21"/>
      <c r="JQC142" s="21"/>
      <c r="JQD142" s="21"/>
      <c r="JQE142" s="21"/>
      <c r="JQF142" s="21"/>
      <c r="JQG142" s="21"/>
      <c r="JQH142" s="21"/>
      <c r="JQI142" s="21"/>
      <c r="JQJ142" s="21"/>
      <c r="JQK142" s="21"/>
      <c r="JQL142" s="21"/>
      <c r="JQM142" s="21"/>
      <c r="JQN142" s="21"/>
      <c r="JQO142" s="21"/>
      <c r="JQP142" s="21"/>
      <c r="JQQ142" s="21"/>
      <c r="JQR142" s="21"/>
      <c r="JQS142" s="21"/>
      <c r="JQT142" s="21"/>
      <c r="JQU142" s="21"/>
      <c r="JQV142" s="21"/>
      <c r="JQW142" s="21"/>
      <c r="JQX142" s="21"/>
      <c r="JQY142" s="21"/>
      <c r="JQZ142" s="21"/>
      <c r="JRA142" s="21"/>
      <c r="JRB142" s="21"/>
      <c r="JRC142" s="21"/>
      <c r="JRD142" s="21"/>
      <c r="JRE142" s="21"/>
      <c r="JRF142" s="21"/>
      <c r="JRG142" s="21"/>
      <c r="JRH142" s="21"/>
      <c r="JRI142" s="21"/>
      <c r="JRJ142" s="21"/>
      <c r="JRK142" s="21"/>
      <c r="JRL142" s="21"/>
      <c r="JRM142" s="21"/>
      <c r="JRN142" s="21"/>
      <c r="JRO142" s="21"/>
      <c r="JRP142" s="21"/>
      <c r="JRQ142" s="21"/>
      <c r="JRR142" s="21"/>
      <c r="JRS142" s="21"/>
      <c r="JRT142" s="21"/>
      <c r="JRU142" s="21"/>
      <c r="JRV142" s="21"/>
      <c r="JRW142" s="21"/>
      <c r="JRX142" s="21"/>
      <c r="JRY142" s="21"/>
      <c r="JRZ142" s="21"/>
      <c r="JSA142" s="21"/>
      <c r="JSB142" s="21"/>
      <c r="JSC142" s="21"/>
      <c r="JSD142" s="21"/>
      <c r="JSE142" s="21"/>
      <c r="JSF142" s="21"/>
      <c r="JSG142" s="21"/>
      <c r="JSH142" s="21"/>
      <c r="JSI142" s="21"/>
      <c r="JSJ142" s="21"/>
      <c r="JSK142" s="21"/>
      <c r="JSL142" s="21"/>
      <c r="JSM142" s="21"/>
      <c r="JSN142" s="21"/>
      <c r="JSO142" s="21"/>
      <c r="JSP142" s="21"/>
      <c r="JSQ142" s="21"/>
      <c r="JSR142" s="21"/>
      <c r="JSS142" s="21"/>
      <c r="JST142" s="21"/>
      <c r="JSU142" s="21"/>
      <c r="JSV142" s="21"/>
      <c r="JSW142" s="21"/>
      <c r="JSX142" s="21"/>
      <c r="JSY142" s="21"/>
      <c r="JSZ142" s="21"/>
      <c r="JTA142" s="21"/>
      <c r="JTB142" s="21"/>
      <c r="JTC142" s="21"/>
      <c r="JTD142" s="21"/>
      <c r="JTE142" s="21"/>
      <c r="JTF142" s="21"/>
      <c r="JTG142" s="21"/>
      <c r="JTH142" s="21"/>
      <c r="JTI142" s="21"/>
      <c r="JTJ142" s="21"/>
      <c r="JTK142" s="21"/>
      <c r="JTL142" s="21"/>
      <c r="JTM142" s="21"/>
      <c r="JTN142" s="21"/>
      <c r="JTO142" s="21"/>
      <c r="JTP142" s="21"/>
      <c r="JTQ142" s="21"/>
      <c r="JTR142" s="21"/>
      <c r="JTS142" s="21"/>
      <c r="JTT142" s="21"/>
      <c r="JTU142" s="21"/>
      <c r="JTV142" s="21"/>
      <c r="JTW142" s="21"/>
      <c r="JTX142" s="21"/>
      <c r="JTY142" s="21"/>
      <c r="JTZ142" s="21"/>
      <c r="JUA142" s="21"/>
      <c r="JUB142" s="21"/>
      <c r="JUC142" s="21"/>
      <c r="JUD142" s="21"/>
      <c r="JUE142" s="21"/>
      <c r="JUF142" s="21"/>
      <c r="JUG142" s="21"/>
      <c r="JUH142" s="21"/>
      <c r="JUI142" s="21"/>
      <c r="JUJ142" s="21"/>
      <c r="JUK142" s="21"/>
      <c r="JUL142" s="21"/>
      <c r="JUM142" s="21"/>
      <c r="JUN142" s="21"/>
      <c r="JUO142" s="21"/>
      <c r="JUP142" s="21"/>
      <c r="JUQ142" s="21"/>
      <c r="JUR142" s="21"/>
      <c r="JUS142" s="21"/>
      <c r="JUT142" s="21"/>
      <c r="JUU142" s="21"/>
      <c r="JUV142" s="21"/>
      <c r="JUW142" s="21"/>
      <c r="JUX142" s="21"/>
      <c r="JUY142" s="21"/>
      <c r="JUZ142" s="21"/>
      <c r="JVA142" s="21"/>
      <c r="JVB142" s="21"/>
      <c r="JVC142" s="21"/>
      <c r="JVD142" s="21"/>
      <c r="JVE142" s="21"/>
      <c r="JVF142" s="21"/>
      <c r="JVG142" s="21"/>
      <c r="JVH142" s="21"/>
      <c r="JVI142" s="21"/>
      <c r="JVJ142" s="21"/>
      <c r="JVK142" s="21"/>
      <c r="JVL142" s="21"/>
      <c r="JVM142" s="21"/>
      <c r="JVN142" s="21"/>
      <c r="JVO142" s="21"/>
      <c r="JVP142" s="21"/>
      <c r="JVQ142" s="21"/>
      <c r="JVR142" s="21"/>
      <c r="JVS142" s="21"/>
      <c r="JVT142" s="21"/>
      <c r="JVU142" s="21"/>
      <c r="JVV142" s="21"/>
      <c r="JVW142" s="21"/>
      <c r="JVX142" s="21"/>
      <c r="JVY142" s="21"/>
      <c r="JVZ142" s="21"/>
      <c r="JWA142" s="21"/>
      <c r="JWB142" s="21"/>
      <c r="JWC142" s="21"/>
      <c r="JWD142" s="21"/>
      <c r="JWE142" s="21"/>
      <c r="JWF142" s="21"/>
      <c r="JWG142" s="21"/>
      <c r="JWH142" s="21"/>
      <c r="JWI142" s="21"/>
      <c r="JWJ142" s="21"/>
      <c r="JWK142" s="21"/>
      <c r="JWL142" s="21"/>
      <c r="JWM142" s="21"/>
      <c r="JWN142" s="21"/>
      <c r="JWO142" s="21"/>
      <c r="JWP142" s="21"/>
      <c r="JWQ142" s="21"/>
      <c r="JWR142" s="21"/>
      <c r="JWS142" s="21"/>
      <c r="JWT142" s="21"/>
      <c r="JWU142" s="21"/>
      <c r="JWV142" s="21"/>
      <c r="JWW142" s="21"/>
      <c r="JWX142" s="21"/>
      <c r="JWY142" s="21"/>
      <c r="JWZ142" s="21"/>
      <c r="JXA142" s="21"/>
      <c r="JXB142" s="21"/>
      <c r="JXC142" s="21"/>
      <c r="JXD142" s="21"/>
      <c r="JXE142" s="21"/>
      <c r="JXF142" s="21"/>
      <c r="JXG142" s="21"/>
      <c r="JXH142" s="21"/>
      <c r="JXI142" s="21"/>
      <c r="JXJ142" s="21"/>
      <c r="JXK142" s="21"/>
      <c r="JXL142" s="21"/>
      <c r="JXM142" s="21"/>
      <c r="JXN142" s="21"/>
      <c r="JXO142" s="21"/>
      <c r="JXP142" s="21"/>
      <c r="JXQ142" s="21"/>
      <c r="JXR142" s="21"/>
      <c r="JXS142" s="21"/>
      <c r="JXT142" s="21"/>
      <c r="JXU142" s="21"/>
      <c r="JXV142" s="21"/>
      <c r="JXW142" s="21"/>
      <c r="JXX142" s="21"/>
      <c r="JXY142" s="21"/>
      <c r="JXZ142" s="21"/>
      <c r="JYA142" s="21"/>
      <c r="JYB142" s="21"/>
      <c r="JYC142" s="21"/>
      <c r="JYD142" s="21"/>
      <c r="JYE142" s="21"/>
      <c r="JYF142" s="21"/>
      <c r="JYG142" s="21"/>
      <c r="JYH142" s="21"/>
      <c r="JYI142" s="21"/>
      <c r="JYJ142" s="21"/>
      <c r="JYK142" s="21"/>
      <c r="JYL142" s="21"/>
      <c r="JYM142" s="21"/>
      <c r="JYN142" s="21"/>
      <c r="JYO142" s="21"/>
      <c r="JYP142" s="21"/>
      <c r="JYQ142" s="21"/>
      <c r="JYR142" s="21"/>
      <c r="JYS142" s="21"/>
      <c r="JYT142" s="21"/>
      <c r="JYU142" s="21"/>
      <c r="JYV142" s="21"/>
      <c r="JYW142" s="21"/>
      <c r="JYX142" s="21"/>
      <c r="JYY142" s="21"/>
      <c r="JYZ142" s="21"/>
      <c r="JZA142" s="21"/>
      <c r="JZB142" s="21"/>
      <c r="JZC142" s="21"/>
      <c r="JZD142" s="21"/>
      <c r="JZE142" s="21"/>
      <c r="JZF142" s="21"/>
      <c r="JZG142" s="21"/>
      <c r="JZH142" s="21"/>
      <c r="JZI142" s="21"/>
      <c r="JZJ142" s="21"/>
      <c r="JZK142" s="21"/>
      <c r="JZL142" s="21"/>
      <c r="JZM142" s="21"/>
      <c r="JZN142" s="21"/>
      <c r="JZO142" s="21"/>
      <c r="JZP142" s="21"/>
      <c r="JZQ142" s="21"/>
      <c r="JZR142" s="21"/>
      <c r="JZS142" s="21"/>
      <c r="JZT142" s="21"/>
      <c r="JZU142" s="21"/>
      <c r="JZV142" s="21"/>
      <c r="JZW142" s="21"/>
      <c r="JZX142" s="21"/>
      <c r="JZY142" s="21"/>
      <c r="JZZ142" s="21"/>
      <c r="KAA142" s="21"/>
      <c r="KAB142" s="21"/>
      <c r="KAC142" s="21"/>
      <c r="KAD142" s="21"/>
      <c r="KAE142" s="21"/>
      <c r="KAF142" s="21"/>
      <c r="KAG142" s="21"/>
      <c r="KAH142" s="21"/>
      <c r="KAI142" s="21"/>
      <c r="KAJ142" s="21"/>
      <c r="KAK142" s="21"/>
      <c r="KAL142" s="21"/>
      <c r="KAM142" s="21"/>
      <c r="KAN142" s="21"/>
      <c r="KAO142" s="21"/>
      <c r="KAP142" s="21"/>
      <c r="KAQ142" s="21"/>
      <c r="KAR142" s="21"/>
      <c r="KAS142" s="21"/>
      <c r="KAT142" s="21"/>
      <c r="KAU142" s="21"/>
      <c r="KAV142" s="21"/>
      <c r="KAW142" s="21"/>
      <c r="KAX142" s="21"/>
      <c r="KAY142" s="21"/>
      <c r="KAZ142" s="21"/>
      <c r="KBA142" s="21"/>
      <c r="KBB142" s="21"/>
      <c r="KBC142" s="21"/>
      <c r="KBD142" s="21"/>
      <c r="KBE142" s="21"/>
      <c r="KBF142" s="21"/>
      <c r="KBG142" s="21"/>
      <c r="KBH142" s="21"/>
      <c r="KBI142" s="21"/>
      <c r="KBJ142" s="21"/>
      <c r="KBK142" s="21"/>
      <c r="KBL142" s="21"/>
      <c r="KBM142" s="21"/>
      <c r="KBN142" s="21"/>
      <c r="KBO142" s="21"/>
      <c r="KBP142" s="21"/>
      <c r="KBQ142" s="21"/>
      <c r="KBR142" s="21"/>
      <c r="KBS142" s="21"/>
      <c r="KBT142" s="21"/>
      <c r="KBU142" s="21"/>
      <c r="KBV142" s="21"/>
      <c r="KBW142" s="21"/>
      <c r="KBX142" s="21"/>
      <c r="KBY142" s="21"/>
      <c r="KBZ142" s="21"/>
      <c r="KCA142" s="21"/>
      <c r="KCB142" s="21"/>
      <c r="KCC142" s="21"/>
      <c r="KCD142" s="21"/>
      <c r="KCE142" s="21"/>
      <c r="KCF142" s="21"/>
      <c r="KCG142" s="21"/>
      <c r="KCH142" s="21"/>
      <c r="KCI142" s="21"/>
      <c r="KCJ142" s="21"/>
      <c r="KCK142" s="21"/>
      <c r="KCL142" s="21"/>
      <c r="KCM142" s="21"/>
      <c r="KCN142" s="21"/>
      <c r="KCO142" s="21"/>
      <c r="KCP142" s="21"/>
      <c r="KCQ142" s="21"/>
      <c r="KCR142" s="21"/>
      <c r="KCS142" s="21"/>
      <c r="KCT142" s="21"/>
      <c r="KCU142" s="21"/>
      <c r="KCV142" s="21"/>
      <c r="KCW142" s="21"/>
      <c r="KCX142" s="21"/>
      <c r="KCY142" s="21"/>
      <c r="KCZ142" s="21"/>
      <c r="KDA142" s="21"/>
      <c r="KDB142" s="21"/>
      <c r="KDC142" s="21"/>
      <c r="KDD142" s="21"/>
      <c r="KDE142" s="21"/>
      <c r="KDF142" s="21"/>
      <c r="KDG142" s="21"/>
      <c r="KDH142" s="21"/>
      <c r="KDI142" s="21"/>
      <c r="KDJ142" s="21"/>
      <c r="KDK142" s="21"/>
      <c r="KDL142" s="21"/>
      <c r="KDM142" s="21"/>
      <c r="KDN142" s="21"/>
      <c r="KDO142" s="21"/>
      <c r="KDP142" s="21"/>
      <c r="KDQ142" s="21"/>
      <c r="KDR142" s="21"/>
      <c r="KDS142" s="21"/>
      <c r="KDT142" s="21"/>
      <c r="KDU142" s="21"/>
      <c r="KDV142" s="21"/>
      <c r="KDW142" s="21"/>
      <c r="KDX142" s="21"/>
      <c r="KDY142" s="21"/>
      <c r="KDZ142" s="21"/>
      <c r="KEA142" s="21"/>
      <c r="KEB142" s="21"/>
      <c r="KEC142" s="21"/>
      <c r="KED142" s="21"/>
      <c r="KEE142" s="21"/>
      <c r="KEF142" s="21"/>
      <c r="KEG142" s="21"/>
      <c r="KEH142" s="21"/>
      <c r="KEI142" s="21"/>
      <c r="KEJ142" s="21"/>
      <c r="KEK142" s="21"/>
      <c r="KEL142" s="21"/>
      <c r="KEM142" s="21"/>
      <c r="KEN142" s="21"/>
      <c r="KEO142" s="21"/>
      <c r="KEP142" s="21"/>
      <c r="KEQ142" s="21"/>
      <c r="KER142" s="21"/>
      <c r="KES142" s="21"/>
      <c r="KET142" s="21"/>
      <c r="KEU142" s="21"/>
      <c r="KEV142" s="21"/>
      <c r="KEW142" s="21"/>
      <c r="KEX142" s="21"/>
      <c r="KEY142" s="21"/>
      <c r="KEZ142" s="21"/>
      <c r="KFA142" s="21"/>
      <c r="KFB142" s="21"/>
      <c r="KFC142" s="21"/>
      <c r="KFD142" s="21"/>
      <c r="KFE142" s="21"/>
      <c r="KFF142" s="21"/>
      <c r="KFG142" s="21"/>
      <c r="KFH142" s="21"/>
      <c r="KFI142" s="21"/>
      <c r="KFJ142" s="21"/>
      <c r="KFK142" s="21"/>
      <c r="KFL142" s="21"/>
      <c r="KFM142" s="21"/>
      <c r="KFN142" s="21"/>
      <c r="KFO142" s="21"/>
      <c r="KFP142" s="21"/>
      <c r="KFQ142" s="21"/>
      <c r="KFR142" s="21"/>
      <c r="KFS142" s="21"/>
      <c r="KFT142" s="21"/>
      <c r="KFU142" s="21"/>
      <c r="KFV142" s="21"/>
      <c r="KFW142" s="21"/>
      <c r="KFX142" s="21"/>
      <c r="KFY142" s="21"/>
      <c r="KFZ142" s="21"/>
      <c r="KGA142" s="21"/>
      <c r="KGB142" s="21"/>
      <c r="KGC142" s="21"/>
      <c r="KGD142" s="21"/>
      <c r="KGE142" s="21"/>
      <c r="KGF142" s="21"/>
      <c r="KGG142" s="21"/>
      <c r="KGH142" s="21"/>
      <c r="KGI142" s="21"/>
      <c r="KGJ142" s="21"/>
      <c r="KGK142" s="21"/>
      <c r="KGL142" s="21"/>
      <c r="KGM142" s="21"/>
      <c r="KGN142" s="21"/>
      <c r="KGO142" s="21"/>
      <c r="KGP142" s="21"/>
      <c r="KGQ142" s="21"/>
      <c r="KGR142" s="21"/>
      <c r="KGS142" s="21"/>
      <c r="KGT142" s="21"/>
      <c r="KGU142" s="21"/>
      <c r="KGV142" s="21"/>
      <c r="KGW142" s="21"/>
      <c r="KGX142" s="21"/>
      <c r="KGY142" s="21"/>
      <c r="KGZ142" s="21"/>
      <c r="KHA142" s="21"/>
      <c r="KHB142" s="21"/>
      <c r="KHC142" s="21"/>
      <c r="KHD142" s="21"/>
      <c r="KHE142" s="21"/>
      <c r="KHF142" s="21"/>
      <c r="KHG142" s="21"/>
      <c r="KHH142" s="21"/>
      <c r="KHI142" s="21"/>
      <c r="KHJ142" s="21"/>
      <c r="KHK142" s="21"/>
      <c r="KHL142" s="21"/>
      <c r="KHM142" s="21"/>
      <c r="KHN142" s="21"/>
      <c r="KHO142" s="21"/>
      <c r="KHP142" s="21"/>
      <c r="KHQ142" s="21"/>
      <c r="KHR142" s="21"/>
      <c r="KHS142" s="21"/>
      <c r="KHT142" s="21"/>
      <c r="KHU142" s="21"/>
      <c r="KHV142" s="21"/>
      <c r="KHW142" s="21"/>
      <c r="KHX142" s="21"/>
      <c r="KHY142" s="21"/>
      <c r="KHZ142" s="21"/>
      <c r="KIA142" s="21"/>
      <c r="KIB142" s="21"/>
      <c r="KIC142" s="21"/>
      <c r="KID142" s="21"/>
      <c r="KIE142" s="21"/>
      <c r="KIF142" s="21"/>
      <c r="KIG142" s="21"/>
      <c r="KIH142" s="21"/>
      <c r="KII142" s="21"/>
      <c r="KIJ142" s="21"/>
      <c r="KIK142" s="21"/>
      <c r="KIL142" s="21"/>
      <c r="KIM142" s="21"/>
      <c r="KIN142" s="21"/>
      <c r="KIO142" s="21"/>
      <c r="KIP142" s="21"/>
      <c r="KIQ142" s="21"/>
      <c r="KIR142" s="21"/>
      <c r="KIS142" s="21"/>
      <c r="KIT142" s="21"/>
      <c r="KIU142" s="21"/>
      <c r="KIV142" s="21"/>
      <c r="KIW142" s="21"/>
      <c r="KIX142" s="21"/>
      <c r="KIY142" s="21"/>
      <c r="KIZ142" s="21"/>
      <c r="KJA142" s="21"/>
      <c r="KJB142" s="21"/>
      <c r="KJC142" s="21"/>
      <c r="KJD142" s="21"/>
      <c r="KJE142" s="21"/>
      <c r="KJF142" s="21"/>
      <c r="KJG142" s="21"/>
      <c r="KJH142" s="21"/>
      <c r="KJI142" s="21"/>
      <c r="KJJ142" s="21"/>
      <c r="KJK142" s="21"/>
      <c r="KJL142" s="21"/>
      <c r="KJM142" s="21"/>
      <c r="KJN142" s="21"/>
      <c r="KJO142" s="21"/>
      <c r="KJP142" s="21"/>
      <c r="KJQ142" s="21"/>
      <c r="KJR142" s="21"/>
      <c r="KJS142" s="21"/>
      <c r="KJT142" s="21"/>
      <c r="KJU142" s="21"/>
      <c r="KJV142" s="21"/>
      <c r="KJW142" s="21"/>
      <c r="KJX142" s="21"/>
      <c r="KJY142" s="21"/>
      <c r="KJZ142" s="21"/>
      <c r="KKA142" s="21"/>
      <c r="KKB142" s="21"/>
      <c r="KKC142" s="21"/>
      <c r="KKD142" s="21"/>
      <c r="KKE142" s="21"/>
      <c r="KKF142" s="21"/>
      <c r="KKG142" s="21"/>
      <c r="KKH142" s="21"/>
      <c r="KKI142" s="21"/>
      <c r="KKJ142" s="21"/>
      <c r="KKK142" s="21"/>
      <c r="KKL142" s="21"/>
      <c r="KKM142" s="21"/>
      <c r="KKN142" s="21"/>
      <c r="KKO142" s="21"/>
      <c r="KKP142" s="21"/>
      <c r="KKQ142" s="21"/>
      <c r="KKR142" s="21"/>
      <c r="KKS142" s="21"/>
      <c r="KKT142" s="21"/>
      <c r="KKU142" s="21"/>
      <c r="KKV142" s="21"/>
      <c r="KKW142" s="21"/>
      <c r="KKX142" s="21"/>
      <c r="KKY142" s="21"/>
      <c r="KKZ142" s="21"/>
      <c r="KLA142" s="21"/>
      <c r="KLB142" s="21"/>
      <c r="KLC142" s="21"/>
      <c r="KLD142" s="21"/>
      <c r="KLE142" s="21"/>
      <c r="KLF142" s="21"/>
      <c r="KLG142" s="21"/>
      <c r="KLH142" s="21"/>
      <c r="KLI142" s="21"/>
      <c r="KLJ142" s="21"/>
      <c r="KLK142" s="21"/>
      <c r="KLL142" s="21"/>
      <c r="KLM142" s="21"/>
      <c r="KLN142" s="21"/>
      <c r="KLO142" s="21"/>
      <c r="KLP142" s="21"/>
      <c r="KLQ142" s="21"/>
      <c r="KLR142" s="21"/>
      <c r="KLS142" s="21"/>
      <c r="KLT142" s="21"/>
      <c r="KLU142" s="21"/>
      <c r="KLV142" s="21"/>
      <c r="KLW142" s="21"/>
      <c r="KLX142" s="21"/>
      <c r="KLY142" s="21"/>
      <c r="KLZ142" s="21"/>
      <c r="KMA142" s="21"/>
      <c r="KMB142" s="21"/>
      <c r="KMC142" s="21"/>
      <c r="KMD142" s="21"/>
      <c r="KME142" s="21"/>
      <c r="KMF142" s="21"/>
      <c r="KMG142" s="21"/>
      <c r="KMH142" s="21"/>
      <c r="KMI142" s="21"/>
      <c r="KMJ142" s="21"/>
      <c r="KMK142" s="21"/>
      <c r="KML142" s="21"/>
      <c r="KMM142" s="21"/>
      <c r="KMN142" s="21"/>
      <c r="KMO142" s="21"/>
      <c r="KMP142" s="21"/>
      <c r="KMQ142" s="21"/>
      <c r="KMR142" s="21"/>
      <c r="KMS142" s="21"/>
      <c r="KMT142" s="21"/>
      <c r="KMU142" s="21"/>
      <c r="KMV142" s="21"/>
      <c r="KMW142" s="21"/>
      <c r="KMX142" s="21"/>
      <c r="KMY142" s="21"/>
      <c r="KMZ142" s="21"/>
      <c r="KNA142" s="21"/>
      <c r="KNB142" s="21"/>
      <c r="KNC142" s="21"/>
      <c r="KND142" s="21"/>
      <c r="KNE142" s="21"/>
      <c r="KNF142" s="21"/>
      <c r="KNG142" s="21"/>
      <c r="KNH142" s="21"/>
      <c r="KNI142" s="21"/>
      <c r="KNJ142" s="21"/>
      <c r="KNK142" s="21"/>
      <c r="KNL142" s="21"/>
      <c r="KNM142" s="21"/>
      <c r="KNN142" s="21"/>
      <c r="KNO142" s="21"/>
      <c r="KNP142" s="21"/>
      <c r="KNQ142" s="21"/>
      <c r="KNR142" s="21"/>
      <c r="KNS142" s="21"/>
      <c r="KNT142" s="21"/>
      <c r="KNU142" s="21"/>
      <c r="KNV142" s="21"/>
      <c r="KNW142" s="21"/>
      <c r="KNX142" s="21"/>
      <c r="KNY142" s="21"/>
      <c r="KNZ142" s="21"/>
      <c r="KOA142" s="21"/>
      <c r="KOB142" s="21"/>
      <c r="KOC142" s="21"/>
      <c r="KOD142" s="21"/>
      <c r="KOE142" s="21"/>
      <c r="KOF142" s="21"/>
      <c r="KOG142" s="21"/>
      <c r="KOH142" s="21"/>
      <c r="KOI142" s="21"/>
      <c r="KOJ142" s="21"/>
      <c r="KOK142" s="21"/>
      <c r="KOL142" s="21"/>
      <c r="KOM142" s="21"/>
      <c r="KON142" s="21"/>
      <c r="KOO142" s="21"/>
      <c r="KOP142" s="21"/>
      <c r="KOQ142" s="21"/>
      <c r="KOR142" s="21"/>
      <c r="KOS142" s="21"/>
      <c r="KOT142" s="21"/>
      <c r="KOU142" s="21"/>
      <c r="KOV142" s="21"/>
      <c r="KOW142" s="21"/>
      <c r="KOX142" s="21"/>
      <c r="KOY142" s="21"/>
      <c r="KOZ142" s="21"/>
      <c r="KPA142" s="21"/>
      <c r="KPB142" s="21"/>
      <c r="KPC142" s="21"/>
      <c r="KPD142" s="21"/>
      <c r="KPE142" s="21"/>
      <c r="KPF142" s="21"/>
      <c r="KPG142" s="21"/>
      <c r="KPH142" s="21"/>
      <c r="KPI142" s="21"/>
      <c r="KPJ142" s="21"/>
      <c r="KPK142" s="21"/>
      <c r="KPL142" s="21"/>
      <c r="KPM142" s="21"/>
      <c r="KPN142" s="21"/>
      <c r="KPO142" s="21"/>
      <c r="KPP142" s="21"/>
      <c r="KPQ142" s="21"/>
      <c r="KPR142" s="21"/>
      <c r="KPS142" s="21"/>
      <c r="KPT142" s="21"/>
      <c r="KPU142" s="21"/>
      <c r="KPV142" s="21"/>
      <c r="KPW142" s="21"/>
      <c r="KPX142" s="21"/>
      <c r="KPY142" s="21"/>
      <c r="KPZ142" s="21"/>
      <c r="KQA142" s="21"/>
      <c r="KQB142" s="21"/>
      <c r="KQC142" s="21"/>
      <c r="KQD142" s="21"/>
      <c r="KQE142" s="21"/>
      <c r="KQF142" s="21"/>
      <c r="KQG142" s="21"/>
      <c r="KQH142" s="21"/>
      <c r="KQI142" s="21"/>
      <c r="KQJ142" s="21"/>
      <c r="KQK142" s="21"/>
      <c r="KQL142" s="21"/>
      <c r="KQM142" s="21"/>
      <c r="KQN142" s="21"/>
      <c r="KQO142" s="21"/>
      <c r="KQP142" s="21"/>
      <c r="KQQ142" s="21"/>
      <c r="KQR142" s="21"/>
      <c r="KQS142" s="21"/>
      <c r="KQT142" s="21"/>
      <c r="KQU142" s="21"/>
      <c r="KQV142" s="21"/>
      <c r="KQW142" s="21"/>
      <c r="KQX142" s="21"/>
      <c r="KQY142" s="21"/>
      <c r="KQZ142" s="21"/>
      <c r="KRA142" s="21"/>
      <c r="KRB142" s="21"/>
      <c r="KRC142" s="21"/>
      <c r="KRD142" s="21"/>
      <c r="KRE142" s="21"/>
      <c r="KRF142" s="21"/>
      <c r="KRG142" s="21"/>
      <c r="KRH142" s="21"/>
      <c r="KRI142" s="21"/>
      <c r="KRJ142" s="21"/>
      <c r="KRK142" s="21"/>
      <c r="KRL142" s="21"/>
      <c r="KRM142" s="21"/>
      <c r="KRN142" s="21"/>
      <c r="KRO142" s="21"/>
      <c r="KRP142" s="21"/>
      <c r="KRQ142" s="21"/>
      <c r="KRR142" s="21"/>
      <c r="KRS142" s="21"/>
      <c r="KRT142" s="21"/>
      <c r="KRU142" s="21"/>
      <c r="KRV142" s="21"/>
      <c r="KRW142" s="21"/>
      <c r="KRX142" s="21"/>
      <c r="KRY142" s="21"/>
      <c r="KRZ142" s="21"/>
      <c r="KSA142" s="21"/>
      <c r="KSB142" s="21"/>
      <c r="KSC142" s="21"/>
      <c r="KSD142" s="21"/>
      <c r="KSE142" s="21"/>
      <c r="KSF142" s="21"/>
      <c r="KSG142" s="21"/>
      <c r="KSH142" s="21"/>
      <c r="KSI142" s="21"/>
      <c r="KSJ142" s="21"/>
      <c r="KSK142" s="21"/>
      <c r="KSL142" s="21"/>
      <c r="KSM142" s="21"/>
      <c r="KSN142" s="21"/>
      <c r="KSO142" s="21"/>
      <c r="KSP142" s="21"/>
      <c r="KSQ142" s="21"/>
      <c r="KSR142" s="21"/>
      <c r="KSS142" s="21"/>
      <c r="KST142" s="21"/>
      <c r="KSU142" s="21"/>
      <c r="KSV142" s="21"/>
      <c r="KSW142" s="21"/>
      <c r="KSX142" s="21"/>
      <c r="KSY142" s="21"/>
      <c r="KSZ142" s="21"/>
      <c r="KTA142" s="21"/>
      <c r="KTB142" s="21"/>
      <c r="KTC142" s="21"/>
      <c r="KTD142" s="21"/>
      <c r="KTE142" s="21"/>
      <c r="KTF142" s="21"/>
      <c r="KTG142" s="21"/>
      <c r="KTH142" s="21"/>
      <c r="KTI142" s="21"/>
      <c r="KTJ142" s="21"/>
      <c r="KTK142" s="21"/>
      <c r="KTL142" s="21"/>
      <c r="KTM142" s="21"/>
      <c r="KTN142" s="21"/>
      <c r="KTO142" s="21"/>
      <c r="KTP142" s="21"/>
      <c r="KTQ142" s="21"/>
      <c r="KTR142" s="21"/>
      <c r="KTS142" s="21"/>
      <c r="KTT142" s="21"/>
      <c r="KTU142" s="21"/>
      <c r="KTV142" s="21"/>
      <c r="KTW142" s="21"/>
      <c r="KTX142" s="21"/>
      <c r="KTY142" s="21"/>
      <c r="KTZ142" s="21"/>
      <c r="KUA142" s="21"/>
      <c r="KUB142" s="21"/>
      <c r="KUC142" s="21"/>
      <c r="KUD142" s="21"/>
      <c r="KUE142" s="21"/>
      <c r="KUF142" s="21"/>
      <c r="KUG142" s="21"/>
      <c r="KUH142" s="21"/>
      <c r="KUI142" s="21"/>
      <c r="KUJ142" s="21"/>
      <c r="KUK142" s="21"/>
      <c r="KUL142" s="21"/>
      <c r="KUM142" s="21"/>
      <c r="KUN142" s="21"/>
      <c r="KUO142" s="21"/>
      <c r="KUP142" s="21"/>
      <c r="KUQ142" s="21"/>
      <c r="KUR142" s="21"/>
      <c r="KUS142" s="21"/>
      <c r="KUT142" s="21"/>
      <c r="KUU142" s="21"/>
      <c r="KUV142" s="21"/>
      <c r="KUW142" s="21"/>
      <c r="KUX142" s="21"/>
      <c r="KUY142" s="21"/>
      <c r="KUZ142" s="21"/>
      <c r="KVA142" s="21"/>
      <c r="KVB142" s="21"/>
      <c r="KVC142" s="21"/>
      <c r="KVD142" s="21"/>
      <c r="KVE142" s="21"/>
      <c r="KVF142" s="21"/>
      <c r="KVG142" s="21"/>
      <c r="KVH142" s="21"/>
      <c r="KVI142" s="21"/>
      <c r="KVJ142" s="21"/>
      <c r="KVK142" s="21"/>
      <c r="KVL142" s="21"/>
      <c r="KVM142" s="21"/>
      <c r="KVN142" s="21"/>
      <c r="KVO142" s="21"/>
      <c r="KVP142" s="21"/>
      <c r="KVQ142" s="21"/>
      <c r="KVR142" s="21"/>
      <c r="KVS142" s="21"/>
      <c r="KVT142" s="21"/>
      <c r="KVU142" s="21"/>
      <c r="KVV142" s="21"/>
      <c r="KVW142" s="21"/>
      <c r="KVX142" s="21"/>
      <c r="KVY142" s="21"/>
      <c r="KVZ142" s="21"/>
      <c r="KWA142" s="21"/>
      <c r="KWB142" s="21"/>
      <c r="KWC142" s="21"/>
      <c r="KWD142" s="21"/>
      <c r="KWE142" s="21"/>
      <c r="KWF142" s="21"/>
      <c r="KWG142" s="21"/>
      <c r="KWH142" s="21"/>
      <c r="KWI142" s="21"/>
      <c r="KWJ142" s="21"/>
      <c r="KWK142" s="21"/>
      <c r="KWL142" s="21"/>
      <c r="KWM142" s="21"/>
      <c r="KWN142" s="21"/>
      <c r="KWO142" s="21"/>
      <c r="KWP142" s="21"/>
      <c r="KWQ142" s="21"/>
      <c r="KWR142" s="21"/>
      <c r="KWS142" s="21"/>
      <c r="KWT142" s="21"/>
      <c r="KWU142" s="21"/>
      <c r="KWV142" s="21"/>
      <c r="KWW142" s="21"/>
      <c r="KWX142" s="21"/>
      <c r="KWY142" s="21"/>
      <c r="KWZ142" s="21"/>
      <c r="KXA142" s="21"/>
      <c r="KXB142" s="21"/>
      <c r="KXC142" s="21"/>
      <c r="KXD142" s="21"/>
      <c r="KXE142" s="21"/>
      <c r="KXF142" s="21"/>
      <c r="KXG142" s="21"/>
      <c r="KXH142" s="21"/>
      <c r="KXI142" s="21"/>
      <c r="KXJ142" s="21"/>
      <c r="KXK142" s="21"/>
      <c r="KXL142" s="21"/>
      <c r="KXM142" s="21"/>
      <c r="KXN142" s="21"/>
      <c r="KXO142" s="21"/>
      <c r="KXP142" s="21"/>
      <c r="KXQ142" s="21"/>
      <c r="KXR142" s="21"/>
      <c r="KXS142" s="21"/>
      <c r="KXT142" s="21"/>
      <c r="KXU142" s="21"/>
      <c r="KXV142" s="21"/>
      <c r="KXW142" s="21"/>
      <c r="KXX142" s="21"/>
      <c r="KXY142" s="21"/>
      <c r="KXZ142" s="21"/>
      <c r="KYA142" s="21"/>
      <c r="KYB142" s="21"/>
      <c r="KYC142" s="21"/>
      <c r="KYD142" s="21"/>
      <c r="KYE142" s="21"/>
      <c r="KYF142" s="21"/>
      <c r="KYG142" s="21"/>
      <c r="KYH142" s="21"/>
      <c r="KYI142" s="21"/>
      <c r="KYJ142" s="21"/>
      <c r="KYK142" s="21"/>
      <c r="KYL142" s="21"/>
      <c r="KYM142" s="21"/>
      <c r="KYN142" s="21"/>
      <c r="KYO142" s="21"/>
      <c r="KYP142" s="21"/>
      <c r="KYQ142" s="21"/>
      <c r="KYR142" s="21"/>
      <c r="KYS142" s="21"/>
      <c r="KYT142" s="21"/>
      <c r="KYU142" s="21"/>
      <c r="KYV142" s="21"/>
      <c r="KYW142" s="21"/>
      <c r="KYX142" s="21"/>
      <c r="KYY142" s="21"/>
      <c r="KYZ142" s="21"/>
      <c r="KZA142" s="21"/>
      <c r="KZB142" s="21"/>
      <c r="KZC142" s="21"/>
      <c r="KZD142" s="21"/>
      <c r="KZE142" s="21"/>
      <c r="KZF142" s="21"/>
      <c r="KZG142" s="21"/>
      <c r="KZH142" s="21"/>
      <c r="KZI142" s="21"/>
      <c r="KZJ142" s="21"/>
      <c r="KZK142" s="21"/>
      <c r="KZL142" s="21"/>
      <c r="KZM142" s="21"/>
      <c r="KZN142" s="21"/>
      <c r="KZO142" s="21"/>
      <c r="KZP142" s="21"/>
      <c r="KZQ142" s="21"/>
      <c r="KZR142" s="21"/>
      <c r="KZS142" s="21"/>
      <c r="KZT142" s="21"/>
      <c r="KZU142" s="21"/>
      <c r="KZV142" s="21"/>
      <c r="KZW142" s="21"/>
      <c r="KZX142" s="21"/>
      <c r="KZY142" s="21"/>
      <c r="KZZ142" s="21"/>
      <c r="LAA142" s="21"/>
      <c r="LAB142" s="21"/>
      <c r="LAC142" s="21"/>
      <c r="LAD142" s="21"/>
      <c r="LAE142" s="21"/>
      <c r="LAF142" s="21"/>
      <c r="LAG142" s="21"/>
      <c r="LAH142" s="21"/>
      <c r="LAI142" s="21"/>
      <c r="LAJ142" s="21"/>
      <c r="LAK142" s="21"/>
      <c r="LAL142" s="21"/>
      <c r="LAM142" s="21"/>
      <c r="LAN142" s="21"/>
      <c r="LAO142" s="21"/>
      <c r="LAP142" s="21"/>
      <c r="LAQ142" s="21"/>
      <c r="LAR142" s="21"/>
      <c r="LAS142" s="21"/>
      <c r="LAT142" s="21"/>
      <c r="LAU142" s="21"/>
      <c r="LAV142" s="21"/>
      <c r="LAW142" s="21"/>
      <c r="LAX142" s="21"/>
      <c r="LAY142" s="21"/>
      <c r="LAZ142" s="21"/>
      <c r="LBA142" s="21"/>
      <c r="LBB142" s="21"/>
      <c r="LBC142" s="21"/>
      <c r="LBD142" s="21"/>
      <c r="LBE142" s="21"/>
      <c r="LBF142" s="21"/>
      <c r="LBG142" s="21"/>
      <c r="LBH142" s="21"/>
      <c r="LBI142" s="21"/>
      <c r="LBJ142" s="21"/>
      <c r="LBK142" s="21"/>
      <c r="LBL142" s="21"/>
      <c r="LBM142" s="21"/>
      <c r="LBN142" s="21"/>
      <c r="LBO142" s="21"/>
      <c r="LBP142" s="21"/>
      <c r="LBQ142" s="21"/>
      <c r="LBR142" s="21"/>
      <c r="LBS142" s="21"/>
      <c r="LBT142" s="21"/>
      <c r="LBU142" s="21"/>
      <c r="LBV142" s="21"/>
      <c r="LBW142" s="21"/>
      <c r="LBX142" s="21"/>
      <c r="LBY142" s="21"/>
      <c r="LBZ142" s="21"/>
      <c r="LCA142" s="21"/>
      <c r="LCB142" s="21"/>
      <c r="LCC142" s="21"/>
      <c r="LCD142" s="21"/>
      <c r="LCE142" s="21"/>
      <c r="LCF142" s="21"/>
      <c r="LCG142" s="21"/>
      <c r="LCH142" s="21"/>
      <c r="LCI142" s="21"/>
      <c r="LCJ142" s="21"/>
      <c r="LCK142" s="21"/>
      <c r="LCL142" s="21"/>
      <c r="LCM142" s="21"/>
      <c r="LCN142" s="21"/>
      <c r="LCO142" s="21"/>
      <c r="LCP142" s="21"/>
      <c r="LCQ142" s="21"/>
      <c r="LCR142" s="21"/>
      <c r="LCS142" s="21"/>
      <c r="LCT142" s="21"/>
      <c r="LCU142" s="21"/>
      <c r="LCV142" s="21"/>
      <c r="LCW142" s="21"/>
      <c r="LCX142" s="21"/>
      <c r="LCY142" s="21"/>
      <c r="LCZ142" s="21"/>
      <c r="LDA142" s="21"/>
      <c r="LDB142" s="21"/>
      <c r="LDC142" s="21"/>
      <c r="LDD142" s="21"/>
      <c r="LDE142" s="21"/>
      <c r="LDF142" s="21"/>
      <c r="LDG142" s="21"/>
      <c r="LDH142" s="21"/>
      <c r="LDI142" s="21"/>
      <c r="LDJ142" s="21"/>
      <c r="LDK142" s="21"/>
      <c r="LDL142" s="21"/>
      <c r="LDM142" s="21"/>
      <c r="LDN142" s="21"/>
      <c r="LDO142" s="21"/>
      <c r="LDP142" s="21"/>
      <c r="LDQ142" s="21"/>
      <c r="LDR142" s="21"/>
      <c r="LDS142" s="21"/>
      <c r="LDT142" s="21"/>
      <c r="LDU142" s="21"/>
      <c r="LDV142" s="21"/>
      <c r="LDW142" s="21"/>
      <c r="LDX142" s="21"/>
      <c r="LDY142" s="21"/>
      <c r="LDZ142" s="21"/>
      <c r="LEA142" s="21"/>
      <c r="LEB142" s="21"/>
      <c r="LEC142" s="21"/>
      <c r="LED142" s="21"/>
      <c r="LEE142" s="21"/>
      <c r="LEF142" s="21"/>
      <c r="LEG142" s="21"/>
      <c r="LEH142" s="21"/>
      <c r="LEI142" s="21"/>
      <c r="LEJ142" s="21"/>
      <c r="LEK142" s="21"/>
      <c r="LEL142" s="21"/>
      <c r="LEM142" s="21"/>
      <c r="LEN142" s="21"/>
      <c r="LEO142" s="21"/>
      <c r="LEP142" s="21"/>
      <c r="LEQ142" s="21"/>
      <c r="LER142" s="21"/>
      <c r="LES142" s="21"/>
      <c r="LET142" s="21"/>
      <c r="LEU142" s="21"/>
      <c r="LEV142" s="21"/>
      <c r="LEW142" s="21"/>
      <c r="LEX142" s="21"/>
      <c r="LEY142" s="21"/>
      <c r="LEZ142" s="21"/>
      <c r="LFA142" s="21"/>
      <c r="LFB142" s="21"/>
      <c r="LFC142" s="21"/>
      <c r="LFD142" s="21"/>
      <c r="LFE142" s="21"/>
      <c r="LFF142" s="21"/>
      <c r="LFG142" s="21"/>
      <c r="LFH142" s="21"/>
      <c r="LFI142" s="21"/>
      <c r="LFJ142" s="21"/>
      <c r="LFK142" s="21"/>
      <c r="LFL142" s="21"/>
      <c r="LFM142" s="21"/>
      <c r="LFN142" s="21"/>
      <c r="LFO142" s="21"/>
      <c r="LFP142" s="21"/>
      <c r="LFQ142" s="21"/>
      <c r="LFR142" s="21"/>
      <c r="LFS142" s="21"/>
      <c r="LFT142" s="21"/>
      <c r="LFU142" s="21"/>
      <c r="LFV142" s="21"/>
      <c r="LFW142" s="21"/>
      <c r="LFX142" s="21"/>
      <c r="LFY142" s="21"/>
      <c r="LFZ142" s="21"/>
      <c r="LGA142" s="21"/>
      <c r="LGB142" s="21"/>
      <c r="LGC142" s="21"/>
      <c r="LGD142" s="21"/>
      <c r="LGE142" s="21"/>
      <c r="LGF142" s="21"/>
      <c r="LGG142" s="21"/>
      <c r="LGH142" s="21"/>
      <c r="LGI142" s="21"/>
      <c r="LGJ142" s="21"/>
      <c r="LGK142" s="21"/>
      <c r="LGL142" s="21"/>
      <c r="LGM142" s="21"/>
      <c r="LGN142" s="21"/>
      <c r="LGO142" s="21"/>
      <c r="LGP142" s="21"/>
      <c r="LGQ142" s="21"/>
      <c r="LGR142" s="21"/>
      <c r="LGS142" s="21"/>
      <c r="LGT142" s="21"/>
      <c r="LGU142" s="21"/>
      <c r="LGV142" s="21"/>
      <c r="LGW142" s="21"/>
      <c r="LGX142" s="21"/>
      <c r="LGY142" s="21"/>
      <c r="LGZ142" s="21"/>
      <c r="LHA142" s="21"/>
      <c r="LHB142" s="21"/>
      <c r="LHC142" s="21"/>
      <c r="LHD142" s="21"/>
      <c r="LHE142" s="21"/>
      <c r="LHF142" s="21"/>
      <c r="LHG142" s="21"/>
      <c r="LHH142" s="21"/>
      <c r="LHI142" s="21"/>
      <c r="LHJ142" s="21"/>
      <c r="LHK142" s="21"/>
      <c r="LHL142" s="21"/>
      <c r="LHM142" s="21"/>
      <c r="LHN142" s="21"/>
      <c r="LHO142" s="21"/>
      <c r="LHP142" s="21"/>
      <c r="LHQ142" s="21"/>
      <c r="LHR142" s="21"/>
      <c r="LHS142" s="21"/>
      <c r="LHT142" s="21"/>
      <c r="LHU142" s="21"/>
      <c r="LHV142" s="21"/>
      <c r="LHW142" s="21"/>
      <c r="LHX142" s="21"/>
      <c r="LHY142" s="21"/>
      <c r="LHZ142" s="21"/>
      <c r="LIA142" s="21"/>
      <c r="LIB142" s="21"/>
      <c r="LIC142" s="21"/>
      <c r="LID142" s="21"/>
      <c r="LIE142" s="21"/>
      <c r="LIF142" s="21"/>
      <c r="LIG142" s="21"/>
      <c r="LIH142" s="21"/>
      <c r="LII142" s="21"/>
      <c r="LIJ142" s="21"/>
      <c r="LIK142" s="21"/>
      <c r="LIL142" s="21"/>
      <c r="LIM142" s="21"/>
      <c r="LIN142" s="21"/>
      <c r="LIO142" s="21"/>
      <c r="LIP142" s="21"/>
      <c r="LIQ142" s="21"/>
      <c r="LIR142" s="21"/>
      <c r="LIS142" s="21"/>
      <c r="LIT142" s="21"/>
      <c r="LIU142" s="21"/>
      <c r="LIV142" s="21"/>
      <c r="LIW142" s="21"/>
      <c r="LIX142" s="21"/>
      <c r="LIY142" s="21"/>
      <c r="LIZ142" s="21"/>
      <c r="LJA142" s="21"/>
      <c r="LJB142" s="21"/>
      <c r="LJC142" s="21"/>
      <c r="LJD142" s="21"/>
      <c r="LJE142" s="21"/>
      <c r="LJF142" s="21"/>
      <c r="LJG142" s="21"/>
      <c r="LJH142" s="21"/>
      <c r="LJI142" s="21"/>
      <c r="LJJ142" s="21"/>
      <c r="LJK142" s="21"/>
      <c r="LJL142" s="21"/>
      <c r="LJM142" s="21"/>
      <c r="LJN142" s="21"/>
      <c r="LJO142" s="21"/>
      <c r="LJP142" s="21"/>
      <c r="LJQ142" s="21"/>
      <c r="LJR142" s="21"/>
      <c r="LJS142" s="21"/>
      <c r="LJT142" s="21"/>
      <c r="LJU142" s="21"/>
      <c r="LJV142" s="21"/>
      <c r="LJW142" s="21"/>
      <c r="LJX142" s="21"/>
      <c r="LJY142" s="21"/>
      <c r="LJZ142" s="21"/>
      <c r="LKA142" s="21"/>
      <c r="LKB142" s="21"/>
      <c r="LKC142" s="21"/>
      <c r="LKD142" s="21"/>
      <c r="LKE142" s="21"/>
      <c r="LKF142" s="21"/>
      <c r="LKG142" s="21"/>
      <c r="LKH142" s="21"/>
      <c r="LKI142" s="21"/>
      <c r="LKJ142" s="21"/>
      <c r="LKK142" s="21"/>
      <c r="LKL142" s="21"/>
      <c r="LKM142" s="21"/>
      <c r="LKN142" s="21"/>
      <c r="LKO142" s="21"/>
      <c r="LKP142" s="21"/>
      <c r="LKQ142" s="21"/>
      <c r="LKR142" s="21"/>
      <c r="LKS142" s="21"/>
      <c r="LKT142" s="21"/>
      <c r="LKU142" s="21"/>
      <c r="LKV142" s="21"/>
      <c r="LKW142" s="21"/>
      <c r="LKX142" s="21"/>
      <c r="LKY142" s="21"/>
      <c r="LKZ142" s="21"/>
      <c r="LLA142" s="21"/>
      <c r="LLB142" s="21"/>
      <c r="LLC142" s="21"/>
      <c r="LLD142" s="21"/>
      <c r="LLE142" s="21"/>
      <c r="LLF142" s="21"/>
      <c r="LLG142" s="21"/>
      <c r="LLH142" s="21"/>
      <c r="LLI142" s="21"/>
      <c r="LLJ142" s="21"/>
      <c r="LLK142" s="21"/>
      <c r="LLL142" s="21"/>
      <c r="LLM142" s="21"/>
      <c r="LLN142" s="21"/>
      <c r="LLO142" s="21"/>
      <c r="LLP142" s="21"/>
      <c r="LLQ142" s="21"/>
      <c r="LLR142" s="21"/>
      <c r="LLS142" s="21"/>
      <c r="LLT142" s="21"/>
      <c r="LLU142" s="21"/>
      <c r="LLV142" s="21"/>
      <c r="LLW142" s="21"/>
      <c r="LLX142" s="21"/>
      <c r="LLY142" s="21"/>
      <c r="LLZ142" s="21"/>
      <c r="LMA142" s="21"/>
      <c r="LMB142" s="21"/>
      <c r="LMC142" s="21"/>
      <c r="LMD142" s="21"/>
      <c r="LME142" s="21"/>
      <c r="LMF142" s="21"/>
      <c r="LMG142" s="21"/>
      <c r="LMH142" s="21"/>
      <c r="LMI142" s="21"/>
      <c r="LMJ142" s="21"/>
      <c r="LMK142" s="21"/>
      <c r="LML142" s="21"/>
      <c r="LMM142" s="21"/>
      <c r="LMN142" s="21"/>
      <c r="LMO142" s="21"/>
      <c r="LMP142" s="21"/>
      <c r="LMQ142" s="21"/>
      <c r="LMR142" s="21"/>
      <c r="LMS142" s="21"/>
      <c r="LMT142" s="21"/>
      <c r="LMU142" s="21"/>
      <c r="LMV142" s="21"/>
      <c r="LMW142" s="21"/>
      <c r="LMX142" s="21"/>
      <c r="LMY142" s="21"/>
      <c r="LMZ142" s="21"/>
      <c r="LNA142" s="21"/>
      <c r="LNB142" s="21"/>
      <c r="LNC142" s="21"/>
      <c r="LND142" s="21"/>
      <c r="LNE142" s="21"/>
      <c r="LNF142" s="21"/>
      <c r="LNG142" s="21"/>
      <c r="LNH142" s="21"/>
      <c r="LNI142" s="21"/>
      <c r="LNJ142" s="21"/>
      <c r="LNK142" s="21"/>
      <c r="LNL142" s="21"/>
      <c r="LNM142" s="21"/>
      <c r="LNN142" s="21"/>
      <c r="LNO142" s="21"/>
      <c r="LNP142" s="21"/>
      <c r="LNQ142" s="21"/>
      <c r="LNR142" s="21"/>
      <c r="LNS142" s="21"/>
      <c r="LNT142" s="21"/>
      <c r="LNU142" s="21"/>
      <c r="LNV142" s="21"/>
      <c r="LNW142" s="21"/>
      <c r="LNX142" s="21"/>
      <c r="LNY142" s="21"/>
      <c r="LNZ142" s="21"/>
      <c r="LOA142" s="21"/>
      <c r="LOB142" s="21"/>
      <c r="LOC142" s="21"/>
      <c r="LOD142" s="21"/>
      <c r="LOE142" s="21"/>
      <c r="LOF142" s="21"/>
      <c r="LOG142" s="21"/>
      <c r="LOH142" s="21"/>
      <c r="LOI142" s="21"/>
      <c r="LOJ142" s="21"/>
      <c r="LOK142" s="21"/>
      <c r="LOL142" s="21"/>
      <c r="LOM142" s="21"/>
      <c r="LON142" s="21"/>
      <c r="LOO142" s="21"/>
      <c r="LOP142" s="21"/>
      <c r="LOQ142" s="21"/>
      <c r="LOR142" s="21"/>
      <c r="LOS142" s="21"/>
      <c r="LOT142" s="21"/>
      <c r="LOU142" s="21"/>
      <c r="LOV142" s="21"/>
      <c r="LOW142" s="21"/>
      <c r="LOX142" s="21"/>
      <c r="LOY142" s="21"/>
      <c r="LOZ142" s="21"/>
      <c r="LPA142" s="21"/>
      <c r="LPB142" s="21"/>
      <c r="LPC142" s="21"/>
      <c r="LPD142" s="21"/>
      <c r="LPE142" s="21"/>
      <c r="LPF142" s="21"/>
      <c r="LPG142" s="21"/>
      <c r="LPH142" s="21"/>
      <c r="LPI142" s="21"/>
      <c r="LPJ142" s="21"/>
      <c r="LPK142" s="21"/>
      <c r="LPL142" s="21"/>
      <c r="LPM142" s="21"/>
      <c r="LPN142" s="21"/>
      <c r="LPO142" s="21"/>
      <c r="LPP142" s="21"/>
      <c r="LPQ142" s="21"/>
      <c r="LPR142" s="21"/>
      <c r="LPS142" s="21"/>
      <c r="LPT142" s="21"/>
      <c r="LPU142" s="21"/>
      <c r="LPV142" s="21"/>
      <c r="LPW142" s="21"/>
      <c r="LPX142" s="21"/>
      <c r="LPY142" s="21"/>
      <c r="LPZ142" s="21"/>
      <c r="LQA142" s="21"/>
      <c r="LQB142" s="21"/>
      <c r="LQC142" s="21"/>
      <c r="LQD142" s="21"/>
      <c r="LQE142" s="21"/>
      <c r="LQF142" s="21"/>
      <c r="LQG142" s="21"/>
      <c r="LQH142" s="21"/>
      <c r="LQI142" s="21"/>
      <c r="LQJ142" s="21"/>
      <c r="LQK142" s="21"/>
      <c r="LQL142" s="21"/>
      <c r="LQM142" s="21"/>
      <c r="LQN142" s="21"/>
      <c r="LQO142" s="21"/>
      <c r="LQP142" s="21"/>
      <c r="LQQ142" s="21"/>
      <c r="LQR142" s="21"/>
      <c r="LQS142" s="21"/>
      <c r="LQT142" s="21"/>
      <c r="LQU142" s="21"/>
      <c r="LQV142" s="21"/>
      <c r="LQW142" s="21"/>
      <c r="LQX142" s="21"/>
      <c r="LQY142" s="21"/>
      <c r="LQZ142" s="21"/>
      <c r="LRA142" s="21"/>
      <c r="LRB142" s="21"/>
      <c r="LRC142" s="21"/>
      <c r="LRD142" s="21"/>
      <c r="LRE142" s="21"/>
      <c r="LRF142" s="21"/>
      <c r="LRG142" s="21"/>
      <c r="LRH142" s="21"/>
      <c r="LRI142" s="21"/>
      <c r="LRJ142" s="21"/>
      <c r="LRK142" s="21"/>
      <c r="LRL142" s="21"/>
      <c r="LRM142" s="21"/>
      <c r="LRN142" s="21"/>
      <c r="LRO142" s="21"/>
      <c r="LRP142" s="21"/>
      <c r="LRQ142" s="21"/>
      <c r="LRR142" s="21"/>
      <c r="LRS142" s="21"/>
      <c r="LRT142" s="21"/>
      <c r="LRU142" s="21"/>
      <c r="LRV142" s="21"/>
      <c r="LRW142" s="21"/>
      <c r="LRX142" s="21"/>
      <c r="LRY142" s="21"/>
      <c r="LRZ142" s="21"/>
      <c r="LSA142" s="21"/>
      <c r="LSB142" s="21"/>
      <c r="LSC142" s="21"/>
      <c r="LSD142" s="21"/>
      <c r="LSE142" s="21"/>
      <c r="LSF142" s="21"/>
      <c r="LSG142" s="21"/>
      <c r="LSH142" s="21"/>
      <c r="LSI142" s="21"/>
      <c r="LSJ142" s="21"/>
      <c r="LSK142" s="21"/>
      <c r="LSL142" s="21"/>
      <c r="LSM142" s="21"/>
      <c r="LSN142" s="21"/>
      <c r="LSO142" s="21"/>
      <c r="LSP142" s="21"/>
      <c r="LSQ142" s="21"/>
      <c r="LSR142" s="21"/>
      <c r="LSS142" s="21"/>
      <c r="LST142" s="21"/>
      <c r="LSU142" s="21"/>
      <c r="LSV142" s="21"/>
      <c r="LSW142" s="21"/>
      <c r="LSX142" s="21"/>
      <c r="LSY142" s="21"/>
      <c r="LSZ142" s="21"/>
      <c r="LTA142" s="21"/>
      <c r="LTB142" s="21"/>
      <c r="LTC142" s="21"/>
      <c r="LTD142" s="21"/>
      <c r="LTE142" s="21"/>
      <c r="LTF142" s="21"/>
      <c r="LTG142" s="21"/>
      <c r="LTH142" s="21"/>
      <c r="LTI142" s="21"/>
      <c r="LTJ142" s="21"/>
      <c r="LTK142" s="21"/>
      <c r="LTL142" s="21"/>
      <c r="LTM142" s="21"/>
      <c r="LTN142" s="21"/>
      <c r="LTO142" s="21"/>
      <c r="LTP142" s="21"/>
      <c r="LTQ142" s="21"/>
      <c r="LTR142" s="21"/>
      <c r="LTS142" s="21"/>
      <c r="LTT142" s="21"/>
      <c r="LTU142" s="21"/>
      <c r="LTV142" s="21"/>
      <c r="LTW142" s="21"/>
      <c r="LTX142" s="21"/>
      <c r="LTY142" s="21"/>
      <c r="LTZ142" s="21"/>
      <c r="LUA142" s="21"/>
      <c r="LUB142" s="21"/>
      <c r="LUC142" s="21"/>
      <c r="LUD142" s="21"/>
      <c r="LUE142" s="21"/>
      <c r="LUF142" s="21"/>
      <c r="LUG142" s="21"/>
      <c r="LUH142" s="21"/>
      <c r="LUI142" s="21"/>
      <c r="LUJ142" s="21"/>
      <c r="LUK142" s="21"/>
      <c r="LUL142" s="21"/>
      <c r="LUM142" s="21"/>
      <c r="LUN142" s="21"/>
      <c r="LUO142" s="21"/>
      <c r="LUP142" s="21"/>
      <c r="LUQ142" s="21"/>
      <c r="LUR142" s="21"/>
      <c r="LUS142" s="21"/>
      <c r="LUT142" s="21"/>
      <c r="LUU142" s="21"/>
      <c r="LUV142" s="21"/>
      <c r="LUW142" s="21"/>
      <c r="LUX142" s="21"/>
      <c r="LUY142" s="21"/>
      <c r="LUZ142" s="21"/>
      <c r="LVA142" s="21"/>
      <c r="LVB142" s="21"/>
      <c r="LVC142" s="21"/>
      <c r="LVD142" s="21"/>
      <c r="LVE142" s="21"/>
      <c r="LVF142" s="21"/>
      <c r="LVG142" s="21"/>
      <c r="LVH142" s="21"/>
      <c r="LVI142" s="21"/>
      <c r="LVJ142" s="21"/>
      <c r="LVK142" s="21"/>
      <c r="LVL142" s="21"/>
      <c r="LVM142" s="21"/>
      <c r="LVN142" s="21"/>
      <c r="LVO142" s="21"/>
      <c r="LVP142" s="21"/>
      <c r="LVQ142" s="21"/>
      <c r="LVR142" s="21"/>
      <c r="LVS142" s="21"/>
      <c r="LVT142" s="21"/>
      <c r="LVU142" s="21"/>
      <c r="LVV142" s="21"/>
      <c r="LVW142" s="21"/>
      <c r="LVX142" s="21"/>
      <c r="LVY142" s="21"/>
      <c r="LVZ142" s="21"/>
      <c r="LWA142" s="21"/>
      <c r="LWB142" s="21"/>
      <c r="LWC142" s="21"/>
      <c r="LWD142" s="21"/>
      <c r="LWE142" s="21"/>
      <c r="LWF142" s="21"/>
      <c r="LWG142" s="21"/>
      <c r="LWH142" s="21"/>
      <c r="LWI142" s="21"/>
      <c r="LWJ142" s="21"/>
      <c r="LWK142" s="21"/>
      <c r="LWL142" s="21"/>
      <c r="LWM142" s="21"/>
      <c r="LWN142" s="21"/>
      <c r="LWO142" s="21"/>
      <c r="LWP142" s="21"/>
      <c r="LWQ142" s="21"/>
      <c r="LWR142" s="21"/>
      <c r="LWS142" s="21"/>
      <c r="LWT142" s="21"/>
      <c r="LWU142" s="21"/>
      <c r="LWV142" s="21"/>
      <c r="LWW142" s="21"/>
      <c r="LWX142" s="21"/>
      <c r="LWY142" s="21"/>
      <c r="LWZ142" s="21"/>
      <c r="LXA142" s="21"/>
      <c r="LXB142" s="21"/>
      <c r="LXC142" s="21"/>
      <c r="LXD142" s="21"/>
      <c r="LXE142" s="21"/>
      <c r="LXF142" s="21"/>
      <c r="LXG142" s="21"/>
      <c r="LXH142" s="21"/>
      <c r="LXI142" s="21"/>
      <c r="LXJ142" s="21"/>
      <c r="LXK142" s="21"/>
      <c r="LXL142" s="21"/>
      <c r="LXM142" s="21"/>
      <c r="LXN142" s="21"/>
      <c r="LXO142" s="21"/>
      <c r="LXP142" s="21"/>
      <c r="LXQ142" s="21"/>
      <c r="LXR142" s="21"/>
      <c r="LXS142" s="21"/>
      <c r="LXT142" s="21"/>
      <c r="LXU142" s="21"/>
      <c r="LXV142" s="21"/>
      <c r="LXW142" s="21"/>
      <c r="LXX142" s="21"/>
      <c r="LXY142" s="21"/>
      <c r="LXZ142" s="21"/>
      <c r="LYA142" s="21"/>
      <c r="LYB142" s="21"/>
      <c r="LYC142" s="21"/>
      <c r="LYD142" s="21"/>
      <c r="LYE142" s="21"/>
      <c r="LYF142" s="21"/>
      <c r="LYG142" s="21"/>
      <c r="LYH142" s="21"/>
      <c r="LYI142" s="21"/>
      <c r="LYJ142" s="21"/>
      <c r="LYK142" s="21"/>
      <c r="LYL142" s="21"/>
      <c r="LYM142" s="21"/>
      <c r="LYN142" s="21"/>
      <c r="LYO142" s="21"/>
      <c r="LYP142" s="21"/>
      <c r="LYQ142" s="21"/>
      <c r="LYR142" s="21"/>
      <c r="LYS142" s="21"/>
      <c r="LYT142" s="21"/>
      <c r="LYU142" s="21"/>
      <c r="LYV142" s="21"/>
      <c r="LYW142" s="21"/>
      <c r="LYX142" s="21"/>
      <c r="LYY142" s="21"/>
      <c r="LYZ142" s="21"/>
      <c r="LZA142" s="21"/>
      <c r="LZB142" s="21"/>
      <c r="LZC142" s="21"/>
      <c r="LZD142" s="21"/>
      <c r="LZE142" s="21"/>
      <c r="LZF142" s="21"/>
      <c r="LZG142" s="21"/>
      <c r="LZH142" s="21"/>
      <c r="LZI142" s="21"/>
      <c r="LZJ142" s="21"/>
      <c r="LZK142" s="21"/>
      <c r="LZL142" s="21"/>
      <c r="LZM142" s="21"/>
      <c r="LZN142" s="21"/>
      <c r="LZO142" s="21"/>
      <c r="LZP142" s="21"/>
      <c r="LZQ142" s="21"/>
      <c r="LZR142" s="21"/>
      <c r="LZS142" s="21"/>
      <c r="LZT142" s="21"/>
      <c r="LZU142" s="21"/>
      <c r="LZV142" s="21"/>
      <c r="LZW142" s="21"/>
      <c r="LZX142" s="21"/>
      <c r="LZY142" s="21"/>
      <c r="LZZ142" s="21"/>
      <c r="MAA142" s="21"/>
      <c r="MAB142" s="21"/>
      <c r="MAC142" s="21"/>
      <c r="MAD142" s="21"/>
      <c r="MAE142" s="21"/>
      <c r="MAF142" s="21"/>
      <c r="MAG142" s="21"/>
      <c r="MAH142" s="21"/>
      <c r="MAI142" s="21"/>
      <c r="MAJ142" s="21"/>
      <c r="MAK142" s="21"/>
      <c r="MAL142" s="21"/>
      <c r="MAM142" s="21"/>
      <c r="MAN142" s="21"/>
      <c r="MAO142" s="21"/>
      <c r="MAP142" s="21"/>
      <c r="MAQ142" s="21"/>
      <c r="MAR142" s="21"/>
      <c r="MAS142" s="21"/>
      <c r="MAT142" s="21"/>
      <c r="MAU142" s="21"/>
      <c r="MAV142" s="21"/>
      <c r="MAW142" s="21"/>
      <c r="MAX142" s="21"/>
      <c r="MAY142" s="21"/>
      <c r="MAZ142" s="21"/>
      <c r="MBA142" s="21"/>
      <c r="MBB142" s="21"/>
      <c r="MBC142" s="21"/>
      <c r="MBD142" s="21"/>
      <c r="MBE142" s="21"/>
      <c r="MBF142" s="21"/>
      <c r="MBG142" s="21"/>
      <c r="MBH142" s="21"/>
      <c r="MBI142" s="21"/>
      <c r="MBJ142" s="21"/>
      <c r="MBK142" s="21"/>
      <c r="MBL142" s="21"/>
      <c r="MBM142" s="21"/>
      <c r="MBN142" s="21"/>
      <c r="MBO142" s="21"/>
      <c r="MBP142" s="21"/>
      <c r="MBQ142" s="21"/>
      <c r="MBR142" s="21"/>
      <c r="MBS142" s="21"/>
      <c r="MBT142" s="21"/>
      <c r="MBU142" s="21"/>
      <c r="MBV142" s="21"/>
      <c r="MBW142" s="21"/>
      <c r="MBX142" s="21"/>
      <c r="MBY142" s="21"/>
      <c r="MBZ142" s="21"/>
      <c r="MCA142" s="21"/>
      <c r="MCB142" s="21"/>
      <c r="MCC142" s="21"/>
      <c r="MCD142" s="21"/>
      <c r="MCE142" s="21"/>
      <c r="MCF142" s="21"/>
      <c r="MCG142" s="21"/>
      <c r="MCH142" s="21"/>
      <c r="MCI142" s="21"/>
      <c r="MCJ142" s="21"/>
      <c r="MCK142" s="21"/>
      <c r="MCL142" s="21"/>
      <c r="MCM142" s="21"/>
      <c r="MCN142" s="21"/>
      <c r="MCO142" s="21"/>
      <c r="MCP142" s="21"/>
      <c r="MCQ142" s="21"/>
      <c r="MCR142" s="21"/>
      <c r="MCS142" s="21"/>
      <c r="MCT142" s="21"/>
      <c r="MCU142" s="21"/>
      <c r="MCV142" s="21"/>
      <c r="MCW142" s="21"/>
      <c r="MCX142" s="21"/>
      <c r="MCY142" s="21"/>
      <c r="MCZ142" s="21"/>
      <c r="MDA142" s="21"/>
      <c r="MDB142" s="21"/>
      <c r="MDC142" s="21"/>
      <c r="MDD142" s="21"/>
      <c r="MDE142" s="21"/>
      <c r="MDF142" s="21"/>
      <c r="MDG142" s="21"/>
      <c r="MDH142" s="21"/>
      <c r="MDI142" s="21"/>
      <c r="MDJ142" s="21"/>
      <c r="MDK142" s="21"/>
      <c r="MDL142" s="21"/>
      <c r="MDM142" s="21"/>
      <c r="MDN142" s="21"/>
      <c r="MDO142" s="21"/>
      <c r="MDP142" s="21"/>
      <c r="MDQ142" s="21"/>
      <c r="MDR142" s="21"/>
      <c r="MDS142" s="21"/>
      <c r="MDT142" s="21"/>
      <c r="MDU142" s="21"/>
      <c r="MDV142" s="21"/>
      <c r="MDW142" s="21"/>
      <c r="MDX142" s="21"/>
      <c r="MDY142" s="21"/>
      <c r="MDZ142" s="21"/>
      <c r="MEA142" s="21"/>
      <c r="MEB142" s="21"/>
      <c r="MEC142" s="21"/>
      <c r="MED142" s="21"/>
      <c r="MEE142" s="21"/>
      <c r="MEF142" s="21"/>
      <c r="MEG142" s="21"/>
      <c r="MEH142" s="21"/>
      <c r="MEI142" s="21"/>
      <c r="MEJ142" s="21"/>
      <c r="MEK142" s="21"/>
      <c r="MEL142" s="21"/>
      <c r="MEM142" s="21"/>
      <c r="MEN142" s="21"/>
      <c r="MEO142" s="21"/>
      <c r="MEP142" s="21"/>
      <c r="MEQ142" s="21"/>
      <c r="MER142" s="21"/>
      <c r="MES142" s="21"/>
      <c r="MET142" s="21"/>
      <c r="MEU142" s="21"/>
      <c r="MEV142" s="21"/>
      <c r="MEW142" s="21"/>
      <c r="MEX142" s="21"/>
      <c r="MEY142" s="21"/>
      <c r="MEZ142" s="21"/>
      <c r="MFA142" s="21"/>
      <c r="MFB142" s="21"/>
      <c r="MFC142" s="21"/>
      <c r="MFD142" s="21"/>
      <c r="MFE142" s="21"/>
      <c r="MFF142" s="21"/>
      <c r="MFG142" s="21"/>
      <c r="MFH142" s="21"/>
      <c r="MFI142" s="21"/>
      <c r="MFJ142" s="21"/>
      <c r="MFK142" s="21"/>
      <c r="MFL142" s="21"/>
      <c r="MFM142" s="21"/>
      <c r="MFN142" s="21"/>
      <c r="MFO142" s="21"/>
      <c r="MFP142" s="21"/>
      <c r="MFQ142" s="21"/>
      <c r="MFR142" s="21"/>
      <c r="MFS142" s="21"/>
      <c r="MFT142" s="21"/>
      <c r="MFU142" s="21"/>
      <c r="MFV142" s="21"/>
      <c r="MFW142" s="21"/>
      <c r="MFX142" s="21"/>
      <c r="MFY142" s="21"/>
      <c r="MFZ142" s="21"/>
      <c r="MGA142" s="21"/>
      <c r="MGB142" s="21"/>
      <c r="MGC142" s="21"/>
      <c r="MGD142" s="21"/>
      <c r="MGE142" s="21"/>
      <c r="MGF142" s="21"/>
      <c r="MGG142" s="21"/>
      <c r="MGH142" s="21"/>
      <c r="MGI142" s="21"/>
      <c r="MGJ142" s="21"/>
      <c r="MGK142" s="21"/>
      <c r="MGL142" s="21"/>
      <c r="MGM142" s="21"/>
      <c r="MGN142" s="21"/>
      <c r="MGO142" s="21"/>
      <c r="MGP142" s="21"/>
      <c r="MGQ142" s="21"/>
      <c r="MGR142" s="21"/>
      <c r="MGS142" s="21"/>
      <c r="MGT142" s="21"/>
      <c r="MGU142" s="21"/>
      <c r="MGV142" s="21"/>
      <c r="MGW142" s="21"/>
      <c r="MGX142" s="21"/>
      <c r="MGY142" s="21"/>
      <c r="MGZ142" s="21"/>
      <c r="MHA142" s="21"/>
      <c r="MHB142" s="21"/>
      <c r="MHC142" s="21"/>
      <c r="MHD142" s="21"/>
      <c r="MHE142" s="21"/>
      <c r="MHF142" s="21"/>
      <c r="MHG142" s="21"/>
      <c r="MHH142" s="21"/>
      <c r="MHI142" s="21"/>
      <c r="MHJ142" s="21"/>
      <c r="MHK142" s="21"/>
      <c r="MHL142" s="21"/>
      <c r="MHM142" s="21"/>
      <c r="MHN142" s="21"/>
      <c r="MHO142" s="21"/>
      <c r="MHP142" s="21"/>
      <c r="MHQ142" s="21"/>
      <c r="MHR142" s="21"/>
      <c r="MHS142" s="21"/>
      <c r="MHT142" s="21"/>
      <c r="MHU142" s="21"/>
      <c r="MHV142" s="21"/>
      <c r="MHW142" s="21"/>
      <c r="MHX142" s="21"/>
      <c r="MHY142" s="21"/>
      <c r="MHZ142" s="21"/>
      <c r="MIA142" s="21"/>
      <c r="MIB142" s="21"/>
      <c r="MIC142" s="21"/>
      <c r="MID142" s="21"/>
      <c r="MIE142" s="21"/>
      <c r="MIF142" s="21"/>
      <c r="MIG142" s="21"/>
      <c r="MIH142" s="21"/>
      <c r="MII142" s="21"/>
      <c r="MIJ142" s="21"/>
      <c r="MIK142" s="21"/>
      <c r="MIL142" s="21"/>
      <c r="MIM142" s="21"/>
      <c r="MIN142" s="21"/>
      <c r="MIO142" s="21"/>
      <c r="MIP142" s="21"/>
      <c r="MIQ142" s="21"/>
      <c r="MIR142" s="21"/>
      <c r="MIS142" s="21"/>
      <c r="MIT142" s="21"/>
      <c r="MIU142" s="21"/>
      <c r="MIV142" s="21"/>
      <c r="MIW142" s="21"/>
      <c r="MIX142" s="21"/>
      <c r="MIY142" s="21"/>
      <c r="MIZ142" s="21"/>
      <c r="MJA142" s="21"/>
      <c r="MJB142" s="21"/>
      <c r="MJC142" s="21"/>
      <c r="MJD142" s="21"/>
      <c r="MJE142" s="21"/>
      <c r="MJF142" s="21"/>
      <c r="MJG142" s="21"/>
      <c r="MJH142" s="21"/>
      <c r="MJI142" s="21"/>
      <c r="MJJ142" s="21"/>
      <c r="MJK142" s="21"/>
      <c r="MJL142" s="21"/>
      <c r="MJM142" s="21"/>
      <c r="MJN142" s="21"/>
      <c r="MJO142" s="21"/>
      <c r="MJP142" s="21"/>
      <c r="MJQ142" s="21"/>
      <c r="MJR142" s="21"/>
      <c r="MJS142" s="21"/>
      <c r="MJT142" s="21"/>
      <c r="MJU142" s="21"/>
      <c r="MJV142" s="21"/>
      <c r="MJW142" s="21"/>
      <c r="MJX142" s="21"/>
      <c r="MJY142" s="21"/>
      <c r="MJZ142" s="21"/>
      <c r="MKA142" s="21"/>
      <c r="MKB142" s="21"/>
      <c r="MKC142" s="21"/>
      <c r="MKD142" s="21"/>
      <c r="MKE142" s="21"/>
      <c r="MKF142" s="21"/>
      <c r="MKG142" s="21"/>
      <c r="MKH142" s="21"/>
      <c r="MKI142" s="21"/>
      <c r="MKJ142" s="21"/>
      <c r="MKK142" s="21"/>
      <c r="MKL142" s="21"/>
      <c r="MKM142" s="21"/>
      <c r="MKN142" s="21"/>
      <c r="MKO142" s="21"/>
      <c r="MKP142" s="21"/>
      <c r="MKQ142" s="21"/>
      <c r="MKR142" s="21"/>
      <c r="MKS142" s="21"/>
      <c r="MKT142" s="21"/>
      <c r="MKU142" s="21"/>
      <c r="MKV142" s="21"/>
      <c r="MKW142" s="21"/>
      <c r="MKX142" s="21"/>
      <c r="MKY142" s="21"/>
      <c r="MKZ142" s="21"/>
      <c r="MLA142" s="21"/>
      <c r="MLB142" s="21"/>
      <c r="MLC142" s="21"/>
      <c r="MLD142" s="21"/>
      <c r="MLE142" s="21"/>
      <c r="MLF142" s="21"/>
      <c r="MLG142" s="21"/>
      <c r="MLH142" s="21"/>
      <c r="MLI142" s="21"/>
      <c r="MLJ142" s="21"/>
      <c r="MLK142" s="21"/>
      <c r="MLL142" s="21"/>
      <c r="MLM142" s="21"/>
      <c r="MLN142" s="21"/>
      <c r="MLO142" s="21"/>
      <c r="MLP142" s="21"/>
      <c r="MLQ142" s="21"/>
      <c r="MLR142" s="21"/>
      <c r="MLS142" s="21"/>
      <c r="MLT142" s="21"/>
      <c r="MLU142" s="21"/>
      <c r="MLV142" s="21"/>
      <c r="MLW142" s="21"/>
      <c r="MLX142" s="21"/>
      <c r="MLY142" s="21"/>
      <c r="MLZ142" s="21"/>
      <c r="MMA142" s="21"/>
      <c r="MMB142" s="21"/>
      <c r="MMC142" s="21"/>
      <c r="MMD142" s="21"/>
      <c r="MME142" s="21"/>
      <c r="MMF142" s="21"/>
      <c r="MMG142" s="21"/>
      <c r="MMH142" s="21"/>
      <c r="MMI142" s="21"/>
      <c r="MMJ142" s="21"/>
      <c r="MMK142" s="21"/>
      <c r="MML142" s="21"/>
      <c r="MMM142" s="21"/>
      <c r="MMN142" s="21"/>
      <c r="MMO142" s="21"/>
      <c r="MMP142" s="21"/>
      <c r="MMQ142" s="21"/>
      <c r="MMR142" s="21"/>
      <c r="MMS142" s="21"/>
      <c r="MMT142" s="21"/>
      <c r="MMU142" s="21"/>
      <c r="MMV142" s="21"/>
      <c r="MMW142" s="21"/>
      <c r="MMX142" s="21"/>
      <c r="MMY142" s="21"/>
      <c r="MMZ142" s="21"/>
      <c r="MNA142" s="21"/>
      <c r="MNB142" s="21"/>
      <c r="MNC142" s="21"/>
      <c r="MND142" s="21"/>
      <c r="MNE142" s="21"/>
      <c r="MNF142" s="21"/>
      <c r="MNG142" s="21"/>
      <c r="MNH142" s="21"/>
      <c r="MNI142" s="21"/>
      <c r="MNJ142" s="21"/>
      <c r="MNK142" s="21"/>
      <c r="MNL142" s="21"/>
      <c r="MNM142" s="21"/>
      <c r="MNN142" s="21"/>
      <c r="MNO142" s="21"/>
      <c r="MNP142" s="21"/>
      <c r="MNQ142" s="21"/>
      <c r="MNR142" s="21"/>
      <c r="MNS142" s="21"/>
      <c r="MNT142" s="21"/>
      <c r="MNU142" s="21"/>
      <c r="MNV142" s="21"/>
      <c r="MNW142" s="21"/>
      <c r="MNX142" s="21"/>
      <c r="MNY142" s="21"/>
      <c r="MNZ142" s="21"/>
      <c r="MOA142" s="21"/>
      <c r="MOB142" s="21"/>
      <c r="MOC142" s="21"/>
      <c r="MOD142" s="21"/>
      <c r="MOE142" s="21"/>
      <c r="MOF142" s="21"/>
      <c r="MOG142" s="21"/>
      <c r="MOH142" s="21"/>
      <c r="MOI142" s="21"/>
      <c r="MOJ142" s="21"/>
      <c r="MOK142" s="21"/>
      <c r="MOL142" s="21"/>
      <c r="MOM142" s="21"/>
      <c r="MON142" s="21"/>
      <c r="MOO142" s="21"/>
      <c r="MOP142" s="21"/>
      <c r="MOQ142" s="21"/>
      <c r="MOR142" s="21"/>
      <c r="MOS142" s="21"/>
      <c r="MOT142" s="21"/>
      <c r="MOU142" s="21"/>
      <c r="MOV142" s="21"/>
      <c r="MOW142" s="21"/>
      <c r="MOX142" s="21"/>
      <c r="MOY142" s="21"/>
      <c r="MOZ142" s="21"/>
      <c r="MPA142" s="21"/>
      <c r="MPB142" s="21"/>
      <c r="MPC142" s="21"/>
      <c r="MPD142" s="21"/>
      <c r="MPE142" s="21"/>
      <c r="MPF142" s="21"/>
      <c r="MPG142" s="21"/>
      <c r="MPH142" s="21"/>
      <c r="MPI142" s="21"/>
      <c r="MPJ142" s="21"/>
      <c r="MPK142" s="21"/>
      <c r="MPL142" s="21"/>
      <c r="MPM142" s="21"/>
      <c r="MPN142" s="21"/>
      <c r="MPO142" s="21"/>
      <c r="MPP142" s="21"/>
      <c r="MPQ142" s="21"/>
      <c r="MPR142" s="21"/>
      <c r="MPS142" s="21"/>
      <c r="MPT142" s="21"/>
      <c r="MPU142" s="21"/>
      <c r="MPV142" s="21"/>
      <c r="MPW142" s="21"/>
      <c r="MPX142" s="21"/>
      <c r="MPY142" s="21"/>
      <c r="MPZ142" s="21"/>
      <c r="MQA142" s="21"/>
      <c r="MQB142" s="21"/>
      <c r="MQC142" s="21"/>
      <c r="MQD142" s="21"/>
      <c r="MQE142" s="21"/>
      <c r="MQF142" s="21"/>
      <c r="MQG142" s="21"/>
      <c r="MQH142" s="21"/>
      <c r="MQI142" s="21"/>
      <c r="MQJ142" s="21"/>
      <c r="MQK142" s="21"/>
      <c r="MQL142" s="21"/>
      <c r="MQM142" s="21"/>
      <c r="MQN142" s="21"/>
      <c r="MQO142" s="21"/>
      <c r="MQP142" s="21"/>
      <c r="MQQ142" s="21"/>
      <c r="MQR142" s="21"/>
      <c r="MQS142" s="21"/>
      <c r="MQT142" s="21"/>
      <c r="MQU142" s="21"/>
      <c r="MQV142" s="21"/>
      <c r="MQW142" s="21"/>
      <c r="MQX142" s="21"/>
      <c r="MQY142" s="21"/>
      <c r="MQZ142" s="21"/>
      <c r="MRA142" s="21"/>
      <c r="MRB142" s="21"/>
      <c r="MRC142" s="21"/>
      <c r="MRD142" s="21"/>
      <c r="MRE142" s="21"/>
      <c r="MRF142" s="21"/>
      <c r="MRG142" s="21"/>
      <c r="MRH142" s="21"/>
      <c r="MRI142" s="21"/>
      <c r="MRJ142" s="21"/>
      <c r="MRK142" s="21"/>
      <c r="MRL142" s="21"/>
      <c r="MRM142" s="21"/>
      <c r="MRN142" s="21"/>
      <c r="MRO142" s="21"/>
      <c r="MRP142" s="21"/>
      <c r="MRQ142" s="21"/>
      <c r="MRR142" s="21"/>
      <c r="MRS142" s="21"/>
      <c r="MRT142" s="21"/>
      <c r="MRU142" s="21"/>
      <c r="MRV142" s="21"/>
      <c r="MRW142" s="21"/>
      <c r="MRX142" s="21"/>
      <c r="MRY142" s="21"/>
      <c r="MRZ142" s="21"/>
      <c r="MSA142" s="21"/>
      <c r="MSB142" s="21"/>
      <c r="MSC142" s="21"/>
      <c r="MSD142" s="21"/>
      <c r="MSE142" s="21"/>
      <c r="MSF142" s="21"/>
      <c r="MSG142" s="21"/>
      <c r="MSH142" s="21"/>
      <c r="MSI142" s="21"/>
      <c r="MSJ142" s="21"/>
      <c r="MSK142" s="21"/>
      <c r="MSL142" s="21"/>
      <c r="MSM142" s="21"/>
      <c r="MSN142" s="21"/>
      <c r="MSO142" s="21"/>
      <c r="MSP142" s="21"/>
      <c r="MSQ142" s="21"/>
      <c r="MSR142" s="21"/>
      <c r="MSS142" s="21"/>
      <c r="MST142" s="21"/>
      <c r="MSU142" s="21"/>
      <c r="MSV142" s="21"/>
      <c r="MSW142" s="21"/>
      <c r="MSX142" s="21"/>
      <c r="MSY142" s="21"/>
      <c r="MSZ142" s="21"/>
      <c r="MTA142" s="21"/>
      <c r="MTB142" s="21"/>
      <c r="MTC142" s="21"/>
      <c r="MTD142" s="21"/>
      <c r="MTE142" s="21"/>
      <c r="MTF142" s="21"/>
      <c r="MTG142" s="21"/>
      <c r="MTH142" s="21"/>
      <c r="MTI142" s="21"/>
      <c r="MTJ142" s="21"/>
      <c r="MTK142" s="21"/>
      <c r="MTL142" s="21"/>
      <c r="MTM142" s="21"/>
      <c r="MTN142" s="21"/>
      <c r="MTO142" s="21"/>
      <c r="MTP142" s="21"/>
      <c r="MTQ142" s="21"/>
      <c r="MTR142" s="21"/>
      <c r="MTS142" s="21"/>
      <c r="MTT142" s="21"/>
      <c r="MTU142" s="21"/>
      <c r="MTV142" s="21"/>
      <c r="MTW142" s="21"/>
      <c r="MTX142" s="21"/>
      <c r="MTY142" s="21"/>
      <c r="MTZ142" s="21"/>
      <c r="MUA142" s="21"/>
      <c r="MUB142" s="21"/>
      <c r="MUC142" s="21"/>
      <c r="MUD142" s="21"/>
      <c r="MUE142" s="21"/>
      <c r="MUF142" s="21"/>
      <c r="MUG142" s="21"/>
      <c r="MUH142" s="21"/>
      <c r="MUI142" s="21"/>
      <c r="MUJ142" s="21"/>
      <c r="MUK142" s="21"/>
      <c r="MUL142" s="21"/>
      <c r="MUM142" s="21"/>
      <c r="MUN142" s="21"/>
      <c r="MUO142" s="21"/>
      <c r="MUP142" s="21"/>
      <c r="MUQ142" s="21"/>
      <c r="MUR142" s="21"/>
      <c r="MUS142" s="21"/>
      <c r="MUT142" s="21"/>
      <c r="MUU142" s="21"/>
      <c r="MUV142" s="21"/>
      <c r="MUW142" s="21"/>
      <c r="MUX142" s="21"/>
      <c r="MUY142" s="21"/>
      <c r="MUZ142" s="21"/>
      <c r="MVA142" s="21"/>
      <c r="MVB142" s="21"/>
      <c r="MVC142" s="21"/>
      <c r="MVD142" s="21"/>
      <c r="MVE142" s="21"/>
      <c r="MVF142" s="21"/>
      <c r="MVG142" s="21"/>
      <c r="MVH142" s="21"/>
      <c r="MVI142" s="21"/>
      <c r="MVJ142" s="21"/>
      <c r="MVK142" s="21"/>
      <c r="MVL142" s="21"/>
      <c r="MVM142" s="21"/>
      <c r="MVN142" s="21"/>
      <c r="MVO142" s="21"/>
      <c r="MVP142" s="21"/>
      <c r="MVQ142" s="21"/>
      <c r="MVR142" s="21"/>
      <c r="MVS142" s="21"/>
      <c r="MVT142" s="21"/>
      <c r="MVU142" s="21"/>
      <c r="MVV142" s="21"/>
      <c r="MVW142" s="21"/>
      <c r="MVX142" s="21"/>
      <c r="MVY142" s="21"/>
      <c r="MVZ142" s="21"/>
      <c r="MWA142" s="21"/>
      <c r="MWB142" s="21"/>
      <c r="MWC142" s="21"/>
      <c r="MWD142" s="21"/>
      <c r="MWE142" s="21"/>
      <c r="MWF142" s="21"/>
      <c r="MWG142" s="21"/>
      <c r="MWH142" s="21"/>
      <c r="MWI142" s="21"/>
      <c r="MWJ142" s="21"/>
      <c r="MWK142" s="21"/>
      <c r="MWL142" s="21"/>
      <c r="MWM142" s="21"/>
      <c r="MWN142" s="21"/>
      <c r="MWO142" s="21"/>
      <c r="MWP142" s="21"/>
      <c r="MWQ142" s="21"/>
      <c r="MWR142" s="21"/>
      <c r="MWS142" s="21"/>
      <c r="MWT142" s="21"/>
      <c r="MWU142" s="21"/>
      <c r="MWV142" s="21"/>
      <c r="MWW142" s="21"/>
      <c r="MWX142" s="21"/>
      <c r="MWY142" s="21"/>
      <c r="MWZ142" s="21"/>
      <c r="MXA142" s="21"/>
      <c r="MXB142" s="21"/>
      <c r="MXC142" s="21"/>
      <c r="MXD142" s="21"/>
      <c r="MXE142" s="21"/>
      <c r="MXF142" s="21"/>
      <c r="MXG142" s="21"/>
      <c r="MXH142" s="21"/>
      <c r="MXI142" s="21"/>
      <c r="MXJ142" s="21"/>
      <c r="MXK142" s="21"/>
      <c r="MXL142" s="21"/>
      <c r="MXM142" s="21"/>
      <c r="MXN142" s="21"/>
      <c r="MXO142" s="21"/>
      <c r="MXP142" s="21"/>
      <c r="MXQ142" s="21"/>
      <c r="MXR142" s="21"/>
      <c r="MXS142" s="21"/>
      <c r="MXT142" s="21"/>
      <c r="MXU142" s="21"/>
      <c r="MXV142" s="21"/>
      <c r="MXW142" s="21"/>
      <c r="MXX142" s="21"/>
      <c r="MXY142" s="21"/>
      <c r="MXZ142" s="21"/>
      <c r="MYA142" s="21"/>
      <c r="MYB142" s="21"/>
      <c r="MYC142" s="21"/>
      <c r="MYD142" s="21"/>
      <c r="MYE142" s="21"/>
      <c r="MYF142" s="21"/>
      <c r="MYG142" s="21"/>
      <c r="MYH142" s="21"/>
      <c r="MYI142" s="21"/>
      <c r="MYJ142" s="21"/>
      <c r="MYK142" s="21"/>
      <c r="MYL142" s="21"/>
      <c r="MYM142" s="21"/>
      <c r="MYN142" s="21"/>
      <c r="MYO142" s="21"/>
      <c r="MYP142" s="21"/>
      <c r="MYQ142" s="21"/>
      <c r="MYR142" s="21"/>
      <c r="MYS142" s="21"/>
      <c r="MYT142" s="21"/>
      <c r="MYU142" s="21"/>
      <c r="MYV142" s="21"/>
      <c r="MYW142" s="21"/>
      <c r="MYX142" s="21"/>
      <c r="MYY142" s="21"/>
      <c r="MYZ142" s="21"/>
      <c r="MZA142" s="21"/>
      <c r="MZB142" s="21"/>
      <c r="MZC142" s="21"/>
      <c r="MZD142" s="21"/>
      <c r="MZE142" s="21"/>
      <c r="MZF142" s="21"/>
      <c r="MZG142" s="21"/>
      <c r="MZH142" s="21"/>
      <c r="MZI142" s="21"/>
      <c r="MZJ142" s="21"/>
      <c r="MZK142" s="21"/>
      <c r="MZL142" s="21"/>
      <c r="MZM142" s="21"/>
      <c r="MZN142" s="21"/>
      <c r="MZO142" s="21"/>
      <c r="MZP142" s="21"/>
      <c r="MZQ142" s="21"/>
      <c r="MZR142" s="21"/>
      <c r="MZS142" s="21"/>
      <c r="MZT142" s="21"/>
      <c r="MZU142" s="21"/>
      <c r="MZV142" s="21"/>
      <c r="MZW142" s="21"/>
      <c r="MZX142" s="21"/>
      <c r="MZY142" s="21"/>
      <c r="MZZ142" s="21"/>
      <c r="NAA142" s="21"/>
      <c r="NAB142" s="21"/>
      <c r="NAC142" s="21"/>
      <c r="NAD142" s="21"/>
      <c r="NAE142" s="21"/>
      <c r="NAF142" s="21"/>
      <c r="NAG142" s="21"/>
      <c r="NAH142" s="21"/>
      <c r="NAI142" s="21"/>
      <c r="NAJ142" s="21"/>
      <c r="NAK142" s="21"/>
      <c r="NAL142" s="21"/>
      <c r="NAM142" s="21"/>
      <c r="NAN142" s="21"/>
      <c r="NAO142" s="21"/>
      <c r="NAP142" s="21"/>
      <c r="NAQ142" s="21"/>
      <c r="NAR142" s="21"/>
      <c r="NAS142" s="21"/>
      <c r="NAT142" s="21"/>
      <c r="NAU142" s="21"/>
      <c r="NAV142" s="21"/>
      <c r="NAW142" s="21"/>
      <c r="NAX142" s="21"/>
      <c r="NAY142" s="21"/>
      <c r="NAZ142" s="21"/>
      <c r="NBA142" s="21"/>
      <c r="NBB142" s="21"/>
      <c r="NBC142" s="21"/>
      <c r="NBD142" s="21"/>
      <c r="NBE142" s="21"/>
      <c r="NBF142" s="21"/>
      <c r="NBG142" s="21"/>
      <c r="NBH142" s="21"/>
      <c r="NBI142" s="21"/>
      <c r="NBJ142" s="21"/>
      <c r="NBK142" s="21"/>
      <c r="NBL142" s="21"/>
      <c r="NBM142" s="21"/>
      <c r="NBN142" s="21"/>
      <c r="NBO142" s="21"/>
      <c r="NBP142" s="21"/>
      <c r="NBQ142" s="21"/>
      <c r="NBR142" s="21"/>
      <c r="NBS142" s="21"/>
      <c r="NBT142" s="21"/>
      <c r="NBU142" s="21"/>
      <c r="NBV142" s="21"/>
      <c r="NBW142" s="21"/>
      <c r="NBX142" s="21"/>
      <c r="NBY142" s="21"/>
      <c r="NBZ142" s="21"/>
      <c r="NCA142" s="21"/>
      <c r="NCB142" s="21"/>
      <c r="NCC142" s="21"/>
      <c r="NCD142" s="21"/>
      <c r="NCE142" s="21"/>
      <c r="NCF142" s="21"/>
      <c r="NCG142" s="21"/>
      <c r="NCH142" s="21"/>
      <c r="NCI142" s="21"/>
      <c r="NCJ142" s="21"/>
      <c r="NCK142" s="21"/>
      <c r="NCL142" s="21"/>
      <c r="NCM142" s="21"/>
      <c r="NCN142" s="21"/>
      <c r="NCO142" s="21"/>
      <c r="NCP142" s="21"/>
      <c r="NCQ142" s="21"/>
      <c r="NCR142" s="21"/>
      <c r="NCS142" s="21"/>
      <c r="NCT142" s="21"/>
      <c r="NCU142" s="21"/>
      <c r="NCV142" s="21"/>
      <c r="NCW142" s="21"/>
      <c r="NCX142" s="21"/>
      <c r="NCY142" s="21"/>
      <c r="NCZ142" s="21"/>
      <c r="NDA142" s="21"/>
      <c r="NDB142" s="21"/>
      <c r="NDC142" s="21"/>
      <c r="NDD142" s="21"/>
      <c r="NDE142" s="21"/>
      <c r="NDF142" s="21"/>
      <c r="NDG142" s="21"/>
      <c r="NDH142" s="21"/>
      <c r="NDI142" s="21"/>
      <c r="NDJ142" s="21"/>
      <c r="NDK142" s="21"/>
      <c r="NDL142" s="21"/>
      <c r="NDM142" s="21"/>
      <c r="NDN142" s="21"/>
      <c r="NDO142" s="21"/>
      <c r="NDP142" s="21"/>
      <c r="NDQ142" s="21"/>
      <c r="NDR142" s="21"/>
      <c r="NDS142" s="21"/>
      <c r="NDT142" s="21"/>
      <c r="NDU142" s="21"/>
      <c r="NDV142" s="21"/>
      <c r="NDW142" s="21"/>
      <c r="NDX142" s="21"/>
      <c r="NDY142" s="21"/>
      <c r="NDZ142" s="21"/>
      <c r="NEA142" s="21"/>
      <c r="NEB142" s="21"/>
      <c r="NEC142" s="21"/>
      <c r="NED142" s="21"/>
      <c r="NEE142" s="21"/>
      <c r="NEF142" s="21"/>
      <c r="NEG142" s="21"/>
      <c r="NEH142" s="21"/>
      <c r="NEI142" s="21"/>
      <c r="NEJ142" s="21"/>
      <c r="NEK142" s="21"/>
      <c r="NEL142" s="21"/>
      <c r="NEM142" s="21"/>
      <c r="NEN142" s="21"/>
      <c r="NEO142" s="21"/>
      <c r="NEP142" s="21"/>
      <c r="NEQ142" s="21"/>
      <c r="NER142" s="21"/>
      <c r="NES142" s="21"/>
      <c r="NET142" s="21"/>
      <c r="NEU142" s="21"/>
      <c r="NEV142" s="21"/>
      <c r="NEW142" s="21"/>
      <c r="NEX142" s="21"/>
      <c r="NEY142" s="21"/>
      <c r="NEZ142" s="21"/>
      <c r="NFA142" s="21"/>
      <c r="NFB142" s="21"/>
      <c r="NFC142" s="21"/>
      <c r="NFD142" s="21"/>
      <c r="NFE142" s="21"/>
      <c r="NFF142" s="21"/>
      <c r="NFG142" s="21"/>
      <c r="NFH142" s="21"/>
      <c r="NFI142" s="21"/>
      <c r="NFJ142" s="21"/>
      <c r="NFK142" s="21"/>
      <c r="NFL142" s="21"/>
      <c r="NFM142" s="21"/>
      <c r="NFN142" s="21"/>
      <c r="NFO142" s="21"/>
      <c r="NFP142" s="21"/>
      <c r="NFQ142" s="21"/>
      <c r="NFR142" s="21"/>
      <c r="NFS142" s="21"/>
      <c r="NFT142" s="21"/>
      <c r="NFU142" s="21"/>
      <c r="NFV142" s="21"/>
      <c r="NFW142" s="21"/>
      <c r="NFX142" s="21"/>
      <c r="NFY142" s="21"/>
      <c r="NFZ142" s="21"/>
      <c r="NGA142" s="21"/>
      <c r="NGB142" s="21"/>
      <c r="NGC142" s="21"/>
      <c r="NGD142" s="21"/>
      <c r="NGE142" s="21"/>
      <c r="NGF142" s="21"/>
      <c r="NGG142" s="21"/>
      <c r="NGH142" s="21"/>
      <c r="NGI142" s="21"/>
      <c r="NGJ142" s="21"/>
      <c r="NGK142" s="21"/>
      <c r="NGL142" s="21"/>
      <c r="NGM142" s="21"/>
      <c r="NGN142" s="21"/>
      <c r="NGO142" s="21"/>
      <c r="NGP142" s="21"/>
      <c r="NGQ142" s="21"/>
      <c r="NGR142" s="21"/>
      <c r="NGS142" s="21"/>
      <c r="NGT142" s="21"/>
      <c r="NGU142" s="21"/>
      <c r="NGV142" s="21"/>
      <c r="NGW142" s="21"/>
      <c r="NGX142" s="21"/>
      <c r="NGY142" s="21"/>
      <c r="NGZ142" s="21"/>
      <c r="NHA142" s="21"/>
      <c r="NHB142" s="21"/>
      <c r="NHC142" s="21"/>
      <c r="NHD142" s="21"/>
      <c r="NHE142" s="21"/>
      <c r="NHF142" s="21"/>
      <c r="NHG142" s="21"/>
      <c r="NHH142" s="21"/>
      <c r="NHI142" s="21"/>
      <c r="NHJ142" s="21"/>
      <c r="NHK142" s="21"/>
      <c r="NHL142" s="21"/>
      <c r="NHM142" s="21"/>
      <c r="NHN142" s="21"/>
      <c r="NHO142" s="21"/>
      <c r="NHP142" s="21"/>
      <c r="NHQ142" s="21"/>
      <c r="NHR142" s="21"/>
      <c r="NHS142" s="21"/>
      <c r="NHT142" s="21"/>
      <c r="NHU142" s="21"/>
      <c r="NHV142" s="21"/>
      <c r="NHW142" s="21"/>
      <c r="NHX142" s="21"/>
      <c r="NHY142" s="21"/>
      <c r="NHZ142" s="21"/>
      <c r="NIA142" s="21"/>
      <c r="NIB142" s="21"/>
      <c r="NIC142" s="21"/>
      <c r="NID142" s="21"/>
      <c r="NIE142" s="21"/>
      <c r="NIF142" s="21"/>
      <c r="NIG142" s="21"/>
      <c r="NIH142" s="21"/>
      <c r="NII142" s="21"/>
      <c r="NIJ142" s="21"/>
      <c r="NIK142" s="21"/>
      <c r="NIL142" s="21"/>
      <c r="NIM142" s="21"/>
      <c r="NIN142" s="21"/>
      <c r="NIO142" s="21"/>
      <c r="NIP142" s="21"/>
      <c r="NIQ142" s="21"/>
      <c r="NIR142" s="21"/>
      <c r="NIS142" s="21"/>
      <c r="NIT142" s="21"/>
      <c r="NIU142" s="21"/>
      <c r="NIV142" s="21"/>
      <c r="NIW142" s="21"/>
      <c r="NIX142" s="21"/>
      <c r="NIY142" s="21"/>
      <c r="NIZ142" s="21"/>
      <c r="NJA142" s="21"/>
      <c r="NJB142" s="21"/>
      <c r="NJC142" s="21"/>
      <c r="NJD142" s="21"/>
      <c r="NJE142" s="21"/>
      <c r="NJF142" s="21"/>
      <c r="NJG142" s="21"/>
      <c r="NJH142" s="21"/>
      <c r="NJI142" s="21"/>
      <c r="NJJ142" s="21"/>
      <c r="NJK142" s="21"/>
      <c r="NJL142" s="21"/>
      <c r="NJM142" s="21"/>
      <c r="NJN142" s="21"/>
      <c r="NJO142" s="21"/>
      <c r="NJP142" s="21"/>
      <c r="NJQ142" s="21"/>
      <c r="NJR142" s="21"/>
      <c r="NJS142" s="21"/>
      <c r="NJT142" s="21"/>
      <c r="NJU142" s="21"/>
      <c r="NJV142" s="21"/>
      <c r="NJW142" s="21"/>
      <c r="NJX142" s="21"/>
      <c r="NJY142" s="21"/>
      <c r="NJZ142" s="21"/>
      <c r="NKA142" s="21"/>
      <c r="NKB142" s="21"/>
      <c r="NKC142" s="21"/>
      <c r="NKD142" s="21"/>
      <c r="NKE142" s="21"/>
      <c r="NKF142" s="21"/>
      <c r="NKG142" s="21"/>
      <c r="NKH142" s="21"/>
      <c r="NKI142" s="21"/>
      <c r="NKJ142" s="21"/>
      <c r="NKK142" s="21"/>
      <c r="NKL142" s="21"/>
      <c r="NKM142" s="21"/>
      <c r="NKN142" s="21"/>
      <c r="NKO142" s="21"/>
      <c r="NKP142" s="21"/>
      <c r="NKQ142" s="21"/>
      <c r="NKR142" s="21"/>
      <c r="NKS142" s="21"/>
      <c r="NKT142" s="21"/>
      <c r="NKU142" s="21"/>
      <c r="NKV142" s="21"/>
      <c r="NKW142" s="21"/>
      <c r="NKX142" s="21"/>
      <c r="NKY142" s="21"/>
      <c r="NKZ142" s="21"/>
      <c r="NLA142" s="21"/>
      <c r="NLB142" s="21"/>
      <c r="NLC142" s="21"/>
      <c r="NLD142" s="21"/>
      <c r="NLE142" s="21"/>
      <c r="NLF142" s="21"/>
      <c r="NLG142" s="21"/>
      <c r="NLH142" s="21"/>
      <c r="NLI142" s="21"/>
      <c r="NLJ142" s="21"/>
      <c r="NLK142" s="21"/>
      <c r="NLL142" s="21"/>
      <c r="NLM142" s="21"/>
      <c r="NLN142" s="21"/>
      <c r="NLO142" s="21"/>
      <c r="NLP142" s="21"/>
      <c r="NLQ142" s="21"/>
      <c r="NLR142" s="21"/>
      <c r="NLS142" s="21"/>
      <c r="NLT142" s="21"/>
      <c r="NLU142" s="21"/>
      <c r="NLV142" s="21"/>
      <c r="NLW142" s="21"/>
      <c r="NLX142" s="21"/>
      <c r="NLY142" s="21"/>
      <c r="NLZ142" s="21"/>
      <c r="NMA142" s="21"/>
      <c r="NMB142" s="21"/>
      <c r="NMC142" s="21"/>
      <c r="NMD142" s="21"/>
      <c r="NME142" s="21"/>
      <c r="NMF142" s="21"/>
      <c r="NMG142" s="21"/>
      <c r="NMH142" s="21"/>
      <c r="NMI142" s="21"/>
      <c r="NMJ142" s="21"/>
      <c r="NMK142" s="21"/>
      <c r="NML142" s="21"/>
      <c r="NMM142" s="21"/>
      <c r="NMN142" s="21"/>
      <c r="NMO142" s="21"/>
      <c r="NMP142" s="21"/>
      <c r="NMQ142" s="21"/>
      <c r="NMR142" s="21"/>
      <c r="NMS142" s="21"/>
      <c r="NMT142" s="21"/>
      <c r="NMU142" s="21"/>
      <c r="NMV142" s="21"/>
      <c r="NMW142" s="21"/>
      <c r="NMX142" s="21"/>
      <c r="NMY142" s="21"/>
      <c r="NMZ142" s="21"/>
      <c r="NNA142" s="21"/>
      <c r="NNB142" s="21"/>
      <c r="NNC142" s="21"/>
      <c r="NND142" s="21"/>
      <c r="NNE142" s="21"/>
      <c r="NNF142" s="21"/>
      <c r="NNG142" s="21"/>
      <c r="NNH142" s="21"/>
      <c r="NNI142" s="21"/>
      <c r="NNJ142" s="21"/>
      <c r="NNK142" s="21"/>
      <c r="NNL142" s="21"/>
      <c r="NNM142" s="21"/>
      <c r="NNN142" s="21"/>
      <c r="NNO142" s="21"/>
      <c r="NNP142" s="21"/>
      <c r="NNQ142" s="21"/>
      <c r="NNR142" s="21"/>
      <c r="NNS142" s="21"/>
      <c r="NNT142" s="21"/>
      <c r="NNU142" s="21"/>
      <c r="NNV142" s="21"/>
      <c r="NNW142" s="21"/>
      <c r="NNX142" s="21"/>
      <c r="NNY142" s="21"/>
      <c r="NNZ142" s="21"/>
      <c r="NOA142" s="21"/>
      <c r="NOB142" s="21"/>
      <c r="NOC142" s="21"/>
      <c r="NOD142" s="21"/>
      <c r="NOE142" s="21"/>
      <c r="NOF142" s="21"/>
      <c r="NOG142" s="21"/>
      <c r="NOH142" s="21"/>
      <c r="NOI142" s="21"/>
      <c r="NOJ142" s="21"/>
      <c r="NOK142" s="21"/>
      <c r="NOL142" s="21"/>
      <c r="NOM142" s="21"/>
      <c r="NON142" s="21"/>
      <c r="NOO142" s="21"/>
      <c r="NOP142" s="21"/>
      <c r="NOQ142" s="21"/>
      <c r="NOR142" s="21"/>
      <c r="NOS142" s="21"/>
      <c r="NOT142" s="21"/>
      <c r="NOU142" s="21"/>
      <c r="NOV142" s="21"/>
      <c r="NOW142" s="21"/>
      <c r="NOX142" s="21"/>
      <c r="NOY142" s="21"/>
      <c r="NOZ142" s="21"/>
      <c r="NPA142" s="21"/>
      <c r="NPB142" s="21"/>
      <c r="NPC142" s="21"/>
      <c r="NPD142" s="21"/>
      <c r="NPE142" s="21"/>
      <c r="NPF142" s="21"/>
      <c r="NPG142" s="21"/>
      <c r="NPH142" s="21"/>
      <c r="NPI142" s="21"/>
      <c r="NPJ142" s="21"/>
      <c r="NPK142" s="21"/>
      <c r="NPL142" s="21"/>
      <c r="NPM142" s="21"/>
      <c r="NPN142" s="21"/>
      <c r="NPO142" s="21"/>
      <c r="NPP142" s="21"/>
      <c r="NPQ142" s="21"/>
      <c r="NPR142" s="21"/>
      <c r="NPS142" s="21"/>
      <c r="NPT142" s="21"/>
      <c r="NPU142" s="21"/>
      <c r="NPV142" s="21"/>
      <c r="NPW142" s="21"/>
      <c r="NPX142" s="21"/>
      <c r="NPY142" s="21"/>
      <c r="NPZ142" s="21"/>
      <c r="NQA142" s="21"/>
      <c r="NQB142" s="21"/>
      <c r="NQC142" s="21"/>
      <c r="NQD142" s="21"/>
      <c r="NQE142" s="21"/>
      <c r="NQF142" s="21"/>
      <c r="NQG142" s="21"/>
      <c r="NQH142" s="21"/>
      <c r="NQI142" s="21"/>
      <c r="NQJ142" s="21"/>
      <c r="NQK142" s="21"/>
      <c r="NQL142" s="21"/>
      <c r="NQM142" s="21"/>
      <c r="NQN142" s="21"/>
      <c r="NQO142" s="21"/>
      <c r="NQP142" s="21"/>
      <c r="NQQ142" s="21"/>
      <c r="NQR142" s="21"/>
      <c r="NQS142" s="21"/>
      <c r="NQT142" s="21"/>
      <c r="NQU142" s="21"/>
      <c r="NQV142" s="21"/>
      <c r="NQW142" s="21"/>
      <c r="NQX142" s="21"/>
      <c r="NQY142" s="21"/>
      <c r="NQZ142" s="21"/>
      <c r="NRA142" s="21"/>
      <c r="NRB142" s="21"/>
      <c r="NRC142" s="21"/>
      <c r="NRD142" s="21"/>
      <c r="NRE142" s="21"/>
      <c r="NRF142" s="21"/>
      <c r="NRG142" s="21"/>
      <c r="NRH142" s="21"/>
      <c r="NRI142" s="21"/>
      <c r="NRJ142" s="21"/>
      <c r="NRK142" s="21"/>
      <c r="NRL142" s="21"/>
      <c r="NRM142" s="21"/>
      <c r="NRN142" s="21"/>
      <c r="NRO142" s="21"/>
      <c r="NRP142" s="21"/>
      <c r="NRQ142" s="21"/>
      <c r="NRR142" s="21"/>
      <c r="NRS142" s="21"/>
      <c r="NRT142" s="21"/>
      <c r="NRU142" s="21"/>
      <c r="NRV142" s="21"/>
      <c r="NRW142" s="21"/>
      <c r="NRX142" s="21"/>
      <c r="NRY142" s="21"/>
      <c r="NRZ142" s="21"/>
      <c r="NSA142" s="21"/>
      <c r="NSB142" s="21"/>
      <c r="NSC142" s="21"/>
      <c r="NSD142" s="21"/>
      <c r="NSE142" s="21"/>
      <c r="NSF142" s="21"/>
      <c r="NSG142" s="21"/>
      <c r="NSH142" s="21"/>
      <c r="NSI142" s="21"/>
      <c r="NSJ142" s="21"/>
      <c r="NSK142" s="21"/>
      <c r="NSL142" s="21"/>
      <c r="NSM142" s="21"/>
      <c r="NSN142" s="21"/>
      <c r="NSO142" s="21"/>
      <c r="NSP142" s="21"/>
      <c r="NSQ142" s="21"/>
      <c r="NSR142" s="21"/>
      <c r="NSS142" s="21"/>
      <c r="NST142" s="21"/>
      <c r="NSU142" s="21"/>
      <c r="NSV142" s="21"/>
      <c r="NSW142" s="21"/>
      <c r="NSX142" s="21"/>
      <c r="NSY142" s="21"/>
      <c r="NSZ142" s="21"/>
      <c r="NTA142" s="21"/>
      <c r="NTB142" s="21"/>
      <c r="NTC142" s="21"/>
      <c r="NTD142" s="21"/>
      <c r="NTE142" s="21"/>
      <c r="NTF142" s="21"/>
      <c r="NTG142" s="21"/>
      <c r="NTH142" s="21"/>
      <c r="NTI142" s="21"/>
      <c r="NTJ142" s="21"/>
      <c r="NTK142" s="21"/>
      <c r="NTL142" s="21"/>
      <c r="NTM142" s="21"/>
      <c r="NTN142" s="21"/>
      <c r="NTO142" s="21"/>
      <c r="NTP142" s="21"/>
      <c r="NTQ142" s="21"/>
      <c r="NTR142" s="21"/>
      <c r="NTS142" s="21"/>
      <c r="NTT142" s="21"/>
      <c r="NTU142" s="21"/>
      <c r="NTV142" s="21"/>
      <c r="NTW142" s="21"/>
      <c r="NTX142" s="21"/>
      <c r="NTY142" s="21"/>
      <c r="NTZ142" s="21"/>
      <c r="NUA142" s="21"/>
      <c r="NUB142" s="21"/>
      <c r="NUC142" s="21"/>
      <c r="NUD142" s="21"/>
      <c r="NUE142" s="21"/>
      <c r="NUF142" s="21"/>
      <c r="NUG142" s="21"/>
      <c r="NUH142" s="21"/>
      <c r="NUI142" s="21"/>
      <c r="NUJ142" s="21"/>
      <c r="NUK142" s="21"/>
      <c r="NUL142" s="21"/>
      <c r="NUM142" s="21"/>
      <c r="NUN142" s="21"/>
      <c r="NUO142" s="21"/>
      <c r="NUP142" s="21"/>
      <c r="NUQ142" s="21"/>
      <c r="NUR142" s="21"/>
      <c r="NUS142" s="21"/>
      <c r="NUT142" s="21"/>
      <c r="NUU142" s="21"/>
      <c r="NUV142" s="21"/>
      <c r="NUW142" s="21"/>
      <c r="NUX142" s="21"/>
      <c r="NUY142" s="21"/>
      <c r="NUZ142" s="21"/>
      <c r="NVA142" s="21"/>
      <c r="NVB142" s="21"/>
      <c r="NVC142" s="21"/>
      <c r="NVD142" s="21"/>
      <c r="NVE142" s="21"/>
      <c r="NVF142" s="21"/>
      <c r="NVG142" s="21"/>
      <c r="NVH142" s="21"/>
      <c r="NVI142" s="21"/>
      <c r="NVJ142" s="21"/>
      <c r="NVK142" s="21"/>
      <c r="NVL142" s="21"/>
      <c r="NVM142" s="21"/>
      <c r="NVN142" s="21"/>
      <c r="NVO142" s="21"/>
      <c r="NVP142" s="21"/>
      <c r="NVQ142" s="21"/>
      <c r="NVR142" s="21"/>
      <c r="NVS142" s="21"/>
      <c r="NVT142" s="21"/>
      <c r="NVU142" s="21"/>
      <c r="NVV142" s="21"/>
      <c r="NVW142" s="21"/>
      <c r="NVX142" s="21"/>
      <c r="NVY142" s="21"/>
      <c r="NVZ142" s="21"/>
      <c r="NWA142" s="21"/>
      <c r="NWB142" s="21"/>
      <c r="NWC142" s="21"/>
      <c r="NWD142" s="21"/>
      <c r="NWE142" s="21"/>
      <c r="NWF142" s="21"/>
      <c r="NWG142" s="21"/>
      <c r="NWH142" s="21"/>
      <c r="NWI142" s="21"/>
      <c r="NWJ142" s="21"/>
      <c r="NWK142" s="21"/>
      <c r="NWL142" s="21"/>
      <c r="NWM142" s="21"/>
      <c r="NWN142" s="21"/>
      <c r="NWO142" s="21"/>
      <c r="NWP142" s="21"/>
      <c r="NWQ142" s="21"/>
      <c r="NWR142" s="21"/>
      <c r="NWS142" s="21"/>
      <c r="NWT142" s="21"/>
      <c r="NWU142" s="21"/>
      <c r="NWV142" s="21"/>
      <c r="NWW142" s="21"/>
      <c r="NWX142" s="21"/>
      <c r="NWY142" s="21"/>
      <c r="NWZ142" s="21"/>
      <c r="NXA142" s="21"/>
      <c r="NXB142" s="21"/>
      <c r="NXC142" s="21"/>
      <c r="NXD142" s="21"/>
      <c r="NXE142" s="21"/>
      <c r="NXF142" s="21"/>
      <c r="NXG142" s="21"/>
      <c r="NXH142" s="21"/>
      <c r="NXI142" s="21"/>
      <c r="NXJ142" s="21"/>
      <c r="NXK142" s="21"/>
      <c r="NXL142" s="21"/>
      <c r="NXM142" s="21"/>
      <c r="NXN142" s="21"/>
      <c r="NXO142" s="21"/>
      <c r="NXP142" s="21"/>
      <c r="NXQ142" s="21"/>
      <c r="NXR142" s="21"/>
      <c r="NXS142" s="21"/>
      <c r="NXT142" s="21"/>
      <c r="NXU142" s="21"/>
      <c r="NXV142" s="21"/>
      <c r="NXW142" s="21"/>
      <c r="NXX142" s="21"/>
      <c r="NXY142" s="21"/>
      <c r="NXZ142" s="21"/>
      <c r="NYA142" s="21"/>
      <c r="NYB142" s="21"/>
      <c r="NYC142" s="21"/>
      <c r="NYD142" s="21"/>
      <c r="NYE142" s="21"/>
      <c r="NYF142" s="21"/>
      <c r="NYG142" s="21"/>
      <c r="NYH142" s="21"/>
      <c r="NYI142" s="21"/>
      <c r="NYJ142" s="21"/>
      <c r="NYK142" s="21"/>
      <c r="NYL142" s="21"/>
      <c r="NYM142" s="21"/>
      <c r="NYN142" s="21"/>
      <c r="NYO142" s="21"/>
      <c r="NYP142" s="21"/>
      <c r="NYQ142" s="21"/>
      <c r="NYR142" s="21"/>
      <c r="NYS142" s="21"/>
      <c r="NYT142" s="21"/>
      <c r="NYU142" s="21"/>
      <c r="NYV142" s="21"/>
      <c r="NYW142" s="21"/>
      <c r="NYX142" s="21"/>
      <c r="NYY142" s="21"/>
      <c r="NYZ142" s="21"/>
      <c r="NZA142" s="21"/>
      <c r="NZB142" s="21"/>
      <c r="NZC142" s="21"/>
      <c r="NZD142" s="21"/>
      <c r="NZE142" s="21"/>
      <c r="NZF142" s="21"/>
      <c r="NZG142" s="21"/>
      <c r="NZH142" s="21"/>
      <c r="NZI142" s="21"/>
      <c r="NZJ142" s="21"/>
      <c r="NZK142" s="21"/>
      <c r="NZL142" s="21"/>
      <c r="NZM142" s="21"/>
      <c r="NZN142" s="21"/>
      <c r="NZO142" s="21"/>
      <c r="NZP142" s="21"/>
      <c r="NZQ142" s="21"/>
      <c r="NZR142" s="21"/>
      <c r="NZS142" s="21"/>
      <c r="NZT142" s="21"/>
      <c r="NZU142" s="21"/>
      <c r="NZV142" s="21"/>
      <c r="NZW142" s="21"/>
      <c r="NZX142" s="21"/>
      <c r="NZY142" s="21"/>
      <c r="NZZ142" s="21"/>
      <c r="OAA142" s="21"/>
      <c r="OAB142" s="21"/>
      <c r="OAC142" s="21"/>
      <c r="OAD142" s="21"/>
      <c r="OAE142" s="21"/>
      <c r="OAF142" s="21"/>
      <c r="OAG142" s="21"/>
      <c r="OAH142" s="21"/>
      <c r="OAI142" s="21"/>
      <c r="OAJ142" s="21"/>
      <c r="OAK142" s="21"/>
      <c r="OAL142" s="21"/>
      <c r="OAM142" s="21"/>
      <c r="OAN142" s="21"/>
      <c r="OAO142" s="21"/>
      <c r="OAP142" s="21"/>
      <c r="OAQ142" s="21"/>
      <c r="OAR142" s="21"/>
      <c r="OAS142" s="21"/>
      <c r="OAT142" s="21"/>
      <c r="OAU142" s="21"/>
      <c r="OAV142" s="21"/>
      <c r="OAW142" s="21"/>
      <c r="OAX142" s="21"/>
      <c r="OAY142" s="21"/>
      <c r="OAZ142" s="21"/>
      <c r="OBA142" s="21"/>
      <c r="OBB142" s="21"/>
      <c r="OBC142" s="21"/>
      <c r="OBD142" s="21"/>
      <c r="OBE142" s="21"/>
      <c r="OBF142" s="21"/>
      <c r="OBG142" s="21"/>
      <c r="OBH142" s="21"/>
      <c r="OBI142" s="21"/>
      <c r="OBJ142" s="21"/>
      <c r="OBK142" s="21"/>
      <c r="OBL142" s="21"/>
      <c r="OBM142" s="21"/>
      <c r="OBN142" s="21"/>
      <c r="OBO142" s="21"/>
      <c r="OBP142" s="21"/>
      <c r="OBQ142" s="21"/>
      <c r="OBR142" s="21"/>
      <c r="OBS142" s="21"/>
      <c r="OBT142" s="21"/>
      <c r="OBU142" s="21"/>
      <c r="OBV142" s="21"/>
      <c r="OBW142" s="21"/>
      <c r="OBX142" s="21"/>
      <c r="OBY142" s="21"/>
      <c r="OBZ142" s="21"/>
      <c r="OCA142" s="21"/>
      <c r="OCB142" s="21"/>
      <c r="OCC142" s="21"/>
      <c r="OCD142" s="21"/>
      <c r="OCE142" s="21"/>
      <c r="OCF142" s="21"/>
      <c r="OCG142" s="21"/>
      <c r="OCH142" s="21"/>
      <c r="OCI142" s="21"/>
      <c r="OCJ142" s="21"/>
      <c r="OCK142" s="21"/>
      <c r="OCL142" s="21"/>
      <c r="OCM142" s="21"/>
      <c r="OCN142" s="21"/>
      <c r="OCO142" s="21"/>
      <c r="OCP142" s="21"/>
      <c r="OCQ142" s="21"/>
      <c r="OCR142" s="21"/>
      <c r="OCS142" s="21"/>
      <c r="OCT142" s="21"/>
      <c r="OCU142" s="21"/>
      <c r="OCV142" s="21"/>
      <c r="OCW142" s="21"/>
      <c r="OCX142" s="21"/>
      <c r="OCY142" s="21"/>
      <c r="OCZ142" s="21"/>
      <c r="ODA142" s="21"/>
      <c r="ODB142" s="21"/>
      <c r="ODC142" s="21"/>
      <c r="ODD142" s="21"/>
      <c r="ODE142" s="21"/>
      <c r="ODF142" s="21"/>
      <c r="ODG142" s="21"/>
      <c r="ODH142" s="21"/>
      <c r="ODI142" s="21"/>
      <c r="ODJ142" s="21"/>
      <c r="ODK142" s="21"/>
      <c r="ODL142" s="21"/>
      <c r="ODM142" s="21"/>
      <c r="ODN142" s="21"/>
      <c r="ODO142" s="21"/>
      <c r="ODP142" s="21"/>
      <c r="ODQ142" s="21"/>
      <c r="ODR142" s="21"/>
      <c r="ODS142" s="21"/>
      <c r="ODT142" s="21"/>
      <c r="ODU142" s="21"/>
      <c r="ODV142" s="21"/>
      <c r="ODW142" s="21"/>
      <c r="ODX142" s="21"/>
      <c r="ODY142" s="21"/>
      <c r="ODZ142" s="21"/>
      <c r="OEA142" s="21"/>
      <c r="OEB142" s="21"/>
      <c r="OEC142" s="21"/>
      <c r="OED142" s="21"/>
      <c r="OEE142" s="21"/>
      <c r="OEF142" s="21"/>
      <c r="OEG142" s="21"/>
      <c r="OEH142" s="21"/>
      <c r="OEI142" s="21"/>
      <c r="OEJ142" s="21"/>
      <c r="OEK142" s="21"/>
      <c r="OEL142" s="21"/>
      <c r="OEM142" s="21"/>
      <c r="OEN142" s="21"/>
      <c r="OEO142" s="21"/>
      <c r="OEP142" s="21"/>
      <c r="OEQ142" s="21"/>
      <c r="OER142" s="21"/>
      <c r="OES142" s="21"/>
      <c r="OET142" s="21"/>
      <c r="OEU142" s="21"/>
      <c r="OEV142" s="21"/>
      <c r="OEW142" s="21"/>
      <c r="OEX142" s="21"/>
      <c r="OEY142" s="21"/>
      <c r="OEZ142" s="21"/>
      <c r="OFA142" s="21"/>
      <c r="OFB142" s="21"/>
      <c r="OFC142" s="21"/>
      <c r="OFD142" s="21"/>
      <c r="OFE142" s="21"/>
      <c r="OFF142" s="21"/>
      <c r="OFG142" s="21"/>
      <c r="OFH142" s="21"/>
      <c r="OFI142" s="21"/>
      <c r="OFJ142" s="21"/>
      <c r="OFK142" s="21"/>
      <c r="OFL142" s="21"/>
      <c r="OFM142" s="21"/>
      <c r="OFN142" s="21"/>
      <c r="OFO142" s="21"/>
      <c r="OFP142" s="21"/>
      <c r="OFQ142" s="21"/>
      <c r="OFR142" s="21"/>
      <c r="OFS142" s="21"/>
      <c r="OFT142" s="21"/>
      <c r="OFU142" s="21"/>
      <c r="OFV142" s="21"/>
      <c r="OFW142" s="21"/>
      <c r="OFX142" s="21"/>
      <c r="OFY142" s="21"/>
      <c r="OFZ142" s="21"/>
      <c r="OGA142" s="21"/>
      <c r="OGB142" s="21"/>
      <c r="OGC142" s="21"/>
      <c r="OGD142" s="21"/>
      <c r="OGE142" s="21"/>
      <c r="OGF142" s="21"/>
      <c r="OGG142" s="21"/>
      <c r="OGH142" s="21"/>
      <c r="OGI142" s="21"/>
      <c r="OGJ142" s="21"/>
      <c r="OGK142" s="21"/>
      <c r="OGL142" s="21"/>
      <c r="OGM142" s="21"/>
      <c r="OGN142" s="21"/>
      <c r="OGO142" s="21"/>
      <c r="OGP142" s="21"/>
      <c r="OGQ142" s="21"/>
      <c r="OGR142" s="21"/>
      <c r="OGS142" s="21"/>
      <c r="OGT142" s="21"/>
      <c r="OGU142" s="21"/>
      <c r="OGV142" s="21"/>
      <c r="OGW142" s="21"/>
      <c r="OGX142" s="21"/>
      <c r="OGY142" s="21"/>
      <c r="OGZ142" s="21"/>
      <c r="OHA142" s="21"/>
      <c r="OHB142" s="21"/>
      <c r="OHC142" s="21"/>
      <c r="OHD142" s="21"/>
      <c r="OHE142" s="21"/>
      <c r="OHF142" s="21"/>
      <c r="OHG142" s="21"/>
      <c r="OHH142" s="21"/>
      <c r="OHI142" s="21"/>
      <c r="OHJ142" s="21"/>
      <c r="OHK142" s="21"/>
      <c r="OHL142" s="21"/>
      <c r="OHM142" s="21"/>
      <c r="OHN142" s="21"/>
      <c r="OHO142" s="21"/>
      <c r="OHP142" s="21"/>
      <c r="OHQ142" s="21"/>
      <c r="OHR142" s="21"/>
      <c r="OHS142" s="21"/>
      <c r="OHT142" s="21"/>
      <c r="OHU142" s="21"/>
      <c r="OHV142" s="21"/>
      <c r="OHW142" s="21"/>
      <c r="OHX142" s="21"/>
      <c r="OHY142" s="21"/>
      <c r="OHZ142" s="21"/>
      <c r="OIA142" s="21"/>
      <c r="OIB142" s="21"/>
      <c r="OIC142" s="21"/>
      <c r="OID142" s="21"/>
      <c r="OIE142" s="21"/>
      <c r="OIF142" s="21"/>
      <c r="OIG142" s="21"/>
      <c r="OIH142" s="21"/>
      <c r="OII142" s="21"/>
      <c r="OIJ142" s="21"/>
      <c r="OIK142" s="21"/>
      <c r="OIL142" s="21"/>
      <c r="OIM142" s="21"/>
      <c r="OIN142" s="21"/>
      <c r="OIO142" s="21"/>
      <c r="OIP142" s="21"/>
      <c r="OIQ142" s="21"/>
      <c r="OIR142" s="21"/>
      <c r="OIS142" s="21"/>
      <c r="OIT142" s="21"/>
      <c r="OIU142" s="21"/>
      <c r="OIV142" s="21"/>
      <c r="OIW142" s="21"/>
      <c r="OIX142" s="21"/>
      <c r="OIY142" s="21"/>
      <c r="OIZ142" s="21"/>
      <c r="OJA142" s="21"/>
      <c r="OJB142" s="21"/>
      <c r="OJC142" s="21"/>
      <c r="OJD142" s="21"/>
      <c r="OJE142" s="21"/>
      <c r="OJF142" s="21"/>
      <c r="OJG142" s="21"/>
      <c r="OJH142" s="21"/>
      <c r="OJI142" s="21"/>
      <c r="OJJ142" s="21"/>
      <c r="OJK142" s="21"/>
      <c r="OJL142" s="21"/>
      <c r="OJM142" s="21"/>
      <c r="OJN142" s="21"/>
      <c r="OJO142" s="21"/>
      <c r="OJP142" s="21"/>
      <c r="OJQ142" s="21"/>
      <c r="OJR142" s="21"/>
      <c r="OJS142" s="21"/>
      <c r="OJT142" s="21"/>
      <c r="OJU142" s="21"/>
      <c r="OJV142" s="21"/>
      <c r="OJW142" s="21"/>
      <c r="OJX142" s="21"/>
      <c r="OJY142" s="21"/>
      <c r="OJZ142" s="21"/>
      <c r="OKA142" s="21"/>
      <c r="OKB142" s="21"/>
      <c r="OKC142" s="21"/>
      <c r="OKD142" s="21"/>
      <c r="OKE142" s="21"/>
      <c r="OKF142" s="21"/>
      <c r="OKG142" s="21"/>
      <c r="OKH142" s="21"/>
      <c r="OKI142" s="21"/>
      <c r="OKJ142" s="21"/>
      <c r="OKK142" s="21"/>
      <c r="OKL142" s="21"/>
      <c r="OKM142" s="21"/>
      <c r="OKN142" s="21"/>
      <c r="OKO142" s="21"/>
      <c r="OKP142" s="21"/>
      <c r="OKQ142" s="21"/>
      <c r="OKR142" s="21"/>
      <c r="OKS142" s="21"/>
      <c r="OKT142" s="21"/>
      <c r="OKU142" s="21"/>
      <c r="OKV142" s="21"/>
      <c r="OKW142" s="21"/>
      <c r="OKX142" s="21"/>
      <c r="OKY142" s="21"/>
      <c r="OKZ142" s="21"/>
      <c r="OLA142" s="21"/>
      <c r="OLB142" s="21"/>
      <c r="OLC142" s="21"/>
      <c r="OLD142" s="21"/>
      <c r="OLE142" s="21"/>
      <c r="OLF142" s="21"/>
      <c r="OLG142" s="21"/>
      <c r="OLH142" s="21"/>
      <c r="OLI142" s="21"/>
      <c r="OLJ142" s="21"/>
      <c r="OLK142" s="21"/>
      <c r="OLL142" s="21"/>
      <c r="OLM142" s="21"/>
      <c r="OLN142" s="21"/>
      <c r="OLO142" s="21"/>
      <c r="OLP142" s="21"/>
      <c r="OLQ142" s="21"/>
      <c r="OLR142" s="21"/>
      <c r="OLS142" s="21"/>
      <c r="OLT142" s="21"/>
      <c r="OLU142" s="21"/>
      <c r="OLV142" s="21"/>
      <c r="OLW142" s="21"/>
      <c r="OLX142" s="21"/>
      <c r="OLY142" s="21"/>
      <c r="OLZ142" s="21"/>
      <c r="OMA142" s="21"/>
      <c r="OMB142" s="21"/>
      <c r="OMC142" s="21"/>
      <c r="OMD142" s="21"/>
      <c r="OME142" s="21"/>
      <c r="OMF142" s="21"/>
      <c r="OMG142" s="21"/>
      <c r="OMH142" s="21"/>
      <c r="OMI142" s="21"/>
      <c r="OMJ142" s="21"/>
      <c r="OMK142" s="21"/>
      <c r="OML142" s="21"/>
      <c r="OMM142" s="21"/>
      <c r="OMN142" s="21"/>
      <c r="OMO142" s="21"/>
      <c r="OMP142" s="21"/>
      <c r="OMQ142" s="21"/>
      <c r="OMR142" s="21"/>
      <c r="OMS142" s="21"/>
      <c r="OMT142" s="21"/>
      <c r="OMU142" s="21"/>
      <c r="OMV142" s="21"/>
      <c r="OMW142" s="21"/>
      <c r="OMX142" s="21"/>
      <c r="OMY142" s="21"/>
      <c r="OMZ142" s="21"/>
      <c r="ONA142" s="21"/>
      <c r="ONB142" s="21"/>
      <c r="ONC142" s="21"/>
      <c r="OND142" s="21"/>
      <c r="ONE142" s="21"/>
      <c r="ONF142" s="21"/>
      <c r="ONG142" s="21"/>
      <c r="ONH142" s="21"/>
      <c r="ONI142" s="21"/>
      <c r="ONJ142" s="21"/>
      <c r="ONK142" s="21"/>
      <c r="ONL142" s="21"/>
      <c r="ONM142" s="21"/>
      <c r="ONN142" s="21"/>
      <c r="ONO142" s="21"/>
      <c r="ONP142" s="21"/>
      <c r="ONQ142" s="21"/>
      <c r="ONR142" s="21"/>
      <c r="ONS142" s="21"/>
      <c r="ONT142" s="21"/>
      <c r="ONU142" s="21"/>
      <c r="ONV142" s="21"/>
      <c r="ONW142" s="21"/>
      <c r="ONX142" s="21"/>
      <c r="ONY142" s="21"/>
      <c r="ONZ142" s="21"/>
      <c r="OOA142" s="21"/>
      <c r="OOB142" s="21"/>
      <c r="OOC142" s="21"/>
      <c r="OOD142" s="21"/>
      <c r="OOE142" s="21"/>
      <c r="OOF142" s="21"/>
      <c r="OOG142" s="21"/>
      <c r="OOH142" s="21"/>
      <c r="OOI142" s="21"/>
      <c r="OOJ142" s="21"/>
      <c r="OOK142" s="21"/>
      <c r="OOL142" s="21"/>
      <c r="OOM142" s="21"/>
      <c r="OON142" s="21"/>
      <c r="OOO142" s="21"/>
      <c r="OOP142" s="21"/>
      <c r="OOQ142" s="21"/>
      <c r="OOR142" s="21"/>
      <c r="OOS142" s="21"/>
      <c r="OOT142" s="21"/>
      <c r="OOU142" s="21"/>
      <c r="OOV142" s="21"/>
      <c r="OOW142" s="21"/>
      <c r="OOX142" s="21"/>
      <c r="OOY142" s="21"/>
      <c r="OOZ142" s="21"/>
      <c r="OPA142" s="21"/>
      <c r="OPB142" s="21"/>
      <c r="OPC142" s="21"/>
      <c r="OPD142" s="21"/>
      <c r="OPE142" s="21"/>
      <c r="OPF142" s="21"/>
      <c r="OPG142" s="21"/>
      <c r="OPH142" s="21"/>
      <c r="OPI142" s="21"/>
      <c r="OPJ142" s="21"/>
      <c r="OPK142" s="21"/>
      <c r="OPL142" s="21"/>
      <c r="OPM142" s="21"/>
      <c r="OPN142" s="21"/>
      <c r="OPO142" s="21"/>
      <c r="OPP142" s="21"/>
      <c r="OPQ142" s="21"/>
      <c r="OPR142" s="21"/>
      <c r="OPS142" s="21"/>
      <c r="OPT142" s="21"/>
      <c r="OPU142" s="21"/>
      <c r="OPV142" s="21"/>
      <c r="OPW142" s="21"/>
      <c r="OPX142" s="21"/>
      <c r="OPY142" s="21"/>
      <c r="OPZ142" s="21"/>
      <c r="OQA142" s="21"/>
      <c r="OQB142" s="21"/>
      <c r="OQC142" s="21"/>
      <c r="OQD142" s="21"/>
      <c r="OQE142" s="21"/>
      <c r="OQF142" s="21"/>
      <c r="OQG142" s="21"/>
      <c r="OQH142" s="21"/>
      <c r="OQI142" s="21"/>
      <c r="OQJ142" s="21"/>
      <c r="OQK142" s="21"/>
      <c r="OQL142" s="21"/>
      <c r="OQM142" s="21"/>
      <c r="OQN142" s="21"/>
      <c r="OQO142" s="21"/>
      <c r="OQP142" s="21"/>
      <c r="OQQ142" s="21"/>
      <c r="OQR142" s="21"/>
      <c r="OQS142" s="21"/>
      <c r="OQT142" s="21"/>
      <c r="OQU142" s="21"/>
      <c r="OQV142" s="21"/>
      <c r="OQW142" s="21"/>
      <c r="OQX142" s="21"/>
      <c r="OQY142" s="21"/>
      <c r="OQZ142" s="21"/>
      <c r="ORA142" s="21"/>
      <c r="ORB142" s="21"/>
      <c r="ORC142" s="21"/>
      <c r="ORD142" s="21"/>
      <c r="ORE142" s="21"/>
      <c r="ORF142" s="21"/>
      <c r="ORG142" s="21"/>
      <c r="ORH142" s="21"/>
      <c r="ORI142" s="21"/>
      <c r="ORJ142" s="21"/>
      <c r="ORK142" s="21"/>
      <c r="ORL142" s="21"/>
      <c r="ORM142" s="21"/>
      <c r="ORN142" s="21"/>
      <c r="ORO142" s="21"/>
      <c r="ORP142" s="21"/>
      <c r="ORQ142" s="21"/>
      <c r="ORR142" s="21"/>
      <c r="ORS142" s="21"/>
      <c r="ORT142" s="21"/>
      <c r="ORU142" s="21"/>
      <c r="ORV142" s="21"/>
      <c r="ORW142" s="21"/>
      <c r="ORX142" s="21"/>
      <c r="ORY142" s="21"/>
      <c r="ORZ142" s="21"/>
      <c r="OSA142" s="21"/>
      <c r="OSB142" s="21"/>
      <c r="OSC142" s="21"/>
      <c r="OSD142" s="21"/>
      <c r="OSE142" s="21"/>
      <c r="OSF142" s="21"/>
      <c r="OSG142" s="21"/>
      <c r="OSH142" s="21"/>
      <c r="OSI142" s="21"/>
      <c r="OSJ142" s="21"/>
      <c r="OSK142" s="21"/>
      <c r="OSL142" s="21"/>
      <c r="OSM142" s="21"/>
      <c r="OSN142" s="21"/>
      <c r="OSO142" s="21"/>
      <c r="OSP142" s="21"/>
      <c r="OSQ142" s="21"/>
      <c r="OSR142" s="21"/>
      <c r="OSS142" s="21"/>
      <c r="OST142" s="21"/>
      <c r="OSU142" s="21"/>
      <c r="OSV142" s="21"/>
      <c r="OSW142" s="21"/>
      <c r="OSX142" s="21"/>
      <c r="OSY142" s="21"/>
      <c r="OSZ142" s="21"/>
      <c r="OTA142" s="21"/>
      <c r="OTB142" s="21"/>
      <c r="OTC142" s="21"/>
      <c r="OTD142" s="21"/>
      <c r="OTE142" s="21"/>
      <c r="OTF142" s="21"/>
      <c r="OTG142" s="21"/>
      <c r="OTH142" s="21"/>
      <c r="OTI142" s="21"/>
      <c r="OTJ142" s="21"/>
      <c r="OTK142" s="21"/>
      <c r="OTL142" s="21"/>
      <c r="OTM142" s="21"/>
      <c r="OTN142" s="21"/>
      <c r="OTO142" s="21"/>
      <c r="OTP142" s="21"/>
      <c r="OTQ142" s="21"/>
      <c r="OTR142" s="21"/>
      <c r="OTS142" s="21"/>
      <c r="OTT142" s="21"/>
      <c r="OTU142" s="21"/>
      <c r="OTV142" s="21"/>
      <c r="OTW142" s="21"/>
      <c r="OTX142" s="21"/>
      <c r="OTY142" s="21"/>
      <c r="OTZ142" s="21"/>
      <c r="OUA142" s="21"/>
      <c r="OUB142" s="21"/>
      <c r="OUC142" s="21"/>
      <c r="OUD142" s="21"/>
      <c r="OUE142" s="21"/>
      <c r="OUF142" s="21"/>
      <c r="OUG142" s="21"/>
      <c r="OUH142" s="21"/>
      <c r="OUI142" s="21"/>
      <c r="OUJ142" s="21"/>
      <c r="OUK142" s="21"/>
      <c r="OUL142" s="21"/>
      <c r="OUM142" s="21"/>
      <c r="OUN142" s="21"/>
      <c r="OUO142" s="21"/>
      <c r="OUP142" s="21"/>
      <c r="OUQ142" s="21"/>
      <c r="OUR142" s="21"/>
      <c r="OUS142" s="21"/>
      <c r="OUT142" s="21"/>
      <c r="OUU142" s="21"/>
      <c r="OUV142" s="21"/>
      <c r="OUW142" s="21"/>
      <c r="OUX142" s="21"/>
      <c r="OUY142" s="21"/>
      <c r="OUZ142" s="21"/>
      <c r="OVA142" s="21"/>
      <c r="OVB142" s="21"/>
      <c r="OVC142" s="21"/>
      <c r="OVD142" s="21"/>
      <c r="OVE142" s="21"/>
      <c r="OVF142" s="21"/>
      <c r="OVG142" s="21"/>
      <c r="OVH142" s="21"/>
      <c r="OVI142" s="21"/>
      <c r="OVJ142" s="21"/>
      <c r="OVK142" s="21"/>
      <c r="OVL142" s="21"/>
      <c r="OVM142" s="21"/>
      <c r="OVN142" s="21"/>
      <c r="OVO142" s="21"/>
      <c r="OVP142" s="21"/>
      <c r="OVQ142" s="21"/>
      <c r="OVR142" s="21"/>
      <c r="OVS142" s="21"/>
      <c r="OVT142" s="21"/>
      <c r="OVU142" s="21"/>
      <c r="OVV142" s="21"/>
      <c r="OVW142" s="21"/>
      <c r="OVX142" s="21"/>
      <c r="OVY142" s="21"/>
      <c r="OVZ142" s="21"/>
      <c r="OWA142" s="21"/>
      <c r="OWB142" s="21"/>
      <c r="OWC142" s="21"/>
      <c r="OWD142" s="21"/>
      <c r="OWE142" s="21"/>
      <c r="OWF142" s="21"/>
      <c r="OWG142" s="21"/>
      <c r="OWH142" s="21"/>
      <c r="OWI142" s="21"/>
      <c r="OWJ142" s="21"/>
      <c r="OWK142" s="21"/>
      <c r="OWL142" s="21"/>
      <c r="OWM142" s="21"/>
      <c r="OWN142" s="21"/>
      <c r="OWO142" s="21"/>
      <c r="OWP142" s="21"/>
      <c r="OWQ142" s="21"/>
      <c r="OWR142" s="21"/>
      <c r="OWS142" s="21"/>
      <c r="OWT142" s="21"/>
      <c r="OWU142" s="21"/>
      <c r="OWV142" s="21"/>
      <c r="OWW142" s="21"/>
      <c r="OWX142" s="21"/>
      <c r="OWY142" s="21"/>
      <c r="OWZ142" s="21"/>
      <c r="OXA142" s="21"/>
      <c r="OXB142" s="21"/>
      <c r="OXC142" s="21"/>
      <c r="OXD142" s="21"/>
      <c r="OXE142" s="21"/>
      <c r="OXF142" s="21"/>
      <c r="OXG142" s="21"/>
      <c r="OXH142" s="21"/>
      <c r="OXI142" s="21"/>
      <c r="OXJ142" s="21"/>
      <c r="OXK142" s="21"/>
      <c r="OXL142" s="21"/>
      <c r="OXM142" s="21"/>
      <c r="OXN142" s="21"/>
      <c r="OXO142" s="21"/>
      <c r="OXP142" s="21"/>
      <c r="OXQ142" s="21"/>
      <c r="OXR142" s="21"/>
      <c r="OXS142" s="21"/>
      <c r="OXT142" s="21"/>
      <c r="OXU142" s="21"/>
      <c r="OXV142" s="21"/>
      <c r="OXW142" s="21"/>
      <c r="OXX142" s="21"/>
      <c r="OXY142" s="21"/>
      <c r="OXZ142" s="21"/>
      <c r="OYA142" s="21"/>
      <c r="OYB142" s="21"/>
      <c r="OYC142" s="21"/>
      <c r="OYD142" s="21"/>
      <c r="OYE142" s="21"/>
      <c r="OYF142" s="21"/>
      <c r="OYG142" s="21"/>
      <c r="OYH142" s="21"/>
      <c r="OYI142" s="21"/>
      <c r="OYJ142" s="21"/>
      <c r="OYK142" s="21"/>
      <c r="OYL142" s="21"/>
      <c r="OYM142" s="21"/>
      <c r="OYN142" s="21"/>
      <c r="OYO142" s="21"/>
      <c r="OYP142" s="21"/>
      <c r="OYQ142" s="21"/>
      <c r="OYR142" s="21"/>
      <c r="OYS142" s="21"/>
      <c r="OYT142" s="21"/>
      <c r="OYU142" s="21"/>
      <c r="OYV142" s="21"/>
      <c r="OYW142" s="21"/>
      <c r="OYX142" s="21"/>
      <c r="OYY142" s="21"/>
      <c r="OYZ142" s="21"/>
      <c r="OZA142" s="21"/>
      <c r="OZB142" s="21"/>
      <c r="OZC142" s="21"/>
      <c r="OZD142" s="21"/>
      <c r="OZE142" s="21"/>
      <c r="OZF142" s="21"/>
      <c r="OZG142" s="21"/>
      <c r="OZH142" s="21"/>
      <c r="OZI142" s="21"/>
      <c r="OZJ142" s="21"/>
      <c r="OZK142" s="21"/>
      <c r="OZL142" s="21"/>
      <c r="OZM142" s="21"/>
      <c r="OZN142" s="21"/>
      <c r="OZO142" s="21"/>
      <c r="OZP142" s="21"/>
      <c r="OZQ142" s="21"/>
      <c r="OZR142" s="21"/>
      <c r="OZS142" s="21"/>
      <c r="OZT142" s="21"/>
      <c r="OZU142" s="21"/>
      <c r="OZV142" s="21"/>
      <c r="OZW142" s="21"/>
      <c r="OZX142" s="21"/>
      <c r="OZY142" s="21"/>
      <c r="OZZ142" s="21"/>
      <c r="PAA142" s="21"/>
      <c r="PAB142" s="21"/>
      <c r="PAC142" s="21"/>
      <c r="PAD142" s="21"/>
      <c r="PAE142" s="21"/>
      <c r="PAF142" s="21"/>
      <c r="PAG142" s="21"/>
      <c r="PAH142" s="21"/>
      <c r="PAI142" s="21"/>
      <c r="PAJ142" s="21"/>
      <c r="PAK142" s="21"/>
      <c r="PAL142" s="21"/>
      <c r="PAM142" s="21"/>
      <c r="PAN142" s="21"/>
      <c r="PAO142" s="21"/>
      <c r="PAP142" s="21"/>
      <c r="PAQ142" s="21"/>
      <c r="PAR142" s="21"/>
      <c r="PAS142" s="21"/>
      <c r="PAT142" s="21"/>
      <c r="PAU142" s="21"/>
      <c r="PAV142" s="21"/>
      <c r="PAW142" s="21"/>
      <c r="PAX142" s="21"/>
      <c r="PAY142" s="21"/>
      <c r="PAZ142" s="21"/>
      <c r="PBA142" s="21"/>
      <c r="PBB142" s="21"/>
      <c r="PBC142" s="21"/>
      <c r="PBD142" s="21"/>
      <c r="PBE142" s="21"/>
      <c r="PBF142" s="21"/>
      <c r="PBG142" s="21"/>
      <c r="PBH142" s="21"/>
      <c r="PBI142" s="21"/>
      <c r="PBJ142" s="21"/>
      <c r="PBK142" s="21"/>
      <c r="PBL142" s="21"/>
      <c r="PBM142" s="21"/>
      <c r="PBN142" s="21"/>
      <c r="PBO142" s="21"/>
      <c r="PBP142" s="21"/>
      <c r="PBQ142" s="21"/>
      <c r="PBR142" s="21"/>
      <c r="PBS142" s="21"/>
      <c r="PBT142" s="21"/>
      <c r="PBU142" s="21"/>
      <c r="PBV142" s="21"/>
      <c r="PBW142" s="21"/>
      <c r="PBX142" s="21"/>
      <c r="PBY142" s="21"/>
      <c r="PBZ142" s="21"/>
      <c r="PCA142" s="21"/>
      <c r="PCB142" s="21"/>
      <c r="PCC142" s="21"/>
      <c r="PCD142" s="21"/>
      <c r="PCE142" s="21"/>
      <c r="PCF142" s="21"/>
      <c r="PCG142" s="21"/>
      <c r="PCH142" s="21"/>
      <c r="PCI142" s="21"/>
      <c r="PCJ142" s="21"/>
      <c r="PCK142" s="21"/>
      <c r="PCL142" s="21"/>
      <c r="PCM142" s="21"/>
      <c r="PCN142" s="21"/>
      <c r="PCO142" s="21"/>
      <c r="PCP142" s="21"/>
      <c r="PCQ142" s="21"/>
      <c r="PCR142" s="21"/>
      <c r="PCS142" s="21"/>
      <c r="PCT142" s="21"/>
      <c r="PCU142" s="21"/>
      <c r="PCV142" s="21"/>
      <c r="PCW142" s="21"/>
      <c r="PCX142" s="21"/>
      <c r="PCY142" s="21"/>
      <c r="PCZ142" s="21"/>
      <c r="PDA142" s="21"/>
      <c r="PDB142" s="21"/>
      <c r="PDC142" s="21"/>
      <c r="PDD142" s="21"/>
      <c r="PDE142" s="21"/>
      <c r="PDF142" s="21"/>
      <c r="PDG142" s="21"/>
      <c r="PDH142" s="21"/>
      <c r="PDI142" s="21"/>
      <c r="PDJ142" s="21"/>
      <c r="PDK142" s="21"/>
      <c r="PDL142" s="21"/>
      <c r="PDM142" s="21"/>
      <c r="PDN142" s="21"/>
      <c r="PDO142" s="21"/>
      <c r="PDP142" s="21"/>
      <c r="PDQ142" s="21"/>
      <c r="PDR142" s="21"/>
      <c r="PDS142" s="21"/>
      <c r="PDT142" s="21"/>
      <c r="PDU142" s="21"/>
      <c r="PDV142" s="21"/>
      <c r="PDW142" s="21"/>
      <c r="PDX142" s="21"/>
      <c r="PDY142" s="21"/>
      <c r="PDZ142" s="21"/>
      <c r="PEA142" s="21"/>
      <c r="PEB142" s="21"/>
      <c r="PEC142" s="21"/>
      <c r="PED142" s="21"/>
      <c r="PEE142" s="21"/>
      <c r="PEF142" s="21"/>
      <c r="PEG142" s="21"/>
      <c r="PEH142" s="21"/>
      <c r="PEI142" s="21"/>
      <c r="PEJ142" s="21"/>
      <c r="PEK142" s="21"/>
      <c r="PEL142" s="21"/>
      <c r="PEM142" s="21"/>
      <c r="PEN142" s="21"/>
      <c r="PEO142" s="21"/>
      <c r="PEP142" s="21"/>
      <c r="PEQ142" s="21"/>
      <c r="PER142" s="21"/>
      <c r="PES142" s="21"/>
      <c r="PET142" s="21"/>
      <c r="PEU142" s="21"/>
      <c r="PEV142" s="21"/>
      <c r="PEW142" s="21"/>
      <c r="PEX142" s="21"/>
      <c r="PEY142" s="21"/>
      <c r="PEZ142" s="21"/>
      <c r="PFA142" s="21"/>
      <c r="PFB142" s="21"/>
      <c r="PFC142" s="21"/>
      <c r="PFD142" s="21"/>
      <c r="PFE142" s="21"/>
      <c r="PFF142" s="21"/>
      <c r="PFG142" s="21"/>
      <c r="PFH142" s="21"/>
      <c r="PFI142" s="21"/>
      <c r="PFJ142" s="21"/>
      <c r="PFK142" s="21"/>
      <c r="PFL142" s="21"/>
      <c r="PFM142" s="21"/>
      <c r="PFN142" s="21"/>
      <c r="PFO142" s="21"/>
      <c r="PFP142" s="21"/>
      <c r="PFQ142" s="21"/>
      <c r="PFR142" s="21"/>
      <c r="PFS142" s="21"/>
      <c r="PFT142" s="21"/>
      <c r="PFU142" s="21"/>
      <c r="PFV142" s="21"/>
      <c r="PFW142" s="21"/>
      <c r="PFX142" s="21"/>
      <c r="PFY142" s="21"/>
      <c r="PFZ142" s="21"/>
      <c r="PGA142" s="21"/>
      <c r="PGB142" s="21"/>
      <c r="PGC142" s="21"/>
      <c r="PGD142" s="21"/>
      <c r="PGE142" s="21"/>
      <c r="PGF142" s="21"/>
      <c r="PGG142" s="21"/>
      <c r="PGH142" s="21"/>
      <c r="PGI142" s="21"/>
      <c r="PGJ142" s="21"/>
      <c r="PGK142" s="21"/>
      <c r="PGL142" s="21"/>
      <c r="PGM142" s="21"/>
      <c r="PGN142" s="21"/>
      <c r="PGO142" s="21"/>
      <c r="PGP142" s="21"/>
      <c r="PGQ142" s="21"/>
      <c r="PGR142" s="21"/>
      <c r="PGS142" s="21"/>
      <c r="PGT142" s="21"/>
      <c r="PGU142" s="21"/>
      <c r="PGV142" s="21"/>
      <c r="PGW142" s="21"/>
      <c r="PGX142" s="21"/>
      <c r="PGY142" s="21"/>
      <c r="PGZ142" s="21"/>
      <c r="PHA142" s="21"/>
      <c r="PHB142" s="21"/>
      <c r="PHC142" s="21"/>
      <c r="PHD142" s="21"/>
      <c r="PHE142" s="21"/>
      <c r="PHF142" s="21"/>
      <c r="PHG142" s="21"/>
      <c r="PHH142" s="21"/>
      <c r="PHI142" s="21"/>
      <c r="PHJ142" s="21"/>
      <c r="PHK142" s="21"/>
      <c r="PHL142" s="21"/>
      <c r="PHM142" s="21"/>
      <c r="PHN142" s="21"/>
      <c r="PHO142" s="21"/>
      <c r="PHP142" s="21"/>
      <c r="PHQ142" s="21"/>
      <c r="PHR142" s="21"/>
      <c r="PHS142" s="21"/>
      <c r="PHT142" s="21"/>
      <c r="PHU142" s="21"/>
      <c r="PHV142" s="21"/>
      <c r="PHW142" s="21"/>
      <c r="PHX142" s="21"/>
      <c r="PHY142" s="21"/>
      <c r="PHZ142" s="21"/>
      <c r="PIA142" s="21"/>
      <c r="PIB142" s="21"/>
      <c r="PIC142" s="21"/>
      <c r="PID142" s="21"/>
      <c r="PIE142" s="21"/>
      <c r="PIF142" s="21"/>
      <c r="PIG142" s="21"/>
      <c r="PIH142" s="21"/>
      <c r="PII142" s="21"/>
      <c r="PIJ142" s="21"/>
      <c r="PIK142" s="21"/>
      <c r="PIL142" s="21"/>
      <c r="PIM142" s="21"/>
      <c r="PIN142" s="21"/>
      <c r="PIO142" s="21"/>
      <c r="PIP142" s="21"/>
      <c r="PIQ142" s="21"/>
      <c r="PIR142" s="21"/>
      <c r="PIS142" s="21"/>
      <c r="PIT142" s="21"/>
      <c r="PIU142" s="21"/>
      <c r="PIV142" s="21"/>
      <c r="PIW142" s="21"/>
      <c r="PIX142" s="21"/>
      <c r="PIY142" s="21"/>
      <c r="PIZ142" s="21"/>
      <c r="PJA142" s="21"/>
      <c r="PJB142" s="21"/>
      <c r="PJC142" s="21"/>
      <c r="PJD142" s="21"/>
      <c r="PJE142" s="21"/>
      <c r="PJF142" s="21"/>
      <c r="PJG142" s="21"/>
      <c r="PJH142" s="21"/>
      <c r="PJI142" s="21"/>
      <c r="PJJ142" s="21"/>
      <c r="PJK142" s="21"/>
      <c r="PJL142" s="21"/>
      <c r="PJM142" s="21"/>
      <c r="PJN142" s="21"/>
      <c r="PJO142" s="21"/>
      <c r="PJP142" s="21"/>
      <c r="PJQ142" s="21"/>
      <c r="PJR142" s="21"/>
      <c r="PJS142" s="21"/>
      <c r="PJT142" s="21"/>
      <c r="PJU142" s="21"/>
      <c r="PJV142" s="21"/>
      <c r="PJW142" s="21"/>
      <c r="PJX142" s="21"/>
      <c r="PJY142" s="21"/>
      <c r="PJZ142" s="21"/>
      <c r="PKA142" s="21"/>
      <c r="PKB142" s="21"/>
      <c r="PKC142" s="21"/>
      <c r="PKD142" s="21"/>
      <c r="PKE142" s="21"/>
      <c r="PKF142" s="21"/>
      <c r="PKG142" s="21"/>
      <c r="PKH142" s="21"/>
      <c r="PKI142" s="21"/>
      <c r="PKJ142" s="21"/>
      <c r="PKK142" s="21"/>
      <c r="PKL142" s="21"/>
      <c r="PKM142" s="21"/>
      <c r="PKN142" s="21"/>
      <c r="PKO142" s="21"/>
      <c r="PKP142" s="21"/>
      <c r="PKQ142" s="21"/>
      <c r="PKR142" s="21"/>
      <c r="PKS142" s="21"/>
      <c r="PKT142" s="21"/>
      <c r="PKU142" s="21"/>
      <c r="PKV142" s="21"/>
      <c r="PKW142" s="21"/>
      <c r="PKX142" s="21"/>
      <c r="PKY142" s="21"/>
      <c r="PKZ142" s="21"/>
      <c r="PLA142" s="21"/>
      <c r="PLB142" s="21"/>
      <c r="PLC142" s="21"/>
      <c r="PLD142" s="21"/>
      <c r="PLE142" s="21"/>
      <c r="PLF142" s="21"/>
      <c r="PLG142" s="21"/>
      <c r="PLH142" s="21"/>
      <c r="PLI142" s="21"/>
      <c r="PLJ142" s="21"/>
      <c r="PLK142" s="21"/>
      <c r="PLL142" s="21"/>
      <c r="PLM142" s="21"/>
      <c r="PLN142" s="21"/>
      <c r="PLO142" s="21"/>
      <c r="PLP142" s="21"/>
      <c r="PLQ142" s="21"/>
      <c r="PLR142" s="21"/>
      <c r="PLS142" s="21"/>
      <c r="PLT142" s="21"/>
      <c r="PLU142" s="21"/>
      <c r="PLV142" s="21"/>
      <c r="PLW142" s="21"/>
      <c r="PLX142" s="21"/>
      <c r="PLY142" s="21"/>
      <c r="PLZ142" s="21"/>
      <c r="PMA142" s="21"/>
      <c r="PMB142" s="21"/>
      <c r="PMC142" s="21"/>
      <c r="PMD142" s="21"/>
      <c r="PME142" s="21"/>
      <c r="PMF142" s="21"/>
      <c r="PMG142" s="21"/>
      <c r="PMH142" s="21"/>
      <c r="PMI142" s="21"/>
      <c r="PMJ142" s="21"/>
      <c r="PMK142" s="21"/>
      <c r="PML142" s="21"/>
      <c r="PMM142" s="21"/>
      <c r="PMN142" s="21"/>
      <c r="PMO142" s="21"/>
      <c r="PMP142" s="21"/>
      <c r="PMQ142" s="21"/>
      <c r="PMR142" s="21"/>
      <c r="PMS142" s="21"/>
      <c r="PMT142" s="21"/>
      <c r="PMU142" s="21"/>
      <c r="PMV142" s="21"/>
      <c r="PMW142" s="21"/>
      <c r="PMX142" s="21"/>
      <c r="PMY142" s="21"/>
      <c r="PMZ142" s="21"/>
      <c r="PNA142" s="21"/>
      <c r="PNB142" s="21"/>
      <c r="PNC142" s="21"/>
      <c r="PND142" s="21"/>
      <c r="PNE142" s="21"/>
      <c r="PNF142" s="21"/>
      <c r="PNG142" s="21"/>
      <c r="PNH142" s="21"/>
      <c r="PNI142" s="21"/>
      <c r="PNJ142" s="21"/>
      <c r="PNK142" s="21"/>
      <c r="PNL142" s="21"/>
      <c r="PNM142" s="21"/>
      <c r="PNN142" s="21"/>
      <c r="PNO142" s="21"/>
      <c r="PNP142" s="21"/>
      <c r="PNQ142" s="21"/>
      <c r="PNR142" s="21"/>
      <c r="PNS142" s="21"/>
      <c r="PNT142" s="21"/>
      <c r="PNU142" s="21"/>
      <c r="PNV142" s="21"/>
      <c r="PNW142" s="21"/>
      <c r="PNX142" s="21"/>
      <c r="PNY142" s="21"/>
      <c r="PNZ142" s="21"/>
      <c r="POA142" s="21"/>
      <c r="POB142" s="21"/>
      <c r="POC142" s="21"/>
      <c r="POD142" s="21"/>
      <c r="POE142" s="21"/>
      <c r="POF142" s="21"/>
      <c r="POG142" s="21"/>
      <c r="POH142" s="21"/>
      <c r="POI142" s="21"/>
      <c r="POJ142" s="21"/>
      <c r="POK142" s="21"/>
      <c r="POL142" s="21"/>
      <c r="POM142" s="21"/>
      <c r="PON142" s="21"/>
      <c r="POO142" s="21"/>
      <c r="POP142" s="21"/>
      <c r="POQ142" s="21"/>
      <c r="POR142" s="21"/>
      <c r="POS142" s="21"/>
      <c r="POT142" s="21"/>
      <c r="POU142" s="21"/>
      <c r="POV142" s="21"/>
      <c r="POW142" s="21"/>
      <c r="POX142" s="21"/>
      <c r="POY142" s="21"/>
      <c r="POZ142" s="21"/>
      <c r="PPA142" s="21"/>
      <c r="PPB142" s="21"/>
      <c r="PPC142" s="21"/>
      <c r="PPD142" s="21"/>
      <c r="PPE142" s="21"/>
      <c r="PPF142" s="21"/>
      <c r="PPG142" s="21"/>
      <c r="PPH142" s="21"/>
      <c r="PPI142" s="21"/>
      <c r="PPJ142" s="21"/>
      <c r="PPK142" s="21"/>
      <c r="PPL142" s="21"/>
      <c r="PPM142" s="21"/>
      <c r="PPN142" s="21"/>
      <c r="PPO142" s="21"/>
      <c r="PPP142" s="21"/>
      <c r="PPQ142" s="21"/>
      <c r="PPR142" s="21"/>
      <c r="PPS142" s="21"/>
      <c r="PPT142" s="21"/>
      <c r="PPU142" s="21"/>
      <c r="PPV142" s="21"/>
      <c r="PPW142" s="21"/>
      <c r="PPX142" s="21"/>
      <c r="PPY142" s="21"/>
      <c r="PPZ142" s="21"/>
      <c r="PQA142" s="21"/>
      <c r="PQB142" s="21"/>
      <c r="PQC142" s="21"/>
      <c r="PQD142" s="21"/>
      <c r="PQE142" s="21"/>
      <c r="PQF142" s="21"/>
      <c r="PQG142" s="21"/>
      <c r="PQH142" s="21"/>
      <c r="PQI142" s="21"/>
      <c r="PQJ142" s="21"/>
      <c r="PQK142" s="21"/>
      <c r="PQL142" s="21"/>
      <c r="PQM142" s="21"/>
      <c r="PQN142" s="21"/>
      <c r="PQO142" s="21"/>
      <c r="PQP142" s="21"/>
      <c r="PQQ142" s="21"/>
      <c r="PQR142" s="21"/>
      <c r="PQS142" s="21"/>
      <c r="PQT142" s="21"/>
      <c r="PQU142" s="21"/>
      <c r="PQV142" s="21"/>
      <c r="PQW142" s="21"/>
      <c r="PQX142" s="21"/>
      <c r="PQY142" s="21"/>
      <c r="PQZ142" s="21"/>
      <c r="PRA142" s="21"/>
      <c r="PRB142" s="21"/>
      <c r="PRC142" s="21"/>
      <c r="PRD142" s="21"/>
      <c r="PRE142" s="21"/>
      <c r="PRF142" s="21"/>
      <c r="PRG142" s="21"/>
      <c r="PRH142" s="21"/>
      <c r="PRI142" s="21"/>
      <c r="PRJ142" s="21"/>
      <c r="PRK142" s="21"/>
      <c r="PRL142" s="21"/>
      <c r="PRM142" s="21"/>
      <c r="PRN142" s="21"/>
      <c r="PRO142" s="21"/>
      <c r="PRP142" s="21"/>
      <c r="PRQ142" s="21"/>
      <c r="PRR142" s="21"/>
      <c r="PRS142" s="21"/>
      <c r="PRT142" s="21"/>
      <c r="PRU142" s="21"/>
      <c r="PRV142" s="21"/>
      <c r="PRW142" s="21"/>
      <c r="PRX142" s="21"/>
      <c r="PRY142" s="21"/>
      <c r="PRZ142" s="21"/>
      <c r="PSA142" s="21"/>
      <c r="PSB142" s="21"/>
      <c r="PSC142" s="21"/>
      <c r="PSD142" s="21"/>
      <c r="PSE142" s="21"/>
      <c r="PSF142" s="21"/>
      <c r="PSG142" s="21"/>
      <c r="PSH142" s="21"/>
      <c r="PSI142" s="21"/>
      <c r="PSJ142" s="21"/>
      <c r="PSK142" s="21"/>
      <c r="PSL142" s="21"/>
      <c r="PSM142" s="21"/>
      <c r="PSN142" s="21"/>
      <c r="PSO142" s="21"/>
      <c r="PSP142" s="21"/>
      <c r="PSQ142" s="21"/>
      <c r="PSR142" s="21"/>
      <c r="PSS142" s="21"/>
      <c r="PST142" s="21"/>
      <c r="PSU142" s="21"/>
      <c r="PSV142" s="21"/>
      <c r="PSW142" s="21"/>
      <c r="PSX142" s="21"/>
      <c r="PSY142" s="21"/>
      <c r="PSZ142" s="21"/>
      <c r="PTA142" s="21"/>
      <c r="PTB142" s="21"/>
      <c r="PTC142" s="21"/>
      <c r="PTD142" s="21"/>
      <c r="PTE142" s="21"/>
      <c r="PTF142" s="21"/>
      <c r="PTG142" s="21"/>
      <c r="PTH142" s="21"/>
      <c r="PTI142" s="21"/>
      <c r="PTJ142" s="21"/>
      <c r="PTK142" s="21"/>
      <c r="PTL142" s="21"/>
      <c r="PTM142" s="21"/>
      <c r="PTN142" s="21"/>
      <c r="PTO142" s="21"/>
      <c r="PTP142" s="21"/>
      <c r="PTQ142" s="21"/>
      <c r="PTR142" s="21"/>
      <c r="PTS142" s="21"/>
      <c r="PTT142" s="21"/>
      <c r="PTU142" s="21"/>
      <c r="PTV142" s="21"/>
      <c r="PTW142" s="21"/>
      <c r="PTX142" s="21"/>
      <c r="PTY142" s="21"/>
      <c r="PTZ142" s="21"/>
      <c r="PUA142" s="21"/>
      <c r="PUB142" s="21"/>
      <c r="PUC142" s="21"/>
      <c r="PUD142" s="21"/>
      <c r="PUE142" s="21"/>
      <c r="PUF142" s="21"/>
      <c r="PUG142" s="21"/>
      <c r="PUH142" s="21"/>
      <c r="PUI142" s="21"/>
      <c r="PUJ142" s="21"/>
      <c r="PUK142" s="21"/>
      <c r="PUL142" s="21"/>
      <c r="PUM142" s="21"/>
      <c r="PUN142" s="21"/>
      <c r="PUO142" s="21"/>
      <c r="PUP142" s="21"/>
      <c r="PUQ142" s="21"/>
      <c r="PUR142" s="21"/>
      <c r="PUS142" s="21"/>
      <c r="PUT142" s="21"/>
      <c r="PUU142" s="21"/>
      <c r="PUV142" s="21"/>
      <c r="PUW142" s="21"/>
      <c r="PUX142" s="21"/>
      <c r="PUY142" s="21"/>
      <c r="PUZ142" s="21"/>
      <c r="PVA142" s="21"/>
      <c r="PVB142" s="21"/>
      <c r="PVC142" s="21"/>
      <c r="PVD142" s="21"/>
      <c r="PVE142" s="21"/>
      <c r="PVF142" s="21"/>
      <c r="PVG142" s="21"/>
      <c r="PVH142" s="21"/>
      <c r="PVI142" s="21"/>
      <c r="PVJ142" s="21"/>
      <c r="PVK142" s="21"/>
      <c r="PVL142" s="21"/>
      <c r="PVM142" s="21"/>
      <c r="PVN142" s="21"/>
      <c r="PVO142" s="21"/>
      <c r="PVP142" s="21"/>
      <c r="PVQ142" s="21"/>
      <c r="PVR142" s="21"/>
      <c r="PVS142" s="21"/>
      <c r="PVT142" s="21"/>
      <c r="PVU142" s="21"/>
      <c r="PVV142" s="21"/>
      <c r="PVW142" s="21"/>
      <c r="PVX142" s="21"/>
      <c r="PVY142" s="21"/>
      <c r="PVZ142" s="21"/>
      <c r="PWA142" s="21"/>
      <c r="PWB142" s="21"/>
      <c r="PWC142" s="21"/>
      <c r="PWD142" s="21"/>
      <c r="PWE142" s="21"/>
      <c r="PWF142" s="21"/>
      <c r="PWG142" s="21"/>
      <c r="PWH142" s="21"/>
      <c r="PWI142" s="21"/>
      <c r="PWJ142" s="21"/>
      <c r="PWK142" s="21"/>
      <c r="PWL142" s="21"/>
      <c r="PWM142" s="21"/>
      <c r="PWN142" s="21"/>
      <c r="PWO142" s="21"/>
      <c r="PWP142" s="21"/>
      <c r="PWQ142" s="21"/>
      <c r="PWR142" s="21"/>
      <c r="PWS142" s="21"/>
      <c r="PWT142" s="21"/>
      <c r="PWU142" s="21"/>
      <c r="PWV142" s="21"/>
      <c r="PWW142" s="21"/>
      <c r="PWX142" s="21"/>
      <c r="PWY142" s="21"/>
      <c r="PWZ142" s="21"/>
      <c r="PXA142" s="21"/>
      <c r="PXB142" s="21"/>
      <c r="PXC142" s="21"/>
      <c r="PXD142" s="21"/>
      <c r="PXE142" s="21"/>
      <c r="PXF142" s="21"/>
      <c r="PXG142" s="21"/>
      <c r="PXH142" s="21"/>
      <c r="PXI142" s="21"/>
      <c r="PXJ142" s="21"/>
      <c r="PXK142" s="21"/>
      <c r="PXL142" s="21"/>
      <c r="PXM142" s="21"/>
      <c r="PXN142" s="21"/>
      <c r="PXO142" s="21"/>
      <c r="PXP142" s="21"/>
      <c r="PXQ142" s="21"/>
      <c r="PXR142" s="21"/>
      <c r="PXS142" s="21"/>
      <c r="PXT142" s="21"/>
      <c r="PXU142" s="21"/>
      <c r="PXV142" s="21"/>
      <c r="PXW142" s="21"/>
      <c r="PXX142" s="21"/>
      <c r="PXY142" s="21"/>
      <c r="PXZ142" s="21"/>
      <c r="PYA142" s="21"/>
      <c r="PYB142" s="21"/>
      <c r="PYC142" s="21"/>
      <c r="PYD142" s="21"/>
      <c r="PYE142" s="21"/>
      <c r="PYF142" s="21"/>
      <c r="PYG142" s="21"/>
      <c r="PYH142" s="21"/>
      <c r="PYI142" s="21"/>
      <c r="PYJ142" s="21"/>
      <c r="PYK142" s="21"/>
      <c r="PYL142" s="21"/>
      <c r="PYM142" s="21"/>
      <c r="PYN142" s="21"/>
      <c r="PYO142" s="21"/>
      <c r="PYP142" s="21"/>
      <c r="PYQ142" s="21"/>
      <c r="PYR142" s="21"/>
      <c r="PYS142" s="21"/>
      <c r="PYT142" s="21"/>
      <c r="PYU142" s="21"/>
      <c r="PYV142" s="21"/>
      <c r="PYW142" s="21"/>
      <c r="PYX142" s="21"/>
      <c r="PYY142" s="21"/>
      <c r="PYZ142" s="21"/>
      <c r="PZA142" s="21"/>
      <c r="PZB142" s="21"/>
      <c r="PZC142" s="21"/>
      <c r="PZD142" s="21"/>
      <c r="PZE142" s="21"/>
      <c r="PZF142" s="21"/>
      <c r="PZG142" s="21"/>
      <c r="PZH142" s="21"/>
      <c r="PZI142" s="21"/>
      <c r="PZJ142" s="21"/>
      <c r="PZK142" s="21"/>
      <c r="PZL142" s="21"/>
      <c r="PZM142" s="21"/>
      <c r="PZN142" s="21"/>
      <c r="PZO142" s="21"/>
      <c r="PZP142" s="21"/>
      <c r="PZQ142" s="21"/>
      <c r="PZR142" s="21"/>
      <c r="PZS142" s="21"/>
      <c r="PZT142" s="21"/>
      <c r="PZU142" s="21"/>
      <c r="PZV142" s="21"/>
      <c r="PZW142" s="21"/>
      <c r="PZX142" s="21"/>
      <c r="PZY142" s="21"/>
      <c r="PZZ142" s="21"/>
      <c r="QAA142" s="21"/>
      <c r="QAB142" s="21"/>
      <c r="QAC142" s="21"/>
      <c r="QAD142" s="21"/>
      <c r="QAE142" s="21"/>
      <c r="QAF142" s="21"/>
      <c r="QAG142" s="21"/>
      <c r="QAH142" s="21"/>
      <c r="QAI142" s="21"/>
      <c r="QAJ142" s="21"/>
      <c r="QAK142" s="21"/>
      <c r="QAL142" s="21"/>
      <c r="QAM142" s="21"/>
      <c r="QAN142" s="21"/>
      <c r="QAO142" s="21"/>
      <c r="QAP142" s="21"/>
      <c r="QAQ142" s="21"/>
      <c r="QAR142" s="21"/>
      <c r="QAS142" s="21"/>
      <c r="QAT142" s="21"/>
      <c r="QAU142" s="21"/>
      <c r="QAV142" s="21"/>
      <c r="QAW142" s="21"/>
      <c r="QAX142" s="21"/>
      <c r="QAY142" s="21"/>
      <c r="QAZ142" s="21"/>
      <c r="QBA142" s="21"/>
      <c r="QBB142" s="21"/>
      <c r="QBC142" s="21"/>
      <c r="QBD142" s="21"/>
      <c r="QBE142" s="21"/>
      <c r="QBF142" s="21"/>
      <c r="QBG142" s="21"/>
      <c r="QBH142" s="21"/>
      <c r="QBI142" s="21"/>
      <c r="QBJ142" s="21"/>
      <c r="QBK142" s="21"/>
      <c r="QBL142" s="21"/>
      <c r="QBM142" s="21"/>
      <c r="QBN142" s="21"/>
      <c r="QBO142" s="21"/>
      <c r="QBP142" s="21"/>
      <c r="QBQ142" s="21"/>
      <c r="QBR142" s="21"/>
      <c r="QBS142" s="21"/>
      <c r="QBT142" s="21"/>
      <c r="QBU142" s="21"/>
      <c r="QBV142" s="21"/>
      <c r="QBW142" s="21"/>
      <c r="QBX142" s="21"/>
      <c r="QBY142" s="21"/>
      <c r="QBZ142" s="21"/>
      <c r="QCA142" s="21"/>
      <c r="QCB142" s="21"/>
      <c r="QCC142" s="21"/>
      <c r="QCD142" s="21"/>
      <c r="QCE142" s="21"/>
      <c r="QCF142" s="21"/>
      <c r="QCG142" s="21"/>
      <c r="QCH142" s="21"/>
      <c r="QCI142" s="21"/>
      <c r="QCJ142" s="21"/>
      <c r="QCK142" s="21"/>
      <c r="QCL142" s="21"/>
      <c r="QCM142" s="21"/>
      <c r="QCN142" s="21"/>
      <c r="QCO142" s="21"/>
      <c r="QCP142" s="21"/>
      <c r="QCQ142" s="21"/>
      <c r="QCR142" s="21"/>
      <c r="QCS142" s="21"/>
      <c r="QCT142" s="21"/>
      <c r="QCU142" s="21"/>
      <c r="QCV142" s="21"/>
      <c r="QCW142" s="21"/>
      <c r="QCX142" s="21"/>
      <c r="QCY142" s="21"/>
      <c r="QCZ142" s="21"/>
      <c r="QDA142" s="21"/>
      <c r="QDB142" s="21"/>
      <c r="QDC142" s="21"/>
      <c r="QDD142" s="21"/>
      <c r="QDE142" s="21"/>
      <c r="QDF142" s="21"/>
      <c r="QDG142" s="21"/>
      <c r="QDH142" s="21"/>
      <c r="QDI142" s="21"/>
      <c r="QDJ142" s="21"/>
      <c r="QDK142" s="21"/>
      <c r="QDL142" s="21"/>
      <c r="QDM142" s="21"/>
      <c r="QDN142" s="21"/>
      <c r="QDO142" s="21"/>
      <c r="QDP142" s="21"/>
      <c r="QDQ142" s="21"/>
      <c r="QDR142" s="21"/>
      <c r="QDS142" s="21"/>
      <c r="QDT142" s="21"/>
      <c r="QDU142" s="21"/>
      <c r="QDV142" s="21"/>
      <c r="QDW142" s="21"/>
      <c r="QDX142" s="21"/>
      <c r="QDY142" s="21"/>
      <c r="QDZ142" s="21"/>
      <c r="QEA142" s="21"/>
      <c r="QEB142" s="21"/>
      <c r="QEC142" s="21"/>
      <c r="QED142" s="21"/>
      <c r="QEE142" s="21"/>
      <c r="QEF142" s="21"/>
      <c r="QEG142" s="21"/>
      <c r="QEH142" s="21"/>
      <c r="QEI142" s="21"/>
      <c r="QEJ142" s="21"/>
      <c r="QEK142" s="21"/>
      <c r="QEL142" s="21"/>
      <c r="QEM142" s="21"/>
      <c r="QEN142" s="21"/>
      <c r="QEO142" s="21"/>
      <c r="QEP142" s="21"/>
      <c r="QEQ142" s="21"/>
      <c r="QER142" s="21"/>
      <c r="QES142" s="21"/>
      <c r="QET142" s="21"/>
      <c r="QEU142" s="21"/>
      <c r="QEV142" s="21"/>
      <c r="QEW142" s="21"/>
      <c r="QEX142" s="21"/>
      <c r="QEY142" s="21"/>
      <c r="QEZ142" s="21"/>
      <c r="QFA142" s="21"/>
      <c r="QFB142" s="21"/>
      <c r="QFC142" s="21"/>
      <c r="QFD142" s="21"/>
      <c r="QFE142" s="21"/>
      <c r="QFF142" s="21"/>
      <c r="QFG142" s="21"/>
      <c r="QFH142" s="21"/>
      <c r="QFI142" s="21"/>
      <c r="QFJ142" s="21"/>
      <c r="QFK142" s="21"/>
      <c r="QFL142" s="21"/>
      <c r="QFM142" s="21"/>
      <c r="QFN142" s="21"/>
      <c r="QFO142" s="21"/>
      <c r="QFP142" s="21"/>
      <c r="QFQ142" s="21"/>
      <c r="QFR142" s="21"/>
      <c r="QFS142" s="21"/>
      <c r="QFT142" s="21"/>
      <c r="QFU142" s="21"/>
      <c r="QFV142" s="21"/>
      <c r="QFW142" s="21"/>
      <c r="QFX142" s="21"/>
      <c r="QFY142" s="21"/>
      <c r="QFZ142" s="21"/>
      <c r="QGA142" s="21"/>
      <c r="QGB142" s="21"/>
      <c r="QGC142" s="21"/>
      <c r="QGD142" s="21"/>
      <c r="QGE142" s="21"/>
      <c r="QGF142" s="21"/>
      <c r="QGG142" s="21"/>
      <c r="QGH142" s="21"/>
      <c r="QGI142" s="21"/>
      <c r="QGJ142" s="21"/>
      <c r="QGK142" s="21"/>
      <c r="QGL142" s="21"/>
      <c r="QGM142" s="21"/>
      <c r="QGN142" s="21"/>
      <c r="QGO142" s="21"/>
      <c r="QGP142" s="21"/>
      <c r="QGQ142" s="21"/>
      <c r="QGR142" s="21"/>
      <c r="QGS142" s="21"/>
      <c r="QGT142" s="21"/>
      <c r="QGU142" s="21"/>
      <c r="QGV142" s="21"/>
      <c r="QGW142" s="21"/>
      <c r="QGX142" s="21"/>
      <c r="QGY142" s="21"/>
      <c r="QGZ142" s="21"/>
      <c r="QHA142" s="21"/>
      <c r="QHB142" s="21"/>
      <c r="QHC142" s="21"/>
      <c r="QHD142" s="21"/>
      <c r="QHE142" s="21"/>
      <c r="QHF142" s="21"/>
      <c r="QHG142" s="21"/>
      <c r="QHH142" s="21"/>
      <c r="QHI142" s="21"/>
      <c r="QHJ142" s="21"/>
      <c r="QHK142" s="21"/>
      <c r="QHL142" s="21"/>
      <c r="QHM142" s="21"/>
      <c r="QHN142" s="21"/>
      <c r="QHO142" s="21"/>
      <c r="QHP142" s="21"/>
      <c r="QHQ142" s="21"/>
      <c r="QHR142" s="21"/>
      <c r="QHS142" s="21"/>
      <c r="QHT142" s="21"/>
      <c r="QHU142" s="21"/>
      <c r="QHV142" s="21"/>
      <c r="QHW142" s="21"/>
      <c r="QHX142" s="21"/>
      <c r="QHY142" s="21"/>
      <c r="QHZ142" s="21"/>
      <c r="QIA142" s="21"/>
      <c r="QIB142" s="21"/>
      <c r="QIC142" s="21"/>
      <c r="QID142" s="21"/>
      <c r="QIE142" s="21"/>
      <c r="QIF142" s="21"/>
      <c r="QIG142" s="21"/>
      <c r="QIH142" s="21"/>
      <c r="QII142" s="21"/>
      <c r="QIJ142" s="21"/>
      <c r="QIK142" s="21"/>
      <c r="QIL142" s="21"/>
      <c r="QIM142" s="21"/>
      <c r="QIN142" s="21"/>
      <c r="QIO142" s="21"/>
      <c r="QIP142" s="21"/>
      <c r="QIQ142" s="21"/>
      <c r="QIR142" s="21"/>
      <c r="QIS142" s="21"/>
      <c r="QIT142" s="21"/>
      <c r="QIU142" s="21"/>
      <c r="QIV142" s="21"/>
      <c r="QIW142" s="21"/>
      <c r="QIX142" s="21"/>
      <c r="QIY142" s="21"/>
      <c r="QIZ142" s="21"/>
      <c r="QJA142" s="21"/>
      <c r="QJB142" s="21"/>
      <c r="QJC142" s="21"/>
      <c r="QJD142" s="21"/>
      <c r="QJE142" s="21"/>
      <c r="QJF142" s="21"/>
      <c r="QJG142" s="21"/>
      <c r="QJH142" s="21"/>
      <c r="QJI142" s="21"/>
      <c r="QJJ142" s="21"/>
      <c r="QJK142" s="21"/>
      <c r="QJL142" s="21"/>
      <c r="QJM142" s="21"/>
      <c r="QJN142" s="21"/>
      <c r="QJO142" s="21"/>
      <c r="QJP142" s="21"/>
      <c r="QJQ142" s="21"/>
      <c r="QJR142" s="21"/>
      <c r="QJS142" s="21"/>
      <c r="QJT142" s="21"/>
      <c r="QJU142" s="21"/>
      <c r="QJV142" s="21"/>
      <c r="QJW142" s="21"/>
      <c r="QJX142" s="21"/>
      <c r="QJY142" s="21"/>
      <c r="QJZ142" s="21"/>
      <c r="QKA142" s="21"/>
      <c r="QKB142" s="21"/>
      <c r="QKC142" s="21"/>
      <c r="QKD142" s="21"/>
      <c r="QKE142" s="21"/>
      <c r="QKF142" s="21"/>
      <c r="QKG142" s="21"/>
      <c r="QKH142" s="21"/>
      <c r="QKI142" s="21"/>
      <c r="QKJ142" s="21"/>
      <c r="QKK142" s="21"/>
      <c r="QKL142" s="21"/>
      <c r="QKM142" s="21"/>
      <c r="QKN142" s="21"/>
      <c r="QKO142" s="21"/>
      <c r="QKP142" s="21"/>
      <c r="QKQ142" s="21"/>
      <c r="QKR142" s="21"/>
      <c r="QKS142" s="21"/>
      <c r="QKT142" s="21"/>
      <c r="QKU142" s="21"/>
      <c r="QKV142" s="21"/>
      <c r="QKW142" s="21"/>
      <c r="QKX142" s="21"/>
      <c r="QKY142" s="21"/>
      <c r="QKZ142" s="21"/>
      <c r="QLA142" s="21"/>
      <c r="QLB142" s="21"/>
      <c r="QLC142" s="21"/>
      <c r="QLD142" s="21"/>
      <c r="QLE142" s="21"/>
      <c r="QLF142" s="21"/>
      <c r="QLG142" s="21"/>
      <c r="QLH142" s="21"/>
      <c r="QLI142" s="21"/>
      <c r="QLJ142" s="21"/>
      <c r="QLK142" s="21"/>
      <c r="QLL142" s="21"/>
      <c r="QLM142" s="21"/>
      <c r="QLN142" s="21"/>
      <c r="QLO142" s="21"/>
      <c r="QLP142" s="21"/>
      <c r="QLQ142" s="21"/>
      <c r="QLR142" s="21"/>
      <c r="QLS142" s="21"/>
      <c r="QLT142" s="21"/>
      <c r="QLU142" s="21"/>
      <c r="QLV142" s="21"/>
      <c r="QLW142" s="21"/>
      <c r="QLX142" s="21"/>
      <c r="QLY142" s="21"/>
      <c r="QLZ142" s="21"/>
      <c r="QMA142" s="21"/>
      <c r="QMB142" s="21"/>
      <c r="QMC142" s="21"/>
      <c r="QMD142" s="21"/>
      <c r="QME142" s="21"/>
      <c r="QMF142" s="21"/>
      <c r="QMG142" s="21"/>
      <c r="QMH142" s="21"/>
      <c r="QMI142" s="21"/>
      <c r="QMJ142" s="21"/>
      <c r="QMK142" s="21"/>
      <c r="QML142" s="21"/>
      <c r="QMM142" s="21"/>
      <c r="QMN142" s="21"/>
      <c r="QMO142" s="21"/>
      <c r="QMP142" s="21"/>
      <c r="QMQ142" s="21"/>
      <c r="QMR142" s="21"/>
      <c r="QMS142" s="21"/>
      <c r="QMT142" s="21"/>
      <c r="QMU142" s="21"/>
      <c r="QMV142" s="21"/>
      <c r="QMW142" s="21"/>
      <c r="QMX142" s="21"/>
      <c r="QMY142" s="21"/>
      <c r="QMZ142" s="21"/>
      <c r="QNA142" s="21"/>
      <c r="QNB142" s="21"/>
      <c r="QNC142" s="21"/>
      <c r="QND142" s="21"/>
      <c r="QNE142" s="21"/>
      <c r="QNF142" s="21"/>
      <c r="QNG142" s="21"/>
      <c r="QNH142" s="21"/>
      <c r="QNI142" s="21"/>
      <c r="QNJ142" s="21"/>
      <c r="QNK142" s="21"/>
      <c r="QNL142" s="21"/>
      <c r="QNM142" s="21"/>
      <c r="QNN142" s="21"/>
      <c r="QNO142" s="21"/>
      <c r="QNP142" s="21"/>
      <c r="QNQ142" s="21"/>
      <c r="QNR142" s="21"/>
      <c r="QNS142" s="21"/>
      <c r="QNT142" s="21"/>
      <c r="QNU142" s="21"/>
      <c r="QNV142" s="21"/>
      <c r="QNW142" s="21"/>
      <c r="QNX142" s="21"/>
      <c r="QNY142" s="21"/>
      <c r="QNZ142" s="21"/>
      <c r="QOA142" s="21"/>
      <c r="QOB142" s="21"/>
      <c r="QOC142" s="21"/>
      <c r="QOD142" s="21"/>
      <c r="QOE142" s="21"/>
      <c r="QOF142" s="21"/>
      <c r="QOG142" s="21"/>
      <c r="QOH142" s="21"/>
      <c r="QOI142" s="21"/>
      <c r="QOJ142" s="21"/>
      <c r="QOK142" s="21"/>
      <c r="QOL142" s="21"/>
      <c r="QOM142" s="21"/>
      <c r="QON142" s="21"/>
      <c r="QOO142" s="21"/>
      <c r="QOP142" s="21"/>
      <c r="QOQ142" s="21"/>
      <c r="QOR142" s="21"/>
      <c r="QOS142" s="21"/>
      <c r="QOT142" s="21"/>
      <c r="QOU142" s="21"/>
      <c r="QOV142" s="21"/>
      <c r="QOW142" s="21"/>
      <c r="QOX142" s="21"/>
      <c r="QOY142" s="21"/>
      <c r="QOZ142" s="21"/>
      <c r="QPA142" s="21"/>
      <c r="QPB142" s="21"/>
      <c r="QPC142" s="21"/>
      <c r="QPD142" s="21"/>
      <c r="QPE142" s="21"/>
      <c r="QPF142" s="21"/>
      <c r="QPG142" s="21"/>
      <c r="QPH142" s="21"/>
      <c r="QPI142" s="21"/>
      <c r="QPJ142" s="21"/>
      <c r="QPK142" s="21"/>
      <c r="QPL142" s="21"/>
      <c r="QPM142" s="21"/>
      <c r="QPN142" s="21"/>
      <c r="QPO142" s="21"/>
      <c r="QPP142" s="21"/>
      <c r="QPQ142" s="21"/>
      <c r="QPR142" s="21"/>
      <c r="QPS142" s="21"/>
      <c r="QPT142" s="21"/>
      <c r="QPU142" s="21"/>
      <c r="QPV142" s="21"/>
      <c r="QPW142" s="21"/>
      <c r="QPX142" s="21"/>
      <c r="QPY142" s="21"/>
      <c r="QPZ142" s="21"/>
      <c r="QQA142" s="21"/>
      <c r="QQB142" s="21"/>
      <c r="QQC142" s="21"/>
      <c r="QQD142" s="21"/>
      <c r="QQE142" s="21"/>
      <c r="QQF142" s="21"/>
      <c r="QQG142" s="21"/>
      <c r="QQH142" s="21"/>
      <c r="QQI142" s="21"/>
      <c r="QQJ142" s="21"/>
      <c r="QQK142" s="21"/>
      <c r="QQL142" s="21"/>
      <c r="QQM142" s="21"/>
      <c r="QQN142" s="21"/>
      <c r="QQO142" s="21"/>
      <c r="QQP142" s="21"/>
      <c r="QQQ142" s="21"/>
      <c r="QQR142" s="21"/>
      <c r="QQS142" s="21"/>
      <c r="QQT142" s="21"/>
      <c r="QQU142" s="21"/>
      <c r="QQV142" s="21"/>
      <c r="QQW142" s="21"/>
      <c r="QQX142" s="21"/>
      <c r="QQY142" s="21"/>
      <c r="QQZ142" s="21"/>
      <c r="QRA142" s="21"/>
      <c r="QRB142" s="21"/>
      <c r="QRC142" s="21"/>
      <c r="QRD142" s="21"/>
      <c r="QRE142" s="21"/>
      <c r="QRF142" s="21"/>
      <c r="QRG142" s="21"/>
      <c r="QRH142" s="21"/>
      <c r="QRI142" s="21"/>
      <c r="QRJ142" s="21"/>
      <c r="QRK142" s="21"/>
      <c r="QRL142" s="21"/>
      <c r="QRM142" s="21"/>
      <c r="QRN142" s="21"/>
      <c r="QRO142" s="21"/>
      <c r="QRP142" s="21"/>
      <c r="QRQ142" s="21"/>
      <c r="QRR142" s="21"/>
      <c r="QRS142" s="21"/>
      <c r="QRT142" s="21"/>
      <c r="QRU142" s="21"/>
      <c r="QRV142" s="21"/>
      <c r="QRW142" s="21"/>
      <c r="QRX142" s="21"/>
      <c r="QRY142" s="21"/>
      <c r="QRZ142" s="21"/>
      <c r="QSA142" s="21"/>
      <c r="QSB142" s="21"/>
      <c r="QSC142" s="21"/>
      <c r="QSD142" s="21"/>
      <c r="QSE142" s="21"/>
      <c r="QSF142" s="21"/>
      <c r="QSG142" s="21"/>
      <c r="QSH142" s="21"/>
      <c r="QSI142" s="21"/>
      <c r="QSJ142" s="21"/>
      <c r="QSK142" s="21"/>
      <c r="QSL142" s="21"/>
      <c r="QSM142" s="21"/>
      <c r="QSN142" s="21"/>
      <c r="QSO142" s="21"/>
      <c r="QSP142" s="21"/>
      <c r="QSQ142" s="21"/>
      <c r="QSR142" s="21"/>
      <c r="QSS142" s="21"/>
      <c r="QST142" s="21"/>
      <c r="QSU142" s="21"/>
      <c r="QSV142" s="21"/>
      <c r="QSW142" s="21"/>
      <c r="QSX142" s="21"/>
      <c r="QSY142" s="21"/>
      <c r="QSZ142" s="21"/>
      <c r="QTA142" s="21"/>
      <c r="QTB142" s="21"/>
      <c r="QTC142" s="21"/>
      <c r="QTD142" s="21"/>
      <c r="QTE142" s="21"/>
      <c r="QTF142" s="21"/>
      <c r="QTG142" s="21"/>
      <c r="QTH142" s="21"/>
      <c r="QTI142" s="21"/>
      <c r="QTJ142" s="21"/>
      <c r="QTK142" s="21"/>
      <c r="QTL142" s="21"/>
      <c r="QTM142" s="21"/>
      <c r="QTN142" s="21"/>
      <c r="QTO142" s="21"/>
      <c r="QTP142" s="21"/>
      <c r="QTQ142" s="21"/>
      <c r="QTR142" s="21"/>
      <c r="QTS142" s="21"/>
      <c r="QTT142" s="21"/>
      <c r="QTU142" s="21"/>
      <c r="QTV142" s="21"/>
      <c r="QTW142" s="21"/>
      <c r="QTX142" s="21"/>
      <c r="QTY142" s="21"/>
      <c r="QTZ142" s="21"/>
      <c r="QUA142" s="21"/>
      <c r="QUB142" s="21"/>
      <c r="QUC142" s="21"/>
      <c r="QUD142" s="21"/>
      <c r="QUE142" s="21"/>
      <c r="QUF142" s="21"/>
      <c r="QUG142" s="21"/>
      <c r="QUH142" s="21"/>
      <c r="QUI142" s="21"/>
      <c r="QUJ142" s="21"/>
      <c r="QUK142" s="21"/>
      <c r="QUL142" s="21"/>
      <c r="QUM142" s="21"/>
      <c r="QUN142" s="21"/>
      <c r="QUO142" s="21"/>
      <c r="QUP142" s="21"/>
      <c r="QUQ142" s="21"/>
      <c r="QUR142" s="21"/>
      <c r="QUS142" s="21"/>
      <c r="QUT142" s="21"/>
      <c r="QUU142" s="21"/>
      <c r="QUV142" s="21"/>
      <c r="QUW142" s="21"/>
      <c r="QUX142" s="21"/>
      <c r="QUY142" s="21"/>
      <c r="QUZ142" s="21"/>
      <c r="QVA142" s="21"/>
      <c r="QVB142" s="21"/>
      <c r="QVC142" s="21"/>
      <c r="QVD142" s="21"/>
      <c r="QVE142" s="21"/>
      <c r="QVF142" s="21"/>
      <c r="QVG142" s="21"/>
      <c r="QVH142" s="21"/>
      <c r="QVI142" s="21"/>
      <c r="QVJ142" s="21"/>
      <c r="QVK142" s="21"/>
      <c r="QVL142" s="21"/>
      <c r="QVM142" s="21"/>
      <c r="QVN142" s="21"/>
      <c r="QVO142" s="21"/>
      <c r="QVP142" s="21"/>
      <c r="QVQ142" s="21"/>
      <c r="QVR142" s="21"/>
      <c r="QVS142" s="21"/>
      <c r="QVT142" s="21"/>
      <c r="QVU142" s="21"/>
      <c r="QVV142" s="21"/>
      <c r="QVW142" s="21"/>
      <c r="QVX142" s="21"/>
      <c r="QVY142" s="21"/>
      <c r="QVZ142" s="21"/>
      <c r="QWA142" s="21"/>
      <c r="QWB142" s="21"/>
      <c r="QWC142" s="21"/>
      <c r="QWD142" s="21"/>
      <c r="QWE142" s="21"/>
      <c r="QWF142" s="21"/>
      <c r="QWG142" s="21"/>
      <c r="QWH142" s="21"/>
      <c r="QWI142" s="21"/>
      <c r="QWJ142" s="21"/>
      <c r="QWK142" s="21"/>
      <c r="QWL142" s="21"/>
      <c r="QWM142" s="21"/>
      <c r="QWN142" s="21"/>
      <c r="QWO142" s="21"/>
      <c r="QWP142" s="21"/>
      <c r="QWQ142" s="21"/>
      <c r="QWR142" s="21"/>
      <c r="QWS142" s="21"/>
      <c r="QWT142" s="21"/>
      <c r="QWU142" s="21"/>
      <c r="QWV142" s="21"/>
      <c r="QWW142" s="21"/>
      <c r="QWX142" s="21"/>
      <c r="QWY142" s="21"/>
      <c r="QWZ142" s="21"/>
      <c r="QXA142" s="21"/>
      <c r="QXB142" s="21"/>
      <c r="QXC142" s="21"/>
      <c r="QXD142" s="21"/>
      <c r="QXE142" s="21"/>
      <c r="QXF142" s="21"/>
      <c r="QXG142" s="21"/>
      <c r="QXH142" s="21"/>
      <c r="QXI142" s="21"/>
      <c r="QXJ142" s="21"/>
      <c r="QXK142" s="21"/>
      <c r="QXL142" s="21"/>
      <c r="QXM142" s="21"/>
      <c r="QXN142" s="21"/>
      <c r="QXO142" s="21"/>
      <c r="QXP142" s="21"/>
      <c r="QXQ142" s="21"/>
      <c r="QXR142" s="21"/>
      <c r="QXS142" s="21"/>
      <c r="QXT142" s="21"/>
      <c r="QXU142" s="21"/>
      <c r="QXV142" s="21"/>
      <c r="QXW142" s="21"/>
      <c r="QXX142" s="21"/>
      <c r="QXY142" s="21"/>
      <c r="QXZ142" s="21"/>
      <c r="QYA142" s="21"/>
      <c r="QYB142" s="21"/>
      <c r="QYC142" s="21"/>
      <c r="QYD142" s="21"/>
      <c r="QYE142" s="21"/>
      <c r="QYF142" s="21"/>
      <c r="QYG142" s="21"/>
      <c r="QYH142" s="21"/>
      <c r="QYI142" s="21"/>
      <c r="QYJ142" s="21"/>
      <c r="QYK142" s="21"/>
      <c r="QYL142" s="21"/>
      <c r="QYM142" s="21"/>
      <c r="QYN142" s="21"/>
      <c r="QYO142" s="21"/>
      <c r="QYP142" s="21"/>
      <c r="QYQ142" s="21"/>
      <c r="QYR142" s="21"/>
      <c r="QYS142" s="21"/>
      <c r="QYT142" s="21"/>
      <c r="QYU142" s="21"/>
      <c r="QYV142" s="21"/>
      <c r="QYW142" s="21"/>
      <c r="QYX142" s="21"/>
      <c r="QYY142" s="21"/>
      <c r="QYZ142" s="21"/>
      <c r="QZA142" s="21"/>
      <c r="QZB142" s="21"/>
      <c r="QZC142" s="21"/>
      <c r="QZD142" s="21"/>
      <c r="QZE142" s="21"/>
      <c r="QZF142" s="21"/>
      <c r="QZG142" s="21"/>
      <c r="QZH142" s="21"/>
      <c r="QZI142" s="21"/>
      <c r="QZJ142" s="21"/>
      <c r="QZK142" s="21"/>
      <c r="QZL142" s="21"/>
      <c r="QZM142" s="21"/>
      <c r="QZN142" s="21"/>
      <c r="QZO142" s="21"/>
      <c r="QZP142" s="21"/>
      <c r="QZQ142" s="21"/>
      <c r="QZR142" s="21"/>
      <c r="QZS142" s="21"/>
      <c r="QZT142" s="21"/>
      <c r="QZU142" s="21"/>
      <c r="QZV142" s="21"/>
      <c r="QZW142" s="21"/>
      <c r="QZX142" s="21"/>
      <c r="QZY142" s="21"/>
      <c r="QZZ142" s="21"/>
      <c r="RAA142" s="21"/>
      <c r="RAB142" s="21"/>
      <c r="RAC142" s="21"/>
      <c r="RAD142" s="21"/>
      <c r="RAE142" s="21"/>
      <c r="RAF142" s="21"/>
      <c r="RAG142" s="21"/>
      <c r="RAH142" s="21"/>
      <c r="RAI142" s="21"/>
      <c r="RAJ142" s="21"/>
      <c r="RAK142" s="21"/>
      <c r="RAL142" s="21"/>
      <c r="RAM142" s="21"/>
      <c r="RAN142" s="21"/>
      <c r="RAO142" s="21"/>
      <c r="RAP142" s="21"/>
      <c r="RAQ142" s="21"/>
      <c r="RAR142" s="21"/>
      <c r="RAS142" s="21"/>
      <c r="RAT142" s="21"/>
      <c r="RAU142" s="21"/>
      <c r="RAV142" s="21"/>
      <c r="RAW142" s="21"/>
      <c r="RAX142" s="21"/>
      <c r="RAY142" s="21"/>
      <c r="RAZ142" s="21"/>
      <c r="RBA142" s="21"/>
      <c r="RBB142" s="21"/>
      <c r="RBC142" s="21"/>
      <c r="RBD142" s="21"/>
      <c r="RBE142" s="21"/>
      <c r="RBF142" s="21"/>
      <c r="RBG142" s="21"/>
      <c r="RBH142" s="21"/>
      <c r="RBI142" s="21"/>
      <c r="RBJ142" s="21"/>
      <c r="RBK142" s="21"/>
      <c r="RBL142" s="21"/>
      <c r="RBM142" s="21"/>
      <c r="RBN142" s="21"/>
      <c r="RBO142" s="21"/>
      <c r="RBP142" s="21"/>
      <c r="RBQ142" s="21"/>
      <c r="RBR142" s="21"/>
      <c r="RBS142" s="21"/>
      <c r="RBT142" s="21"/>
      <c r="RBU142" s="21"/>
      <c r="RBV142" s="21"/>
      <c r="RBW142" s="21"/>
      <c r="RBX142" s="21"/>
      <c r="RBY142" s="21"/>
      <c r="RBZ142" s="21"/>
      <c r="RCA142" s="21"/>
      <c r="RCB142" s="21"/>
      <c r="RCC142" s="21"/>
      <c r="RCD142" s="21"/>
      <c r="RCE142" s="21"/>
      <c r="RCF142" s="21"/>
      <c r="RCG142" s="21"/>
      <c r="RCH142" s="21"/>
      <c r="RCI142" s="21"/>
      <c r="RCJ142" s="21"/>
      <c r="RCK142" s="21"/>
      <c r="RCL142" s="21"/>
      <c r="RCM142" s="21"/>
      <c r="RCN142" s="21"/>
      <c r="RCO142" s="21"/>
      <c r="RCP142" s="21"/>
      <c r="RCQ142" s="21"/>
      <c r="RCR142" s="21"/>
      <c r="RCS142" s="21"/>
      <c r="RCT142" s="21"/>
      <c r="RCU142" s="21"/>
      <c r="RCV142" s="21"/>
      <c r="RCW142" s="21"/>
      <c r="RCX142" s="21"/>
      <c r="RCY142" s="21"/>
      <c r="RCZ142" s="21"/>
      <c r="RDA142" s="21"/>
      <c r="RDB142" s="21"/>
      <c r="RDC142" s="21"/>
      <c r="RDD142" s="21"/>
      <c r="RDE142" s="21"/>
      <c r="RDF142" s="21"/>
      <c r="RDG142" s="21"/>
      <c r="RDH142" s="21"/>
      <c r="RDI142" s="21"/>
      <c r="RDJ142" s="21"/>
      <c r="RDK142" s="21"/>
      <c r="RDL142" s="21"/>
      <c r="RDM142" s="21"/>
      <c r="RDN142" s="21"/>
      <c r="RDO142" s="21"/>
      <c r="RDP142" s="21"/>
      <c r="RDQ142" s="21"/>
      <c r="RDR142" s="21"/>
      <c r="RDS142" s="21"/>
      <c r="RDT142" s="21"/>
      <c r="RDU142" s="21"/>
      <c r="RDV142" s="21"/>
      <c r="RDW142" s="21"/>
      <c r="RDX142" s="21"/>
      <c r="RDY142" s="21"/>
      <c r="RDZ142" s="21"/>
      <c r="REA142" s="21"/>
      <c r="REB142" s="21"/>
      <c r="REC142" s="21"/>
      <c r="RED142" s="21"/>
      <c r="REE142" s="21"/>
      <c r="REF142" s="21"/>
      <c r="REG142" s="21"/>
      <c r="REH142" s="21"/>
      <c r="REI142" s="21"/>
      <c r="REJ142" s="21"/>
      <c r="REK142" s="21"/>
      <c r="REL142" s="21"/>
      <c r="REM142" s="21"/>
      <c r="REN142" s="21"/>
      <c r="REO142" s="21"/>
      <c r="REP142" s="21"/>
      <c r="REQ142" s="21"/>
      <c r="RER142" s="21"/>
      <c r="RES142" s="21"/>
      <c r="RET142" s="21"/>
      <c r="REU142" s="21"/>
      <c r="REV142" s="21"/>
      <c r="REW142" s="21"/>
      <c r="REX142" s="21"/>
      <c r="REY142" s="21"/>
      <c r="REZ142" s="21"/>
      <c r="RFA142" s="21"/>
      <c r="RFB142" s="21"/>
      <c r="RFC142" s="21"/>
      <c r="RFD142" s="21"/>
      <c r="RFE142" s="21"/>
      <c r="RFF142" s="21"/>
      <c r="RFG142" s="21"/>
      <c r="RFH142" s="21"/>
      <c r="RFI142" s="21"/>
      <c r="RFJ142" s="21"/>
      <c r="RFK142" s="21"/>
      <c r="RFL142" s="21"/>
      <c r="RFM142" s="21"/>
      <c r="RFN142" s="21"/>
      <c r="RFO142" s="21"/>
      <c r="RFP142" s="21"/>
      <c r="RFQ142" s="21"/>
      <c r="RFR142" s="21"/>
      <c r="RFS142" s="21"/>
      <c r="RFT142" s="21"/>
      <c r="RFU142" s="21"/>
      <c r="RFV142" s="21"/>
      <c r="RFW142" s="21"/>
      <c r="RFX142" s="21"/>
      <c r="RFY142" s="21"/>
      <c r="RFZ142" s="21"/>
      <c r="RGA142" s="21"/>
      <c r="RGB142" s="21"/>
      <c r="RGC142" s="21"/>
      <c r="RGD142" s="21"/>
      <c r="RGE142" s="21"/>
      <c r="RGF142" s="21"/>
      <c r="RGG142" s="21"/>
      <c r="RGH142" s="21"/>
      <c r="RGI142" s="21"/>
      <c r="RGJ142" s="21"/>
      <c r="RGK142" s="21"/>
      <c r="RGL142" s="21"/>
      <c r="RGM142" s="21"/>
      <c r="RGN142" s="21"/>
      <c r="RGO142" s="21"/>
      <c r="RGP142" s="21"/>
      <c r="RGQ142" s="21"/>
      <c r="RGR142" s="21"/>
      <c r="RGS142" s="21"/>
      <c r="RGT142" s="21"/>
      <c r="RGU142" s="21"/>
      <c r="RGV142" s="21"/>
      <c r="RGW142" s="21"/>
      <c r="RGX142" s="21"/>
      <c r="RGY142" s="21"/>
      <c r="RGZ142" s="21"/>
      <c r="RHA142" s="21"/>
      <c r="RHB142" s="21"/>
      <c r="RHC142" s="21"/>
      <c r="RHD142" s="21"/>
      <c r="RHE142" s="21"/>
      <c r="RHF142" s="21"/>
      <c r="RHG142" s="21"/>
      <c r="RHH142" s="21"/>
      <c r="RHI142" s="21"/>
      <c r="RHJ142" s="21"/>
      <c r="RHK142" s="21"/>
      <c r="RHL142" s="21"/>
      <c r="RHM142" s="21"/>
      <c r="RHN142" s="21"/>
      <c r="RHO142" s="21"/>
      <c r="RHP142" s="21"/>
      <c r="RHQ142" s="21"/>
      <c r="RHR142" s="21"/>
      <c r="RHS142" s="21"/>
      <c r="RHT142" s="21"/>
      <c r="RHU142" s="21"/>
      <c r="RHV142" s="21"/>
      <c r="RHW142" s="21"/>
      <c r="RHX142" s="21"/>
      <c r="RHY142" s="21"/>
      <c r="RHZ142" s="21"/>
      <c r="RIA142" s="21"/>
      <c r="RIB142" s="21"/>
      <c r="RIC142" s="21"/>
      <c r="RID142" s="21"/>
      <c r="RIE142" s="21"/>
      <c r="RIF142" s="21"/>
      <c r="RIG142" s="21"/>
      <c r="RIH142" s="21"/>
      <c r="RII142" s="21"/>
      <c r="RIJ142" s="21"/>
      <c r="RIK142" s="21"/>
      <c r="RIL142" s="21"/>
      <c r="RIM142" s="21"/>
      <c r="RIN142" s="21"/>
      <c r="RIO142" s="21"/>
      <c r="RIP142" s="21"/>
      <c r="RIQ142" s="21"/>
      <c r="RIR142" s="21"/>
      <c r="RIS142" s="21"/>
      <c r="RIT142" s="21"/>
      <c r="RIU142" s="21"/>
      <c r="RIV142" s="21"/>
      <c r="RIW142" s="21"/>
      <c r="RIX142" s="21"/>
      <c r="RIY142" s="21"/>
      <c r="RIZ142" s="21"/>
      <c r="RJA142" s="21"/>
      <c r="RJB142" s="21"/>
      <c r="RJC142" s="21"/>
      <c r="RJD142" s="21"/>
      <c r="RJE142" s="21"/>
      <c r="RJF142" s="21"/>
      <c r="RJG142" s="21"/>
      <c r="RJH142" s="21"/>
      <c r="RJI142" s="21"/>
      <c r="RJJ142" s="21"/>
      <c r="RJK142" s="21"/>
      <c r="RJL142" s="21"/>
      <c r="RJM142" s="21"/>
      <c r="RJN142" s="21"/>
      <c r="RJO142" s="21"/>
      <c r="RJP142" s="21"/>
      <c r="RJQ142" s="21"/>
      <c r="RJR142" s="21"/>
      <c r="RJS142" s="21"/>
      <c r="RJT142" s="21"/>
      <c r="RJU142" s="21"/>
      <c r="RJV142" s="21"/>
      <c r="RJW142" s="21"/>
      <c r="RJX142" s="21"/>
      <c r="RJY142" s="21"/>
      <c r="RJZ142" s="21"/>
      <c r="RKA142" s="21"/>
      <c r="RKB142" s="21"/>
      <c r="RKC142" s="21"/>
      <c r="RKD142" s="21"/>
      <c r="RKE142" s="21"/>
      <c r="RKF142" s="21"/>
      <c r="RKG142" s="21"/>
      <c r="RKH142" s="21"/>
      <c r="RKI142" s="21"/>
      <c r="RKJ142" s="21"/>
      <c r="RKK142" s="21"/>
      <c r="RKL142" s="21"/>
      <c r="RKM142" s="21"/>
      <c r="RKN142" s="21"/>
      <c r="RKO142" s="21"/>
      <c r="RKP142" s="21"/>
      <c r="RKQ142" s="21"/>
      <c r="RKR142" s="21"/>
      <c r="RKS142" s="21"/>
      <c r="RKT142" s="21"/>
      <c r="RKU142" s="21"/>
      <c r="RKV142" s="21"/>
      <c r="RKW142" s="21"/>
      <c r="RKX142" s="21"/>
      <c r="RKY142" s="21"/>
      <c r="RKZ142" s="21"/>
      <c r="RLA142" s="21"/>
      <c r="RLB142" s="21"/>
      <c r="RLC142" s="21"/>
      <c r="RLD142" s="21"/>
      <c r="RLE142" s="21"/>
      <c r="RLF142" s="21"/>
      <c r="RLG142" s="21"/>
      <c r="RLH142" s="21"/>
      <c r="RLI142" s="21"/>
      <c r="RLJ142" s="21"/>
      <c r="RLK142" s="21"/>
      <c r="RLL142" s="21"/>
      <c r="RLM142" s="21"/>
      <c r="RLN142" s="21"/>
      <c r="RLO142" s="21"/>
      <c r="RLP142" s="21"/>
      <c r="RLQ142" s="21"/>
      <c r="RLR142" s="21"/>
      <c r="RLS142" s="21"/>
      <c r="RLT142" s="21"/>
      <c r="RLU142" s="21"/>
      <c r="RLV142" s="21"/>
      <c r="RLW142" s="21"/>
      <c r="RLX142" s="21"/>
      <c r="RLY142" s="21"/>
      <c r="RLZ142" s="21"/>
      <c r="RMA142" s="21"/>
      <c r="RMB142" s="21"/>
      <c r="RMC142" s="21"/>
      <c r="RMD142" s="21"/>
      <c r="RME142" s="21"/>
      <c r="RMF142" s="21"/>
      <c r="RMG142" s="21"/>
      <c r="RMH142" s="21"/>
      <c r="RMI142" s="21"/>
      <c r="RMJ142" s="21"/>
      <c r="RMK142" s="21"/>
      <c r="RML142" s="21"/>
      <c r="RMM142" s="21"/>
      <c r="RMN142" s="21"/>
      <c r="RMO142" s="21"/>
      <c r="RMP142" s="21"/>
      <c r="RMQ142" s="21"/>
      <c r="RMR142" s="21"/>
      <c r="RMS142" s="21"/>
      <c r="RMT142" s="21"/>
      <c r="RMU142" s="21"/>
      <c r="RMV142" s="21"/>
      <c r="RMW142" s="21"/>
      <c r="RMX142" s="21"/>
      <c r="RMY142" s="21"/>
      <c r="RMZ142" s="21"/>
      <c r="RNA142" s="21"/>
      <c r="RNB142" s="21"/>
      <c r="RNC142" s="21"/>
      <c r="RND142" s="21"/>
      <c r="RNE142" s="21"/>
      <c r="RNF142" s="21"/>
      <c r="RNG142" s="21"/>
      <c r="RNH142" s="21"/>
      <c r="RNI142" s="21"/>
      <c r="RNJ142" s="21"/>
      <c r="RNK142" s="21"/>
      <c r="RNL142" s="21"/>
      <c r="RNM142" s="21"/>
      <c r="RNN142" s="21"/>
      <c r="RNO142" s="21"/>
      <c r="RNP142" s="21"/>
      <c r="RNQ142" s="21"/>
      <c r="RNR142" s="21"/>
      <c r="RNS142" s="21"/>
      <c r="RNT142" s="21"/>
      <c r="RNU142" s="21"/>
      <c r="RNV142" s="21"/>
      <c r="RNW142" s="21"/>
      <c r="RNX142" s="21"/>
      <c r="RNY142" s="21"/>
      <c r="RNZ142" s="21"/>
      <c r="ROA142" s="21"/>
      <c r="ROB142" s="21"/>
      <c r="ROC142" s="21"/>
      <c r="ROD142" s="21"/>
      <c r="ROE142" s="21"/>
      <c r="ROF142" s="21"/>
      <c r="ROG142" s="21"/>
      <c r="ROH142" s="21"/>
      <c r="ROI142" s="21"/>
      <c r="ROJ142" s="21"/>
      <c r="ROK142" s="21"/>
      <c r="ROL142" s="21"/>
      <c r="ROM142" s="21"/>
      <c r="RON142" s="21"/>
      <c r="ROO142" s="21"/>
      <c r="ROP142" s="21"/>
      <c r="ROQ142" s="21"/>
      <c r="ROR142" s="21"/>
      <c r="ROS142" s="21"/>
      <c r="ROT142" s="21"/>
      <c r="ROU142" s="21"/>
      <c r="ROV142" s="21"/>
      <c r="ROW142" s="21"/>
      <c r="ROX142" s="21"/>
      <c r="ROY142" s="21"/>
      <c r="ROZ142" s="21"/>
      <c r="RPA142" s="21"/>
      <c r="RPB142" s="21"/>
      <c r="RPC142" s="21"/>
      <c r="RPD142" s="21"/>
      <c r="RPE142" s="21"/>
      <c r="RPF142" s="21"/>
      <c r="RPG142" s="21"/>
      <c r="RPH142" s="21"/>
      <c r="RPI142" s="21"/>
      <c r="RPJ142" s="21"/>
      <c r="RPK142" s="21"/>
      <c r="RPL142" s="21"/>
      <c r="RPM142" s="21"/>
      <c r="RPN142" s="21"/>
      <c r="RPO142" s="21"/>
      <c r="RPP142" s="21"/>
      <c r="RPQ142" s="21"/>
      <c r="RPR142" s="21"/>
      <c r="RPS142" s="21"/>
      <c r="RPT142" s="21"/>
      <c r="RPU142" s="21"/>
      <c r="RPV142" s="21"/>
      <c r="RPW142" s="21"/>
      <c r="RPX142" s="21"/>
      <c r="RPY142" s="21"/>
      <c r="RPZ142" s="21"/>
      <c r="RQA142" s="21"/>
      <c r="RQB142" s="21"/>
      <c r="RQC142" s="21"/>
      <c r="RQD142" s="21"/>
      <c r="RQE142" s="21"/>
      <c r="RQF142" s="21"/>
      <c r="RQG142" s="21"/>
      <c r="RQH142" s="21"/>
      <c r="RQI142" s="21"/>
      <c r="RQJ142" s="21"/>
      <c r="RQK142" s="21"/>
      <c r="RQL142" s="21"/>
      <c r="RQM142" s="21"/>
      <c r="RQN142" s="21"/>
      <c r="RQO142" s="21"/>
      <c r="RQP142" s="21"/>
      <c r="RQQ142" s="21"/>
      <c r="RQR142" s="21"/>
      <c r="RQS142" s="21"/>
      <c r="RQT142" s="21"/>
      <c r="RQU142" s="21"/>
      <c r="RQV142" s="21"/>
      <c r="RQW142" s="21"/>
      <c r="RQX142" s="21"/>
      <c r="RQY142" s="21"/>
      <c r="RQZ142" s="21"/>
      <c r="RRA142" s="21"/>
      <c r="RRB142" s="21"/>
      <c r="RRC142" s="21"/>
      <c r="RRD142" s="21"/>
      <c r="RRE142" s="21"/>
      <c r="RRF142" s="21"/>
      <c r="RRG142" s="21"/>
      <c r="RRH142" s="21"/>
      <c r="RRI142" s="21"/>
      <c r="RRJ142" s="21"/>
      <c r="RRK142" s="21"/>
      <c r="RRL142" s="21"/>
      <c r="RRM142" s="21"/>
      <c r="RRN142" s="21"/>
      <c r="RRO142" s="21"/>
      <c r="RRP142" s="21"/>
      <c r="RRQ142" s="21"/>
      <c r="RRR142" s="21"/>
      <c r="RRS142" s="21"/>
      <c r="RRT142" s="21"/>
      <c r="RRU142" s="21"/>
      <c r="RRV142" s="21"/>
      <c r="RRW142" s="21"/>
      <c r="RRX142" s="21"/>
      <c r="RRY142" s="21"/>
      <c r="RRZ142" s="21"/>
      <c r="RSA142" s="21"/>
      <c r="RSB142" s="21"/>
      <c r="RSC142" s="21"/>
      <c r="RSD142" s="21"/>
      <c r="RSE142" s="21"/>
      <c r="RSF142" s="21"/>
      <c r="RSG142" s="21"/>
      <c r="RSH142" s="21"/>
      <c r="RSI142" s="21"/>
      <c r="RSJ142" s="21"/>
      <c r="RSK142" s="21"/>
      <c r="RSL142" s="21"/>
      <c r="RSM142" s="21"/>
      <c r="RSN142" s="21"/>
      <c r="RSO142" s="21"/>
      <c r="RSP142" s="21"/>
      <c r="RSQ142" s="21"/>
      <c r="RSR142" s="21"/>
      <c r="RSS142" s="21"/>
      <c r="RST142" s="21"/>
      <c r="RSU142" s="21"/>
      <c r="RSV142" s="21"/>
      <c r="RSW142" s="21"/>
      <c r="RSX142" s="21"/>
      <c r="RSY142" s="21"/>
      <c r="RSZ142" s="21"/>
      <c r="RTA142" s="21"/>
      <c r="RTB142" s="21"/>
      <c r="RTC142" s="21"/>
      <c r="RTD142" s="21"/>
      <c r="RTE142" s="21"/>
      <c r="RTF142" s="21"/>
      <c r="RTG142" s="21"/>
      <c r="RTH142" s="21"/>
      <c r="RTI142" s="21"/>
      <c r="RTJ142" s="21"/>
      <c r="RTK142" s="21"/>
      <c r="RTL142" s="21"/>
      <c r="RTM142" s="21"/>
      <c r="RTN142" s="21"/>
      <c r="RTO142" s="21"/>
      <c r="RTP142" s="21"/>
      <c r="RTQ142" s="21"/>
      <c r="RTR142" s="21"/>
      <c r="RTS142" s="21"/>
      <c r="RTT142" s="21"/>
      <c r="RTU142" s="21"/>
      <c r="RTV142" s="21"/>
      <c r="RTW142" s="21"/>
      <c r="RTX142" s="21"/>
      <c r="RTY142" s="21"/>
      <c r="RTZ142" s="21"/>
      <c r="RUA142" s="21"/>
      <c r="RUB142" s="21"/>
      <c r="RUC142" s="21"/>
      <c r="RUD142" s="21"/>
      <c r="RUE142" s="21"/>
      <c r="RUF142" s="21"/>
      <c r="RUG142" s="21"/>
      <c r="RUH142" s="21"/>
      <c r="RUI142" s="21"/>
      <c r="RUJ142" s="21"/>
      <c r="RUK142" s="21"/>
      <c r="RUL142" s="21"/>
      <c r="RUM142" s="21"/>
      <c r="RUN142" s="21"/>
      <c r="RUO142" s="21"/>
      <c r="RUP142" s="21"/>
      <c r="RUQ142" s="21"/>
      <c r="RUR142" s="21"/>
      <c r="RUS142" s="21"/>
      <c r="RUT142" s="21"/>
      <c r="RUU142" s="21"/>
      <c r="RUV142" s="21"/>
      <c r="RUW142" s="21"/>
      <c r="RUX142" s="21"/>
      <c r="RUY142" s="21"/>
      <c r="RUZ142" s="21"/>
      <c r="RVA142" s="21"/>
      <c r="RVB142" s="21"/>
      <c r="RVC142" s="21"/>
      <c r="RVD142" s="21"/>
      <c r="RVE142" s="21"/>
      <c r="RVF142" s="21"/>
      <c r="RVG142" s="21"/>
      <c r="RVH142" s="21"/>
      <c r="RVI142" s="21"/>
      <c r="RVJ142" s="21"/>
      <c r="RVK142" s="21"/>
      <c r="RVL142" s="21"/>
      <c r="RVM142" s="21"/>
      <c r="RVN142" s="21"/>
      <c r="RVO142" s="21"/>
      <c r="RVP142" s="21"/>
      <c r="RVQ142" s="21"/>
      <c r="RVR142" s="21"/>
      <c r="RVS142" s="21"/>
      <c r="RVT142" s="21"/>
      <c r="RVU142" s="21"/>
      <c r="RVV142" s="21"/>
      <c r="RVW142" s="21"/>
      <c r="RVX142" s="21"/>
      <c r="RVY142" s="21"/>
      <c r="RVZ142" s="21"/>
      <c r="RWA142" s="21"/>
      <c r="RWB142" s="21"/>
      <c r="RWC142" s="21"/>
      <c r="RWD142" s="21"/>
      <c r="RWE142" s="21"/>
      <c r="RWF142" s="21"/>
      <c r="RWG142" s="21"/>
      <c r="RWH142" s="21"/>
      <c r="RWI142" s="21"/>
      <c r="RWJ142" s="21"/>
      <c r="RWK142" s="21"/>
      <c r="RWL142" s="21"/>
      <c r="RWM142" s="21"/>
      <c r="RWN142" s="21"/>
      <c r="RWO142" s="21"/>
      <c r="RWP142" s="21"/>
      <c r="RWQ142" s="21"/>
      <c r="RWR142" s="21"/>
      <c r="RWS142" s="21"/>
      <c r="RWT142" s="21"/>
      <c r="RWU142" s="21"/>
      <c r="RWV142" s="21"/>
      <c r="RWW142" s="21"/>
      <c r="RWX142" s="21"/>
      <c r="RWY142" s="21"/>
      <c r="RWZ142" s="21"/>
      <c r="RXA142" s="21"/>
      <c r="RXB142" s="21"/>
      <c r="RXC142" s="21"/>
      <c r="RXD142" s="21"/>
      <c r="RXE142" s="21"/>
      <c r="RXF142" s="21"/>
      <c r="RXG142" s="21"/>
      <c r="RXH142" s="21"/>
      <c r="RXI142" s="21"/>
      <c r="RXJ142" s="21"/>
      <c r="RXK142" s="21"/>
      <c r="RXL142" s="21"/>
      <c r="RXM142" s="21"/>
      <c r="RXN142" s="21"/>
      <c r="RXO142" s="21"/>
      <c r="RXP142" s="21"/>
      <c r="RXQ142" s="21"/>
      <c r="RXR142" s="21"/>
      <c r="RXS142" s="21"/>
      <c r="RXT142" s="21"/>
      <c r="RXU142" s="21"/>
      <c r="RXV142" s="21"/>
      <c r="RXW142" s="21"/>
      <c r="RXX142" s="21"/>
      <c r="RXY142" s="21"/>
      <c r="RXZ142" s="21"/>
      <c r="RYA142" s="21"/>
      <c r="RYB142" s="21"/>
      <c r="RYC142" s="21"/>
      <c r="RYD142" s="21"/>
      <c r="RYE142" s="21"/>
      <c r="RYF142" s="21"/>
      <c r="RYG142" s="21"/>
      <c r="RYH142" s="21"/>
      <c r="RYI142" s="21"/>
      <c r="RYJ142" s="21"/>
      <c r="RYK142" s="21"/>
      <c r="RYL142" s="21"/>
      <c r="RYM142" s="21"/>
      <c r="RYN142" s="21"/>
      <c r="RYO142" s="21"/>
      <c r="RYP142" s="21"/>
      <c r="RYQ142" s="21"/>
      <c r="RYR142" s="21"/>
      <c r="RYS142" s="21"/>
      <c r="RYT142" s="21"/>
      <c r="RYU142" s="21"/>
      <c r="RYV142" s="21"/>
      <c r="RYW142" s="21"/>
      <c r="RYX142" s="21"/>
      <c r="RYY142" s="21"/>
      <c r="RYZ142" s="21"/>
      <c r="RZA142" s="21"/>
      <c r="RZB142" s="21"/>
      <c r="RZC142" s="21"/>
      <c r="RZD142" s="21"/>
      <c r="RZE142" s="21"/>
      <c r="RZF142" s="21"/>
      <c r="RZG142" s="21"/>
      <c r="RZH142" s="21"/>
      <c r="RZI142" s="21"/>
      <c r="RZJ142" s="21"/>
      <c r="RZK142" s="21"/>
      <c r="RZL142" s="21"/>
      <c r="RZM142" s="21"/>
      <c r="RZN142" s="21"/>
      <c r="RZO142" s="21"/>
      <c r="RZP142" s="21"/>
      <c r="RZQ142" s="21"/>
      <c r="RZR142" s="21"/>
      <c r="RZS142" s="21"/>
      <c r="RZT142" s="21"/>
      <c r="RZU142" s="21"/>
      <c r="RZV142" s="21"/>
      <c r="RZW142" s="21"/>
      <c r="RZX142" s="21"/>
      <c r="RZY142" s="21"/>
      <c r="RZZ142" s="21"/>
      <c r="SAA142" s="21"/>
      <c r="SAB142" s="21"/>
      <c r="SAC142" s="21"/>
      <c r="SAD142" s="21"/>
      <c r="SAE142" s="21"/>
      <c r="SAF142" s="21"/>
      <c r="SAG142" s="21"/>
      <c r="SAH142" s="21"/>
      <c r="SAI142" s="21"/>
      <c r="SAJ142" s="21"/>
      <c r="SAK142" s="21"/>
      <c r="SAL142" s="21"/>
      <c r="SAM142" s="21"/>
      <c r="SAN142" s="21"/>
      <c r="SAO142" s="21"/>
      <c r="SAP142" s="21"/>
      <c r="SAQ142" s="21"/>
      <c r="SAR142" s="21"/>
      <c r="SAS142" s="21"/>
      <c r="SAT142" s="21"/>
      <c r="SAU142" s="21"/>
      <c r="SAV142" s="21"/>
      <c r="SAW142" s="21"/>
      <c r="SAX142" s="21"/>
      <c r="SAY142" s="21"/>
      <c r="SAZ142" s="21"/>
      <c r="SBA142" s="21"/>
      <c r="SBB142" s="21"/>
      <c r="SBC142" s="21"/>
      <c r="SBD142" s="21"/>
      <c r="SBE142" s="21"/>
      <c r="SBF142" s="21"/>
      <c r="SBG142" s="21"/>
      <c r="SBH142" s="21"/>
      <c r="SBI142" s="21"/>
      <c r="SBJ142" s="21"/>
      <c r="SBK142" s="21"/>
      <c r="SBL142" s="21"/>
      <c r="SBM142" s="21"/>
      <c r="SBN142" s="21"/>
      <c r="SBO142" s="21"/>
      <c r="SBP142" s="21"/>
      <c r="SBQ142" s="21"/>
      <c r="SBR142" s="21"/>
      <c r="SBS142" s="21"/>
      <c r="SBT142" s="21"/>
      <c r="SBU142" s="21"/>
      <c r="SBV142" s="21"/>
      <c r="SBW142" s="21"/>
      <c r="SBX142" s="21"/>
      <c r="SBY142" s="21"/>
      <c r="SBZ142" s="21"/>
      <c r="SCA142" s="21"/>
      <c r="SCB142" s="21"/>
      <c r="SCC142" s="21"/>
      <c r="SCD142" s="21"/>
      <c r="SCE142" s="21"/>
      <c r="SCF142" s="21"/>
      <c r="SCG142" s="21"/>
      <c r="SCH142" s="21"/>
      <c r="SCI142" s="21"/>
      <c r="SCJ142" s="21"/>
      <c r="SCK142" s="21"/>
      <c r="SCL142" s="21"/>
      <c r="SCM142" s="21"/>
      <c r="SCN142" s="21"/>
      <c r="SCO142" s="21"/>
      <c r="SCP142" s="21"/>
      <c r="SCQ142" s="21"/>
      <c r="SCR142" s="21"/>
      <c r="SCS142" s="21"/>
      <c r="SCT142" s="21"/>
      <c r="SCU142" s="21"/>
      <c r="SCV142" s="21"/>
      <c r="SCW142" s="21"/>
      <c r="SCX142" s="21"/>
      <c r="SCY142" s="21"/>
      <c r="SCZ142" s="21"/>
      <c r="SDA142" s="21"/>
      <c r="SDB142" s="21"/>
      <c r="SDC142" s="21"/>
      <c r="SDD142" s="21"/>
      <c r="SDE142" s="21"/>
      <c r="SDF142" s="21"/>
      <c r="SDG142" s="21"/>
      <c r="SDH142" s="21"/>
      <c r="SDI142" s="21"/>
      <c r="SDJ142" s="21"/>
      <c r="SDK142" s="21"/>
      <c r="SDL142" s="21"/>
      <c r="SDM142" s="21"/>
      <c r="SDN142" s="21"/>
      <c r="SDO142" s="21"/>
      <c r="SDP142" s="21"/>
      <c r="SDQ142" s="21"/>
      <c r="SDR142" s="21"/>
      <c r="SDS142" s="21"/>
      <c r="SDT142" s="21"/>
      <c r="SDU142" s="21"/>
      <c r="SDV142" s="21"/>
      <c r="SDW142" s="21"/>
      <c r="SDX142" s="21"/>
      <c r="SDY142" s="21"/>
      <c r="SDZ142" s="21"/>
      <c r="SEA142" s="21"/>
      <c r="SEB142" s="21"/>
      <c r="SEC142" s="21"/>
      <c r="SED142" s="21"/>
      <c r="SEE142" s="21"/>
      <c r="SEF142" s="21"/>
      <c r="SEG142" s="21"/>
      <c r="SEH142" s="21"/>
      <c r="SEI142" s="21"/>
      <c r="SEJ142" s="21"/>
      <c r="SEK142" s="21"/>
      <c r="SEL142" s="21"/>
      <c r="SEM142" s="21"/>
      <c r="SEN142" s="21"/>
      <c r="SEO142" s="21"/>
      <c r="SEP142" s="21"/>
      <c r="SEQ142" s="21"/>
      <c r="SER142" s="21"/>
      <c r="SES142" s="21"/>
      <c r="SET142" s="21"/>
      <c r="SEU142" s="21"/>
      <c r="SEV142" s="21"/>
      <c r="SEW142" s="21"/>
      <c r="SEX142" s="21"/>
      <c r="SEY142" s="21"/>
      <c r="SEZ142" s="21"/>
      <c r="SFA142" s="21"/>
      <c r="SFB142" s="21"/>
      <c r="SFC142" s="21"/>
      <c r="SFD142" s="21"/>
      <c r="SFE142" s="21"/>
      <c r="SFF142" s="21"/>
      <c r="SFG142" s="21"/>
      <c r="SFH142" s="21"/>
      <c r="SFI142" s="21"/>
      <c r="SFJ142" s="21"/>
      <c r="SFK142" s="21"/>
      <c r="SFL142" s="21"/>
      <c r="SFM142" s="21"/>
      <c r="SFN142" s="21"/>
      <c r="SFO142" s="21"/>
      <c r="SFP142" s="21"/>
      <c r="SFQ142" s="21"/>
      <c r="SFR142" s="21"/>
      <c r="SFS142" s="21"/>
      <c r="SFT142" s="21"/>
      <c r="SFU142" s="21"/>
      <c r="SFV142" s="21"/>
      <c r="SFW142" s="21"/>
      <c r="SFX142" s="21"/>
      <c r="SFY142" s="21"/>
      <c r="SFZ142" s="21"/>
      <c r="SGA142" s="21"/>
      <c r="SGB142" s="21"/>
      <c r="SGC142" s="21"/>
      <c r="SGD142" s="21"/>
      <c r="SGE142" s="21"/>
      <c r="SGF142" s="21"/>
      <c r="SGG142" s="21"/>
      <c r="SGH142" s="21"/>
      <c r="SGI142" s="21"/>
      <c r="SGJ142" s="21"/>
      <c r="SGK142" s="21"/>
      <c r="SGL142" s="21"/>
      <c r="SGM142" s="21"/>
      <c r="SGN142" s="21"/>
      <c r="SGO142" s="21"/>
      <c r="SGP142" s="21"/>
      <c r="SGQ142" s="21"/>
      <c r="SGR142" s="21"/>
      <c r="SGS142" s="21"/>
      <c r="SGT142" s="21"/>
      <c r="SGU142" s="21"/>
      <c r="SGV142" s="21"/>
      <c r="SGW142" s="21"/>
      <c r="SGX142" s="21"/>
      <c r="SGY142" s="21"/>
      <c r="SGZ142" s="21"/>
      <c r="SHA142" s="21"/>
      <c r="SHB142" s="21"/>
      <c r="SHC142" s="21"/>
      <c r="SHD142" s="21"/>
      <c r="SHE142" s="21"/>
      <c r="SHF142" s="21"/>
      <c r="SHG142" s="21"/>
      <c r="SHH142" s="21"/>
      <c r="SHI142" s="21"/>
      <c r="SHJ142" s="21"/>
      <c r="SHK142" s="21"/>
      <c r="SHL142" s="21"/>
      <c r="SHM142" s="21"/>
      <c r="SHN142" s="21"/>
      <c r="SHO142" s="21"/>
      <c r="SHP142" s="21"/>
      <c r="SHQ142" s="21"/>
      <c r="SHR142" s="21"/>
      <c r="SHS142" s="21"/>
      <c r="SHT142" s="21"/>
      <c r="SHU142" s="21"/>
      <c r="SHV142" s="21"/>
      <c r="SHW142" s="21"/>
      <c r="SHX142" s="21"/>
      <c r="SHY142" s="21"/>
      <c r="SHZ142" s="21"/>
      <c r="SIA142" s="21"/>
      <c r="SIB142" s="21"/>
      <c r="SIC142" s="21"/>
      <c r="SID142" s="21"/>
      <c r="SIE142" s="21"/>
      <c r="SIF142" s="21"/>
      <c r="SIG142" s="21"/>
      <c r="SIH142" s="21"/>
      <c r="SII142" s="21"/>
      <c r="SIJ142" s="21"/>
      <c r="SIK142" s="21"/>
      <c r="SIL142" s="21"/>
      <c r="SIM142" s="21"/>
      <c r="SIN142" s="21"/>
      <c r="SIO142" s="21"/>
      <c r="SIP142" s="21"/>
      <c r="SIQ142" s="21"/>
      <c r="SIR142" s="21"/>
      <c r="SIS142" s="21"/>
      <c r="SIT142" s="21"/>
      <c r="SIU142" s="21"/>
      <c r="SIV142" s="21"/>
      <c r="SIW142" s="21"/>
      <c r="SIX142" s="21"/>
      <c r="SIY142" s="21"/>
      <c r="SIZ142" s="21"/>
      <c r="SJA142" s="21"/>
      <c r="SJB142" s="21"/>
      <c r="SJC142" s="21"/>
      <c r="SJD142" s="21"/>
      <c r="SJE142" s="21"/>
      <c r="SJF142" s="21"/>
      <c r="SJG142" s="21"/>
      <c r="SJH142" s="21"/>
      <c r="SJI142" s="21"/>
      <c r="SJJ142" s="21"/>
      <c r="SJK142" s="21"/>
      <c r="SJL142" s="21"/>
      <c r="SJM142" s="21"/>
      <c r="SJN142" s="21"/>
      <c r="SJO142" s="21"/>
      <c r="SJP142" s="21"/>
      <c r="SJQ142" s="21"/>
      <c r="SJR142" s="21"/>
      <c r="SJS142" s="21"/>
      <c r="SJT142" s="21"/>
      <c r="SJU142" s="21"/>
      <c r="SJV142" s="21"/>
      <c r="SJW142" s="21"/>
      <c r="SJX142" s="21"/>
      <c r="SJY142" s="21"/>
      <c r="SJZ142" s="21"/>
      <c r="SKA142" s="21"/>
      <c r="SKB142" s="21"/>
      <c r="SKC142" s="21"/>
      <c r="SKD142" s="21"/>
      <c r="SKE142" s="21"/>
      <c r="SKF142" s="21"/>
      <c r="SKG142" s="21"/>
      <c r="SKH142" s="21"/>
      <c r="SKI142" s="21"/>
      <c r="SKJ142" s="21"/>
      <c r="SKK142" s="21"/>
      <c r="SKL142" s="21"/>
      <c r="SKM142" s="21"/>
      <c r="SKN142" s="21"/>
      <c r="SKO142" s="21"/>
      <c r="SKP142" s="21"/>
      <c r="SKQ142" s="21"/>
      <c r="SKR142" s="21"/>
      <c r="SKS142" s="21"/>
      <c r="SKT142" s="21"/>
      <c r="SKU142" s="21"/>
      <c r="SKV142" s="21"/>
      <c r="SKW142" s="21"/>
      <c r="SKX142" s="21"/>
      <c r="SKY142" s="21"/>
      <c r="SKZ142" s="21"/>
      <c r="SLA142" s="21"/>
      <c r="SLB142" s="21"/>
      <c r="SLC142" s="21"/>
      <c r="SLD142" s="21"/>
      <c r="SLE142" s="21"/>
      <c r="SLF142" s="21"/>
      <c r="SLG142" s="21"/>
      <c r="SLH142" s="21"/>
      <c r="SLI142" s="21"/>
      <c r="SLJ142" s="21"/>
      <c r="SLK142" s="21"/>
      <c r="SLL142" s="21"/>
      <c r="SLM142" s="21"/>
      <c r="SLN142" s="21"/>
      <c r="SLO142" s="21"/>
      <c r="SLP142" s="21"/>
      <c r="SLQ142" s="21"/>
      <c r="SLR142" s="21"/>
      <c r="SLS142" s="21"/>
      <c r="SLT142" s="21"/>
      <c r="SLU142" s="21"/>
      <c r="SLV142" s="21"/>
      <c r="SLW142" s="21"/>
      <c r="SLX142" s="21"/>
      <c r="SLY142" s="21"/>
      <c r="SLZ142" s="21"/>
      <c r="SMA142" s="21"/>
      <c r="SMB142" s="21"/>
      <c r="SMC142" s="21"/>
      <c r="SMD142" s="21"/>
      <c r="SME142" s="21"/>
      <c r="SMF142" s="21"/>
      <c r="SMG142" s="21"/>
      <c r="SMH142" s="21"/>
      <c r="SMI142" s="21"/>
      <c r="SMJ142" s="21"/>
      <c r="SMK142" s="21"/>
      <c r="SML142" s="21"/>
      <c r="SMM142" s="21"/>
      <c r="SMN142" s="21"/>
      <c r="SMO142" s="21"/>
      <c r="SMP142" s="21"/>
      <c r="SMQ142" s="21"/>
      <c r="SMR142" s="21"/>
      <c r="SMS142" s="21"/>
      <c r="SMT142" s="21"/>
      <c r="SMU142" s="21"/>
      <c r="SMV142" s="21"/>
      <c r="SMW142" s="21"/>
      <c r="SMX142" s="21"/>
      <c r="SMY142" s="21"/>
      <c r="SMZ142" s="21"/>
      <c r="SNA142" s="21"/>
      <c r="SNB142" s="21"/>
      <c r="SNC142" s="21"/>
      <c r="SND142" s="21"/>
      <c r="SNE142" s="21"/>
      <c r="SNF142" s="21"/>
      <c r="SNG142" s="21"/>
      <c r="SNH142" s="21"/>
      <c r="SNI142" s="21"/>
      <c r="SNJ142" s="21"/>
      <c r="SNK142" s="21"/>
      <c r="SNL142" s="21"/>
      <c r="SNM142" s="21"/>
      <c r="SNN142" s="21"/>
      <c r="SNO142" s="21"/>
      <c r="SNP142" s="21"/>
      <c r="SNQ142" s="21"/>
      <c r="SNR142" s="21"/>
      <c r="SNS142" s="21"/>
      <c r="SNT142" s="21"/>
      <c r="SNU142" s="21"/>
      <c r="SNV142" s="21"/>
      <c r="SNW142" s="21"/>
      <c r="SNX142" s="21"/>
      <c r="SNY142" s="21"/>
      <c r="SNZ142" s="21"/>
      <c r="SOA142" s="21"/>
      <c r="SOB142" s="21"/>
      <c r="SOC142" s="21"/>
      <c r="SOD142" s="21"/>
      <c r="SOE142" s="21"/>
      <c r="SOF142" s="21"/>
      <c r="SOG142" s="21"/>
      <c r="SOH142" s="21"/>
      <c r="SOI142" s="21"/>
      <c r="SOJ142" s="21"/>
      <c r="SOK142" s="21"/>
      <c r="SOL142" s="21"/>
      <c r="SOM142" s="21"/>
      <c r="SON142" s="21"/>
      <c r="SOO142" s="21"/>
      <c r="SOP142" s="21"/>
      <c r="SOQ142" s="21"/>
      <c r="SOR142" s="21"/>
      <c r="SOS142" s="21"/>
      <c r="SOT142" s="21"/>
      <c r="SOU142" s="21"/>
      <c r="SOV142" s="21"/>
      <c r="SOW142" s="21"/>
      <c r="SOX142" s="21"/>
      <c r="SOY142" s="21"/>
      <c r="SOZ142" s="21"/>
      <c r="SPA142" s="21"/>
      <c r="SPB142" s="21"/>
      <c r="SPC142" s="21"/>
      <c r="SPD142" s="21"/>
      <c r="SPE142" s="21"/>
      <c r="SPF142" s="21"/>
      <c r="SPG142" s="21"/>
      <c r="SPH142" s="21"/>
      <c r="SPI142" s="21"/>
      <c r="SPJ142" s="21"/>
      <c r="SPK142" s="21"/>
      <c r="SPL142" s="21"/>
      <c r="SPM142" s="21"/>
      <c r="SPN142" s="21"/>
      <c r="SPO142" s="21"/>
      <c r="SPP142" s="21"/>
      <c r="SPQ142" s="21"/>
      <c r="SPR142" s="21"/>
      <c r="SPS142" s="21"/>
      <c r="SPT142" s="21"/>
      <c r="SPU142" s="21"/>
      <c r="SPV142" s="21"/>
      <c r="SPW142" s="21"/>
      <c r="SPX142" s="21"/>
      <c r="SPY142" s="21"/>
      <c r="SPZ142" s="21"/>
      <c r="SQA142" s="21"/>
      <c r="SQB142" s="21"/>
      <c r="SQC142" s="21"/>
      <c r="SQD142" s="21"/>
      <c r="SQE142" s="21"/>
      <c r="SQF142" s="21"/>
      <c r="SQG142" s="21"/>
      <c r="SQH142" s="21"/>
      <c r="SQI142" s="21"/>
      <c r="SQJ142" s="21"/>
      <c r="SQK142" s="21"/>
      <c r="SQL142" s="21"/>
      <c r="SQM142" s="21"/>
      <c r="SQN142" s="21"/>
      <c r="SQO142" s="21"/>
      <c r="SQP142" s="21"/>
      <c r="SQQ142" s="21"/>
      <c r="SQR142" s="21"/>
      <c r="SQS142" s="21"/>
      <c r="SQT142" s="21"/>
      <c r="SQU142" s="21"/>
      <c r="SQV142" s="21"/>
      <c r="SQW142" s="21"/>
      <c r="SQX142" s="21"/>
      <c r="SQY142" s="21"/>
      <c r="SQZ142" s="21"/>
      <c r="SRA142" s="21"/>
      <c r="SRB142" s="21"/>
      <c r="SRC142" s="21"/>
      <c r="SRD142" s="21"/>
      <c r="SRE142" s="21"/>
      <c r="SRF142" s="21"/>
      <c r="SRG142" s="21"/>
      <c r="SRH142" s="21"/>
      <c r="SRI142" s="21"/>
      <c r="SRJ142" s="21"/>
      <c r="SRK142" s="21"/>
      <c r="SRL142" s="21"/>
      <c r="SRM142" s="21"/>
      <c r="SRN142" s="21"/>
      <c r="SRO142" s="21"/>
      <c r="SRP142" s="21"/>
      <c r="SRQ142" s="21"/>
      <c r="SRR142" s="21"/>
      <c r="SRS142" s="21"/>
      <c r="SRT142" s="21"/>
      <c r="SRU142" s="21"/>
      <c r="SRV142" s="21"/>
      <c r="SRW142" s="21"/>
      <c r="SRX142" s="21"/>
      <c r="SRY142" s="21"/>
      <c r="SRZ142" s="21"/>
      <c r="SSA142" s="21"/>
      <c r="SSB142" s="21"/>
      <c r="SSC142" s="21"/>
      <c r="SSD142" s="21"/>
      <c r="SSE142" s="21"/>
      <c r="SSF142" s="21"/>
      <c r="SSG142" s="21"/>
      <c r="SSH142" s="21"/>
      <c r="SSI142" s="21"/>
      <c r="SSJ142" s="21"/>
      <c r="SSK142" s="21"/>
      <c r="SSL142" s="21"/>
      <c r="SSM142" s="21"/>
      <c r="SSN142" s="21"/>
      <c r="SSO142" s="21"/>
      <c r="SSP142" s="21"/>
      <c r="SSQ142" s="21"/>
      <c r="SSR142" s="21"/>
      <c r="SSS142" s="21"/>
      <c r="SST142" s="21"/>
      <c r="SSU142" s="21"/>
      <c r="SSV142" s="21"/>
      <c r="SSW142" s="21"/>
      <c r="SSX142" s="21"/>
      <c r="SSY142" s="21"/>
      <c r="SSZ142" s="21"/>
      <c r="STA142" s="21"/>
      <c r="STB142" s="21"/>
      <c r="STC142" s="21"/>
      <c r="STD142" s="21"/>
      <c r="STE142" s="21"/>
      <c r="STF142" s="21"/>
      <c r="STG142" s="21"/>
      <c r="STH142" s="21"/>
      <c r="STI142" s="21"/>
      <c r="STJ142" s="21"/>
      <c r="STK142" s="21"/>
      <c r="STL142" s="21"/>
      <c r="STM142" s="21"/>
      <c r="STN142" s="21"/>
      <c r="STO142" s="21"/>
      <c r="STP142" s="21"/>
      <c r="STQ142" s="21"/>
      <c r="STR142" s="21"/>
      <c r="STS142" s="21"/>
      <c r="STT142" s="21"/>
      <c r="STU142" s="21"/>
      <c r="STV142" s="21"/>
      <c r="STW142" s="21"/>
      <c r="STX142" s="21"/>
      <c r="STY142" s="21"/>
      <c r="STZ142" s="21"/>
      <c r="SUA142" s="21"/>
      <c r="SUB142" s="21"/>
      <c r="SUC142" s="21"/>
      <c r="SUD142" s="21"/>
      <c r="SUE142" s="21"/>
      <c r="SUF142" s="21"/>
      <c r="SUG142" s="21"/>
      <c r="SUH142" s="21"/>
      <c r="SUI142" s="21"/>
      <c r="SUJ142" s="21"/>
      <c r="SUK142" s="21"/>
      <c r="SUL142" s="21"/>
      <c r="SUM142" s="21"/>
      <c r="SUN142" s="21"/>
      <c r="SUO142" s="21"/>
      <c r="SUP142" s="21"/>
      <c r="SUQ142" s="21"/>
      <c r="SUR142" s="21"/>
      <c r="SUS142" s="21"/>
      <c r="SUT142" s="21"/>
      <c r="SUU142" s="21"/>
      <c r="SUV142" s="21"/>
      <c r="SUW142" s="21"/>
      <c r="SUX142" s="21"/>
      <c r="SUY142" s="21"/>
      <c r="SUZ142" s="21"/>
      <c r="SVA142" s="21"/>
      <c r="SVB142" s="21"/>
      <c r="SVC142" s="21"/>
      <c r="SVD142" s="21"/>
      <c r="SVE142" s="21"/>
      <c r="SVF142" s="21"/>
      <c r="SVG142" s="21"/>
      <c r="SVH142" s="21"/>
      <c r="SVI142" s="21"/>
      <c r="SVJ142" s="21"/>
      <c r="SVK142" s="21"/>
      <c r="SVL142" s="21"/>
      <c r="SVM142" s="21"/>
      <c r="SVN142" s="21"/>
      <c r="SVO142" s="21"/>
      <c r="SVP142" s="21"/>
      <c r="SVQ142" s="21"/>
      <c r="SVR142" s="21"/>
      <c r="SVS142" s="21"/>
      <c r="SVT142" s="21"/>
      <c r="SVU142" s="21"/>
      <c r="SVV142" s="21"/>
      <c r="SVW142" s="21"/>
      <c r="SVX142" s="21"/>
      <c r="SVY142" s="21"/>
      <c r="SVZ142" s="21"/>
      <c r="SWA142" s="21"/>
      <c r="SWB142" s="21"/>
      <c r="SWC142" s="21"/>
      <c r="SWD142" s="21"/>
      <c r="SWE142" s="21"/>
      <c r="SWF142" s="21"/>
      <c r="SWG142" s="21"/>
      <c r="SWH142" s="21"/>
      <c r="SWI142" s="21"/>
      <c r="SWJ142" s="21"/>
      <c r="SWK142" s="21"/>
      <c r="SWL142" s="21"/>
      <c r="SWM142" s="21"/>
      <c r="SWN142" s="21"/>
      <c r="SWO142" s="21"/>
      <c r="SWP142" s="21"/>
      <c r="SWQ142" s="21"/>
      <c r="SWR142" s="21"/>
      <c r="SWS142" s="21"/>
      <c r="SWT142" s="21"/>
      <c r="SWU142" s="21"/>
      <c r="SWV142" s="21"/>
      <c r="SWW142" s="21"/>
      <c r="SWX142" s="21"/>
      <c r="SWY142" s="21"/>
      <c r="SWZ142" s="21"/>
      <c r="SXA142" s="21"/>
      <c r="SXB142" s="21"/>
      <c r="SXC142" s="21"/>
      <c r="SXD142" s="21"/>
      <c r="SXE142" s="21"/>
      <c r="SXF142" s="21"/>
      <c r="SXG142" s="21"/>
      <c r="SXH142" s="21"/>
      <c r="SXI142" s="21"/>
      <c r="SXJ142" s="21"/>
      <c r="SXK142" s="21"/>
      <c r="SXL142" s="21"/>
      <c r="SXM142" s="21"/>
      <c r="SXN142" s="21"/>
      <c r="SXO142" s="21"/>
      <c r="SXP142" s="21"/>
      <c r="SXQ142" s="21"/>
      <c r="SXR142" s="21"/>
      <c r="SXS142" s="21"/>
      <c r="SXT142" s="21"/>
      <c r="SXU142" s="21"/>
      <c r="SXV142" s="21"/>
      <c r="SXW142" s="21"/>
      <c r="SXX142" s="21"/>
      <c r="SXY142" s="21"/>
      <c r="SXZ142" s="21"/>
      <c r="SYA142" s="21"/>
      <c r="SYB142" s="21"/>
      <c r="SYC142" s="21"/>
      <c r="SYD142" s="21"/>
      <c r="SYE142" s="21"/>
      <c r="SYF142" s="21"/>
      <c r="SYG142" s="21"/>
      <c r="SYH142" s="21"/>
      <c r="SYI142" s="21"/>
      <c r="SYJ142" s="21"/>
      <c r="SYK142" s="21"/>
      <c r="SYL142" s="21"/>
      <c r="SYM142" s="21"/>
      <c r="SYN142" s="21"/>
      <c r="SYO142" s="21"/>
      <c r="SYP142" s="21"/>
      <c r="SYQ142" s="21"/>
      <c r="SYR142" s="21"/>
      <c r="SYS142" s="21"/>
      <c r="SYT142" s="21"/>
      <c r="SYU142" s="21"/>
      <c r="SYV142" s="21"/>
      <c r="SYW142" s="21"/>
      <c r="SYX142" s="21"/>
      <c r="SYY142" s="21"/>
      <c r="SYZ142" s="21"/>
      <c r="SZA142" s="21"/>
      <c r="SZB142" s="21"/>
      <c r="SZC142" s="21"/>
      <c r="SZD142" s="21"/>
      <c r="SZE142" s="21"/>
      <c r="SZF142" s="21"/>
      <c r="SZG142" s="21"/>
      <c r="SZH142" s="21"/>
      <c r="SZI142" s="21"/>
      <c r="SZJ142" s="21"/>
      <c r="SZK142" s="21"/>
      <c r="SZL142" s="21"/>
      <c r="SZM142" s="21"/>
      <c r="SZN142" s="21"/>
      <c r="SZO142" s="21"/>
      <c r="SZP142" s="21"/>
      <c r="SZQ142" s="21"/>
      <c r="SZR142" s="21"/>
      <c r="SZS142" s="21"/>
      <c r="SZT142" s="21"/>
      <c r="SZU142" s="21"/>
      <c r="SZV142" s="21"/>
      <c r="SZW142" s="21"/>
      <c r="SZX142" s="21"/>
      <c r="SZY142" s="21"/>
      <c r="SZZ142" s="21"/>
      <c r="TAA142" s="21"/>
      <c r="TAB142" s="21"/>
      <c r="TAC142" s="21"/>
      <c r="TAD142" s="21"/>
      <c r="TAE142" s="21"/>
      <c r="TAF142" s="21"/>
      <c r="TAG142" s="21"/>
      <c r="TAH142" s="21"/>
      <c r="TAI142" s="21"/>
      <c r="TAJ142" s="21"/>
      <c r="TAK142" s="21"/>
      <c r="TAL142" s="21"/>
      <c r="TAM142" s="21"/>
      <c r="TAN142" s="21"/>
      <c r="TAO142" s="21"/>
      <c r="TAP142" s="21"/>
      <c r="TAQ142" s="21"/>
      <c r="TAR142" s="21"/>
      <c r="TAS142" s="21"/>
      <c r="TAT142" s="21"/>
      <c r="TAU142" s="21"/>
      <c r="TAV142" s="21"/>
      <c r="TAW142" s="21"/>
      <c r="TAX142" s="21"/>
      <c r="TAY142" s="21"/>
      <c r="TAZ142" s="21"/>
      <c r="TBA142" s="21"/>
      <c r="TBB142" s="21"/>
      <c r="TBC142" s="21"/>
      <c r="TBD142" s="21"/>
      <c r="TBE142" s="21"/>
      <c r="TBF142" s="21"/>
      <c r="TBG142" s="21"/>
      <c r="TBH142" s="21"/>
      <c r="TBI142" s="21"/>
      <c r="TBJ142" s="21"/>
      <c r="TBK142" s="21"/>
      <c r="TBL142" s="21"/>
      <c r="TBM142" s="21"/>
      <c r="TBN142" s="21"/>
      <c r="TBO142" s="21"/>
      <c r="TBP142" s="21"/>
      <c r="TBQ142" s="21"/>
      <c r="TBR142" s="21"/>
      <c r="TBS142" s="21"/>
      <c r="TBT142" s="21"/>
      <c r="TBU142" s="21"/>
      <c r="TBV142" s="21"/>
      <c r="TBW142" s="21"/>
      <c r="TBX142" s="21"/>
      <c r="TBY142" s="21"/>
      <c r="TBZ142" s="21"/>
      <c r="TCA142" s="21"/>
      <c r="TCB142" s="21"/>
      <c r="TCC142" s="21"/>
      <c r="TCD142" s="21"/>
      <c r="TCE142" s="21"/>
      <c r="TCF142" s="21"/>
      <c r="TCG142" s="21"/>
      <c r="TCH142" s="21"/>
      <c r="TCI142" s="21"/>
      <c r="TCJ142" s="21"/>
      <c r="TCK142" s="21"/>
      <c r="TCL142" s="21"/>
      <c r="TCM142" s="21"/>
      <c r="TCN142" s="21"/>
      <c r="TCO142" s="21"/>
      <c r="TCP142" s="21"/>
      <c r="TCQ142" s="21"/>
      <c r="TCR142" s="21"/>
      <c r="TCS142" s="21"/>
      <c r="TCT142" s="21"/>
      <c r="TCU142" s="21"/>
      <c r="TCV142" s="21"/>
      <c r="TCW142" s="21"/>
      <c r="TCX142" s="21"/>
      <c r="TCY142" s="21"/>
      <c r="TCZ142" s="21"/>
      <c r="TDA142" s="21"/>
      <c r="TDB142" s="21"/>
      <c r="TDC142" s="21"/>
      <c r="TDD142" s="21"/>
      <c r="TDE142" s="21"/>
      <c r="TDF142" s="21"/>
      <c r="TDG142" s="21"/>
      <c r="TDH142" s="21"/>
      <c r="TDI142" s="21"/>
      <c r="TDJ142" s="21"/>
      <c r="TDK142" s="21"/>
      <c r="TDL142" s="21"/>
      <c r="TDM142" s="21"/>
      <c r="TDN142" s="21"/>
      <c r="TDO142" s="21"/>
      <c r="TDP142" s="21"/>
      <c r="TDQ142" s="21"/>
      <c r="TDR142" s="21"/>
      <c r="TDS142" s="21"/>
      <c r="TDT142" s="21"/>
      <c r="TDU142" s="21"/>
      <c r="TDV142" s="21"/>
      <c r="TDW142" s="21"/>
      <c r="TDX142" s="21"/>
      <c r="TDY142" s="21"/>
      <c r="TDZ142" s="21"/>
      <c r="TEA142" s="21"/>
      <c r="TEB142" s="21"/>
      <c r="TEC142" s="21"/>
      <c r="TED142" s="21"/>
      <c r="TEE142" s="21"/>
      <c r="TEF142" s="21"/>
      <c r="TEG142" s="21"/>
      <c r="TEH142" s="21"/>
      <c r="TEI142" s="21"/>
      <c r="TEJ142" s="21"/>
      <c r="TEK142" s="21"/>
      <c r="TEL142" s="21"/>
      <c r="TEM142" s="21"/>
      <c r="TEN142" s="21"/>
      <c r="TEO142" s="21"/>
      <c r="TEP142" s="21"/>
      <c r="TEQ142" s="21"/>
      <c r="TER142" s="21"/>
      <c r="TES142" s="21"/>
      <c r="TET142" s="21"/>
      <c r="TEU142" s="21"/>
      <c r="TEV142" s="21"/>
      <c r="TEW142" s="21"/>
      <c r="TEX142" s="21"/>
      <c r="TEY142" s="21"/>
      <c r="TEZ142" s="21"/>
      <c r="TFA142" s="21"/>
      <c r="TFB142" s="21"/>
      <c r="TFC142" s="21"/>
      <c r="TFD142" s="21"/>
      <c r="TFE142" s="21"/>
      <c r="TFF142" s="21"/>
      <c r="TFG142" s="21"/>
      <c r="TFH142" s="21"/>
      <c r="TFI142" s="21"/>
      <c r="TFJ142" s="21"/>
      <c r="TFK142" s="21"/>
      <c r="TFL142" s="21"/>
      <c r="TFM142" s="21"/>
      <c r="TFN142" s="21"/>
      <c r="TFO142" s="21"/>
      <c r="TFP142" s="21"/>
      <c r="TFQ142" s="21"/>
      <c r="TFR142" s="21"/>
      <c r="TFS142" s="21"/>
      <c r="TFT142" s="21"/>
      <c r="TFU142" s="21"/>
      <c r="TFV142" s="21"/>
      <c r="TFW142" s="21"/>
      <c r="TFX142" s="21"/>
      <c r="TFY142" s="21"/>
      <c r="TFZ142" s="21"/>
      <c r="TGA142" s="21"/>
      <c r="TGB142" s="21"/>
      <c r="TGC142" s="21"/>
      <c r="TGD142" s="21"/>
      <c r="TGE142" s="21"/>
      <c r="TGF142" s="21"/>
      <c r="TGG142" s="21"/>
      <c r="TGH142" s="21"/>
      <c r="TGI142" s="21"/>
      <c r="TGJ142" s="21"/>
      <c r="TGK142" s="21"/>
      <c r="TGL142" s="21"/>
      <c r="TGM142" s="21"/>
      <c r="TGN142" s="21"/>
      <c r="TGO142" s="21"/>
      <c r="TGP142" s="21"/>
      <c r="TGQ142" s="21"/>
      <c r="TGR142" s="21"/>
      <c r="TGS142" s="21"/>
      <c r="TGT142" s="21"/>
      <c r="TGU142" s="21"/>
      <c r="TGV142" s="21"/>
      <c r="TGW142" s="21"/>
      <c r="TGX142" s="21"/>
      <c r="TGY142" s="21"/>
      <c r="TGZ142" s="21"/>
      <c r="THA142" s="21"/>
      <c r="THB142" s="21"/>
      <c r="THC142" s="21"/>
      <c r="THD142" s="21"/>
      <c r="THE142" s="21"/>
      <c r="THF142" s="21"/>
      <c r="THG142" s="21"/>
      <c r="THH142" s="21"/>
      <c r="THI142" s="21"/>
      <c r="THJ142" s="21"/>
      <c r="THK142" s="21"/>
      <c r="THL142" s="21"/>
      <c r="THM142" s="21"/>
      <c r="THN142" s="21"/>
      <c r="THO142" s="21"/>
      <c r="THP142" s="21"/>
      <c r="THQ142" s="21"/>
      <c r="THR142" s="21"/>
      <c r="THS142" s="21"/>
      <c r="THT142" s="21"/>
      <c r="THU142" s="21"/>
      <c r="THV142" s="21"/>
      <c r="THW142" s="21"/>
      <c r="THX142" s="21"/>
      <c r="THY142" s="21"/>
      <c r="THZ142" s="21"/>
      <c r="TIA142" s="21"/>
      <c r="TIB142" s="21"/>
      <c r="TIC142" s="21"/>
      <c r="TID142" s="21"/>
      <c r="TIE142" s="21"/>
      <c r="TIF142" s="21"/>
      <c r="TIG142" s="21"/>
      <c r="TIH142" s="21"/>
      <c r="TII142" s="21"/>
      <c r="TIJ142" s="21"/>
      <c r="TIK142" s="21"/>
      <c r="TIL142" s="21"/>
      <c r="TIM142" s="21"/>
      <c r="TIN142" s="21"/>
      <c r="TIO142" s="21"/>
      <c r="TIP142" s="21"/>
      <c r="TIQ142" s="21"/>
      <c r="TIR142" s="21"/>
      <c r="TIS142" s="21"/>
      <c r="TIT142" s="21"/>
      <c r="TIU142" s="21"/>
      <c r="TIV142" s="21"/>
      <c r="TIW142" s="21"/>
      <c r="TIX142" s="21"/>
      <c r="TIY142" s="21"/>
      <c r="TIZ142" s="21"/>
      <c r="TJA142" s="21"/>
      <c r="TJB142" s="21"/>
      <c r="TJC142" s="21"/>
      <c r="TJD142" s="21"/>
      <c r="TJE142" s="21"/>
      <c r="TJF142" s="21"/>
      <c r="TJG142" s="21"/>
      <c r="TJH142" s="21"/>
      <c r="TJI142" s="21"/>
      <c r="TJJ142" s="21"/>
      <c r="TJK142" s="21"/>
      <c r="TJL142" s="21"/>
      <c r="TJM142" s="21"/>
      <c r="TJN142" s="21"/>
      <c r="TJO142" s="21"/>
      <c r="TJP142" s="21"/>
      <c r="TJQ142" s="21"/>
      <c r="TJR142" s="21"/>
      <c r="TJS142" s="21"/>
      <c r="TJT142" s="21"/>
      <c r="TJU142" s="21"/>
      <c r="TJV142" s="21"/>
      <c r="TJW142" s="21"/>
      <c r="TJX142" s="21"/>
      <c r="TJY142" s="21"/>
      <c r="TJZ142" s="21"/>
      <c r="TKA142" s="21"/>
      <c r="TKB142" s="21"/>
      <c r="TKC142" s="21"/>
      <c r="TKD142" s="21"/>
      <c r="TKE142" s="21"/>
      <c r="TKF142" s="21"/>
      <c r="TKG142" s="21"/>
      <c r="TKH142" s="21"/>
      <c r="TKI142" s="21"/>
      <c r="TKJ142" s="21"/>
      <c r="TKK142" s="21"/>
      <c r="TKL142" s="21"/>
      <c r="TKM142" s="21"/>
      <c r="TKN142" s="21"/>
      <c r="TKO142" s="21"/>
      <c r="TKP142" s="21"/>
      <c r="TKQ142" s="21"/>
      <c r="TKR142" s="21"/>
      <c r="TKS142" s="21"/>
      <c r="TKT142" s="21"/>
      <c r="TKU142" s="21"/>
      <c r="TKV142" s="21"/>
      <c r="TKW142" s="21"/>
      <c r="TKX142" s="21"/>
      <c r="TKY142" s="21"/>
      <c r="TKZ142" s="21"/>
      <c r="TLA142" s="21"/>
      <c r="TLB142" s="21"/>
      <c r="TLC142" s="21"/>
      <c r="TLD142" s="21"/>
      <c r="TLE142" s="21"/>
      <c r="TLF142" s="21"/>
      <c r="TLG142" s="21"/>
      <c r="TLH142" s="21"/>
      <c r="TLI142" s="21"/>
      <c r="TLJ142" s="21"/>
      <c r="TLK142" s="21"/>
      <c r="TLL142" s="21"/>
      <c r="TLM142" s="21"/>
      <c r="TLN142" s="21"/>
      <c r="TLO142" s="21"/>
      <c r="TLP142" s="21"/>
      <c r="TLQ142" s="21"/>
      <c r="TLR142" s="21"/>
      <c r="TLS142" s="21"/>
      <c r="TLT142" s="21"/>
      <c r="TLU142" s="21"/>
      <c r="TLV142" s="21"/>
      <c r="TLW142" s="21"/>
      <c r="TLX142" s="21"/>
      <c r="TLY142" s="21"/>
      <c r="TLZ142" s="21"/>
      <c r="TMA142" s="21"/>
      <c r="TMB142" s="21"/>
      <c r="TMC142" s="21"/>
      <c r="TMD142" s="21"/>
      <c r="TME142" s="21"/>
      <c r="TMF142" s="21"/>
      <c r="TMG142" s="21"/>
      <c r="TMH142" s="21"/>
      <c r="TMI142" s="21"/>
      <c r="TMJ142" s="21"/>
      <c r="TMK142" s="21"/>
      <c r="TML142" s="21"/>
      <c r="TMM142" s="21"/>
      <c r="TMN142" s="21"/>
      <c r="TMO142" s="21"/>
      <c r="TMP142" s="21"/>
      <c r="TMQ142" s="21"/>
      <c r="TMR142" s="21"/>
      <c r="TMS142" s="21"/>
      <c r="TMT142" s="21"/>
      <c r="TMU142" s="21"/>
      <c r="TMV142" s="21"/>
      <c r="TMW142" s="21"/>
      <c r="TMX142" s="21"/>
      <c r="TMY142" s="21"/>
      <c r="TMZ142" s="21"/>
      <c r="TNA142" s="21"/>
      <c r="TNB142" s="21"/>
      <c r="TNC142" s="21"/>
      <c r="TND142" s="21"/>
      <c r="TNE142" s="21"/>
      <c r="TNF142" s="21"/>
      <c r="TNG142" s="21"/>
      <c r="TNH142" s="21"/>
      <c r="TNI142" s="21"/>
      <c r="TNJ142" s="21"/>
      <c r="TNK142" s="21"/>
      <c r="TNL142" s="21"/>
      <c r="TNM142" s="21"/>
      <c r="TNN142" s="21"/>
      <c r="TNO142" s="21"/>
      <c r="TNP142" s="21"/>
      <c r="TNQ142" s="21"/>
      <c r="TNR142" s="21"/>
      <c r="TNS142" s="21"/>
      <c r="TNT142" s="21"/>
      <c r="TNU142" s="21"/>
      <c r="TNV142" s="21"/>
      <c r="TNW142" s="21"/>
      <c r="TNX142" s="21"/>
      <c r="TNY142" s="21"/>
      <c r="TNZ142" s="21"/>
      <c r="TOA142" s="21"/>
      <c r="TOB142" s="21"/>
      <c r="TOC142" s="21"/>
      <c r="TOD142" s="21"/>
      <c r="TOE142" s="21"/>
      <c r="TOF142" s="21"/>
      <c r="TOG142" s="21"/>
      <c r="TOH142" s="21"/>
      <c r="TOI142" s="21"/>
      <c r="TOJ142" s="21"/>
      <c r="TOK142" s="21"/>
      <c r="TOL142" s="21"/>
      <c r="TOM142" s="21"/>
      <c r="TON142" s="21"/>
      <c r="TOO142" s="21"/>
      <c r="TOP142" s="21"/>
      <c r="TOQ142" s="21"/>
      <c r="TOR142" s="21"/>
      <c r="TOS142" s="21"/>
      <c r="TOT142" s="21"/>
      <c r="TOU142" s="21"/>
      <c r="TOV142" s="21"/>
      <c r="TOW142" s="21"/>
      <c r="TOX142" s="21"/>
      <c r="TOY142" s="21"/>
      <c r="TOZ142" s="21"/>
      <c r="TPA142" s="21"/>
      <c r="TPB142" s="21"/>
      <c r="TPC142" s="21"/>
      <c r="TPD142" s="21"/>
      <c r="TPE142" s="21"/>
      <c r="TPF142" s="21"/>
      <c r="TPG142" s="21"/>
      <c r="TPH142" s="21"/>
      <c r="TPI142" s="21"/>
      <c r="TPJ142" s="21"/>
      <c r="TPK142" s="21"/>
      <c r="TPL142" s="21"/>
      <c r="TPM142" s="21"/>
      <c r="TPN142" s="21"/>
      <c r="TPO142" s="21"/>
      <c r="TPP142" s="21"/>
      <c r="TPQ142" s="21"/>
      <c r="TPR142" s="21"/>
      <c r="TPS142" s="21"/>
      <c r="TPT142" s="21"/>
      <c r="TPU142" s="21"/>
      <c r="TPV142" s="21"/>
      <c r="TPW142" s="21"/>
      <c r="TPX142" s="21"/>
      <c r="TPY142" s="21"/>
      <c r="TPZ142" s="21"/>
      <c r="TQA142" s="21"/>
      <c r="TQB142" s="21"/>
      <c r="TQC142" s="21"/>
      <c r="TQD142" s="21"/>
      <c r="TQE142" s="21"/>
      <c r="TQF142" s="21"/>
      <c r="TQG142" s="21"/>
      <c r="TQH142" s="21"/>
      <c r="TQI142" s="21"/>
      <c r="TQJ142" s="21"/>
      <c r="TQK142" s="21"/>
      <c r="TQL142" s="21"/>
      <c r="TQM142" s="21"/>
      <c r="TQN142" s="21"/>
      <c r="TQO142" s="21"/>
      <c r="TQP142" s="21"/>
      <c r="TQQ142" s="21"/>
      <c r="TQR142" s="21"/>
      <c r="TQS142" s="21"/>
      <c r="TQT142" s="21"/>
      <c r="TQU142" s="21"/>
      <c r="TQV142" s="21"/>
      <c r="TQW142" s="21"/>
      <c r="TQX142" s="21"/>
      <c r="TQY142" s="21"/>
      <c r="TQZ142" s="21"/>
      <c r="TRA142" s="21"/>
      <c r="TRB142" s="21"/>
      <c r="TRC142" s="21"/>
      <c r="TRD142" s="21"/>
      <c r="TRE142" s="21"/>
      <c r="TRF142" s="21"/>
      <c r="TRG142" s="21"/>
      <c r="TRH142" s="21"/>
      <c r="TRI142" s="21"/>
      <c r="TRJ142" s="21"/>
      <c r="TRK142" s="21"/>
      <c r="TRL142" s="21"/>
      <c r="TRM142" s="21"/>
      <c r="TRN142" s="21"/>
      <c r="TRO142" s="21"/>
      <c r="TRP142" s="21"/>
      <c r="TRQ142" s="21"/>
      <c r="TRR142" s="21"/>
      <c r="TRS142" s="21"/>
      <c r="TRT142" s="21"/>
      <c r="TRU142" s="21"/>
      <c r="TRV142" s="21"/>
      <c r="TRW142" s="21"/>
      <c r="TRX142" s="21"/>
      <c r="TRY142" s="21"/>
      <c r="TRZ142" s="21"/>
      <c r="TSA142" s="21"/>
      <c r="TSB142" s="21"/>
      <c r="TSC142" s="21"/>
      <c r="TSD142" s="21"/>
      <c r="TSE142" s="21"/>
      <c r="TSF142" s="21"/>
      <c r="TSG142" s="21"/>
      <c r="TSH142" s="21"/>
      <c r="TSI142" s="21"/>
      <c r="TSJ142" s="21"/>
      <c r="TSK142" s="21"/>
      <c r="TSL142" s="21"/>
      <c r="TSM142" s="21"/>
      <c r="TSN142" s="21"/>
      <c r="TSO142" s="21"/>
      <c r="TSP142" s="21"/>
      <c r="TSQ142" s="21"/>
      <c r="TSR142" s="21"/>
      <c r="TSS142" s="21"/>
      <c r="TST142" s="21"/>
      <c r="TSU142" s="21"/>
      <c r="TSV142" s="21"/>
      <c r="TSW142" s="21"/>
      <c r="TSX142" s="21"/>
      <c r="TSY142" s="21"/>
      <c r="TSZ142" s="21"/>
      <c r="TTA142" s="21"/>
      <c r="TTB142" s="21"/>
      <c r="TTC142" s="21"/>
      <c r="TTD142" s="21"/>
      <c r="TTE142" s="21"/>
      <c r="TTF142" s="21"/>
      <c r="TTG142" s="21"/>
      <c r="TTH142" s="21"/>
      <c r="TTI142" s="21"/>
      <c r="TTJ142" s="21"/>
      <c r="TTK142" s="21"/>
      <c r="TTL142" s="21"/>
      <c r="TTM142" s="21"/>
      <c r="TTN142" s="21"/>
      <c r="TTO142" s="21"/>
      <c r="TTP142" s="21"/>
      <c r="TTQ142" s="21"/>
      <c r="TTR142" s="21"/>
      <c r="TTS142" s="21"/>
      <c r="TTT142" s="21"/>
      <c r="TTU142" s="21"/>
      <c r="TTV142" s="21"/>
      <c r="TTW142" s="21"/>
      <c r="TTX142" s="21"/>
      <c r="TTY142" s="21"/>
      <c r="TTZ142" s="21"/>
      <c r="TUA142" s="21"/>
      <c r="TUB142" s="21"/>
      <c r="TUC142" s="21"/>
      <c r="TUD142" s="21"/>
      <c r="TUE142" s="21"/>
      <c r="TUF142" s="21"/>
      <c r="TUG142" s="21"/>
      <c r="TUH142" s="21"/>
      <c r="TUI142" s="21"/>
      <c r="TUJ142" s="21"/>
      <c r="TUK142" s="21"/>
      <c r="TUL142" s="21"/>
      <c r="TUM142" s="21"/>
      <c r="TUN142" s="21"/>
      <c r="TUO142" s="21"/>
      <c r="TUP142" s="21"/>
      <c r="TUQ142" s="21"/>
      <c r="TUR142" s="21"/>
      <c r="TUS142" s="21"/>
      <c r="TUT142" s="21"/>
      <c r="TUU142" s="21"/>
      <c r="TUV142" s="21"/>
      <c r="TUW142" s="21"/>
      <c r="TUX142" s="21"/>
      <c r="TUY142" s="21"/>
      <c r="TUZ142" s="21"/>
      <c r="TVA142" s="21"/>
      <c r="TVB142" s="21"/>
      <c r="TVC142" s="21"/>
      <c r="TVD142" s="21"/>
      <c r="TVE142" s="21"/>
      <c r="TVF142" s="21"/>
      <c r="TVG142" s="21"/>
      <c r="TVH142" s="21"/>
      <c r="TVI142" s="21"/>
      <c r="TVJ142" s="21"/>
      <c r="TVK142" s="21"/>
      <c r="TVL142" s="21"/>
      <c r="TVM142" s="21"/>
      <c r="TVN142" s="21"/>
      <c r="TVO142" s="21"/>
      <c r="TVP142" s="21"/>
      <c r="TVQ142" s="21"/>
      <c r="TVR142" s="21"/>
      <c r="TVS142" s="21"/>
      <c r="TVT142" s="21"/>
      <c r="TVU142" s="21"/>
      <c r="TVV142" s="21"/>
      <c r="TVW142" s="21"/>
      <c r="TVX142" s="21"/>
      <c r="TVY142" s="21"/>
      <c r="TVZ142" s="21"/>
      <c r="TWA142" s="21"/>
      <c r="TWB142" s="21"/>
      <c r="TWC142" s="21"/>
      <c r="TWD142" s="21"/>
      <c r="TWE142" s="21"/>
      <c r="TWF142" s="21"/>
      <c r="TWG142" s="21"/>
      <c r="TWH142" s="21"/>
      <c r="TWI142" s="21"/>
      <c r="TWJ142" s="21"/>
      <c r="TWK142" s="21"/>
      <c r="TWL142" s="21"/>
      <c r="TWM142" s="21"/>
      <c r="TWN142" s="21"/>
      <c r="TWO142" s="21"/>
      <c r="TWP142" s="21"/>
      <c r="TWQ142" s="21"/>
      <c r="TWR142" s="21"/>
      <c r="TWS142" s="21"/>
      <c r="TWT142" s="21"/>
      <c r="TWU142" s="21"/>
      <c r="TWV142" s="21"/>
      <c r="TWW142" s="21"/>
      <c r="TWX142" s="21"/>
      <c r="TWY142" s="21"/>
      <c r="TWZ142" s="21"/>
      <c r="TXA142" s="21"/>
      <c r="TXB142" s="21"/>
      <c r="TXC142" s="21"/>
      <c r="TXD142" s="21"/>
      <c r="TXE142" s="21"/>
      <c r="TXF142" s="21"/>
      <c r="TXG142" s="21"/>
      <c r="TXH142" s="21"/>
      <c r="TXI142" s="21"/>
      <c r="TXJ142" s="21"/>
      <c r="TXK142" s="21"/>
      <c r="TXL142" s="21"/>
      <c r="TXM142" s="21"/>
      <c r="TXN142" s="21"/>
      <c r="TXO142" s="21"/>
      <c r="TXP142" s="21"/>
      <c r="TXQ142" s="21"/>
      <c r="TXR142" s="21"/>
      <c r="TXS142" s="21"/>
      <c r="TXT142" s="21"/>
      <c r="TXU142" s="21"/>
      <c r="TXV142" s="21"/>
      <c r="TXW142" s="21"/>
      <c r="TXX142" s="21"/>
      <c r="TXY142" s="21"/>
      <c r="TXZ142" s="21"/>
      <c r="TYA142" s="21"/>
      <c r="TYB142" s="21"/>
      <c r="TYC142" s="21"/>
      <c r="TYD142" s="21"/>
      <c r="TYE142" s="21"/>
      <c r="TYF142" s="21"/>
      <c r="TYG142" s="21"/>
      <c r="TYH142" s="21"/>
      <c r="TYI142" s="21"/>
      <c r="TYJ142" s="21"/>
      <c r="TYK142" s="21"/>
      <c r="TYL142" s="21"/>
      <c r="TYM142" s="21"/>
      <c r="TYN142" s="21"/>
      <c r="TYO142" s="21"/>
      <c r="TYP142" s="21"/>
      <c r="TYQ142" s="21"/>
      <c r="TYR142" s="21"/>
      <c r="TYS142" s="21"/>
      <c r="TYT142" s="21"/>
      <c r="TYU142" s="21"/>
      <c r="TYV142" s="21"/>
      <c r="TYW142" s="21"/>
      <c r="TYX142" s="21"/>
      <c r="TYY142" s="21"/>
      <c r="TYZ142" s="21"/>
      <c r="TZA142" s="21"/>
      <c r="TZB142" s="21"/>
      <c r="TZC142" s="21"/>
      <c r="TZD142" s="21"/>
      <c r="TZE142" s="21"/>
      <c r="TZF142" s="21"/>
      <c r="TZG142" s="21"/>
      <c r="TZH142" s="21"/>
      <c r="TZI142" s="21"/>
      <c r="TZJ142" s="21"/>
      <c r="TZK142" s="21"/>
      <c r="TZL142" s="21"/>
      <c r="TZM142" s="21"/>
      <c r="TZN142" s="21"/>
      <c r="TZO142" s="21"/>
      <c r="TZP142" s="21"/>
      <c r="TZQ142" s="21"/>
      <c r="TZR142" s="21"/>
      <c r="TZS142" s="21"/>
      <c r="TZT142" s="21"/>
      <c r="TZU142" s="21"/>
      <c r="TZV142" s="21"/>
      <c r="TZW142" s="21"/>
      <c r="TZX142" s="21"/>
      <c r="TZY142" s="21"/>
      <c r="TZZ142" s="21"/>
      <c r="UAA142" s="21"/>
      <c r="UAB142" s="21"/>
      <c r="UAC142" s="21"/>
      <c r="UAD142" s="21"/>
      <c r="UAE142" s="21"/>
      <c r="UAF142" s="21"/>
      <c r="UAG142" s="21"/>
      <c r="UAH142" s="21"/>
      <c r="UAI142" s="21"/>
      <c r="UAJ142" s="21"/>
      <c r="UAK142" s="21"/>
      <c r="UAL142" s="21"/>
      <c r="UAM142" s="21"/>
      <c r="UAN142" s="21"/>
      <c r="UAO142" s="21"/>
      <c r="UAP142" s="21"/>
      <c r="UAQ142" s="21"/>
      <c r="UAR142" s="21"/>
      <c r="UAS142" s="21"/>
      <c r="UAT142" s="21"/>
      <c r="UAU142" s="21"/>
      <c r="UAV142" s="21"/>
      <c r="UAW142" s="21"/>
      <c r="UAX142" s="21"/>
      <c r="UAY142" s="21"/>
      <c r="UAZ142" s="21"/>
      <c r="UBA142" s="21"/>
      <c r="UBB142" s="21"/>
      <c r="UBC142" s="21"/>
      <c r="UBD142" s="21"/>
      <c r="UBE142" s="21"/>
      <c r="UBF142" s="21"/>
      <c r="UBG142" s="21"/>
      <c r="UBH142" s="21"/>
      <c r="UBI142" s="21"/>
      <c r="UBJ142" s="21"/>
      <c r="UBK142" s="21"/>
      <c r="UBL142" s="21"/>
      <c r="UBM142" s="21"/>
      <c r="UBN142" s="21"/>
      <c r="UBO142" s="21"/>
      <c r="UBP142" s="21"/>
      <c r="UBQ142" s="21"/>
      <c r="UBR142" s="21"/>
      <c r="UBS142" s="21"/>
      <c r="UBT142" s="21"/>
      <c r="UBU142" s="21"/>
      <c r="UBV142" s="21"/>
      <c r="UBW142" s="21"/>
      <c r="UBX142" s="21"/>
      <c r="UBY142" s="21"/>
      <c r="UBZ142" s="21"/>
      <c r="UCA142" s="21"/>
      <c r="UCB142" s="21"/>
      <c r="UCC142" s="21"/>
      <c r="UCD142" s="21"/>
      <c r="UCE142" s="21"/>
      <c r="UCF142" s="21"/>
      <c r="UCG142" s="21"/>
      <c r="UCH142" s="21"/>
      <c r="UCI142" s="21"/>
      <c r="UCJ142" s="21"/>
      <c r="UCK142" s="21"/>
      <c r="UCL142" s="21"/>
      <c r="UCM142" s="21"/>
      <c r="UCN142" s="21"/>
      <c r="UCO142" s="21"/>
      <c r="UCP142" s="21"/>
      <c r="UCQ142" s="21"/>
      <c r="UCR142" s="21"/>
      <c r="UCS142" s="21"/>
      <c r="UCT142" s="21"/>
      <c r="UCU142" s="21"/>
      <c r="UCV142" s="21"/>
      <c r="UCW142" s="21"/>
      <c r="UCX142" s="21"/>
      <c r="UCY142" s="21"/>
      <c r="UCZ142" s="21"/>
      <c r="UDA142" s="21"/>
      <c r="UDB142" s="21"/>
      <c r="UDC142" s="21"/>
      <c r="UDD142" s="21"/>
      <c r="UDE142" s="21"/>
      <c r="UDF142" s="21"/>
      <c r="UDG142" s="21"/>
      <c r="UDH142" s="21"/>
      <c r="UDI142" s="21"/>
      <c r="UDJ142" s="21"/>
      <c r="UDK142" s="21"/>
      <c r="UDL142" s="21"/>
      <c r="UDM142" s="21"/>
      <c r="UDN142" s="21"/>
      <c r="UDO142" s="21"/>
      <c r="UDP142" s="21"/>
      <c r="UDQ142" s="21"/>
      <c r="UDR142" s="21"/>
      <c r="UDS142" s="21"/>
      <c r="UDT142" s="21"/>
      <c r="UDU142" s="21"/>
      <c r="UDV142" s="21"/>
      <c r="UDW142" s="21"/>
      <c r="UDX142" s="21"/>
      <c r="UDY142" s="21"/>
      <c r="UDZ142" s="21"/>
      <c r="UEA142" s="21"/>
      <c r="UEB142" s="21"/>
      <c r="UEC142" s="21"/>
      <c r="UED142" s="21"/>
      <c r="UEE142" s="21"/>
      <c r="UEF142" s="21"/>
      <c r="UEG142" s="21"/>
      <c r="UEH142" s="21"/>
      <c r="UEI142" s="21"/>
      <c r="UEJ142" s="21"/>
      <c r="UEK142" s="21"/>
      <c r="UEL142" s="21"/>
      <c r="UEM142" s="21"/>
      <c r="UEN142" s="21"/>
      <c r="UEO142" s="21"/>
      <c r="UEP142" s="21"/>
      <c r="UEQ142" s="21"/>
      <c r="UER142" s="21"/>
      <c r="UES142" s="21"/>
      <c r="UET142" s="21"/>
      <c r="UEU142" s="21"/>
      <c r="UEV142" s="21"/>
      <c r="UEW142" s="21"/>
      <c r="UEX142" s="21"/>
      <c r="UEY142" s="21"/>
      <c r="UEZ142" s="21"/>
      <c r="UFA142" s="21"/>
      <c r="UFB142" s="21"/>
      <c r="UFC142" s="21"/>
      <c r="UFD142" s="21"/>
      <c r="UFE142" s="21"/>
      <c r="UFF142" s="21"/>
      <c r="UFG142" s="21"/>
      <c r="UFH142" s="21"/>
      <c r="UFI142" s="21"/>
      <c r="UFJ142" s="21"/>
      <c r="UFK142" s="21"/>
      <c r="UFL142" s="21"/>
      <c r="UFM142" s="21"/>
      <c r="UFN142" s="21"/>
      <c r="UFO142" s="21"/>
      <c r="UFP142" s="21"/>
      <c r="UFQ142" s="21"/>
      <c r="UFR142" s="21"/>
      <c r="UFS142" s="21"/>
      <c r="UFT142" s="21"/>
      <c r="UFU142" s="21"/>
      <c r="UFV142" s="21"/>
      <c r="UFW142" s="21"/>
      <c r="UFX142" s="21"/>
      <c r="UFY142" s="21"/>
      <c r="UFZ142" s="21"/>
      <c r="UGA142" s="21"/>
      <c r="UGB142" s="21"/>
      <c r="UGC142" s="21"/>
      <c r="UGD142" s="21"/>
      <c r="UGE142" s="21"/>
      <c r="UGF142" s="21"/>
      <c r="UGG142" s="21"/>
      <c r="UGH142" s="21"/>
      <c r="UGI142" s="21"/>
      <c r="UGJ142" s="21"/>
      <c r="UGK142" s="21"/>
      <c r="UGL142" s="21"/>
      <c r="UGM142" s="21"/>
      <c r="UGN142" s="21"/>
      <c r="UGO142" s="21"/>
      <c r="UGP142" s="21"/>
      <c r="UGQ142" s="21"/>
      <c r="UGR142" s="21"/>
      <c r="UGS142" s="21"/>
      <c r="UGT142" s="21"/>
      <c r="UGU142" s="21"/>
      <c r="UGV142" s="21"/>
      <c r="UGW142" s="21"/>
      <c r="UGX142" s="21"/>
      <c r="UGY142" s="21"/>
      <c r="UGZ142" s="21"/>
      <c r="UHA142" s="21"/>
      <c r="UHB142" s="21"/>
      <c r="UHC142" s="21"/>
      <c r="UHD142" s="21"/>
      <c r="UHE142" s="21"/>
      <c r="UHF142" s="21"/>
      <c r="UHG142" s="21"/>
      <c r="UHH142" s="21"/>
      <c r="UHI142" s="21"/>
      <c r="UHJ142" s="21"/>
      <c r="UHK142" s="21"/>
      <c r="UHL142" s="21"/>
      <c r="UHM142" s="21"/>
      <c r="UHN142" s="21"/>
      <c r="UHO142" s="21"/>
      <c r="UHP142" s="21"/>
      <c r="UHQ142" s="21"/>
      <c r="UHR142" s="21"/>
      <c r="UHS142" s="21"/>
      <c r="UHT142" s="21"/>
      <c r="UHU142" s="21"/>
      <c r="UHV142" s="21"/>
      <c r="UHW142" s="21"/>
      <c r="UHX142" s="21"/>
      <c r="UHY142" s="21"/>
      <c r="UHZ142" s="21"/>
      <c r="UIA142" s="21"/>
      <c r="UIB142" s="21"/>
      <c r="UIC142" s="21"/>
      <c r="UID142" s="21"/>
      <c r="UIE142" s="21"/>
      <c r="UIF142" s="21"/>
      <c r="UIG142" s="21"/>
      <c r="UIH142" s="21"/>
      <c r="UII142" s="21"/>
      <c r="UIJ142" s="21"/>
      <c r="UIK142" s="21"/>
      <c r="UIL142" s="21"/>
      <c r="UIM142" s="21"/>
      <c r="UIN142" s="21"/>
      <c r="UIO142" s="21"/>
      <c r="UIP142" s="21"/>
      <c r="UIQ142" s="21"/>
      <c r="UIR142" s="21"/>
      <c r="UIS142" s="21"/>
      <c r="UIT142" s="21"/>
      <c r="UIU142" s="21"/>
      <c r="UIV142" s="21"/>
      <c r="UIW142" s="21"/>
      <c r="UIX142" s="21"/>
      <c r="UIY142" s="21"/>
      <c r="UIZ142" s="21"/>
      <c r="UJA142" s="21"/>
      <c r="UJB142" s="21"/>
      <c r="UJC142" s="21"/>
      <c r="UJD142" s="21"/>
      <c r="UJE142" s="21"/>
      <c r="UJF142" s="21"/>
      <c r="UJG142" s="21"/>
      <c r="UJH142" s="21"/>
      <c r="UJI142" s="21"/>
      <c r="UJJ142" s="21"/>
      <c r="UJK142" s="21"/>
      <c r="UJL142" s="21"/>
      <c r="UJM142" s="21"/>
      <c r="UJN142" s="21"/>
      <c r="UJO142" s="21"/>
      <c r="UJP142" s="21"/>
      <c r="UJQ142" s="21"/>
      <c r="UJR142" s="21"/>
      <c r="UJS142" s="21"/>
      <c r="UJT142" s="21"/>
      <c r="UJU142" s="21"/>
      <c r="UJV142" s="21"/>
      <c r="UJW142" s="21"/>
      <c r="UJX142" s="21"/>
      <c r="UJY142" s="21"/>
      <c r="UJZ142" s="21"/>
      <c r="UKA142" s="21"/>
      <c r="UKB142" s="21"/>
      <c r="UKC142" s="21"/>
      <c r="UKD142" s="21"/>
      <c r="UKE142" s="21"/>
      <c r="UKF142" s="21"/>
      <c r="UKG142" s="21"/>
      <c r="UKH142" s="21"/>
      <c r="UKI142" s="21"/>
      <c r="UKJ142" s="21"/>
      <c r="UKK142" s="21"/>
      <c r="UKL142" s="21"/>
      <c r="UKM142" s="21"/>
      <c r="UKN142" s="21"/>
      <c r="UKO142" s="21"/>
      <c r="UKP142" s="21"/>
      <c r="UKQ142" s="21"/>
      <c r="UKR142" s="21"/>
      <c r="UKS142" s="21"/>
      <c r="UKT142" s="21"/>
      <c r="UKU142" s="21"/>
      <c r="UKV142" s="21"/>
      <c r="UKW142" s="21"/>
      <c r="UKX142" s="21"/>
      <c r="UKY142" s="21"/>
      <c r="UKZ142" s="21"/>
      <c r="ULA142" s="21"/>
      <c r="ULB142" s="21"/>
      <c r="ULC142" s="21"/>
      <c r="ULD142" s="21"/>
      <c r="ULE142" s="21"/>
      <c r="ULF142" s="21"/>
      <c r="ULG142" s="21"/>
      <c r="ULH142" s="21"/>
      <c r="ULI142" s="21"/>
      <c r="ULJ142" s="21"/>
      <c r="ULK142" s="21"/>
      <c r="ULL142" s="21"/>
      <c r="ULM142" s="21"/>
      <c r="ULN142" s="21"/>
      <c r="ULO142" s="21"/>
      <c r="ULP142" s="21"/>
      <c r="ULQ142" s="21"/>
      <c r="ULR142" s="21"/>
      <c r="ULS142" s="21"/>
      <c r="ULT142" s="21"/>
      <c r="ULU142" s="21"/>
      <c r="ULV142" s="21"/>
      <c r="ULW142" s="21"/>
      <c r="ULX142" s="21"/>
      <c r="ULY142" s="21"/>
      <c r="ULZ142" s="21"/>
      <c r="UMA142" s="21"/>
      <c r="UMB142" s="21"/>
      <c r="UMC142" s="21"/>
      <c r="UMD142" s="21"/>
      <c r="UME142" s="21"/>
      <c r="UMF142" s="21"/>
      <c r="UMG142" s="21"/>
      <c r="UMH142" s="21"/>
      <c r="UMI142" s="21"/>
      <c r="UMJ142" s="21"/>
      <c r="UMK142" s="21"/>
      <c r="UML142" s="21"/>
      <c r="UMM142" s="21"/>
      <c r="UMN142" s="21"/>
      <c r="UMO142" s="21"/>
      <c r="UMP142" s="21"/>
      <c r="UMQ142" s="21"/>
      <c r="UMR142" s="21"/>
      <c r="UMS142" s="21"/>
      <c r="UMT142" s="21"/>
      <c r="UMU142" s="21"/>
      <c r="UMV142" s="21"/>
      <c r="UMW142" s="21"/>
      <c r="UMX142" s="21"/>
      <c r="UMY142" s="21"/>
      <c r="UMZ142" s="21"/>
      <c r="UNA142" s="21"/>
      <c r="UNB142" s="21"/>
      <c r="UNC142" s="21"/>
      <c r="UND142" s="21"/>
      <c r="UNE142" s="21"/>
      <c r="UNF142" s="21"/>
      <c r="UNG142" s="21"/>
      <c r="UNH142" s="21"/>
      <c r="UNI142" s="21"/>
      <c r="UNJ142" s="21"/>
      <c r="UNK142" s="21"/>
      <c r="UNL142" s="21"/>
      <c r="UNM142" s="21"/>
      <c r="UNN142" s="21"/>
      <c r="UNO142" s="21"/>
      <c r="UNP142" s="21"/>
      <c r="UNQ142" s="21"/>
      <c r="UNR142" s="21"/>
      <c r="UNS142" s="21"/>
      <c r="UNT142" s="21"/>
      <c r="UNU142" s="21"/>
      <c r="UNV142" s="21"/>
      <c r="UNW142" s="21"/>
      <c r="UNX142" s="21"/>
      <c r="UNY142" s="21"/>
      <c r="UNZ142" s="21"/>
      <c r="UOA142" s="21"/>
      <c r="UOB142" s="21"/>
      <c r="UOC142" s="21"/>
      <c r="UOD142" s="21"/>
      <c r="UOE142" s="21"/>
      <c r="UOF142" s="21"/>
      <c r="UOG142" s="21"/>
      <c r="UOH142" s="21"/>
      <c r="UOI142" s="21"/>
      <c r="UOJ142" s="21"/>
      <c r="UOK142" s="21"/>
      <c r="UOL142" s="21"/>
      <c r="UOM142" s="21"/>
      <c r="UON142" s="21"/>
      <c r="UOO142" s="21"/>
      <c r="UOP142" s="21"/>
      <c r="UOQ142" s="21"/>
      <c r="UOR142" s="21"/>
      <c r="UOS142" s="21"/>
      <c r="UOT142" s="21"/>
      <c r="UOU142" s="21"/>
      <c r="UOV142" s="21"/>
      <c r="UOW142" s="21"/>
      <c r="UOX142" s="21"/>
      <c r="UOY142" s="21"/>
      <c r="UOZ142" s="21"/>
      <c r="UPA142" s="21"/>
      <c r="UPB142" s="21"/>
      <c r="UPC142" s="21"/>
      <c r="UPD142" s="21"/>
      <c r="UPE142" s="21"/>
      <c r="UPF142" s="21"/>
      <c r="UPG142" s="21"/>
      <c r="UPH142" s="21"/>
      <c r="UPI142" s="21"/>
      <c r="UPJ142" s="21"/>
      <c r="UPK142" s="21"/>
      <c r="UPL142" s="21"/>
      <c r="UPM142" s="21"/>
      <c r="UPN142" s="21"/>
      <c r="UPO142" s="21"/>
      <c r="UPP142" s="21"/>
      <c r="UPQ142" s="21"/>
      <c r="UPR142" s="21"/>
      <c r="UPS142" s="21"/>
      <c r="UPT142" s="21"/>
      <c r="UPU142" s="21"/>
      <c r="UPV142" s="21"/>
      <c r="UPW142" s="21"/>
      <c r="UPX142" s="21"/>
      <c r="UPY142" s="21"/>
      <c r="UPZ142" s="21"/>
      <c r="UQA142" s="21"/>
      <c r="UQB142" s="21"/>
      <c r="UQC142" s="21"/>
      <c r="UQD142" s="21"/>
      <c r="UQE142" s="21"/>
      <c r="UQF142" s="21"/>
      <c r="UQG142" s="21"/>
      <c r="UQH142" s="21"/>
      <c r="UQI142" s="21"/>
      <c r="UQJ142" s="21"/>
      <c r="UQK142" s="21"/>
      <c r="UQL142" s="21"/>
      <c r="UQM142" s="21"/>
      <c r="UQN142" s="21"/>
      <c r="UQO142" s="21"/>
      <c r="UQP142" s="21"/>
      <c r="UQQ142" s="21"/>
      <c r="UQR142" s="21"/>
      <c r="UQS142" s="21"/>
      <c r="UQT142" s="21"/>
      <c r="UQU142" s="21"/>
      <c r="UQV142" s="21"/>
      <c r="UQW142" s="21"/>
      <c r="UQX142" s="21"/>
      <c r="UQY142" s="21"/>
      <c r="UQZ142" s="21"/>
      <c r="URA142" s="21"/>
      <c r="URB142" s="21"/>
      <c r="URC142" s="21"/>
      <c r="URD142" s="21"/>
      <c r="URE142" s="21"/>
      <c r="URF142" s="21"/>
      <c r="URG142" s="21"/>
      <c r="URH142" s="21"/>
      <c r="URI142" s="21"/>
      <c r="URJ142" s="21"/>
      <c r="URK142" s="21"/>
      <c r="URL142" s="21"/>
      <c r="URM142" s="21"/>
      <c r="URN142" s="21"/>
      <c r="URO142" s="21"/>
      <c r="URP142" s="21"/>
      <c r="URQ142" s="21"/>
      <c r="URR142" s="21"/>
      <c r="URS142" s="21"/>
      <c r="URT142" s="21"/>
      <c r="URU142" s="21"/>
      <c r="URV142" s="21"/>
      <c r="URW142" s="21"/>
      <c r="URX142" s="21"/>
      <c r="URY142" s="21"/>
      <c r="URZ142" s="21"/>
      <c r="USA142" s="21"/>
      <c r="USB142" s="21"/>
      <c r="USC142" s="21"/>
      <c r="USD142" s="21"/>
      <c r="USE142" s="21"/>
      <c r="USF142" s="21"/>
      <c r="USG142" s="21"/>
      <c r="USH142" s="21"/>
      <c r="USI142" s="21"/>
      <c r="USJ142" s="21"/>
      <c r="USK142" s="21"/>
      <c r="USL142" s="21"/>
      <c r="USM142" s="21"/>
      <c r="USN142" s="21"/>
      <c r="USO142" s="21"/>
      <c r="USP142" s="21"/>
      <c r="USQ142" s="21"/>
      <c r="USR142" s="21"/>
      <c r="USS142" s="21"/>
      <c r="UST142" s="21"/>
      <c r="USU142" s="21"/>
      <c r="USV142" s="21"/>
      <c r="USW142" s="21"/>
      <c r="USX142" s="21"/>
      <c r="USY142" s="21"/>
      <c r="USZ142" s="21"/>
      <c r="UTA142" s="21"/>
      <c r="UTB142" s="21"/>
      <c r="UTC142" s="21"/>
      <c r="UTD142" s="21"/>
      <c r="UTE142" s="21"/>
      <c r="UTF142" s="21"/>
      <c r="UTG142" s="21"/>
      <c r="UTH142" s="21"/>
      <c r="UTI142" s="21"/>
      <c r="UTJ142" s="21"/>
      <c r="UTK142" s="21"/>
      <c r="UTL142" s="21"/>
      <c r="UTM142" s="21"/>
      <c r="UTN142" s="21"/>
      <c r="UTO142" s="21"/>
      <c r="UTP142" s="21"/>
      <c r="UTQ142" s="21"/>
      <c r="UTR142" s="21"/>
      <c r="UTS142" s="21"/>
      <c r="UTT142" s="21"/>
      <c r="UTU142" s="21"/>
      <c r="UTV142" s="21"/>
      <c r="UTW142" s="21"/>
      <c r="UTX142" s="21"/>
      <c r="UTY142" s="21"/>
      <c r="UTZ142" s="21"/>
      <c r="UUA142" s="21"/>
      <c r="UUB142" s="21"/>
      <c r="UUC142" s="21"/>
      <c r="UUD142" s="21"/>
      <c r="UUE142" s="21"/>
      <c r="UUF142" s="21"/>
      <c r="UUG142" s="21"/>
      <c r="UUH142" s="21"/>
      <c r="UUI142" s="21"/>
      <c r="UUJ142" s="21"/>
      <c r="UUK142" s="21"/>
      <c r="UUL142" s="21"/>
      <c r="UUM142" s="21"/>
      <c r="UUN142" s="21"/>
      <c r="UUO142" s="21"/>
      <c r="UUP142" s="21"/>
      <c r="UUQ142" s="21"/>
      <c r="UUR142" s="21"/>
      <c r="UUS142" s="21"/>
      <c r="UUT142" s="21"/>
      <c r="UUU142" s="21"/>
      <c r="UUV142" s="21"/>
      <c r="UUW142" s="21"/>
      <c r="UUX142" s="21"/>
      <c r="UUY142" s="21"/>
      <c r="UUZ142" s="21"/>
      <c r="UVA142" s="21"/>
      <c r="UVB142" s="21"/>
      <c r="UVC142" s="21"/>
      <c r="UVD142" s="21"/>
      <c r="UVE142" s="21"/>
      <c r="UVF142" s="21"/>
      <c r="UVG142" s="21"/>
      <c r="UVH142" s="21"/>
      <c r="UVI142" s="21"/>
      <c r="UVJ142" s="21"/>
      <c r="UVK142" s="21"/>
      <c r="UVL142" s="21"/>
      <c r="UVM142" s="21"/>
      <c r="UVN142" s="21"/>
      <c r="UVO142" s="21"/>
      <c r="UVP142" s="21"/>
      <c r="UVQ142" s="21"/>
      <c r="UVR142" s="21"/>
      <c r="UVS142" s="21"/>
      <c r="UVT142" s="21"/>
      <c r="UVU142" s="21"/>
      <c r="UVV142" s="21"/>
      <c r="UVW142" s="21"/>
      <c r="UVX142" s="21"/>
      <c r="UVY142" s="21"/>
      <c r="UVZ142" s="21"/>
      <c r="UWA142" s="21"/>
      <c r="UWB142" s="21"/>
      <c r="UWC142" s="21"/>
      <c r="UWD142" s="21"/>
      <c r="UWE142" s="21"/>
      <c r="UWF142" s="21"/>
      <c r="UWG142" s="21"/>
      <c r="UWH142" s="21"/>
      <c r="UWI142" s="21"/>
      <c r="UWJ142" s="21"/>
      <c r="UWK142" s="21"/>
      <c r="UWL142" s="21"/>
      <c r="UWM142" s="21"/>
      <c r="UWN142" s="21"/>
      <c r="UWO142" s="21"/>
      <c r="UWP142" s="21"/>
      <c r="UWQ142" s="21"/>
      <c r="UWR142" s="21"/>
      <c r="UWS142" s="21"/>
      <c r="UWT142" s="21"/>
      <c r="UWU142" s="21"/>
      <c r="UWV142" s="21"/>
      <c r="UWW142" s="21"/>
      <c r="UWX142" s="21"/>
      <c r="UWY142" s="21"/>
      <c r="UWZ142" s="21"/>
      <c r="UXA142" s="21"/>
      <c r="UXB142" s="21"/>
      <c r="UXC142" s="21"/>
      <c r="UXD142" s="21"/>
      <c r="UXE142" s="21"/>
      <c r="UXF142" s="21"/>
      <c r="UXG142" s="21"/>
      <c r="UXH142" s="21"/>
      <c r="UXI142" s="21"/>
      <c r="UXJ142" s="21"/>
      <c r="UXK142" s="21"/>
      <c r="UXL142" s="21"/>
      <c r="UXM142" s="21"/>
      <c r="UXN142" s="21"/>
      <c r="UXO142" s="21"/>
      <c r="UXP142" s="21"/>
      <c r="UXQ142" s="21"/>
      <c r="UXR142" s="21"/>
      <c r="UXS142" s="21"/>
      <c r="UXT142" s="21"/>
      <c r="UXU142" s="21"/>
      <c r="UXV142" s="21"/>
      <c r="UXW142" s="21"/>
      <c r="UXX142" s="21"/>
      <c r="UXY142" s="21"/>
      <c r="UXZ142" s="21"/>
      <c r="UYA142" s="21"/>
      <c r="UYB142" s="21"/>
      <c r="UYC142" s="21"/>
      <c r="UYD142" s="21"/>
      <c r="UYE142" s="21"/>
      <c r="UYF142" s="21"/>
      <c r="UYG142" s="21"/>
      <c r="UYH142" s="21"/>
      <c r="UYI142" s="21"/>
      <c r="UYJ142" s="21"/>
      <c r="UYK142" s="21"/>
      <c r="UYL142" s="21"/>
      <c r="UYM142" s="21"/>
      <c r="UYN142" s="21"/>
      <c r="UYO142" s="21"/>
      <c r="UYP142" s="21"/>
      <c r="UYQ142" s="21"/>
      <c r="UYR142" s="21"/>
      <c r="UYS142" s="21"/>
      <c r="UYT142" s="21"/>
      <c r="UYU142" s="21"/>
      <c r="UYV142" s="21"/>
      <c r="UYW142" s="21"/>
      <c r="UYX142" s="21"/>
      <c r="UYY142" s="21"/>
      <c r="UYZ142" s="21"/>
      <c r="UZA142" s="21"/>
      <c r="UZB142" s="21"/>
      <c r="UZC142" s="21"/>
      <c r="UZD142" s="21"/>
      <c r="UZE142" s="21"/>
      <c r="UZF142" s="21"/>
      <c r="UZG142" s="21"/>
      <c r="UZH142" s="21"/>
      <c r="UZI142" s="21"/>
      <c r="UZJ142" s="21"/>
      <c r="UZK142" s="21"/>
      <c r="UZL142" s="21"/>
      <c r="UZM142" s="21"/>
      <c r="UZN142" s="21"/>
      <c r="UZO142" s="21"/>
      <c r="UZP142" s="21"/>
      <c r="UZQ142" s="21"/>
      <c r="UZR142" s="21"/>
      <c r="UZS142" s="21"/>
      <c r="UZT142" s="21"/>
      <c r="UZU142" s="21"/>
      <c r="UZV142" s="21"/>
      <c r="UZW142" s="21"/>
      <c r="UZX142" s="21"/>
      <c r="UZY142" s="21"/>
      <c r="UZZ142" s="21"/>
      <c r="VAA142" s="21"/>
      <c r="VAB142" s="21"/>
      <c r="VAC142" s="21"/>
      <c r="VAD142" s="21"/>
      <c r="VAE142" s="21"/>
      <c r="VAF142" s="21"/>
      <c r="VAG142" s="21"/>
      <c r="VAH142" s="21"/>
      <c r="VAI142" s="21"/>
      <c r="VAJ142" s="21"/>
      <c r="VAK142" s="21"/>
      <c r="VAL142" s="21"/>
      <c r="VAM142" s="21"/>
      <c r="VAN142" s="21"/>
      <c r="VAO142" s="21"/>
      <c r="VAP142" s="21"/>
      <c r="VAQ142" s="21"/>
      <c r="VAR142" s="21"/>
      <c r="VAS142" s="21"/>
      <c r="VAT142" s="21"/>
      <c r="VAU142" s="21"/>
      <c r="VAV142" s="21"/>
      <c r="VAW142" s="21"/>
      <c r="VAX142" s="21"/>
      <c r="VAY142" s="21"/>
      <c r="VAZ142" s="21"/>
      <c r="VBA142" s="21"/>
      <c r="VBB142" s="21"/>
      <c r="VBC142" s="21"/>
      <c r="VBD142" s="21"/>
      <c r="VBE142" s="21"/>
      <c r="VBF142" s="21"/>
      <c r="VBG142" s="21"/>
      <c r="VBH142" s="21"/>
      <c r="VBI142" s="21"/>
      <c r="VBJ142" s="21"/>
      <c r="VBK142" s="21"/>
      <c r="VBL142" s="21"/>
      <c r="VBM142" s="21"/>
      <c r="VBN142" s="21"/>
      <c r="VBO142" s="21"/>
      <c r="VBP142" s="21"/>
      <c r="VBQ142" s="21"/>
      <c r="VBR142" s="21"/>
      <c r="VBS142" s="21"/>
      <c r="VBT142" s="21"/>
      <c r="VBU142" s="21"/>
      <c r="VBV142" s="21"/>
      <c r="VBW142" s="21"/>
      <c r="VBX142" s="21"/>
      <c r="VBY142" s="21"/>
      <c r="VBZ142" s="21"/>
      <c r="VCA142" s="21"/>
      <c r="VCB142" s="21"/>
      <c r="VCC142" s="21"/>
      <c r="VCD142" s="21"/>
      <c r="VCE142" s="21"/>
      <c r="VCF142" s="21"/>
      <c r="VCG142" s="21"/>
      <c r="VCH142" s="21"/>
      <c r="VCI142" s="21"/>
      <c r="VCJ142" s="21"/>
      <c r="VCK142" s="21"/>
      <c r="VCL142" s="21"/>
      <c r="VCM142" s="21"/>
      <c r="VCN142" s="21"/>
      <c r="VCO142" s="21"/>
      <c r="VCP142" s="21"/>
      <c r="VCQ142" s="21"/>
      <c r="VCR142" s="21"/>
      <c r="VCS142" s="21"/>
      <c r="VCT142" s="21"/>
      <c r="VCU142" s="21"/>
      <c r="VCV142" s="21"/>
      <c r="VCW142" s="21"/>
      <c r="VCX142" s="21"/>
      <c r="VCY142" s="21"/>
      <c r="VCZ142" s="21"/>
      <c r="VDA142" s="21"/>
      <c r="VDB142" s="21"/>
      <c r="VDC142" s="21"/>
      <c r="VDD142" s="21"/>
      <c r="VDE142" s="21"/>
      <c r="VDF142" s="21"/>
      <c r="VDG142" s="21"/>
      <c r="VDH142" s="21"/>
      <c r="VDI142" s="21"/>
      <c r="VDJ142" s="21"/>
      <c r="VDK142" s="21"/>
      <c r="VDL142" s="21"/>
      <c r="VDM142" s="21"/>
      <c r="VDN142" s="21"/>
      <c r="VDO142" s="21"/>
      <c r="VDP142" s="21"/>
      <c r="VDQ142" s="21"/>
      <c r="VDR142" s="21"/>
      <c r="VDS142" s="21"/>
      <c r="VDT142" s="21"/>
      <c r="VDU142" s="21"/>
      <c r="VDV142" s="21"/>
      <c r="VDW142" s="21"/>
      <c r="VDX142" s="21"/>
      <c r="VDY142" s="21"/>
      <c r="VDZ142" s="21"/>
      <c r="VEA142" s="21"/>
      <c r="VEB142" s="21"/>
      <c r="VEC142" s="21"/>
      <c r="VED142" s="21"/>
      <c r="VEE142" s="21"/>
      <c r="VEF142" s="21"/>
      <c r="VEG142" s="21"/>
      <c r="VEH142" s="21"/>
      <c r="VEI142" s="21"/>
      <c r="VEJ142" s="21"/>
      <c r="VEK142" s="21"/>
      <c r="VEL142" s="21"/>
      <c r="VEM142" s="21"/>
      <c r="VEN142" s="21"/>
      <c r="VEO142" s="21"/>
      <c r="VEP142" s="21"/>
      <c r="VEQ142" s="21"/>
      <c r="VER142" s="21"/>
      <c r="VES142" s="21"/>
      <c r="VET142" s="21"/>
      <c r="VEU142" s="21"/>
      <c r="VEV142" s="21"/>
      <c r="VEW142" s="21"/>
      <c r="VEX142" s="21"/>
      <c r="VEY142" s="21"/>
      <c r="VEZ142" s="21"/>
      <c r="VFA142" s="21"/>
      <c r="VFB142" s="21"/>
      <c r="VFC142" s="21"/>
      <c r="VFD142" s="21"/>
      <c r="VFE142" s="21"/>
      <c r="VFF142" s="21"/>
      <c r="VFG142" s="21"/>
      <c r="VFH142" s="21"/>
      <c r="VFI142" s="21"/>
      <c r="VFJ142" s="21"/>
      <c r="VFK142" s="21"/>
      <c r="VFL142" s="21"/>
      <c r="VFM142" s="21"/>
      <c r="VFN142" s="21"/>
      <c r="VFO142" s="21"/>
      <c r="VFP142" s="21"/>
      <c r="VFQ142" s="21"/>
      <c r="VFR142" s="21"/>
      <c r="VFS142" s="21"/>
      <c r="VFT142" s="21"/>
      <c r="VFU142" s="21"/>
      <c r="VFV142" s="21"/>
      <c r="VFW142" s="21"/>
      <c r="VFX142" s="21"/>
      <c r="VFY142" s="21"/>
      <c r="VFZ142" s="21"/>
      <c r="VGA142" s="21"/>
      <c r="VGB142" s="21"/>
      <c r="VGC142" s="21"/>
      <c r="VGD142" s="21"/>
      <c r="VGE142" s="21"/>
      <c r="VGF142" s="21"/>
      <c r="VGG142" s="21"/>
      <c r="VGH142" s="21"/>
      <c r="VGI142" s="21"/>
      <c r="VGJ142" s="21"/>
      <c r="VGK142" s="21"/>
      <c r="VGL142" s="21"/>
      <c r="VGM142" s="21"/>
      <c r="VGN142" s="21"/>
      <c r="VGO142" s="21"/>
      <c r="VGP142" s="21"/>
      <c r="VGQ142" s="21"/>
      <c r="VGR142" s="21"/>
      <c r="VGS142" s="21"/>
      <c r="VGT142" s="21"/>
      <c r="VGU142" s="21"/>
      <c r="VGV142" s="21"/>
      <c r="VGW142" s="21"/>
      <c r="VGX142" s="21"/>
      <c r="VGY142" s="21"/>
      <c r="VGZ142" s="21"/>
      <c r="VHA142" s="21"/>
      <c r="VHB142" s="21"/>
      <c r="VHC142" s="21"/>
      <c r="VHD142" s="21"/>
      <c r="VHE142" s="21"/>
      <c r="VHF142" s="21"/>
      <c r="VHG142" s="21"/>
      <c r="VHH142" s="21"/>
      <c r="VHI142" s="21"/>
      <c r="VHJ142" s="21"/>
      <c r="VHK142" s="21"/>
      <c r="VHL142" s="21"/>
      <c r="VHM142" s="21"/>
      <c r="VHN142" s="21"/>
      <c r="VHO142" s="21"/>
      <c r="VHP142" s="21"/>
      <c r="VHQ142" s="21"/>
      <c r="VHR142" s="21"/>
      <c r="VHS142" s="21"/>
      <c r="VHT142" s="21"/>
      <c r="VHU142" s="21"/>
      <c r="VHV142" s="21"/>
      <c r="VHW142" s="21"/>
      <c r="VHX142" s="21"/>
      <c r="VHY142" s="21"/>
      <c r="VHZ142" s="21"/>
      <c r="VIA142" s="21"/>
      <c r="VIB142" s="21"/>
      <c r="VIC142" s="21"/>
      <c r="VID142" s="21"/>
      <c r="VIE142" s="21"/>
      <c r="VIF142" s="21"/>
      <c r="VIG142" s="21"/>
      <c r="VIH142" s="21"/>
      <c r="VII142" s="21"/>
      <c r="VIJ142" s="21"/>
      <c r="VIK142" s="21"/>
      <c r="VIL142" s="21"/>
      <c r="VIM142" s="21"/>
      <c r="VIN142" s="21"/>
      <c r="VIO142" s="21"/>
      <c r="VIP142" s="21"/>
      <c r="VIQ142" s="21"/>
      <c r="VIR142" s="21"/>
      <c r="VIS142" s="21"/>
      <c r="VIT142" s="21"/>
      <c r="VIU142" s="21"/>
      <c r="VIV142" s="21"/>
      <c r="VIW142" s="21"/>
      <c r="VIX142" s="21"/>
      <c r="VIY142" s="21"/>
      <c r="VIZ142" s="21"/>
      <c r="VJA142" s="21"/>
      <c r="VJB142" s="21"/>
      <c r="VJC142" s="21"/>
      <c r="VJD142" s="21"/>
      <c r="VJE142" s="21"/>
      <c r="VJF142" s="21"/>
      <c r="VJG142" s="21"/>
      <c r="VJH142" s="21"/>
      <c r="VJI142" s="21"/>
      <c r="VJJ142" s="21"/>
      <c r="VJK142" s="21"/>
      <c r="VJL142" s="21"/>
      <c r="VJM142" s="21"/>
      <c r="VJN142" s="21"/>
      <c r="VJO142" s="21"/>
      <c r="VJP142" s="21"/>
      <c r="VJQ142" s="21"/>
      <c r="VJR142" s="21"/>
      <c r="VJS142" s="21"/>
      <c r="VJT142" s="21"/>
      <c r="VJU142" s="21"/>
      <c r="VJV142" s="21"/>
      <c r="VJW142" s="21"/>
      <c r="VJX142" s="21"/>
      <c r="VJY142" s="21"/>
      <c r="VJZ142" s="21"/>
      <c r="VKA142" s="21"/>
      <c r="VKB142" s="21"/>
      <c r="VKC142" s="21"/>
      <c r="VKD142" s="21"/>
      <c r="VKE142" s="21"/>
      <c r="VKF142" s="21"/>
      <c r="VKG142" s="21"/>
      <c r="VKH142" s="21"/>
      <c r="VKI142" s="21"/>
      <c r="VKJ142" s="21"/>
      <c r="VKK142" s="21"/>
      <c r="VKL142" s="21"/>
      <c r="VKM142" s="21"/>
      <c r="VKN142" s="21"/>
      <c r="VKO142" s="21"/>
      <c r="VKP142" s="21"/>
      <c r="VKQ142" s="21"/>
      <c r="VKR142" s="21"/>
      <c r="VKS142" s="21"/>
      <c r="VKT142" s="21"/>
      <c r="VKU142" s="21"/>
      <c r="VKV142" s="21"/>
      <c r="VKW142" s="21"/>
      <c r="VKX142" s="21"/>
      <c r="VKY142" s="21"/>
      <c r="VKZ142" s="21"/>
      <c r="VLA142" s="21"/>
      <c r="VLB142" s="21"/>
      <c r="VLC142" s="21"/>
      <c r="VLD142" s="21"/>
      <c r="VLE142" s="21"/>
      <c r="VLF142" s="21"/>
      <c r="VLG142" s="21"/>
      <c r="VLH142" s="21"/>
      <c r="VLI142" s="21"/>
      <c r="VLJ142" s="21"/>
      <c r="VLK142" s="21"/>
      <c r="VLL142" s="21"/>
      <c r="VLM142" s="21"/>
      <c r="VLN142" s="21"/>
      <c r="VLO142" s="21"/>
      <c r="VLP142" s="21"/>
      <c r="VLQ142" s="21"/>
      <c r="VLR142" s="21"/>
      <c r="VLS142" s="21"/>
      <c r="VLT142" s="21"/>
      <c r="VLU142" s="21"/>
      <c r="VLV142" s="21"/>
      <c r="VLW142" s="21"/>
      <c r="VLX142" s="21"/>
      <c r="VLY142" s="21"/>
      <c r="VLZ142" s="21"/>
      <c r="VMA142" s="21"/>
      <c r="VMB142" s="21"/>
      <c r="VMC142" s="21"/>
      <c r="VMD142" s="21"/>
      <c r="VME142" s="21"/>
      <c r="VMF142" s="21"/>
      <c r="VMG142" s="21"/>
      <c r="VMH142" s="21"/>
      <c r="VMI142" s="21"/>
      <c r="VMJ142" s="21"/>
      <c r="VMK142" s="21"/>
      <c r="VML142" s="21"/>
      <c r="VMM142" s="21"/>
      <c r="VMN142" s="21"/>
      <c r="VMO142" s="21"/>
      <c r="VMP142" s="21"/>
      <c r="VMQ142" s="21"/>
      <c r="VMR142" s="21"/>
      <c r="VMS142" s="21"/>
      <c r="VMT142" s="21"/>
      <c r="VMU142" s="21"/>
      <c r="VMV142" s="21"/>
      <c r="VMW142" s="21"/>
      <c r="VMX142" s="21"/>
      <c r="VMY142" s="21"/>
      <c r="VMZ142" s="21"/>
      <c r="VNA142" s="21"/>
      <c r="VNB142" s="21"/>
      <c r="VNC142" s="21"/>
      <c r="VND142" s="21"/>
      <c r="VNE142" s="21"/>
      <c r="VNF142" s="21"/>
      <c r="VNG142" s="21"/>
      <c r="VNH142" s="21"/>
      <c r="VNI142" s="21"/>
      <c r="VNJ142" s="21"/>
      <c r="VNK142" s="21"/>
      <c r="VNL142" s="21"/>
      <c r="VNM142" s="21"/>
      <c r="VNN142" s="21"/>
      <c r="VNO142" s="21"/>
      <c r="VNP142" s="21"/>
      <c r="VNQ142" s="21"/>
      <c r="VNR142" s="21"/>
      <c r="VNS142" s="21"/>
      <c r="VNT142" s="21"/>
      <c r="VNU142" s="21"/>
      <c r="VNV142" s="21"/>
      <c r="VNW142" s="21"/>
      <c r="VNX142" s="21"/>
      <c r="VNY142" s="21"/>
      <c r="VNZ142" s="21"/>
      <c r="VOA142" s="21"/>
      <c r="VOB142" s="21"/>
      <c r="VOC142" s="21"/>
      <c r="VOD142" s="21"/>
      <c r="VOE142" s="21"/>
      <c r="VOF142" s="21"/>
      <c r="VOG142" s="21"/>
      <c r="VOH142" s="21"/>
      <c r="VOI142" s="21"/>
      <c r="VOJ142" s="21"/>
      <c r="VOK142" s="21"/>
      <c r="VOL142" s="21"/>
      <c r="VOM142" s="21"/>
      <c r="VON142" s="21"/>
      <c r="VOO142" s="21"/>
      <c r="VOP142" s="21"/>
      <c r="VOQ142" s="21"/>
      <c r="VOR142" s="21"/>
      <c r="VOS142" s="21"/>
      <c r="VOT142" s="21"/>
      <c r="VOU142" s="21"/>
      <c r="VOV142" s="21"/>
      <c r="VOW142" s="21"/>
      <c r="VOX142" s="21"/>
      <c r="VOY142" s="21"/>
      <c r="VOZ142" s="21"/>
      <c r="VPA142" s="21"/>
      <c r="VPB142" s="21"/>
      <c r="VPC142" s="21"/>
      <c r="VPD142" s="21"/>
      <c r="VPE142" s="21"/>
      <c r="VPF142" s="21"/>
      <c r="VPG142" s="21"/>
      <c r="VPH142" s="21"/>
      <c r="VPI142" s="21"/>
      <c r="VPJ142" s="21"/>
      <c r="VPK142" s="21"/>
      <c r="VPL142" s="21"/>
      <c r="VPM142" s="21"/>
      <c r="VPN142" s="21"/>
      <c r="VPO142" s="21"/>
      <c r="VPP142" s="21"/>
      <c r="VPQ142" s="21"/>
      <c r="VPR142" s="21"/>
      <c r="VPS142" s="21"/>
      <c r="VPT142" s="21"/>
      <c r="VPU142" s="21"/>
      <c r="VPV142" s="21"/>
      <c r="VPW142" s="21"/>
      <c r="VPX142" s="21"/>
      <c r="VPY142" s="21"/>
      <c r="VPZ142" s="21"/>
      <c r="VQA142" s="21"/>
      <c r="VQB142" s="21"/>
      <c r="VQC142" s="21"/>
      <c r="VQD142" s="21"/>
      <c r="VQE142" s="21"/>
      <c r="VQF142" s="21"/>
      <c r="VQG142" s="21"/>
      <c r="VQH142" s="21"/>
      <c r="VQI142" s="21"/>
      <c r="VQJ142" s="21"/>
      <c r="VQK142" s="21"/>
      <c r="VQL142" s="21"/>
      <c r="VQM142" s="21"/>
      <c r="VQN142" s="21"/>
      <c r="VQO142" s="21"/>
      <c r="VQP142" s="21"/>
      <c r="VQQ142" s="21"/>
      <c r="VQR142" s="21"/>
      <c r="VQS142" s="21"/>
      <c r="VQT142" s="21"/>
      <c r="VQU142" s="21"/>
      <c r="VQV142" s="21"/>
      <c r="VQW142" s="21"/>
      <c r="VQX142" s="21"/>
      <c r="VQY142" s="21"/>
      <c r="VQZ142" s="21"/>
      <c r="VRA142" s="21"/>
      <c r="VRB142" s="21"/>
      <c r="VRC142" s="21"/>
      <c r="VRD142" s="21"/>
      <c r="VRE142" s="21"/>
      <c r="VRF142" s="21"/>
      <c r="VRG142" s="21"/>
      <c r="VRH142" s="21"/>
      <c r="VRI142" s="21"/>
      <c r="VRJ142" s="21"/>
      <c r="VRK142" s="21"/>
      <c r="VRL142" s="21"/>
      <c r="VRM142" s="21"/>
      <c r="VRN142" s="21"/>
      <c r="VRO142" s="21"/>
      <c r="VRP142" s="21"/>
      <c r="VRQ142" s="21"/>
      <c r="VRR142" s="21"/>
      <c r="VRS142" s="21"/>
      <c r="VRT142" s="21"/>
      <c r="VRU142" s="21"/>
      <c r="VRV142" s="21"/>
      <c r="VRW142" s="21"/>
      <c r="VRX142" s="21"/>
      <c r="VRY142" s="21"/>
      <c r="VRZ142" s="21"/>
      <c r="VSA142" s="21"/>
      <c r="VSB142" s="21"/>
      <c r="VSC142" s="21"/>
      <c r="VSD142" s="21"/>
      <c r="VSE142" s="21"/>
      <c r="VSF142" s="21"/>
      <c r="VSG142" s="21"/>
      <c r="VSH142" s="21"/>
      <c r="VSI142" s="21"/>
      <c r="VSJ142" s="21"/>
      <c r="VSK142" s="21"/>
      <c r="VSL142" s="21"/>
      <c r="VSM142" s="21"/>
      <c r="VSN142" s="21"/>
      <c r="VSO142" s="21"/>
      <c r="VSP142" s="21"/>
      <c r="VSQ142" s="21"/>
      <c r="VSR142" s="21"/>
      <c r="VSS142" s="21"/>
      <c r="VST142" s="21"/>
      <c r="VSU142" s="21"/>
      <c r="VSV142" s="21"/>
      <c r="VSW142" s="21"/>
      <c r="VSX142" s="21"/>
      <c r="VSY142" s="21"/>
      <c r="VSZ142" s="21"/>
      <c r="VTA142" s="21"/>
      <c r="VTB142" s="21"/>
      <c r="VTC142" s="21"/>
      <c r="VTD142" s="21"/>
      <c r="VTE142" s="21"/>
      <c r="VTF142" s="21"/>
      <c r="VTG142" s="21"/>
      <c r="VTH142" s="21"/>
      <c r="VTI142" s="21"/>
      <c r="VTJ142" s="21"/>
      <c r="VTK142" s="21"/>
      <c r="VTL142" s="21"/>
      <c r="VTM142" s="21"/>
      <c r="VTN142" s="21"/>
      <c r="VTO142" s="21"/>
      <c r="VTP142" s="21"/>
      <c r="VTQ142" s="21"/>
      <c r="VTR142" s="21"/>
      <c r="VTS142" s="21"/>
      <c r="VTT142" s="21"/>
      <c r="VTU142" s="21"/>
      <c r="VTV142" s="21"/>
      <c r="VTW142" s="21"/>
      <c r="VTX142" s="21"/>
      <c r="VTY142" s="21"/>
      <c r="VTZ142" s="21"/>
      <c r="VUA142" s="21"/>
      <c r="VUB142" s="21"/>
      <c r="VUC142" s="21"/>
      <c r="VUD142" s="21"/>
      <c r="VUE142" s="21"/>
      <c r="VUF142" s="21"/>
      <c r="VUG142" s="21"/>
      <c r="VUH142" s="21"/>
      <c r="VUI142" s="21"/>
      <c r="VUJ142" s="21"/>
      <c r="VUK142" s="21"/>
      <c r="VUL142" s="21"/>
      <c r="VUM142" s="21"/>
      <c r="VUN142" s="21"/>
      <c r="VUO142" s="21"/>
      <c r="VUP142" s="21"/>
      <c r="VUQ142" s="21"/>
      <c r="VUR142" s="21"/>
      <c r="VUS142" s="21"/>
      <c r="VUT142" s="21"/>
      <c r="VUU142" s="21"/>
      <c r="VUV142" s="21"/>
      <c r="VUW142" s="21"/>
      <c r="VUX142" s="21"/>
      <c r="VUY142" s="21"/>
      <c r="VUZ142" s="21"/>
      <c r="VVA142" s="21"/>
      <c r="VVB142" s="21"/>
      <c r="VVC142" s="21"/>
      <c r="VVD142" s="21"/>
      <c r="VVE142" s="21"/>
      <c r="VVF142" s="21"/>
      <c r="VVG142" s="21"/>
      <c r="VVH142" s="21"/>
      <c r="VVI142" s="21"/>
      <c r="VVJ142" s="21"/>
      <c r="VVK142" s="21"/>
      <c r="VVL142" s="21"/>
      <c r="VVM142" s="21"/>
      <c r="VVN142" s="21"/>
      <c r="VVO142" s="21"/>
      <c r="VVP142" s="21"/>
      <c r="VVQ142" s="21"/>
      <c r="VVR142" s="21"/>
      <c r="VVS142" s="21"/>
      <c r="VVT142" s="21"/>
      <c r="VVU142" s="21"/>
      <c r="VVV142" s="21"/>
      <c r="VVW142" s="21"/>
      <c r="VVX142" s="21"/>
      <c r="VVY142" s="21"/>
      <c r="VVZ142" s="21"/>
      <c r="VWA142" s="21"/>
      <c r="VWB142" s="21"/>
      <c r="VWC142" s="21"/>
      <c r="VWD142" s="21"/>
      <c r="VWE142" s="21"/>
      <c r="VWF142" s="21"/>
      <c r="VWG142" s="21"/>
      <c r="VWH142" s="21"/>
      <c r="VWI142" s="21"/>
      <c r="VWJ142" s="21"/>
      <c r="VWK142" s="21"/>
      <c r="VWL142" s="21"/>
      <c r="VWM142" s="21"/>
      <c r="VWN142" s="21"/>
      <c r="VWO142" s="21"/>
      <c r="VWP142" s="21"/>
      <c r="VWQ142" s="21"/>
      <c r="VWR142" s="21"/>
      <c r="VWS142" s="21"/>
      <c r="VWT142" s="21"/>
      <c r="VWU142" s="21"/>
      <c r="VWV142" s="21"/>
      <c r="VWW142" s="21"/>
      <c r="VWX142" s="21"/>
      <c r="VWY142" s="21"/>
      <c r="VWZ142" s="21"/>
      <c r="VXA142" s="21"/>
      <c r="VXB142" s="21"/>
      <c r="VXC142" s="21"/>
      <c r="VXD142" s="21"/>
      <c r="VXE142" s="21"/>
      <c r="VXF142" s="21"/>
      <c r="VXG142" s="21"/>
      <c r="VXH142" s="21"/>
      <c r="VXI142" s="21"/>
      <c r="VXJ142" s="21"/>
      <c r="VXK142" s="21"/>
      <c r="VXL142" s="21"/>
      <c r="VXM142" s="21"/>
      <c r="VXN142" s="21"/>
      <c r="VXO142" s="21"/>
      <c r="VXP142" s="21"/>
      <c r="VXQ142" s="21"/>
      <c r="VXR142" s="21"/>
      <c r="VXS142" s="21"/>
      <c r="VXT142" s="21"/>
      <c r="VXU142" s="21"/>
      <c r="VXV142" s="21"/>
      <c r="VXW142" s="21"/>
      <c r="VXX142" s="21"/>
      <c r="VXY142" s="21"/>
      <c r="VXZ142" s="21"/>
      <c r="VYA142" s="21"/>
      <c r="VYB142" s="21"/>
      <c r="VYC142" s="21"/>
      <c r="VYD142" s="21"/>
      <c r="VYE142" s="21"/>
      <c r="VYF142" s="21"/>
      <c r="VYG142" s="21"/>
      <c r="VYH142" s="21"/>
      <c r="VYI142" s="21"/>
      <c r="VYJ142" s="21"/>
      <c r="VYK142" s="21"/>
      <c r="VYL142" s="21"/>
      <c r="VYM142" s="21"/>
      <c r="VYN142" s="21"/>
      <c r="VYO142" s="21"/>
      <c r="VYP142" s="21"/>
      <c r="VYQ142" s="21"/>
      <c r="VYR142" s="21"/>
      <c r="VYS142" s="21"/>
      <c r="VYT142" s="21"/>
      <c r="VYU142" s="21"/>
      <c r="VYV142" s="21"/>
      <c r="VYW142" s="21"/>
      <c r="VYX142" s="21"/>
      <c r="VYY142" s="21"/>
      <c r="VYZ142" s="21"/>
      <c r="VZA142" s="21"/>
      <c r="VZB142" s="21"/>
      <c r="VZC142" s="21"/>
      <c r="VZD142" s="21"/>
      <c r="VZE142" s="21"/>
      <c r="VZF142" s="21"/>
      <c r="VZG142" s="21"/>
      <c r="VZH142" s="21"/>
      <c r="VZI142" s="21"/>
      <c r="VZJ142" s="21"/>
      <c r="VZK142" s="21"/>
      <c r="VZL142" s="21"/>
      <c r="VZM142" s="21"/>
      <c r="VZN142" s="21"/>
      <c r="VZO142" s="21"/>
      <c r="VZP142" s="21"/>
      <c r="VZQ142" s="21"/>
      <c r="VZR142" s="21"/>
      <c r="VZS142" s="21"/>
      <c r="VZT142" s="21"/>
      <c r="VZU142" s="21"/>
      <c r="VZV142" s="21"/>
      <c r="VZW142" s="21"/>
      <c r="VZX142" s="21"/>
      <c r="VZY142" s="21"/>
      <c r="VZZ142" s="21"/>
      <c r="WAA142" s="21"/>
      <c r="WAB142" s="21"/>
      <c r="WAC142" s="21"/>
      <c r="WAD142" s="21"/>
      <c r="WAE142" s="21"/>
      <c r="WAF142" s="21"/>
      <c r="WAG142" s="21"/>
      <c r="WAH142" s="21"/>
      <c r="WAI142" s="21"/>
      <c r="WAJ142" s="21"/>
      <c r="WAK142" s="21"/>
      <c r="WAL142" s="21"/>
      <c r="WAM142" s="21"/>
      <c r="WAN142" s="21"/>
      <c r="WAO142" s="21"/>
      <c r="WAP142" s="21"/>
      <c r="WAQ142" s="21"/>
      <c r="WAR142" s="21"/>
      <c r="WAS142" s="21"/>
      <c r="WAT142" s="21"/>
      <c r="WAU142" s="21"/>
      <c r="WAV142" s="21"/>
      <c r="WAW142" s="21"/>
      <c r="WAX142" s="21"/>
      <c r="WAY142" s="21"/>
      <c r="WAZ142" s="21"/>
      <c r="WBA142" s="21"/>
      <c r="WBB142" s="21"/>
      <c r="WBC142" s="21"/>
      <c r="WBD142" s="21"/>
      <c r="WBE142" s="21"/>
      <c r="WBF142" s="21"/>
      <c r="WBG142" s="21"/>
      <c r="WBH142" s="21"/>
      <c r="WBI142" s="21"/>
      <c r="WBJ142" s="21"/>
      <c r="WBK142" s="21"/>
      <c r="WBL142" s="21"/>
      <c r="WBM142" s="21"/>
      <c r="WBN142" s="21"/>
      <c r="WBO142" s="21"/>
      <c r="WBP142" s="21"/>
      <c r="WBQ142" s="21"/>
      <c r="WBR142" s="21"/>
      <c r="WBS142" s="21"/>
      <c r="WBT142" s="21"/>
      <c r="WBU142" s="21"/>
      <c r="WBV142" s="21"/>
      <c r="WBW142" s="21"/>
      <c r="WBX142" s="21"/>
      <c r="WBY142" s="21"/>
      <c r="WBZ142" s="21"/>
      <c r="WCA142" s="21"/>
      <c r="WCB142" s="21"/>
      <c r="WCC142" s="21"/>
      <c r="WCD142" s="21"/>
      <c r="WCE142" s="21"/>
      <c r="WCF142" s="21"/>
      <c r="WCG142" s="21"/>
      <c r="WCH142" s="21"/>
      <c r="WCI142" s="21"/>
      <c r="WCJ142" s="21"/>
      <c r="WCK142" s="21"/>
      <c r="WCL142" s="21"/>
      <c r="WCM142" s="21"/>
      <c r="WCN142" s="21"/>
      <c r="WCO142" s="21"/>
      <c r="WCP142" s="21"/>
      <c r="WCQ142" s="21"/>
      <c r="WCR142" s="21"/>
      <c r="WCS142" s="21"/>
      <c r="WCT142" s="21"/>
      <c r="WCU142" s="21"/>
      <c r="WCV142" s="21"/>
      <c r="WCW142" s="21"/>
      <c r="WCX142" s="21"/>
      <c r="WCY142" s="21"/>
      <c r="WCZ142" s="21"/>
      <c r="WDA142" s="21"/>
      <c r="WDB142" s="21"/>
      <c r="WDC142" s="21"/>
      <c r="WDD142" s="21"/>
      <c r="WDE142" s="21"/>
      <c r="WDF142" s="21"/>
      <c r="WDG142" s="21"/>
      <c r="WDH142" s="21"/>
      <c r="WDI142" s="21"/>
      <c r="WDJ142" s="21"/>
      <c r="WDK142" s="21"/>
      <c r="WDL142" s="21"/>
      <c r="WDM142" s="21"/>
      <c r="WDN142" s="21"/>
      <c r="WDO142" s="21"/>
      <c r="WDP142" s="21"/>
      <c r="WDQ142" s="21"/>
      <c r="WDR142" s="21"/>
      <c r="WDS142" s="21"/>
      <c r="WDT142" s="21"/>
      <c r="WDU142" s="21"/>
      <c r="WDV142" s="21"/>
      <c r="WDW142" s="21"/>
      <c r="WDX142" s="21"/>
      <c r="WDY142" s="21"/>
      <c r="WDZ142" s="21"/>
      <c r="WEA142" s="21"/>
      <c r="WEB142" s="21"/>
      <c r="WEC142" s="21"/>
      <c r="WED142" s="21"/>
      <c r="WEE142" s="21"/>
      <c r="WEF142" s="21"/>
      <c r="WEG142" s="21"/>
      <c r="WEH142" s="21"/>
      <c r="WEI142" s="21"/>
      <c r="WEJ142" s="21"/>
      <c r="WEK142" s="21"/>
      <c r="WEL142" s="21"/>
      <c r="WEM142" s="21"/>
      <c r="WEN142" s="21"/>
      <c r="WEO142" s="21"/>
      <c r="WEP142" s="21"/>
      <c r="WEQ142" s="21"/>
      <c r="WER142" s="21"/>
      <c r="WES142" s="21"/>
      <c r="WET142" s="21"/>
      <c r="WEU142" s="21"/>
      <c r="WEV142" s="21"/>
      <c r="WEW142" s="21"/>
      <c r="WEX142" s="21"/>
      <c r="WEY142" s="21"/>
      <c r="WEZ142" s="21"/>
      <c r="WFA142" s="21"/>
      <c r="WFB142" s="21"/>
      <c r="WFC142" s="21"/>
      <c r="WFD142" s="21"/>
      <c r="WFE142" s="21"/>
      <c r="WFF142" s="21"/>
      <c r="WFG142" s="21"/>
      <c r="WFH142" s="21"/>
      <c r="WFI142" s="21"/>
      <c r="WFJ142" s="21"/>
      <c r="WFK142" s="21"/>
      <c r="WFL142" s="21"/>
      <c r="WFM142" s="21"/>
      <c r="WFN142" s="21"/>
      <c r="WFO142" s="21"/>
      <c r="WFP142" s="21"/>
      <c r="WFQ142" s="21"/>
      <c r="WFR142" s="21"/>
      <c r="WFS142" s="21"/>
      <c r="WFT142" s="21"/>
      <c r="WFU142" s="21"/>
      <c r="WFV142" s="21"/>
      <c r="WFW142" s="21"/>
      <c r="WFX142" s="21"/>
      <c r="WFY142" s="21"/>
      <c r="WFZ142" s="21"/>
      <c r="WGA142" s="21"/>
      <c r="WGB142" s="21"/>
      <c r="WGC142" s="21"/>
      <c r="WGD142" s="21"/>
      <c r="WGE142" s="21"/>
      <c r="WGF142" s="21"/>
      <c r="WGG142" s="21"/>
      <c r="WGH142" s="21"/>
      <c r="WGI142" s="21"/>
      <c r="WGJ142" s="21"/>
      <c r="WGK142" s="21"/>
      <c r="WGL142" s="21"/>
      <c r="WGM142" s="21"/>
      <c r="WGN142" s="21"/>
      <c r="WGO142" s="21"/>
      <c r="WGP142" s="21"/>
      <c r="WGQ142" s="21"/>
      <c r="WGR142" s="21"/>
      <c r="WGS142" s="21"/>
      <c r="WGT142" s="21"/>
      <c r="WGU142" s="21"/>
      <c r="WGV142" s="21"/>
      <c r="WGW142" s="21"/>
      <c r="WGX142" s="21"/>
      <c r="WGY142" s="21"/>
      <c r="WGZ142" s="21"/>
      <c r="WHA142" s="21"/>
      <c r="WHB142" s="21"/>
      <c r="WHC142" s="21"/>
      <c r="WHD142" s="21"/>
      <c r="WHE142" s="21"/>
      <c r="WHF142" s="21"/>
      <c r="WHG142" s="21"/>
      <c r="WHH142" s="21"/>
      <c r="WHI142" s="21"/>
      <c r="WHJ142" s="21"/>
      <c r="WHK142" s="21"/>
      <c r="WHL142" s="21"/>
      <c r="WHM142" s="21"/>
      <c r="WHN142" s="21"/>
      <c r="WHO142" s="21"/>
      <c r="WHP142" s="21"/>
      <c r="WHQ142" s="21"/>
      <c r="WHR142" s="21"/>
      <c r="WHS142" s="21"/>
      <c r="WHT142" s="21"/>
      <c r="WHU142" s="21"/>
      <c r="WHV142" s="21"/>
      <c r="WHW142" s="21"/>
      <c r="WHX142" s="21"/>
      <c r="WHY142" s="21"/>
      <c r="WHZ142" s="21"/>
      <c r="WIA142" s="21"/>
      <c r="WIB142" s="21"/>
      <c r="WIC142" s="21"/>
      <c r="WID142" s="21"/>
      <c r="WIE142" s="21"/>
      <c r="WIF142" s="21"/>
      <c r="WIG142" s="21"/>
      <c r="WIH142" s="21"/>
      <c r="WII142" s="21"/>
      <c r="WIJ142" s="21"/>
      <c r="WIK142" s="21"/>
      <c r="WIL142" s="21"/>
      <c r="WIM142" s="21"/>
      <c r="WIN142" s="21"/>
      <c r="WIO142" s="21"/>
      <c r="WIP142" s="21"/>
      <c r="WIQ142" s="21"/>
      <c r="WIR142" s="21"/>
      <c r="WIS142" s="21"/>
      <c r="WIT142" s="21"/>
      <c r="WIU142" s="21"/>
      <c r="WIV142" s="21"/>
      <c r="WIW142" s="21"/>
      <c r="WIX142" s="21"/>
      <c r="WIY142" s="21"/>
      <c r="WIZ142" s="21"/>
      <c r="WJA142" s="21"/>
      <c r="WJB142" s="21"/>
      <c r="WJC142" s="21"/>
      <c r="WJD142" s="21"/>
      <c r="WJE142" s="21"/>
      <c r="WJF142" s="21"/>
      <c r="WJG142" s="21"/>
      <c r="WJH142" s="21"/>
      <c r="WJI142" s="21"/>
      <c r="WJJ142" s="21"/>
      <c r="WJK142" s="21"/>
      <c r="WJL142" s="21"/>
      <c r="WJM142" s="21"/>
      <c r="WJN142" s="21"/>
      <c r="WJO142" s="21"/>
      <c r="WJP142" s="21"/>
      <c r="WJQ142" s="21"/>
      <c r="WJR142" s="21"/>
      <c r="WJS142" s="21"/>
      <c r="WJT142" s="21"/>
      <c r="WJU142" s="21"/>
      <c r="WJV142" s="21"/>
      <c r="WJW142" s="21"/>
      <c r="WJX142" s="21"/>
      <c r="WJY142" s="21"/>
      <c r="WJZ142" s="21"/>
      <c r="WKA142" s="21"/>
      <c r="WKB142" s="21"/>
      <c r="WKC142" s="21"/>
      <c r="WKD142" s="21"/>
      <c r="WKE142" s="21"/>
      <c r="WKF142" s="21"/>
      <c r="WKG142" s="21"/>
      <c r="WKH142" s="21"/>
      <c r="WKI142" s="21"/>
      <c r="WKJ142" s="21"/>
      <c r="WKK142" s="21"/>
      <c r="WKL142" s="21"/>
      <c r="WKM142" s="21"/>
      <c r="WKN142" s="21"/>
      <c r="WKO142" s="21"/>
      <c r="WKP142" s="21"/>
      <c r="WKQ142" s="21"/>
      <c r="WKR142" s="21"/>
      <c r="WKS142" s="21"/>
      <c r="WKT142" s="21"/>
      <c r="WKU142" s="21"/>
      <c r="WKV142" s="21"/>
      <c r="WKW142" s="21"/>
      <c r="WKX142" s="21"/>
      <c r="WKY142" s="21"/>
      <c r="WKZ142" s="21"/>
      <c r="WLA142" s="21"/>
      <c r="WLB142" s="21"/>
      <c r="WLC142" s="21"/>
      <c r="WLD142" s="21"/>
      <c r="WLE142" s="21"/>
      <c r="WLF142" s="21"/>
      <c r="WLG142" s="21"/>
      <c r="WLH142" s="21"/>
      <c r="WLI142" s="21"/>
      <c r="WLJ142" s="21"/>
      <c r="WLK142" s="21"/>
      <c r="WLL142" s="21"/>
      <c r="WLM142" s="21"/>
      <c r="WLN142" s="21"/>
      <c r="WLO142" s="21"/>
      <c r="WLP142" s="21"/>
      <c r="WLQ142" s="21"/>
      <c r="WLR142" s="21"/>
      <c r="WLS142" s="21"/>
      <c r="WLT142" s="21"/>
      <c r="WLU142" s="21"/>
      <c r="WLV142" s="21"/>
      <c r="WLW142" s="21"/>
      <c r="WLX142" s="21"/>
      <c r="WLY142" s="21"/>
      <c r="WLZ142" s="21"/>
      <c r="WMA142" s="21"/>
      <c r="WMB142" s="21"/>
      <c r="WMC142" s="21"/>
      <c r="WMD142" s="21"/>
      <c r="WME142" s="21"/>
      <c r="WMF142" s="21"/>
      <c r="WMG142" s="21"/>
      <c r="WMH142" s="21"/>
      <c r="WMI142" s="21"/>
      <c r="WMJ142" s="21"/>
      <c r="WMK142" s="21"/>
      <c r="WML142" s="21"/>
      <c r="WMM142" s="21"/>
      <c r="WMN142" s="21"/>
      <c r="WMO142" s="21"/>
      <c r="WMP142" s="21"/>
      <c r="WMQ142" s="21"/>
      <c r="WMR142" s="21"/>
      <c r="WMS142" s="21"/>
      <c r="WMT142" s="21"/>
      <c r="WMU142" s="21"/>
      <c r="WMV142" s="21"/>
      <c r="WMW142" s="21"/>
      <c r="WMX142" s="21"/>
      <c r="WMY142" s="21"/>
      <c r="WMZ142" s="21"/>
      <c r="WNA142" s="21"/>
      <c r="WNB142" s="21"/>
      <c r="WNC142" s="21"/>
      <c r="WND142" s="21"/>
      <c r="WNE142" s="21"/>
      <c r="WNF142" s="21"/>
      <c r="WNG142" s="21"/>
      <c r="WNH142" s="21"/>
      <c r="WNI142" s="21"/>
      <c r="WNJ142" s="21"/>
      <c r="WNK142" s="21"/>
      <c r="WNL142" s="21"/>
      <c r="WNM142" s="21"/>
      <c r="WNN142" s="21"/>
      <c r="WNO142" s="21"/>
      <c r="WNP142" s="21"/>
      <c r="WNQ142" s="21"/>
      <c r="WNR142" s="21"/>
      <c r="WNS142" s="21"/>
      <c r="WNT142" s="21"/>
      <c r="WNU142" s="21"/>
      <c r="WNV142" s="21"/>
      <c r="WNW142" s="21"/>
      <c r="WNX142" s="21"/>
      <c r="WNY142" s="21"/>
      <c r="WNZ142" s="21"/>
      <c r="WOA142" s="21"/>
      <c r="WOB142" s="21"/>
      <c r="WOC142" s="21"/>
      <c r="WOD142" s="21"/>
      <c r="WOE142" s="21"/>
      <c r="WOF142" s="21"/>
      <c r="WOG142" s="21"/>
      <c r="WOH142" s="21"/>
      <c r="WOI142" s="21"/>
      <c r="WOJ142" s="21"/>
      <c r="WOK142" s="21"/>
      <c r="WOL142" s="21"/>
      <c r="WOM142" s="21"/>
      <c r="WON142" s="21"/>
      <c r="WOO142" s="21"/>
      <c r="WOP142" s="21"/>
      <c r="WOQ142" s="21"/>
      <c r="WOR142" s="21"/>
      <c r="WOS142" s="21"/>
      <c r="WOT142" s="21"/>
      <c r="WOU142" s="21"/>
      <c r="WOV142" s="21"/>
      <c r="WOW142" s="21"/>
      <c r="WOX142" s="21"/>
      <c r="WOY142" s="21"/>
      <c r="WOZ142" s="21"/>
      <c r="WPA142" s="21"/>
      <c r="WPB142" s="21"/>
      <c r="WPC142" s="21"/>
      <c r="WPD142" s="21"/>
      <c r="WPE142" s="21"/>
      <c r="WPF142" s="21"/>
      <c r="WPG142" s="21"/>
      <c r="WPH142" s="21"/>
      <c r="WPI142" s="21"/>
      <c r="WPJ142" s="21"/>
      <c r="WPK142" s="21"/>
      <c r="WPL142" s="21"/>
      <c r="WPM142" s="21"/>
      <c r="WPN142" s="21"/>
      <c r="WPO142" s="21"/>
      <c r="WPP142" s="21"/>
      <c r="WPQ142" s="21"/>
      <c r="WPR142" s="21"/>
      <c r="WPS142" s="21"/>
      <c r="WPT142" s="21"/>
      <c r="WPU142" s="21"/>
      <c r="WPV142" s="21"/>
      <c r="WPW142" s="21"/>
      <c r="WPX142" s="21"/>
      <c r="WPY142" s="21"/>
      <c r="WPZ142" s="21"/>
      <c r="WQA142" s="21"/>
      <c r="WQB142" s="21"/>
      <c r="WQC142" s="21"/>
      <c r="WQD142" s="21"/>
      <c r="WQE142" s="21"/>
      <c r="WQF142" s="21"/>
      <c r="WQG142" s="21"/>
      <c r="WQH142" s="21"/>
      <c r="WQI142" s="21"/>
      <c r="WQJ142" s="21"/>
      <c r="WQK142" s="21"/>
      <c r="WQL142" s="21"/>
      <c r="WQM142" s="21"/>
      <c r="WQN142" s="21"/>
      <c r="WQO142" s="21"/>
      <c r="WQP142" s="21"/>
      <c r="WQQ142" s="21"/>
      <c r="WQR142" s="21"/>
      <c r="WQS142" s="21"/>
      <c r="WQT142" s="21"/>
      <c r="WQU142" s="21"/>
      <c r="WQV142" s="21"/>
      <c r="WQW142" s="21"/>
      <c r="WQX142" s="21"/>
      <c r="WQY142" s="21"/>
      <c r="WQZ142" s="21"/>
      <c r="WRA142" s="21"/>
      <c r="WRB142" s="21"/>
      <c r="WRC142" s="21"/>
      <c r="WRD142" s="21"/>
      <c r="WRE142" s="21"/>
      <c r="WRF142" s="21"/>
      <c r="WRG142" s="21"/>
      <c r="WRH142" s="21"/>
      <c r="WRI142" s="21"/>
      <c r="WRJ142" s="21"/>
      <c r="WRK142" s="21"/>
      <c r="WRL142" s="21"/>
      <c r="WRM142" s="21"/>
      <c r="WRN142" s="21"/>
      <c r="WRO142" s="21"/>
      <c r="WRP142" s="21"/>
      <c r="WRQ142" s="21"/>
      <c r="WRR142" s="21"/>
      <c r="WRS142" s="21"/>
      <c r="WRT142" s="21"/>
      <c r="WRU142" s="21"/>
      <c r="WRV142" s="21"/>
      <c r="WRW142" s="21"/>
      <c r="WRX142" s="21"/>
      <c r="WRY142" s="21"/>
      <c r="WRZ142" s="21"/>
      <c r="WSA142" s="21"/>
      <c r="WSB142" s="21"/>
      <c r="WSC142" s="21"/>
      <c r="WSD142" s="21"/>
      <c r="WSE142" s="21"/>
      <c r="WSF142" s="21"/>
      <c r="WSG142" s="21"/>
      <c r="WSH142" s="21"/>
      <c r="WSI142" s="21"/>
      <c r="WSJ142" s="21"/>
      <c r="WSK142" s="21"/>
      <c r="WSL142" s="21"/>
      <c r="WSM142" s="21"/>
      <c r="WSN142" s="21"/>
      <c r="WSO142" s="21"/>
      <c r="WSP142" s="21"/>
      <c r="WSQ142" s="21"/>
      <c r="WSR142" s="21"/>
      <c r="WSS142" s="21"/>
      <c r="WST142" s="21"/>
      <c r="WSU142" s="21"/>
      <c r="WSV142" s="21"/>
      <c r="WSW142" s="21"/>
      <c r="WSX142" s="21"/>
      <c r="WSY142" s="21"/>
      <c r="WSZ142" s="21"/>
      <c r="WTA142" s="21"/>
      <c r="WTB142" s="21"/>
      <c r="WTC142" s="21"/>
      <c r="WTD142" s="21"/>
      <c r="WTE142" s="21"/>
      <c r="WTF142" s="21"/>
      <c r="WTG142" s="21"/>
      <c r="WTH142" s="21"/>
      <c r="WTI142" s="21"/>
      <c r="WTJ142" s="21"/>
      <c r="WTK142" s="21"/>
      <c r="WTL142" s="21"/>
      <c r="WTM142" s="21"/>
      <c r="WTN142" s="21"/>
      <c r="WTO142" s="21"/>
      <c r="WTP142" s="21"/>
      <c r="WTQ142" s="21"/>
      <c r="WTR142" s="21"/>
      <c r="WTS142" s="21"/>
      <c r="WTT142" s="21"/>
      <c r="WTU142" s="21"/>
      <c r="WTV142" s="21"/>
      <c r="WTW142" s="21"/>
      <c r="WTX142" s="21"/>
      <c r="WTY142" s="21"/>
      <c r="WTZ142" s="21"/>
      <c r="WUA142" s="21"/>
      <c r="WUB142" s="21"/>
      <c r="WUC142" s="21"/>
      <c r="WUD142" s="21"/>
      <c r="WUE142" s="21"/>
      <c r="WUF142" s="21"/>
      <c r="WUG142" s="21"/>
      <c r="WUH142" s="21"/>
      <c r="WUI142" s="21"/>
      <c r="WUJ142" s="21"/>
      <c r="WUK142" s="21"/>
      <c r="WUL142" s="21"/>
      <c r="WUM142" s="21"/>
      <c r="WUN142" s="21"/>
      <c r="WUO142" s="21"/>
      <c r="WUP142" s="21"/>
      <c r="WUQ142" s="21"/>
      <c r="WUR142" s="21"/>
      <c r="WUS142" s="21"/>
      <c r="WUT142" s="21"/>
      <c r="WUU142" s="21"/>
      <c r="WUV142" s="21"/>
      <c r="WUW142" s="21"/>
      <c r="WUX142" s="21"/>
      <c r="WUY142" s="21"/>
      <c r="WUZ142" s="21"/>
      <c r="WVA142" s="21"/>
      <c r="WVB142" s="21"/>
      <c r="WVC142" s="21"/>
      <c r="WVD142" s="21"/>
      <c r="WVE142" s="21"/>
      <c r="WVF142" s="21"/>
      <c r="WVG142" s="21"/>
      <c r="WVH142" s="21"/>
      <c r="WVI142" s="21"/>
      <c r="WVJ142" s="21"/>
      <c r="WVK142" s="21"/>
      <c r="WVL142" s="21"/>
      <c r="WVM142" s="21"/>
      <c r="WVN142" s="21"/>
      <c r="WVO142" s="21"/>
      <c r="WVP142" s="21"/>
      <c r="WVQ142" s="21"/>
      <c r="WVR142" s="21"/>
      <c r="WVS142" s="21"/>
      <c r="WVT142" s="21"/>
      <c r="WVU142" s="21"/>
      <c r="WVV142" s="21"/>
      <c r="WVW142" s="21"/>
      <c r="WVX142" s="21"/>
      <c r="WVY142" s="21"/>
      <c r="WVZ142" s="21"/>
      <c r="WWA142" s="21"/>
      <c r="WWB142" s="21"/>
      <c r="WWC142" s="21"/>
      <c r="WWD142" s="21"/>
      <c r="WWE142" s="21"/>
      <c r="WWF142" s="21"/>
      <c r="WWG142" s="21"/>
      <c r="WWH142" s="21"/>
      <c r="WWI142" s="21"/>
      <c r="WWJ142" s="21"/>
      <c r="WWK142" s="21"/>
      <c r="WWL142" s="21"/>
      <c r="WWM142" s="21"/>
      <c r="WWN142" s="21"/>
      <c r="WWO142" s="21"/>
      <c r="WWP142" s="21"/>
      <c r="WWQ142" s="21"/>
      <c r="WWR142" s="21"/>
      <c r="WWS142" s="21"/>
      <c r="WWT142" s="21"/>
      <c r="WWU142" s="21"/>
      <c r="WWV142" s="21"/>
      <c r="WWW142" s="21"/>
      <c r="WWX142" s="21"/>
      <c r="WWY142" s="21"/>
      <c r="WWZ142" s="21"/>
      <c r="WXA142" s="21"/>
      <c r="WXB142" s="21"/>
      <c r="WXC142" s="21"/>
      <c r="WXD142" s="21"/>
      <c r="WXE142" s="21"/>
      <c r="WXF142" s="21"/>
      <c r="WXG142" s="21"/>
      <c r="WXH142" s="21"/>
      <c r="WXI142" s="21"/>
      <c r="WXJ142" s="21"/>
      <c r="WXK142" s="21"/>
      <c r="WXL142" s="21"/>
      <c r="WXM142" s="21"/>
      <c r="WXN142" s="21"/>
      <c r="WXO142" s="21"/>
      <c r="WXP142" s="21"/>
      <c r="WXQ142" s="21"/>
      <c r="WXR142" s="21"/>
      <c r="WXS142" s="21"/>
      <c r="WXT142" s="21"/>
      <c r="WXU142" s="21"/>
      <c r="WXV142" s="21"/>
      <c r="WXW142" s="21"/>
      <c r="WXX142" s="21"/>
      <c r="WXY142" s="21"/>
      <c r="WXZ142" s="21"/>
      <c r="WYA142" s="21"/>
      <c r="WYB142" s="21"/>
      <c r="WYC142" s="21"/>
      <c r="WYD142" s="21"/>
      <c r="WYE142" s="21"/>
      <c r="WYF142" s="21"/>
      <c r="WYG142" s="21"/>
      <c r="WYH142" s="21"/>
      <c r="WYI142" s="21"/>
      <c r="WYJ142" s="21"/>
      <c r="WYK142" s="21"/>
      <c r="WYL142" s="21"/>
      <c r="WYM142" s="21"/>
      <c r="WYN142" s="21"/>
      <c r="WYO142" s="21"/>
      <c r="WYP142" s="21"/>
      <c r="WYQ142" s="21"/>
      <c r="WYR142" s="21"/>
      <c r="WYS142" s="21"/>
      <c r="WYT142" s="21"/>
      <c r="WYU142" s="21"/>
      <c r="WYV142" s="21"/>
      <c r="WYW142" s="21"/>
      <c r="WYX142" s="21"/>
      <c r="WYY142" s="21"/>
      <c r="WYZ142" s="21"/>
      <c r="WZA142" s="21"/>
      <c r="WZB142" s="21"/>
      <c r="WZC142" s="21"/>
      <c r="WZD142" s="21"/>
      <c r="WZE142" s="21"/>
      <c r="WZF142" s="21"/>
      <c r="WZG142" s="21"/>
      <c r="WZH142" s="21"/>
      <c r="WZI142" s="21"/>
      <c r="WZJ142" s="21"/>
      <c r="WZK142" s="21"/>
      <c r="WZL142" s="21"/>
      <c r="WZM142" s="21"/>
      <c r="WZN142" s="21"/>
      <c r="WZO142" s="21"/>
      <c r="WZP142" s="21"/>
      <c r="WZQ142" s="21"/>
      <c r="WZR142" s="21"/>
      <c r="WZS142" s="21"/>
      <c r="WZT142" s="21"/>
      <c r="WZU142" s="21"/>
      <c r="WZV142" s="21"/>
      <c r="WZW142" s="21"/>
      <c r="WZX142" s="21"/>
      <c r="WZY142" s="21"/>
      <c r="WZZ142" s="21"/>
      <c r="XAA142" s="21"/>
      <c r="XAB142" s="21"/>
      <c r="XAC142" s="21"/>
      <c r="XAD142" s="21"/>
      <c r="XAE142" s="21"/>
      <c r="XAF142" s="21"/>
      <c r="XAG142" s="21"/>
      <c r="XAH142" s="21"/>
      <c r="XAI142" s="21"/>
      <c r="XAJ142" s="21"/>
      <c r="XAK142" s="21"/>
      <c r="XAL142" s="21"/>
      <c r="XAM142" s="21"/>
      <c r="XAN142" s="21"/>
      <c r="XAO142" s="21"/>
      <c r="XAP142" s="21"/>
      <c r="XAQ142" s="21"/>
      <c r="XAR142" s="21"/>
      <c r="XAS142" s="21"/>
      <c r="XAT142" s="21"/>
      <c r="XAU142" s="21"/>
      <c r="XAV142" s="21"/>
      <c r="XAW142" s="21"/>
      <c r="XAX142" s="21"/>
      <c r="XAY142" s="21"/>
      <c r="XAZ142" s="21"/>
      <c r="XBA142" s="21"/>
      <c r="XBB142" s="21"/>
      <c r="XBC142" s="21"/>
      <c r="XBD142" s="21"/>
      <c r="XBE142" s="21"/>
      <c r="XBF142" s="21"/>
      <c r="XBG142" s="21"/>
      <c r="XBH142" s="21"/>
      <c r="XBI142" s="21"/>
      <c r="XBJ142" s="21"/>
      <c r="XBK142" s="21"/>
      <c r="XBL142" s="21"/>
      <c r="XBM142" s="21"/>
      <c r="XBN142" s="21"/>
      <c r="XBO142" s="21"/>
      <c r="XBP142" s="21"/>
      <c r="XBQ142" s="21"/>
      <c r="XBR142" s="21"/>
      <c r="XBS142" s="21"/>
      <c r="XBT142" s="21"/>
      <c r="XBU142" s="21"/>
      <c r="XBV142" s="21"/>
      <c r="XBW142" s="21"/>
      <c r="XBX142" s="21"/>
      <c r="XBY142" s="21"/>
      <c r="XBZ142" s="21"/>
      <c r="XCA142" s="21"/>
      <c r="XCB142" s="21"/>
      <c r="XCC142" s="21"/>
      <c r="XCD142" s="21"/>
      <c r="XCE142" s="21"/>
      <c r="XCF142" s="21"/>
      <c r="XCG142" s="21"/>
      <c r="XCH142" s="21"/>
      <c r="XCI142" s="21"/>
      <c r="XCJ142" s="21"/>
      <c r="XCK142" s="21"/>
      <c r="XCL142" s="21"/>
      <c r="XCM142" s="21"/>
      <c r="XCN142" s="21"/>
      <c r="XCO142" s="21"/>
      <c r="XCP142" s="21"/>
      <c r="XCQ142" s="21"/>
      <c r="XCR142" s="21"/>
      <c r="XCS142" s="21"/>
      <c r="XCT142" s="21"/>
      <c r="XCU142" s="21"/>
      <c r="XCV142" s="21"/>
      <c r="XCW142" s="21"/>
      <c r="XCX142" s="21"/>
      <c r="XCY142" s="21"/>
      <c r="XCZ142" s="21"/>
      <c r="XDA142" s="21"/>
      <c r="XDB142" s="21"/>
      <c r="XDC142" s="21"/>
      <c r="XDD142" s="21"/>
      <c r="XDE142" s="21"/>
      <c r="XDF142" s="21"/>
      <c r="XDG142" s="21"/>
      <c r="XDH142" s="21"/>
      <c r="XDI142" s="21"/>
      <c r="XDJ142" s="21"/>
      <c r="XDK142" s="21"/>
      <c r="XDL142" s="21"/>
      <c r="XDM142" s="21"/>
      <c r="XDN142" s="21"/>
      <c r="XDO142" s="21"/>
      <c r="XDP142" s="21"/>
      <c r="XDQ142" s="21"/>
      <c r="XDR142" s="21"/>
      <c r="XDS142" s="21"/>
      <c r="XDT142" s="21"/>
      <c r="XDU142" s="21"/>
      <c r="XDV142" s="21"/>
      <c r="XDW142" s="21"/>
      <c r="XDX142" s="21"/>
      <c r="XDY142" s="21"/>
      <c r="XDZ142" s="21"/>
      <c r="XEA142" s="21"/>
      <c r="XEB142" s="21"/>
      <c r="XEC142" s="21"/>
      <c r="XED142" s="21"/>
      <c r="XEE142" s="21"/>
      <c r="XEF142" s="21"/>
      <c r="XEG142" s="21"/>
      <c r="XEH142" s="21"/>
      <c r="XEI142" s="21"/>
      <c r="XEJ142" s="21"/>
      <c r="XEK142" s="21"/>
      <c r="XEL142" s="21"/>
      <c r="XEM142" s="21"/>
      <c r="XEN142" s="21"/>
      <c r="XEO142" s="21"/>
      <c r="XEP142" s="21"/>
      <c r="XEQ142" s="21"/>
      <c r="XER142" s="21"/>
      <c r="XES142" s="21"/>
      <c r="XET142" s="21"/>
      <c r="XEU142" s="21"/>
      <c r="XEV142" s="21"/>
      <c r="XEW142" s="21"/>
      <c r="XEX142" s="21"/>
      <c r="XEY142" s="21"/>
      <c r="XEZ142" s="21"/>
      <c r="XFA142" s="21"/>
      <c r="XFB142" s="21"/>
      <c r="XFC142" s="21"/>
      <c r="XFD142" s="21"/>
    </row>
    <row r="143" spans="2:16384" ht="17" thickTop="1">
      <c r="B143" s="30"/>
      <c r="C143" s="28"/>
      <c r="D143" s="31"/>
      <c r="E143" s="31"/>
      <c r="F143" s="24"/>
      <c r="G143" s="24"/>
      <c r="H143" s="24"/>
      <c r="I143" s="24"/>
      <c r="J143" s="24"/>
      <c r="K143" s="25"/>
    </row>
    <row r="145" spans="2:9">
      <c r="B145" s="237" t="s">
        <v>172</v>
      </c>
      <c r="C145" s="238"/>
      <c r="H145" s="1" t="s">
        <v>278</v>
      </c>
      <c r="I145" s="1"/>
    </row>
    <row r="146" spans="2:9">
      <c r="H146" t="s">
        <v>274</v>
      </c>
      <c r="I146" s="6">
        <f ca="1">OFFSET($E$15,0,Years_Forecasted)</f>
        <v>25689.252605175378</v>
      </c>
    </row>
    <row r="147" spans="2:9">
      <c r="B147" t="s">
        <v>9</v>
      </c>
      <c r="C147" s="6">
        <f>SUM(F132:O132)</f>
        <v>5.9460297069737802</v>
      </c>
      <c r="H147" t="s">
        <v>266</v>
      </c>
      <c r="I147" s="327">
        <f ca="1">EV_EBITDA_FY0</f>
        <v>242.0609777642606</v>
      </c>
    </row>
    <row r="148" spans="2:9">
      <c r="B148" t="s">
        <v>267</v>
      </c>
      <c r="C148" s="6">
        <f ca="1">I149</f>
        <v>5173499.7303859638</v>
      </c>
      <c r="H148" t="s">
        <v>127</v>
      </c>
      <c r="I148" s="6">
        <f ca="1">$I$146*$I$147</f>
        <v>6218365.6036418304</v>
      </c>
    </row>
    <row r="149" spans="2:9">
      <c r="B149" s="14" t="s">
        <v>129</v>
      </c>
      <c r="C149" s="15">
        <f ca="1">SUM(C147:C148)</f>
        <v>5173505.6764156707</v>
      </c>
      <c r="H149" s="14" t="s">
        <v>136</v>
      </c>
      <c r="I149" s="15">
        <f ca="1">$I$148/((1+WACC)^Years_Forecasted)</f>
        <v>5173499.7303859638</v>
      </c>
    </row>
    <row r="150" spans="2:9">
      <c r="B150" t="s">
        <v>130</v>
      </c>
      <c r="C150" s="6">
        <f>-'Balance Sheet Historic'!C116</f>
        <v>0</v>
      </c>
    </row>
    <row r="151" spans="2:9">
      <c r="B151" t="s">
        <v>131</v>
      </c>
      <c r="C151" s="6">
        <f>'Balance Sheet Historic'!C107</f>
        <v>0</v>
      </c>
    </row>
    <row r="152" spans="2:9">
      <c r="B152" t="s">
        <v>132</v>
      </c>
      <c r="C152" s="6">
        <f>'Balance Sheet Historic'!C112</f>
        <v>0</v>
      </c>
    </row>
    <row r="153" spans="2:9">
      <c r="B153" s="14" t="s">
        <v>133</v>
      </c>
      <c r="C153" s="15">
        <f ca="1">SUM(C149:C152)</f>
        <v>5173505.6764156707</v>
      </c>
    </row>
    <row r="154" spans="2:9">
      <c r="B154" t="s">
        <v>203</v>
      </c>
      <c r="C154" s="6">
        <f>Shares_Outstanding / 1000000</f>
        <v>15171.99</v>
      </c>
    </row>
    <row r="155" spans="2:9">
      <c r="B155" s="14" t="s">
        <v>134</v>
      </c>
      <c r="C155" s="298">
        <f ca="1">C153/C154</f>
        <v>340.99058043247265</v>
      </c>
    </row>
    <row r="157" spans="2:9">
      <c r="B157" s="1" t="s">
        <v>268</v>
      </c>
      <c r="C157" s="287">
        <f ca="1">WACC-($I$92/$I$148)</f>
        <v>6.1914781924112899E-2</v>
      </c>
    </row>
    <row r="158" spans="2:9">
      <c r="B158" s="286" t="s">
        <v>261</v>
      </c>
      <c r="C158" s="288">
        <f ca="1">$C$149/Revenue_FY0</f>
        <v>53.460217998983914</v>
      </c>
    </row>
    <row r="161" spans="2:22">
      <c r="B161" s="227" t="s">
        <v>120</v>
      </c>
      <c r="C161" s="227"/>
      <c r="D161" s="227"/>
      <c r="E161" s="227"/>
      <c r="F161" s="227"/>
      <c r="G161" s="227"/>
      <c r="H161" s="227"/>
      <c r="I161" s="8"/>
      <c r="J161" s="9"/>
      <c r="K161" s="10" t="s">
        <v>121</v>
      </c>
    </row>
    <row r="162" spans="2:22">
      <c r="B162" s="305" t="s">
        <v>110</v>
      </c>
      <c r="C162" s="306" t="s">
        <v>270</v>
      </c>
      <c r="D162" s="306"/>
      <c r="E162" s="306"/>
      <c r="F162" s="306"/>
      <c r="G162" s="306"/>
      <c r="H162" s="306"/>
      <c r="I162" s="8"/>
      <c r="J162" s="11" t="s">
        <v>263</v>
      </c>
      <c r="K162" s="289">
        <v>5</v>
      </c>
      <c r="O162" s="308" t="s">
        <v>285</v>
      </c>
      <c r="P162" s="308"/>
      <c r="Q162" s="308"/>
      <c r="R162" s="308"/>
    </row>
    <row r="163" spans="2:22" ht="17" thickBot="1">
      <c r="B163" s="305"/>
      <c r="C163" s="299">
        <f ca="1">$C$155</f>
        <v>340.99058043247265</v>
      </c>
      <c r="D163" s="290">
        <f ca="1">E163-$K$162</f>
        <v>232.0609777642606</v>
      </c>
      <c r="E163" s="290">
        <f ca="1">F163-$K$162</f>
        <v>237.0609777642606</v>
      </c>
      <c r="F163" s="291">
        <f ca="1">EV_EBITDA_FY0</f>
        <v>242.0609777642606</v>
      </c>
      <c r="G163" s="290">
        <f ca="1">F163+$K$162</f>
        <v>247.0609777642606</v>
      </c>
      <c r="H163" s="290">
        <f ca="1">G163+$K$162</f>
        <v>252.0609777642606</v>
      </c>
      <c r="I163" s="8"/>
      <c r="O163" s="25"/>
      <c r="P163" s="264" t="s">
        <v>223</v>
      </c>
      <c r="Q163" s="264" t="s">
        <v>234</v>
      </c>
      <c r="R163" s="264" t="s">
        <v>224</v>
      </c>
      <c r="T163" s="265" t="s">
        <v>231</v>
      </c>
      <c r="U163" s="265" t="s">
        <v>232</v>
      </c>
      <c r="V163" s="265" t="s">
        <v>233</v>
      </c>
    </row>
    <row r="164" spans="2:22">
      <c r="B164" s="305"/>
      <c r="C164" s="229">
        <f>C165-$K$110</f>
        <v>5.823828734906282E-2</v>
      </c>
      <c r="D164" s="300">
        <f t="dataTable" ref="D164:H168" dt2D="1" dtr="1" r1="I147" r2="E56" ca="1"/>
        <v>331.55924454882825</v>
      </c>
      <c r="E164" s="301">
        <v>338.70303183772967</v>
      </c>
      <c r="F164" s="302">
        <v>345.84681912663098</v>
      </c>
      <c r="G164" s="301">
        <v>352.99060641553228</v>
      </c>
      <c r="H164" s="301">
        <v>360.13439370443371</v>
      </c>
      <c r="I164" s="8"/>
      <c r="J164" s="11" t="s">
        <v>110</v>
      </c>
      <c r="K164" s="16">
        <v>2.5000000000000001E-3</v>
      </c>
      <c r="O164" s="266" t="s">
        <v>286</v>
      </c>
      <c r="P164" s="5">
        <f ca="1">MIN(D163:H163)</f>
        <v>232.0609777642606</v>
      </c>
      <c r="Q164" s="323">
        <f ca="1">I147</f>
        <v>242.0609777642606</v>
      </c>
      <c r="R164" s="324">
        <f ca="1">MAX(D163:H163)</f>
        <v>252.0609777642606</v>
      </c>
      <c r="T164" s="327">
        <f ca="1">P164</f>
        <v>232.0609777642606</v>
      </c>
      <c r="U164" s="328">
        <f ca="1">Q164-P164</f>
        <v>10</v>
      </c>
      <c r="V164" s="327">
        <f ca="1">R164-Q164</f>
        <v>10</v>
      </c>
    </row>
    <row r="165" spans="2:22">
      <c r="B165" s="305"/>
      <c r="C165" s="229">
        <f>C166-$K$110</f>
        <v>6.0738287349062822E-2</v>
      </c>
      <c r="D165" s="303">
        <v>329.22046289787454</v>
      </c>
      <c r="E165" s="304">
        <v>336.31385865448368</v>
      </c>
      <c r="F165" s="304">
        <v>343.40725441109282</v>
      </c>
      <c r="G165" s="304">
        <v>350.50065016770196</v>
      </c>
      <c r="H165" s="302">
        <v>357.59404592431116</v>
      </c>
      <c r="I165" s="8"/>
      <c r="J165" s="8"/>
      <c r="K165" s="8"/>
      <c r="O165" s="266" t="s">
        <v>283</v>
      </c>
      <c r="P165" s="325">
        <f>MIN(D121:H125)</f>
        <v>9.0992993772289346</v>
      </c>
      <c r="Q165" s="326">
        <f>F123</f>
        <v>10.934947428602307</v>
      </c>
      <c r="R165" s="324">
        <f>MAX(D121:H125)</f>
        <v>13.729708297057025</v>
      </c>
      <c r="T165" s="327">
        <f t="shared" ref="T165" si="37">P165</f>
        <v>9.0992993772289346</v>
      </c>
      <c r="U165" s="328">
        <f t="shared" ref="U165:U166" si="38">Q165-P165</f>
        <v>1.8356480513733722</v>
      </c>
      <c r="V165" s="327">
        <f t="shared" ref="V165:V166" si="39">R165-Q165</f>
        <v>2.7947608684547181</v>
      </c>
    </row>
    <row r="166" spans="2:22">
      <c r="B166" s="305"/>
      <c r="C166" s="236">
        <f>$E$45*$E$53+$E$52*$E$49</f>
        <v>6.3238287349062824E-2</v>
      </c>
      <c r="D166" s="302">
        <v>326.90362632390099</v>
      </c>
      <c r="E166" s="304">
        <v>333.94710337818685</v>
      </c>
      <c r="F166" s="304">
        <v>340.99058043247265</v>
      </c>
      <c r="G166" s="304">
        <v>348.03405748675851</v>
      </c>
      <c r="H166" s="302">
        <v>355.07753454104437</v>
      </c>
      <c r="I166" s="8"/>
      <c r="J166" s="12"/>
      <c r="K166" s="8"/>
      <c r="O166" s="266" t="s">
        <v>284</v>
      </c>
      <c r="P166" s="325">
        <f>MIN(D239:H243)</f>
        <v>54.030907587202833</v>
      </c>
      <c r="Q166" s="326">
        <f>F241</f>
        <v>75.065087237065399</v>
      </c>
      <c r="R166" s="324">
        <f>MAX(D239:H243)</f>
        <v>96.691122161310759</v>
      </c>
      <c r="T166" s="327">
        <f>P166</f>
        <v>54.030907587202833</v>
      </c>
      <c r="U166" s="328">
        <f t="shared" si="38"/>
        <v>21.034179649862565</v>
      </c>
      <c r="V166" s="327">
        <f t="shared" si="39"/>
        <v>21.62603492424536</v>
      </c>
    </row>
    <row r="167" spans="2:22">
      <c r="B167" s="305"/>
      <c r="C167" s="229">
        <f>C166+$K$110</f>
        <v>6.5738287349062827E-2</v>
      </c>
      <c r="D167" s="303">
        <v>324.60847803780558</v>
      </c>
      <c r="E167" s="304">
        <v>331.60250368694335</v>
      </c>
      <c r="F167" s="304">
        <v>338.59652933608112</v>
      </c>
      <c r="G167" s="304">
        <v>345.59055498521889</v>
      </c>
      <c r="H167" s="302">
        <v>352.58458063435671</v>
      </c>
      <c r="I167" s="8"/>
      <c r="J167" s="8"/>
      <c r="K167" s="8"/>
      <c r="O167" s="266" t="s">
        <v>219</v>
      </c>
      <c r="P167" s="325">
        <f>MIN('Comparable multiples'!G35:H38)</f>
        <v>7.1084778829121396</v>
      </c>
      <c r="Q167" s="326">
        <f>AVERAGE('Comparable multiples'!G37:H37)</f>
        <v>19.564009038897154</v>
      </c>
      <c r="R167" s="324">
        <f>MAX('Comparable multiples'!G35:H38)</f>
        <v>63.499434934957428</v>
      </c>
      <c r="T167" s="327">
        <f>P167</f>
        <v>7.1084778829121396</v>
      </c>
      <c r="U167" s="328">
        <f t="shared" ref="U167" si="40">Q167-P167</f>
        <v>12.455531155985014</v>
      </c>
      <c r="V167" s="327">
        <f t="shared" ref="V167" si="41">R167-Q167</f>
        <v>43.935425896060273</v>
      </c>
    </row>
    <row r="168" spans="2:22">
      <c r="B168" s="305"/>
      <c r="C168" s="229">
        <f>C167+$K$110</f>
        <v>6.8238287349062829E-2</v>
      </c>
      <c r="D168" s="303">
        <v>322.33476484782767</v>
      </c>
      <c r="E168" s="302">
        <v>329.27980093370752</v>
      </c>
      <c r="F168" s="302">
        <v>336.22483701958726</v>
      </c>
      <c r="G168" s="302">
        <v>343.16987310546716</v>
      </c>
      <c r="H168" s="302">
        <v>350.11490919134695</v>
      </c>
      <c r="I168" s="8"/>
      <c r="J168" s="8"/>
      <c r="K168" s="8"/>
    </row>
    <row r="172" spans="2:22">
      <c r="B172" s="227" t="s">
        <v>269</v>
      </c>
      <c r="C172" s="227"/>
      <c r="D172" s="227"/>
      <c r="E172" s="227"/>
      <c r="F172" s="227"/>
      <c r="G172" s="227"/>
      <c r="H172" s="227"/>
    </row>
    <row r="173" spans="2:22">
      <c r="B173" s="305" t="s">
        <v>110</v>
      </c>
      <c r="C173" s="306" t="s">
        <v>270</v>
      </c>
      <c r="D173" s="306"/>
      <c r="E173" s="306"/>
      <c r="F173" s="306"/>
      <c r="G173" s="306"/>
      <c r="H173" s="306"/>
    </row>
    <row r="174" spans="2:22" ht="17" thickBot="1">
      <c r="B174" s="305"/>
      <c r="C174" s="297">
        <f ca="1">$C$157</f>
        <v>6.1914781924112899E-2</v>
      </c>
      <c r="D174" s="290">
        <f ca="1">E174-$K$162</f>
        <v>232.0609777642606</v>
      </c>
      <c r="E174" s="290">
        <f ca="1">F174-$K$162</f>
        <v>237.0609777642606</v>
      </c>
      <c r="F174" s="291">
        <f ca="1">EV_EBITDA_FY0</f>
        <v>242.0609777642606</v>
      </c>
      <c r="G174" s="290">
        <f ca="1">F174+$K$162</f>
        <v>247.0609777642606</v>
      </c>
      <c r="H174" s="290">
        <f ca="1">G174+$K$162</f>
        <v>252.0609777642606</v>
      </c>
    </row>
    <row r="175" spans="2:22">
      <c r="B175" s="305"/>
      <c r="C175" s="229">
        <f>C176-$K$110</f>
        <v>5.823828734906282E-2</v>
      </c>
      <c r="D175" s="292">
        <f t="dataTable" ref="D175:H179" dt2D="1" dtr="1" r1="I147" r2="E56" ca="1"/>
        <v>5.6857749266675146E-2</v>
      </c>
      <c r="E175" s="293">
        <v>5.6886867050955955E-2</v>
      </c>
      <c r="F175" s="294">
        <v>5.6914781924112895E-2</v>
      </c>
      <c r="G175" s="293">
        <v>5.6941566919398813E-2</v>
      </c>
      <c r="H175" s="293">
        <v>5.6967289275178863E-2</v>
      </c>
    </row>
    <row r="176" spans="2:22">
      <c r="B176" s="305"/>
      <c r="C176" s="229">
        <f>C177-$K$110</f>
        <v>6.0738287349062822E-2</v>
      </c>
      <c r="D176" s="295">
        <v>5.9357749266675149E-2</v>
      </c>
      <c r="E176" s="296">
        <v>5.9386867050955958E-2</v>
      </c>
      <c r="F176" s="296">
        <v>5.9414781924112897E-2</v>
      </c>
      <c r="G176" s="296">
        <v>5.9441566919398815E-2</v>
      </c>
      <c r="H176" s="294">
        <v>5.9467289275178865E-2</v>
      </c>
    </row>
    <row r="177" spans="2:8">
      <c r="B177" s="305"/>
      <c r="C177" s="236">
        <f>$E$45*$E$53+$E$52*$E$49</f>
        <v>6.3238287349062824E-2</v>
      </c>
      <c r="D177" s="294">
        <v>6.1857749266675151E-2</v>
      </c>
      <c r="E177" s="296">
        <v>6.188686705095596E-2</v>
      </c>
      <c r="F177" s="296">
        <v>6.1914781924112899E-2</v>
      </c>
      <c r="G177" s="296">
        <v>6.1941566919398817E-2</v>
      </c>
      <c r="H177" s="294">
        <v>6.1967289275178868E-2</v>
      </c>
    </row>
    <row r="178" spans="2:8">
      <c r="B178" s="305"/>
      <c r="C178" s="229">
        <f>C177+$K$110</f>
        <v>6.5738287349062827E-2</v>
      </c>
      <c r="D178" s="295">
        <v>6.4357749266675146E-2</v>
      </c>
      <c r="E178" s="296">
        <v>6.4386867050955962E-2</v>
      </c>
      <c r="F178" s="296">
        <v>6.4414781924112902E-2</v>
      </c>
      <c r="G178" s="296">
        <v>6.4441566919398813E-2</v>
      </c>
      <c r="H178" s="294">
        <v>6.4467289275178877E-2</v>
      </c>
    </row>
    <row r="179" spans="2:8">
      <c r="B179" s="305"/>
      <c r="C179" s="229">
        <f>C178+$K$110</f>
        <v>6.8238287349062829E-2</v>
      </c>
      <c r="D179" s="295">
        <v>6.6857749266675148E-2</v>
      </c>
      <c r="E179" s="294">
        <v>6.6886867050955964E-2</v>
      </c>
      <c r="F179" s="294">
        <v>6.6914781924112904E-2</v>
      </c>
      <c r="G179" s="294">
        <v>6.6941566919398815E-2</v>
      </c>
      <c r="H179" s="294">
        <v>6.6967289275178879E-2</v>
      </c>
    </row>
    <row r="183" spans="2:8">
      <c r="B183" s="227" t="s">
        <v>259</v>
      </c>
      <c r="C183" s="227"/>
      <c r="D183" s="227"/>
      <c r="E183" s="227"/>
      <c r="F183" s="227"/>
      <c r="G183" s="227"/>
      <c r="H183" s="227"/>
    </row>
    <row r="184" spans="2:8">
      <c r="B184" s="305" t="s">
        <v>110</v>
      </c>
      <c r="C184" s="306" t="s">
        <v>270</v>
      </c>
      <c r="D184" s="306"/>
      <c r="E184" s="306"/>
      <c r="F184" s="306"/>
      <c r="G184" s="306"/>
      <c r="H184" s="306"/>
    </row>
    <row r="185" spans="2:8" ht="17" thickBot="1">
      <c r="B185" s="305"/>
      <c r="C185" s="228">
        <f ca="1">$C$158</f>
        <v>53.460217998983914</v>
      </c>
      <c r="D185" s="290">
        <f ca="1">E185-$K$162</f>
        <v>232.0609777642606</v>
      </c>
      <c r="E185" s="290">
        <f ca="1">F185-$K$162</f>
        <v>237.0609777642606</v>
      </c>
      <c r="F185" s="291">
        <f ca="1">EV_EBITDA_FY0</f>
        <v>242.0609777642606</v>
      </c>
      <c r="G185" s="290">
        <f ca="1">F185+$K$162</f>
        <v>247.0609777642606</v>
      </c>
      <c r="H185" s="290">
        <f ca="1">G185+$K$162</f>
        <v>252.0609777642606</v>
      </c>
    </row>
    <row r="186" spans="2:8">
      <c r="B186" s="305"/>
      <c r="C186" s="229">
        <f>C187-$K$110</f>
        <v>5.823828734906282E-2</v>
      </c>
      <c r="D186" s="231">
        <f t="dataTable" ref="D186:H190" dt2D="1" dtr="1" r1="I147" r2="E56" ca="1"/>
        <v>51.981581047424143</v>
      </c>
      <c r="E186" s="232">
        <v>53.101578043583608</v>
      </c>
      <c r="F186" s="233">
        <v>54.221575039743044</v>
      </c>
      <c r="G186" s="232">
        <v>55.341572035902495</v>
      </c>
      <c r="H186" s="232">
        <v>56.461569032061952</v>
      </c>
    </row>
    <row r="187" spans="2:8">
      <c r="B187" s="305"/>
      <c r="C187" s="229">
        <f>C188-$K$110</f>
        <v>6.0738287349062822E-2</v>
      </c>
      <c r="D187" s="234">
        <v>51.614908816321943</v>
      </c>
      <c r="E187" s="235">
        <v>52.727005470195614</v>
      </c>
      <c r="F187" s="235">
        <v>53.839102124069278</v>
      </c>
      <c r="G187" s="235">
        <v>54.951198777942949</v>
      </c>
      <c r="H187" s="233">
        <v>56.063295431816613</v>
      </c>
    </row>
    <row r="188" spans="2:8">
      <c r="B188" s="305"/>
      <c r="C188" s="236">
        <f>$E$45*$E$53+$E$52*$E$49</f>
        <v>6.3238287349062824E-2</v>
      </c>
      <c r="D188" s="233">
        <v>51.251677116034045</v>
      </c>
      <c r="E188" s="235">
        <v>52.355947557508983</v>
      </c>
      <c r="F188" s="235">
        <v>53.460217998983914</v>
      </c>
      <c r="G188" s="235">
        <v>54.564488440458859</v>
      </c>
      <c r="H188" s="233">
        <v>55.668758881933805</v>
      </c>
    </row>
    <row r="189" spans="2:8">
      <c r="B189" s="305"/>
      <c r="C189" s="229">
        <f>C188+$K$110</f>
        <v>6.5738287349062827E-2</v>
      </c>
      <c r="D189" s="234">
        <v>50.891845687379806</v>
      </c>
      <c r="E189" s="235">
        <v>51.988363178916309</v>
      </c>
      <c r="F189" s="235">
        <v>53.084880670452804</v>
      </c>
      <c r="G189" s="235">
        <v>54.181398161989307</v>
      </c>
      <c r="H189" s="233">
        <v>55.27791565352581</v>
      </c>
    </row>
    <row r="190" spans="2:8">
      <c r="B190" s="305"/>
      <c r="C190" s="229">
        <f>C189+$K$110</f>
        <v>6.8238287349062829E-2</v>
      </c>
      <c r="D190" s="234">
        <v>50.535374835166763</v>
      </c>
      <c r="E190" s="233">
        <v>51.624211783950081</v>
      </c>
      <c r="F190" s="233">
        <v>52.713048732733384</v>
      </c>
      <c r="G190" s="233">
        <v>53.801885681516708</v>
      </c>
      <c r="H190" s="233">
        <v>54.890722630300026</v>
      </c>
    </row>
    <row r="195" spans="2:28" ht="21" thickBot="1">
      <c r="B195" s="22" t="s">
        <v>271</v>
      </c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</row>
    <row r="196" spans="2:28" ht="17" thickTop="1">
      <c r="B196" s="30"/>
      <c r="C196" s="28"/>
      <c r="D196" s="31"/>
      <c r="E196" s="31"/>
      <c r="F196" s="24"/>
      <c r="G196" s="24"/>
      <c r="H196" s="24"/>
      <c r="I196" s="24"/>
      <c r="J196" s="24"/>
      <c r="K196" s="25"/>
    </row>
    <row r="198" spans="2:28">
      <c r="B198" s="237" t="s">
        <v>172</v>
      </c>
      <c r="C198" s="238"/>
      <c r="H198" s="1" t="s">
        <v>277</v>
      </c>
      <c r="I198" s="1"/>
    </row>
    <row r="199" spans="2:28">
      <c r="H199" t="s">
        <v>273</v>
      </c>
      <c r="I199" s="6">
        <f ca="1">OFFSET($E$8,0,Years_Forecasted)</f>
        <v>36047.016101175381</v>
      </c>
    </row>
    <row r="200" spans="2:28">
      <c r="B200" t="s">
        <v>9</v>
      </c>
      <c r="C200" s="6">
        <f ca="1">SUM(F185:I185)</f>
        <v>741.18293329278185</v>
      </c>
      <c r="H200" t="s">
        <v>272</v>
      </c>
      <c r="I200" s="327">
        <f ca="1">EV_REVENUE_FY0</f>
        <v>37.009643464602732</v>
      </c>
    </row>
    <row r="201" spans="2:28">
      <c r="B201" t="s">
        <v>267</v>
      </c>
      <c r="C201" s="6">
        <f ca="1">I202</f>
        <v>1109921.8478263267</v>
      </c>
      <c r="H201" t="s">
        <v>127</v>
      </c>
      <c r="I201" s="6">
        <f ca="1">$I$199*$I$200</f>
        <v>1334087.2138672948</v>
      </c>
    </row>
    <row r="202" spans="2:28">
      <c r="B202" s="14" t="s">
        <v>129</v>
      </c>
      <c r="C202" s="15">
        <f ca="1">SUM(C200:C201)</f>
        <v>1110663.0307596195</v>
      </c>
      <c r="H202" s="14" t="s">
        <v>136</v>
      </c>
      <c r="I202" s="15">
        <f ca="1">$I$201/((1+WACC)^Years_Forecasted)</f>
        <v>1109921.8478263267</v>
      </c>
    </row>
    <row r="203" spans="2:28">
      <c r="B203" t="s">
        <v>130</v>
      </c>
      <c r="C203" s="6">
        <f>-'Balance Sheet Historic'!C169</f>
        <v>0</v>
      </c>
    </row>
    <row r="204" spans="2:28">
      <c r="B204" t="s">
        <v>131</v>
      </c>
      <c r="C204" s="6">
        <f>'Balance Sheet Historic'!C160</f>
        <v>0</v>
      </c>
    </row>
    <row r="205" spans="2:28">
      <c r="B205" t="s">
        <v>132</v>
      </c>
      <c r="C205" s="6">
        <f>'Balance Sheet Historic'!C165</f>
        <v>0</v>
      </c>
    </row>
    <row r="206" spans="2:28">
      <c r="B206" s="14" t="s">
        <v>133</v>
      </c>
      <c r="C206" s="15">
        <f ca="1">SUM(C202:C205)</f>
        <v>1110663.0307596195</v>
      </c>
    </row>
    <row r="207" spans="2:28">
      <c r="B207" t="s">
        <v>203</v>
      </c>
      <c r="C207" s="6">
        <f>Shares_Outstanding / 1000000</f>
        <v>15171.99</v>
      </c>
    </row>
    <row r="208" spans="2:28">
      <c r="B208" s="14" t="s">
        <v>134</v>
      </c>
      <c r="C208" s="298">
        <f ca="1">C206/C207</f>
        <v>73.204835407854844</v>
      </c>
    </row>
    <row r="210" spans="2:22">
      <c r="B210" s="1" t="s">
        <v>268</v>
      </c>
      <c r="C210" s="287">
        <f ca="1">WACC-($I$92/$I$148)</f>
        <v>6.1914781924112899E-2</v>
      </c>
    </row>
    <row r="211" spans="2:22">
      <c r="B211" s="286" t="s">
        <v>260</v>
      </c>
      <c r="C211" s="288">
        <f ca="1">$C$202/EBITDA_FY0</f>
        <v>75.065087237065399</v>
      </c>
    </row>
    <row r="214" spans="2:22">
      <c r="B214" s="227" t="s">
        <v>120</v>
      </c>
      <c r="C214" s="227"/>
      <c r="D214" s="227"/>
      <c r="E214" s="227"/>
      <c r="F214" s="227"/>
      <c r="G214" s="227"/>
      <c r="H214" s="227"/>
      <c r="I214" s="8"/>
      <c r="J214" s="9"/>
      <c r="K214" s="10" t="s">
        <v>121</v>
      </c>
    </row>
    <row r="215" spans="2:22">
      <c r="B215" s="305" t="s">
        <v>110</v>
      </c>
      <c r="C215" s="306" t="s">
        <v>275</v>
      </c>
      <c r="D215" s="306"/>
      <c r="E215" s="306"/>
      <c r="F215" s="306"/>
      <c r="G215" s="306"/>
      <c r="H215" s="306"/>
      <c r="I215" s="8"/>
      <c r="J215" s="11" t="s">
        <v>276</v>
      </c>
      <c r="K215" s="289">
        <v>5</v>
      </c>
      <c r="O215" s="308" t="s">
        <v>290</v>
      </c>
      <c r="P215" s="308"/>
      <c r="Q215" s="308"/>
      <c r="R215" s="308"/>
    </row>
    <row r="216" spans="2:22" ht="17" thickBot="1">
      <c r="B216" s="305"/>
      <c r="C216" s="299">
        <f ca="1">$C$208</f>
        <v>73.204835407854844</v>
      </c>
      <c r="D216" s="290">
        <f ca="1">E216-$K$215</f>
        <v>27.009643464602732</v>
      </c>
      <c r="E216" s="290">
        <f ca="1">F216-$K$215</f>
        <v>32.009643464602732</v>
      </c>
      <c r="F216" s="291">
        <f ca="1">EV_REVENUE_FY0</f>
        <v>37.009643464602732</v>
      </c>
      <c r="G216" s="290">
        <f ca="1">F216+$K$215</f>
        <v>42.009643464602732</v>
      </c>
      <c r="H216" s="290">
        <f ca="1">G216+$K$215</f>
        <v>47.009643464602732</v>
      </c>
      <c r="I216" s="8"/>
      <c r="O216" s="25"/>
      <c r="P216" s="264" t="s">
        <v>223</v>
      </c>
      <c r="Q216" s="264" t="s">
        <v>234</v>
      </c>
      <c r="R216" s="264" t="s">
        <v>224</v>
      </c>
      <c r="T216" s="265" t="s">
        <v>231</v>
      </c>
      <c r="U216" s="265" t="s">
        <v>232</v>
      </c>
      <c r="V216" s="265" t="s">
        <v>233</v>
      </c>
    </row>
    <row r="217" spans="2:22">
      <c r="B217" s="305"/>
      <c r="C217" s="229">
        <f>C218-$K$110</f>
        <v>5.823828734906282E-2</v>
      </c>
      <c r="D217" s="300">
        <f t="dataTable" ref="D217:H221" dt2D="1" dtr="1" r1="I200" r2="E56" ca="1"/>
        <v>54.198447091586019</v>
      </c>
      <c r="E217" s="301">
        <v>64.222569606326701</v>
      </c>
      <c r="F217" s="302">
        <v>74.246692121067369</v>
      </c>
      <c r="G217" s="301">
        <v>84.270814635808065</v>
      </c>
      <c r="H217" s="301">
        <v>94.294937150548748</v>
      </c>
      <c r="I217" s="8"/>
      <c r="J217" s="11" t="s">
        <v>110</v>
      </c>
      <c r="K217" s="16">
        <v>2.5000000000000001E-3</v>
      </c>
      <c r="O217" s="266" t="s">
        <v>287</v>
      </c>
      <c r="P217" s="5">
        <f ca="1">MIN(D216:H216)</f>
        <v>27.009643464602732</v>
      </c>
      <c r="Q217" s="323">
        <f ca="1">I200</f>
        <v>37.009643464602732</v>
      </c>
      <c r="R217" s="324">
        <f ca="1">MAX(D216:H216)</f>
        <v>47.009643464602732</v>
      </c>
      <c r="T217" s="327">
        <f ca="1">P217</f>
        <v>27.009643464602732</v>
      </c>
      <c r="U217" s="328">
        <f ca="1">Q217-P217</f>
        <v>10</v>
      </c>
      <c r="V217" s="327">
        <f ca="1">R217-Q217</f>
        <v>10</v>
      </c>
    </row>
    <row r="218" spans="2:22">
      <c r="B218" s="305"/>
      <c r="C218" s="229">
        <f>C219-$K$110</f>
        <v>6.0738287349062822E-2</v>
      </c>
      <c r="D218" s="303">
        <v>53.816481481972851</v>
      </c>
      <c r="E218" s="304">
        <v>63.769894879409982</v>
      </c>
      <c r="F218" s="304">
        <v>73.723308276847092</v>
      </c>
      <c r="G218" s="304">
        <v>83.676721674284224</v>
      </c>
      <c r="H218" s="302">
        <v>93.630135071721355</v>
      </c>
      <c r="I218" s="8"/>
      <c r="J218" s="8"/>
      <c r="K218" s="8"/>
      <c r="O218" s="266" t="s">
        <v>288</v>
      </c>
      <c r="P218" s="325">
        <f>MIN(D132:H136)</f>
        <v>1.3912272388525655</v>
      </c>
      <c r="Q218" s="326">
        <f>F134</f>
        <v>1.6718866021886243</v>
      </c>
      <c r="R218" s="324">
        <f>MAX(D132:H136)</f>
        <v>2.0991884509445375</v>
      </c>
      <c r="T218" s="327">
        <f t="shared" ref="T218" si="42">P218</f>
        <v>1.3912272388525655</v>
      </c>
      <c r="U218" s="328">
        <f t="shared" ref="U218:U220" si="43">Q218-P218</f>
        <v>0.28065936333605879</v>
      </c>
      <c r="V218" s="327">
        <f t="shared" ref="V218:V220" si="44">R218-Q218</f>
        <v>0.42730184875591326</v>
      </c>
    </row>
    <row r="219" spans="2:22">
      <c r="B219" s="305"/>
      <c r="C219" s="236">
        <f>$E$45*$E$53+$E$52*$E$49</f>
        <v>6.3238287349062824E-2</v>
      </c>
      <c r="D219" s="302">
        <v>53.43809990283269</v>
      </c>
      <c r="E219" s="304">
        <v>63.321467655343767</v>
      </c>
      <c r="F219" s="304">
        <v>73.204835407854844</v>
      </c>
      <c r="G219" s="304">
        <v>83.088203160365907</v>
      </c>
      <c r="H219" s="302">
        <v>92.971570912876984</v>
      </c>
      <c r="I219" s="8"/>
      <c r="J219" s="12"/>
      <c r="K219" s="8"/>
      <c r="O219" s="266" t="s">
        <v>289</v>
      </c>
      <c r="P219" s="325">
        <f>MIN(D186:H190)</f>
        <v>50.535374835166763</v>
      </c>
      <c r="Q219" s="326">
        <f>F188</f>
        <v>53.460217998983914</v>
      </c>
      <c r="R219" s="324">
        <f>MAX(D186:H190)</f>
        <v>56.461569032061952</v>
      </c>
      <c r="T219" s="327">
        <f>P219</f>
        <v>50.535374835166763</v>
      </c>
      <c r="U219" s="328">
        <f t="shared" si="43"/>
        <v>2.924843163817151</v>
      </c>
      <c r="V219" s="327">
        <f t="shared" si="44"/>
        <v>3.0013510330780377</v>
      </c>
    </row>
    <row r="220" spans="2:22">
      <c r="B220" s="305"/>
      <c r="C220" s="229">
        <f>C219+$K$110</f>
        <v>6.5738287349062827E-2</v>
      </c>
      <c r="D220" s="303">
        <v>53.0632604158316</v>
      </c>
      <c r="E220" s="304">
        <v>62.877238232208875</v>
      </c>
      <c r="F220" s="304">
        <v>72.691216048586156</v>
      </c>
      <c r="G220" s="304">
        <v>82.505193864963431</v>
      </c>
      <c r="H220" s="302">
        <v>92.319171681340706</v>
      </c>
      <c r="I220" s="8"/>
      <c r="J220" s="8"/>
      <c r="K220" s="8"/>
      <c r="O220" s="266" t="s">
        <v>219</v>
      </c>
      <c r="P220" s="325">
        <f>MIN('Comparable multiples'!E35:F38)</f>
        <v>0.62616964917634632</v>
      </c>
      <c r="Q220" s="326">
        <f>AVERAGE('Comparable multiples'!E36:F36)</f>
        <v>7.6762632390016341</v>
      </c>
      <c r="R220" s="324">
        <f>MAX('Comparable multiples'!E35:F38)</f>
        <v>15.120262935610979</v>
      </c>
      <c r="T220" s="327">
        <f>P220</f>
        <v>0.62616964917634632</v>
      </c>
      <c r="U220" s="328">
        <f t="shared" si="43"/>
        <v>7.0500935898252877</v>
      </c>
      <c r="V220" s="327">
        <f t="shared" si="44"/>
        <v>7.4439996966093451</v>
      </c>
    </row>
    <row r="221" spans="2:22">
      <c r="B221" s="305"/>
      <c r="C221" s="229">
        <f>C220+$K$110</f>
        <v>6.8238287349062829E-2</v>
      </c>
      <c r="D221" s="303">
        <v>52.691921670146968</v>
      </c>
      <c r="E221" s="302">
        <v>62.437157604356997</v>
      </c>
      <c r="F221" s="302">
        <v>72.182393538567013</v>
      </c>
      <c r="G221" s="302">
        <v>81.927629472777056</v>
      </c>
      <c r="H221" s="302">
        <v>91.672865406987071</v>
      </c>
      <c r="I221" s="8"/>
      <c r="J221" s="8"/>
      <c r="K221" s="8"/>
    </row>
    <row r="225" spans="2:8">
      <c r="B225" s="227" t="s">
        <v>269</v>
      </c>
      <c r="C225" s="227"/>
      <c r="D225" s="227"/>
      <c r="E225" s="227"/>
      <c r="F225" s="227"/>
      <c r="G225" s="227"/>
      <c r="H225" s="227"/>
    </row>
    <row r="226" spans="2:8">
      <c r="B226" s="305" t="s">
        <v>110</v>
      </c>
      <c r="C226" s="306" t="s">
        <v>275</v>
      </c>
      <c r="D226" s="306"/>
      <c r="E226" s="306"/>
      <c r="F226" s="306"/>
      <c r="G226" s="306"/>
      <c r="H226" s="306"/>
    </row>
    <row r="227" spans="2:8" ht="17" thickBot="1">
      <c r="B227" s="305"/>
      <c r="C227" s="297">
        <f ca="1">$C$210</f>
        <v>6.1914781924112899E-2</v>
      </c>
      <c r="D227" s="290">
        <f ca="1">E227-$K$215</f>
        <v>27.009643464602732</v>
      </c>
      <c r="E227" s="290">
        <f ca="1">F227-$K$215</f>
        <v>32.009643464602732</v>
      </c>
      <c r="F227" s="291">
        <f ca="1">EV_REVENUE_FY0</f>
        <v>37.009643464602732</v>
      </c>
      <c r="G227" s="290">
        <f ca="1">F227+$K$215</f>
        <v>42.009643464602732</v>
      </c>
      <c r="H227" s="290">
        <f ca="1">G227+$K$215</f>
        <v>47.009643464602732</v>
      </c>
    </row>
    <row r="228" spans="2:8">
      <c r="B228" s="305"/>
      <c r="C228" s="229">
        <f>C229-$K$110</f>
        <v>5.823828734906282E-2</v>
      </c>
      <c r="D228" s="292">
        <f t="dataTable" ref="D228:H232" dt2D="1" dtr="1" r1="I200" r2="E56" ca="1"/>
        <v>5.6914781924112895E-2</v>
      </c>
      <c r="E228" s="293">
        <v>5.6914781924112895E-2</v>
      </c>
      <c r="F228" s="294">
        <v>5.6914781924112895E-2</v>
      </c>
      <c r="G228" s="293">
        <v>5.6914781924112895E-2</v>
      </c>
      <c r="H228" s="293">
        <v>5.6914781924112895E-2</v>
      </c>
    </row>
    <row r="229" spans="2:8">
      <c r="B229" s="305"/>
      <c r="C229" s="229">
        <f>C230-$K$110</f>
        <v>6.0738287349062822E-2</v>
      </c>
      <c r="D229" s="295">
        <v>5.9414781924112897E-2</v>
      </c>
      <c r="E229" s="296">
        <v>5.9414781924112897E-2</v>
      </c>
      <c r="F229" s="296">
        <v>5.9414781924112897E-2</v>
      </c>
      <c r="G229" s="296">
        <v>5.9414781924112897E-2</v>
      </c>
      <c r="H229" s="294">
        <v>5.9414781924112897E-2</v>
      </c>
    </row>
    <row r="230" spans="2:8">
      <c r="B230" s="305"/>
      <c r="C230" s="236">
        <f>$E$45*$E$53+$E$52*$E$49</f>
        <v>6.3238287349062824E-2</v>
      </c>
      <c r="D230" s="294">
        <v>6.1914781924112899E-2</v>
      </c>
      <c r="E230" s="296">
        <v>6.1914781924112899E-2</v>
      </c>
      <c r="F230" s="296">
        <v>6.1914781924112899E-2</v>
      </c>
      <c r="G230" s="296">
        <v>6.1914781924112899E-2</v>
      </c>
      <c r="H230" s="294">
        <v>6.1914781924112899E-2</v>
      </c>
    </row>
    <row r="231" spans="2:8">
      <c r="B231" s="305"/>
      <c r="C231" s="229">
        <f>C230+$K$110</f>
        <v>6.5738287349062827E-2</v>
      </c>
      <c r="D231" s="295">
        <v>6.4414781924112902E-2</v>
      </c>
      <c r="E231" s="296">
        <v>6.4414781924112902E-2</v>
      </c>
      <c r="F231" s="296">
        <v>6.4414781924112902E-2</v>
      </c>
      <c r="G231" s="296">
        <v>6.4414781924112902E-2</v>
      </c>
      <c r="H231" s="294">
        <v>6.4414781924112902E-2</v>
      </c>
    </row>
    <row r="232" spans="2:8">
      <c r="B232" s="305"/>
      <c r="C232" s="229">
        <f>C231+$K$110</f>
        <v>6.8238287349062829E-2</v>
      </c>
      <c r="D232" s="295">
        <v>6.6914781924112904E-2</v>
      </c>
      <c r="E232" s="294">
        <v>6.6914781924112904E-2</v>
      </c>
      <c r="F232" s="294">
        <v>6.6914781924112904E-2</v>
      </c>
      <c r="G232" s="294">
        <v>6.6914781924112904E-2</v>
      </c>
      <c r="H232" s="294">
        <v>6.6914781924112904E-2</v>
      </c>
    </row>
    <row r="236" spans="2:8">
      <c r="B236" s="227" t="s">
        <v>258</v>
      </c>
      <c r="C236" s="227"/>
      <c r="D236" s="227"/>
      <c r="E236" s="227"/>
      <c r="F236" s="227"/>
      <c r="G236" s="227"/>
      <c r="H236" s="227"/>
    </row>
    <row r="237" spans="2:8">
      <c r="B237" s="305" t="s">
        <v>110</v>
      </c>
      <c r="C237" s="306" t="s">
        <v>275</v>
      </c>
      <c r="D237" s="306"/>
      <c r="E237" s="306"/>
      <c r="F237" s="306"/>
      <c r="G237" s="306"/>
      <c r="H237" s="306"/>
    </row>
    <row r="238" spans="2:8" ht="17" thickBot="1">
      <c r="B238" s="305"/>
      <c r="C238" s="228">
        <f ca="1">$C$211</f>
        <v>75.065087237065399</v>
      </c>
      <c r="D238" s="290">
        <f ca="1">E238-$K$215</f>
        <v>27.009643464602732</v>
      </c>
      <c r="E238" s="290">
        <f ca="1">F238-$K$215</f>
        <v>32.009643464602732</v>
      </c>
      <c r="F238" s="291">
        <f ca="1">EV_REVENUE_FY0</f>
        <v>37.009643464602732</v>
      </c>
      <c r="G238" s="290">
        <f ca="1">F238+$K$215</f>
        <v>42.009643464602732</v>
      </c>
      <c r="H238" s="290">
        <f ca="1">G238+$K$215</f>
        <v>47.009643464602732</v>
      </c>
    </row>
    <row r="239" spans="2:8">
      <c r="B239" s="305"/>
      <c r="C239" s="229">
        <f>C240-$K$110</f>
        <v>5.823828734906282E-2</v>
      </c>
      <c r="D239" s="231">
        <f t="dataTable" ref="D239:H243" dt2D="1" dtr="1" r1="I200" r2="E56" ca="1"/>
        <v>55.57571622662018</v>
      </c>
      <c r="E239" s="232">
        <v>65.854567710292827</v>
      </c>
      <c r="F239" s="233">
        <v>76.133419193965466</v>
      </c>
      <c r="G239" s="232">
        <v>86.412270677638119</v>
      </c>
      <c r="H239" s="232">
        <v>96.691122161310759</v>
      </c>
    </row>
    <row r="240" spans="2:8">
      <c r="B240" s="305"/>
      <c r="C240" s="229">
        <f>C241-$K$110</f>
        <v>6.0738287349062822E-2</v>
      </c>
      <c r="D240" s="234">
        <v>55.184044260589161</v>
      </c>
      <c r="E240" s="235">
        <v>65.390389795313553</v>
      </c>
      <c r="F240" s="235">
        <v>75.596735330037944</v>
      </c>
      <c r="G240" s="235">
        <v>85.803080864762336</v>
      </c>
      <c r="H240" s="233">
        <v>96.009426399486728</v>
      </c>
    </row>
    <row r="241" spans="2:8">
      <c r="B241" s="305"/>
      <c r="C241" s="236">
        <f>$E$45*$E$53+$E$52*$E$49</f>
        <v>6.3238287349062824E-2</v>
      </c>
      <c r="D241" s="233">
        <v>54.796047400971787</v>
      </c>
      <c r="E241" s="235">
        <v>64.930567319018593</v>
      </c>
      <c r="F241" s="235">
        <v>75.065087237065399</v>
      </c>
      <c r="G241" s="235">
        <v>85.19960715511219</v>
      </c>
      <c r="H241" s="233">
        <v>95.334127073158996</v>
      </c>
    </row>
    <row r="242" spans="2:8">
      <c r="B242" s="305"/>
      <c r="C242" s="229">
        <f>C241+$K$110</f>
        <v>6.5738287349062827E-2</v>
      </c>
      <c r="D242" s="234">
        <v>54.41168264371403</v>
      </c>
      <c r="E242" s="235">
        <v>64.475049316483563</v>
      </c>
      <c r="F242" s="235">
        <v>74.538415989253082</v>
      </c>
      <c r="G242" s="235">
        <v>84.601782662022615</v>
      </c>
      <c r="H242" s="233">
        <v>94.665149334792133</v>
      </c>
    </row>
    <row r="243" spans="2:8">
      <c r="B243" s="305"/>
      <c r="C243" s="229">
        <f>C242+$K$110</f>
        <v>6.8238287349062829E-2</v>
      </c>
      <c r="D243" s="234">
        <v>54.030907587202833</v>
      </c>
      <c r="E243" s="233">
        <v>64.023785536748335</v>
      </c>
      <c r="F243" s="233">
        <v>74.016663486293822</v>
      </c>
      <c r="G243" s="233">
        <v>84.009541435839324</v>
      </c>
      <c r="H243" s="233">
        <v>94.002419385384812</v>
      </c>
    </row>
    <row r="482" spans="1:16308">
      <c r="A482" s="329"/>
      <c r="B482" s="329"/>
      <c r="C482" s="329"/>
      <c r="D482" s="329"/>
      <c r="E482" s="329"/>
      <c r="F482" s="329"/>
      <c r="G482" s="329"/>
      <c r="H482" s="329"/>
      <c r="I482" s="329"/>
      <c r="J482" s="329"/>
      <c r="K482" s="329"/>
      <c r="L482" s="329"/>
      <c r="M482" s="329"/>
      <c r="N482" s="329"/>
      <c r="O482" s="329"/>
      <c r="P482" s="329"/>
      <c r="Q482" s="329"/>
      <c r="R482" s="329"/>
      <c r="S482" s="329"/>
      <c r="T482" s="329"/>
      <c r="U482" s="329"/>
      <c r="V482" s="329"/>
      <c r="W482" s="329"/>
      <c r="X482" s="329"/>
      <c r="Y482" s="329"/>
      <c r="Z482" s="329"/>
      <c r="AA482" s="329"/>
      <c r="AB482" s="329"/>
      <c r="AC482" s="329"/>
      <c r="AD482" s="329"/>
      <c r="AE482" s="329"/>
      <c r="AF482" s="329"/>
      <c r="AG482" s="329"/>
      <c r="AH482" s="329"/>
      <c r="AI482" s="329"/>
      <c r="AJ482" s="329"/>
      <c r="AK482" s="329"/>
      <c r="AL482" s="329"/>
      <c r="AM482" s="329"/>
      <c r="AN482" s="329"/>
      <c r="AO482" s="329"/>
      <c r="AP482" s="329"/>
      <c r="AQ482" s="329"/>
      <c r="AR482" s="329"/>
      <c r="AS482" s="329"/>
      <c r="AT482" s="329"/>
      <c r="AU482" s="329"/>
      <c r="AV482" s="329"/>
      <c r="AW482" s="329"/>
      <c r="AX482" s="329"/>
      <c r="AY482" s="329"/>
      <c r="AZ482" s="329"/>
      <c r="BA482" s="329"/>
      <c r="BB482" s="329"/>
      <c r="BC482" s="329"/>
      <c r="BD482" s="329"/>
      <c r="BE482" s="329"/>
      <c r="BF482" s="329"/>
      <c r="BG482" s="329"/>
      <c r="BH482" s="329"/>
      <c r="BI482" s="329"/>
      <c r="BJ482" s="329"/>
      <c r="BK482" s="329"/>
      <c r="BL482" s="329"/>
      <c r="BM482" s="329"/>
      <c r="BN482" s="329"/>
      <c r="BO482" s="329"/>
      <c r="BP482" s="329"/>
      <c r="BQ482" s="329"/>
      <c r="BR482" s="329"/>
      <c r="BS482" s="329"/>
      <c r="BT482" s="329"/>
      <c r="BU482" s="329"/>
      <c r="BV482" s="329"/>
      <c r="BW482" s="329"/>
      <c r="BX482" s="329"/>
      <c r="BY482" s="329"/>
      <c r="BZ482" s="329"/>
      <c r="CA482" s="329"/>
      <c r="CB482" s="329"/>
      <c r="CC482" s="329"/>
      <c r="CD482" s="329"/>
      <c r="CE482" s="329"/>
      <c r="CF482" s="329"/>
      <c r="CG482" s="329"/>
      <c r="CH482" s="329"/>
      <c r="CI482" s="329"/>
      <c r="CJ482" s="329"/>
      <c r="CK482" s="329"/>
      <c r="CL482" s="329"/>
      <c r="CM482" s="329"/>
      <c r="CN482" s="329"/>
      <c r="CO482" s="329"/>
      <c r="CP482" s="329"/>
      <c r="CQ482" s="329"/>
      <c r="CR482" s="329"/>
      <c r="CS482" s="329"/>
      <c r="CT482" s="329"/>
      <c r="CU482" s="329"/>
      <c r="CV482" s="329"/>
      <c r="CW482" s="329"/>
      <c r="CX482" s="329"/>
      <c r="CY482" s="329"/>
      <c r="CZ482" s="329"/>
      <c r="DA482" s="329"/>
      <c r="DB482" s="329"/>
      <c r="DC482" s="329"/>
      <c r="DD482" s="329"/>
      <c r="DE482" s="329"/>
      <c r="DF482" s="329"/>
      <c r="DG482" s="329"/>
      <c r="DH482" s="329"/>
      <c r="DI482" s="329"/>
      <c r="DJ482" s="329"/>
      <c r="DK482" s="329"/>
      <c r="DL482" s="329"/>
      <c r="DM482" s="329"/>
      <c r="DN482" s="329"/>
      <c r="DO482" s="329"/>
      <c r="DP482" s="329"/>
      <c r="DQ482" s="329"/>
      <c r="DR482" s="329"/>
      <c r="DS482" s="329"/>
      <c r="DT482" s="329"/>
      <c r="DU482" s="329"/>
      <c r="DV482" s="329"/>
      <c r="DW482" s="329"/>
      <c r="DX482" s="329"/>
      <c r="DY482" s="329"/>
      <c r="DZ482" s="329"/>
      <c r="EA482" s="329"/>
      <c r="EB482" s="329"/>
      <c r="EC482" s="329"/>
      <c r="ED482" s="329"/>
      <c r="EE482" s="329"/>
      <c r="EF482" s="329"/>
      <c r="EG482" s="329"/>
      <c r="EH482" s="329"/>
      <c r="EI482" s="329"/>
      <c r="EJ482" s="329"/>
      <c r="EK482" s="329"/>
      <c r="EL482" s="329"/>
      <c r="EM482" s="329"/>
      <c r="EN482" s="329"/>
      <c r="EO482" s="329"/>
      <c r="EP482" s="329"/>
      <c r="EQ482" s="329"/>
      <c r="ER482" s="329"/>
      <c r="ES482" s="329"/>
      <c r="ET482" s="329"/>
      <c r="EU482" s="329"/>
      <c r="EV482" s="329"/>
      <c r="EW482" s="329"/>
      <c r="EX482" s="329"/>
      <c r="EY482" s="329"/>
      <c r="EZ482" s="329"/>
      <c r="FA482" s="329"/>
      <c r="FB482" s="329"/>
      <c r="FC482" s="329"/>
      <c r="FD482" s="329"/>
      <c r="FE482" s="329"/>
      <c r="FF482" s="329"/>
      <c r="FG482" s="329"/>
      <c r="FH482" s="329"/>
      <c r="FI482" s="329"/>
      <c r="FJ482" s="329"/>
      <c r="FK482" s="329"/>
      <c r="FL482" s="329"/>
      <c r="FM482" s="329"/>
      <c r="FN482" s="329"/>
      <c r="FO482" s="329"/>
      <c r="FP482" s="329"/>
      <c r="FQ482" s="329"/>
      <c r="FR482" s="329"/>
      <c r="FS482" s="329"/>
      <c r="FT482" s="329"/>
      <c r="FU482" s="329"/>
      <c r="FV482" s="329"/>
      <c r="FW482" s="329"/>
      <c r="FX482" s="329"/>
      <c r="FY482" s="329"/>
      <c r="FZ482" s="329"/>
      <c r="GA482" s="329"/>
      <c r="GB482" s="329"/>
      <c r="GC482" s="329"/>
      <c r="GD482" s="329"/>
      <c r="GE482" s="329"/>
      <c r="GF482" s="329"/>
      <c r="GG482" s="329"/>
      <c r="GH482" s="329"/>
      <c r="GI482" s="329"/>
      <c r="GJ482" s="329"/>
      <c r="GK482" s="329"/>
      <c r="GL482" s="329"/>
      <c r="GM482" s="329"/>
      <c r="GN482" s="329"/>
      <c r="GO482" s="329"/>
      <c r="GP482" s="329"/>
      <c r="GQ482" s="329"/>
      <c r="GR482" s="329"/>
      <c r="GS482" s="329"/>
      <c r="GT482" s="329"/>
      <c r="GU482" s="329"/>
      <c r="GV482" s="329"/>
      <c r="GW482" s="329"/>
      <c r="GX482" s="329"/>
      <c r="GY482" s="329"/>
      <c r="GZ482" s="329"/>
      <c r="HA482" s="329"/>
      <c r="HB482" s="329"/>
      <c r="HC482" s="329"/>
      <c r="HD482" s="329"/>
      <c r="HE482" s="329"/>
      <c r="HF482" s="329"/>
      <c r="HG482" s="329"/>
      <c r="HH482" s="329"/>
      <c r="HI482" s="329"/>
      <c r="HJ482" s="329"/>
      <c r="HK482" s="329"/>
      <c r="HL482" s="329"/>
      <c r="HM482" s="329"/>
      <c r="HN482" s="329"/>
      <c r="HO482" s="329"/>
      <c r="HP482" s="329"/>
      <c r="HQ482" s="329"/>
      <c r="HR482" s="329"/>
      <c r="HS482" s="329"/>
      <c r="HT482" s="329"/>
      <c r="HU482" s="329"/>
      <c r="HV482" s="329"/>
      <c r="HW482" s="329"/>
      <c r="HX482" s="329"/>
      <c r="HY482" s="329"/>
      <c r="HZ482" s="329"/>
      <c r="IA482" s="329"/>
      <c r="IB482" s="329"/>
      <c r="IC482" s="329"/>
      <c r="ID482" s="329"/>
      <c r="IE482" s="329"/>
      <c r="IF482" s="329"/>
      <c r="IG482" s="329"/>
      <c r="IH482" s="329"/>
      <c r="II482" s="329"/>
      <c r="IJ482" s="329"/>
      <c r="IK482" s="329"/>
      <c r="IL482" s="329"/>
      <c r="IM482" s="329"/>
      <c r="IN482" s="329"/>
      <c r="IO482" s="329"/>
      <c r="IP482" s="329"/>
      <c r="IQ482" s="329"/>
      <c r="IR482" s="329"/>
      <c r="IS482" s="329"/>
      <c r="IT482" s="329"/>
      <c r="IU482" s="329"/>
      <c r="IV482" s="329"/>
      <c r="IW482" s="329"/>
      <c r="IX482" s="329"/>
      <c r="IY482" s="329"/>
      <c r="IZ482" s="329"/>
      <c r="JA482" s="329"/>
      <c r="JB482" s="329"/>
      <c r="JC482" s="329"/>
      <c r="JD482" s="329"/>
      <c r="JE482" s="329"/>
      <c r="JF482" s="329"/>
      <c r="JG482" s="329"/>
      <c r="JH482" s="329"/>
      <c r="JI482" s="329"/>
      <c r="JJ482" s="329"/>
      <c r="JK482" s="329"/>
      <c r="JL482" s="329"/>
      <c r="JM482" s="329"/>
      <c r="JN482" s="329"/>
      <c r="JO482" s="329"/>
      <c r="JP482" s="329"/>
      <c r="JQ482" s="329"/>
      <c r="JR482" s="329"/>
      <c r="JS482" s="329"/>
      <c r="JT482" s="329"/>
      <c r="JU482" s="329"/>
      <c r="JV482" s="329"/>
      <c r="JW482" s="329"/>
      <c r="JX482" s="329"/>
      <c r="JY482" s="329"/>
      <c r="JZ482" s="329"/>
      <c r="KA482" s="329"/>
      <c r="KB482" s="329"/>
      <c r="KC482" s="329"/>
      <c r="KD482" s="329"/>
      <c r="KE482" s="329"/>
      <c r="KF482" s="329"/>
      <c r="KG482" s="329"/>
      <c r="KH482" s="329"/>
      <c r="KI482" s="329"/>
      <c r="KJ482" s="329"/>
      <c r="KK482" s="329"/>
      <c r="KL482" s="329"/>
      <c r="KM482" s="329"/>
      <c r="KN482" s="329"/>
      <c r="KO482" s="329"/>
      <c r="KP482" s="329"/>
      <c r="KQ482" s="329"/>
      <c r="KR482" s="329"/>
      <c r="KS482" s="329"/>
      <c r="KT482" s="329"/>
      <c r="KU482" s="329"/>
      <c r="KV482" s="329"/>
      <c r="KW482" s="329"/>
      <c r="KX482" s="329"/>
      <c r="KY482" s="329"/>
      <c r="KZ482" s="329"/>
      <c r="LA482" s="329"/>
      <c r="LB482" s="329"/>
      <c r="LC482" s="329"/>
      <c r="LD482" s="329"/>
      <c r="LE482" s="329"/>
      <c r="LF482" s="329"/>
      <c r="LG482" s="329"/>
      <c r="LH482" s="329"/>
      <c r="LI482" s="329"/>
      <c r="LJ482" s="329"/>
      <c r="LK482" s="329"/>
      <c r="LL482" s="329"/>
      <c r="LM482" s="329"/>
      <c r="LN482" s="329"/>
      <c r="LO482" s="329"/>
      <c r="LP482" s="329"/>
      <c r="LQ482" s="329"/>
      <c r="LR482" s="329"/>
      <c r="LS482" s="329"/>
      <c r="LT482" s="329"/>
      <c r="LU482" s="329"/>
      <c r="LV482" s="329"/>
      <c r="LW482" s="329"/>
      <c r="LX482" s="329"/>
      <c r="LY482" s="329"/>
      <c r="LZ482" s="329"/>
      <c r="MA482" s="329"/>
      <c r="MB482" s="329"/>
      <c r="MC482" s="329"/>
      <c r="MD482" s="329"/>
      <c r="ME482" s="329"/>
      <c r="MF482" s="329"/>
      <c r="MG482" s="329"/>
      <c r="MH482" s="329"/>
      <c r="MI482" s="329"/>
      <c r="MJ482" s="329"/>
      <c r="MK482" s="329"/>
      <c r="ML482" s="329"/>
      <c r="MM482" s="329"/>
      <c r="MN482" s="329"/>
      <c r="MO482" s="329"/>
      <c r="MP482" s="329"/>
      <c r="MQ482" s="329"/>
      <c r="MR482" s="329"/>
      <c r="MS482" s="329"/>
      <c r="MT482" s="329"/>
      <c r="MU482" s="329"/>
      <c r="MV482" s="329"/>
      <c r="MW482" s="329"/>
      <c r="MX482" s="329"/>
      <c r="MY482" s="329"/>
      <c r="MZ482" s="329"/>
      <c r="NA482" s="329"/>
      <c r="NB482" s="329"/>
      <c r="NC482" s="329"/>
      <c r="ND482" s="329"/>
      <c r="NE482" s="329"/>
      <c r="NF482" s="329"/>
      <c r="NG482" s="329"/>
      <c r="NH482" s="329"/>
      <c r="NI482" s="329"/>
      <c r="NJ482" s="329"/>
      <c r="NK482" s="329"/>
      <c r="NL482" s="329"/>
      <c r="NM482" s="329"/>
      <c r="NN482" s="329"/>
      <c r="NO482" s="329"/>
      <c r="NP482" s="329"/>
      <c r="NQ482" s="329"/>
      <c r="NR482" s="329"/>
      <c r="NS482" s="329"/>
      <c r="NT482" s="329"/>
      <c r="NU482" s="329"/>
      <c r="NV482" s="329"/>
      <c r="NW482" s="329"/>
      <c r="NX482" s="329"/>
      <c r="NY482" s="329"/>
      <c r="NZ482" s="329"/>
      <c r="OA482" s="329"/>
      <c r="OB482" s="329"/>
      <c r="OC482" s="329"/>
      <c r="OD482" s="329"/>
      <c r="OE482" s="329"/>
      <c r="OF482" s="329"/>
      <c r="OG482" s="329"/>
      <c r="OH482" s="329"/>
      <c r="OI482" s="329"/>
      <c r="OJ482" s="329"/>
      <c r="OK482" s="329"/>
      <c r="OL482" s="329"/>
      <c r="OM482" s="329"/>
      <c r="ON482" s="329"/>
      <c r="OO482" s="329"/>
      <c r="OP482" s="329"/>
      <c r="OQ482" s="329"/>
      <c r="OR482" s="329"/>
      <c r="OS482" s="329"/>
      <c r="OT482" s="329"/>
      <c r="OU482" s="329"/>
      <c r="OV482" s="329"/>
      <c r="OW482" s="329"/>
      <c r="OX482" s="329"/>
      <c r="OY482" s="329"/>
      <c r="OZ482" s="329"/>
      <c r="PA482" s="329"/>
      <c r="PB482" s="329"/>
      <c r="PC482" s="329"/>
      <c r="PD482" s="329"/>
      <c r="PE482" s="329"/>
      <c r="PF482" s="329"/>
      <c r="PG482" s="329"/>
      <c r="PH482" s="329"/>
      <c r="PI482" s="329"/>
      <c r="PJ482" s="329"/>
      <c r="PK482" s="329"/>
      <c r="PL482" s="329"/>
      <c r="PM482" s="329"/>
      <c r="PN482" s="329"/>
      <c r="PO482" s="329"/>
      <c r="PP482" s="329"/>
      <c r="PQ482" s="329"/>
      <c r="PR482" s="329"/>
      <c r="PS482" s="329"/>
      <c r="PT482" s="329"/>
      <c r="PU482" s="329"/>
      <c r="PV482" s="329"/>
      <c r="PW482" s="329"/>
      <c r="PX482" s="329"/>
      <c r="PY482" s="329"/>
      <c r="PZ482" s="329"/>
      <c r="QA482" s="329"/>
      <c r="QB482" s="329"/>
      <c r="QC482" s="329"/>
      <c r="QD482" s="329"/>
      <c r="QE482" s="329"/>
      <c r="QF482" s="329"/>
      <c r="QG482" s="329"/>
      <c r="QH482" s="329"/>
      <c r="QI482" s="329"/>
      <c r="QJ482" s="329"/>
      <c r="QK482" s="329"/>
      <c r="QL482" s="329"/>
      <c r="QM482" s="329"/>
      <c r="QN482" s="329"/>
      <c r="QO482" s="329"/>
      <c r="QP482" s="329"/>
      <c r="QQ482" s="329"/>
      <c r="QR482" s="329"/>
      <c r="QS482" s="329"/>
      <c r="QT482" s="329"/>
      <c r="QU482" s="329"/>
      <c r="QV482" s="329"/>
      <c r="QW482" s="329"/>
      <c r="QX482" s="329"/>
      <c r="QY482" s="329"/>
      <c r="QZ482" s="329"/>
      <c r="RA482" s="329"/>
      <c r="RB482" s="329"/>
      <c r="RC482" s="329"/>
      <c r="RD482" s="329"/>
      <c r="RE482" s="329"/>
      <c r="RF482" s="329"/>
      <c r="RG482" s="329"/>
      <c r="RH482" s="329"/>
      <c r="RI482" s="329"/>
      <c r="RJ482" s="329"/>
      <c r="RK482" s="329"/>
      <c r="RL482" s="329"/>
      <c r="RM482" s="329"/>
      <c r="RN482" s="329"/>
      <c r="RO482" s="329"/>
      <c r="RP482" s="329"/>
      <c r="RQ482" s="329"/>
      <c r="RR482" s="329"/>
      <c r="RS482" s="329"/>
      <c r="RT482" s="329"/>
      <c r="RU482" s="329"/>
      <c r="RV482" s="329"/>
      <c r="RW482" s="329"/>
      <c r="RX482" s="329"/>
      <c r="RY482" s="329"/>
      <c r="RZ482" s="329"/>
      <c r="SA482" s="329"/>
      <c r="SB482" s="329"/>
      <c r="SC482" s="329"/>
      <c r="SD482" s="329"/>
      <c r="SE482" s="329"/>
      <c r="SF482" s="329"/>
      <c r="SG482" s="329"/>
      <c r="SH482" s="329"/>
      <c r="SI482" s="329"/>
      <c r="SJ482" s="329"/>
      <c r="SK482" s="329"/>
      <c r="SL482" s="329"/>
      <c r="SM482" s="329"/>
      <c r="SN482" s="329"/>
      <c r="SO482" s="329"/>
      <c r="SP482" s="329"/>
      <c r="SQ482" s="329"/>
      <c r="SR482" s="329"/>
      <c r="SS482" s="329"/>
      <c r="ST482" s="329"/>
      <c r="SU482" s="329"/>
      <c r="SV482" s="329"/>
      <c r="SW482" s="329"/>
      <c r="SX482" s="329"/>
      <c r="SY482" s="329"/>
      <c r="SZ482" s="329"/>
      <c r="TA482" s="329"/>
      <c r="TB482" s="329"/>
      <c r="TC482" s="329"/>
      <c r="TD482" s="329"/>
      <c r="TE482" s="329"/>
      <c r="TF482" s="329"/>
      <c r="TG482" s="329"/>
      <c r="TH482" s="329"/>
      <c r="TI482" s="329"/>
      <c r="TJ482" s="329"/>
      <c r="TK482" s="329"/>
      <c r="TL482" s="329"/>
      <c r="TM482" s="329"/>
      <c r="TN482" s="329"/>
      <c r="TO482" s="329"/>
      <c r="TP482" s="329"/>
      <c r="TQ482" s="329"/>
      <c r="TR482" s="329"/>
      <c r="TS482" s="329"/>
      <c r="TT482" s="329"/>
      <c r="TU482" s="329"/>
      <c r="TV482" s="329"/>
      <c r="TW482" s="329"/>
      <c r="TX482" s="329"/>
      <c r="TY482" s="329"/>
      <c r="TZ482" s="329"/>
      <c r="UA482" s="329"/>
      <c r="UB482" s="329"/>
      <c r="UC482" s="329"/>
      <c r="UD482" s="329"/>
      <c r="UE482" s="329"/>
      <c r="UF482" s="329"/>
      <c r="UG482" s="329"/>
      <c r="UH482" s="329"/>
      <c r="UI482" s="329"/>
      <c r="UJ482" s="329"/>
      <c r="UK482" s="329"/>
      <c r="UL482" s="329"/>
      <c r="UM482" s="329"/>
      <c r="UN482" s="329"/>
      <c r="UO482" s="329"/>
      <c r="UP482" s="329"/>
      <c r="UQ482" s="329"/>
      <c r="UR482" s="329"/>
      <c r="US482" s="329"/>
      <c r="UT482" s="329"/>
      <c r="UU482" s="329"/>
      <c r="UV482" s="329"/>
      <c r="UW482" s="329"/>
      <c r="UX482" s="329"/>
      <c r="UY482" s="329"/>
      <c r="UZ482" s="329"/>
      <c r="VA482" s="329"/>
      <c r="VB482" s="329"/>
      <c r="VC482" s="329"/>
      <c r="VD482" s="329"/>
      <c r="VE482" s="329"/>
      <c r="VF482" s="329"/>
      <c r="VG482" s="329"/>
      <c r="VH482" s="329"/>
      <c r="VI482" s="329"/>
      <c r="VJ482" s="329"/>
      <c r="VK482" s="329"/>
      <c r="VL482" s="329"/>
      <c r="VM482" s="329"/>
      <c r="VN482" s="329"/>
      <c r="VO482" s="329"/>
      <c r="VP482" s="329"/>
      <c r="VQ482" s="329"/>
      <c r="VR482" s="329"/>
      <c r="VS482" s="329"/>
      <c r="VT482" s="329"/>
      <c r="VU482" s="329"/>
      <c r="VV482" s="329"/>
      <c r="VW482" s="329"/>
      <c r="VX482" s="329"/>
      <c r="VY482" s="329"/>
      <c r="VZ482" s="329"/>
      <c r="WA482" s="329"/>
      <c r="WB482" s="329"/>
      <c r="WC482" s="329"/>
      <c r="WD482" s="329"/>
      <c r="WE482" s="329"/>
      <c r="WF482" s="329"/>
      <c r="WG482" s="329"/>
      <c r="WH482" s="329"/>
      <c r="WI482" s="329"/>
      <c r="WJ482" s="329"/>
      <c r="WK482" s="329"/>
      <c r="WL482" s="329"/>
      <c r="WM482" s="329"/>
      <c r="WN482" s="329"/>
      <c r="WO482" s="329"/>
      <c r="WP482" s="329"/>
      <c r="WQ482" s="329"/>
      <c r="WR482" s="329"/>
      <c r="WS482" s="329"/>
      <c r="WT482" s="329"/>
      <c r="WU482" s="329"/>
      <c r="WV482" s="329"/>
      <c r="WW482" s="329"/>
      <c r="WX482" s="329"/>
      <c r="WY482" s="329"/>
      <c r="WZ482" s="329"/>
      <c r="XA482" s="329"/>
      <c r="XB482" s="329"/>
      <c r="XC482" s="329"/>
      <c r="XD482" s="329"/>
      <c r="XE482" s="329"/>
      <c r="XF482" s="329"/>
      <c r="XG482" s="329"/>
      <c r="XH482" s="329"/>
      <c r="XI482" s="329"/>
      <c r="XJ482" s="329"/>
      <c r="XK482" s="329"/>
      <c r="XL482" s="329"/>
      <c r="XM482" s="329"/>
      <c r="XN482" s="329"/>
      <c r="XO482" s="329"/>
      <c r="XP482" s="329"/>
      <c r="XQ482" s="329"/>
      <c r="XR482" s="329"/>
      <c r="XS482" s="329"/>
      <c r="XT482" s="329"/>
      <c r="XU482" s="329"/>
      <c r="XV482" s="329"/>
      <c r="XW482" s="329"/>
      <c r="XX482" s="329"/>
      <c r="XY482" s="329"/>
      <c r="XZ482" s="329"/>
      <c r="YA482" s="329"/>
      <c r="YB482" s="329"/>
      <c r="YC482" s="329"/>
      <c r="YD482" s="329"/>
      <c r="YE482" s="329"/>
      <c r="YF482" s="329"/>
      <c r="YG482" s="329"/>
      <c r="YH482" s="329"/>
      <c r="YI482" s="329"/>
      <c r="YJ482" s="329"/>
      <c r="YK482" s="329"/>
      <c r="YL482" s="329"/>
      <c r="YM482" s="329"/>
      <c r="YN482" s="329"/>
      <c r="YO482" s="329"/>
      <c r="YP482" s="329"/>
      <c r="YQ482" s="329"/>
      <c r="YR482" s="329"/>
      <c r="YS482" s="329"/>
      <c r="YT482" s="329"/>
      <c r="YU482" s="329"/>
      <c r="YV482" s="329"/>
      <c r="YW482" s="329"/>
      <c r="YX482" s="329"/>
      <c r="YY482" s="329"/>
      <c r="YZ482" s="329"/>
      <c r="ZA482" s="329"/>
      <c r="ZB482" s="329"/>
      <c r="ZC482" s="329"/>
      <c r="ZD482" s="329"/>
      <c r="ZE482" s="329"/>
      <c r="ZF482" s="329"/>
      <c r="ZG482" s="329"/>
      <c r="ZH482" s="329"/>
      <c r="ZI482" s="329"/>
      <c r="ZJ482" s="329"/>
      <c r="ZK482" s="329"/>
      <c r="ZL482" s="329"/>
      <c r="ZM482" s="329"/>
      <c r="ZN482" s="329"/>
      <c r="ZO482" s="329"/>
      <c r="ZP482" s="329"/>
      <c r="ZQ482" s="329"/>
      <c r="ZR482" s="329"/>
      <c r="ZS482" s="329"/>
      <c r="ZT482" s="329"/>
      <c r="ZU482" s="329"/>
      <c r="ZV482" s="329"/>
      <c r="ZW482" s="329"/>
      <c r="ZX482" s="329"/>
      <c r="ZY482" s="329"/>
      <c r="ZZ482" s="329"/>
      <c r="AAA482" s="329"/>
      <c r="AAB482" s="329"/>
      <c r="AAC482" s="329"/>
      <c r="AAD482" s="329"/>
      <c r="AAE482" s="329"/>
      <c r="AAF482" s="329"/>
      <c r="AAG482" s="329"/>
      <c r="AAH482" s="329"/>
      <c r="AAI482" s="329"/>
      <c r="AAJ482" s="329"/>
      <c r="AAK482" s="329"/>
      <c r="AAL482" s="329"/>
      <c r="AAM482" s="329"/>
      <c r="AAN482" s="329"/>
      <c r="AAO482" s="329"/>
      <c r="AAP482" s="329"/>
      <c r="AAQ482" s="329"/>
      <c r="AAR482" s="329"/>
      <c r="AAS482" s="329"/>
      <c r="AAT482" s="329"/>
      <c r="AAU482" s="329"/>
      <c r="AAV482" s="329"/>
      <c r="AAW482" s="329"/>
      <c r="AAX482" s="329"/>
      <c r="AAY482" s="329"/>
      <c r="AAZ482" s="329"/>
      <c r="ABA482" s="329"/>
      <c r="ABB482" s="329"/>
      <c r="ABC482" s="329"/>
      <c r="ABD482" s="329"/>
      <c r="ABE482" s="329"/>
      <c r="ABF482" s="329"/>
      <c r="ABG482" s="329"/>
      <c r="ABH482" s="329"/>
      <c r="ABI482" s="329"/>
      <c r="ABJ482" s="329"/>
      <c r="ABK482" s="329"/>
      <c r="ABL482" s="329"/>
      <c r="ABM482" s="329"/>
      <c r="ABN482" s="329"/>
      <c r="ABO482" s="329"/>
      <c r="ABP482" s="329"/>
      <c r="ABQ482" s="329"/>
      <c r="ABR482" s="329"/>
      <c r="ABS482" s="329"/>
      <c r="ABT482" s="329"/>
      <c r="ABU482" s="329"/>
      <c r="ABV482" s="329"/>
      <c r="ABW482" s="329"/>
      <c r="ABX482" s="329"/>
      <c r="ABY482" s="329"/>
      <c r="ABZ482" s="329"/>
      <c r="ACA482" s="329"/>
      <c r="ACB482" s="329"/>
      <c r="ACC482" s="329"/>
      <c r="ACD482" s="329"/>
      <c r="ACE482" s="329"/>
      <c r="ACF482" s="329"/>
      <c r="ACG482" s="329"/>
      <c r="ACH482" s="329"/>
      <c r="ACI482" s="329"/>
      <c r="ACJ482" s="329"/>
      <c r="ACK482" s="329"/>
      <c r="ACL482" s="329"/>
      <c r="ACM482" s="329"/>
      <c r="ACN482" s="329"/>
      <c r="ACO482" s="329"/>
      <c r="ACP482" s="329"/>
      <c r="ACQ482" s="329"/>
      <c r="ACR482" s="329"/>
      <c r="ACS482" s="329"/>
      <c r="ACT482" s="329"/>
      <c r="ACU482" s="329"/>
      <c r="ACV482" s="329"/>
      <c r="ACW482" s="329"/>
      <c r="ACX482" s="329"/>
      <c r="ACY482" s="329"/>
      <c r="ACZ482" s="329"/>
      <c r="ADA482" s="329"/>
      <c r="ADB482" s="329"/>
      <c r="ADC482" s="329"/>
      <c r="ADD482" s="329"/>
      <c r="ADE482" s="329"/>
      <c r="ADF482" s="329"/>
      <c r="ADG482" s="329"/>
      <c r="ADH482" s="329"/>
      <c r="ADI482" s="329"/>
      <c r="ADJ482" s="329"/>
      <c r="ADK482" s="329"/>
      <c r="ADL482" s="329"/>
      <c r="ADM482" s="329"/>
      <c r="ADN482" s="329"/>
      <c r="ADO482" s="329"/>
      <c r="ADP482" s="329"/>
      <c r="ADQ482" s="329"/>
      <c r="ADR482" s="329"/>
      <c r="ADS482" s="329"/>
      <c r="ADT482" s="329"/>
      <c r="ADU482" s="329"/>
      <c r="ADV482" s="329"/>
      <c r="ADW482" s="329"/>
      <c r="ADX482" s="329"/>
      <c r="ADY482" s="329"/>
      <c r="ADZ482" s="329"/>
      <c r="AEA482" s="329"/>
      <c r="AEB482" s="329"/>
      <c r="AEC482" s="329"/>
      <c r="AED482" s="329"/>
      <c r="AEE482" s="329"/>
      <c r="AEF482" s="329"/>
      <c r="AEG482" s="329"/>
      <c r="AEH482" s="329"/>
      <c r="AEI482" s="329"/>
      <c r="AEJ482" s="329"/>
      <c r="AEK482" s="329"/>
      <c r="AEL482" s="329"/>
      <c r="AEM482" s="329"/>
      <c r="AEN482" s="329"/>
      <c r="AEO482" s="329"/>
      <c r="AEP482" s="329"/>
      <c r="AEQ482" s="329"/>
      <c r="AER482" s="329"/>
      <c r="AES482" s="329"/>
      <c r="AET482" s="329"/>
      <c r="AEU482" s="329"/>
      <c r="AEV482" s="329"/>
      <c r="AEW482" s="329"/>
      <c r="AEX482" s="329"/>
      <c r="AEY482" s="329"/>
      <c r="AEZ482" s="329"/>
      <c r="AFA482" s="329"/>
      <c r="AFB482" s="329"/>
      <c r="AFC482" s="329"/>
      <c r="AFD482" s="329"/>
      <c r="AFE482" s="329"/>
      <c r="AFF482" s="329"/>
      <c r="AFG482" s="329"/>
      <c r="AFH482" s="329"/>
      <c r="AFI482" s="329"/>
      <c r="AFJ482" s="329"/>
      <c r="AFK482" s="329"/>
      <c r="AFL482" s="329"/>
      <c r="AFM482" s="329"/>
      <c r="AFN482" s="329"/>
      <c r="AFO482" s="329"/>
      <c r="AFP482" s="329"/>
      <c r="AFQ482" s="329"/>
      <c r="AFR482" s="329"/>
      <c r="AFS482" s="329"/>
      <c r="AFT482" s="329"/>
      <c r="AFU482" s="329"/>
      <c r="AFV482" s="329"/>
      <c r="AFW482" s="329"/>
      <c r="AFX482" s="329"/>
      <c r="AFY482" s="329"/>
      <c r="AFZ482" s="329"/>
      <c r="AGA482" s="329"/>
      <c r="AGB482" s="329"/>
      <c r="AGC482" s="329"/>
      <c r="AGD482" s="329"/>
      <c r="AGE482" s="329"/>
      <c r="AGF482" s="329"/>
      <c r="AGG482" s="329"/>
      <c r="AGH482" s="329"/>
      <c r="AGI482" s="329"/>
      <c r="AGJ482" s="329"/>
      <c r="AGK482" s="329"/>
      <c r="AGL482" s="329"/>
      <c r="AGM482" s="329"/>
      <c r="AGN482" s="329"/>
      <c r="AGO482" s="329"/>
      <c r="AGP482" s="329"/>
      <c r="AGQ482" s="329"/>
      <c r="AGR482" s="329"/>
      <c r="AGS482" s="329"/>
      <c r="AGT482" s="329"/>
      <c r="AGU482" s="329"/>
      <c r="AGV482" s="329"/>
      <c r="AGW482" s="329"/>
      <c r="AGX482" s="329"/>
      <c r="AGY482" s="329"/>
      <c r="AGZ482" s="329"/>
      <c r="AHA482" s="329"/>
      <c r="AHB482" s="329"/>
      <c r="AHC482" s="329"/>
      <c r="AHD482" s="329"/>
      <c r="AHE482" s="329"/>
      <c r="AHF482" s="329"/>
      <c r="AHG482" s="329"/>
      <c r="AHH482" s="329"/>
      <c r="AHI482" s="329"/>
      <c r="AHJ482" s="329"/>
      <c r="AHK482" s="329"/>
      <c r="AHL482" s="329"/>
      <c r="AHM482" s="329"/>
      <c r="AHN482" s="329"/>
      <c r="AHO482" s="329"/>
      <c r="AHP482" s="329"/>
      <c r="AHQ482" s="329"/>
      <c r="AHR482" s="329"/>
      <c r="AHS482" s="329"/>
      <c r="AHT482" s="329"/>
      <c r="AHU482" s="329"/>
      <c r="AHV482" s="329"/>
      <c r="AHW482" s="329"/>
      <c r="AHX482" s="329"/>
      <c r="AHY482" s="329"/>
      <c r="AHZ482" s="329"/>
      <c r="AIA482" s="329"/>
      <c r="AIB482" s="329"/>
      <c r="AIC482" s="329"/>
      <c r="AID482" s="329"/>
      <c r="AIE482" s="329"/>
      <c r="AIF482" s="329"/>
      <c r="AIG482" s="329"/>
      <c r="AIH482" s="329"/>
      <c r="AII482" s="329"/>
      <c r="AIJ482" s="329"/>
      <c r="AIK482" s="329"/>
      <c r="AIL482" s="329"/>
      <c r="AIM482" s="329"/>
      <c r="AIN482" s="329"/>
      <c r="AIO482" s="329"/>
      <c r="AIP482" s="329"/>
      <c r="AIQ482" s="329"/>
      <c r="AIR482" s="329"/>
      <c r="AIS482" s="329"/>
      <c r="AIT482" s="329"/>
      <c r="AIU482" s="329"/>
      <c r="AIV482" s="329"/>
      <c r="AIW482" s="329"/>
      <c r="AIX482" s="329"/>
      <c r="AIY482" s="329"/>
      <c r="AIZ482" s="329"/>
      <c r="AJA482" s="329"/>
      <c r="AJB482" s="329"/>
      <c r="AJC482" s="329"/>
      <c r="AJD482" s="329"/>
      <c r="AJE482" s="329"/>
      <c r="AJF482" s="329"/>
      <c r="AJG482" s="329"/>
      <c r="AJH482" s="329"/>
      <c r="AJI482" s="329"/>
      <c r="AJJ482" s="329"/>
      <c r="AJK482" s="329"/>
      <c r="AJL482" s="329"/>
      <c r="AJM482" s="329"/>
      <c r="AJN482" s="329"/>
      <c r="AJO482" s="329"/>
      <c r="AJP482" s="329"/>
      <c r="AJQ482" s="329"/>
      <c r="AJR482" s="329"/>
      <c r="AJS482" s="329"/>
      <c r="AJT482" s="329"/>
      <c r="AJU482" s="329"/>
      <c r="AJV482" s="329"/>
      <c r="AJW482" s="329"/>
      <c r="AJX482" s="329"/>
      <c r="AJY482" s="329"/>
      <c r="AJZ482" s="329"/>
      <c r="AKA482" s="329"/>
      <c r="AKB482" s="329"/>
      <c r="AKC482" s="329"/>
      <c r="AKD482" s="329"/>
      <c r="AKE482" s="329"/>
      <c r="AKF482" s="329"/>
      <c r="AKG482" s="329"/>
      <c r="AKH482" s="329"/>
      <c r="AKI482" s="329"/>
      <c r="AKJ482" s="329"/>
      <c r="AKK482" s="329"/>
      <c r="AKL482" s="329"/>
      <c r="AKM482" s="329"/>
      <c r="AKN482" s="329"/>
      <c r="AKO482" s="329"/>
      <c r="AKP482" s="329"/>
      <c r="AKQ482" s="329"/>
      <c r="AKR482" s="329"/>
      <c r="AKS482" s="329"/>
      <c r="AKT482" s="329"/>
      <c r="AKU482" s="329"/>
      <c r="AKV482" s="329"/>
      <c r="AKW482" s="329"/>
      <c r="AKX482" s="329"/>
      <c r="AKY482" s="329"/>
      <c r="AKZ482" s="329"/>
      <c r="ALA482" s="329"/>
      <c r="ALB482" s="329"/>
      <c r="ALC482" s="329"/>
      <c r="ALD482" s="329"/>
      <c r="ALE482" s="329"/>
      <c r="ALF482" s="329"/>
      <c r="ALG482" s="329"/>
      <c r="ALH482" s="329"/>
      <c r="ALI482" s="329"/>
      <c r="ALJ482" s="329"/>
      <c r="ALK482" s="329"/>
      <c r="ALL482" s="329"/>
      <c r="ALM482" s="329"/>
      <c r="ALN482" s="329"/>
      <c r="ALO482" s="329"/>
      <c r="ALP482" s="329"/>
      <c r="ALQ482" s="329"/>
      <c r="ALR482" s="329"/>
      <c r="ALS482" s="329"/>
      <c r="ALT482" s="329"/>
      <c r="ALU482" s="329"/>
      <c r="ALV482" s="329"/>
      <c r="ALW482" s="329"/>
      <c r="ALX482" s="329"/>
      <c r="ALY482" s="329"/>
      <c r="ALZ482" s="329"/>
      <c r="AMA482" s="329"/>
      <c r="AMB482" s="329"/>
      <c r="AMC482" s="329"/>
      <c r="AMD482" s="329"/>
      <c r="AME482" s="329"/>
      <c r="AMF482" s="329"/>
      <c r="AMG482" s="329"/>
      <c r="AMH482" s="329"/>
      <c r="AMI482" s="329"/>
      <c r="AMJ482" s="329"/>
      <c r="AMK482" s="329"/>
      <c r="AML482" s="329"/>
      <c r="AMM482" s="329"/>
      <c r="AMN482" s="329"/>
      <c r="AMO482" s="329"/>
      <c r="AMP482" s="329"/>
      <c r="AMQ482" s="329"/>
      <c r="AMR482" s="329"/>
      <c r="AMS482" s="329"/>
      <c r="AMT482" s="329"/>
      <c r="AMU482" s="329"/>
      <c r="AMV482" s="329"/>
      <c r="AMW482" s="329"/>
      <c r="AMX482" s="329"/>
      <c r="AMY482" s="329"/>
      <c r="AMZ482" s="329"/>
      <c r="ANA482" s="329"/>
      <c r="ANB482" s="329"/>
      <c r="ANC482" s="329"/>
      <c r="AND482" s="329"/>
      <c r="ANE482" s="329"/>
      <c r="ANF482" s="329"/>
      <c r="ANG482" s="329"/>
      <c r="ANH482" s="329"/>
      <c r="ANI482" s="329"/>
      <c r="ANJ482" s="329"/>
      <c r="ANK482" s="329"/>
      <c r="ANL482" s="329"/>
      <c r="ANM482" s="329"/>
      <c r="ANN482" s="329"/>
      <c r="ANO482" s="329"/>
      <c r="ANP482" s="329"/>
      <c r="ANQ482" s="329"/>
      <c r="ANR482" s="329"/>
      <c r="ANS482" s="329"/>
      <c r="ANT482" s="329"/>
      <c r="ANU482" s="329"/>
      <c r="ANV482" s="329"/>
      <c r="ANW482" s="329"/>
      <c r="ANX482" s="329"/>
      <c r="ANY482" s="329"/>
      <c r="ANZ482" s="329"/>
      <c r="AOA482" s="329"/>
      <c r="AOB482" s="329"/>
      <c r="AOC482" s="329"/>
      <c r="AOD482" s="329"/>
      <c r="AOE482" s="329"/>
      <c r="AOF482" s="329"/>
      <c r="AOG482" s="329"/>
      <c r="AOH482" s="329"/>
      <c r="AOI482" s="329"/>
      <c r="AOJ482" s="329"/>
      <c r="AOK482" s="329"/>
      <c r="AOL482" s="329"/>
      <c r="AOM482" s="329"/>
      <c r="AON482" s="329"/>
      <c r="AOO482" s="329"/>
      <c r="AOP482" s="329"/>
      <c r="AOQ482" s="329"/>
      <c r="AOR482" s="329"/>
      <c r="AOS482" s="329"/>
      <c r="AOT482" s="329"/>
      <c r="AOU482" s="329"/>
      <c r="AOV482" s="329"/>
      <c r="AOW482" s="329"/>
      <c r="AOX482" s="329"/>
      <c r="AOY482" s="329"/>
      <c r="AOZ482" s="329"/>
      <c r="APA482" s="329"/>
      <c r="APB482" s="329"/>
      <c r="APC482" s="329"/>
      <c r="APD482" s="329"/>
      <c r="APE482" s="329"/>
      <c r="APF482" s="329"/>
      <c r="APG482" s="329"/>
      <c r="APH482" s="329"/>
      <c r="API482" s="329"/>
      <c r="APJ482" s="329"/>
      <c r="APK482" s="329"/>
      <c r="APL482" s="329"/>
      <c r="APM482" s="329"/>
      <c r="APN482" s="329"/>
      <c r="APO482" s="329"/>
      <c r="APP482" s="329"/>
      <c r="APQ482" s="329"/>
      <c r="APR482" s="329"/>
      <c r="APS482" s="329"/>
      <c r="APT482" s="329"/>
      <c r="APU482" s="329"/>
      <c r="APV482" s="329"/>
      <c r="APW482" s="329"/>
      <c r="APX482" s="329"/>
      <c r="APY482" s="329"/>
      <c r="APZ482" s="329"/>
      <c r="AQA482" s="329"/>
      <c r="AQB482" s="329"/>
      <c r="AQC482" s="329"/>
      <c r="AQD482" s="329"/>
      <c r="AQE482" s="329"/>
      <c r="AQF482" s="329"/>
      <c r="AQG482" s="329"/>
      <c r="AQH482" s="329"/>
      <c r="AQI482" s="329"/>
      <c r="AQJ482" s="329"/>
      <c r="AQK482" s="329"/>
      <c r="AQL482" s="329"/>
      <c r="AQM482" s="329"/>
      <c r="AQN482" s="329"/>
      <c r="AQO482" s="329"/>
      <c r="AQP482" s="329"/>
      <c r="AQQ482" s="329"/>
      <c r="AQR482" s="329"/>
      <c r="AQS482" s="329"/>
      <c r="AQT482" s="329"/>
      <c r="AQU482" s="329"/>
      <c r="AQV482" s="329"/>
      <c r="AQW482" s="329"/>
      <c r="AQX482" s="329"/>
      <c r="AQY482" s="329"/>
      <c r="AQZ482" s="329"/>
      <c r="ARA482" s="329"/>
      <c r="ARB482" s="329"/>
      <c r="ARC482" s="329"/>
      <c r="ARD482" s="329"/>
      <c r="ARE482" s="329"/>
      <c r="ARF482" s="329"/>
      <c r="ARG482" s="329"/>
      <c r="ARH482" s="329"/>
      <c r="ARI482" s="329"/>
      <c r="ARJ482" s="329"/>
      <c r="ARK482" s="329"/>
      <c r="ARL482" s="329"/>
      <c r="ARM482" s="329"/>
      <c r="ARN482" s="329"/>
      <c r="ARO482" s="329"/>
      <c r="ARP482" s="329"/>
      <c r="ARQ482" s="329"/>
      <c r="ARR482" s="329"/>
      <c r="ARS482" s="329"/>
      <c r="ART482" s="329"/>
      <c r="ARU482" s="329"/>
      <c r="ARV482" s="329"/>
      <c r="ARW482" s="329"/>
      <c r="ARX482" s="329"/>
      <c r="ARY482" s="329"/>
      <c r="ARZ482" s="329"/>
      <c r="ASA482" s="329"/>
      <c r="ASB482" s="329"/>
      <c r="ASC482" s="329"/>
      <c r="ASD482" s="329"/>
      <c r="ASE482" s="329"/>
      <c r="ASF482" s="329"/>
      <c r="ASG482" s="329"/>
      <c r="ASH482" s="329"/>
      <c r="ASI482" s="329"/>
      <c r="ASJ482" s="329"/>
      <c r="ASK482" s="329"/>
      <c r="ASL482" s="329"/>
      <c r="ASM482" s="329"/>
      <c r="ASN482" s="329"/>
      <c r="ASO482" s="329"/>
      <c r="ASP482" s="329"/>
      <c r="ASQ482" s="329"/>
      <c r="ASR482" s="329"/>
      <c r="ASS482" s="329"/>
      <c r="AST482" s="329"/>
      <c r="ASU482" s="329"/>
      <c r="ASV482" s="329"/>
      <c r="ASW482" s="329"/>
      <c r="ASX482" s="329"/>
      <c r="ASY482" s="329"/>
      <c r="ASZ482" s="329"/>
      <c r="ATA482" s="329"/>
      <c r="ATB482" s="329"/>
      <c r="ATC482" s="329"/>
      <c r="ATD482" s="329"/>
      <c r="ATE482" s="329"/>
      <c r="ATF482" s="329"/>
      <c r="ATG482" s="329"/>
      <c r="ATH482" s="329"/>
      <c r="ATI482" s="329"/>
      <c r="ATJ482" s="329"/>
      <c r="ATK482" s="329"/>
      <c r="ATL482" s="329"/>
      <c r="ATM482" s="329"/>
      <c r="ATN482" s="329"/>
      <c r="ATO482" s="329"/>
      <c r="ATP482" s="329"/>
      <c r="ATQ482" s="329"/>
      <c r="ATR482" s="329"/>
      <c r="ATS482" s="329"/>
      <c r="ATT482" s="329"/>
      <c r="ATU482" s="329"/>
      <c r="ATV482" s="329"/>
      <c r="ATW482" s="329"/>
      <c r="ATX482" s="329"/>
      <c r="ATY482" s="329"/>
      <c r="ATZ482" s="329"/>
      <c r="AUA482" s="329"/>
      <c r="AUB482" s="329"/>
      <c r="AUC482" s="329"/>
      <c r="AUD482" s="329"/>
      <c r="AUE482" s="329"/>
      <c r="AUF482" s="329"/>
      <c r="AUG482" s="329"/>
      <c r="AUH482" s="329"/>
      <c r="AUI482" s="329"/>
      <c r="AUJ482" s="329"/>
      <c r="AUK482" s="329"/>
      <c r="AUL482" s="329"/>
      <c r="AUM482" s="329"/>
      <c r="AUN482" s="329"/>
      <c r="AUO482" s="329"/>
      <c r="AUP482" s="329"/>
      <c r="AUQ482" s="329"/>
      <c r="AUR482" s="329"/>
      <c r="AUS482" s="329"/>
      <c r="AUT482" s="329"/>
      <c r="AUU482" s="329"/>
      <c r="AUV482" s="329"/>
      <c r="AUW482" s="329"/>
      <c r="AUX482" s="329"/>
      <c r="AUY482" s="329"/>
      <c r="AUZ482" s="329"/>
      <c r="AVA482" s="329"/>
      <c r="AVB482" s="329"/>
      <c r="AVC482" s="329"/>
      <c r="AVD482" s="329"/>
      <c r="AVE482" s="329"/>
      <c r="AVF482" s="329"/>
      <c r="AVG482" s="329"/>
      <c r="AVH482" s="329"/>
      <c r="AVI482" s="329"/>
      <c r="AVJ482" s="329"/>
      <c r="AVK482" s="329"/>
      <c r="AVL482" s="329"/>
      <c r="AVM482" s="329"/>
      <c r="AVN482" s="329"/>
      <c r="AVO482" s="329"/>
      <c r="AVP482" s="329"/>
      <c r="AVQ482" s="329"/>
      <c r="AVR482" s="329"/>
      <c r="AVS482" s="329"/>
      <c r="AVT482" s="329"/>
      <c r="AVU482" s="329"/>
      <c r="AVV482" s="329"/>
      <c r="AVW482" s="329"/>
      <c r="AVX482" s="329"/>
      <c r="AVY482" s="329"/>
      <c r="AVZ482" s="329"/>
      <c r="AWA482" s="329"/>
      <c r="AWB482" s="329"/>
      <c r="AWC482" s="329"/>
      <c r="AWD482" s="329"/>
      <c r="AWE482" s="329"/>
      <c r="AWF482" s="329"/>
      <c r="AWG482" s="329"/>
      <c r="AWH482" s="329"/>
      <c r="AWI482" s="329"/>
      <c r="AWJ482" s="329"/>
      <c r="AWK482" s="329"/>
      <c r="AWL482" s="329"/>
      <c r="AWM482" s="329"/>
      <c r="AWN482" s="329"/>
      <c r="AWO482" s="329"/>
      <c r="AWP482" s="329"/>
      <c r="AWQ482" s="329"/>
      <c r="AWR482" s="329"/>
      <c r="AWS482" s="329"/>
      <c r="AWT482" s="329"/>
      <c r="AWU482" s="329"/>
      <c r="AWV482" s="329"/>
      <c r="AWW482" s="329"/>
      <c r="AWX482" s="329"/>
      <c r="AWY482" s="329"/>
      <c r="AWZ482" s="329"/>
      <c r="AXA482" s="329"/>
      <c r="AXB482" s="329"/>
      <c r="AXC482" s="329"/>
      <c r="AXD482" s="329"/>
      <c r="AXE482" s="329"/>
      <c r="AXF482" s="329"/>
      <c r="AXG482" s="329"/>
      <c r="AXH482" s="329"/>
      <c r="AXI482" s="329"/>
      <c r="AXJ482" s="329"/>
      <c r="AXK482" s="329"/>
      <c r="AXL482" s="329"/>
      <c r="AXM482" s="329"/>
      <c r="AXN482" s="329"/>
      <c r="AXO482" s="329"/>
      <c r="AXP482" s="329"/>
      <c r="AXQ482" s="329"/>
      <c r="AXR482" s="329"/>
      <c r="AXS482" s="329"/>
      <c r="AXT482" s="329"/>
      <c r="AXU482" s="329"/>
      <c r="AXV482" s="329"/>
      <c r="AXW482" s="329"/>
      <c r="AXX482" s="329"/>
      <c r="AXY482" s="329"/>
      <c r="AXZ482" s="329"/>
      <c r="AYA482" s="329"/>
      <c r="AYB482" s="329"/>
      <c r="AYC482" s="329"/>
      <c r="AYD482" s="329"/>
      <c r="AYE482" s="329"/>
      <c r="AYF482" s="329"/>
      <c r="AYG482" s="329"/>
      <c r="AYH482" s="329"/>
      <c r="AYI482" s="329"/>
      <c r="AYJ482" s="329"/>
      <c r="AYK482" s="329"/>
      <c r="AYL482" s="329"/>
      <c r="AYM482" s="329"/>
      <c r="AYN482" s="329"/>
      <c r="AYO482" s="329"/>
      <c r="AYP482" s="329"/>
      <c r="AYQ482" s="329"/>
      <c r="AYR482" s="329"/>
      <c r="AYS482" s="329"/>
      <c r="AYT482" s="329"/>
      <c r="AYU482" s="329"/>
      <c r="AYV482" s="329"/>
      <c r="AYW482" s="329"/>
      <c r="AYX482" s="329"/>
      <c r="AYY482" s="329"/>
      <c r="AYZ482" s="329"/>
      <c r="AZA482" s="329"/>
      <c r="AZB482" s="329"/>
      <c r="AZC482" s="329"/>
      <c r="AZD482" s="329"/>
      <c r="AZE482" s="329"/>
      <c r="AZF482" s="329"/>
      <c r="AZG482" s="329"/>
      <c r="AZH482" s="329"/>
      <c r="AZI482" s="329"/>
      <c r="AZJ482" s="329"/>
      <c r="AZK482" s="329"/>
      <c r="AZL482" s="329"/>
      <c r="AZM482" s="329"/>
      <c r="AZN482" s="329"/>
      <c r="AZO482" s="329"/>
      <c r="AZP482" s="329"/>
      <c r="AZQ482" s="329"/>
      <c r="AZR482" s="329"/>
      <c r="AZS482" s="329"/>
      <c r="AZT482" s="329"/>
      <c r="AZU482" s="329"/>
      <c r="AZV482" s="329"/>
      <c r="AZW482" s="329"/>
      <c r="AZX482" s="329"/>
      <c r="AZY482" s="329"/>
      <c r="AZZ482" s="329"/>
      <c r="BAA482" s="329"/>
      <c r="BAB482" s="329"/>
      <c r="BAC482" s="329"/>
      <c r="BAD482" s="329"/>
      <c r="BAE482" s="329"/>
      <c r="BAF482" s="329"/>
      <c r="BAG482" s="329"/>
      <c r="BAH482" s="329"/>
      <c r="BAI482" s="329"/>
      <c r="BAJ482" s="329"/>
      <c r="BAK482" s="329"/>
      <c r="BAL482" s="329"/>
      <c r="BAM482" s="329"/>
      <c r="BAN482" s="329"/>
      <c r="BAO482" s="329"/>
      <c r="BAP482" s="329"/>
      <c r="BAQ482" s="329"/>
      <c r="BAR482" s="329"/>
      <c r="BAS482" s="329"/>
      <c r="BAT482" s="329"/>
      <c r="BAU482" s="329"/>
      <c r="BAV482" s="329"/>
      <c r="BAW482" s="329"/>
      <c r="BAX482" s="329"/>
      <c r="BAY482" s="329"/>
      <c r="BAZ482" s="329"/>
      <c r="BBA482" s="329"/>
      <c r="BBB482" s="329"/>
      <c r="BBC482" s="329"/>
      <c r="BBD482" s="329"/>
      <c r="BBE482" s="329"/>
      <c r="BBF482" s="329"/>
      <c r="BBG482" s="329"/>
      <c r="BBH482" s="329"/>
      <c r="BBI482" s="329"/>
      <c r="BBJ482" s="329"/>
      <c r="BBK482" s="329"/>
      <c r="BBL482" s="329"/>
      <c r="BBM482" s="329"/>
      <c r="BBN482" s="329"/>
      <c r="BBO482" s="329"/>
      <c r="BBP482" s="329"/>
      <c r="BBQ482" s="329"/>
      <c r="BBR482" s="329"/>
      <c r="BBS482" s="329"/>
      <c r="BBT482" s="329"/>
      <c r="BBU482" s="329"/>
      <c r="BBV482" s="329"/>
      <c r="BBW482" s="329"/>
      <c r="BBX482" s="329"/>
      <c r="BBY482" s="329"/>
      <c r="BBZ482" s="329"/>
      <c r="BCA482" s="329"/>
      <c r="BCB482" s="329"/>
      <c r="BCC482" s="329"/>
      <c r="BCD482" s="329"/>
      <c r="BCE482" s="329"/>
      <c r="BCF482" s="329"/>
      <c r="BCG482" s="329"/>
      <c r="BCH482" s="329"/>
      <c r="BCI482" s="329"/>
      <c r="BCJ482" s="329"/>
      <c r="BCK482" s="329"/>
      <c r="BCL482" s="329"/>
      <c r="BCM482" s="329"/>
      <c r="BCN482" s="329"/>
      <c r="BCO482" s="329"/>
      <c r="BCP482" s="329"/>
      <c r="BCQ482" s="329"/>
      <c r="BCR482" s="329"/>
      <c r="BCS482" s="329"/>
      <c r="BCT482" s="329"/>
      <c r="BCU482" s="329"/>
      <c r="BCV482" s="329"/>
      <c r="BCW482" s="329"/>
      <c r="BCX482" s="329"/>
      <c r="BCY482" s="329"/>
      <c r="BCZ482" s="329"/>
      <c r="BDA482" s="329"/>
      <c r="BDB482" s="329"/>
      <c r="BDC482" s="329"/>
      <c r="BDD482" s="329"/>
      <c r="BDE482" s="329"/>
      <c r="BDF482" s="329"/>
      <c r="BDG482" s="329"/>
      <c r="BDH482" s="329"/>
      <c r="BDI482" s="329"/>
      <c r="BDJ482" s="329"/>
      <c r="BDK482" s="329"/>
      <c r="BDL482" s="329"/>
      <c r="BDM482" s="329"/>
      <c r="BDN482" s="329"/>
      <c r="BDO482" s="329"/>
      <c r="BDP482" s="329"/>
      <c r="BDQ482" s="329"/>
      <c r="BDR482" s="329"/>
      <c r="BDS482" s="329"/>
      <c r="BDT482" s="329"/>
      <c r="BDU482" s="329"/>
      <c r="BDV482" s="329"/>
      <c r="BDW482" s="329"/>
      <c r="BDX482" s="329"/>
      <c r="BDY482" s="329"/>
      <c r="BDZ482" s="329"/>
      <c r="BEA482" s="329"/>
      <c r="BEB482" s="329"/>
      <c r="BEC482" s="329"/>
      <c r="BED482" s="329"/>
      <c r="BEE482" s="329"/>
      <c r="BEF482" s="329"/>
      <c r="BEG482" s="329"/>
      <c r="BEH482" s="329"/>
      <c r="BEI482" s="329"/>
      <c r="BEJ482" s="329"/>
      <c r="BEK482" s="329"/>
      <c r="BEL482" s="329"/>
      <c r="BEM482" s="329"/>
      <c r="BEN482" s="329"/>
      <c r="BEO482" s="329"/>
      <c r="BEP482" s="329"/>
      <c r="BEQ482" s="329"/>
      <c r="BER482" s="329"/>
      <c r="BES482" s="329"/>
      <c r="BET482" s="329"/>
      <c r="BEU482" s="329"/>
      <c r="BEV482" s="329"/>
      <c r="BEW482" s="329"/>
      <c r="BEX482" s="329"/>
      <c r="BEY482" s="329"/>
      <c r="BEZ482" s="329"/>
      <c r="BFA482" s="329"/>
      <c r="BFB482" s="329"/>
      <c r="BFC482" s="329"/>
      <c r="BFD482" s="329"/>
      <c r="BFE482" s="329"/>
      <c r="BFF482" s="329"/>
      <c r="BFG482" s="329"/>
      <c r="BFH482" s="329"/>
      <c r="BFI482" s="329"/>
      <c r="BFJ482" s="329"/>
      <c r="BFK482" s="329"/>
      <c r="BFL482" s="329"/>
      <c r="BFM482" s="329"/>
      <c r="BFN482" s="329"/>
      <c r="BFO482" s="329"/>
      <c r="BFP482" s="329"/>
      <c r="BFQ482" s="329"/>
      <c r="BFR482" s="329"/>
      <c r="BFS482" s="329"/>
      <c r="BFT482" s="329"/>
      <c r="BFU482" s="329"/>
      <c r="BFV482" s="329"/>
      <c r="BFW482" s="329"/>
      <c r="BFX482" s="329"/>
      <c r="BFY482" s="329"/>
      <c r="BFZ482" s="329"/>
      <c r="BGA482" s="329"/>
      <c r="BGB482" s="329"/>
      <c r="BGC482" s="329"/>
      <c r="BGD482" s="329"/>
      <c r="BGE482" s="329"/>
      <c r="BGF482" s="329"/>
      <c r="BGG482" s="329"/>
      <c r="BGH482" s="329"/>
      <c r="BGI482" s="329"/>
      <c r="BGJ482" s="329"/>
      <c r="BGK482" s="329"/>
      <c r="BGL482" s="329"/>
      <c r="BGM482" s="329"/>
      <c r="BGN482" s="329"/>
      <c r="BGO482" s="329"/>
      <c r="BGP482" s="329"/>
      <c r="BGQ482" s="329"/>
      <c r="BGR482" s="329"/>
      <c r="BGS482" s="329"/>
      <c r="BGT482" s="329"/>
      <c r="BGU482" s="329"/>
      <c r="BGV482" s="329"/>
      <c r="BGW482" s="329"/>
      <c r="BGX482" s="329"/>
      <c r="BGY482" s="329"/>
      <c r="BGZ482" s="329"/>
      <c r="BHA482" s="329"/>
      <c r="BHB482" s="329"/>
      <c r="BHC482" s="329"/>
      <c r="BHD482" s="329"/>
      <c r="BHE482" s="329"/>
      <c r="BHF482" s="329"/>
      <c r="BHG482" s="329"/>
      <c r="BHH482" s="329"/>
      <c r="BHI482" s="329"/>
      <c r="BHJ482" s="329"/>
      <c r="BHK482" s="329"/>
      <c r="BHL482" s="329"/>
      <c r="BHM482" s="329"/>
      <c r="BHN482" s="329"/>
      <c r="BHO482" s="329"/>
      <c r="BHP482" s="329"/>
      <c r="BHQ482" s="329"/>
      <c r="BHR482" s="329"/>
      <c r="BHS482" s="329"/>
      <c r="BHT482" s="329"/>
      <c r="BHU482" s="329"/>
      <c r="BHV482" s="329"/>
      <c r="BHW482" s="329"/>
      <c r="BHX482" s="329"/>
      <c r="BHY482" s="329"/>
      <c r="BHZ482" s="329"/>
      <c r="BIA482" s="329"/>
      <c r="BIB482" s="329"/>
      <c r="BIC482" s="329"/>
      <c r="BID482" s="329"/>
      <c r="BIE482" s="329"/>
      <c r="BIF482" s="329"/>
      <c r="BIG482" s="329"/>
      <c r="BIH482" s="329"/>
      <c r="BII482" s="329"/>
      <c r="BIJ482" s="329"/>
      <c r="BIK482" s="329"/>
      <c r="BIL482" s="329"/>
      <c r="BIM482" s="329"/>
      <c r="BIN482" s="329"/>
      <c r="BIO482" s="329"/>
      <c r="BIP482" s="329"/>
      <c r="BIQ482" s="329"/>
      <c r="BIR482" s="329"/>
      <c r="BIS482" s="329"/>
      <c r="BIT482" s="329"/>
      <c r="BIU482" s="329"/>
      <c r="BIV482" s="329"/>
      <c r="BIW482" s="329"/>
      <c r="BIX482" s="329"/>
      <c r="BIY482" s="329"/>
      <c r="BIZ482" s="329"/>
      <c r="BJA482" s="329"/>
      <c r="BJB482" s="329"/>
      <c r="BJC482" s="329"/>
      <c r="BJD482" s="329"/>
      <c r="BJE482" s="329"/>
      <c r="BJF482" s="329"/>
      <c r="BJG482" s="329"/>
      <c r="BJH482" s="329"/>
      <c r="BJI482" s="329"/>
      <c r="BJJ482" s="329"/>
      <c r="BJK482" s="329"/>
      <c r="BJL482" s="329"/>
      <c r="BJM482" s="329"/>
      <c r="BJN482" s="329"/>
      <c r="BJO482" s="329"/>
      <c r="BJP482" s="329"/>
      <c r="BJQ482" s="329"/>
      <c r="BJR482" s="329"/>
      <c r="BJS482" s="329"/>
      <c r="BJT482" s="329"/>
      <c r="BJU482" s="329"/>
      <c r="BJV482" s="329"/>
      <c r="BJW482" s="329"/>
      <c r="BJX482" s="329"/>
      <c r="BJY482" s="329"/>
      <c r="BJZ482" s="329"/>
      <c r="BKA482" s="329"/>
      <c r="BKB482" s="329"/>
      <c r="BKC482" s="329"/>
      <c r="BKD482" s="329"/>
      <c r="BKE482" s="329"/>
      <c r="BKF482" s="329"/>
      <c r="BKG482" s="329"/>
      <c r="BKH482" s="329"/>
      <c r="BKI482" s="329"/>
      <c r="BKJ482" s="329"/>
      <c r="BKK482" s="329"/>
      <c r="BKL482" s="329"/>
      <c r="BKM482" s="329"/>
      <c r="BKN482" s="329"/>
      <c r="BKO482" s="329"/>
      <c r="BKP482" s="329"/>
      <c r="BKQ482" s="329"/>
      <c r="BKR482" s="329"/>
      <c r="BKS482" s="329"/>
      <c r="BKT482" s="329"/>
      <c r="BKU482" s="329"/>
      <c r="BKV482" s="329"/>
      <c r="BKW482" s="329"/>
      <c r="BKX482" s="329"/>
      <c r="BKY482" s="329"/>
      <c r="BKZ482" s="329"/>
      <c r="BLA482" s="329"/>
      <c r="BLB482" s="329"/>
      <c r="BLC482" s="329"/>
      <c r="BLD482" s="329"/>
      <c r="BLE482" s="329"/>
      <c r="BLF482" s="329"/>
      <c r="BLG482" s="329"/>
      <c r="BLH482" s="329"/>
      <c r="BLI482" s="329"/>
      <c r="BLJ482" s="329"/>
      <c r="BLK482" s="329"/>
      <c r="BLL482" s="329"/>
      <c r="BLM482" s="329"/>
      <c r="BLN482" s="329"/>
      <c r="BLO482" s="329"/>
      <c r="BLP482" s="329"/>
      <c r="BLQ482" s="329"/>
      <c r="BLR482" s="329"/>
      <c r="BLS482" s="329"/>
      <c r="BLT482" s="329"/>
      <c r="BLU482" s="329"/>
      <c r="BLV482" s="329"/>
      <c r="BLW482" s="329"/>
      <c r="BLX482" s="329"/>
      <c r="BLY482" s="329"/>
      <c r="BLZ482" s="329"/>
      <c r="BMA482" s="329"/>
      <c r="BMB482" s="329"/>
      <c r="BMC482" s="329"/>
      <c r="BMD482" s="329"/>
      <c r="BME482" s="329"/>
      <c r="BMF482" s="329"/>
      <c r="BMG482" s="329"/>
      <c r="BMH482" s="329"/>
      <c r="BMI482" s="329"/>
      <c r="BMJ482" s="329"/>
      <c r="BMK482" s="329"/>
      <c r="BML482" s="329"/>
      <c r="BMM482" s="329"/>
      <c r="BMN482" s="329"/>
      <c r="BMO482" s="329"/>
      <c r="BMP482" s="329"/>
      <c r="BMQ482" s="329"/>
      <c r="BMR482" s="329"/>
      <c r="BMS482" s="329"/>
      <c r="BMT482" s="329"/>
      <c r="BMU482" s="329"/>
      <c r="BMV482" s="329"/>
      <c r="BMW482" s="329"/>
      <c r="BMX482" s="329"/>
      <c r="BMY482" s="329"/>
      <c r="BMZ482" s="329"/>
      <c r="BNA482" s="329"/>
      <c r="BNB482" s="329"/>
      <c r="BNC482" s="329"/>
      <c r="BND482" s="329"/>
      <c r="BNE482" s="329"/>
      <c r="BNF482" s="329"/>
      <c r="BNG482" s="329"/>
      <c r="BNH482" s="329"/>
      <c r="BNI482" s="329"/>
      <c r="BNJ482" s="329"/>
      <c r="BNK482" s="329"/>
      <c r="BNL482" s="329"/>
      <c r="BNM482" s="329"/>
      <c r="BNN482" s="329"/>
      <c r="BNO482" s="329"/>
      <c r="BNP482" s="329"/>
      <c r="BNQ482" s="329"/>
      <c r="BNR482" s="329"/>
      <c r="BNS482" s="329"/>
      <c r="BNT482" s="329"/>
      <c r="BNU482" s="329"/>
      <c r="BNV482" s="329"/>
      <c r="BNW482" s="329"/>
      <c r="BNX482" s="329"/>
      <c r="BNY482" s="329"/>
      <c r="BNZ482" s="329"/>
      <c r="BOA482" s="329"/>
      <c r="BOB482" s="329"/>
      <c r="BOC482" s="329"/>
      <c r="BOD482" s="329"/>
      <c r="BOE482" s="329"/>
      <c r="BOF482" s="329"/>
      <c r="BOG482" s="329"/>
      <c r="BOH482" s="329"/>
      <c r="BOI482" s="329"/>
      <c r="BOJ482" s="329"/>
      <c r="BOK482" s="329"/>
      <c r="BOL482" s="329"/>
      <c r="BOM482" s="329"/>
      <c r="BON482" s="329"/>
      <c r="BOO482" s="329"/>
      <c r="BOP482" s="329"/>
      <c r="BOQ482" s="329"/>
      <c r="BOR482" s="329"/>
      <c r="BOS482" s="329"/>
      <c r="BOT482" s="329"/>
      <c r="BOU482" s="329"/>
      <c r="BOV482" s="329"/>
      <c r="BOW482" s="329"/>
      <c r="BOX482" s="329"/>
      <c r="BOY482" s="329"/>
      <c r="BOZ482" s="329"/>
      <c r="BPA482" s="329"/>
      <c r="BPB482" s="329"/>
      <c r="BPC482" s="329"/>
      <c r="BPD482" s="329"/>
      <c r="BPE482" s="329"/>
      <c r="BPF482" s="329"/>
      <c r="BPG482" s="329"/>
      <c r="BPH482" s="329"/>
      <c r="BPI482" s="329"/>
      <c r="BPJ482" s="329"/>
      <c r="BPK482" s="329"/>
      <c r="BPL482" s="329"/>
      <c r="BPM482" s="329"/>
      <c r="BPN482" s="329"/>
      <c r="BPO482" s="329"/>
      <c r="BPP482" s="329"/>
      <c r="BPQ482" s="329"/>
      <c r="BPR482" s="329"/>
      <c r="BPS482" s="329"/>
      <c r="BPT482" s="329"/>
      <c r="BPU482" s="329"/>
      <c r="BPV482" s="329"/>
      <c r="BPW482" s="329"/>
      <c r="BPX482" s="329"/>
      <c r="BPY482" s="329"/>
      <c r="BPZ482" s="329"/>
      <c r="BQA482" s="329"/>
      <c r="BQB482" s="329"/>
      <c r="BQC482" s="329"/>
      <c r="BQD482" s="329"/>
      <c r="BQE482" s="329"/>
      <c r="BQF482" s="329"/>
      <c r="BQG482" s="329"/>
      <c r="BQH482" s="329"/>
      <c r="BQI482" s="329"/>
      <c r="BQJ482" s="329"/>
      <c r="BQK482" s="329"/>
      <c r="BQL482" s="329"/>
      <c r="BQM482" s="329"/>
      <c r="BQN482" s="329"/>
      <c r="BQO482" s="329"/>
      <c r="BQP482" s="329"/>
      <c r="BQQ482" s="329"/>
      <c r="BQR482" s="329"/>
      <c r="BQS482" s="329"/>
      <c r="BQT482" s="329"/>
      <c r="BQU482" s="329"/>
      <c r="BQV482" s="329"/>
      <c r="BQW482" s="329"/>
      <c r="BQX482" s="329"/>
      <c r="BQY482" s="329"/>
      <c r="BQZ482" s="329"/>
      <c r="BRA482" s="329"/>
      <c r="BRB482" s="329"/>
      <c r="BRC482" s="329"/>
      <c r="BRD482" s="329"/>
      <c r="BRE482" s="329"/>
      <c r="BRF482" s="329"/>
      <c r="BRG482" s="329"/>
      <c r="BRH482" s="329"/>
      <c r="BRI482" s="329"/>
      <c r="BRJ482" s="329"/>
      <c r="BRK482" s="329"/>
      <c r="BRL482" s="329"/>
      <c r="BRM482" s="329"/>
      <c r="BRN482" s="329"/>
      <c r="BRO482" s="329"/>
      <c r="BRP482" s="329"/>
      <c r="BRQ482" s="329"/>
      <c r="BRR482" s="329"/>
      <c r="BRS482" s="329"/>
      <c r="BRT482" s="329"/>
      <c r="BRU482" s="329"/>
      <c r="BRV482" s="329"/>
      <c r="BRW482" s="329"/>
      <c r="BRX482" s="329"/>
      <c r="BRY482" s="329"/>
      <c r="BRZ482" s="329"/>
      <c r="BSA482" s="329"/>
      <c r="BSB482" s="329"/>
      <c r="BSC482" s="329"/>
      <c r="BSD482" s="329"/>
      <c r="BSE482" s="329"/>
      <c r="BSF482" s="329"/>
      <c r="BSG482" s="329"/>
      <c r="BSH482" s="329"/>
      <c r="BSI482" s="329"/>
      <c r="BSJ482" s="329"/>
      <c r="BSK482" s="329"/>
      <c r="BSL482" s="329"/>
      <c r="BSM482" s="329"/>
      <c r="BSN482" s="329"/>
      <c r="BSO482" s="329"/>
      <c r="BSP482" s="329"/>
      <c r="BSQ482" s="329"/>
      <c r="BSR482" s="329"/>
      <c r="BSS482" s="329"/>
      <c r="BST482" s="329"/>
      <c r="BSU482" s="329"/>
      <c r="BSV482" s="329"/>
      <c r="BSW482" s="329"/>
      <c r="BSX482" s="329"/>
      <c r="BSY482" s="329"/>
      <c r="BSZ482" s="329"/>
      <c r="BTA482" s="329"/>
      <c r="BTB482" s="329"/>
      <c r="BTC482" s="329"/>
      <c r="BTD482" s="329"/>
      <c r="BTE482" s="329"/>
      <c r="BTF482" s="329"/>
      <c r="BTG482" s="329"/>
      <c r="BTH482" s="329"/>
      <c r="BTI482" s="329"/>
      <c r="BTJ482" s="329"/>
      <c r="BTK482" s="329"/>
      <c r="BTL482" s="329"/>
      <c r="BTM482" s="329"/>
      <c r="BTN482" s="329"/>
      <c r="BTO482" s="329"/>
      <c r="BTP482" s="329"/>
      <c r="BTQ482" s="329"/>
      <c r="BTR482" s="329"/>
      <c r="BTS482" s="329"/>
      <c r="BTT482" s="329"/>
      <c r="BTU482" s="329"/>
      <c r="BTV482" s="329"/>
      <c r="BTW482" s="329"/>
      <c r="BTX482" s="329"/>
      <c r="BTY482" s="329"/>
      <c r="BTZ482" s="329"/>
      <c r="BUA482" s="329"/>
      <c r="BUB482" s="329"/>
      <c r="BUC482" s="329"/>
      <c r="BUD482" s="329"/>
      <c r="BUE482" s="329"/>
      <c r="BUF482" s="329"/>
      <c r="BUG482" s="329"/>
      <c r="BUH482" s="329"/>
      <c r="BUI482" s="329"/>
      <c r="BUJ482" s="329"/>
      <c r="BUK482" s="329"/>
      <c r="BUL482" s="329"/>
      <c r="BUM482" s="329"/>
      <c r="BUN482" s="329"/>
      <c r="BUO482" s="329"/>
      <c r="BUP482" s="329"/>
      <c r="BUQ482" s="329"/>
      <c r="BUR482" s="329"/>
      <c r="BUS482" s="329"/>
      <c r="BUT482" s="329"/>
      <c r="BUU482" s="329"/>
      <c r="BUV482" s="329"/>
      <c r="BUW482" s="329"/>
      <c r="BUX482" s="329"/>
      <c r="BUY482" s="329"/>
      <c r="BUZ482" s="329"/>
      <c r="BVA482" s="329"/>
      <c r="BVB482" s="329"/>
      <c r="BVC482" s="329"/>
      <c r="BVD482" s="329"/>
      <c r="BVE482" s="329"/>
      <c r="BVF482" s="329"/>
      <c r="BVG482" s="329"/>
      <c r="BVH482" s="329"/>
      <c r="BVI482" s="329"/>
      <c r="BVJ482" s="329"/>
      <c r="BVK482" s="329"/>
      <c r="BVL482" s="329"/>
      <c r="BVM482" s="329"/>
      <c r="BVN482" s="329"/>
      <c r="BVO482" s="329"/>
      <c r="BVP482" s="329"/>
      <c r="BVQ482" s="329"/>
      <c r="BVR482" s="329"/>
      <c r="BVS482" s="329"/>
      <c r="BVT482" s="329"/>
      <c r="BVU482" s="329"/>
      <c r="BVV482" s="329"/>
      <c r="BVW482" s="329"/>
      <c r="BVX482" s="329"/>
      <c r="BVY482" s="329"/>
      <c r="BVZ482" s="329"/>
      <c r="BWA482" s="329"/>
      <c r="BWB482" s="329"/>
      <c r="BWC482" s="329"/>
      <c r="BWD482" s="329"/>
      <c r="BWE482" s="329"/>
      <c r="BWF482" s="329"/>
      <c r="BWG482" s="329"/>
      <c r="BWH482" s="329"/>
      <c r="BWI482" s="329"/>
      <c r="BWJ482" s="329"/>
      <c r="BWK482" s="329"/>
      <c r="BWL482" s="329"/>
      <c r="BWM482" s="329"/>
      <c r="BWN482" s="329"/>
      <c r="BWO482" s="329"/>
      <c r="BWP482" s="329"/>
      <c r="BWQ482" s="329"/>
      <c r="BWR482" s="329"/>
      <c r="BWS482" s="329"/>
      <c r="BWT482" s="329"/>
      <c r="BWU482" s="329"/>
      <c r="BWV482" s="329"/>
      <c r="BWW482" s="329"/>
      <c r="BWX482" s="329"/>
      <c r="BWY482" s="329"/>
      <c r="BWZ482" s="329"/>
      <c r="BXA482" s="329"/>
      <c r="BXB482" s="329"/>
      <c r="BXC482" s="329"/>
      <c r="BXD482" s="329"/>
      <c r="BXE482" s="329"/>
      <c r="BXF482" s="329"/>
      <c r="BXG482" s="329"/>
      <c r="BXH482" s="329"/>
      <c r="BXI482" s="329"/>
      <c r="BXJ482" s="329"/>
      <c r="BXK482" s="329"/>
      <c r="BXL482" s="329"/>
      <c r="BXM482" s="329"/>
      <c r="BXN482" s="329"/>
      <c r="BXO482" s="329"/>
      <c r="BXP482" s="329"/>
      <c r="BXQ482" s="329"/>
      <c r="BXR482" s="329"/>
      <c r="BXS482" s="329"/>
      <c r="BXT482" s="329"/>
      <c r="BXU482" s="329"/>
      <c r="BXV482" s="329"/>
      <c r="BXW482" s="329"/>
      <c r="BXX482" s="329"/>
      <c r="BXY482" s="329"/>
      <c r="BXZ482" s="329"/>
      <c r="BYA482" s="329"/>
      <c r="BYB482" s="329"/>
      <c r="BYC482" s="329"/>
      <c r="BYD482" s="329"/>
      <c r="BYE482" s="329"/>
      <c r="BYF482" s="329"/>
      <c r="BYG482" s="329"/>
      <c r="BYH482" s="329"/>
      <c r="BYI482" s="329"/>
      <c r="BYJ482" s="329"/>
      <c r="BYK482" s="329"/>
      <c r="BYL482" s="329"/>
      <c r="BYM482" s="329"/>
      <c r="BYN482" s="329"/>
      <c r="BYO482" s="329"/>
      <c r="BYP482" s="329"/>
      <c r="BYQ482" s="329"/>
      <c r="BYR482" s="329"/>
      <c r="BYS482" s="329"/>
      <c r="BYT482" s="329"/>
      <c r="BYU482" s="329"/>
      <c r="BYV482" s="329"/>
      <c r="BYW482" s="329"/>
      <c r="BYX482" s="329"/>
      <c r="BYY482" s="329"/>
      <c r="BYZ482" s="329"/>
      <c r="BZA482" s="329"/>
      <c r="BZB482" s="329"/>
      <c r="BZC482" s="329"/>
      <c r="BZD482" s="329"/>
      <c r="BZE482" s="329"/>
      <c r="BZF482" s="329"/>
      <c r="BZG482" s="329"/>
      <c r="BZH482" s="329"/>
      <c r="BZI482" s="329"/>
      <c r="BZJ482" s="329"/>
      <c r="BZK482" s="329"/>
      <c r="BZL482" s="329"/>
      <c r="BZM482" s="329"/>
      <c r="BZN482" s="329"/>
      <c r="BZO482" s="329"/>
      <c r="BZP482" s="329"/>
      <c r="BZQ482" s="329"/>
      <c r="BZR482" s="329"/>
      <c r="BZS482" s="329"/>
      <c r="BZT482" s="329"/>
      <c r="BZU482" s="329"/>
      <c r="BZV482" s="329"/>
      <c r="BZW482" s="329"/>
      <c r="BZX482" s="329"/>
      <c r="BZY482" s="329"/>
      <c r="BZZ482" s="329"/>
      <c r="CAA482" s="329"/>
      <c r="CAB482" s="329"/>
      <c r="CAC482" s="329"/>
      <c r="CAD482" s="329"/>
      <c r="CAE482" s="329"/>
      <c r="CAF482" s="329"/>
      <c r="CAG482" s="329"/>
      <c r="CAH482" s="329"/>
      <c r="CAI482" s="329"/>
      <c r="CAJ482" s="329"/>
      <c r="CAK482" s="329"/>
      <c r="CAL482" s="329"/>
      <c r="CAM482" s="329"/>
      <c r="CAN482" s="329"/>
      <c r="CAO482" s="329"/>
      <c r="CAP482" s="329"/>
      <c r="CAQ482" s="329"/>
      <c r="CAR482" s="329"/>
      <c r="CAS482" s="329"/>
      <c r="CAT482" s="329"/>
      <c r="CAU482" s="329"/>
      <c r="CAV482" s="329"/>
      <c r="CAW482" s="329"/>
      <c r="CAX482" s="329"/>
      <c r="CAY482" s="329"/>
      <c r="CAZ482" s="329"/>
      <c r="CBA482" s="329"/>
      <c r="CBB482" s="329"/>
      <c r="CBC482" s="329"/>
      <c r="CBD482" s="329"/>
      <c r="CBE482" s="329"/>
      <c r="CBF482" s="329"/>
      <c r="CBG482" s="329"/>
      <c r="CBH482" s="329"/>
      <c r="CBI482" s="329"/>
      <c r="CBJ482" s="329"/>
      <c r="CBK482" s="329"/>
      <c r="CBL482" s="329"/>
      <c r="CBM482" s="329"/>
      <c r="CBN482" s="329"/>
      <c r="CBO482" s="329"/>
      <c r="CBP482" s="329"/>
      <c r="CBQ482" s="329"/>
      <c r="CBR482" s="329"/>
      <c r="CBS482" s="329"/>
      <c r="CBT482" s="329"/>
      <c r="CBU482" s="329"/>
      <c r="CBV482" s="329"/>
      <c r="CBW482" s="329"/>
      <c r="CBX482" s="329"/>
      <c r="CBY482" s="329"/>
      <c r="CBZ482" s="329"/>
      <c r="CCA482" s="329"/>
      <c r="CCB482" s="329"/>
      <c r="CCC482" s="329"/>
      <c r="CCD482" s="329"/>
      <c r="CCE482" s="329"/>
      <c r="CCF482" s="329"/>
      <c r="CCG482" s="329"/>
      <c r="CCH482" s="329"/>
      <c r="CCI482" s="329"/>
      <c r="CCJ482" s="329"/>
      <c r="CCK482" s="329"/>
      <c r="CCL482" s="329"/>
      <c r="CCM482" s="329"/>
      <c r="CCN482" s="329"/>
      <c r="CCO482" s="329"/>
      <c r="CCP482" s="329"/>
      <c r="CCQ482" s="329"/>
      <c r="CCR482" s="329"/>
      <c r="CCS482" s="329"/>
      <c r="CCT482" s="329"/>
      <c r="CCU482" s="329"/>
      <c r="CCV482" s="329"/>
      <c r="CCW482" s="329"/>
      <c r="CCX482" s="329"/>
      <c r="CCY482" s="329"/>
      <c r="CCZ482" s="329"/>
      <c r="CDA482" s="329"/>
      <c r="CDB482" s="329"/>
      <c r="CDC482" s="329"/>
      <c r="CDD482" s="329"/>
      <c r="CDE482" s="329"/>
      <c r="CDF482" s="329"/>
      <c r="CDG482" s="329"/>
      <c r="CDH482" s="329"/>
      <c r="CDI482" s="329"/>
      <c r="CDJ482" s="329"/>
      <c r="CDK482" s="329"/>
      <c r="CDL482" s="329"/>
      <c r="CDM482" s="329"/>
      <c r="CDN482" s="329"/>
      <c r="CDO482" s="329"/>
      <c r="CDP482" s="329"/>
      <c r="CDQ482" s="329"/>
      <c r="CDR482" s="329"/>
      <c r="CDS482" s="329"/>
      <c r="CDT482" s="329"/>
      <c r="CDU482" s="329"/>
      <c r="CDV482" s="329"/>
      <c r="CDW482" s="329"/>
      <c r="CDX482" s="329"/>
      <c r="CDY482" s="329"/>
      <c r="CDZ482" s="329"/>
      <c r="CEA482" s="329"/>
      <c r="CEB482" s="329"/>
      <c r="CEC482" s="329"/>
      <c r="CED482" s="329"/>
      <c r="CEE482" s="329"/>
      <c r="CEF482" s="329"/>
      <c r="CEG482" s="329"/>
      <c r="CEH482" s="329"/>
      <c r="CEI482" s="329"/>
      <c r="CEJ482" s="329"/>
      <c r="CEK482" s="329"/>
      <c r="CEL482" s="329"/>
      <c r="CEM482" s="329"/>
      <c r="CEN482" s="329"/>
      <c r="CEO482" s="329"/>
      <c r="CEP482" s="329"/>
      <c r="CEQ482" s="329"/>
      <c r="CER482" s="329"/>
      <c r="CES482" s="329"/>
      <c r="CET482" s="329"/>
      <c r="CEU482" s="329"/>
      <c r="CEV482" s="329"/>
      <c r="CEW482" s="329"/>
      <c r="CEX482" s="329"/>
      <c r="CEY482" s="329"/>
      <c r="CEZ482" s="329"/>
      <c r="CFA482" s="329"/>
      <c r="CFB482" s="329"/>
      <c r="CFC482" s="329"/>
      <c r="CFD482" s="329"/>
      <c r="CFE482" s="329"/>
      <c r="CFF482" s="329"/>
      <c r="CFG482" s="329"/>
      <c r="CFH482" s="329"/>
      <c r="CFI482" s="329"/>
      <c r="CFJ482" s="329"/>
      <c r="CFK482" s="329"/>
      <c r="CFL482" s="329"/>
      <c r="CFM482" s="329"/>
      <c r="CFN482" s="329"/>
      <c r="CFO482" s="329"/>
      <c r="CFP482" s="329"/>
      <c r="CFQ482" s="329"/>
      <c r="CFR482" s="329"/>
      <c r="CFS482" s="329"/>
      <c r="CFT482" s="329"/>
      <c r="CFU482" s="329"/>
      <c r="CFV482" s="329"/>
      <c r="CFW482" s="329"/>
      <c r="CFX482" s="329"/>
      <c r="CFY482" s="329"/>
      <c r="CFZ482" s="329"/>
      <c r="CGA482" s="329"/>
      <c r="CGB482" s="329"/>
      <c r="CGC482" s="329"/>
      <c r="CGD482" s="329"/>
      <c r="CGE482" s="329"/>
      <c r="CGF482" s="329"/>
      <c r="CGG482" s="329"/>
      <c r="CGH482" s="329"/>
      <c r="CGI482" s="329"/>
      <c r="CGJ482" s="329"/>
      <c r="CGK482" s="329"/>
      <c r="CGL482" s="329"/>
      <c r="CGM482" s="329"/>
      <c r="CGN482" s="329"/>
      <c r="CGO482" s="329"/>
      <c r="CGP482" s="329"/>
      <c r="CGQ482" s="329"/>
      <c r="CGR482" s="329"/>
      <c r="CGS482" s="329"/>
      <c r="CGT482" s="329"/>
      <c r="CGU482" s="329"/>
      <c r="CGV482" s="329"/>
      <c r="CGW482" s="329"/>
      <c r="CGX482" s="329"/>
      <c r="CGY482" s="329"/>
      <c r="CGZ482" s="329"/>
      <c r="CHA482" s="329"/>
      <c r="CHB482" s="329"/>
      <c r="CHC482" s="329"/>
      <c r="CHD482" s="329"/>
      <c r="CHE482" s="329"/>
      <c r="CHF482" s="329"/>
      <c r="CHG482" s="329"/>
      <c r="CHH482" s="329"/>
      <c r="CHI482" s="329"/>
      <c r="CHJ482" s="329"/>
      <c r="CHK482" s="329"/>
      <c r="CHL482" s="329"/>
      <c r="CHM482" s="329"/>
      <c r="CHN482" s="329"/>
      <c r="CHO482" s="329"/>
      <c r="CHP482" s="329"/>
      <c r="CHQ482" s="329"/>
      <c r="CHR482" s="329"/>
      <c r="CHS482" s="329"/>
      <c r="CHT482" s="329"/>
      <c r="CHU482" s="329"/>
      <c r="CHV482" s="329"/>
      <c r="CHW482" s="329"/>
      <c r="CHX482" s="329"/>
      <c r="CHY482" s="329"/>
      <c r="CHZ482" s="329"/>
      <c r="CIA482" s="329"/>
      <c r="CIB482" s="329"/>
      <c r="CIC482" s="329"/>
      <c r="CID482" s="329"/>
      <c r="CIE482" s="329"/>
      <c r="CIF482" s="329"/>
      <c r="CIG482" s="329"/>
      <c r="CIH482" s="329"/>
      <c r="CII482" s="329"/>
      <c r="CIJ482" s="329"/>
      <c r="CIK482" s="329"/>
      <c r="CIL482" s="329"/>
      <c r="CIM482" s="329"/>
      <c r="CIN482" s="329"/>
      <c r="CIO482" s="329"/>
      <c r="CIP482" s="329"/>
      <c r="CIQ482" s="329"/>
      <c r="CIR482" s="329"/>
      <c r="CIS482" s="329"/>
      <c r="CIT482" s="329"/>
      <c r="CIU482" s="329"/>
      <c r="CIV482" s="329"/>
      <c r="CIW482" s="329"/>
      <c r="CIX482" s="329"/>
      <c r="CIY482" s="329"/>
      <c r="CIZ482" s="329"/>
      <c r="CJA482" s="329"/>
      <c r="CJB482" s="329"/>
      <c r="CJC482" s="329"/>
      <c r="CJD482" s="329"/>
      <c r="CJE482" s="329"/>
      <c r="CJF482" s="329"/>
      <c r="CJG482" s="329"/>
      <c r="CJH482" s="329"/>
      <c r="CJI482" s="329"/>
      <c r="CJJ482" s="329"/>
      <c r="CJK482" s="329"/>
      <c r="CJL482" s="329"/>
      <c r="CJM482" s="329"/>
      <c r="CJN482" s="329"/>
      <c r="CJO482" s="329"/>
      <c r="CJP482" s="329"/>
      <c r="CJQ482" s="329"/>
      <c r="CJR482" s="329"/>
      <c r="CJS482" s="329"/>
      <c r="CJT482" s="329"/>
      <c r="CJU482" s="329"/>
      <c r="CJV482" s="329"/>
      <c r="CJW482" s="329"/>
      <c r="CJX482" s="329"/>
      <c r="CJY482" s="329"/>
      <c r="CJZ482" s="329"/>
      <c r="CKA482" s="329"/>
      <c r="CKB482" s="329"/>
      <c r="CKC482" s="329"/>
      <c r="CKD482" s="329"/>
      <c r="CKE482" s="329"/>
      <c r="CKF482" s="329"/>
      <c r="CKG482" s="329"/>
      <c r="CKH482" s="329"/>
      <c r="CKI482" s="329"/>
      <c r="CKJ482" s="329"/>
      <c r="CKK482" s="329"/>
      <c r="CKL482" s="329"/>
      <c r="CKM482" s="329"/>
      <c r="CKN482" s="329"/>
      <c r="CKO482" s="329"/>
      <c r="CKP482" s="329"/>
      <c r="CKQ482" s="329"/>
      <c r="CKR482" s="329"/>
      <c r="CKS482" s="329"/>
      <c r="CKT482" s="329"/>
      <c r="CKU482" s="329"/>
      <c r="CKV482" s="329"/>
      <c r="CKW482" s="329"/>
      <c r="CKX482" s="329"/>
      <c r="CKY482" s="329"/>
      <c r="CKZ482" s="329"/>
      <c r="CLA482" s="329"/>
      <c r="CLB482" s="329"/>
      <c r="CLC482" s="329"/>
      <c r="CLD482" s="329"/>
      <c r="CLE482" s="329"/>
      <c r="CLF482" s="329"/>
      <c r="CLG482" s="329"/>
      <c r="CLH482" s="329"/>
      <c r="CLI482" s="329"/>
      <c r="CLJ482" s="329"/>
      <c r="CLK482" s="329"/>
      <c r="CLL482" s="329"/>
      <c r="CLM482" s="329"/>
      <c r="CLN482" s="329"/>
      <c r="CLO482" s="329"/>
      <c r="CLP482" s="329"/>
      <c r="CLQ482" s="329"/>
      <c r="CLR482" s="329"/>
      <c r="CLS482" s="329"/>
      <c r="CLT482" s="329"/>
      <c r="CLU482" s="329"/>
      <c r="CLV482" s="329"/>
      <c r="CLW482" s="329"/>
      <c r="CLX482" s="329"/>
      <c r="CLY482" s="329"/>
      <c r="CLZ482" s="329"/>
      <c r="CMA482" s="329"/>
      <c r="CMB482" s="329"/>
      <c r="CMC482" s="329"/>
      <c r="CMD482" s="329"/>
      <c r="CME482" s="329"/>
      <c r="CMF482" s="329"/>
      <c r="CMG482" s="329"/>
      <c r="CMH482" s="329"/>
      <c r="CMI482" s="329"/>
      <c r="CMJ482" s="329"/>
      <c r="CMK482" s="329"/>
      <c r="CML482" s="329"/>
      <c r="CMM482" s="329"/>
      <c r="CMN482" s="329"/>
      <c r="CMO482" s="329"/>
      <c r="CMP482" s="329"/>
      <c r="CMQ482" s="329"/>
      <c r="CMR482" s="329"/>
      <c r="CMS482" s="329"/>
      <c r="CMT482" s="329"/>
      <c r="CMU482" s="329"/>
      <c r="CMV482" s="329"/>
      <c r="CMW482" s="329"/>
      <c r="CMX482" s="329"/>
      <c r="CMY482" s="329"/>
      <c r="CMZ482" s="329"/>
      <c r="CNA482" s="329"/>
      <c r="CNB482" s="329"/>
      <c r="CNC482" s="329"/>
      <c r="CND482" s="329"/>
      <c r="CNE482" s="329"/>
      <c r="CNF482" s="329"/>
      <c r="CNG482" s="329"/>
      <c r="CNH482" s="329"/>
      <c r="CNI482" s="329"/>
      <c r="CNJ482" s="329"/>
      <c r="CNK482" s="329"/>
      <c r="CNL482" s="329"/>
      <c r="CNM482" s="329"/>
      <c r="CNN482" s="329"/>
      <c r="CNO482" s="329"/>
      <c r="CNP482" s="329"/>
      <c r="CNQ482" s="329"/>
      <c r="CNR482" s="329"/>
      <c r="CNS482" s="329"/>
      <c r="CNT482" s="329"/>
      <c r="CNU482" s="329"/>
      <c r="CNV482" s="329"/>
      <c r="CNW482" s="329"/>
      <c r="CNX482" s="329"/>
      <c r="CNY482" s="329"/>
      <c r="CNZ482" s="329"/>
      <c r="COA482" s="329"/>
      <c r="COB482" s="329"/>
      <c r="COC482" s="329"/>
      <c r="COD482" s="329"/>
      <c r="COE482" s="329"/>
      <c r="COF482" s="329"/>
      <c r="COG482" s="329"/>
      <c r="COH482" s="329"/>
      <c r="COI482" s="329"/>
      <c r="COJ482" s="329"/>
      <c r="COK482" s="329"/>
      <c r="COL482" s="329"/>
      <c r="COM482" s="329"/>
      <c r="CON482" s="329"/>
      <c r="COO482" s="329"/>
      <c r="COP482" s="329"/>
      <c r="COQ482" s="329"/>
      <c r="COR482" s="329"/>
      <c r="COS482" s="329"/>
      <c r="COT482" s="329"/>
      <c r="COU482" s="329"/>
      <c r="COV482" s="329"/>
      <c r="COW482" s="329"/>
      <c r="COX482" s="329"/>
      <c r="COY482" s="329"/>
      <c r="COZ482" s="329"/>
      <c r="CPA482" s="329"/>
      <c r="CPB482" s="329"/>
      <c r="CPC482" s="329"/>
      <c r="CPD482" s="329"/>
      <c r="CPE482" s="329"/>
      <c r="CPF482" s="329"/>
      <c r="CPG482" s="329"/>
      <c r="CPH482" s="329"/>
      <c r="CPI482" s="329"/>
      <c r="CPJ482" s="329"/>
      <c r="CPK482" s="329"/>
      <c r="CPL482" s="329"/>
      <c r="CPM482" s="329"/>
      <c r="CPN482" s="329"/>
      <c r="CPO482" s="329"/>
      <c r="CPP482" s="329"/>
      <c r="CPQ482" s="329"/>
      <c r="CPR482" s="329"/>
      <c r="CPS482" s="329"/>
      <c r="CPT482" s="329"/>
      <c r="CPU482" s="329"/>
      <c r="CPV482" s="329"/>
      <c r="CPW482" s="329"/>
      <c r="CPX482" s="329"/>
      <c r="CPY482" s="329"/>
      <c r="CPZ482" s="329"/>
      <c r="CQA482" s="329"/>
      <c r="CQB482" s="329"/>
      <c r="CQC482" s="329"/>
      <c r="CQD482" s="329"/>
      <c r="CQE482" s="329"/>
      <c r="CQF482" s="329"/>
      <c r="CQG482" s="329"/>
      <c r="CQH482" s="329"/>
      <c r="CQI482" s="329"/>
      <c r="CQJ482" s="329"/>
      <c r="CQK482" s="329"/>
      <c r="CQL482" s="329"/>
      <c r="CQM482" s="329"/>
      <c r="CQN482" s="329"/>
      <c r="CQO482" s="329"/>
      <c r="CQP482" s="329"/>
      <c r="CQQ482" s="329"/>
      <c r="CQR482" s="329"/>
      <c r="CQS482" s="329"/>
      <c r="CQT482" s="329"/>
      <c r="CQU482" s="329"/>
      <c r="CQV482" s="329"/>
      <c r="CQW482" s="329"/>
      <c r="CQX482" s="329"/>
      <c r="CQY482" s="329"/>
      <c r="CQZ482" s="329"/>
      <c r="CRA482" s="329"/>
      <c r="CRB482" s="329"/>
      <c r="CRC482" s="329"/>
      <c r="CRD482" s="329"/>
      <c r="CRE482" s="329"/>
      <c r="CRF482" s="329"/>
      <c r="CRG482" s="329"/>
      <c r="CRH482" s="329"/>
      <c r="CRI482" s="329"/>
      <c r="CRJ482" s="329"/>
      <c r="CRK482" s="329"/>
      <c r="CRL482" s="329"/>
      <c r="CRM482" s="329"/>
      <c r="CRN482" s="329"/>
      <c r="CRO482" s="329"/>
      <c r="CRP482" s="329"/>
      <c r="CRQ482" s="329"/>
      <c r="CRR482" s="329"/>
      <c r="CRS482" s="329"/>
      <c r="CRT482" s="329"/>
      <c r="CRU482" s="329"/>
      <c r="CRV482" s="329"/>
      <c r="CRW482" s="329"/>
      <c r="CRX482" s="329"/>
      <c r="CRY482" s="329"/>
      <c r="CRZ482" s="329"/>
      <c r="CSA482" s="329"/>
      <c r="CSB482" s="329"/>
      <c r="CSC482" s="329"/>
      <c r="CSD482" s="329"/>
      <c r="CSE482" s="329"/>
      <c r="CSF482" s="329"/>
      <c r="CSG482" s="329"/>
      <c r="CSH482" s="329"/>
      <c r="CSI482" s="329"/>
      <c r="CSJ482" s="329"/>
      <c r="CSK482" s="329"/>
      <c r="CSL482" s="329"/>
      <c r="CSM482" s="329"/>
      <c r="CSN482" s="329"/>
      <c r="CSO482" s="329"/>
      <c r="CSP482" s="329"/>
      <c r="CSQ482" s="329"/>
      <c r="CSR482" s="329"/>
      <c r="CSS482" s="329"/>
      <c r="CST482" s="329"/>
      <c r="CSU482" s="329"/>
      <c r="CSV482" s="329"/>
      <c r="CSW482" s="329"/>
      <c r="CSX482" s="329"/>
      <c r="CSY482" s="329"/>
      <c r="CSZ482" s="329"/>
      <c r="CTA482" s="329"/>
      <c r="CTB482" s="329"/>
      <c r="CTC482" s="329"/>
      <c r="CTD482" s="329"/>
      <c r="CTE482" s="329"/>
      <c r="CTF482" s="329"/>
      <c r="CTG482" s="329"/>
      <c r="CTH482" s="329"/>
      <c r="CTI482" s="329"/>
      <c r="CTJ482" s="329"/>
      <c r="CTK482" s="329"/>
      <c r="CTL482" s="329"/>
      <c r="CTM482" s="329"/>
      <c r="CTN482" s="329"/>
      <c r="CTO482" s="329"/>
      <c r="CTP482" s="329"/>
      <c r="CTQ482" s="329"/>
      <c r="CTR482" s="329"/>
      <c r="CTS482" s="329"/>
      <c r="CTT482" s="329"/>
      <c r="CTU482" s="329"/>
      <c r="CTV482" s="329"/>
      <c r="CTW482" s="329"/>
      <c r="CTX482" s="329"/>
      <c r="CTY482" s="329"/>
      <c r="CTZ482" s="329"/>
      <c r="CUA482" s="329"/>
      <c r="CUB482" s="329"/>
      <c r="CUC482" s="329"/>
      <c r="CUD482" s="329"/>
      <c r="CUE482" s="329"/>
      <c r="CUF482" s="329"/>
      <c r="CUG482" s="329"/>
      <c r="CUH482" s="329"/>
      <c r="CUI482" s="329"/>
      <c r="CUJ482" s="329"/>
      <c r="CUK482" s="329"/>
      <c r="CUL482" s="329"/>
      <c r="CUM482" s="329"/>
      <c r="CUN482" s="329"/>
      <c r="CUO482" s="329"/>
      <c r="CUP482" s="329"/>
      <c r="CUQ482" s="329"/>
      <c r="CUR482" s="329"/>
      <c r="CUS482" s="329"/>
      <c r="CUT482" s="329"/>
      <c r="CUU482" s="329"/>
      <c r="CUV482" s="329"/>
      <c r="CUW482" s="329"/>
      <c r="CUX482" s="329"/>
      <c r="CUY482" s="329"/>
      <c r="CUZ482" s="329"/>
      <c r="CVA482" s="329"/>
      <c r="CVB482" s="329"/>
      <c r="CVC482" s="329"/>
      <c r="CVD482" s="329"/>
      <c r="CVE482" s="329"/>
      <c r="CVF482" s="329"/>
      <c r="CVG482" s="329"/>
      <c r="CVH482" s="329"/>
      <c r="CVI482" s="329"/>
      <c r="CVJ482" s="329"/>
      <c r="CVK482" s="329"/>
      <c r="CVL482" s="329"/>
      <c r="CVM482" s="329"/>
      <c r="CVN482" s="329"/>
      <c r="CVO482" s="329"/>
      <c r="CVP482" s="329"/>
      <c r="CVQ482" s="329"/>
      <c r="CVR482" s="329"/>
      <c r="CVS482" s="329"/>
      <c r="CVT482" s="329"/>
      <c r="CVU482" s="329"/>
      <c r="CVV482" s="329"/>
      <c r="CVW482" s="329"/>
      <c r="CVX482" s="329"/>
      <c r="CVY482" s="329"/>
      <c r="CVZ482" s="329"/>
      <c r="CWA482" s="329"/>
      <c r="CWB482" s="329"/>
      <c r="CWC482" s="329"/>
      <c r="CWD482" s="329"/>
      <c r="CWE482" s="329"/>
      <c r="CWF482" s="329"/>
      <c r="CWG482" s="329"/>
      <c r="CWH482" s="329"/>
      <c r="CWI482" s="329"/>
      <c r="CWJ482" s="329"/>
      <c r="CWK482" s="329"/>
      <c r="CWL482" s="329"/>
      <c r="CWM482" s="329"/>
      <c r="CWN482" s="329"/>
      <c r="CWO482" s="329"/>
      <c r="CWP482" s="329"/>
      <c r="CWQ482" s="329"/>
      <c r="CWR482" s="329"/>
      <c r="CWS482" s="329"/>
      <c r="CWT482" s="329"/>
      <c r="CWU482" s="329"/>
      <c r="CWV482" s="329"/>
      <c r="CWW482" s="329"/>
      <c r="CWX482" s="329"/>
      <c r="CWY482" s="329"/>
      <c r="CWZ482" s="329"/>
      <c r="CXA482" s="329"/>
      <c r="CXB482" s="329"/>
      <c r="CXC482" s="329"/>
      <c r="CXD482" s="329"/>
      <c r="CXE482" s="329"/>
      <c r="CXF482" s="329"/>
      <c r="CXG482" s="329"/>
      <c r="CXH482" s="329"/>
      <c r="CXI482" s="329"/>
      <c r="CXJ482" s="329"/>
      <c r="CXK482" s="329"/>
      <c r="CXL482" s="329"/>
      <c r="CXM482" s="329"/>
      <c r="CXN482" s="329"/>
      <c r="CXO482" s="329"/>
      <c r="CXP482" s="329"/>
      <c r="CXQ482" s="329"/>
      <c r="CXR482" s="329"/>
      <c r="CXS482" s="329"/>
      <c r="CXT482" s="329"/>
      <c r="CXU482" s="329"/>
      <c r="CXV482" s="329"/>
      <c r="CXW482" s="329"/>
      <c r="CXX482" s="329"/>
      <c r="CXY482" s="329"/>
      <c r="CXZ482" s="329"/>
      <c r="CYA482" s="329"/>
      <c r="CYB482" s="329"/>
      <c r="CYC482" s="329"/>
      <c r="CYD482" s="329"/>
      <c r="CYE482" s="329"/>
      <c r="CYF482" s="329"/>
      <c r="CYG482" s="329"/>
      <c r="CYH482" s="329"/>
      <c r="CYI482" s="329"/>
      <c r="CYJ482" s="329"/>
      <c r="CYK482" s="329"/>
      <c r="CYL482" s="329"/>
      <c r="CYM482" s="329"/>
      <c r="CYN482" s="329"/>
      <c r="CYO482" s="329"/>
      <c r="CYP482" s="329"/>
      <c r="CYQ482" s="329"/>
      <c r="CYR482" s="329"/>
      <c r="CYS482" s="329"/>
      <c r="CYT482" s="329"/>
      <c r="CYU482" s="329"/>
      <c r="CYV482" s="329"/>
      <c r="CYW482" s="329"/>
      <c r="CYX482" s="329"/>
      <c r="CYY482" s="329"/>
      <c r="CYZ482" s="329"/>
      <c r="CZA482" s="329"/>
      <c r="CZB482" s="329"/>
      <c r="CZC482" s="329"/>
      <c r="CZD482" s="329"/>
      <c r="CZE482" s="329"/>
      <c r="CZF482" s="329"/>
      <c r="CZG482" s="329"/>
      <c r="CZH482" s="329"/>
      <c r="CZI482" s="329"/>
      <c r="CZJ482" s="329"/>
      <c r="CZK482" s="329"/>
      <c r="CZL482" s="329"/>
      <c r="CZM482" s="329"/>
      <c r="CZN482" s="329"/>
      <c r="CZO482" s="329"/>
      <c r="CZP482" s="329"/>
      <c r="CZQ482" s="329"/>
      <c r="CZR482" s="329"/>
      <c r="CZS482" s="329"/>
      <c r="CZT482" s="329"/>
      <c r="CZU482" s="329"/>
      <c r="CZV482" s="329"/>
      <c r="CZW482" s="329"/>
      <c r="CZX482" s="329"/>
      <c r="CZY482" s="329"/>
      <c r="CZZ482" s="329"/>
      <c r="DAA482" s="329"/>
      <c r="DAB482" s="329"/>
      <c r="DAC482" s="329"/>
      <c r="DAD482" s="329"/>
      <c r="DAE482" s="329"/>
      <c r="DAF482" s="329"/>
      <c r="DAG482" s="329"/>
      <c r="DAH482" s="329"/>
      <c r="DAI482" s="329"/>
      <c r="DAJ482" s="329"/>
      <c r="DAK482" s="329"/>
      <c r="DAL482" s="329"/>
      <c r="DAM482" s="329"/>
      <c r="DAN482" s="329"/>
      <c r="DAO482" s="329"/>
      <c r="DAP482" s="329"/>
      <c r="DAQ482" s="329"/>
      <c r="DAR482" s="329"/>
      <c r="DAS482" s="329"/>
      <c r="DAT482" s="329"/>
      <c r="DAU482" s="329"/>
      <c r="DAV482" s="329"/>
      <c r="DAW482" s="329"/>
      <c r="DAX482" s="329"/>
      <c r="DAY482" s="329"/>
      <c r="DAZ482" s="329"/>
      <c r="DBA482" s="329"/>
      <c r="DBB482" s="329"/>
      <c r="DBC482" s="329"/>
      <c r="DBD482" s="329"/>
      <c r="DBE482" s="329"/>
      <c r="DBF482" s="329"/>
      <c r="DBG482" s="329"/>
      <c r="DBH482" s="329"/>
      <c r="DBI482" s="329"/>
      <c r="DBJ482" s="329"/>
      <c r="DBK482" s="329"/>
      <c r="DBL482" s="329"/>
      <c r="DBM482" s="329"/>
      <c r="DBN482" s="329"/>
      <c r="DBO482" s="329"/>
      <c r="DBP482" s="329"/>
      <c r="DBQ482" s="329"/>
      <c r="DBR482" s="329"/>
      <c r="DBS482" s="329"/>
      <c r="DBT482" s="329"/>
      <c r="DBU482" s="329"/>
      <c r="DBV482" s="329"/>
      <c r="DBW482" s="329"/>
      <c r="DBX482" s="329"/>
      <c r="DBY482" s="329"/>
      <c r="DBZ482" s="329"/>
      <c r="DCA482" s="329"/>
      <c r="DCB482" s="329"/>
      <c r="DCC482" s="329"/>
      <c r="DCD482" s="329"/>
      <c r="DCE482" s="329"/>
      <c r="DCF482" s="329"/>
      <c r="DCG482" s="329"/>
      <c r="DCH482" s="329"/>
      <c r="DCI482" s="329"/>
      <c r="DCJ482" s="329"/>
      <c r="DCK482" s="329"/>
      <c r="DCL482" s="329"/>
      <c r="DCM482" s="329"/>
      <c r="DCN482" s="329"/>
      <c r="DCO482" s="329"/>
      <c r="DCP482" s="329"/>
      <c r="DCQ482" s="329"/>
      <c r="DCR482" s="329"/>
      <c r="DCS482" s="329"/>
      <c r="DCT482" s="329"/>
      <c r="DCU482" s="329"/>
      <c r="DCV482" s="329"/>
      <c r="DCW482" s="329"/>
      <c r="DCX482" s="329"/>
      <c r="DCY482" s="329"/>
      <c r="DCZ482" s="329"/>
      <c r="DDA482" s="329"/>
      <c r="DDB482" s="329"/>
      <c r="DDC482" s="329"/>
      <c r="DDD482" s="329"/>
      <c r="DDE482" s="329"/>
      <c r="DDF482" s="329"/>
      <c r="DDG482" s="329"/>
      <c r="DDH482" s="329"/>
      <c r="DDI482" s="329"/>
      <c r="DDJ482" s="329"/>
      <c r="DDK482" s="329"/>
      <c r="DDL482" s="329"/>
      <c r="DDM482" s="329"/>
      <c r="DDN482" s="329"/>
      <c r="DDO482" s="329"/>
      <c r="DDP482" s="329"/>
      <c r="DDQ482" s="329"/>
      <c r="DDR482" s="329"/>
      <c r="DDS482" s="329"/>
      <c r="DDT482" s="329"/>
      <c r="DDU482" s="329"/>
      <c r="DDV482" s="329"/>
      <c r="DDW482" s="329"/>
      <c r="DDX482" s="329"/>
      <c r="DDY482" s="329"/>
      <c r="DDZ482" s="329"/>
      <c r="DEA482" s="329"/>
      <c r="DEB482" s="329"/>
      <c r="DEC482" s="329"/>
      <c r="DED482" s="329"/>
      <c r="DEE482" s="329"/>
      <c r="DEF482" s="329"/>
      <c r="DEG482" s="329"/>
      <c r="DEH482" s="329"/>
      <c r="DEI482" s="329"/>
      <c r="DEJ482" s="329"/>
      <c r="DEK482" s="329"/>
      <c r="DEL482" s="329"/>
      <c r="DEM482" s="329"/>
      <c r="DEN482" s="329"/>
      <c r="DEO482" s="329"/>
      <c r="DEP482" s="329"/>
      <c r="DEQ482" s="329"/>
      <c r="DER482" s="329"/>
      <c r="DES482" s="329"/>
      <c r="DET482" s="329"/>
      <c r="DEU482" s="329"/>
      <c r="DEV482" s="329"/>
      <c r="DEW482" s="329"/>
      <c r="DEX482" s="329"/>
      <c r="DEY482" s="329"/>
      <c r="DEZ482" s="329"/>
      <c r="DFA482" s="329"/>
      <c r="DFB482" s="329"/>
      <c r="DFC482" s="329"/>
      <c r="DFD482" s="329"/>
      <c r="DFE482" s="329"/>
      <c r="DFF482" s="329"/>
      <c r="DFG482" s="329"/>
      <c r="DFH482" s="329"/>
      <c r="DFI482" s="329"/>
      <c r="DFJ482" s="329"/>
      <c r="DFK482" s="329"/>
      <c r="DFL482" s="329"/>
      <c r="DFM482" s="329"/>
      <c r="DFN482" s="329"/>
      <c r="DFO482" s="329"/>
      <c r="DFP482" s="329"/>
      <c r="DFQ482" s="329"/>
      <c r="DFR482" s="329"/>
      <c r="DFS482" s="329"/>
      <c r="DFT482" s="329"/>
      <c r="DFU482" s="329"/>
      <c r="DFV482" s="329"/>
      <c r="DFW482" s="329"/>
      <c r="DFX482" s="329"/>
      <c r="DFY482" s="329"/>
      <c r="DFZ482" s="329"/>
      <c r="DGA482" s="329"/>
      <c r="DGB482" s="329"/>
      <c r="DGC482" s="329"/>
      <c r="DGD482" s="329"/>
      <c r="DGE482" s="329"/>
      <c r="DGF482" s="329"/>
      <c r="DGG482" s="329"/>
      <c r="DGH482" s="329"/>
      <c r="DGI482" s="329"/>
      <c r="DGJ482" s="329"/>
      <c r="DGK482" s="329"/>
      <c r="DGL482" s="329"/>
      <c r="DGM482" s="329"/>
      <c r="DGN482" s="329"/>
      <c r="DGO482" s="329"/>
      <c r="DGP482" s="329"/>
      <c r="DGQ482" s="329"/>
      <c r="DGR482" s="329"/>
      <c r="DGS482" s="329"/>
      <c r="DGT482" s="329"/>
      <c r="DGU482" s="329"/>
      <c r="DGV482" s="329"/>
      <c r="DGW482" s="329"/>
      <c r="DGX482" s="329"/>
      <c r="DGY482" s="329"/>
      <c r="DGZ482" s="329"/>
      <c r="DHA482" s="329"/>
      <c r="DHB482" s="329"/>
      <c r="DHC482" s="329"/>
      <c r="DHD482" s="329"/>
      <c r="DHE482" s="329"/>
      <c r="DHF482" s="329"/>
      <c r="DHG482" s="329"/>
      <c r="DHH482" s="329"/>
      <c r="DHI482" s="329"/>
      <c r="DHJ482" s="329"/>
      <c r="DHK482" s="329"/>
      <c r="DHL482" s="329"/>
      <c r="DHM482" s="329"/>
      <c r="DHN482" s="329"/>
      <c r="DHO482" s="329"/>
      <c r="DHP482" s="329"/>
      <c r="DHQ482" s="329"/>
      <c r="DHR482" s="329"/>
      <c r="DHS482" s="329"/>
      <c r="DHT482" s="329"/>
      <c r="DHU482" s="329"/>
      <c r="DHV482" s="329"/>
      <c r="DHW482" s="329"/>
      <c r="DHX482" s="329"/>
      <c r="DHY482" s="329"/>
      <c r="DHZ482" s="329"/>
      <c r="DIA482" s="329"/>
      <c r="DIB482" s="329"/>
      <c r="DIC482" s="329"/>
      <c r="DID482" s="329"/>
      <c r="DIE482" s="329"/>
      <c r="DIF482" s="329"/>
      <c r="DIG482" s="329"/>
      <c r="DIH482" s="329"/>
      <c r="DII482" s="329"/>
      <c r="DIJ482" s="329"/>
      <c r="DIK482" s="329"/>
      <c r="DIL482" s="329"/>
      <c r="DIM482" s="329"/>
      <c r="DIN482" s="329"/>
      <c r="DIO482" s="329"/>
      <c r="DIP482" s="329"/>
      <c r="DIQ482" s="329"/>
      <c r="DIR482" s="329"/>
      <c r="DIS482" s="329"/>
      <c r="DIT482" s="329"/>
      <c r="DIU482" s="329"/>
      <c r="DIV482" s="329"/>
      <c r="DIW482" s="329"/>
      <c r="DIX482" s="329"/>
      <c r="DIY482" s="329"/>
      <c r="DIZ482" s="329"/>
      <c r="DJA482" s="329"/>
      <c r="DJB482" s="329"/>
      <c r="DJC482" s="329"/>
      <c r="DJD482" s="329"/>
      <c r="DJE482" s="329"/>
      <c r="DJF482" s="329"/>
      <c r="DJG482" s="329"/>
      <c r="DJH482" s="329"/>
      <c r="DJI482" s="329"/>
      <c r="DJJ482" s="329"/>
      <c r="DJK482" s="329"/>
      <c r="DJL482" s="329"/>
      <c r="DJM482" s="329"/>
      <c r="DJN482" s="329"/>
      <c r="DJO482" s="329"/>
      <c r="DJP482" s="329"/>
      <c r="DJQ482" s="329"/>
      <c r="DJR482" s="329"/>
      <c r="DJS482" s="329"/>
      <c r="DJT482" s="329"/>
      <c r="DJU482" s="329"/>
      <c r="DJV482" s="329"/>
      <c r="DJW482" s="329"/>
      <c r="DJX482" s="329"/>
      <c r="DJY482" s="329"/>
      <c r="DJZ482" s="329"/>
      <c r="DKA482" s="329"/>
      <c r="DKB482" s="329"/>
      <c r="DKC482" s="329"/>
      <c r="DKD482" s="329"/>
      <c r="DKE482" s="329"/>
      <c r="DKF482" s="329"/>
      <c r="DKG482" s="329"/>
      <c r="DKH482" s="329"/>
      <c r="DKI482" s="329"/>
      <c r="DKJ482" s="329"/>
      <c r="DKK482" s="329"/>
      <c r="DKL482" s="329"/>
      <c r="DKM482" s="329"/>
      <c r="DKN482" s="329"/>
      <c r="DKO482" s="329"/>
      <c r="DKP482" s="329"/>
      <c r="DKQ482" s="329"/>
      <c r="DKR482" s="329"/>
      <c r="DKS482" s="329"/>
      <c r="DKT482" s="329"/>
      <c r="DKU482" s="329"/>
      <c r="DKV482" s="329"/>
      <c r="DKW482" s="329"/>
      <c r="DKX482" s="329"/>
      <c r="DKY482" s="329"/>
      <c r="DKZ482" s="329"/>
      <c r="DLA482" s="329"/>
      <c r="DLB482" s="329"/>
      <c r="DLC482" s="329"/>
      <c r="DLD482" s="329"/>
      <c r="DLE482" s="329"/>
      <c r="DLF482" s="329"/>
      <c r="DLG482" s="329"/>
      <c r="DLH482" s="329"/>
      <c r="DLI482" s="329"/>
      <c r="DLJ482" s="329"/>
      <c r="DLK482" s="329"/>
      <c r="DLL482" s="329"/>
      <c r="DLM482" s="329"/>
      <c r="DLN482" s="329"/>
      <c r="DLO482" s="329"/>
      <c r="DLP482" s="329"/>
      <c r="DLQ482" s="329"/>
      <c r="DLR482" s="329"/>
      <c r="DLS482" s="329"/>
      <c r="DLT482" s="329"/>
      <c r="DLU482" s="329"/>
      <c r="DLV482" s="329"/>
      <c r="DLW482" s="329"/>
      <c r="DLX482" s="329"/>
      <c r="DLY482" s="329"/>
      <c r="DLZ482" s="329"/>
      <c r="DMA482" s="329"/>
      <c r="DMB482" s="329"/>
      <c r="DMC482" s="329"/>
      <c r="DMD482" s="329"/>
      <c r="DME482" s="329"/>
      <c r="DMF482" s="329"/>
      <c r="DMG482" s="329"/>
      <c r="DMH482" s="329"/>
      <c r="DMI482" s="329"/>
      <c r="DMJ482" s="329"/>
      <c r="DMK482" s="329"/>
      <c r="DML482" s="329"/>
      <c r="DMM482" s="329"/>
      <c r="DMN482" s="329"/>
      <c r="DMO482" s="329"/>
      <c r="DMP482" s="329"/>
      <c r="DMQ482" s="329"/>
      <c r="DMR482" s="329"/>
      <c r="DMS482" s="329"/>
      <c r="DMT482" s="329"/>
      <c r="DMU482" s="329"/>
      <c r="DMV482" s="329"/>
      <c r="DMW482" s="329"/>
      <c r="DMX482" s="329"/>
      <c r="DMY482" s="329"/>
      <c r="DMZ482" s="329"/>
      <c r="DNA482" s="329"/>
      <c r="DNB482" s="329"/>
      <c r="DNC482" s="329"/>
      <c r="DND482" s="329"/>
      <c r="DNE482" s="329"/>
      <c r="DNF482" s="329"/>
      <c r="DNG482" s="329"/>
      <c r="DNH482" s="329"/>
      <c r="DNI482" s="329"/>
      <c r="DNJ482" s="329"/>
      <c r="DNK482" s="329"/>
      <c r="DNL482" s="329"/>
      <c r="DNM482" s="329"/>
      <c r="DNN482" s="329"/>
      <c r="DNO482" s="329"/>
      <c r="DNP482" s="329"/>
      <c r="DNQ482" s="329"/>
      <c r="DNR482" s="329"/>
      <c r="DNS482" s="329"/>
      <c r="DNT482" s="329"/>
      <c r="DNU482" s="329"/>
      <c r="DNV482" s="329"/>
      <c r="DNW482" s="329"/>
      <c r="DNX482" s="329"/>
      <c r="DNY482" s="329"/>
      <c r="DNZ482" s="329"/>
      <c r="DOA482" s="329"/>
      <c r="DOB482" s="329"/>
      <c r="DOC482" s="329"/>
      <c r="DOD482" s="329"/>
      <c r="DOE482" s="329"/>
      <c r="DOF482" s="329"/>
      <c r="DOG482" s="329"/>
      <c r="DOH482" s="329"/>
      <c r="DOI482" s="329"/>
      <c r="DOJ482" s="329"/>
      <c r="DOK482" s="329"/>
      <c r="DOL482" s="329"/>
      <c r="DOM482" s="329"/>
      <c r="DON482" s="329"/>
      <c r="DOO482" s="329"/>
      <c r="DOP482" s="329"/>
      <c r="DOQ482" s="329"/>
      <c r="DOR482" s="329"/>
      <c r="DOS482" s="329"/>
      <c r="DOT482" s="329"/>
      <c r="DOU482" s="329"/>
      <c r="DOV482" s="329"/>
      <c r="DOW482" s="329"/>
      <c r="DOX482" s="329"/>
      <c r="DOY482" s="329"/>
      <c r="DOZ482" s="329"/>
      <c r="DPA482" s="329"/>
      <c r="DPB482" s="329"/>
      <c r="DPC482" s="329"/>
      <c r="DPD482" s="329"/>
      <c r="DPE482" s="329"/>
      <c r="DPF482" s="329"/>
      <c r="DPG482" s="329"/>
      <c r="DPH482" s="329"/>
      <c r="DPI482" s="329"/>
      <c r="DPJ482" s="329"/>
      <c r="DPK482" s="329"/>
      <c r="DPL482" s="329"/>
      <c r="DPM482" s="329"/>
      <c r="DPN482" s="329"/>
      <c r="DPO482" s="329"/>
      <c r="DPP482" s="329"/>
      <c r="DPQ482" s="329"/>
      <c r="DPR482" s="329"/>
      <c r="DPS482" s="329"/>
      <c r="DPT482" s="329"/>
      <c r="DPU482" s="329"/>
      <c r="DPV482" s="329"/>
      <c r="DPW482" s="329"/>
      <c r="DPX482" s="329"/>
      <c r="DPY482" s="329"/>
      <c r="DPZ482" s="329"/>
      <c r="DQA482" s="329"/>
      <c r="DQB482" s="329"/>
      <c r="DQC482" s="329"/>
      <c r="DQD482" s="329"/>
      <c r="DQE482" s="329"/>
      <c r="DQF482" s="329"/>
      <c r="DQG482" s="329"/>
      <c r="DQH482" s="329"/>
      <c r="DQI482" s="329"/>
      <c r="DQJ482" s="329"/>
      <c r="DQK482" s="329"/>
      <c r="DQL482" s="329"/>
      <c r="DQM482" s="329"/>
      <c r="DQN482" s="329"/>
      <c r="DQO482" s="329"/>
      <c r="DQP482" s="329"/>
      <c r="DQQ482" s="329"/>
      <c r="DQR482" s="329"/>
      <c r="DQS482" s="329"/>
      <c r="DQT482" s="329"/>
      <c r="DQU482" s="329"/>
      <c r="DQV482" s="329"/>
      <c r="DQW482" s="329"/>
      <c r="DQX482" s="329"/>
      <c r="DQY482" s="329"/>
      <c r="DQZ482" s="329"/>
      <c r="DRA482" s="329"/>
      <c r="DRB482" s="329"/>
      <c r="DRC482" s="329"/>
      <c r="DRD482" s="329"/>
      <c r="DRE482" s="329"/>
      <c r="DRF482" s="329"/>
      <c r="DRG482" s="329"/>
      <c r="DRH482" s="329"/>
      <c r="DRI482" s="329"/>
      <c r="DRJ482" s="329"/>
      <c r="DRK482" s="329"/>
      <c r="DRL482" s="329"/>
      <c r="DRM482" s="329"/>
      <c r="DRN482" s="329"/>
      <c r="DRO482" s="329"/>
      <c r="DRP482" s="329"/>
      <c r="DRQ482" s="329"/>
      <c r="DRR482" s="329"/>
      <c r="DRS482" s="329"/>
      <c r="DRT482" s="329"/>
      <c r="DRU482" s="329"/>
      <c r="DRV482" s="329"/>
      <c r="DRW482" s="329"/>
      <c r="DRX482" s="329"/>
      <c r="DRY482" s="329"/>
      <c r="DRZ482" s="329"/>
      <c r="DSA482" s="329"/>
      <c r="DSB482" s="329"/>
      <c r="DSC482" s="329"/>
      <c r="DSD482" s="329"/>
      <c r="DSE482" s="329"/>
      <c r="DSF482" s="329"/>
      <c r="DSG482" s="329"/>
      <c r="DSH482" s="329"/>
      <c r="DSI482" s="329"/>
      <c r="DSJ482" s="329"/>
      <c r="DSK482" s="329"/>
      <c r="DSL482" s="329"/>
      <c r="DSM482" s="329"/>
      <c r="DSN482" s="329"/>
      <c r="DSO482" s="329"/>
      <c r="DSP482" s="329"/>
      <c r="DSQ482" s="329"/>
      <c r="DSR482" s="329"/>
      <c r="DSS482" s="329"/>
      <c r="DST482" s="329"/>
      <c r="DSU482" s="329"/>
      <c r="DSV482" s="329"/>
      <c r="DSW482" s="329"/>
      <c r="DSX482" s="329"/>
      <c r="DSY482" s="329"/>
      <c r="DSZ482" s="329"/>
      <c r="DTA482" s="329"/>
      <c r="DTB482" s="329"/>
      <c r="DTC482" s="329"/>
      <c r="DTD482" s="329"/>
      <c r="DTE482" s="329"/>
      <c r="DTF482" s="329"/>
      <c r="DTG482" s="329"/>
      <c r="DTH482" s="329"/>
      <c r="DTI482" s="329"/>
      <c r="DTJ482" s="329"/>
      <c r="DTK482" s="329"/>
      <c r="DTL482" s="329"/>
      <c r="DTM482" s="329"/>
      <c r="DTN482" s="329"/>
      <c r="DTO482" s="329"/>
      <c r="DTP482" s="329"/>
      <c r="DTQ482" s="329"/>
      <c r="DTR482" s="329"/>
      <c r="DTS482" s="329"/>
      <c r="DTT482" s="329"/>
      <c r="DTU482" s="329"/>
      <c r="DTV482" s="329"/>
      <c r="DTW482" s="329"/>
      <c r="DTX482" s="329"/>
      <c r="DTY482" s="329"/>
      <c r="DTZ482" s="329"/>
      <c r="DUA482" s="329"/>
      <c r="DUB482" s="329"/>
      <c r="DUC482" s="329"/>
      <c r="DUD482" s="329"/>
      <c r="DUE482" s="329"/>
      <c r="DUF482" s="329"/>
      <c r="DUG482" s="329"/>
      <c r="DUH482" s="329"/>
      <c r="DUI482" s="329"/>
      <c r="DUJ482" s="329"/>
      <c r="DUK482" s="329"/>
      <c r="DUL482" s="329"/>
      <c r="DUM482" s="329"/>
      <c r="DUN482" s="329"/>
      <c r="DUO482" s="329"/>
      <c r="DUP482" s="329"/>
      <c r="DUQ482" s="329"/>
      <c r="DUR482" s="329"/>
      <c r="DUS482" s="329"/>
      <c r="DUT482" s="329"/>
      <c r="DUU482" s="329"/>
      <c r="DUV482" s="329"/>
      <c r="DUW482" s="329"/>
      <c r="DUX482" s="329"/>
      <c r="DUY482" s="329"/>
      <c r="DUZ482" s="329"/>
      <c r="DVA482" s="329"/>
      <c r="DVB482" s="329"/>
      <c r="DVC482" s="329"/>
      <c r="DVD482" s="329"/>
      <c r="DVE482" s="329"/>
      <c r="DVF482" s="329"/>
      <c r="DVG482" s="329"/>
      <c r="DVH482" s="329"/>
      <c r="DVI482" s="329"/>
      <c r="DVJ482" s="329"/>
      <c r="DVK482" s="329"/>
      <c r="DVL482" s="329"/>
      <c r="DVM482" s="329"/>
      <c r="DVN482" s="329"/>
      <c r="DVO482" s="329"/>
      <c r="DVP482" s="329"/>
      <c r="DVQ482" s="329"/>
      <c r="DVR482" s="329"/>
      <c r="DVS482" s="329"/>
      <c r="DVT482" s="329"/>
      <c r="DVU482" s="329"/>
      <c r="DVV482" s="329"/>
      <c r="DVW482" s="329"/>
      <c r="DVX482" s="329"/>
      <c r="DVY482" s="329"/>
      <c r="DVZ482" s="329"/>
      <c r="DWA482" s="329"/>
      <c r="DWB482" s="329"/>
      <c r="DWC482" s="329"/>
      <c r="DWD482" s="329"/>
      <c r="DWE482" s="329"/>
      <c r="DWF482" s="329"/>
      <c r="DWG482" s="329"/>
      <c r="DWH482" s="329"/>
      <c r="DWI482" s="329"/>
      <c r="DWJ482" s="329"/>
      <c r="DWK482" s="329"/>
      <c r="DWL482" s="329"/>
      <c r="DWM482" s="329"/>
      <c r="DWN482" s="329"/>
      <c r="DWO482" s="329"/>
      <c r="DWP482" s="329"/>
      <c r="DWQ482" s="329"/>
      <c r="DWR482" s="329"/>
      <c r="DWS482" s="329"/>
      <c r="DWT482" s="329"/>
      <c r="DWU482" s="329"/>
      <c r="DWV482" s="329"/>
      <c r="DWW482" s="329"/>
      <c r="DWX482" s="329"/>
      <c r="DWY482" s="329"/>
      <c r="DWZ482" s="329"/>
      <c r="DXA482" s="329"/>
      <c r="DXB482" s="329"/>
      <c r="DXC482" s="329"/>
      <c r="DXD482" s="329"/>
      <c r="DXE482" s="329"/>
      <c r="DXF482" s="329"/>
      <c r="DXG482" s="329"/>
      <c r="DXH482" s="329"/>
      <c r="DXI482" s="329"/>
      <c r="DXJ482" s="329"/>
      <c r="DXK482" s="329"/>
      <c r="DXL482" s="329"/>
      <c r="DXM482" s="329"/>
      <c r="DXN482" s="329"/>
      <c r="DXO482" s="329"/>
      <c r="DXP482" s="329"/>
      <c r="DXQ482" s="329"/>
      <c r="DXR482" s="329"/>
      <c r="DXS482" s="329"/>
      <c r="DXT482" s="329"/>
      <c r="DXU482" s="329"/>
      <c r="DXV482" s="329"/>
      <c r="DXW482" s="329"/>
      <c r="DXX482" s="329"/>
      <c r="DXY482" s="329"/>
      <c r="DXZ482" s="329"/>
      <c r="DYA482" s="329"/>
      <c r="DYB482" s="329"/>
      <c r="DYC482" s="329"/>
      <c r="DYD482" s="329"/>
      <c r="DYE482" s="329"/>
      <c r="DYF482" s="329"/>
      <c r="DYG482" s="329"/>
      <c r="DYH482" s="329"/>
      <c r="DYI482" s="329"/>
      <c r="DYJ482" s="329"/>
      <c r="DYK482" s="329"/>
      <c r="DYL482" s="329"/>
      <c r="DYM482" s="329"/>
      <c r="DYN482" s="329"/>
      <c r="DYO482" s="329"/>
      <c r="DYP482" s="329"/>
      <c r="DYQ482" s="329"/>
      <c r="DYR482" s="329"/>
      <c r="DYS482" s="329"/>
      <c r="DYT482" s="329"/>
      <c r="DYU482" s="329"/>
      <c r="DYV482" s="329"/>
      <c r="DYW482" s="329"/>
      <c r="DYX482" s="329"/>
      <c r="DYY482" s="329"/>
      <c r="DYZ482" s="329"/>
      <c r="DZA482" s="329"/>
      <c r="DZB482" s="329"/>
      <c r="DZC482" s="329"/>
      <c r="DZD482" s="329"/>
      <c r="DZE482" s="329"/>
      <c r="DZF482" s="329"/>
      <c r="DZG482" s="329"/>
      <c r="DZH482" s="329"/>
      <c r="DZI482" s="329"/>
      <c r="DZJ482" s="329"/>
      <c r="DZK482" s="329"/>
      <c r="DZL482" s="329"/>
      <c r="DZM482" s="329"/>
      <c r="DZN482" s="329"/>
      <c r="DZO482" s="329"/>
      <c r="DZP482" s="329"/>
      <c r="DZQ482" s="329"/>
      <c r="DZR482" s="329"/>
      <c r="DZS482" s="329"/>
      <c r="DZT482" s="329"/>
      <c r="DZU482" s="329"/>
      <c r="DZV482" s="329"/>
      <c r="DZW482" s="329"/>
      <c r="DZX482" s="329"/>
      <c r="DZY482" s="329"/>
      <c r="DZZ482" s="329"/>
      <c r="EAA482" s="329"/>
      <c r="EAB482" s="329"/>
      <c r="EAC482" s="329"/>
      <c r="EAD482" s="329"/>
      <c r="EAE482" s="329"/>
      <c r="EAF482" s="329"/>
      <c r="EAG482" s="329"/>
      <c r="EAH482" s="329"/>
      <c r="EAI482" s="329"/>
      <c r="EAJ482" s="329"/>
      <c r="EAK482" s="329"/>
      <c r="EAL482" s="329"/>
      <c r="EAM482" s="329"/>
      <c r="EAN482" s="329"/>
      <c r="EAO482" s="329"/>
      <c r="EAP482" s="329"/>
      <c r="EAQ482" s="329"/>
      <c r="EAR482" s="329"/>
      <c r="EAS482" s="329"/>
      <c r="EAT482" s="329"/>
      <c r="EAU482" s="329"/>
      <c r="EAV482" s="329"/>
      <c r="EAW482" s="329"/>
      <c r="EAX482" s="329"/>
      <c r="EAY482" s="329"/>
      <c r="EAZ482" s="329"/>
      <c r="EBA482" s="329"/>
      <c r="EBB482" s="329"/>
      <c r="EBC482" s="329"/>
      <c r="EBD482" s="329"/>
      <c r="EBE482" s="329"/>
      <c r="EBF482" s="329"/>
      <c r="EBG482" s="329"/>
      <c r="EBH482" s="329"/>
      <c r="EBI482" s="329"/>
      <c r="EBJ482" s="329"/>
      <c r="EBK482" s="329"/>
      <c r="EBL482" s="329"/>
      <c r="EBM482" s="329"/>
      <c r="EBN482" s="329"/>
      <c r="EBO482" s="329"/>
      <c r="EBP482" s="329"/>
      <c r="EBQ482" s="329"/>
      <c r="EBR482" s="329"/>
      <c r="EBS482" s="329"/>
      <c r="EBT482" s="329"/>
      <c r="EBU482" s="329"/>
      <c r="EBV482" s="329"/>
      <c r="EBW482" s="329"/>
      <c r="EBX482" s="329"/>
      <c r="EBY482" s="329"/>
      <c r="EBZ482" s="329"/>
      <c r="ECA482" s="329"/>
      <c r="ECB482" s="329"/>
      <c r="ECC482" s="329"/>
      <c r="ECD482" s="329"/>
      <c r="ECE482" s="329"/>
      <c r="ECF482" s="329"/>
      <c r="ECG482" s="329"/>
      <c r="ECH482" s="329"/>
      <c r="ECI482" s="329"/>
      <c r="ECJ482" s="329"/>
      <c r="ECK482" s="329"/>
      <c r="ECL482" s="329"/>
      <c r="ECM482" s="329"/>
      <c r="ECN482" s="329"/>
      <c r="ECO482" s="329"/>
      <c r="ECP482" s="329"/>
      <c r="ECQ482" s="329"/>
      <c r="ECR482" s="329"/>
      <c r="ECS482" s="329"/>
      <c r="ECT482" s="329"/>
      <c r="ECU482" s="329"/>
      <c r="ECV482" s="329"/>
      <c r="ECW482" s="329"/>
      <c r="ECX482" s="329"/>
      <c r="ECY482" s="329"/>
      <c r="ECZ482" s="329"/>
      <c r="EDA482" s="329"/>
      <c r="EDB482" s="329"/>
      <c r="EDC482" s="329"/>
      <c r="EDD482" s="329"/>
      <c r="EDE482" s="329"/>
      <c r="EDF482" s="329"/>
      <c r="EDG482" s="329"/>
      <c r="EDH482" s="329"/>
      <c r="EDI482" s="329"/>
      <c r="EDJ482" s="329"/>
      <c r="EDK482" s="329"/>
      <c r="EDL482" s="329"/>
      <c r="EDM482" s="329"/>
      <c r="EDN482" s="329"/>
      <c r="EDO482" s="329"/>
      <c r="EDP482" s="329"/>
      <c r="EDQ482" s="329"/>
      <c r="EDR482" s="329"/>
      <c r="EDS482" s="329"/>
      <c r="EDT482" s="329"/>
      <c r="EDU482" s="329"/>
      <c r="EDV482" s="329"/>
      <c r="EDW482" s="329"/>
      <c r="EDX482" s="329"/>
      <c r="EDY482" s="329"/>
      <c r="EDZ482" s="329"/>
      <c r="EEA482" s="329"/>
      <c r="EEB482" s="329"/>
      <c r="EEC482" s="329"/>
      <c r="EED482" s="329"/>
      <c r="EEE482" s="329"/>
      <c r="EEF482" s="329"/>
      <c r="EEG482" s="329"/>
      <c r="EEH482" s="329"/>
      <c r="EEI482" s="329"/>
      <c r="EEJ482" s="329"/>
      <c r="EEK482" s="329"/>
      <c r="EEL482" s="329"/>
      <c r="EEM482" s="329"/>
      <c r="EEN482" s="329"/>
      <c r="EEO482" s="329"/>
      <c r="EEP482" s="329"/>
      <c r="EEQ482" s="329"/>
      <c r="EER482" s="329"/>
      <c r="EES482" s="329"/>
      <c r="EET482" s="329"/>
      <c r="EEU482" s="329"/>
      <c r="EEV482" s="329"/>
      <c r="EEW482" s="329"/>
      <c r="EEX482" s="329"/>
      <c r="EEY482" s="329"/>
      <c r="EEZ482" s="329"/>
      <c r="EFA482" s="329"/>
      <c r="EFB482" s="329"/>
      <c r="EFC482" s="329"/>
      <c r="EFD482" s="329"/>
      <c r="EFE482" s="329"/>
      <c r="EFF482" s="329"/>
      <c r="EFG482" s="329"/>
      <c r="EFH482" s="329"/>
      <c r="EFI482" s="329"/>
      <c r="EFJ482" s="329"/>
      <c r="EFK482" s="329"/>
      <c r="EFL482" s="329"/>
      <c r="EFM482" s="329"/>
      <c r="EFN482" s="329"/>
      <c r="EFO482" s="329"/>
      <c r="EFP482" s="329"/>
      <c r="EFQ482" s="329"/>
      <c r="EFR482" s="329"/>
      <c r="EFS482" s="329"/>
      <c r="EFT482" s="329"/>
      <c r="EFU482" s="329"/>
      <c r="EFV482" s="329"/>
      <c r="EFW482" s="329"/>
      <c r="EFX482" s="329"/>
      <c r="EFY482" s="329"/>
      <c r="EFZ482" s="329"/>
      <c r="EGA482" s="329"/>
      <c r="EGB482" s="329"/>
      <c r="EGC482" s="329"/>
      <c r="EGD482" s="329"/>
      <c r="EGE482" s="329"/>
      <c r="EGF482" s="329"/>
      <c r="EGG482" s="329"/>
      <c r="EGH482" s="329"/>
      <c r="EGI482" s="329"/>
      <c r="EGJ482" s="329"/>
      <c r="EGK482" s="329"/>
      <c r="EGL482" s="329"/>
      <c r="EGM482" s="329"/>
      <c r="EGN482" s="329"/>
      <c r="EGO482" s="329"/>
      <c r="EGP482" s="329"/>
      <c r="EGQ482" s="329"/>
      <c r="EGR482" s="329"/>
      <c r="EGS482" s="329"/>
      <c r="EGT482" s="329"/>
      <c r="EGU482" s="329"/>
      <c r="EGV482" s="329"/>
      <c r="EGW482" s="329"/>
      <c r="EGX482" s="329"/>
      <c r="EGY482" s="329"/>
      <c r="EGZ482" s="329"/>
      <c r="EHA482" s="329"/>
      <c r="EHB482" s="329"/>
      <c r="EHC482" s="329"/>
      <c r="EHD482" s="329"/>
      <c r="EHE482" s="329"/>
      <c r="EHF482" s="329"/>
      <c r="EHG482" s="329"/>
      <c r="EHH482" s="329"/>
      <c r="EHI482" s="329"/>
      <c r="EHJ482" s="329"/>
      <c r="EHK482" s="329"/>
      <c r="EHL482" s="329"/>
      <c r="EHM482" s="329"/>
      <c r="EHN482" s="329"/>
      <c r="EHO482" s="329"/>
      <c r="EHP482" s="329"/>
      <c r="EHQ482" s="329"/>
      <c r="EHR482" s="329"/>
      <c r="EHS482" s="329"/>
      <c r="EHT482" s="329"/>
      <c r="EHU482" s="329"/>
      <c r="EHV482" s="329"/>
      <c r="EHW482" s="329"/>
      <c r="EHX482" s="329"/>
      <c r="EHY482" s="329"/>
      <c r="EHZ482" s="329"/>
      <c r="EIA482" s="329"/>
      <c r="EIB482" s="329"/>
      <c r="EIC482" s="329"/>
      <c r="EID482" s="329"/>
      <c r="EIE482" s="329"/>
      <c r="EIF482" s="329"/>
      <c r="EIG482" s="329"/>
      <c r="EIH482" s="329"/>
      <c r="EII482" s="329"/>
      <c r="EIJ482" s="329"/>
      <c r="EIK482" s="329"/>
      <c r="EIL482" s="329"/>
      <c r="EIM482" s="329"/>
      <c r="EIN482" s="329"/>
      <c r="EIO482" s="329"/>
      <c r="EIP482" s="329"/>
      <c r="EIQ482" s="329"/>
      <c r="EIR482" s="329"/>
      <c r="EIS482" s="329"/>
      <c r="EIT482" s="329"/>
      <c r="EIU482" s="329"/>
      <c r="EIV482" s="329"/>
      <c r="EIW482" s="329"/>
      <c r="EIX482" s="329"/>
      <c r="EIY482" s="329"/>
      <c r="EIZ482" s="329"/>
      <c r="EJA482" s="329"/>
      <c r="EJB482" s="329"/>
      <c r="EJC482" s="329"/>
      <c r="EJD482" s="329"/>
      <c r="EJE482" s="329"/>
      <c r="EJF482" s="329"/>
      <c r="EJG482" s="329"/>
      <c r="EJH482" s="329"/>
      <c r="EJI482" s="329"/>
      <c r="EJJ482" s="329"/>
      <c r="EJK482" s="329"/>
      <c r="EJL482" s="329"/>
      <c r="EJM482" s="329"/>
      <c r="EJN482" s="329"/>
      <c r="EJO482" s="329"/>
      <c r="EJP482" s="329"/>
      <c r="EJQ482" s="329"/>
      <c r="EJR482" s="329"/>
      <c r="EJS482" s="329"/>
      <c r="EJT482" s="329"/>
      <c r="EJU482" s="329"/>
      <c r="EJV482" s="329"/>
      <c r="EJW482" s="329"/>
      <c r="EJX482" s="329"/>
      <c r="EJY482" s="329"/>
      <c r="EJZ482" s="329"/>
      <c r="EKA482" s="329"/>
      <c r="EKB482" s="329"/>
      <c r="EKC482" s="329"/>
      <c r="EKD482" s="329"/>
      <c r="EKE482" s="329"/>
      <c r="EKF482" s="329"/>
      <c r="EKG482" s="329"/>
      <c r="EKH482" s="329"/>
      <c r="EKI482" s="329"/>
      <c r="EKJ482" s="329"/>
      <c r="EKK482" s="329"/>
      <c r="EKL482" s="329"/>
      <c r="EKM482" s="329"/>
      <c r="EKN482" s="329"/>
      <c r="EKO482" s="329"/>
      <c r="EKP482" s="329"/>
      <c r="EKQ482" s="329"/>
      <c r="EKR482" s="329"/>
      <c r="EKS482" s="329"/>
      <c r="EKT482" s="329"/>
      <c r="EKU482" s="329"/>
      <c r="EKV482" s="329"/>
      <c r="EKW482" s="329"/>
      <c r="EKX482" s="329"/>
      <c r="EKY482" s="329"/>
      <c r="EKZ482" s="329"/>
      <c r="ELA482" s="329"/>
      <c r="ELB482" s="329"/>
      <c r="ELC482" s="329"/>
      <c r="ELD482" s="329"/>
      <c r="ELE482" s="329"/>
      <c r="ELF482" s="329"/>
      <c r="ELG482" s="329"/>
      <c r="ELH482" s="329"/>
      <c r="ELI482" s="329"/>
      <c r="ELJ482" s="329"/>
      <c r="ELK482" s="329"/>
      <c r="ELL482" s="329"/>
      <c r="ELM482" s="329"/>
      <c r="ELN482" s="329"/>
      <c r="ELO482" s="329"/>
      <c r="ELP482" s="329"/>
      <c r="ELQ482" s="329"/>
      <c r="ELR482" s="329"/>
      <c r="ELS482" s="329"/>
      <c r="ELT482" s="329"/>
      <c r="ELU482" s="329"/>
      <c r="ELV482" s="329"/>
      <c r="ELW482" s="329"/>
      <c r="ELX482" s="329"/>
      <c r="ELY482" s="329"/>
      <c r="ELZ482" s="329"/>
      <c r="EMA482" s="329"/>
      <c r="EMB482" s="329"/>
      <c r="EMC482" s="329"/>
      <c r="EMD482" s="329"/>
      <c r="EME482" s="329"/>
      <c r="EMF482" s="329"/>
      <c r="EMG482" s="329"/>
      <c r="EMH482" s="329"/>
      <c r="EMI482" s="329"/>
      <c r="EMJ482" s="329"/>
      <c r="EMK482" s="329"/>
      <c r="EML482" s="329"/>
      <c r="EMM482" s="329"/>
      <c r="EMN482" s="329"/>
      <c r="EMO482" s="329"/>
      <c r="EMP482" s="329"/>
      <c r="EMQ482" s="329"/>
      <c r="EMR482" s="329"/>
      <c r="EMS482" s="329"/>
      <c r="EMT482" s="329"/>
      <c r="EMU482" s="329"/>
      <c r="EMV482" s="329"/>
      <c r="EMW482" s="329"/>
      <c r="EMX482" s="329"/>
      <c r="EMY482" s="329"/>
      <c r="EMZ482" s="329"/>
      <c r="ENA482" s="329"/>
      <c r="ENB482" s="329"/>
      <c r="ENC482" s="329"/>
      <c r="END482" s="329"/>
      <c r="ENE482" s="329"/>
      <c r="ENF482" s="329"/>
      <c r="ENG482" s="329"/>
      <c r="ENH482" s="329"/>
      <c r="ENI482" s="329"/>
      <c r="ENJ482" s="329"/>
      <c r="ENK482" s="329"/>
      <c r="ENL482" s="329"/>
      <c r="ENM482" s="329"/>
      <c r="ENN482" s="329"/>
      <c r="ENO482" s="329"/>
      <c r="ENP482" s="329"/>
      <c r="ENQ482" s="329"/>
      <c r="ENR482" s="329"/>
      <c r="ENS482" s="329"/>
      <c r="ENT482" s="329"/>
      <c r="ENU482" s="329"/>
      <c r="ENV482" s="329"/>
      <c r="ENW482" s="329"/>
      <c r="ENX482" s="329"/>
      <c r="ENY482" s="329"/>
      <c r="ENZ482" s="329"/>
      <c r="EOA482" s="329"/>
      <c r="EOB482" s="329"/>
      <c r="EOC482" s="329"/>
      <c r="EOD482" s="329"/>
      <c r="EOE482" s="329"/>
      <c r="EOF482" s="329"/>
      <c r="EOG482" s="329"/>
      <c r="EOH482" s="329"/>
      <c r="EOI482" s="329"/>
      <c r="EOJ482" s="329"/>
      <c r="EOK482" s="329"/>
      <c r="EOL482" s="329"/>
      <c r="EOM482" s="329"/>
      <c r="EON482" s="329"/>
      <c r="EOO482" s="329"/>
      <c r="EOP482" s="329"/>
      <c r="EOQ482" s="329"/>
      <c r="EOR482" s="329"/>
      <c r="EOS482" s="329"/>
      <c r="EOT482" s="329"/>
      <c r="EOU482" s="329"/>
      <c r="EOV482" s="329"/>
      <c r="EOW482" s="329"/>
      <c r="EOX482" s="329"/>
      <c r="EOY482" s="329"/>
      <c r="EOZ482" s="329"/>
      <c r="EPA482" s="329"/>
      <c r="EPB482" s="329"/>
      <c r="EPC482" s="329"/>
      <c r="EPD482" s="329"/>
      <c r="EPE482" s="329"/>
      <c r="EPF482" s="329"/>
      <c r="EPG482" s="329"/>
      <c r="EPH482" s="329"/>
      <c r="EPI482" s="329"/>
      <c r="EPJ482" s="329"/>
      <c r="EPK482" s="329"/>
      <c r="EPL482" s="329"/>
      <c r="EPM482" s="329"/>
      <c r="EPN482" s="329"/>
      <c r="EPO482" s="329"/>
      <c r="EPP482" s="329"/>
      <c r="EPQ482" s="329"/>
      <c r="EPR482" s="329"/>
      <c r="EPS482" s="329"/>
      <c r="EPT482" s="329"/>
      <c r="EPU482" s="329"/>
      <c r="EPV482" s="329"/>
      <c r="EPW482" s="329"/>
      <c r="EPX482" s="329"/>
      <c r="EPY482" s="329"/>
      <c r="EPZ482" s="329"/>
      <c r="EQA482" s="329"/>
      <c r="EQB482" s="329"/>
      <c r="EQC482" s="329"/>
      <c r="EQD482" s="329"/>
      <c r="EQE482" s="329"/>
      <c r="EQF482" s="329"/>
      <c r="EQG482" s="329"/>
      <c r="EQH482" s="329"/>
      <c r="EQI482" s="329"/>
      <c r="EQJ482" s="329"/>
      <c r="EQK482" s="329"/>
      <c r="EQL482" s="329"/>
      <c r="EQM482" s="329"/>
      <c r="EQN482" s="329"/>
      <c r="EQO482" s="329"/>
      <c r="EQP482" s="329"/>
      <c r="EQQ482" s="329"/>
      <c r="EQR482" s="329"/>
      <c r="EQS482" s="329"/>
      <c r="EQT482" s="329"/>
      <c r="EQU482" s="329"/>
      <c r="EQV482" s="329"/>
      <c r="EQW482" s="329"/>
      <c r="EQX482" s="329"/>
      <c r="EQY482" s="329"/>
      <c r="EQZ482" s="329"/>
      <c r="ERA482" s="329"/>
      <c r="ERB482" s="329"/>
      <c r="ERC482" s="329"/>
      <c r="ERD482" s="329"/>
      <c r="ERE482" s="329"/>
      <c r="ERF482" s="329"/>
      <c r="ERG482" s="329"/>
      <c r="ERH482" s="329"/>
      <c r="ERI482" s="329"/>
      <c r="ERJ482" s="329"/>
      <c r="ERK482" s="329"/>
      <c r="ERL482" s="329"/>
      <c r="ERM482" s="329"/>
      <c r="ERN482" s="329"/>
      <c r="ERO482" s="329"/>
      <c r="ERP482" s="329"/>
      <c r="ERQ482" s="329"/>
      <c r="ERR482" s="329"/>
      <c r="ERS482" s="329"/>
      <c r="ERT482" s="329"/>
      <c r="ERU482" s="329"/>
      <c r="ERV482" s="329"/>
      <c r="ERW482" s="329"/>
      <c r="ERX482" s="329"/>
      <c r="ERY482" s="329"/>
      <c r="ERZ482" s="329"/>
      <c r="ESA482" s="329"/>
      <c r="ESB482" s="329"/>
      <c r="ESC482" s="329"/>
      <c r="ESD482" s="329"/>
      <c r="ESE482" s="329"/>
      <c r="ESF482" s="329"/>
      <c r="ESG482" s="329"/>
      <c r="ESH482" s="329"/>
      <c r="ESI482" s="329"/>
      <c r="ESJ482" s="329"/>
      <c r="ESK482" s="329"/>
      <c r="ESL482" s="329"/>
      <c r="ESM482" s="329"/>
      <c r="ESN482" s="329"/>
      <c r="ESO482" s="329"/>
      <c r="ESP482" s="329"/>
      <c r="ESQ482" s="329"/>
      <c r="ESR482" s="329"/>
      <c r="ESS482" s="329"/>
      <c r="EST482" s="329"/>
      <c r="ESU482" s="329"/>
      <c r="ESV482" s="329"/>
      <c r="ESW482" s="329"/>
      <c r="ESX482" s="329"/>
      <c r="ESY482" s="329"/>
      <c r="ESZ482" s="329"/>
      <c r="ETA482" s="329"/>
      <c r="ETB482" s="329"/>
      <c r="ETC482" s="329"/>
      <c r="ETD482" s="329"/>
      <c r="ETE482" s="329"/>
      <c r="ETF482" s="329"/>
      <c r="ETG482" s="329"/>
      <c r="ETH482" s="329"/>
      <c r="ETI482" s="329"/>
      <c r="ETJ482" s="329"/>
      <c r="ETK482" s="329"/>
      <c r="ETL482" s="329"/>
      <c r="ETM482" s="329"/>
      <c r="ETN482" s="329"/>
      <c r="ETO482" s="329"/>
      <c r="ETP482" s="329"/>
      <c r="ETQ482" s="329"/>
      <c r="ETR482" s="329"/>
      <c r="ETS482" s="329"/>
      <c r="ETT482" s="329"/>
      <c r="ETU482" s="329"/>
      <c r="ETV482" s="329"/>
      <c r="ETW482" s="329"/>
      <c r="ETX482" s="329"/>
      <c r="ETY482" s="329"/>
      <c r="ETZ482" s="329"/>
      <c r="EUA482" s="329"/>
      <c r="EUB482" s="329"/>
      <c r="EUC482" s="329"/>
      <c r="EUD482" s="329"/>
      <c r="EUE482" s="329"/>
      <c r="EUF482" s="329"/>
      <c r="EUG482" s="329"/>
      <c r="EUH482" s="329"/>
      <c r="EUI482" s="329"/>
      <c r="EUJ482" s="329"/>
      <c r="EUK482" s="329"/>
      <c r="EUL482" s="329"/>
      <c r="EUM482" s="329"/>
      <c r="EUN482" s="329"/>
      <c r="EUO482" s="329"/>
      <c r="EUP482" s="329"/>
      <c r="EUQ482" s="329"/>
      <c r="EUR482" s="329"/>
      <c r="EUS482" s="329"/>
      <c r="EUT482" s="329"/>
      <c r="EUU482" s="329"/>
      <c r="EUV482" s="329"/>
      <c r="EUW482" s="329"/>
      <c r="EUX482" s="329"/>
      <c r="EUY482" s="329"/>
      <c r="EUZ482" s="329"/>
      <c r="EVA482" s="329"/>
      <c r="EVB482" s="329"/>
      <c r="EVC482" s="329"/>
      <c r="EVD482" s="329"/>
      <c r="EVE482" s="329"/>
      <c r="EVF482" s="329"/>
      <c r="EVG482" s="329"/>
      <c r="EVH482" s="329"/>
      <c r="EVI482" s="329"/>
      <c r="EVJ482" s="329"/>
      <c r="EVK482" s="329"/>
      <c r="EVL482" s="329"/>
      <c r="EVM482" s="329"/>
      <c r="EVN482" s="329"/>
      <c r="EVO482" s="329"/>
      <c r="EVP482" s="329"/>
      <c r="EVQ482" s="329"/>
      <c r="EVR482" s="329"/>
      <c r="EVS482" s="329"/>
      <c r="EVT482" s="329"/>
      <c r="EVU482" s="329"/>
      <c r="EVV482" s="329"/>
      <c r="EVW482" s="329"/>
      <c r="EVX482" s="329"/>
      <c r="EVY482" s="329"/>
      <c r="EVZ482" s="329"/>
      <c r="EWA482" s="329"/>
      <c r="EWB482" s="329"/>
      <c r="EWC482" s="329"/>
      <c r="EWD482" s="329"/>
      <c r="EWE482" s="329"/>
      <c r="EWF482" s="329"/>
      <c r="EWG482" s="329"/>
      <c r="EWH482" s="329"/>
      <c r="EWI482" s="329"/>
      <c r="EWJ482" s="329"/>
      <c r="EWK482" s="329"/>
      <c r="EWL482" s="329"/>
      <c r="EWM482" s="329"/>
      <c r="EWN482" s="329"/>
      <c r="EWO482" s="329"/>
      <c r="EWP482" s="329"/>
      <c r="EWQ482" s="329"/>
      <c r="EWR482" s="329"/>
      <c r="EWS482" s="329"/>
      <c r="EWT482" s="329"/>
      <c r="EWU482" s="329"/>
      <c r="EWV482" s="329"/>
      <c r="EWW482" s="329"/>
      <c r="EWX482" s="329"/>
      <c r="EWY482" s="329"/>
      <c r="EWZ482" s="329"/>
      <c r="EXA482" s="329"/>
      <c r="EXB482" s="329"/>
      <c r="EXC482" s="329"/>
      <c r="EXD482" s="329"/>
      <c r="EXE482" s="329"/>
      <c r="EXF482" s="329"/>
      <c r="EXG482" s="329"/>
      <c r="EXH482" s="329"/>
      <c r="EXI482" s="329"/>
      <c r="EXJ482" s="329"/>
      <c r="EXK482" s="329"/>
      <c r="EXL482" s="329"/>
      <c r="EXM482" s="329"/>
      <c r="EXN482" s="329"/>
      <c r="EXO482" s="329"/>
      <c r="EXP482" s="329"/>
      <c r="EXQ482" s="329"/>
      <c r="EXR482" s="329"/>
      <c r="EXS482" s="329"/>
      <c r="EXT482" s="329"/>
      <c r="EXU482" s="329"/>
      <c r="EXV482" s="329"/>
      <c r="EXW482" s="329"/>
      <c r="EXX482" s="329"/>
      <c r="EXY482" s="329"/>
      <c r="EXZ482" s="329"/>
      <c r="EYA482" s="329"/>
      <c r="EYB482" s="329"/>
      <c r="EYC482" s="329"/>
      <c r="EYD482" s="329"/>
      <c r="EYE482" s="329"/>
      <c r="EYF482" s="329"/>
      <c r="EYG482" s="329"/>
      <c r="EYH482" s="329"/>
      <c r="EYI482" s="329"/>
      <c r="EYJ482" s="329"/>
      <c r="EYK482" s="329"/>
      <c r="EYL482" s="329"/>
      <c r="EYM482" s="329"/>
      <c r="EYN482" s="329"/>
      <c r="EYO482" s="329"/>
      <c r="EYP482" s="329"/>
      <c r="EYQ482" s="329"/>
      <c r="EYR482" s="329"/>
      <c r="EYS482" s="329"/>
      <c r="EYT482" s="329"/>
      <c r="EYU482" s="329"/>
      <c r="EYV482" s="329"/>
      <c r="EYW482" s="329"/>
      <c r="EYX482" s="329"/>
      <c r="EYY482" s="329"/>
      <c r="EYZ482" s="329"/>
      <c r="EZA482" s="329"/>
      <c r="EZB482" s="329"/>
      <c r="EZC482" s="329"/>
      <c r="EZD482" s="329"/>
      <c r="EZE482" s="329"/>
      <c r="EZF482" s="329"/>
      <c r="EZG482" s="329"/>
      <c r="EZH482" s="329"/>
      <c r="EZI482" s="329"/>
      <c r="EZJ482" s="329"/>
      <c r="EZK482" s="329"/>
      <c r="EZL482" s="329"/>
      <c r="EZM482" s="329"/>
      <c r="EZN482" s="329"/>
      <c r="EZO482" s="329"/>
      <c r="EZP482" s="329"/>
      <c r="EZQ482" s="329"/>
      <c r="EZR482" s="329"/>
      <c r="EZS482" s="329"/>
      <c r="EZT482" s="329"/>
      <c r="EZU482" s="329"/>
      <c r="EZV482" s="329"/>
      <c r="EZW482" s="329"/>
      <c r="EZX482" s="329"/>
      <c r="EZY482" s="329"/>
      <c r="EZZ482" s="329"/>
      <c r="FAA482" s="329"/>
      <c r="FAB482" s="329"/>
      <c r="FAC482" s="329"/>
      <c r="FAD482" s="329"/>
      <c r="FAE482" s="329"/>
      <c r="FAF482" s="329"/>
      <c r="FAG482" s="329"/>
      <c r="FAH482" s="329"/>
      <c r="FAI482" s="329"/>
      <c r="FAJ482" s="329"/>
      <c r="FAK482" s="329"/>
      <c r="FAL482" s="329"/>
      <c r="FAM482" s="329"/>
      <c r="FAN482" s="329"/>
      <c r="FAO482" s="329"/>
      <c r="FAP482" s="329"/>
      <c r="FAQ482" s="329"/>
      <c r="FAR482" s="329"/>
      <c r="FAS482" s="329"/>
      <c r="FAT482" s="329"/>
      <c r="FAU482" s="329"/>
      <c r="FAV482" s="329"/>
      <c r="FAW482" s="329"/>
      <c r="FAX482" s="329"/>
      <c r="FAY482" s="329"/>
      <c r="FAZ482" s="329"/>
      <c r="FBA482" s="329"/>
      <c r="FBB482" s="329"/>
      <c r="FBC482" s="329"/>
      <c r="FBD482" s="329"/>
      <c r="FBE482" s="329"/>
      <c r="FBF482" s="329"/>
      <c r="FBG482" s="329"/>
      <c r="FBH482" s="329"/>
      <c r="FBI482" s="329"/>
      <c r="FBJ482" s="329"/>
      <c r="FBK482" s="329"/>
      <c r="FBL482" s="329"/>
      <c r="FBM482" s="329"/>
      <c r="FBN482" s="329"/>
      <c r="FBO482" s="329"/>
      <c r="FBP482" s="329"/>
      <c r="FBQ482" s="329"/>
      <c r="FBR482" s="329"/>
      <c r="FBS482" s="329"/>
      <c r="FBT482" s="329"/>
      <c r="FBU482" s="329"/>
      <c r="FBV482" s="329"/>
      <c r="FBW482" s="329"/>
      <c r="FBX482" s="329"/>
      <c r="FBY482" s="329"/>
      <c r="FBZ482" s="329"/>
      <c r="FCA482" s="329"/>
      <c r="FCB482" s="329"/>
      <c r="FCC482" s="329"/>
      <c r="FCD482" s="329"/>
      <c r="FCE482" s="329"/>
      <c r="FCF482" s="329"/>
      <c r="FCG482" s="329"/>
      <c r="FCH482" s="329"/>
      <c r="FCI482" s="329"/>
      <c r="FCJ482" s="329"/>
      <c r="FCK482" s="329"/>
      <c r="FCL482" s="329"/>
      <c r="FCM482" s="329"/>
      <c r="FCN482" s="329"/>
      <c r="FCO482" s="329"/>
      <c r="FCP482" s="329"/>
      <c r="FCQ482" s="329"/>
      <c r="FCR482" s="329"/>
      <c r="FCS482" s="329"/>
      <c r="FCT482" s="329"/>
      <c r="FCU482" s="329"/>
      <c r="FCV482" s="329"/>
      <c r="FCW482" s="329"/>
      <c r="FCX482" s="329"/>
      <c r="FCY482" s="329"/>
      <c r="FCZ482" s="329"/>
      <c r="FDA482" s="329"/>
      <c r="FDB482" s="329"/>
      <c r="FDC482" s="329"/>
      <c r="FDD482" s="329"/>
      <c r="FDE482" s="329"/>
      <c r="FDF482" s="329"/>
      <c r="FDG482" s="329"/>
      <c r="FDH482" s="329"/>
      <c r="FDI482" s="329"/>
      <c r="FDJ482" s="329"/>
      <c r="FDK482" s="329"/>
      <c r="FDL482" s="329"/>
      <c r="FDM482" s="329"/>
      <c r="FDN482" s="329"/>
      <c r="FDO482" s="329"/>
      <c r="FDP482" s="329"/>
      <c r="FDQ482" s="329"/>
      <c r="FDR482" s="329"/>
      <c r="FDS482" s="329"/>
      <c r="FDT482" s="329"/>
      <c r="FDU482" s="329"/>
      <c r="FDV482" s="329"/>
      <c r="FDW482" s="329"/>
      <c r="FDX482" s="329"/>
      <c r="FDY482" s="329"/>
      <c r="FDZ482" s="329"/>
      <c r="FEA482" s="329"/>
      <c r="FEB482" s="329"/>
      <c r="FEC482" s="329"/>
      <c r="FED482" s="329"/>
      <c r="FEE482" s="329"/>
      <c r="FEF482" s="329"/>
      <c r="FEG482" s="329"/>
      <c r="FEH482" s="329"/>
      <c r="FEI482" s="329"/>
      <c r="FEJ482" s="329"/>
      <c r="FEK482" s="329"/>
      <c r="FEL482" s="329"/>
      <c r="FEM482" s="329"/>
      <c r="FEN482" s="329"/>
      <c r="FEO482" s="329"/>
      <c r="FEP482" s="329"/>
      <c r="FEQ482" s="329"/>
      <c r="FER482" s="329"/>
      <c r="FES482" s="329"/>
      <c r="FET482" s="329"/>
      <c r="FEU482" s="329"/>
      <c r="FEV482" s="329"/>
      <c r="FEW482" s="329"/>
      <c r="FEX482" s="329"/>
      <c r="FEY482" s="329"/>
      <c r="FEZ482" s="329"/>
      <c r="FFA482" s="329"/>
      <c r="FFB482" s="329"/>
      <c r="FFC482" s="329"/>
      <c r="FFD482" s="329"/>
      <c r="FFE482" s="329"/>
      <c r="FFF482" s="329"/>
      <c r="FFG482" s="329"/>
      <c r="FFH482" s="329"/>
      <c r="FFI482" s="329"/>
      <c r="FFJ482" s="329"/>
      <c r="FFK482" s="329"/>
      <c r="FFL482" s="329"/>
      <c r="FFM482" s="329"/>
      <c r="FFN482" s="329"/>
      <c r="FFO482" s="329"/>
      <c r="FFP482" s="329"/>
      <c r="FFQ482" s="329"/>
      <c r="FFR482" s="329"/>
      <c r="FFS482" s="329"/>
      <c r="FFT482" s="329"/>
      <c r="FFU482" s="329"/>
      <c r="FFV482" s="329"/>
      <c r="FFW482" s="329"/>
      <c r="FFX482" s="329"/>
      <c r="FFY482" s="329"/>
      <c r="FFZ482" s="329"/>
      <c r="FGA482" s="329"/>
      <c r="FGB482" s="329"/>
      <c r="FGC482" s="329"/>
      <c r="FGD482" s="329"/>
      <c r="FGE482" s="329"/>
      <c r="FGF482" s="329"/>
      <c r="FGG482" s="329"/>
      <c r="FGH482" s="329"/>
      <c r="FGI482" s="329"/>
      <c r="FGJ482" s="329"/>
      <c r="FGK482" s="329"/>
      <c r="FGL482" s="329"/>
      <c r="FGM482" s="329"/>
      <c r="FGN482" s="329"/>
      <c r="FGO482" s="329"/>
      <c r="FGP482" s="329"/>
      <c r="FGQ482" s="329"/>
      <c r="FGR482" s="329"/>
      <c r="FGS482" s="329"/>
      <c r="FGT482" s="329"/>
      <c r="FGU482" s="329"/>
      <c r="FGV482" s="329"/>
      <c r="FGW482" s="329"/>
      <c r="FGX482" s="329"/>
      <c r="FGY482" s="329"/>
      <c r="FGZ482" s="329"/>
      <c r="FHA482" s="329"/>
      <c r="FHB482" s="329"/>
      <c r="FHC482" s="329"/>
      <c r="FHD482" s="329"/>
      <c r="FHE482" s="329"/>
      <c r="FHF482" s="329"/>
      <c r="FHG482" s="329"/>
      <c r="FHH482" s="329"/>
      <c r="FHI482" s="329"/>
      <c r="FHJ482" s="329"/>
      <c r="FHK482" s="329"/>
      <c r="FHL482" s="329"/>
      <c r="FHM482" s="329"/>
      <c r="FHN482" s="329"/>
      <c r="FHO482" s="329"/>
      <c r="FHP482" s="329"/>
      <c r="FHQ482" s="329"/>
      <c r="FHR482" s="329"/>
      <c r="FHS482" s="329"/>
      <c r="FHT482" s="329"/>
      <c r="FHU482" s="329"/>
      <c r="FHV482" s="329"/>
      <c r="FHW482" s="329"/>
      <c r="FHX482" s="329"/>
      <c r="FHY482" s="329"/>
      <c r="FHZ482" s="329"/>
      <c r="FIA482" s="329"/>
      <c r="FIB482" s="329"/>
      <c r="FIC482" s="329"/>
      <c r="FID482" s="329"/>
      <c r="FIE482" s="329"/>
      <c r="FIF482" s="329"/>
      <c r="FIG482" s="329"/>
      <c r="FIH482" s="329"/>
      <c r="FII482" s="329"/>
      <c r="FIJ482" s="329"/>
      <c r="FIK482" s="329"/>
      <c r="FIL482" s="329"/>
      <c r="FIM482" s="329"/>
      <c r="FIN482" s="329"/>
      <c r="FIO482" s="329"/>
      <c r="FIP482" s="329"/>
      <c r="FIQ482" s="329"/>
      <c r="FIR482" s="329"/>
      <c r="FIS482" s="329"/>
      <c r="FIT482" s="329"/>
      <c r="FIU482" s="329"/>
      <c r="FIV482" s="329"/>
      <c r="FIW482" s="329"/>
      <c r="FIX482" s="329"/>
      <c r="FIY482" s="329"/>
      <c r="FIZ482" s="329"/>
      <c r="FJA482" s="329"/>
      <c r="FJB482" s="329"/>
      <c r="FJC482" s="329"/>
      <c r="FJD482" s="329"/>
      <c r="FJE482" s="329"/>
      <c r="FJF482" s="329"/>
      <c r="FJG482" s="329"/>
      <c r="FJH482" s="329"/>
      <c r="FJI482" s="329"/>
      <c r="FJJ482" s="329"/>
      <c r="FJK482" s="329"/>
      <c r="FJL482" s="329"/>
      <c r="FJM482" s="329"/>
      <c r="FJN482" s="329"/>
      <c r="FJO482" s="329"/>
      <c r="FJP482" s="329"/>
      <c r="FJQ482" s="329"/>
      <c r="FJR482" s="329"/>
      <c r="FJS482" s="329"/>
      <c r="FJT482" s="329"/>
      <c r="FJU482" s="329"/>
      <c r="FJV482" s="329"/>
      <c r="FJW482" s="329"/>
      <c r="FJX482" s="329"/>
      <c r="FJY482" s="329"/>
      <c r="FJZ482" s="329"/>
      <c r="FKA482" s="329"/>
      <c r="FKB482" s="329"/>
      <c r="FKC482" s="329"/>
      <c r="FKD482" s="329"/>
      <c r="FKE482" s="329"/>
      <c r="FKF482" s="329"/>
      <c r="FKG482" s="329"/>
      <c r="FKH482" s="329"/>
      <c r="FKI482" s="329"/>
      <c r="FKJ482" s="329"/>
      <c r="FKK482" s="329"/>
      <c r="FKL482" s="329"/>
      <c r="FKM482" s="329"/>
      <c r="FKN482" s="329"/>
      <c r="FKO482" s="329"/>
      <c r="FKP482" s="329"/>
      <c r="FKQ482" s="329"/>
      <c r="FKR482" s="329"/>
      <c r="FKS482" s="329"/>
      <c r="FKT482" s="329"/>
      <c r="FKU482" s="329"/>
      <c r="FKV482" s="329"/>
      <c r="FKW482" s="329"/>
      <c r="FKX482" s="329"/>
      <c r="FKY482" s="329"/>
      <c r="FKZ482" s="329"/>
      <c r="FLA482" s="329"/>
      <c r="FLB482" s="329"/>
      <c r="FLC482" s="329"/>
      <c r="FLD482" s="329"/>
      <c r="FLE482" s="329"/>
      <c r="FLF482" s="329"/>
      <c r="FLG482" s="329"/>
      <c r="FLH482" s="329"/>
      <c r="FLI482" s="329"/>
      <c r="FLJ482" s="329"/>
      <c r="FLK482" s="329"/>
      <c r="FLL482" s="329"/>
      <c r="FLM482" s="329"/>
      <c r="FLN482" s="329"/>
      <c r="FLO482" s="329"/>
      <c r="FLP482" s="329"/>
      <c r="FLQ482" s="329"/>
      <c r="FLR482" s="329"/>
      <c r="FLS482" s="329"/>
      <c r="FLT482" s="329"/>
      <c r="FLU482" s="329"/>
      <c r="FLV482" s="329"/>
      <c r="FLW482" s="329"/>
      <c r="FLX482" s="329"/>
      <c r="FLY482" s="329"/>
      <c r="FLZ482" s="329"/>
      <c r="FMA482" s="329"/>
      <c r="FMB482" s="329"/>
      <c r="FMC482" s="329"/>
      <c r="FMD482" s="329"/>
      <c r="FME482" s="329"/>
      <c r="FMF482" s="329"/>
      <c r="FMG482" s="329"/>
      <c r="FMH482" s="329"/>
      <c r="FMI482" s="329"/>
      <c r="FMJ482" s="329"/>
      <c r="FMK482" s="329"/>
      <c r="FML482" s="329"/>
      <c r="FMM482" s="329"/>
      <c r="FMN482" s="329"/>
      <c r="FMO482" s="329"/>
      <c r="FMP482" s="329"/>
      <c r="FMQ482" s="329"/>
      <c r="FMR482" s="329"/>
      <c r="FMS482" s="329"/>
      <c r="FMT482" s="329"/>
      <c r="FMU482" s="329"/>
      <c r="FMV482" s="329"/>
      <c r="FMW482" s="329"/>
      <c r="FMX482" s="329"/>
      <c r="FMY482" s="329"/>
      <c r="FMZ482" s="329"/>
      <c r="FNA482" s="329"/>
      <c r="FNB482" s="329"/>
      <c r="FNC482" s="329"/>
      <c r="FND482" s="329"/>
      <c r="FNE482" s="329"/>
      <c r="FNF482" s="329"/>
      <c r="FNG482" s="329"/>
      <c r="FNH482" s="329"/>
      <c r="FNI482" s="329"/>
      <c r="FNJ482" s="329"/>
      <c r="FNK482" s="329"/>
      <c r="FNL482" s="329"/>
      <c r="FNM482" s="329"/>
      <c r="FNN482" s="329"/>
      <c r="FNO482" s="329"/>
      <c r="FNP482" s="329"/>
      <c r="FNQ482" s="329"/>
      <c r="FNR482" s="329"/>
      <c r="FNS482" s="329"/>
      <c r="FNT482" s="329"/>
      <c r="FNU482" s="329"/>
      <c r="FNV482" s="329"/>
      <c r="FNW482" s="329"/>
      <c r="FNX482" s="329"/>
      <c r="FNY482" s="329"/>
      <c r="FNZ482" s="329"/>
      <c r="FOA482" s="329"/>
      <c r="FOB482" s="329"/>
      <c r="FOC482" s="329"/>
      <c r="FOD482" s="329"/>
      <c r="FOE482" s="329"/>
      <c r="FOF482" s="329"/>
      <c r="FOG482" s="329"/>
      <c r="FOH482" s="329"/>
      <c r="FOI482" s="329"/>
      <c r="FOJ482" s="329"/>
      <c r="FOK482" s="329"/>
      <c r="FOL482" s="329"/>
      <c r="FOM482" s="329"/>
      <c r="FON482" s="329"/>
      <c r="FOO482" s="329"/>
      <c r="FOP482" s="329"/>
      <c r="FOQ482" s="329"/>
      <c r="FOR482" s="329"/>
      <c r="FOS482" s="329"/>
      <c r="FOT482" s="329"/>
      <c r="FOU482" s="329"/>
      <c r="FOV482" s="329"/>
      <c r="FOW482" s="329"/>
      <c r="FOX482" s="329"/>
      <c r="FOY482" s="329"/>
      <c r="FOZ482" s="329"/>
      <c r="FPA482" s="329"/>
      <c r="FPB482" s="329"/>
      <c r="FPC482" s="329"/>
      <c r="FPD482" s="329"/>
      <c r="FPE482" s="329"/>
      <c r="FPF482" s="329"/>
      <c r="FPG482" s="329"/>
      <c r="FPH482" s="329"/>
      <c r="FPI482" s="329"/>
      <c r="FPJ482" s="329"/>
      <c r="FPK482" s="329"/>
      <c r="FPL482" s="329"/>
      <c r="FPM482" s="329"/>
      <c r="FPN482" s="329"/>
      <c r="FPO482" s="329"/>
      <c r="FPP482" s="329"/>
      <c r="FPQ482" s="329"/>
      <c r="FPR482" s="329"/>
      <c r="FPS482" s="329"/>
      <c r="FPT482" s="329"/>
      <c r="FPU482" s="329"/>
      <c r="FPV482" s="329"/>
      <c r="FPW482" s="329"/>
      <c r="FPX482" s="329"/>
      <c r="FPY482" s="329"/>
      <c r="FPZ482" s="329"/>
      <c r="FQA482" s="329"/>
      <c r="FQB482" s="329"/>
      <c r="FQC482" s="329"/>
      <c r="FQD482" s="329"/>
      <c r="FQE482" s="329"/>
      <c r="FQF482" s="329"/>
      <c r="FQG482" s="329"/>
      <c r="FQH482" s="329"/>
      <c r="FQI482" s="329"/>
      <c r="FQJ482" s="329"/>
      <c r="FQK482" s="329"/>
      <c r="FQL482" s="329"/>
      <c r="FQM482" s="329"/>
      <c r="FQN482" s="329"/>
      <c r="FQO482" s="329"/>
      <c r="FQP482" s="329"/>
      <c r="FQQ482" s="329"/>
      <c r="FQR482" s="329"/>
      <c r="FQS482" s="329"/>
      <c r="FQT482" s="329"/>
      <c r="FQU482" s="329"/>
      <c r="FQV482" s="329"/>
      <c r="FQW482" s="329"/>
      <c r="FQX482" s="329"/>
      <c r="FQY482" s="329"/>
      <c r="FQZ482" s="329"/>
      <c r="FRA482" s="329"/>
      <c r="FRB482" s="329"/>
      <c r="FRC482" s="329"/>
      <c r="FRD482" s="329"/>
      <c r="FRE482" s="329"/>
      <c r="FRF482" s="329"/>
      <c r="FRG482" s="329"/>
      <c r="FRH482" s="329"/>
      <c r="FRI482" s="329"/>
      <c r="FRJ482" s="329"/>
      <c r="FRK482" s="329"/>
      <c r="FRL482" s="329"/>
      <c r="FRM482" s="329"/>
      <c r="FRN482" s="329"/>
      <c r="FRO482" s="329"/>
      <c r="FRP482" s="329"/>
      <c r="FRQ482" s="329"/>
      <c r="FRR482" s="329"/>
      <c r="FRS482" s="329"/>
      <c r="FRT482" s="329"/>
      <c r="FRU482" s="329"/>
      <c r="FRV482" s="329"/>
      <c r="FRW482" s="329"/>
      <c r="FRX482" s="329"/>
      <c r="FRY482" s="329"/>
      <c r="FRZ482" s="329"/>
      <c r="FSA482" s="329"/>
      <c r="FSB482" s="329"/>
      <c r="FSC482" s="329"/>
      <c r="FSD482" s="329"/>
      <c r="FSE482" s="329"/>
      <c r="FSF482" s="329"/>
      <c r="FSG482" s="329"/>
      <c r="FSH482" s="329"/>
      <c r="FSI482" s="329"/>
      <c r="FSJ482" s="329"/>
      <c r="FSK482" s="329"/>
      <c r="FSL482" s="329"/>
      <c r="FSM482" s="329"/>
      <c r="FSN482" s="329"/>
      <c r="FSO482" s="329"/>
      <c r="FSP482" s="329"/>
      <c r="FSQ482" s="329"/>
      <c r="FSR482" s="329"/>
      <c r="FSS482" s="329"/>
      <c r="FST482" s="329"/>
      <c r="FSU482" s="329"/>
      <c r="FSV482" s="329"/>
      <c r="FSW482" s="329"/>
      <c r="FSX482" s="329"/>
      <c r="FSY482" s="329"/>
      <c r="FSZ482" s="329"/>
      <c r="FTA482" s="329"/>
      <c r="FTB482" s="329"/>
      <c r="FTC482" s="329"/>
      <c r="FTD482" s="329"/>
      <c r="FTE482" s="329"/>
      <c r="FTF482" s="329"/>
      <c r="FTG482" s="329"/>
      <c r="FTH482" s="329"/>
      <c r="FTI482" s="329"/>
      <c r="FTJ482" s="329"/>
      <c r="FTK482" s="329"/>
      <c r="FTL482" s="329"/>
      <c r="FTM482" s="329"/>
      <c r="FTN482" s="329"/>
      <c r="FTO482" s="329"/>
      <c r="FTP482" s="329"/>
      <c r="FTQ482" s="329"/>
      <c r="FTR482" s="329"/>
      <c r="FTS482" s="329"/>
      <c r="FTT482" s="329"/>
      <c r="FTU482" s="329"/>
      <c r="FTV482" s="329"/>
      <c r="FTW482" s="329"/>
      <c r="FTX482" s="329"/>
      <c r="FTY482" s="329"/>
      <c r="FTZ482" s="329"/>
      <c r="FUA482" s="329"/>
      <c r="FUB482" s="329"/>
      <c r="FUC482" s="329"/>
      <c r="FUD482" s="329"/>
      <c r="FUE482" s="329"/>
      <c r="FUF482" s="329"/>
      <c r="FUG482" s="329"/>
      <c r="FUH482" s="329"/>
      <c r="FUI482" s="329"/>
      <c r="FUJ482" s="329"/>
      <c r="FUK482" s="329"/>
      <c r="FUL482" s="329"/>
      <c r="FUM482" s="329"/>
      <c r="FUN482" s="329"/>
      <c r="FUO482" s="329"/>
      <c r="FUP482" s="329"/>
      <c r="FUQ482" s="329"/>
      <c r="FUR482" s="329"/>
      <c r="FUS482" s="329"/>
      <c r="FUT482" s="329"/>
      <c r="FUU482" s="329"/>
      <c r="FUV482" s="329"/>
      <c r="FUW482" s="329"/>
      <c r="FUX482" s="329"/>
      <c r="FUY482" s="329"/>
      <c r="FUZ482" s="329"/>
      <c r="FVA482" s="329"/>
      <c r="FVB482" s="329"/>
      <c r="FVC482" s="329"/>
      <c r="FVD482" s="329"/>
      <c r="FVE482" s="329"/>
      <c r="FVF482" s="329"/>
      <c r="FVG482" s="329"/>
      <c r="FVH482" s="329"/>
      <c r="FVI482" s="329"/>
      <c r="FVJ482" s="329"/>
      <c r="FVK482" s="329"/>
      <c r="FVL482" s="329"/>
      <c r="FVM482" s="329"/>
      <c r="FVN482" s="329"/>
      <c r="FVO482" s="329"/>
      <c r="FVP482" s="329"/>
      <c r="FVQ482" s="329"/>
      <c r="FVR482" s="329"/>
      <c r="FVS482" s="329"/>
      <c r="FVT482" s="329"/>
      <c r="FVU482" s="329"/>
      <c r="FVV482" s="329"/>
      <c r="FVW482" s="329"/>
      <c r="FVX482" s="329"/>
      <c r="FVY482" s="329"/>
      <c r="FVZ482" s="329"/>
      <c r="FWA482" s="329"/>
      <c r="FWB482" s="329"/>
      <c r="FWC482" s="329"/>
      <c r="FWD482" s="329"/>
      <c r="FWE482" s="329"/>
      <c r="FWF482" s="329"/>
      <c r="FWG482" s="329"/>
      <c r="FWH482" s="329"/>
      <c r="FWI482" s="329"/>
      <c r="FWJ482" s="329"/>
      <c r="FWK482" s="329"/>
      <c r="FWL482" s="329"/>
      <c r="FWM482" s="329"/>
      <c r="FWN482" s="329"/>
      <c r="FWO482" s="329"/>
      <c r="FWP482" s="329"/>
      <c r="FWQ482" s="329"/>
      <c r="FWR482" s="329"/>
      <c r="FWS482" s="329"/>
      <c r="FWT482" s="329"/>
      <c r="FWU482" s="329"/>
      <c r="FWV482" s="329"/>
      <c r="FWW482" s="329"/>
      <c r="FWX482" s="329"/>
      <c r="FWY482" s="329"/>
      <c r="FWZ482" s="329"/>
      <c r="FXA482" s="329"/>
      <c r="FXB482" s="329"/>
      <c r="FXC482" s="329"/>
      <c r="FXD482" s="329"/>
      <c r="FXE482" s="329"/>
      <c r="FXF482" s="329"/>
      <c r="FXG482" s="329"/>
      <c r="FXH482" s="329"/>
      <c r="FXI482" s="329"/>
      <c r="FXJ482" s="329"/>
      <c r="FXK482" s="329"/>
      <c r="FXL482" s="329"/>
      <c r="FXM482" s="329"/>
      <c r="FXN482" s="329"/>
      <c r="FXO482" s="329"/>
      <c r="FXP482" s="329"/>
      <c r="FXQ482" s="329"/>
      <c r="FXR482" s="329"/>
      <c r="FXS482" s="329"/>
      <c r="FXT482" s="329"/>
      <c r="FXU482" s="329"/>
      <c r="FXV482" s="329"/>
      <c r="FXW482" s="329"/>
      <c r="FXX482" s="329"/>
      <c r="FXY482" s="329"/>
      <c r="FXZ482" s="329"/>
      <c r="FYA482" s="329"/>
      <c r="FYB482" s="329"/>
      <c r="FYC482" s="329"/>
      <c r="FYD482" s="329"/>
      <c r="FYE482" s="329"/>
      <c r="FYF482" s="329"/>
      <c r="FYG482" s="329"/>
      <c r="FYH482" s="329"/>
      <c r="FYI482" s="329"/>
      <c r="FYJ482" s="329"/>
      <c r="FYK482" s="329"/>
      <c r="FYL482" s="329"/>
      <c r="FYM482" s="329"/>
      <c r="FYN482" s="329"/>
      <c r="FYO482" s="329"/>
      <c r="FYP482" s="329"/>
      <c r="FYQ482" s="329"/>
      <c r="FYR482" s="329"/>
      <c r="FYS482" s="329"/>
      <c r="FYT482" s="329"/>
      <c r="FYU482" s="329"/>
      <c r="FYV482" s="329"/>
      <c r="FYW482" s="329"/>
      <c r="FYX482" s="329"/>
      <c r="FYY482" s="329"/>
      <c r="FYZ482" s="329"/>
      <c r="FZA482" s="329"/>
      <c r="FZB482" s="329"/>
      <c r="FZC482" s="329"/>
      <c r="FZD482" s="329"/>
      <c r="FZE482" s="329"/>
      <c r="FZF482" s="329"/>
      <c r="FZG482" s="329"/>
      <c r="FZH482" s="329"/>
      <c r="FZI482" s="329"/>
      <c r="FZJ482" s="329"/>
      <c r="FZK482" s="329"/>
      <c r="FZL482" s="329"/>
      <c r="FZM482" s="329"/>
      <c r="FZN482" s="329"/>
      <c r="FZO482" s="329"/>
      <c r="FZP482" s="329"/>
      <c r="FZQ482" s="329"/>
      <c r="FZR482" s="329"/>
      <c r="FZS482" s="329"/>
      <c r="FZT482" s="329"/>
      <c r="FZU482" s="329"/>
      <c r="FZV482" s="329"/>
      <c r="FZW482" s="329"/>
      <c r="FZX482" s="329"/>
      <c r="FZY482" s="329"/>
      <c r="FZZ482" s="329"/>
      <c r="GAA482" s="329"/>
      <c r="GAB482" s="329"/>
      <c r="GAC482" s="329"/>
      <c r="GAD482" s="329"/>
      <c r="GAE482" s="329"/>
      <c r="GAF482" s="329"/>
      <c r="GAG482" s="329"/>
      <c r="GAH482" s="329"/>
      <c r="GAI482" s="329"/>
      <c r="GAJ482" s="329"/>
      <c r="GAK482" s="329"/>
      <c r="GAL482" s="329"/>
      <c r="GAM482" s="329"/>
      <c r="GAN482" s="329"/>
      <c r="GAO482" s="329"/>
      <c r="GAP482" s="329"/>
      <c r="GAQ482" s="329"/>
      <c r="GAR482" s="329"/>
      <c r="GAS482" s="329"/>
      <c r="GAT482" s="329"/>
      <c r="GAU482" s="329"/>
      <c r="GAV482" s="329"/>
      <c r="GAW482" s="329"/>
      <c r="GAX482" s="329"/>
      <c r="GAY482" s="329"/>
      <c r="GAZ482" s="329"/>
      <c r="GBA482" s="329"/>
      <c r="GBB482" s="329"/>
      <c r="GBC482" s="329"/>
      <c r="GBD482" s="329"/>
      <c r="GBE482" s="329"/>
      <c r="GBF482" s="329"/>
      <c r="GBG482" s="329"/>
      <c r="GBH482" s="329"/>
      <c r="GBI482" s="329"/>
      <c r="GBJ482" s="329"/>
      <c r="GBK482" s="329"/>
      <c r="GBL482" s="329"/>
      <c r="GBM482" s="329"/>
      <c r="GBN482" s="329"/>
      <c r="GBO482" s="329"/>
      <c r="GBP482" s="329"/>
      <c r="GBQ482" s="329"/>
      <c r="GBR482" s="329"/>
      <c r="GBS482" s="329"/>
      <c r="GBT482" s="329"/>
      <c r="GBU482" s="329"/>
      <c r="GBV482" s="329"/>
      <c r="GBW482" s="329"/>
      <c r="GBX482" s="329"/>
      <c r="GBY482" s="329"/>
      <c r="GBZ482" s="329"/>
      <c r="GCA482" s="329"/>
      <c r="GCB482" s="329"/>
      <c r="GCC482" s="329"/>
      <c r="GCD482" s="329"/>
      <c r="GCE482" s="329"/>
      <c r="GCF482" s="329"/>
      <c r="GCG482" s="329"/>
      <c r="GCH482" s="329"/>
      <c r="GCI482" s="329"/>
      <c r="GCJ482" s="329"/>
      <c r="GCK482" s="329"/>
      <c r="GCL482" s="329"/>
      <c r="GCM482" s="329"/>
      <c r="GCN482" s="329"/>
      <c r="GCO482" s="329"/>
      <c r="GCP482" s="329"/>
      <c r="GCQ482" s="329"/>
      <c r="GCR482" s="329"/>
      <c r="GCS482" s="329"/>
      <c r="GCT482" s="329"/>
      <c r="GCU482" s="329"/>
      <c r="GCV482" s="329"/>
      <c r="GCW482" s="329"/>
      <c r="GCX482" s="329"/>
      <c r="GCY482" s="329"/>
      <c r="GCZ482" s="329"/>
      <c r="GDA482" s="329"/>
      <c r="GDB482" s="329"/>
      <c r="GDC482" s="329"/>
      <c r="GDD482" s="329"/>
      <c r="GDE482" s="329"/>
      <c r="GDF482" s="329"/>
      <c r="GDG482" s="329"/>
      <c r="GDH482" s="329"/>
      <c r="GDI482" s="329"/>
      <c r="GDJ482" s="329"/>
      <c r="GDK482" s="329"/>
      <c r="GDL482" s="329"/>
      <c r="GDM482" s="329"/>
      <c r="GDN482" s="329"/>
      <c r="GDO482" s="329"/>
      <c r="GDP482" s="329"/>
      <c r="GDQ482" s="329"/>
      <c r="GDR482" s="329"/>
      <c r="GDS482" s="329"/>
      <c r="GDT482" s="329"/>
      <c r="GDU482" s="329"/>
      <c r="GDV482" s="329"/>
      <c r="GDW482" s="329"/>
      <c r="GDX482" s="329"/>
      <c r="GDY482" s="329"/>
      <c r="GDZ482" s="329"/>
      <c r="GEA482" s="329"/>
      <c r="GEB482" s="329"/>
      <c r="GEC482" s="329"/>
      <c r="GED482" s="329"/>
      <c r="GEE482" s="329"/>
      <c r="GEF482" s="329"/>
      <c r="GEG482" s="329"/>
      <c r="GEH482" s="329"/>
      <c r="GEI482" s="329"/>
      <c r="GEJ482" s="329"/>
      <c r="GEK482" s="329"/>
      <c r="GEL482" s="329"/>
      <c r="GEM482" s="329"/>
      <c r="GEN482" s="329"/>
      <c r="GEO482" s="329"/>
      <c r="GEP482" s="329"/>
      <c r="GEQ482" s="329"/>
      <c r="GER482" s="329"/>
      <c r="GES482" s="329"/>
      <c r="GET482" s="329"/>
      <c r="GEU482" s="329"/>
      <c r="GEV482" s="329"/>
      <c r="GEW482" s="329"/>
      <c r="GEX482" s="329"/>
      <c r="GEY482" s="329"/>
      <c r="GEZ482" s="329"/>
      <c r="GFA482" s="329"/>
      <c r="GFB482" s="329"/>
      <c r="GFC482" s="329"/>
      <c r="GFD482" s="329"/>
      <c r="GFE482" s="329"/>
      <c r="GFF482" s="329"/>
      <c r="GFG482" s="329"/>
      <c r="GFH482" s="329"/>
      <c r="GFI482" s="329"/>
      <c r="GFJ482" s="329"/>
      <c r="GFK482" s="329"/>
      <c r="GFL482" s="329"/>
      <c r="GFM482" s="329"/>
      <c r="GFN482" s="329"/>
      <c r="GFO482" s="329"/>
      <c r="GFP482" s="329"/>
      <c r="GFQ482" s="329"/>
      <c r="GFR482" s="329"/>
      <c r="GFS482" s="329"/>
      <c r="GFT482" s="329"/>
      <c r="GFU482" s="329"/>
      <c r="GFV482" s="329"/>
      <c r="GFW482" s="329"/>
      <c r="GFX482" s="329"/>
      <c r="GFY482" s="329"/>
      <c r="GFZ482" s="329"/>
      <c r="GGA482" s="329"/>
      <c r="GGB482" s="329"/>
      <c r="GGC482" s="329"/>
      <c r="GGD482" s="329"/>
      <c r="GGE482" s="329"/>
      <c r="GGF482" s="329"/>
      <c r="GGG482" s="329"/>
      <c r="GGH482" s="329"/>
      <c r="GGI482" s="329"/>
      <c r="GGJ482" s="329"/>
      <c r="GGK482" s="329"/>
      <c r="GGL482" s="329"/>
      <c r="GGM482" s="329"/>
      <c r="GGN482" s="329"/>
      <c r="GGO482" s="329"/>
      <c r="GGP482" s="329"/>
      <c r="GGQ482" s="329"/>
      <c r="GGR482" s="329"/>
      <c r="GGS482" s="329"/>
      <c r="GGT482" s="329"/>
      <c r="GGU482" s="329"/>
      <c r="GGV482" s="329"/>
      <c r="GGW482" s="329"/>
      <c r="GGX482" s="329"/>
      <c r="GGY482" s="329"/>
      <c r="GGZ482" s="329"/>
      <c r="GHA482" s="329"/>
      <c r="GHB482" s="329"/>
      <c r="GHC482" s="329"/>
      <c r="GHD482" s="329"/>
      <c r="GHE482" s="329"/>
      <c r="GHF482" s="329"/>
      <c r="GHG482" s="329"/>
      <c r="GHH482" s="329"/>
      <c r="GHI482" s="329"/>
      <c r="GHJ482" s="329"/>
      <c r="GHK482" s="329"/>
      <c r="GHL482" s="329"/>
      <c r="GHM482" s="329"/>
      <c r="GHN482" s="329"/>
      <c r="GHO482" s="329"/>
      <c r="GHP482" s="329"/>
      <c r="GHQ482" s="329"/>
      <c r="GHR482" s="329"/>
      <c r="GHS482" s="329"/>
      <c r="GHT482" s="329"/>
      <c r="GHU482" s="329"/>
      <c r="GHV482" s="329"/>
      <c r="GHW482" s="329"/>
      <c r="GHX482" s="329"/>
      <c r="GHY482" s="329"/>
      <c r="GHZ482" s="329"/>
      <c r="GIA482" s="329"/>
      <c r="GIB482" s="329"/>
      <c r="GIC482" s="329"/>
      <c r="GID482" s="329"/>
      <c r="GIE482" s="329"/>
      <c r="GIF482" s="329"/>
      <c r="GIG482" s="329"/>
      <c r="GIH482" s="329"/>
      <c r="GII482" s="329"/>
      <c r="GIJ482" s="329"/>
      <c r="GIK482" s="329"/>
      <c r="GIL482" s="329"/>
      <c r="GIM482" s="329"/>
      <c r="GIN482" s="329"/>
      <c r="GIO482" s="329"/>
      <c r="GIP482" s="329"/>
      <c r="GIQ482" s="329"/>
      <c r="GIR482" s="329"/>
      <c r="GIS482" s="329"/>
      <c r="GIT482" s="329"/>
      <c r="GIU482" s="329"/>
      <c r="GIV482" s="329"/>
      <c r="GIW482" s="329"/>
      <c r="GIX482" s="329"/>
      <c r="GIY482" s="329"/>
      <c r="GIZ482" s="329"/>
      <c r="GJA482" s="329"/>
      <c r="GJB482" s="329"/>
      <c r="GJC482" s="329"/>
      <c r="GJD482" s="329"/>
      <c r="GJE482" s="329"/>
      <c r="GJF482" s="329"/>
      <c r="GJG482" s="329"/>
      <c r="GJH482" s="329"/>
      <c r="GJI482" s="329"/>
      <c r="GJJ482" s="329"/>
      <c r="GJK482" s="329"/>
      <c r="GJL482" s="329"/>
      <c r="GJM482" s="329"/>
      <c r="GJN482" s="329"/>
      <c r="GJO482" s="329"/>
      <c r="GJP482" s="329"/>
      <c r="GJQ482" s="329"/>
      <c r="GJR482" s="329"/>
      <c r="GJS482" s="329"/>
      <c r="GJT482" s="329"/>
      <c r="GJU482" s="329"/>
      <c r="GJV482" s="329"/>
      <c r="GJW482" s="329"/>
      <c r="GJX482" s="329"/>
      <c r="GJY482" s="329"/>
      <c r="GJZ482" s="329"/>
      <c r="GKA482" s="329"/>
      <c r="GKB482" s="329"/>
      <c r="GKC482" s="329"/>
      <c r="GKD482" s="329"/>
      <c r="GKE482" s="329"/>
      <c r="GKF482" s="329"/>
      <c r="GKG482" s="329"/>
      <c r="GKH482" s="329"/>
      <c r="GKI482" s="329"/>
      <c r="GKJ482" s="329"/>
      <c r="GKK482" s="329"/>
      <c r="GKL482" s="329"/>
      <c r="GKM482" s="329"/>
      <c r="GKN482" s="329"/>
      <c r="GKO482" s="329"/>
      <c r="GKP482" s="329"/>
      <c r="GKQ482" s="329"/>
      <c r="GKR482" s="329"/>
      <c r="GKS482" s="329"/>
      <c r="GKT482" s="329"/>
      <c r="GKU482" s="329"/>
      <c r="GKV482" s="329"/>
      <c r="GKW482" s="329"/>
      <c r="GKX482" s="329"/>
      <c r="GKY482" s="329"/>
      <c r="GKZ482" s="329"/>
      <c r="GLA482" s="329"/>
      <c r="GLB482" s="329"/>
      <c r="GLC482" s="329"/>
      <c r="GLD482" s="329"/>
      <c r="GLE482" s="329"/>
      <c r="GLF482" s="329"/>
      <c r="GLG482" s="329"/>
      <c r="GLH482" s="329"/>
      <c r="GLI482" s="329"/>
      <c r="GLJ482" s="329"/>
      <c r="GLK482" s="329"/>
      <c r="GLL482" s="329"/>
      <c r="GLM482" s="329"/>
      <c r="GLN482" s="329"/>
      <c r="GLO482" s="329"/>
      <c r="GLP482" s="329"/>
      <c r="GLQ482" s="329"/>
      <c r="GLR482" s="329"/>
      <c r="GLS482" s="329"/>
      <c r="GLT482" s="329"/>
      <c r="GLU482" s="329"/>
      <c r="GLV482" s="329"/>
      <c r="GLW482" s="329"/>
      <c r="GLX482" s="329"/>
      <c r="GLY482" s="329"/>
      <c r="GLZ482" s="329"/>
      <c r="GMA482" s="329"/>
      <c r="GMB482" s="329"/>
      <c r="GMC482" s="329"/>
      <c r="GMD482" s="329"/>
      <c r="GME482" s="329"/>
      <c r="GMF482" s="329"/>
      <c r="GMG482" s="329"/>
      <c r="GMH482" s="329"/>
      <c r="GMI482" s="329"/>
      <c r="GMJ482" s="329"/>
      <c r="GMK482" s="329"/>
      <c r="GML482" s="329"/>
      <c r="GMM482" s="329"/>
      <c r="GMN482" s="329"/>
      <c r="GMO482" s="329"/>
      <c r="GMP482" s="329"/>
      <c r="GMQ482" s="329"/>
      <c r="GMR482" s="329"/>
      <c r="GMS482" s="329"/>
      <c r="GMT482" s="329"/>
      <c r="GMU482" s="329"/>
      <c r="GMV482" s="329"/>
      <c r="GMW482" s="329"/>
      <c r="GMX482" s="329"/>
      <c r="GMY482" s="329"/>
      <c r="GMZ482" s="329"/>
      <c r="GNA482" s="329"/>
      <c r="GNB482" s="329"/>
      <c r="GNC482" s="329"/>
      <c r="GND482" s="329"/>
      <c r="GNE482" s="329"/>
      <c r="GNF482" s="329"/>
      <c r="GNG482" s="329"/>
      <c r="GNH482" s="329"/>
      <c r="GNI482" s="329"/>
      <c r="GNJ482" s="329"/>
      <c r="GNK482" s="329"/>
      <c r="GNL482" s="329"/>
      <c r="GNM482" s="329"/>
      <c r="GNN482" s="329"/>
      <c r="GNO482" s="329"/>
      <c r="GNP482" s="329"/>
      <c r="GNQ482" s="329"/>
      <c r="GNR482" s="329"/>
      <c r="GNS482" s="329"/>
      <c r="GNT482" s="329"/>
      <c r="GNU482" s="329"/>
      <c r="GNV482" s="329"/>
      <c r="GNW482" s="329"/>
      <c r="GNX482" s="329"/>
      <c r="GNY482" s="329"/>
      <c r="GNZ482" s="329"/>
      <c r="GOA482" s="329"/>
      <c r="GOB482" s="329"/>
      <c r="GOC482" s="329"/>
      <c r="GOD482" s="329"/>
      <c r="GOE482" s="329"/>
      <c r="GOF482" s="329"/>
      <c r="GOG482" s="329"/>
      <c r="GOH482" s="329"/>
      <c r="GOI482" s="329"/>
      <c r="GOJ482" s="329"/>
      <c r="GOK482" s="329"/>
      <c r="GOL482" s="329"/>
      <c r="GOM482" s="329"/>
      <c r="GON482" s="329"/>
      <c r="GOO482" s="329"/>
      <c r="GOP482" s="329"/>
      <c r="GOQ482" s="329"/>
      <c r="GOR482" s="329"/>
      <c r="GOS482" s="329"/>
      <c r="GOT482" s="329"/>
      <c r="GOU482" s="329"/>
      <c r="GOV482" s="329"/>
      <c r="GOW482" s="329"/>
      <c r="GOX482" s="329"/>
      <c r="GOY482" s="329"/>
      <c r="GOZ482" s="329"/>
      <c r="GPA482" s="329"/>
      <c r="GPB482" s="329"/>
      <c r="GPC482" s="329"/>
      <c r="GPD482" s="329"/>
      <c r="GPE482" s="329"/>
      <c r="GPF482" s="329"/>
      <c r="GPG482" s="329"/>
      <c r="GPH482" s="329"/>
      <c r="GPI482" s="329"/>
      <c r="GPJ482" s="329"/>
      <c r="GPK482" s="329"/>
      <c r="GPL482" s="329"/>
      <c r="GPM482" s="329"/>
      <c r="GPN482" s="329"/>
      <c r="GPO482" s="329"/>
      <c r="GPP482" s="329"/>
      <c r="GPQ482" s="329"/>
      <c r="GPR482" s="329"/>
      <c r="GPS482" s="329"/>
      <c r="GPT482" s="329"/>
      <c r="GPU482" s="329"/>
      <c r="GPV482" s="329"/>
      <c r="GPW482" s="329"/>
      <c r="GPX482" s="329"/>
      <c r="GPY482" s="329"/>
      <c r="GPZ482" s="329"/>
      <c r="GQA482" s="329"/>
      <c r="GQB482" s="329"/>
      <c r="GQC482" s="329"/>
      <c r="GQD482" s="329"/>
      <c r="GQE482" s="329"/>
      <c r="GQF482" s="329"/>
      <c r="GQG482" s="329"/>
      <c r="GQH482" s="329"/>
      <c r="GQI482" s="329"/>
      <c r="GQJ482" s="329"/>
      <c r="GQK482" s="329"/>
      <c r="GQL482" s="329"/>
      <c r="GQM482" s="329"/>
      <c r="GQN482" s="329"/>
      <c r="GQO482" s="329"/>
      <c r="GQP482" s="329"/>
      <c r="GQQ482" s="329"/>
      <c r="GQR482" s="329"/>
      <c r="GQS482" s="329"/>
      <c r="GQT482" s="329"/>
      <c r="GQU482" s="329"/>
      <c r="GQV482" s="329"/>
      <c r="GQW482" s="329"/>
      <c r="GQX482" s="329"/>
      <c r="GQY482" s="329"/>
      <c r="GQZ482" s="329"/>
      <c r="GRA482" s="329"/>
      <c r="GRB482" s="329"/>
      <c r="GRC482" s="329"/>
      <c r="GRD482" s="329"/>
      <c r="GRE482" s="329"/>
      <c r="GRF482" s="329"/>
      <c r="GRG482" s="329"/>
      <c r="GRH482" s="329"/>
      <c r="GRI482" s="329"/>
      <c r="GRJ482" s="329"/>
      <c r="GRK482" s="329"/>
      <c r="GRL482" s="329"/>
      <c r="GRM482" s="329"/>
      <c r="GRN482" s="329"/>
      <c r="GRO482" s="329"/>
      <c r="GRP482" s="329"/>
      <c r="GRQ482" s="329"/>
      <c r="GRR482" s="329"/>
      <c r="GRS482" s="329"/>
      <c r="GRT482" s="329"/>
      <c r="GRU482" s="329"/>
      <c r="GRV482" s="329"/>
      <c r="GRW482" s="329"/>
      <c r="GRX482" s="329"/>
      <c r="GRY482" s="329"/>
      <c r="GRZ482" s="329"/>
      <c r="GSA482" s="329"/>
      <c r="GSB482" s="329"/>
      <c r="GSC482" s="329"/>
      <c r="GSD482" s="329"/>
      <c r="GSE482" s="329"/>
      <c r="GSF482" s="329"/>
      <c r="GSG482" s="329"/>
      <c r="GSH482" s="329"/>
      <c r="GSI482" s="329"/>
      <c r="GSJ482" s="329"/>
      <c r="GSK482" s="329"/>
      <c r="GSL482" s="329"/>
      <c r="GSM482" s="329"/>
      <c r="GSN482" s="329"/>
      <c r="GSO482" s="329"/>
      <c r="GSP482" s="329"/>
      <c r="GSQ482" s="329"/>
      <c r="GSR482" s="329"/>
      <c r="GSS482" s="329"/>
      <c r="GST482" s="329"/>
      <c r="GSU482" s="329"/>
      <c r="GSV482" s="329"/>
      <c r="GSW482" s="329"/>
      <c r="GSX482" s="329"/>
      <c r="GSY482" s="329"/>
      <c r="GSZ482" s="329"/>
      <c r="GTA482" s="329"/>
      <c r="GTB482" s="329"/>
      <c r="GTC482" s="329"/>
      <c r="GTD482" s="329"/>
      <c r="GTE482" s="329"/>
      <c r="GTF482" s="329"/>
      <c r="GTG482" s="329"/>
      <c r="GTH482" s="329"/>
      <c r="GTI482" s="329"/>
      <c r="GTJ482" s="329"/>
      <c r="GTK482" s="329"/>
      <c r="GTL482" s="329"/>
      <c r="GTM482" s="329"/>
      <c r="GTN482" s="329"/>
      <c r="GTO482" s="329"/>
      <c r="GTP482" s="329"/>
      <c r="GTQ482" s="329"/>
      <c r="GTR482" s="329"/>
      <c r="GTS482" s="329"/>
      <c r="GTT482" s="329"/>
      <c r="GTU482" s="329"/>
      <c r="GTV482" s="329"/>
      <c r="GTW482" s="329"/>
      <c r="GTX482" s="329"/>
      <c r="GTY482" s="329"/>
      <c r="GTZ482" s="329"/>
      <c r="GUA482" s="329"/>
      <c r="GUB482" s="329"/>
      <c r="GUC482" s="329"/>
      <c r="GUD482" s="329"/>
      <c r="GUE482" s="329"/>
      <c r="GUF482" s="329"/>
      <c r="GUG482" s="329"/>
      <c r="GUH482" s="329"/>
      <c r="GUI482" s="329"/>
      <c r="GUJ482" s="329"/>
      <c r="GUK482" s="329"/>
      <c r="GUL482" s="329"/>
      <c r="GUM482" s="329"/>
      <c r="GUN482" s="329"/>
      <c r="GUO482" s="329"/>
      <c r="GUP482" s="329"/>
      <c r="GUQ482" s="329"/>
      <c r="GUR482" s="329"/>
      <c r="GUS482" s="329"/>
      <c r="GUT482" s="329"/>
      <c r="GUU482" s="329"/>
      <c r="GUV482" s="329"/>
      <c r="GUW482" s="329"/>
      <c r="GUX482" s="329"/>
      <c r="GUY482" s="329"/>
      <c r="GUZ482" s="329"/>
      <c r="GVA482" s="329"/>
      <c r="GVB482" s="329"/>
      <c r="GVC482" s="329"/>
      <c r="GVD482" s="329"/>
      <c r="GVE482" s="329"/>
      <c r="GVF482" s="329"/>
      <c r="GVG482" s="329"/>
      <c r="GVH482" s="329"/>
      <c r="GVI482" s="329"/>
      <c r="GVJ482" s="329"/>
      <c r="GVK482" s="329"/>
      <c r="GVL482" s="329"/>
      <c r="GVM482" s="329"/>
      <c r="GVN482" s="329"/>
      <c r="GVO482" s="329"/>
      <c r="GVP482" s="329"/>
      <c r="GVQ482" s="329"/>
      <c r="GVR482" s="329"/>
      <c r="GVS482" s="329"/>
      <c r="GVT482" s="329"/>
      <c r="GVU482" s="329"/>
      <c r="GVV482" s="329"/>
      <c r="GVW482" s="329"/>
      <c r="GVX482" s="329"/>
      <c r="GVY482" s="329"/>
      <c r="GVZ482" s="329"/>
      <c r="GWA482" s="329"/>
      <c r="GWB482" s="329"/>
      <c r="GWC482" s="329"/>
      <c r="GWD482" s="329"/>
      <c r="GWE482" s="329"/>
      <c r="GWF482" s="329"/>
      <c r="GWG482" s="329"/>
      <c r="GWH482" s="329"/>
      <c r="GWI482" s="329"/>
      <c r="GWJ482" s="329"/>
      <c r="GWK482" s="329"/>
      <c r="GWL482" s="329"/>
      <c r="GWM482" s="329"/>
      <c r="GWN482" s="329"/>
      <c r="GWO482" s="329"/>
      <c r="GWP482" s="329"/>
      <c r="GWQ482" s="329"/>
      <c r="GWR482" s="329"/>
      <c r="GWS482" s="329"/>
      <c r="GWT482" s="329"/>
      <c r="GWU482" s="329"/>
      <c r="GWV482" s="329"/>
      <c r="GWW482" s="329"/>
      <c r="GWX482" s="329"/>
      <c r="GWY482" s="329"/>
      <c r="GWZ482" s="329"/>
      <c r="GXA482" s="329"/>
      <c r="GXB482" s="329"/>
      <c r="GXC482" s="329"/>
      <c r="GXD482" s="329"/>
      <c r="GXE482" s="329"/>
      <c r="GXF482" s="329"/>
      <c r="GXG482" s="329"/>
      <c r="GXH482" s="329"/>
      <c r="GXI482" s="329"/>
      <c r="GXJ482" s="329"/>
      <c r="GXK482" s="329"/>
      <c r="GXL482" s="329"/>
      <c r="GXM482" s="329"/>
      <c r="GXN482" s="329"/>
      <c r="GXO482" s="329"/>
      <c r="GXP482" s="329"/>
      <c r="GXQ482" s="329"/>
      <c r="GXR482" s="329"/>
      <c r="GXS482" s="329"/>
      <c r="GXT482" s="329"/>
      <c r="GXU482" s="329"/>
      <c r="GXV482" s="329"/>
      <c r="GXW482" s="329"/>
      <c r="GXX482" s="329"/>
      <c r="GXY482" s="329"/>
      <c r="GXZ482" s="329"/>
      <c r="GYA482" s="329"/>
      <c r="GYB482" s="329"/>
      <c r="GYC482" s="329"/>
      <c r="GYD482" s="329"/>
      <c r="GYE482" s="329"/>
      <c r="GYF482" s="329"/>
      <c r="GYG482" s="329"/>
      <c r="GYH482" s="329"/>
      <c r="GYI482" s="329"/>
      <c r="GYJ482" s="329"/>
      <c r="GYK482" s="329"/>
      <c r="GYL482" s="329"/>
      <c r="GYM482" s="329"/>
      <c r="GYN482" s="329"/>
      <c r="GYO482" s="329"/>
      <c r="GYP482" s="329"/>
      <c r="GYQ482" s="329"/>
      <c r="GYR482" s="329"/>
      <c r="GYS482" s="329"/>
      <c r="GYT482" s="329"/>
      <c r="GYU482" s="329"/>
      <c r="GYV482" s="329"/>
      <c r="GYW482" s="329"/>
      <c r="GYX482" s="329"/>
      <c r="GYY482" s="329"/>
      <c r="GYZ482" s="329"/>
      <c r="GZA482" s="329"/>
      <c r="GZB482" s="329"/>
      <c r="GZC482" s="329"/>
      <c r="GZD482" s="329"/>
      <c r="GZE482" s="329"/>
      <c r="GZF482" s="329"/>
      <c r="GZG482" s="329"/>
      <c r="GZH482" s="329"/>
      <c r="GZI482" s="329"/>
      <c r="GZJ482" s="329"/>
      <c r="GZK482" s="329"/>
      <c r="GZL482" s="329"/>
      <c r="GZM482" s="329"/>
      <c r="GZN482" s="329"/>
      <c r="GZO482" s="329"/>
      <c r="GZP482" s="329"/>
      <c r="GZQ482" s="329"/>
      <c r="GZR482" s="329"/>
      <c r="GZS482" s="329"/>
      <c r="GZT482" s="329"/>
      <c r="GZU482" s="329"/>
      <c r="GZV482" s="329"/>
      <c r="GZW482" s="329"/>
      <c r="GZX482" s="329"/>
      <c r="GZY482" s="329"/>
      <c r="GZZ482" s="329"/>
      <c r="HAA482" s="329"/>
      <c r="HAB482" s="329"/>
      <c r="HAC482" s="329"/>
      <c r="HAD482" s="329"/>
      <c r="HAE482" s="329"/>
      <c r="HAF482" s="329"/>
      <c r="HAG482" s="329"/>
      <c r="HAH482" s="329"/>
      <c r="HAI482" s="329"/>
      <c r="HAJ482" s="329"/>
      <c r="HAK482" s="329"/>
      <c r="HAL482" s="329"/>
      <c r="HAM482" s="329"/>
      <c r="HAN482" s="329"/>
      <c r="HAO482" s="329"/>
      <c r="HAP482" s="329"/>
      <c r="HAQ482" s="329"/>
      <c r="HAR482" s="329"/>
      <c r="HAS482" s="329"/>
      <c r="HAT482" s="329"/>
      <c r="HAU482" s="329"/>
      <c r="HAV482" s="329"/>
      <c r="HAW482" s="329"/>
      <c r="HAX482" s="329"/>
      <c r="HAY482" s="329"/>
      <c r="HAZ482" s="329"/>
      <c r="HBA482" s="329"/>
      <c r="HBB482" s="329"/>
      <c r="HBC482" s="329"/>
      <c r="HBD482" s="329"/>
      <c r="HBE482" s="329"/>
      <c r="HBF482" s="329"/>
      <c r="HBG482" s="329"/>
      <c r="HBH482" s="329"/>
      <c r="HBI482" s="329"/>
      <c r="HBJ482" s="329"/>
      <c r="HBK482" s="329"/>
      <c r="HBL482" s="329"/>
      <c r="HBM482" s="329"/>
      <c r="HBN482" s="329"/>
      <c r="HBO482" s="329"/>
      <c r="HBP482" s="329"/>
      <c r="HBQ482" s="329"/>
      <c r="HBR482" s="329"/>
      <c r="HBS482" s="329"/>
      <c r="HBT482" s="329"/>
      <c r="HBU482" s="329"/>
      <c r="HBV482" s="329"/>
      <c r="HBW482" s="329"/>
      <c r="HBX482" s="329"/>
      <c r="HBY482" s="329"/>
      <c r="HBZ482" s="329"/>
      <c r="HCA482" s="329"/>
      <c r="HCB482" s="329"/>
      <c r="HCC482" s="329"/>
      <c r="HCD482" s="329"/>
      <c r="HCE482" s="329"/>
      <c r="HCF482" s="329"/>
      <c r="HCG482" s="329"/>
      <c r="HCH482" s="329"/>
      <c r="HCI482" s="329"/>
      <c r="HCJ482" s="329"/>
      <c r="HCK482" s="329"/>
      <c r="HCL482" s="329"/>
      <c r="HCM482" s="329"/>
      <c r="HCN482" s="329"/>
      <c r="HCO482" s="329"/>
      <c r="HCP482" s="329"/>
      <c r="HCQ482" s="329"/>
      <c r="HCR482" s="329"/>
      <c r="HCS482" s="329"/>
      <c r="HCT482" s="329"/>
      <c r="HCU482" s="329"/>
      <c r="HCV482" s="329"/>
      <c r="HCW482" s="329"/>
      <c r="HCX482" s="329"/>
      <c r="HCY482" s="329"/>
      <c r="HCZ482" s="329"/>
      <c r="HDA482" s="329"/>
      <c r="HDB482" s="329"/>
      <c r="HDC482" s="329"/>
      <c r="HDD482" s="329"/>
      <c r="HDE482" s="329"/>
      <c r="HDF482" s="329"/>
      <c r="HDG482" s="329"/>
      <c r="HDH482" s="329"/>
      <c r="HDI482" s="329"/>
      <c r="HDJ482" s="329"/>
      <c r="HDK482" s="329"/>
      <c r="HDL482" s="329"/>
      <c r="HDM482" s="329"/>
      <c r="HDN482" s="329"/>
      <c r="HDO482" s="329"/>
      <c r="HDP482" s="329"/>
      <c r="HDQ482" s="329"/>
      <c r="HDR482" s="329"/>
      <c r="HDS482" s="329"/>
      <c r="HDT482" s="329"/>
      <c r="HDU482" s="329"/>
      <c r="HDV482" s="329"/>
      <c r="HDW482" s="329"/>
      <c r="HDX482" s="329"/>
      <c r="HDY482" s="329"/>
      <c r="HDZ482" s="329"/>
      <c r="HEA482" s="329"/>
      <c r="HEB482" s="329"/>
      <c r="HEC482" s="329"/>
      <c r="HED482" s="329"/>
      <c r="HEE482" s="329"/>
      <c r="HEF482" s="329"/>
      <c r="HEG482" s="329"/>
      <c r="HEH482" s="329"/>
      <c r="HEI482" s="329"/>
      <c r="HEJ482" s="329"/>
      <c r="HEK482" s="329"/>
      <c r="HEL482" s="329"/>
      <c r="HEM482" s="329"/>
      <c r="HEN482" s="329"/>
      <c r="HEO482" s="329"/>
      <c r="HEP482" s="329"/>
      <c r="HEQ482" s="329"/>
      <c r="HER482" s="329"/>
      <c r="HES482" s="329"/>
      <c r="HET482" s="329"/>
      <c r="HEU482" s="329"/>
      <c r="HEV482" s="329"/>
      <c r="HEW482" s="329"/>
      <c r="HEX482" s="329"/>
      <c r="HEY482" s="329"/>
      <c r="HEZ482" s="329"/>
      <c r="HFA482" s="329"/>
      <c r="HFB482" s="329"/>
      <c r="HFC482" s="329"/>
      <c r="HFD482" s="329"/>
      <c r="HFE482" s="329"/>
      <c r="HFF482" s="329"/>
      <c r="HFG482" s="329"/>
      <c r="HFH482" s="329"/>
      <c r="HFI482" s="329"/>
      <c r="HFJ482" s="329"/>
      <c r="HFK482" s="329"/>
      <c r="HFL482" s="329"/>
      <c r="HFM482" s="329"/>
      <c r="HFN482" s="329"/>
      <c r="HFO482" s="329"/>
      <c r="HFP482" s="329"/>
      <c r="HFQ482" s="329"/>
      <c r="HFR482" s="329"/>
      <c r="HFS482" s="329"/>
      <c r="HFT482" s="329"/>
      <c r="HFU482" s="329"/>
      <c r="HFV482" s="329"/>
      <c r="HFW482" s="329"/>
      <c r="HFX482" s="329"/>
      <c r="HFY482" s="329"/>
      <c r="HFZ482" s="329"/>
      <c r="HGA482" s="329"/>
      <c r="HGB482" s="329"/>
      <c r="HGC482" s="329"/>
      <c r="HGD482" s="329"/>
      <c r="HGE482" s="329"/>
      <c r="HGF482" s="329"/>
      <c r="HGG482" s="329"/>
      <c r="HGH482" s="329"/>
      <c r="HGI482" s="329"/>
      <c r="HGJ482" s="329"/>
      <c r="HGK482" s="329"/>
      <c r="HGL482" s="329"/>
      <c r="HGM482" s="329"/>
      <c r="HGN482" s="329"/>
      <c r="HGO482" s="329"/>
      <c r="HGP482" s="329"/>
      <c r="HGQ482" s="329"/>
      <c r="HGR482" s="329"/>
      <c r="HGS482" s="329"/>
      <c r="HGT482" s="329"/>
      <c r="HGU482" s="329"/>
      <c r="HGV482" s="329"/>
      <c r="HGW482" s="329"/>
      <c r="HGX482" s="329"/>
      <c r="HGY482" s="329"/>
      <c r="HGZ482" s="329"/>
      <c r="HHA482" s="329"/>
      <c r="HHB482" s="329"/>
      <c r="HHC482" s="329"/>
      <c r="HHD482" s="329"/>
      <c r="HHE482" s="329"/>
      <c r="HHF482" s="329"/>
      <c r="HHG482" s="329"/>
      <c r="HHH482" s="329"/>
      <c r="HHI482" s="329"/>
      <c r="HHJ482" s="329"/>
      <c r="HHK482" s="329"/>
      <c r="HHL482" s="329"/>
      <c r="HHM482" s="329"/>
      <c r="HHN482" s="329"/>
      <c r="HHO482" s="329"/>
      <c r="HHP482" s="329"/>
      <c r="HHQ482" s="329"/>
      <c r="HHR482" s="329"/>
      <c r="HHS482" s="329"/>
      <c r="HHT482" s="329"/>
      <c r="HHU482" s="329"/>
      <c r="HHV482" s="329"/>
      <c r="HHW482" s="329"/>
      <c r="HHX482" s="329"/>
      <c r="HHY482" s="329"/>
      <c r="HHZ482" s="329"/>
      <c r="HIA482" s="329"/>
      <c r="HIB482" s="329"/>
      <c r="HIC482" s="329"/>
      <c r="HID482" s="329"/>
      <c r="HIE482" s="329"/>
      <c r="HIF482" s="329"/>
      <c r="HIG482" s="329"/>
      <c r="HIH482" s="329"/>
      <c r="HII482" s="329"/>
      <c r="HIJ482" s="329"/>
      <c r="HIK482" s="329"/>
      <c r="HIL482" s="329"/>
      <c r="HIM482" s="329"/>
      <c r="HIN482" s="329"/>
      <c r="HIO482" s="329"/>
      <c r="HIP482" s="329"/>
      <c r="HIQ482" s="329"/>
      <c r="HIR482" s="329"/>
      <c r="HIS482" s="329"/>
      <c r="HIT482" s="329"/>
      <c r="HIU482" s="329"/>
      <c r="HIV482" s="329"/>
      <c r="HIW482" s="329"/>
      <c r="HIX482" s="329"/>
      <c r="HIY482" s="329"/>
      <c r="HIZ482" s="329"/>
      <c r="HJA482" s="329"/>
      <c r="HJB482" s="329"/>
      <c r="HJC482" s="329"/>
      <c r="HJD482" s="329"/>
      <c r="HJE482" s="329"/>
      <c r="HJF482" s="329"/>
      <c r="HJG482" s="329"/>
      <c r="HJH482" s="329"/>
      <c r="HJI482" s="329"/>
      <c r="HJJ482" s="329"/>
      <c r="HJK482" s="329"/>
      <c r="HJL482" s="329"/>
      <c r="HJM482" s="329"/>
      <c r="HJN482" s="329"/>
      <c r="HJO482" s="329"/>
      <c r="HJP482" s="329"/>
      <c r="HJQ482" s="329"/>
      <c r="HJR482" s="329"/>
      <c r="HJS482" s="329"/>
      <c r="HJT482" s="329"/>
      <c r="HJU482" s="329"/>
      <c r="HJV482" s="329"/>
      <c r="HJW482" s="329"/>
      <c r="HJX482" s="329"/>
      <c r="HJY482" s="329"/>
      <c r="HJZ482" s="329"/>
      <c r="HKA482" s="329"/>
      <c r="HKB482" s="329"/>
      <c r="HKC482" s="329"/>
      <c r="HKD482" s="329"/>
      <c r="HKE482" s="329"/>
      <c r="HKF482" s="329"/>
      <c r="HKG482" s="329"/>
      <c r="HKH482" s="329"/>
      <c r="HKI482" s="329"/>
      <c r="HKJ482" s="329"/>
      <c r="HKK482" s="329"/>
      <c r="HKL482" s="329"/>
      <c r="HKM482" s="329"/>
      <c r="HKN482" s="329"/>
      <c r="HKO482" s="329"/>
      <c r="HKP482" s="329"/>
      <c r="HKQ482" s="329"/>
      <c r="HKR482" s="329"/>
      <c r="HKS482" s="329"/>
      <c r="HKT482" s="329"/>
      <c r="HKU482" s="329"/>
      <c r="HKV482" s="329"/>
      <c r="HKW482" s="329"/>
      <c r="HKX482" s="329"/>
      <c r="HKY482" s="329"/>
      <c r="HKZ482" s="329"/>
      <c r="HLA482" s="329"/>
      <c r="HLB482" s="329"/>
      <c r="HLC482" s="329"/>
      <c r="HLD482" s="329"/>
      <c r="HLE482" s="329"/>
      <c r="HLF482" s="329"/>
      <c r="HLG482" s="329"/>
      <c r="HLH482" s="329"/>
      <c r="HLI482" s="329"/>
      <c r="HLJ482" s="329"/>
      <c r="HLK482" s="329"/>
      <c r="HLL482" s="329"/>
      <c r="HLM482" s="329"/>
      <c r="HLN482" s="329"/>
      <c r="HLO482" s="329"/>
      <c r="HLP482" s="329"/>
      <c r="HLQ482" s="329"/>
      <c r="HLR482" s="329"/>
      <c r="HLS482" s="329"/>
      <c r="HLT482" s="329"/>
      <c r="HLU482" s="329"/>
      <c r="HLV482" s="329"/>
      <c r="HLW482" s="329"/>
      <c r="HLX482" s="329"/>
      <c r="HLY482" s="329"/>
      <c r="HLZ482" s="329"/>
      <c r="HMA482" s="329"/>
      <c r="HMB482" s="329"/>
      <c r="HMC482" s="329"/>
      <c r="HMD482" s="329"/>
      <c r="HME482" s="329"/>
      <c r="HMF482" s="329"/>
      <c r="HMG482" s="329"/>
      <c r="HMH482" s="329"/>
      <c r="HMI482" s="329"/>
      <c r="HMJ482" s="329"/>
      <c r="HMK482" s="329"/>
      <c r="HML482" s="329"/>
      <c r="HMM482" s="329"/>
      <c r="HMN482" s="329"/>
      <c r="HMO482" s="329"/>
      <c r="HMP482" s="329"/>
      <c r="HMQ482" s="329"/>
      <c r="HMR482" s="329"/>
      <c r="HMS482" s="329"/>
      <c r="HMT482" s="329"/>
      <c r="HMU482" s="329"/>
      <c r="HMV482" s="329"/>
      <c r="HMW482" s="329"/>
      <c r="HMX482" s="329"/>
      <c r="HMY482" s="329"/>
      <c r="HMZ482" s="329"/>
      <c r="HNA482" s="329"/>
      <c r="HNB482" s="329"/>
      <c r="HNC482" s="329"/>
      <c r="HND482" s="329"/>
      <c r="HNE482" s="329"/>
      <c r="HNF482" s="329"/>
      <c r="HNG482" s="329"/>
      <c r="HNH482" s="329"/>
      <c r="HNI482" s="329"/>
      <c r="HNJ482" s="329"/>
      <c r="HNK482" s="329"/>
      <c r="HNL482" s="329"/>
      <c r="HNM482" s="329"/>
      <c r="HNN482" s="329"/>
      <c r="HNO482" s="329"/>
      <c r="HNP482" s="329"/>
      <c r="HNQ482" s="329"/>
      <c r="HNR482" s="329"/>
      <c r="HNS482" s="329"/>
      <c r="HNT482" s="329"/>
      <c r="HNU482" s="329"/>
      <c r="HNV482" s="329"/>
      <c r="HNW482" s="329"/>
      <c r="HNX482" s="329"/>
      <c r="HNY482" s="329"/>
      <c r="HNZ482" s="329"/>
      <c r="HOA482" s="329"/>
      <c r="HOB482" s="329"/>
      <c r="HOC482" s="329"/>
      <c r="HOD482" s="329"/>
      <c r="HOE482" s="329"/>
      <c r="HOF482" s="329"/>
      <c r="HOG482" s="329"/>
      <c r="HOH482" s="329"/>
      <c r="HOI482" s="329"/>
      <c r="HOJ482" s="329"/>
      <c r="HOK482" s="329"/>
      <c r="HOL482" s="329"/>
      <c r="HOM482" s="329"/>
      <c r="HON482" s="329"/>
      <c r="HOO482" s="329"/>
      <c r="HOP482" s="329"/>
      <c r="HOQ482" s="329"/>
      <c r="HOR482" s="329"/>
      <c r="HOS482" s="329"/>
      <c r="HOT482" s="329"/>
      <c r="HOU482" s="329"/>
      <c r="HOV482" s="329"/>
      <c r="HOW482" s="329"/>
      <c r="HOX482" s="329"/>
      <c r="HOY482" s="329"/>
      <c r="HOZ482" s="329"/>
      <c r="HPA482" s="329"/>
      <c r="HPB482" s="329"/>
      <c r="HPC482" s="329"/>
      <c r="HPD482" s="329"/>
      <c r="HPE482" s="329"/>
      <c r="HPF482" s="329"/>
      <c r="HPG482" s="329"/>
      <c r="HPH482" s="329"/>
      <c r="HPI482" s="329"/>
      <c r="HPJ482" s="329"/>
      <c r="HPK482" s="329"/>
      <c r="HPL482" s="329"/>
      <c r="HPM482" s="329"/>
      <c r="HPN482" s="329"/>
      <c r="HPO482" s="329"/>
      <c r="HPP482" s="329"/>
      <c r="HPQ482" s="329"/>
      <c r="HPR482" s="329"/>
      <c r="HPS482" s="329"/>
      <c r="HPT482" s="329"/>
      <c r="HPU482" s="329"/>
      <c r="HPV482" s="329"/>
      <c r="HPW482" s="329"/>
      <c r="HPX482" s="329"/>
      <c r="HPY482" s="329"/>
      <c r="HPZ482" s="329"/>
      <c r="HQA482" s="329"/>
      <c r="HQB482" s="329"/>
      <c r="HQC482" s="329"/>
      <c r="HQD482" s="329"/>
      <c r="HQE482" s="329"/>
      <c r="HQF482" s="329"/>
      <c r="HQG482" s="329"/>
      <c r="HQH482" s="329"/>
      <c r="HQI482" s="329"/>
      <c r="HQJ482" s="329"/>
      <c r="HQK482" s="329"/>
      <c r="HQL482" s="329"/>
      <c r="HQM482" s="329"/>
      <c r="HQN482" s="329"/>
      <c r="HQO482" s="329"/>
      <c r="HQP482" s="329"/>
      <c r="HQQ482" s="329"/>
      <c r="HQR482" s="329"/>
      <c r="HQS482" s="329"/>
      <c r="HQT482" s="329"/>
      <c r="HQU482" s="329"/>
      <c r="HQV482" s="329"/>
      <c r="HQW482" s="329"/>
      <c r="HQX482" s="329"/>
      <c r="HQY482" s="329"/>
      <c r="HQZ482" s="329"/>
      <c r="HRA482" s="329"/>
      <c r="HRB482" s="329"/>
      <c r="HRC482" s="329"/>
      <c r="HRD482" s="329"/>
      <c r="HRE482" s="329"/>
      <c r="HRF482" s="329"/>
      <c r="HRG482" s="329"/>
      <c r="HRH482" s="329"/>
      <c r="HRI482" s="329"/>
      <c r="HRJ482" s="329"/>
      <c r="HRK482" s="329"/>
      <c r="HRL482" s="329"/>
      <c r="HRM482" s="329"/>
      <c r="HRN482" s="329"/>
      <c r="HRO482" s="329"/>
      <c r="HRP482" s="329"/>
      <c r="HRQ482" s="329"/>
      <c r="HRR482" s="329"/>
      <c r="HRS482" s="329"/>
      <c r="HRT482" s="329"/>
      <c r="HRU482" s="329"/>
      <c r="HRV482" s="329"/>
      <c r="HRW482" s="329"/>
      <c r="HRX482" s="329"/>
      <c r="HRY482" s="329"/>
      <c r="HRZ482" s="329"/>
      <c r="HSA482" s="329"/>
      <c r="HSB482" s="329"/>
      <c r="HSC482" s="329"/>
      <c r="HSD482" s="329"/>
      <c r="HSE482" s="329"/>
      <c r="HSF482" s="329"/>
      <c r="HSG482" s="329"/>
      <c r="HSH482" s="329"/>
      <c r="HSI482" s="329"/>
      <c r="HSJ482" s="329"/>
      <c r="HSK482" s="329"/>
      <c r="HSL482" s="329"/>
      <c r="HSM482" s="329"/>
      <c r="HSN482" s="329"/>
      <c r="HSO482" s="329"/>
      <c r="HSP482" s="329"/>
      <c r="HSQ482" s="329"/>
      <c r="HSR482" s="329"/>
      <c r="HSS482" s="329"/>
      <c r="HST482" s="329"/>
      <c r="HSU482" s="329"/>
      <c r="HSV482" s="329"/>
      <c r="HSW482" s="329"/>
      <c r="HSX482" s="329"/>
      <c r="HSY482" s="329"/>
      <c r="HSZ482" s="329"/>
      <c r="HTA482" s="329"/>
      <c r="HTB482" s="329"/>
      <c r="HTC482" s="329"/>
      <c r="HTD482" s="329"/>
      <c r="HTE482" s="329"/>
      <c r="HTF482" s="329"/>
      <c r="HTG482" s="329"/>
      <c r="HTH482" s="329"/>
      <c r="HTI482" s="329"/>
      <c r="HTJ482" s="329"/>
      <c r="HTK482" s="329"/>
      <c r="HTL482" s="329"/>
      <c r="HTM482" s="329"/>
      <c r="HTN482" s="329"/>
      <c r="HTO482" s="329"/>
      <c r="HTP482" s="329"/>
      <c r="HTQ482" s="329"/>
      <c r="HTR482" s="329"/>
      <c r="HTS482" s="329"/>
      <c r="HTT482" s="329"/>
      <c r="HTU482" s="329"/>
      <c r="HTV482" s="329"/>
      <c r="HTW482" s="329"/>
      <c r="HTX482" s="329"/>
      <c r="HTY482" s="329"/>
      <c r="HTZ482" s="329"/>
      <c r="HUA482" s="329"/>
      <c r="HUB482" s="329"/>
      <c r="HUC482" s="329"/>
      <c r="HUD482" s="329"/>
      <c r="HUE482" s="329"/>
      <c r="HUF482" s="329"/>
      <c r="HUG482" s="329"/>
      <c r="HUH482" s="329"/>
      <c r="HUI482" s="329"/>
      <c r="HUJ482" s="329"/>
      <c r="HUK482" s="329"/>
      <c r="HUL482" s="329"/>
      <c r="HUM482" s="329"/>
      <c r="HUN482" s="329"/>
      <c r="HUO482" s="329"/>
      <c r="HUP482" s="329"/>
      <c r="HUQ482" s="329"/>
      <c r="HUR482" s="329"/>
      <c r="HUS482" s="329"/>
      <c r="HUT482" s="329"/>
      <c r="HUU482" s="329"/>
      <c r="HUV482" s="329"/>
      <c r="HUW482" s="329"/>
      <c r="HUX482" s="329"/>
      <c r="HUY482" s="329"/>
      <c r="HUZ482" s="329"/>
      <c r="HVA482" s="329"/>
      <c r="HVB482" s="329"/>
      <c r="HVC482" s="329"/>
      <c r="HVD482" s="329"/>
      <c r="HVE482" s="329"/>
      <c r="HVF482" s="329"/>
      <c r="HVG482" s="329"/>
      <c r="HVH482" s="329"/>
      <c r="HVI482" s="329"/>
      <c r="HVJ482" s="329"/>
      <c r="HVK482" s="329"/>
      <c r="HVL482" s="329"/>
      <c r="HVM482" s="329"/>
      <c r="HVN482" s="329"/>
      <c r="HVO482" s="329"/>
      <c r="HVP482" s="329"/>
      <c r="HVQ482" s="329"/>
      <c r="HVR482" s="329"/>
      <c r="HVS482" s="329"/>
      <c r="HVT482" s="329"/>
      <c r="HVU482" s="329"/>
      <c r="HVV482" s="329"/>
      <c r="HVW482" s="329"/>
      <c r="HVX482" s="329"/>
      <c r="HVY482" s="329"/>
      <c r="HVZ482" s="329"/>
      <c r="HWA482" s="329"/>
      <c r="HWB482" s="329"/>
      <c r="HWC482" s="329"/>
      <c r="HWD482" s="329"/>
      <c r="HWE482" s="329"/>
      <c r="HWF482" s="329"/>
      <c r="HWG482" s="329"/>
      <c r="HWH482" s="329"/>
      <c r="HWI482" s="329"/>
      <c r="HWJ482" s="329"/>
      <c r="HWK482" s="329"/>
      <c r="HWL482" s="329"/>
      <c r="HWM482" s="329"/>
      <c r="HWN482" s="329"/>
      <c r="HWO482" s="329"/>
      <c r="HWP482" s="329"/>
      <c r="HWQ482" s="329"/>
      <c r="HWR482" s="329"/>
      <c r="HWS482" s="329"/>
      <c r="HWT482" s="329"/>
      <c r="HWU482" s="329"/>
      <c r="HWV482" s="329"/>
      <c r="HWW482" s="329"/>
      <c r="HWX482" s="329"/>
      <c r="HWY482" s="329"/>
      <c r="HWZ482" s="329"/>
      <c r="HXA482" s="329"/>
      <c r="HXB482" s="329"/>
      <c r="HXC482" s="329"/>
      <c r="HXD482" s="329"/>
      <c r="HXE482" s="329"/>
      <c r="HXF482" s="329"/>
      <c r="HXG482" s="329"/>
      <c r="HXH482" s="329"/>
      <c r="HXI482" s="329"/>
      <c r="HXJ482" s="329"/>
      <c r="HXK482" s="329"/>
      <c r="HXL482" s="329"/>
      <c r="HXM482" s="329"/>
      <c r="HXN482" s="329"/>
      <c r="HXO482" s="329"/>
      <c r="HXP482" s="329"/>
      <c r="HXQ482" s="329"/>
      <c r="HXR482" s="329"/>
      <c r="HXS482" s="329"/>
      <c r="HXT482" s="329"/>
      <c r="HXU482" s="329"/>
      <c r="HXV482" s="329"/>
      <c r="HXW482" s="329"/>
      <c r="HXX482" s="329"/>
      <c r="HXY482" s="329"/>
      <c r="HXZ482" s="329"/>
      <c r="HYA482" s="329"/>
      <c r="HYB482" s="329"/>
      <c r="HYC482" s="329"/>
      <c r="HYD482" s="329"/>
      <c r="HYE482" s="329"/>
      <c r="HYF482" s="329"/>
      <c r="HYG482" s="329"/>
      <c r="HYH482" s="329"/>
      <c r="HYI482" s="329"/>
      <c r="HYJ482" s="329"/>
      <c r="HYK482" s="329"/>
      <c r="HYL482" s="329"/>
      <c r="HYM482" s="329"/>
      <c r="HYN482" s="329"/>
      <c r="HYO482" s="329"/>
      <c r="HYP482" s="329"/>
      <c r="HYQ482" s="329"/>
      <c r="HYR482" s="329"/>
      <c r="HYS482" s="329"/>
      <c r="HYT482" s="329"/>
      <c r="HYU482" s="329"/>
      <c r="HYV482" s="329"/>
      <c r="HYW482" s="329"/>
      <c r="HYX482" s="329"/>
      <c r="HYY482" s="329"/>
      <c r="HYZ482" s="329"/>
      <c r="HZA482" s="329"/>
      <c r="HZB482" s="329"/>
      <c r="HZC482" s="329"/>
      <c r="HZD482" s="329"/>
      <c r="HZE482" s="329"/>
      <c r="HZF482" s="329"/>
      <c r="HZG482" s="329"/>
      <c r="HZH482" s="329"/>
      <c r="HZI482" s="329"/>
      <c r="HZJ482" s="329"/>
      <c r="HZK482" s="329"/>
      <c r="HZL482" s="329"/>
      <c r="HZM482" s="329"/>
      <c r="HZN482" s="329"/>
      <c r="HZO482" s="329"/>
      <c r="HZP482" s="329"/>
      <c r="HZQ482" s="329"/>
      <c r="HZR482" s="329"/>
      <c r="HZS482" s="329"/>
      <c r="HZT482" s="329"/>
      <c r="HZU482" s="329"/>
      <c r="HZV482" s="329"/>
      <c r="HZW482" s="329"/>
      <c r="HZX482" s="329"/>
      <c r="HZY482" s="329"/>
      <c r="HZZ482" s="329"/>
      <c r="IAA482" s="329"/>
      <c r="IAB482" s="329"/>
      <c r="IAC482" s="329"/>
      <c r="IAD482" s="329"/>
      <c r="IAE482" s="329"/>
      <c r="IAF482" s="329"/>
      <c r="IAG482" s="329"/>
      <c r="IAH482" s="329"/>
      <c r="IAI482" s="329"/>
      <c r="IAJ482" s="329"/>
      <c r="IAK482" s="329"/>
      <c r="IAL482" s="329"/>
      <c r="IAM482" s="329"/>
      <c r="IAN482" s="329"/>
      <c r="IAO482" s="329"/>
      <c r="IAP482" s="329"/>
      <c r="IAQ482" s="329"/>
      <c r="IAR482" s="329"/>
      <c r="IAS482" s="329"/>
      <c r="IAT482" s="329"/>
      <c r="IAU482" s="329"/>
      <c r="IAV482" s="329"/>
      <c r="IAW482" s="329"/>
      <c r="IAX482" s="329"/>
      <c r="IAY482" s="329"/>
      <c r="IAZ482" s="329"/>
      <c r="IBA482" s="329"/>
      <c r="IBB482" s="329"/>
      <c r="IBC482" s="329"/>
      <c r="IBD482" s="329"/>
      <c r="IBE482" s="329"/>
      <c r="IBF482" s="329"/>
      <c r="IBG482" s="329"/>
      <c r="IBH482" s="329"/>
      <c r="IBI482" s="329"/>
      <c r="IBJ482" s="329"/>
      <c r="IBK482" s="329"/>
      <c r="IBL482" s="329"/>
      <c r="IBM482" s="329"/>
      <c r="IBN482" s="329"/>
      <c r="IBO482" s="329"/>
      <c r="IBP482" s="329"/>
      <c r="IBQ482" s="329"/>
      <c r="IBR482" s="329"/>
      <c r="IBS482" s="329"/>
      <c r="IBT482" s="329"/>
      <c r="IBU482" s="329"/>
      <c r="IBV482" s="329"/>
      <c r="IBW482" s="329"/>
      <c r="IBX482" s="329"/>
      <c r="IBY482" s="329"/>
      <c r="IBZ482" s="329"/>
      <c r="ICA482" s="329"/>
      <c r="ICB482" s="329"/>
      <c r="ICC482" s="329"/>
      <c r="ICD482" s="329"/>
      <c r="ICE482" s="329"/>
      <c r="ICF482" s="329"/>
      <c r="ICG482" s="329"/>
      <c r="ICH482" s="329"/>
      <c r="ICI482" s="329"/>
      <c r="ICJ482" s="329"/>
      <c r="ICK482" s="329"/>
      <c r="ICL482" s="329"/>
      <c r="ICM482" s="329"/>
      <c r="ICN482" s="329"/>
      <c r="ICO482" s="329"/>
      <c r="ICP482" s="329"/>
      <c r="ICQ482" s="329"/>
      <c r="ICR482" s="329"/>
      <c r="ICS482" s="329"/>
      <c r="ICT482" s="329"/>
      <c r="ICU482" s="329"/>
      <c r="ICV482" s="329"/>
      <c r="ICW482" s="329"/>
      <c r="ICX482" s="329"/>
      <c r="ICY482" s="329"/>
      <c r="ICZ482" s="329"/>
      <c r="IDA482" s="329"/>
      <c r="IDB482" s="329"/>
      <c r="IDC482" s="329"/>
      <c r="IDD482" s="329"/>
      <c r="IDE482" s="329"/>
      <c r="IDF482" s="329"/>
      <c r="IDG482" s="329"/>
      <c r="IDH482" s="329"/>
      <c r="IDI482" s="329"/>
      <c r="IDJ482" s="329"/>
      <c r="IDK482" s="329"/>
      <c r="IDL482" s="329"/>
      <c r="IDM482" s="329"/>
      <c r="IDN482" s="329"/>
      <c r="IDO482" s="329"/>
      <c r="IDP482" s="329"/>
      <c r="IDQ482" s="329"/>
      <c r="IDR482" s="329"/>
      <c r="IDS482" s="329"/>
      <c r="IDT482" s="329"/>
      <c r="IDU482" s="329"/>
      <c r="IDV482" s="329"/>
      <c r="IDW482" s="329"/>
      <c r="IDX482" s="329"/>
      <c r="IDY482" s="329"/>
      <c r="IDZ482" s="329"/>
      <c r="IEA482" s="329"/>
      <c r="IEB482" s="329"/>
      <c r="IEC482" s="329"/>
      <c r="IED482" s="329"/>
      <c r="IEE482" s="329"/>
      <c r="IEF482" s="329"/>
      <c r="IEG482" s="329"/>
      <c r="IEH482" s="329"/>
      <c r="IEI482" s="329"/>
      <c r="IEJ482" s="329"/>
      <c r="IEK482" s="329"/>
      <c r="IEL482" s="329"/>
      <c r="IEM482" s="329"/>
      <c r="IEN482" s="329"/>
      <c r="IEO482" s="329"/>
      <c r="IEP482" s="329"/>
      <c r="IEQ482" s="329"/>
      <c r="IER482" s="329"/>
      <c r="IES482" s="329"/>
      <c r="IET482" s="329"/>
      <c r="IEU482" s="329"/>
      <c r="IEV482" s="329"/>
      <c r="IEW482" s="329"/>
      <c r="IEX482" s="329"/>
      <c r="IEY482" s="329"/>
      <c r="IEZ482" s="329"/>
      <c r="IFA482" s="329"/>
      <c r="IFB482" s="329"/>
      <c r="IFC482" s="329"/>
      <c r="IFD482" s="329"/>
      <c r="IFE482" s="329"/>
      <c r="IFF482" s="329"/>
      <c r="IFG482" s="329"/>
      <c r="IFH482" s="329"/>
      <c r="IFI482" s="329"/>
      <c r="IFJ482" s="329"/>
      <c r="IFK482" s="329"/>
      <c r="IFL482" s="329"/>
      <c r="IFM482" s="329"/>
      <c r="IFN482" s="329"/>
      <c r="IFO482" s="329"/>
      <c r="IFP482" s="329"/>
      <c r="IFQ482" s="329"/>
      <c r="IFR482" s="329"/>
      <c r="IFS482" s="329"/>
      <c r="IFT482" s="329"/>
      <c r="IFU482" s="329"/>
      <c r="IFV482" s="329"/>
      <c r="IFW482" s="329"/>
      <c r="IFX482" s="329"/>
      <c r="IFY482" s="329"/>
      <c r="IFZ482" s="329"/>
      <c r="IGA482" s="329"/>
      <c r="IGB482" s="329"/>
      <c r="IGC482" s="329"/>
      <c r="IGD482" s="329"/>
      <c r="IGE482" s="329"/>
      <c r="IGF482" s="329"/>
      <c r="IGG482" s="329"/>
      <c r="IGH482" s="329"/>
      <c r="IGI482" s="329"/>
      <c r="IGJ482" s="329"/>
      <c r="IGK482" s="329"/>
      <c r="IGL482" s="329"/>
      <c r="IGM482" s="329"/>
      <c r="IGN482" s="329"/>
      <c r="IGO482" s="329"/>
      <c r="IGP482" s="329"/>
      <c r="IGQ482" s="329"/>
      <c r="IGR482" s="329"/>
      <c r="IGS482" s="329"/>
      <c r="IGT482" s="329"/>
      <c r="IGU482" s="329"/>
      <c r="IGV482" s="329"/>
      <c r="IGW482" s="329"/>
      <c r="IGX482" s="329"/>
      <c r="IGY482" s="329"/>
      <c r="IGZ482" s="329"/>
      <c r="IHA482" s="329"/>
      <c r="IHB482" s="329"/>
      <c r="IHC482" s="329"/>
      <c r="IHD482" s="329"/>
      <c r="IHE482" s="329"/>
      <c r="IHF482" s="329"/>
      <c r="IHG482" s="329"/>
      <c r="IHH482" s="329"/>
      <c r="IHI482" s="329"/>
      <c r="IHJ482" s="329"/>
      <c r="IHK482" s="329"/>
      <c r="IHL482" s="329"/>
      <c r="IHM482" s="329"/>
      <c r="IHN482" s="329"/>
      <c r="IHO482" s="329"/>
      <c r="IHP482" s="329"/>
      <c r="IHQ482" s="329"/>
      <c r="IHR482" s="329"/>
      <c r="IHS482" s="329"/>
      <c r="IHT482" s="329"/>
      <c r="IHU482" s="329"/>
      <c r="IHV482" s="329"/>
      <c r="IHW482" s="329"/>
      <c r="IHX482" s="329"/>
      <c r="IHY482" s="329"/>
      <c r="IHZ482" s="329"/>
      <c r="IIA482" s="329"/>
      <c r="IIB482" s="329"/>
      <c r="IIC482" s="329"/>
      <c r="IID482" s="329"/>
      <c r="IIE482" s="329"/>
      <c r="IIF482" s="329"/>
      <c r="IIG482" s="329"/>
      <c r="IIH482" s="329"/>
      <c r="III482" s="329"/>
      <c r="IIJ482" s="329"/>
      <c r="IIK482" s="329"/>
      <c r="IIL482" s="329"/>
      <c r="IIM482" s="329"/>
      <c r="IIN482" s="329"/>
      <c r="IIO482" s="329"/>
      <c r="IIP482" s="329"/>
      <c r="IIQ482" s="329"/>
      <c r="IIR482" s="329"/>
      <c r="IIS482" s="329"/>
      <c r="IIT482" s="329"/>
      <c r="IIU482" s="329"/>
      <c r="IIV482" s="329"/>
      <c r="IIW482" s="329"/>
      <c r="IIX482" s="329"/>
      <c r="IIY482" s="329"/>
      <c r="IIZ482" s="329"/>
      <c r="IJA482" s="329"/>
      <c r="IJB482" s="329"/>
      <c r="IJC482" s="329"/>
      <c r="IJD482" s="329"/>
      <c r="IJE482" s="329"/>
      <c r="IJF482" s="329"/>
      <c r="IJG482" s="329"/>
      <c r="IJH482" s="329"/>
      <c r="IJI482" s="329"/>
      <c r="IJJ482" s="329"/>
      <c r="IJK482" s="329"/>
      <c r="IJL482" s="329"/>
      <c r="IJM482" s="329"/>
      <c r="IJN482" s="329"/>
      <c r="IJO482" s="329"/>
      <c r="IJP482" s="329"/>
      <c r="IJQ482" s="329"/>
      <c r="IJR482" s="329"/>
      <c r="IJS482" s="329"/>
      <c r="IJT482" s="329"/>
      <c r="IJU482" s="329"/>
      <c r="IJV482" s="329"/>
      <c r="IJW482" s="329"/>
      <c r="IJX482" s="329"/>
      <c r="IJY482" s="329"/>
      <c r="IJZ482" s="329"/>
      <c r="IKA482" s="329"/>
      <c r="IKB482" s="329"/>
      <c r="IKC482" s="329"/>
      <c r="IKD482" s="329"/>
      <c r="IKE482" s="329"/>
      <c r="IKF482" s="329"/>
      <c r="IKG482" s="329"/>
      <c r="IKH482" s="329"/>
      <c r="IKI482" s="329"/>
      <c r="IKJ482" s="329"/>
      <c r="IKK482" s="329"/>
      <c r="IKL482" s="329"/>
      <c r="IKM482" s="329"/>
      <c r="IKN482" s="329"/>
      <c r="IKO482" s="329"/>
      <c r="IKP482" s="329"/>
      <c r="IKQ482" s="329"/>
      <c r="IKR482" s="329"/>
      <c r="IKS482" s="329"/>
      <c r="IKT482" s="329"/>
      <c r="IKU482" s="329"/>
      <c r="IKV482" s="329"/>
      <c r="IKW482" s="329"/>
      <c r="IKX482" s="329"/>
      <c r="IKY482" s="329"/>
      <c r="IKZ482" s="329"/>
      <c r="ILA482" s="329"/>
      <c r="ILB482" s="329"/>
      <c r="ILC482" s="329"/>
      <c r="ILD482" s="329"/>
      <c r="ILE482" s="329"/>
      <c r="ILF482" s="329"/>
      <c r="ILG482" s="329"/>
      <c r="ILH482" s="329"/>
      <c r="ILI482" s="329"/>
      <c r="ILJ482" s="329"/>
      <c r="ILK482" s="329"/>
      <c r="ILL482" s="329"/>
      <c r="ILM482" s="329"/>
      <c r="ILN482" s="329"/>
      <c r="ILO482" s="329"/>
      <c r="ILP482" s="329"/>
      <c r="ILQ482" s="329"/>
      <c r="ILR482" s="329"/>
      <c r="ILS482" s="329"/>
      <c r="ILT482" s="329"/>
      <c r="ILU482" s="329"/>
      <c r="ILV482" s="329"/>
      <c r="ILW482" s="329"/>
      <c r="ILX482" s="329"/>
      <c r="ILY482" s="329"/>
      <c r="ILZ482" s="329"/>
      <c r="IMA482" s="329"/>
      <c r="IMB482" s="329"/>
      <c r="IMC482" s="329"/>
      <c r="IMD482" s="329"/>
      <c r="IME482" s="329"/>
      <c r="IMF482" s="329"/>
      <c r="IMG482" s="329"/>
      <c r="IMH482" s="329"/>
      <c r="IMI482" s="329"/>
      <c r="IMJ482" s="329"/>
      <c r="IMK482" s="329"/>
      <c r="IML482" s="329"/>
      <c r="IMM482" s="329"/>
      <c r="IMN482" s="329"/>
      <c r="IMO482" s="329"/>
      <c r="IMP482" s="329"/>
      <c r="IMQ482" s="329"/>
      <c r="IMR482" s="329"/>
      <c r="IMS482" s="329"/>
      <c r="IMT482" s="329"/>
      <c r="IMU482" s="329"/>
      <c r="IMV482" s="329"/>
      <c r="IMW482" s="329"/>
      <c r="IMX482" s="329"/>
      <c r="IMY482" s="329"/>
      <c r="IMZ482" s="329"/>
      <c r="INA482" s="329"/>
      <c r="INB482" s="329"/>
      <c r="INC482" s="329"/>
      <c r="IND482" s="329"/>
      <c r="INE482" s="329"/>
      <c r="INF482" s="329"/>
      <c r="ING482" s="329"/>
      <c r="INH482" s="329"/>
      <c r="INI482" s="329"/>
      <c r="INJ482" s="329"/>
      <c r="INK482" s="329"/>
      <c r="INL482" s="329"/>
      <c r="INM482" s="329"/>
      <c r="INN482" s="329"/>
      <c r="INO482" s="329"/>
      <c r="INP482" s="329"/>
      <c r="INQ482" s="329"/>
      <c r="INR482" s="329"/>
      <c r="INS482" s="329"/>
      <c r="INT482" s="329"/>
      <c r="INU482" s="329"/>
      <c r="INV482" s="329"/>
      <c r="INW482" s="329"/>
      <c r="INX482" s="329"/>
      <c r="INY482" s="329"/>
      <c r="INZ482" s="329"/>
      <c r="IOA482" s="329"/>
      <c r="IOB482" s="329"/>
      <c r="IOC482" s="329"/>
      <c r="IOD482" s="329"/>
      <c r="IOE482" s="329"/>
      <c r="IOF482" s="329"/>
      <c r="IOG482" s="329"/>
      <c r="IOH482" s="329"/>
      <c r="IOI482" s="329"/>
      <c r="IOJ482" s="329"/>
      <c r="IOK482" s="329"/>
      <c r="IOL482" s="329"/>
      <c r="IOM482" s="329"/>
      <c r="ION482" s="329"/>
      <c r="IOO482" s="329"/>
      <c r="IOP482" s="329"/>
      <c r="IOQ482" s="329"/>
      <c r="IOR482" s="329"/>
      <c r="IOS482" s="329"/>
      <c r="IOT482" s="329"/>
      <c r="IOU482" s="329"/>
      <c r="IOV482" s="329"/>
      <c r="IOW482" s="329"/>
      <c r="IOX482" s="329"/>
      <c r="IOY482" s="329"/>
      <c r="IOZ482" s="329"/>
      <c r="IPA482" s="329"/>
      <c r="IPB482" s="329"/>
      <c r="IPC482" s="329"/>
      <c r="IPD482" s="329"/>
      <c r="IPE482" s="329"/>
      <c r="IPF482" s="329"/>
      <c r="IPG482" s="329"/>
      <c r="IPH482" s="329"/>
      <c r="IPI482" s="329"/>
      <c r="IPJ482" s="329"/>
      <c r="IPK482" s="329"/>
      <c r="IPL482" s="329"/>
      <c r="IPM482" s="329"/>
      <c r="IPN482" s="329"/>
      <c r="IPO482" s="329"/>
      <c r="IPP482" s="329"/>
      <c r="IPQ482" s="329"/>
      <c r="IPR482" s="329"/>
      <c r="IPS482" s="329"/>
      <c r="IPT482" s="329"/>
      <c r="IPU482" s="329"/>
      <c r="IPV482" s="329"/>
      <c r="IPW482" s="329"/>
      <c r="IPX482" s="329"/>
      <c r="IPY482" s="329"/>
      <c r="IPZ482" s="329"/>
      <c r="IQA482" s="329"/>
      <c r="IQB482" s="329"/>
      <c r="IQC482" s="329"/>
      <c r="IQD482" s="329"/>
      <c r="IQE482" s="329"/>
      <c r="IQF482" s="329"/>
      <c r="IQG482" s="329"/>
      <c r="IQH482" s="329"/>
      <c r="IQI482" s="329"/>
      <c r="IQJ482" s="329"/>
      <c r="IQK482" s="329"/>
      <c r="IQL482" s="329"/>
      <c r="IQM482" s="329"/>
      <c r="IQN482" s="329"/>
      <c r="IQO482" s="329"/>
      <c r="IQP482" s="329"/>
      <c r="IQQ482" s="329"/>
      <c r="IQR482" s="329"/>
      <c r="IQS482" s="329"/>
      <c r="IQT482" s="329"/>
      <c r="IQU482" s="329"/>
      <c r="IQV482" s="329"/>
      <c r="IQW482" s="329"/>
      <c r="IQX482" s="329"/>
      <c r="IQY482" s="329"/>
      <c r="IQZ482" s="329"/>
      <c r="IRA482" s="329"/>
      <c r="IRB482" s="329"/>
      <c r="IRC482" s="329"/>
      <c r="IRD482" s="329"/>
      <c r="IRE482" s="329"/>
      <c r="IRF482" s="329"/>
      <c r="IRG482" s="329"/>
      <c r="IRH482" s="329"/>
      <c r="IRI482" s="329"/>
      <c r="IRJ482" s="329"/>
      <c r="IRK482" s="329"/>
      <c r="IRL482" s="329"/>
      <c r="IRM482" s="329"/>
      <c r="IRN482" s="329"/>
      <c r="IRO482" s="329"/>
      <c r="IRP482" s="329"/>
      <c r="IRQ482" s="329"/>
      <c r="IRR482" s="329"/>
      <c r="IRS482" s="329"/>
      <c r="IRT482" s="329"/>
      <c r="IRU482" s="329"/>
      <c r="IRV482" s="329"/>
      <c r="IRW482" s="329"/>
      <c r="IRX482" s="329"/>
      <c r="IRY482" s="329"/>
      <c r="IRZ482" s="329"/>
      <c r="ISA482" s="329"/>
      <c r="ISB482" s="329"/>
      <c r="ISC482" s="329"/>
      <c r="ISD482" s="329"/>
      <c r="ISE482" s="329"/>
      <c r="ISF482" s="329"/>
      <c r="ISG482" s="329"/>
      <c r="ISH482" s="329"/>
      <c r="ISI482" s="329"/>
      <c r="ISJ482" s="329"/>
      <c r="ISK482" s="329"/>
      <c r="ISL482" s="329"/>
      <c r="ISM482" s="329"/>
      <c r="ISN482" s="329"/>
      <c r="ISO482" s="329"/>
      <c r="ISP482" s="329"/>
      <c r="ISQ482" s="329"/>
      <c r="ISR482" s="329"/>
      <c r="ISS482" s="329"/>
      <c r="IST482" s="329"/>
      <c r="ISU482" s="329"/>
      <c r="ISV482" s="329"/>
      <c r="ISW482" s="329"/>
      <c r="ISX482" s="329"/>
      <c r="ISY482" s="329"/>
      <c r="ISZ482" s="329"/>
      <c r="ITA482" s="329"/>
      <c r="ITB482" s="329"/>
      <c r="ITC482" s="329"/>
      <c r="ITD482" s="329"/>
      <c r="ITE482" s="329"/>
      <c r="ITF482" s="329"/>
      <c r="ITG482" s="329"/>
      <c r="ITH482" s="329"/>
      <c r="ITI482" s="329"/>
      <c r="ITJ482" s="329"/>
      <c r="ITK482" s="329"/>
      <c r="ITL482" s="329"/>
      <c r="ITM482" s="329"/>
      <c r="ITN482" s="329"/>
      <c r="ITO482" s="329"/>
      <c r="ITP482" s="329"/>
      <c r="ITQ482" s="329"/>
      <c r="ITR482" s="329"/>
      <c r="ITS482" s="329"/>
      <c r="ITT482" s="329"/>
      <c r="ITU482" s="329"/>
      <c r="ITV482" s="329"/>
      <c r="ITW482" s="329"/>
      <c r="ITX482" s="329"/>
      <c r="ITY482" s="329"/>
      <c r="ITZ482" s="329"/>
      <c r="IUA482" s="329"/>
      <c r="IUB482" s="329"/>
      <c r="IUC482" s="329"/>
      <c r="IUD482" s="329"/>
      <c r="IUE482" s="329"/>
      <c r="IUF482" s="329"/>
      <c r="IUG482" s="329"/>
      <c r="IUH482" s="329"/>
      <c r="IUI482" s="329"/>
      <c r="IUJ482" s="329"/>
      <c r="IUK482" s="329"/>
      <c r="IUL482" s="329"/>
      <c r="IUM482" s="329"/>
      <c r="IUN482" s="329"/>
      <c r="IUO482" s="329"/>
      <c r="IUP482" s="329"/>
      <c r="IUQ482" s="329"/>
      <c r="IUR482" s="329"/>
      <c r="IUS482" s="329"/>
      <c r="IUT482" s="329"/>
      <c r="IUU482" s="329"/>
      <c r="IUV482" s="329"/>
      <c r="IUW482" s="329"/>
      <c r="IUX482" s="329"/>
      <c r="IUY482" s="329"/>
      <c r="IUZ482" s="329"/>
      <c r="IVA482" s="329"/>
      <c r="IVB482" s="329"/>
      <c r="IVC482" s="329"/>
      <c r="IVD482" s="329"/>
      <c r="IVE482" s="329"/>
      <c r="IVF482" s="329"/>
      <c r="IVG482" s="329"/>
      <c r="IVH482" s="329"/>
      <c r="IVI482" s="329"/>
      <c r="IVJ482" s="329"/>
      <c r="IVK482" s="329"/>
      <c r="IVL482" s="329"/>
      <c r="IVM482" s="329"/>
      <c r="IVN482" s="329"/>
      <c r="IVO482" s="329"/>
      <c r="IVP482" s="329"/>
      <c r="IVQ482" s="329"/>
      <c r="IVR482" s="329"/>
      <c r="IVS482" s="329"/>
      <c r="IVT482" s="329"/>
      <c r="IVU482" s="329"/>
      <c r="IVV482" s="329"/>
      <c r="IVW482" s="329"/>
      <c r="IVX482" s="329"/>
      <c r="IVY482" s="329"/>
      <c r="IVZ482" s="329"/>
      <c r="IWA482" s="329"/>
      <c r="IWB482" s="329"/>
      <c r="IWC482" s="329"/>
      <c r="IWD482" s="329"/>
      <c r="IWE482" s="329"/>
      <c r="IWF482" s="329"/>
      <c r="IWG482" s="329"/>
      <c r="IWH482" s="329"/>
      <c r="IWI482" s="329"/>
      <c r="IWJ482" s="329"/>
      <c r="IWK482" s="329"/>
      <c r="IWL482" s="329"/>
      <c r="IWM482" s="329"/>
      <c r="IWN482" s="329"/>
      <c r="IWO482" s="329"/>
      <c r="IWP482" s="329"/>
      <c r="IWQ482" s="329"/>
      <c r="IWR482" s="329"/>
      <c r="IWS482" s="329"/>
      <c r="IWT482" s="329"/>
      <c r="IWU482" s="329"/>
      <c r="IWV482" s="329"/>
      <c r="IWW482" s="329"/>
      <c r="IWX482" s="329"/>
      <c r="IWY482" s="329"/>
      <c r="IWZ482" s="329"/>
      <c r="IXA482" s="329"/>
      <c r="IXB482" s="329"/>
      <c r="IXC482" s="329"/>
      <c r="IXD482" s="329"/>
      <c r="IXE482" s="329"/>
      <c r="IXF482" s="329"/>
      <c r="IXG482" s="329"/>
      <c r="IXH482" s="329"/>
      <c r="IXI482" s="329"/>
      <c r="IXJ482" s="329"/>
      <c r="IXK482" s="329"/>
      <c r="IXL482" s="329"/>
      <c r="IXM482" s="329"/>
      <c r="IXN482" s="329"/>
      <c r="IXO482" s="329"/>
      <c r="IXP482" s="329"/>
      <c r="IXQ482" s="329"/>
      <c r="IXR482" s="329"/>
      <c r="IXS482" s="329"/>
      <c r="IXT482" s="329"/>
      <c r="IXU482" s="329"/>
      <c r="IXV482" s="329"/>
      <c r="IXW482" s="329"/>
      <c r="IXX482" s="329"/>
      <c r="IXY482" s="329"/>
      <c r="IXZ482" s="329"/>
      <c r="IYA482" s="329"/>
      <c r="IYB482" s="329"/>
      <c r="IYC482" s="329"/>
      <c r="IYD482" s="329"/>
      <c r="IYE482" s="329"/>
      <c r="IYF482" s="329"/>
      <c r="IYG482" s="329"/>
      <c r="IYH482" s="329"/>
      <c r="IYI482" s="329"/>
      <c r="IYJ482" s="329"/>
      <c r="IYK482" s="329"/>
      <c r="IYL482" s="329"/>
      <c r="IYM482" s="329"/>
      <c r="IYN482" s="329"/>
      <c r="IYO482" s="329"/>
      <c r="IYP482" s="329"/>
      <c r="IYQ482" s="329"/>
      <c r="IYR482" s="329"/>
      <c r="IYS482" s="329"/>
      <c r="IYT482" s="329"/>
      <c r="IYU482" s="329"/>
      <c r="IYV482" s="329"/>
      <c r="IYW482" s="329"/>
      <c r="IYX482" s="329"/>
      <c r="IYY482" s="329"/>
      <c r="IYZ482" s="329"/>
      <c r="IZA482" s="329"/>
      <c r="IZB482" s="329"/>
      <c r="IZC482" s="329"/>
      <c r="IZD482" s="329"/>
      <c r="IZE482" s="329"/>
      <c r="IZF482" s="329"/>
      <c r="IZG482" s="329"/>
      <c r="IZH482" s="329"/>
      <c r="IZI482" s="329"/>
      <c r="IZJ482" s="329"/>
      <c r="IZK482" s="329"/>
      <c r="IZL482" s="329"/>
      <c r="IZM482" s="329"/>
      <c r="IZN482" s="329"/>
      <c r="IZO482" s="329"/>
      <c r="IZP482" s="329"/>
      <c r="IZQ482" s="329"/>
      <c r="IZR482" s="329"/>
      <c r="IZS482" s="329"/>
      <c r="IZT482" s="329"/>
      <c r="IZU482" s="329"/>
      <c r="IZV482" s="329"/>
      <c r="IZW482" s="329"/>
      <c r="IZX482" s="329"/>
      <c r="IZY482" s="329"/>
      <c r="IZZ482" s="329"/>
      <c r="JAA482" s="329"/>
      <c r="JAB482" s="329"/>
      <c r="JAC482" s="329"/>
      <c r="JAD482" s="329"/>
      <c r="JAE482" s="329"/>
      <c r="JAF482" s="329"/>
      <c r="JAG482" s="329"/>
      <c r="JAH482" s="329"/>
      <c r="JAI482" s="329"/>
      <c r="JAJ482" s="329"/>
      <c r="JAK482" s="329"/>
      <c r="JAL482" s="329"/>
      <c r="JAM482" s="329"/>
      <c r="JAN482" s="329"/>
      <c r="JAO482" s="329"/>
      <c r="JAP482" s="329"/>
      <c r="JAQ482" s="329"/>
      <c r="JAR482" s="329"/>
      <c r="JAS482" s="329"/>
      <c r="JAT482" s="329"/>
      <c r="JAU482" s="329"/>
      <c r="JAV482" s="329"/>
      <c r="JAW482" s="329"/>
      <c r="JAX482" s="329"/>
      <c r="JAY482" s="329"/>
      <c r="JAZ482" s="329"/>
      <c r="JBA482" s="329"/>
      <c r="JBB482" s="329"/>
      <c r="JBC482" s="329"/>
      <c r="JBD482" s="329"/>
      <c r="JBE482" s="329"/>
      <c r="JBF482" s="329"/>
      <c r="JBG482" s="329"/>
      <c r="JBH482" s="329"/>
      <c r="JBI482" s="329"/>
      <c r="JBJ482" s="329"/>
      <c r="JBK482" s="329"/>
      <c r="JBL482" s="329"/>
      <c r="JBM482" s="329"/>
      <c r="JBN482" s="329"/>
      <c r="JBO482" s="329"/>
      <c r="JBP482" s="329"/>
      <c r="JBQ482" s="329"/>
      <c r="JBR482" s="329"/>
      <c r="JBS482" s="329"/>
      <c r="JBT482" s="329"/>
      <c r="JBU482" s="329"/>
      <c r="JBV482" s="329"/>
      <c r="JBW482" s="329"/>
      <c r="JBX482" s="329"/>
      <c r="JBY482" s="329"/>
      <c r="JBZ482" s="329"/>
      <c r="JCA482" s="329"/>
      <c r="JCB482" s="329"/>
      <c r="JCC482" s="329"/>
      <c r="JCD482" s="329"/>
      <c r="JCE482" s="329"/>
      <c r="JCF482" s="329"/>
      <c r="JCG482" s="329"/>
      <c r="JCH482" s="329"/>
      <c r="JCI482" s="329"/>
      <c r="JCJ482" s="329"/>
      <c r="JCK482" s="329"/>
      <c r="JCL482" s="329"/>
      <c r="JCM482" s="329"/>
      <c r="JCN482" s="329"/>
      <c r="JCO482" s="329"/>
      <c r="JCP482" s="329"/>
      <c r="JCQ482" s="329"/>
      <c r="JCR482" s="329"/>
      <c r="JCS482" s="329"/>
      <c r="JCT482" s="329"/>
      <c r="JCU482" s="329"/>
      <c r="JCV482" s="329"/>
      <c r="JCW482" s="329"/>
      <c r="JCX482" s="329"/>
      <c r="JCY482" s="329"/>
      <c r="JCZ482" s="329"/>
      <c r="JDA482" s="329"/>
      <c r="JDB482" s="329"/>
      <c r="JDC482" s="329"/>
      <c r="JDD482" s="329"/>
      <c r="JDE482" s="329"/>
      <c r="JDF482" s="329"/>
      <c r="JDG482" s="329"/>
      <c r="JDH482" s="329"/>
      <c r="JDI482" s="329"/>
      <c r="JDJ482" s="329"/>
      <c r="JDK482" s="329"/>
      <c r="JDL482" s="329"/>
      <c r="JDM482" s="329"/>
      <c r="JDN482" s="329"/>
      <c r="JDO482" s="329"/>
      <c r="JDP482" s="329"/>
      <c r="JDQ482" s="329"/>
      <c r="JDR482" s="329"/>
      <c r="JDS482" s="329"/>
      <c r="JDT482" s="329"/>
      <c r="JDU482" s="329"/>
      <c r="JDV482" s="329"/>
      <c r="JDW482" s="329"/>
      <c r="JDX482" s="329"/>
      <c r="JDY482" s="329"/>
      <c r="JDZ482" s="329"/>
      <c r="JEA482" s="329"/>
      <c r="JEB482" s="329"/>
      <c r="JEC482" s="329"/>
      <c r="JED482" s="329"/>
      <c r="JEE482" s="329"/>
      <c r="JEF482" s="329"/>
      <c r="JEG482" s="329"/>
      <c r="JEH482" s="329"/>
      <c r="JEI482" s="329"/>
      <c r="JEJ482" s="329"/>
      <c r="JEK482" s="329"/>
      <c r="JEL482" s="329"/>
      <c r="JEM482" s="329"/>
      <c r="JEN482" s="329"/>
      <c r="JEO482" s="329"/>
      <c r="JEP482" s="329"/>
      <c r="JEQ482" s="329"/>
      <c r="JER482" s="329"/>
      <c r="JES482" s="329"/>
      <c r="JET482" s="329"/>
      <c r="JEU482" s="329"/>
      <c r="JEV482" s="329"/>
      <c r="JEW482" s="329"/>
      <c r="JEX482" s="329"/>
      <c r="JEY482" s="329"/>
      <c r="JEZ482" s="329"/>
      <c r="JFA482" s="329"/>
      <c r="JFB482" s="329"/>
      <c r="JFC482" s="329"/>
      <c r="JFD482" s="329"/>
      <c r="JFE482" s="329"/>
      <c r="JFF482" s="329"/>
      <c r="JFG482" s="329"/>
      <c r="JFH482" s="329"/>
      <c r="JFI482" s="329"/>
      <c r="JFJ482" s="329"/>
      <c r="JFK482" s="329"/>
      <c r="JFL482" s="329"/>
      <c r="JFM482" s="329"/>
      <c r="JFN482" s="329"/>
      <c r="JFO482" s="329"/>
      <c r="JFP482" s="329"/>
      <c r="JFQ482" s="329"/>
      <c r="JFR482" s="329"/>
      <c r="JFS482" s="329"/>
      <c r="JFT482" s="329"/>
      <c r="JFU482" s="329"/>
      <c r="JFV482" s="329"/>
      <c r="JFW482" s="329"/>
      <c r="JFX482" s="329"/>
      <c r="JFY482" s="329"/>
      <c r="JFZ482" s="329"/>
      <c r="JGA482" s="329"/>
      <c r="JGB482" s="329"/>
      <c r="JGC482" s="329"/>
      <c r="JGD482" s="329"/>
      <c r="JGE482" s="329"/>
      <c r="JGF482" s="329"/>
      <c r="JGG482" s="329"/>
      <c r="JGH482" s="329"/>
      <c r="JGI482" s="329"/>
      <c r="JGJ482" s="329"/>
      <c r="JGK482" s="329"/>
      <c r="JGL482" s="329"/>
      <c r="JGM482" s="329"/>
      <c r="JGN482" s="329"/>
      <c r="JGO482" s="329"/>
      <c r="JGP482" s="329"/>
      <c r="JGQ482" s="329"/>
      <c r="JGR482" s="329"/>
      <c r="JGS482" s="329"/>
      <c r="JGT482" s="329"/>
      <c r="JGU482" s="329"/>
      <c r="JGV482" s="329"/>
      <c r="JGW482" s="329"/>
      <c r="JGX482" s="329"/>
      <c r="JGY482" s="329"/>
      <c r="JGZ482" s="329"/>
      <c r="JHA482" s="329"/>
      <c r="JHB482" s="329"/>
      <c r="JHC482" s="329"/>
      <c r="JHD482" s="329"/>
      <c r="JHE482" s="329"/>
      <c r="JHF482" s="329"/>
      <c r="JHG482" s="329"/>
      <c r="JHH482" s="329"/>
      <c r="JHI482" s="329"/>
      <c r="JHJ482" s="329"/>
      <c r="JHK482" s="329"/>
      <c r="JHL482" s="329"/>
      <c r="JHM482" s="329"/>
      <c r="JHN482" s="329"/>
      <c r="JHO482" s="329"/>
      <c r="JHP482" s="329"/>
      <c r="JHQ482" s="329"/>
      <c r="JHR482" s="329"/>
      <c r="JHS482" s="329"/>
      <c r="JHT482" s="329"/>
      <c r="JHU482" s="329"/>
      <c r="JHV482" s="329"/>
      <c r="JHW482" s="329"/>
      <c r="JHX482" s="329"/>
      <c r="JHY482" s="329"/>
      <c r="JHZ482" s="329"/>
      <c r="JIA482" s="329"/>
      <c r="JIB482" s="329"/>
      <c r="JIC482" s="329"/>
      <c r="JID482" s="329"/>
      <c r="JIE482" s="329"/>
      <c r="JIF482" s="329"/>
      <c r="JIG482" s="329"/>
      <c r="JIH482" s="329"/>
      <c r="JII482" s="329"/>
      <c r="JIJ482" s="329"/>
      <c r="JIK482" s="329"/>
      <c r="JIL482" s="329"/>
      <c r="JIM482" s="329"/>
      <c r="JIN482" s="329"/>
      <c r="JIO482" s="329"/>
      <c r="JIP482" s="329"/>
      <c r="JIQ482" s="329"/>
      <c r="JIR482" s="329"/>
      <c r="JIS482" s="329"/>
      <c r="JIT482" s="329"/>
      <c r="JIU482" s="329"/>
      <c r="JIV482" s="329"/>
      <c r="JIW482" s="329"/>
      <c r="JIX482" s="329"/>
      <c r="JIY482" s="329"/>
      <c r="JIZ482" s="329"/>
      <c r="JJA482" s="329"/>
      <c r="JJB482" s="329"/>
      <c r="JJC482" s="329"/>
      <c r="JJD482" s="329"/>
      <c r="JJE482" s="329"/>
      <c r="JJF482" s="329"/>
      <c r="JJG482" s="329"/>
      <c r="JJH482" s="329"/>
      <c r="JJI482" s="329"/>
      <c r="JJJ482" s="329"/>
      <c r="JJK482" s="329"/>
      <c r="JJL482" s="329"/>
      <c r="JJM482" s="329"/>
      <c r="JJN482" s="329"/>
      <c r="JJO482" s="329"/>
      <c r="JJP482" s="329"/>
      <c r="JJQ482" s="329"/>
      <c r="JJR482" s="329"/>
      <c r="JJS482" s="329"/>
      <c r="JJT482" s="329"/>
      <c r="JJU482" s="329"/>
      <c r="JJV482" s="329"/>
      <c r="JJW482" s="329"/>
      <c r="JJX482" s="329"/>
      <c r="JJY482" s="329"/>
      <c r="JJZ482" s="329"/>
      <c r="JKA482" s="329"/>
      <c r="JKB482" s="329"/>
      <c r="JKC482" s="329"/>
      <c r="JKD482" s="329"/>
      <c r="JKE482" s="329"/>
      <c r="JKF482" s="329"/>
      <c r="JKG482" s="329"/>
      <c r="JKH482" s="329"/>
      <c r="JKI482" s="329"/>
      <c r="JKJ482" s="329"/>
      <c r="JKK482" s="329"/>
      <c r="JKL482" s="329"/>
      <c r="JKM482" s="329"/>
      <c r="JKN482" s="329"/>
      <c r="JKO482" s="329"/>
      <c r="JKP482" s="329"/>
      <c r="JKQ482" s="329"/>
      <c r="JKR482" s="329"/>
      <c r="JKS482" s="329"/>
      <c r="JKT482" s="329"/>
      <c r="JKU482" s="329"/>
      <c r="JKV482" s="329"/>
      <c r="JKW482" s="329"/>
      <c r="JKX482" s="329"/>
      <c r="JKY482" s="329"/>
      <c r="JKZ482" s="329"/>
      <c r="JLA482" s="329"/>
      <c r="JLB482" s="329"/>
      <c r="JLC482" s="329"/>
      <c r="JLD482" s="329"/>
      <c r="JLE482" s="329"/>
      <c r="JLF482" s="329"/>
      <c r="JLG482" s="329"/>
      <c r="JLH482" s="329"/>
      <c r="JLI482" s="329"/>
      <c r="JLJ482" s="329"/>
      <c r="JLK482" s="329"/>
      <c r="JLL482" s="329"/>
      <c r="JLM482" s="329"/>
      <c r="JLN482" s="329"/>
      <c r="JLO482" s="329"/>
      <c r="JLP482" s="329"/>
      <c r="JLQ482" s="329"/>
      <c r="JLR482" s="329"/>
      <c r="JLS482" s="329"/>
      <c r="JLT482" s="329"/>
      <c r="JLU482" s="329"/>
      <c r="JLV482" s="329"/>
      <c r="JLW482" s="329"/>
      <c r="JLX482" s="329"/>
      <c r="JLY482" s="329"/>
      <c r="JLZ482" s="329"/>
      <c r="JMA482" s="329"/>
      <c r="JMB482" s="329"/>
      <c r="JMC482" s="329"/>
      <c r="JMD482" s="329"/>
      <c r="JME482" s="329"/>
      <c r="JMF482" s="329"/>
      <c r="JMG482" s="329"/>
      <c r="JMH482" s="329"/>
      <c r="JMI482" s="329"/>
      <c r="JMJ482" s="329"/>
      <c r="JMK482" s="329"/>
      <c r="JML482" s="329"/>
      <c r="JMM482" s="329"/>
      <c r="JMN482" s="329"/>
      <c r="JMO482" s="329"/>
      <c r="JMP482" s="329"/>
      <c r="JMQ482" s="329"/>
      <c r="JMR482" s="329"/>
      <c r="JMS482" s="329"/>
      <c r="JMT482" s="329"/>
      <c r="JMU482" s="329"/>
      <c r="JMV482" s="329"/>
      <c r="JMW482" s="329"/>
      <c r="JMX482" s="329"/>
      <c r="JMY482" s="329"/>
      <c r="JMZ482" s="329"/>
      <c r="JNA482" s="329"/>
      <c r="JNB482" s="329"/>
      <c r="JNC482" s="329"/>
      <c r="JND482" s="329"/>
      <c r="JNE482" s="329"/>
      <c r="JNF482" s="329"/>
      <c r="JNG482" s="329"/>
      <c r="JNH482" s="329"/>
      <c r="JNI482" s="329"/>
      <c r="JNJ482" s="329"/>
      <c r="JNK482" s="329"/>
      <c r="JNL482" s="329"/>
      <c r="JNM482" s="329"/>
      <c r="JNN482" s="329"/>
      <c r="JNO482" s="329"/>
      <c r="JNP482" s="329"/>
      <c r="JNQ482" s="329"/>
      <c r="JNR482" s="329"/>
      <c r="JNS482" s="329"/>
      <c r="JNT482" s="329"/>
      <c r="JNU482" s="329"/>
      <c r="JNV482" s="329"/>
      <c r="JNW482" s="329"/>
      <c r="JNX482" s="329"/>
      <c r="JNY482" s="329"/>
      <c r="JNZ482" s="329"/>
      <c r="JOA482" s="329"/>
      <c r="JOB482" s="329"/>
      <c r="JOC482" s="329"/>
      <c r="JOD482" s="329"/>
      <c r="JOE482" s="329"/>
      <c r="JOF482" s="329"/>
      <c r="JOG482" s="329"/>
      <c r="JOH482" s="329"/>
      <c r="JOI482" s="329"/>
      <c r="JOJ482" s="329"/>
      <c r="JOK482" s="329"/>
      <c r="JOL482" s="329"/>
      <c r="JOM482" s="329"/>
      <c r="JON482" s="329"/>
      <c r="JOO482" s="329"/>
      <c r="JOP482" s="329"/>
      <c r="JOQ482" s="329"/>
      <c r="JOR482" s="329"/>
      <c r="JOS482" s="329"/>
      <c r="JOT482" s="329"/>
      <c r="JOU482" s="329"/>
      <c r="JOV482" s="329"/>
      <c r="JOW482" s="329"/>
      <c r="JOX482" s="329"/>
      <c r="JOY482" s="329"/>
      <c r="JOZ482" s="329"/>
      <c r="JPA482" s="329"/>
      <c r="JPB482" s="329"/>
      <c r="JPC482" s="329"/>
      <c r="JPD482" s="329"/>
      <c r="JPE482" s="329"/>
      <c r="JPF482" s="329"/>
      <c r="JPG482" s="329"/>
      <c r="JPH482" s="329"/>
      <c r="JPI482" s="329"/>
      <c r="JPJ482" s="329"/>
      <c r="JPK482" s="329"/>
      <c r="JPL482" s="329"/>
      <c r="JPM482" s="329"/>
      <c r="JPN482" s="329"/>
      <c r="JPO482" s="329"/>
      <c r="JPP482" s="329"/>
      <c r="JPQ482" s="329"/>
      <c r="JPR482" s="329"/>
      <c r="JPS482" s="329"/>
      <c r="JPT482" s="329"/>
      <c r="JPU482" s="329"/>
      <c r="JPV482" s="329"/>
      <c r="JPW482" s="329"/>
      <c r="JPX482" s="329"/>
      <c r="JPY482" s="329"/>
      <c r="JPZ482" s="329"/>
      <c r="JQA482" s="329"/>
      <c r="JQB482" s="329"/>
      <c r="JQC482" s="329"/>
      <c r="JQD482" s="329"/>
      <c r="JQE482" s="329"/>
      <c r="JQF482" s="329"/>
      <c r="JQG482" s="329"/>
      <c r="JQH482" s="329"/>
      <c r="JQI482" s="329"/>
      <c r="JQJ482" s="329"/>
      <c r="JQK482" s="329"/>
      <c r="JQL482" s="329"/>
      <c r="JQM482" s="329"/>
      <c r="JQN482" s="329"/>
      <c r="JQO482" s="329"/>
      <c r="JQP482" s="329"/>
      <c r="JQQ482" s="329"/>
      <c r="JQR482" s="329"/>
      <c r="JQS482" s="329"/>
      <c r="JQT482" s="329"/>
      <c r="JQU482" s="329"/>
      <c r="JQV482" s="329"/>
      <c r="JQW482" s="329"/>
      <c r="JQX482" s="329"/>
      <c r="JQY482" s="329"/>
      <c r="JQZ482" s="329"/>
      <c r="JRA482" s="329"/>
      <c r="JRB482" s="329"/>
      <c r="JRC482" s="329"/>
      <c r="JRD482" s="329"/>
      <c r="JRE482" s="329"/>
      <c r="JRF482" s="329"/>
      <c r="JRG482" s="329"/>
      <c r="JRH482" s="329"/>
      <c r="JRI482" s="329"/>
      <c r="JRJ482" s="329"/>
      <c r="JRK482" s="329"/>
      <c r="JRL482" s="329"/>
      <c r="JRM482" s="329"/>
      <c r="JRN482" s="329"/>
      <c r="JRO482" s="329"/>
      <c r="JRP482" s="329"/>
      <c r="JRQ482" s="329"/>
      <c r="JRR482" s="329"/>
      <c r="JRS482" s="329"/>
      <c r="JRT482" s="329"/>
      <c r="JRU482" s="329"/>
      <c r="JRV482" s="329"/>
      <c r="JRW482" s="329"/>
      <c r="JRX482" s="329"/>
      <c r="JRY482" s="329"/>
      <c r="JRZ482" s="329"/>
      <c r="JSA482" s="329"/>
      <c r="JSB482" s="329"/>
      <c r="JSC482" s="329"/>
      <c r="JSD482" s="329"/>
      <c r="JSE482" s="329"/>
      <c r="JSF482" s="329"/>
      <c r="JSG482" s="329"/>
      <c r="JSH482" s="329"/>
      <c r="JSI482" s="329"/>
      <c r="JSJ482" s="329"/>
      <c r="JSK482" s="329"/>
      <c r="JSL482" s="329"/>
      <c r="JSM482" s="329"/>
      <c r="JSN482" s="329"/>
      <c r="JSO482" s="329"/>
      <c r="JSP482" s="329"/>
      <c r="JSQ482" s="329"/>
      <c r="JSR482" s="329"/>
      <c r="JSS482" s="329"/>
      <c r="JST482" s="329"/>
      <c r="JSU482" s="329"/>
      <c r="JSV482" s="329"/>
      <c r="JSW482" s="329"/>
      <c r="JSX482" s="329"/>
      <c r="JSY482" s="329"/>
      <c r="JSZ482" s="329"/>
      <c r="JTA482" s="329"/>
      <c r="JTB482" s="329"/>
      <c r="JTC482" s="329"/>
      <c r="JTD482" s="329"/>
      <c r="JTE482" s="329"/>
      <c r="JTF482" s="329"/>
      <c r="JTG482" s="329"/>
      <c r="JTH482" s="329"/>
      <c r="JTI482" s="329"/>
      <c r="JTJ482" s="329"/>
      <c r="JTK482" s="329"/>
      <c r="JTL482" s="329"/>
      <c r="JTM482" s="329"/>
      <c r="JTN482" s="329"/>
      <c r="JTO482" s="329"/>
      <c r="JTP482" s="329"/>
      <c r="JTQ482" s="329"/>
      <c r="JTR482" s="329"/>
      <c r="JTS482" s="329"/>
      <c r="JTT482" s="329"/>
      <c r="JTU482" s="329"/>
      <c r="JTV482" s="329"/>
      <c r="JTW482" s="329"/>
      <c r="JTX482" s="329"/>
      <c r="JTY482" s="329"/>
      <c r="JTZ482" s="329"/>
      <c r="JUA482" s="329"/>
      <c r="JUB482" s="329"/>
      <c r="JUC482" s="329"/>
      <c r="JUD482" s="329"/>
      <c r="JUE482" s="329"/>
      <c r="JUF482" s="329"/>
      <c r="JUG482" s="329"/>
      <c r="JUH482" s="329"/>
      <c r="JUI482" s="329"/>
      <c r="JUJ482" s="329"/>
      <c r="JUK482" s="329"/>
      <c r="JUL482" s="329"/>
      <c r="JUM482" s="329"/>
      <c r="JUN482" s="329"/>
      <c r="JUO482" s="329"/>
      <c r="JUP482" s="329"/>
      <c r="JUQ482" s="329"/>
      <c r="JUR482" s="329"/>
      <c r="JUS482" s="329"/>
      <c r="JUT482" s="329"/>
      <c r="JUU482" s="329"/>
      <c r="JUV482" s="329"/>
      <c r="JUW482" s="329"/>
      <c r="JUX482" s="329"/>
      <c r="JUY482" s="329"/>
      <c r="JUZ482" s="329"/>
      <c r="JVA482" s="329"/>
      <c r="JVB482" s="329"/>
      <c r="JVC482" s="329"/>
      <c r="JVD482" s="329"/>
      <c r="JVE482" s="329"/>
      <c r="JVF482" s="329"/>
      <c r="JVG482" s="329"/>
      <c r="JVH482" s="329"/>
      <c r="JVI482" s="329"/>
      <c r="JVJ482" s="329"/>
      <c r="JVK482" s="329"/>
      <c r="JVL482" s="329"/>
      <c r="JVM482" s="329"/>
      <c r="JVN482" s="329"/>
      <c r="JVO482" s="329"/>
      <c r="JVP482" s="329"/>
      <c r="JVQ482" s="329"/>
      <c r="JVR482" s="329"/>
      <c r="JVS482" s="329"/>
      <c r="JVT482" s="329"/>
      <c r="JVU482" s="329"/>
      <c r="JVV482" s="329"/>
      <c r="JVW482" s="329"/>
      <c r="JVX482" s="329"/>
      <c r="JVY482" s="329"/>
      <c r="JVZ482" s="329"/>
      <c r="JWA482" s="329"/>
      <c r="JWB482" s="329"/>
      <c r="JWC482" s="329"/>
      <c r="JWD482" s="329"/>
      <c r="JWE482" s="329"/>
      <c r="JWF482" s="329"/>
      <c r="JWG482" s="329"/>
      <c r="JWH482" s="329"/>
      <c r="JWI482" s="329"/>
      <c r="JWJ482" s="329"/>
      <c r="JWK482" s="329"/>
      <c r="JWL482" s="329"/>
      <c r="JWM482" s="329"/>
      <c r="JWN482" s="329"/>
      <c r="JWO482" s="329"/>
      <c r="JWP482" s="329"/>
      <c r="JWQ482" s="329"/>
      <c r="JWR482" s="329"/>
      <c r="JWS482" s="329"/>
      <c r="JWT482" s="329"/>
      <c r="JWU482" s="329"/>
      <c r="JWV482" s="329"/>
      <c r="JWW482" s="329"/>
      <c r="JWX482" s="329"/>
      <c r="JWY482" s="329"/>
      <c r="JWZ482" s="329"/>
      <c r="JXA482" s="329"/>
      <c r="JXB482" s="329"/>
      <c r="JXC482" s="329"/>
      <c r="JXD482" s="329"/>
      <c r="JXE482" s="329"/>
      <c r="JXF482" s="329"/>
      <c r="JXG482" s="329"/>
      <c r="JXH482" s="329"/>
      <c r="JXI482" s="329"/>
      <c r="JXJ482" s="329"/>
      <c r="JXK482" s="329"/>
      <c r="JXL482" s="329"/>
      <c r="JXM482" s="329"/>
      <c r="JXN482" s="329"/>
      <c r="JXO482" s="329"/>
      <c r="JXP482" s="329"/>
      <c r="JXQ482" s="329"/>
      <c r="JXR482" s="329"/>
      <c r="JXS482" s="329"/>
      <c r="JXT482" s="329"/>
      <c r="JXU482" s="329"/>
      <c r="JXV482" s="329"/>
      <c r="JXW482" s="329"/>
      <c r="JXX482" s="329"/>
      <c r="JXY482" s="329"/>
      <c r="JXZ482" s="329"/>
      <c r="JYA482" s="329"/>
      <c r="JYB482" s="329"/>
      <c r="JYC482" s="329"/>
      <c r="JYD482" s="329"/>
      <c r="JYE482" s="329"/>
      <c r="JYF482" s="329"/>
      <c r="JYG482" s="329"/>
      <c r="JYH482" s="329"/>
      <c r="JYI482" s="329"/>
      <c r="JYJ482" s="329"/>
      <c r="JYK482" s="329"/>
      <c r="JYL482" s="329"/>
      <c r="JYM482" s="329"/>
      <c r="JYN482" s="329"/>
      <c r="JYO482" s="329"/>
      <c r="JYP482" s="329"/>
      <c r="JYQ482" s="329"/>
      <c r="JYR482" s="329"/>
      <c r="JYS482" s="329"/>
      <c r="JYT482" s="329"/>
      <c r="JYU482" s="329"/>
      <c r="JYV482" s="329"/>
      <c r="JYW482" s="329"/>
      <c r="JYX482" s="329"/>
      <c r="JYY482" s="329"/>
      <c r="JYZ482" s="329"/>
      <c r="JZA482" s="329"/>
      <c r="JZB482" s="329"/>
      <c r="JZC482" s="329"/>
      <c r="JZD482" s="329"/>
      <c r="JZE482" s="329"/>
      <c r="JZF482" s="329"/>
      <c r="JZG482" s="329"/>
      <c r="JZH482" s="329"/>
      <c r="JZI482" s="329"/>
      <c r="JZJ482" s="329"/>
      <c r="JZK482" s="329"/>
      <c r="JZL482" s="329"/>
      <c r="JZM482" s="329"/>
      <c r="JZN482" s="329"/>
      <c r="JZO482" s="329"/>
      <c r="JZP482" s="329"/>
      <c r="JZQ482" s="329"/>
      <c r="JZR482" s="329"/>
      <c r="JZS482" s="329"/>
      <c r="JZT482" s="329"/>
      <c r="JZU482" s="329"/>
      <c r="JZV482" s="329"/>
      <c r="JZW482" s="329"/>
      <c r="JZX482" s="329"/>
      <c r="JZY482" s="329"/>
      <c r="JZZ482" s="329"/>
      <c r="KAA482" s="329"/>
      <c r="KAB482" s="329"/>
      <c r="KAC482" s="329"/>
      <c r="KAD482" s="329"/>
      <c r="KAE482" s="329"/>
      <c r="KAF482" s="329"/>
      <c r="KAG482" s="329"/>
      <c r="KAH482" s="329"/>
      <c r="KAI482" s="329"/>
      <c r="KAJ482" s="329"/>
      <c r="KAK482" s="329"/>
      <c r="KAL482" s="329"/>
      <c r="KAM482" s="329"/>
      <c r="KAN482" s="329"/>
      <c r="KAO482" s="329"/>
      <c r="KAP482" s="329"/>
      <c r="KAQ482" s="329"/>
      <c r="KAR482" s="329"/>
      <c r="KAS482" s="329"/>
      <c r="KAT482" s="329"/>
      <c r="KAU482" s="329"/>
      <c r="KAV482" s="329"/>
      <c r="KAW482" s="329"/>
      <c r="KAX482" s="329"/>
      <c r="KAY482" s="329"/>
      <c r="KAZ482" s="329"/>
      <c r="KBA482" s="329"/>
      <c r="KBB482" s="329"/>
      <c r="KBC482" s="329"/>
      <c r="KBD482" s="329"/>
      <c r="KBE482" s="329"/>
      <c r="KBF482" s="329"/>
      <c r="KBG482" s="329"/>
      <c r="KBH482" s="329"/>
      <c r="KBI482" s="329"/>
      <c r="KBJ482" s="329"/>
      <c r="KBK482" s="329"/>
      <c r="KBL482" s="329"/>
      <c r="KBM482" s="329"/>
      <c r="KBN482" s="329"/>
      <c r="KBO482" s="329"/>
      <c r="KBP482" s="329"/>
      <c r="KBQ482" s="329"/>
      <c r="KBR482" s="329"/>
      <c r="KBS482" s="329"/>
      <c r="KBT482" s="329"/>
      <c r="KBU482" s="329"/>
      <c r="KBV482" s="329"/>
      <c r="KBW482" s="329"/>
      <c r="KBX482" s="329"/>
      <c r="KBY482" s="329"/>
      <c r="KBZ482" s="329"/>
      <c r="KCA482" s="329"/>
      <c r="KCB482" s="329"/>
      <c r="KCC482" s="329"/>
      <c r="KCD482" s="329"/>
      <c r="KCE482" s="329"/>
      <c r="KCF482" s="329"/>
      <c r="KCG482" s="329"/>
      <c r="KCH482" s="329"/>
      <c r="KCI482" s="329"/>
      <c r="KCJ482" s="329"/>
      <c r="KCK482" s="329"/>
      <c r="KCL482" s="329"/>
      <c r="KCM482" s="329"/>
      <c r="KCN482" s="329"/>
      <c r="KCO482" s="329"/>
      <c r="KCP482" s="329"/>
      <c r="KCQ482" s="329"/>
      <c r="KCR482" s="329"/>
      <c r="KCS482" s="329"/>
      <c r="KCT482" s="329"/>
      <c r="KCU482" s="329"/>
      <c r="KCV482" s="329"/>
      <c r="KCW482" s="329"/>
      <c r="KCX482" s="329"/>
      <c r="KCY482" s="329"/>
      <c r="KCZ482" s="329"/>
      <c r="KDA482" s="329"/>
      <c r="KDB482" s="329"/>
      <c r="KDC482" s="329"/>
      <c r="KDD482" s="329"/>
      <c r="KDE482" s="329"/>
      <c r="KDF482" s="329"/>
      <c r="KDG482" s="329"/>
      <c r="KDH482" s="329"/>
      <c r="KDI482" s="329"/>
      <c r="KDJ482" s="329"/>
      <c r="KDK482" s="329"/>
      <c r="KDL482" s="329"/>
      <c r="KDM482" s="329"/>
      <c r="KDN482" s="329"/>
      <c r="KDO482" s="329"/>
      <c r="KDP482" s="329"/>
      <c r="KDQ482" s="329"/>
      <c r="KDR482" s="329"/>
      <c r="KDS482" s="329"/>
      <c r="KDT482" s="329"/>
      <c r="KDU482" s="329"/>
      <c r="KDV482" s="329"/>
      <c r="KDW482" s="329"/>
      <c r="KDX482" s="329"/>
      <c r="KDY482" s="329"/>
      <c r="KDZ482" s="329"/>
      <c r="KEA482" s="329"/>
      <c r="KEB482" s="329"/>
      <c r="KEC482" s="329"/>
      <c r="KED482" s="329"/>
      <c r="KEE482" s="329"/>
      <c r="KEF482" s="329"/>
      <c r="KEG482" s="329"/>
      <c r="KEH482" s="329"/>
      <c r="KEI482" s="329"/>
      <c r="KEJ482" s="329"/>
      <c r="KEK482" s="329"/>
      <c r="KEL482" s="329"/>
      <c r="KEM482" s="329"/>
      <c r="KEN482" s="329"/>
      <c r="KEO482" s="329"/>
      <c r="KEP482" s="329"/>
      <c r="KEQ482" s="329"/>
      <c r="KER482" s="329"/>
      <c r="KES482" s="329"/>
      <c r="KET482" s="329"/>
      <c r="KEU482" s="329"/>
      <c r="KEV482" s="329"/>
      <c r="KEW482" s="329"/>
      <c r="KEX482" s="329"/>
      <c r="KEY482" s="329"/>
      <c r="KEZ482" s="329"/>
      <c r="KFA482" s="329"/>
      <c r="KFB482" s="329"/>
      <c r="KFC482" s="329"/>
      <c r="KFD482" s="329"/>
      <c r="KFE482" s="329"/>
      <c r="KFF482" s="329"/>
      <c r="KFG482" s="329"/>
      <c r="KFH482" s="329"/>
      <c r="KFI482" s="329"/>
      <c r="KFJ482" s="329"/>
      <c r="KFK482" s="329"/>
      <c r="KFL482" s="329"/>
      <c r="KFM482" s="329"/>
      <c r="KFN482" s="329"/>
      <c r="KFO482" s="329"/>
      <c r="KFP482" s="329"/>
      <c r="KFQ482" s="329"/>
      <c r="KFR482" s="329"/>
      <c r="KFS482" s="329"/>
      <c r="KFT482" s="329"/>
      <c r="KFU482" s="329"/>
      <c r="KFV482" s="329"/>
      <c r="KFW482" s="329"/>
      <c r="KFX482" s="329"/>
      <c r="KFY482" s="329"/>
      <c r="KFZ482" s="329"/>
      <c r="KGA482" s="329"/>
      <c r="KGB482" s="329"/>
      <c r="KGC482" s="329"/>
      <c r="KGD482" s="329"/>
      <c r="KGE482" s="329"/>
      <c r="KGF482" s="329"/>
      <c r="KGG482" s="329"/>
      <c r="KGH482" s="329"/>
      <c r="KGI482" s="329"/>
      <c r="KGJ482" s="329"/>
      <c r="KGK482" s="329"/>
      <c r="KGL482" s="329"/>
      <c r="KGM482" s="329"/>
      <c r="KGN482" s="329"/>
      <c r="KGO482" s="329"/>
      <c r="KGP482" s="329"/>
      <c r="KGQ482" s="329"/>
      <c r="KGR482" s="329"/>
      <c r="KGS482" s="329"/>
      <c r="KGT482" s="329"/>
      <c r="KGU482" s="329"/>
      <c r="KGV482" s="329"/>
      <c r="KGW482" s="329"/>
      <c r="KGX482" s="329"/>
      <c r="KGY482" s="329"/>
      <c r="KGZ482" s="329"/>
      <c r="KHA482" s="329"/>
      <c r="KHB482" s="329"/>
      <c r="KHC482" s="329"/>
      <c r="KHD482" s="329"/>
      <c r="KHE482" s="329"/>
      <c r="KHF482" s="329"/>
      <c r="KHG482" s="329"/>
      <c r="KHH482" s="329"/>
      <c r="KHI482" s="329"/>
      <c r="KHJ482" s="329"/>
      <c r="KHK482" s="329"/>
      <c r="KHL482" s="329"/>
      <c r="KHM482" s="329"/>
      <c r="KHN482" s="329"/>
      <c r="KHO482" s="329"/>
      <c r="KHP482" s="329"/>
      <c r="KHQ482" s="329"/>
      <c r="KHR482" s="329"/>
      <c r="KHS482" s="329"/>
      <c r="KHT482" s="329"/>
      <c r="KHU482" s="329"/>
      <c r="KHV482" s="329"/>
      <c r="KHW482" s="329"/>
      <c r="KHX482" s="329"/>
      <c r="KHY482" s="329"/>
      <c r="KHZ482" s="329"/>
      <c r="KIA482" s="329"/>
      <c r="KIB482" s="329"/>
      <c r="KIC482" s="329"/>
      <c r="KID482" s="329"/>
      <c r="KIE482" s="329"/>
      <c r="KIF482" s="329"/>
      <c r="KIG482" s="329"/>
      <c r="KIH482" s="329"/>
      <c r="KII482" s="329"/>
      <c r="KIJ482" s="329"/>
      <c r="KIK482" s="329"/>
      <c r="KIL482" s="329"/>
      <c r="KIM482" s="329"/>
      <c r="KIN482" s="329"/>
      <c r="KIO482" s="329"/>
      <c r="KIP482" s="329"/>
      <c r="KIQ482" s="329"/>
      <c r="KIR482" s="329"/>
      <c r="KIS482" s="329"/>
      <c r="KIT482" s="329"/>
      <c r="KIU482" s="329"/>
      <c r="KIV482" s="329"/>
      <c r="KIW482" s="329"/>
      <c r="KIX482" s="329"/>
      <c r="KIY482" s="329"/>
      <c r="KIZ482" s="329"/>
      <c r="KJA482" s="329"/>
      <c r="KJB482" s="329"/>
      <c r="KJC482" s="329"/>
      <c r="KJD482" s="329"/>
      <c r="KJE482" s="329"/>
      <c r="KJF482" s="329"/>
      <c r="KJG482" s="329"/>
      <c r="KJH482" s="329"/>
      <c r="KJI482" s="329"/>
      <c r="KJJ482" s="329"/>
      <c r="KJK482" s="329"/>
      <c r="KJL482" s="329"/>
      <c r="KJM482" s="329"/>
      <c r="KJN482" s="329"/>
      <c r="KJO482" s="329"/>
      <c r="KJP482" s="329"/>
      <c r="KJQ482" s="329"/>
      <c r="KJR482" s="329"/>
      <c r="KJS482" s="329"/>
      <c r="KJT482" s="329"/>
      <c r="KJU482" s="329"/>
      <c r="KJV482" s="329"/>
      <c r="KJW482" s="329"/>
      <c r="KJX482" s="329"/>
      <c r="KJY482" s="329"/>
      <c r="KJZ482" s="329"/>
      <c r="KKA482" s="329"/>
      <c r="KKB482" s="329"/>
      <c r="KKC482" s="329"/>
      <c r="KKD482" s="329"/>
      <c r="KKE482" s="329"/>
      <c r="KKF482" s="329"/>
      <c r="KKG482" s="329"/>
      <c r="KKH482" s="329"/>
      <c r="KKI482" s="329"/>
      <c r="KKJ482" s="329"/>
      <c r="KKK482" s="329"/>
      <c r="KKL482" s="329"/>
      <c r="KKM482" s="329"/>
      <c r="KKN482" s="329"/>
      <c r="KKO482" s="329"/>
      <c r="KKP482" s="329"/>
      <c r="KKQ482" s="329"/>
      <c r="KKR482" s="329"/>
      <c r="KKS482" s="329"/>
      <c r="KKT482" s="329"/>
      <c r="KKU482" s="329"/>
      <c r="KKV482" s="329"/>
      <c r="KKW482" s="329"/>
      <c r="KKX482" s="329"/>
      <c r="KKY482" s="329"/>
      <c r="KKZ482" s="329"/>
      <c r="KLA482" s="329"/>
      <c r="KLB482" s="329"/>
      <c r="KLC482" s="329"/>
      <c r="KLD482" s="329"/>
      <c r="KLE482" s="329"/>
      <c r="KLF482" s="329"/>
      <c r="KLG482" s="329"/>
      <c r="KLH482" s="329"/>
      <c r="KLI482" s="329"/>
      <c r="KLJ482" s="329"/>
      <c r="KLK482" s="329"/>
      <c r="KLL482" s="329"/>
      <c r="KLM482" s="329"/>
      <c r="KLN482" s="329"/>
      <c r="KLO482" s="329"/>
      <c r="KLP482" s="329"/>
      <c r="KLQ482" s="329"/>
      <c r="KLR482" s="329"/>
      <c r="KLS482" s="329"/>
      <c r="KLT482" s="329"/>
      <c r="KLU482" s="329"/>
      <c r="KLV482" s="329"/>
      <c r="KLW482" s="329"/>
      <c r="KLX482" s="329"/>
      <c r="KLY482" s="329"/>
      <c r="KLZ482" s="329"/>
      <c r="KMA482" s="329"/>
      <c r="KMB482" s="329"/>
      <c r="KMC482" s="329"/>
      <c r="KMD482" s="329"/>
      <c r="KME482" s="329"/>
      <c r="KMF482" s="329"/>
      <c r="KMG482" s="329"/>
      <c r="KMH482" s="329"/>
      <c r="KMI482" s="329"/>
      <c r="KMJ482" s="329"/>
      <c r="KMK482" s="329"/>
      <c r="KML482" s="329"/>
      <c r="KMM482" s="329"/>
      <c r="KMN482" s="329"/>
      <c r="KMO482" s="329"/>
      <c r="KMP482" s="329"/>
      <c r="KMQ482" s="329"/>
      <c r="KMR482" s="329"/>
      <c r="KMS482" s="329"/>
      <c r="KMT482" s="329"/>
      <c r="KMU482" s="329"/>
      <c r="KMV482" s="329"/>
      <c r="KMW482" s="329"/>
      <c r="KMX482" s="329"/>
      <c r="KMY482" s="329"/>
      <c r="KMZ482" s="329"/>
      <c r="KNA482" s="329"/>
      <c r="KNB482" s="329"/>
      <c r="KNC482" s="329"/>
      <c r="KND482" s="329"/>
      <c r="KNE482" s="329"/>
      <c r="KNF482" s="329"/>
      <c r="KNG482" s="329"/>
      <c r="KNH482" s="329"/>
      <c r="KNI482" s="329"/>
      <c r="KNJ482" s="329"/>
      <c r="KNK482" s="329"/>
      <c r="KNL482" s="329"/>
      <c r="KNM482" s="329"/>
      <c r="KNN482" s="329"/>
      <c r="KNO482" s="329"/>
      <c r="KNP482" s="329"/>
      <c r="KNQ482" s="329"/>
      <c r="KNR482" s="329"/>
      <c r="KNS482" s="329"/>
      <c r="KNT482" s="329"/>
      <c r="KNU482" s="329"/>
      <c r="KNV482" s="329"/>
      <c r="KNW482" s="329"/>
      <c r="KNX482" s="329"/>
      <c r="KNY482" s="329"/>
      <c r="KNZ482" s="329"/>
      <c r="KOA482" s="329"/>
      <c r="KOB482" s="329"/>
      <c r="KOC482" s="329"/>
      <c r="KOD482" s="329"/>
      <c r="KOE482" s="329"/>
      <c r="KOF482" s="329"/>
      <c r="KOG482" s="329"/>
      <c r="KOH482" s="329"/>
      <c r="KOI482" s="329"/>
      <c r="KOJ482" s="329"/>
      <c r="KOK482" s="329"/>
      <c r="KOL482" s="329"/>
      <c r="KOM482" s="329"/>
      <c r="KON482" s="329"/>
      <c r="KOO482" s="329"/>
      <c r="KOP482" s="329"/>
      <c r="KOQ482" s="329"/>
      <c r="KOR482" s="329"/>
      <c r="KOS482" s="329"/>
      <c r="KOT482" s="329"/>
      <c r="KOU482" s="329"/>
      <c r="KOV482" s="329"/>
      <c r="KOW482" s="329"/>
      <c r="KOX482" s="329"/>
      <c r="KOY482" s="329"/>
      <c r="KOZ482" s="329"/>
      <c r="KPA482" s="329"/>
      <c r="KPB482" s="329"/>
      <c r="KPC482" s="329"/>
      <c r="KPD482" s="329"/>
      <c r="KPE482" s="329"/>
      <c r="KPF482" s="329"/>
      <c r="KPG482" s="329"/>
      <c r="KPH482" s="329"/>
      <c r="KPI482" s="329"/>
      <c r="KPJ482" s="329"/>
      <c r="KPK482" s="329"/>
      <c r="KPL482" s="329"/>
      <c r="KPM482" s="329"/>
      <c r="KPN482" s="329"/>
      <c r="KPO482" s="329"/>
      <c r="KPP482" s="329"/>
      <c r="KPQ482" s="329"/>
      <c r="KPR482" s="329"/>
      <c r="KPS482" s="329"/>
      <c r="KPT482" s="329"/>
      <c r="KPU482" s="329"/>
      <c r="KPV482" s="329"/>
      <c r="KPW482" s="329"/>
      <c r="KPX482" s="329"/>
      <c r="KPY482" s="329"/>
      <c r="KPZ482" s="329"/>
      <c r="KQA482" s="329"/>
      <c r="KQB482" s="329"/>
      <c r="KQC482" s="329"/>
      <c r="KQD482" s="329"/>
      <c r="KQE482" s="329"/>
      <c r="KQF482" s="329"/>
      <c r="KQG482" s="329"/>
      <c r="KQH482" s="329"/>
      <c r="KQI482" s="329"/>
      <c r="KQJ482" s="329"/>
      <c r="KQK482" s="329"/>
      <c r="KQL482" s="329"/>
      <c r="KQM482" s="329"/>
      <c r="KQN482" s="329"/>
      <c r="KQO482" s="329"/>
      <c r="KQP482" s="329"/>
      <c r="KQQ482" s="329"/>
      <c r="KQR482" s="329"/>
      <c r="KQS482" s="329"/>
      <c r="KQT482" s="329"/>
      <c r="KQU482" s="329"/>
      <c r="KQV482" s="329"/>
      <c r="KQW482" s="329"/>
      <c r="KQX482" s="329"/>
      <c r="KQY482" s="329"/>
      <c r="KQZ482" s="329"/>
      <c r="KRA482" s="329"/>
      <c r="KRB482" s="329"/>
      <c r="KRC482" s="329"/>
      <c r="KRD482" s="329"/>
      <c r="KRE482" s="329"/>
      <c r="KRF482" s="329"/>
      <c r="KRG482" s="329"/>
      <c r="KRH482" s="329"/>
      <c r="KRI482" s="329"/>
      <c r="KRJ482" s="329"/>
      <c r="KRK482" s="329"/>
      <c r="KRL482" s="329"/>
      <c r="KRM482" s="329"/>
      <c r="KRN482" s="329"/>
      <c r="KRO482" s="329"/>
      <c r="KRP482" s="329"/>
      <c r="KRQ482" s="329"/>
      <c r="KRR482" s="329"/>
      <c r="KRS482" s="329"/>
      <c r="KRT482" s="329"/>
      <c r="KRU482" s="329"/>
      <c r="KRV482" s="329"/>
      <c r="KRW482" s="329"/>
      <c r="KRX482" s="329"/>
      <c r="KRY482" s="329"/>
      <c r="KRZ482" s="329"/>
      <c r="KSA482" s="329"/>
      <c r="KSB482" s="329"/>
      <c r="KSC482" s="329"/>
      <c r="KSD482" s="329"/>
      <c r="KSE482" s="329"/>
      <c r="KSF482" s="329"/>
      <c r="KSG482" s="329"/>
      <c r="KSH482" s="329"/>
      <c r="KSI482" s="329"/>
      <c r="KSJ482" s="329"/>
      <c r="KSK482" s="329"/>
      <c r="KSL482" s="329"/>
      <c r="KSM482" s="329"/>
      <c r="KSN482" s="329"/>
      <c r="KSO482" s="329"/>
      <c r="KSP482" s="329"/>
      <c r="KSQ482" s="329"/>
      <c r="KSR482" s="329"/>
      <c r="KSS482" s="329"/>
      <c r="KST482" s="329"/>
      <c r="KSU482" s="329"/>
      <c r="KSV482" s="329"/>
      <c r="KSW482" s="329"/>
      <c r="KSX482" s="329"/>
      <c r="KSY482" s="329"/>
      <c r="KSZ482" s="329"/>
      <c r="KTA482" s="329"/>
      <c r="KTB482" s="329"/>
      <c r="KTC482" s="329"/>
      <c r="KTD482" s="329"/>
      <c r="KTE482" s="329"/>
      <c r="KTF482" s="329"/>
      <c r="KTG482" s="329"/>
      <c r="KTH482" s="329"/>
      <c r="KTI482" s="329"/>
      <c r="KTJ482" s="329"/>
      <c r="KTK482" s="329"/>
      <c r="KTL482" s="329"/>
      <c r="KTM482" s="329"/>
      <c r="KTN482" s="329"/>
      <c r="KTO482" s="329"/>
      <c r="KTP482" s="329"/>
      <c r="KTQ482" s="329"/>
      <c r="KTR482" s="329"/>
      <c r="KTS482" s="329"/>
      <c r="KTT482" s="329"/>
      <c r="KTU482" s="329"/>
      <c r="KTV482" s="329"/>
      <c r="KTW482" s="329"/>
      <c r="KTX482" s="329"/>
      <c r="KTY482" s="329"/>
      <c r="KTZ482" s="329"/>
      <c r="KUA482" s="329"/>
      <c r="KUB482" s="329"/>
      <c r="KUC482" s="329"/>
      <c r="KUD482" s="329"/>
      <c r="KUE482" s="329"/>
      <c r="KUF482" s="329"/>
      <c r="KUG482" s="329"/>
      <c r="KUH482" s="329"/>
      <c r="KUI482" s="329"/>
      <c r="KUJ482" s="329"/>
      <c r="KUK482" s="329"/>
      <c r="KUL482" s="329"/>
      <c r="KUM482" s="329"/>
      <c r="KUN482" s="329"/>
      <c r="KUO482" s="329"/>
      <c r="KUP482" s="329"/>
      <c r="KUQ482" s="329"/>
      <c r="KUR482" s="329"/>
      <c r="KUS482" s="329"/>
      <c r="KUT482" s="329"/>
      <c r="KUU482" s="329"/>
      <c r="KUV482" s="329"/>
      <c r="KUW482" s="329"/>
      <c r="KUX482" s="329"/>
      <c r="KUY482" s="329"/>
      <c r="KUZ482" s="329"/>
      <c r="KVA482" s="329"/>
      <c r="KVB482" s="329"/>
      <c r="KVC482" s="329"/>
      <c r="KVD482" s="329"/>
      <c r="KVE482" s="329"/>
      <c r="KVF482" s="329"/>
      <c r="KVG482" s="329"/>
      <c r="KVH482" s="329"/>
      <c r="KVI482" s="329"/>
      <c r="KVJ482" s="329"/>
      <c r="KVK482" s="329"/>
      <c r="KVL482" s="329"/>
      <c r="KVM482" s="329"/>
      <c r="KVN482" s="329"/>
      <c r="KVO482" s="329"/>
      <c r="KVP482" s="329"/>
      <c r="KVQ482" s="329"/>
      <c r="KVR482" s="329"/>
      <c r="KVS482" s="329"/>
      <c r="KVT482" s="329"/>
      <c r="KVU482" s="329"/>
      <c r="KVV482" s="329"/>
      <c r="KVW482" s="329"/>
      <c r="KVX482" s="329"/>
      <c r="KVY482" s="329"/>
      <c r="KVZ482" s="329"/>
      <c r="KWA482" s="329"/>
      <c r="KWB482" s="329"/>
      <c r="KWC482" s="329"/>
      <c r="KWD482" s="329"/>
      <c r="KWE482" s="329"/>
      <c r="KWF482" s="329"/>
      <c r="KWG482" s="329"/>
      <c r="KWH482" s="329"/>
      <c r="KWI482" s="329"/>
      <c r="KWJ482" s="329"/>
      <c r="KWK482" s="329"/>
      <c r="KWL482" s="329"/>
      <c r="KWM482" s="329"/>
      <c r="KWN482" s="329"/>
      <c r="KWO482" s="329"/>
      <c r="KWP482" s="329"/>
      <c r="KWQ482" s="329"/>
      <c r="KWR482" s="329"/>
      <c r="KWS482" s="329"/>
      <c r="KWT482" s="329"/>
      <c r="KWU482" s="329"/>
      <c r="KWV482" s="329"/>
      <c r="KWW482" s="329"/>
      <c r="KWX482" s="329"/>
      <c r="KWY482" s="329"/>
      <c r="KWZ482" s="329"/>
      <c r="KXA482" s="329"/>
      <c r="KXB482" s="329"/>
      <c r="KXC482" s="329"/>
      <c r="KXD482" s="329"/>
      <c r="KXE482" s="329"/>
      <c r="KXF482" s="329"/>
      <c r="KXG482" s="329"/>
      <c r="KXH482" s="329"/>
      <c r="KXI482" s="329"/>
      <c r="KXJ482" s="329"/>
      <c r="KXK482" s="329"/>
      <c r="KXL482" s="329"/>
      <c r="KXM482" s="329"/>
      <c r="KXN482" s="329"/>
      <c r="KXO482" s="329"/>
      <c r="KXP482" s="329"/>
      <c r="KXQ482" s="329"/>
      <c r="KXR482" s="329"/>
      <c r="KXS482" s="329"/>
      <c r="KXT482" s="329"/>
      <c r="KXU482" s="329"/>
      <c r="KXV482" s="329"/>
      <c r="KXW482" s="329"/>
      <c r="KXX482" s="329"/>
      <c r="KXY482" s="329"/>
      <c r="KXZ482" s="329"/>
      <c r="KYA482" s="329"/>
      <c r="KYB482" s="329"/>
      <c r="KYC482" s="329"/>
      <c r="KYD482" s="329"/>
      <c r="KYE482" s="329"/>
      <c r="KYF482" s="329"/>
      <c r="KYG482" s="329"/>
      <c r="KYH482" s="329"/>
      <c r="KYI482" s="329"/>
      <c r="KYJ482" s="329"/>
      <c r="KYK482" s="329"/>
      <c r="KYL482" s="329"/>
      <c r="KYM482" s="329"/>
      <c r="KYN482" s="329"/>
      <c r="KYO482" s="329"/>
      <c r="KYP482" s="329"/>
      <c r="KYQ482" s="329"/>
      <c r="KYR482" s="329"/>
      <c r="KYS482" s="329"/>
      <c r="KYT482" s="329"/>
      <c r="KYU482" s="329"/>
      <c r="KYV482" s="329"/>
      <c r="KYW482" s="329"/>
      <c r="KYX482" s="329"/>
      <c r="KYY482" s="329"/>
      <c r="KYZ482" s="329"/>
      <c r="KZA482" s="329"/>
      <c r="KZB482" s="329"/>
      <c r="KZC482" s="329"/>
      <c r="KZD482" s="329"/>
      <c r="KZE482" s="329"/>
      <c r="KZF482" s="329"/>
      <c r="KZG482" s="329"/>
      <c r="KZH482" s="329"/>
      <c r="KZI482" s="329"/>
      <c r="KZJ482" s="329"/>
      <c r="KZK482" s="329"/>
      <c r="KZL482" s="329"/>
      <c r="KZM482" s="329"/>
      <c r="KZN482" s="329"/>
      <c r="KZO482" s="329"/>
      <c r="KZP482" s="329"/>
      <c r="KZQ482" s="329"/>
      <c r="KZR482" s="329"/>
      <c r="KZS482" s="329"/>
      <c r="KZT482" s="329"/>
      <c r="KZU482" s="329"/>
      <c r="KZV482" s="329"/>
      <c r="KZW482" s="329"/>
      <c r="KZX482" s="329"/>
      <c r="KZY482" s="329"/>
      <c r="KZZ482" s="329"/>
      <c r="LAA482" s="329"/>
      <c r="LAB482" s="329"/>
      <c r="LAC482" s="329"/>
      <c r="LAD482" s="329"/>
      <c r="LAE482" s="329"/>
      <c r="LAF482" s="329"/>
      <c r="LAG482" s="329"/>
      <c r="LAH482" s="329"/>
      <c r="LAI482" s="329"/>
      <c r="LAJ482" s="329"/>
      <c r="LAK482" s="329"/>
      <c r="LAL482" s="329"/>
      <c r="LAM482" s="329"/>
      <c r="LAN482" s="329"/>
      <c r="LAO482" s="329"/>
      <c r="LAP482" s="329"/>
      <c r="LAQ482" s="329"/>
      <c r="LAR482" s="329"/>
      <c r="LAS482" s="329"/>
      <c r="LAT482" s="329"/>
      <c r="LAU482" s="329"/>
      <c r="LAV482" s="329"/>
      <c r="LAW482" s="329"/>
      <c r="LAX482" s="329"/>
      <c r="LAY482" s="329"/>
      <c r="LAZ482" s="329"/>
      <c r="LBA482" s="329"/>
      <c r="LBB482" s="329"/>
      <c r="LBC482" s="329"/>
      <c r="LBD482" s="329"/>
      <c r="LBE482" s="329"/>
      <c r="LBF482" s="329"/>
      <c r="LBG482" s="329"/>
      <c r="LBH482" s="329"/>
      <c r="LBI482" s="329"/>
      <c r="LBJ482" s="329"/>
      <c r="LBK482" s="329"/>
      <c r="LBL482" s="329"/>
      <c r="LBM482" s="329"/>
      <c r="LBN482" s="329"/>
      <c r="LBO482" s="329"/>
      <c r="LBP482" s="329"/>
      <c r="LBQ482" s="329"/>
      <c r="LBR482" s="329"/>
      <c r="LBS482" s="329"/>
      <c r="LBT482" s="329"/>
      <c r="LBU482" s="329"/>
      <c r="LBV482" s="329"/>
      <c r="LBW482" s="329"/>
      <c r="LBX482" s="329"/>
      <c r="LBY482" s="329"/>
      <c r="LBZ482" s="329"/>
      <c r="LCA482" s="329"/>
      <c r="LCB482" s="329"/>
      <c r="LCC482" s="329"/>
      <c r="LCD482" s="329"/>
      <c r="LCE482" s="329"/>
      <c r="LCF482" s="329"/>
      <c r="LCG482" s="329"/>
      <c r="LCH482" s="329"/>
      <c r="LCI482" s="329"/>
      <c r="LCJ482" s="329"/>
      <c r="LCK482" s="329"/>
      <c r="LCL482" s="329"/>
      <c r="LCM482" s="329"/>
      <c r="LCN482" s="329"/>
      <c r="LCO482" s="329"/>
      <c r="LCP482" s="329"/>
      <c r="LCQ482" s="329"/>
      <c r="LCR482" s="329"/>
      <c r="LCS482" s="329"/>
      <c r="LCT482" s="329"/>
      <c r="LCU482" s="329"/>
      <c r="LCV482" s="329"/>
      <c r="LCW482" s="329"/>
      <c r="LCX482" s="329"/>
      <c r="LCY482" s="329"/>
      <c r="LCZ482" s="329"/>
      <c r="LDA482" s="329"/>
      <c r="LDB482" s="329"/>
      <c r="LDC482" s="329"/>
      <c r="LDD482" s="329"/>
      <c r="LDE482" s="329"/>
      <c r="LDF482" s="329"/>
      <c r="LDG482" s="329"/>
      <c r="LDH482" s="329"/>
      <c r="LDI482" s="329"/>
      <c r="LDJ482" s="329"/>
      <c r="LDK482" s="329"/>
      <c r="LDL482" s="329"/>
      <c r="LDM482" s="329"/>
      <c r="LDN482" s="329"/>
      <c r="LDO482" s="329"/>
      <c r="LDP482" s="329"/>
      <c r="LDQ482" s="329"/>
      <c r="LDR482" s="329"/>
      <c r="LDS482" s="329"/>
      <c r="LDT482" s="329"/>
      <c r="LDU482" s="329"/>
      <c r="LDV482" s="329"/>
      <c r="LDW482" s="329"/>
      <c r="LDX482" s="329"/>
      <c r="LDY482" s="329"/>
      <c r="LDZ482" s="329"/>
      <c r="LEA482" s="329"/>
      <c r="LEB482" s="329"/>
      <c r="LEC482" s="329"/>
      <c r="LED482" s="329"/>
      <c r="LEE482" s="329"/>
      <c r="LEF482" s="329"/>
      <c r="LEG482" s="329"/>
      <c r="LEH482" s="329"/>
      <c r="LEI482" s="329"/>
      <c r="LEJ482" s="329"/>
      <c r="LEK482" s="329"/>
      <c r="LEL482" s="329"/>
      <c r="LEM482" s="329"/>
      <c r="LEN482" s="329"/>
      <c r="LEO482" s="329"/>
      <c r="LEP482" s="329"/>
      <c r="LEQ482" s="329"/>
      <c r="LER482" s="329"/>
      <c r="LES482" s="329"/>
      <c r="LET482" s="329"/>
      <c r="LEU482" s="329"/>
      <c r="LEV482" s="329"/>
      <c r="LEW482" s="329"/>
      <c r="LEX482" s="329"/>
      <c r="LEY482" s="329"/>
      <c r="LEZ482" s="329"/>
      <c r="LFA482" s="329"/>
      <c r="LFB482" s="329"/>
      <c r="LFC482" s="329"/>
      <c r="LFD482" s="329"/>
      <c r="LFE482" s="329"/>
      <c r="LFF482" s="329"/>
      <c r="LFG482" s="329"/>
      <c r="LFH482" s="329"/>
      <c r="LFI482" s="329"/>
      <c r="LFJ482" s="329"/>
      <c r="LFK482" s="329"/>
      <c r="LFL482" s="329"/>
      <c r="LFM482" s="329"/>
      <c r="LFN482" s="329"/>
      <c r="LFO482" s="329"/>
      <c r="LFP482" s="329"/>
      <c r="LFQ482" s="329"/>
      <c r="LFR482" s="329"/>
      <c r="LFS482" s="329"/>
      <c r="LFT482" s="329"/>
      <c r="LFU482" s="329"/>
      <c r="LFV482" s="329"/>
      <c r="LFW482" s="329"/>
      <c r="LFX482" s="329"/>
      <c r="LFY482" s="329"/>
      <c r="LFZ482" s="329"/>
      <c r="LGA482" s="329"/>
      <c r="LGB482" s="329"/>
      <c r="LGC482" s="329"/>
      <c r="LGD482" s="329"/>
      <c r="LGE482" s="329"/>
      <c r="LGF482" s="329"/>
      <c r="LGG482" s="329"/>
      <c r="LGH482" s="329"/>
      <c r="LGI482" s="329"/>
      <c r="LGJ482" s="329"/>
      <c r="LGK482" s="329"/>
      <c r="LGL482" s="329"/>
      <c r="LGM482" s="329"/>
      <c r="LGN482" s="329"/>
      <c r="LGO482" s="329"/>
      <c r="LGP482" s="329"/>
      <c r="LGQ482" s="329"/>
      <c r="LGR482" s="329"/>
      <c r="LGS482" s="329"/>
      <c r="LGT482" s="329"/>
      <c r="LGU482" s="329"/>
      <c r="LGV482" s="329"/>
      <c r="LGW482" s="329"/>
      <c r="LGX482" s="329"/>
      <c r="LGY482" s="329"/>
      <c r="LGZ482" s="329"/>
      <c r="LHA482" s="329"/>
      <c r="LHB482" s="329"/>
      <c r="LHC482" s="329"/>
      <c r="LHD482" s="329"/>
      <c r="LHE482" s="329"/>
      <c r="LHF482" s="329"/>
      <c r="LHG482" s="329"/>
      <c r="LHH482" s="329"/>
      <c r="LHI482" s="329"/>
      <c r="LHJ482" s="329"/>
      <c r="LHK482" s="329"/>
      <c r="LHL482" s="329"/>
      <c r="LHM482" s="329"/>
      <c r="LHN482" s="329"/>
      <c r="LHO482" s="329"/>
      <c r="LHP482" s="329"/>
      <c r="LHQ482" s="329"/>
      <c r="LHR482" s="329"/>
      <c r="LHS482" s="329"/>
      <c r="LHT482" s="329"/>
      <c r="LHU482" s="329"/>
      <c r="LHV482" s="329"/>
      <c r="LHW482" s="329"/>
      <c r="LHX482" s="329"/>
      <c r="LHY482" s="329"/>
      <c r="LHZ482" s="329"/>
      <c r="LIA482" s="329"/>
      <c r="LIB482" s="329"/>
      <c r="LIC482" s="329"/>
      <c r="LID482" s="329"/>
      <c r="LIE482" s="329"/>
      <c r="LIF482" s="329"/>
      <c r="LIG482" s="329"/>
      <c r="LIH482" s="329"/>
      <c r="LII482" s="329"/>
      <c r="LIJ482" s="329"/>
      <c r="LIK482" s="329"/>
      <c r="LIL482" s="329"/>
      <c r="LIM482" s="329"/>
      <c r="LIN482" s="329"/>
      <c r="LIO482" s="329"/>
      <c r="LIP482" s="329"/>
      <c r="LIQ482" s="329"/>
      <c r="LIR482" s="329"/>
      <c r="LIS482" s="329"/>
      <c r="LIT482" s="329"/>
      <c r="LIU482" s="329"/>
      <c r="LIV482" s="329"/>
      <c r="LIW482" s="329"/>
      <c r="LIX482" s="329"/>
      <c r="LIY482" s="329"/>
      <c r="LIZ482" s="329"/>
      <c r="LJA482" s="329"/>
      <c r="LJB482" s="329"/>
      <c r="LJC482" s="329"/>
      <c r="LJD482" s="329"/>
      <c r="LJE482" s="329"/>
      <c r="LJF482" s="329"/>
      <c r="LJG482" s="329"/>
      <c r="LJH482" s="329"/>
      <c r="LJI482" s="329"/>
      <c r="LJJ482" s="329"/>
      <c r="LJK482" s="329"/>
      <c r="LJL482" s="329"/>
      <c r="LJM482" s="329"/>
      <c r="LJN482" s="329"/>
      <c r="LJO482" s="329"/>
      <c r="LJP482" s="329"/>
      <c r="LJQ482" s="329"/>
      <c r="LJR482" s="329"/>
      <c r="LJS482" s="329"/>
      <c r="LJT482" s="329"/>
      <c r="LJU482" s="329"/>
      <c r="LJV482" s="329"/>
      <c r="LJW482" s="329"/>
      <c r="LJX482" s="329"/>
      <c r="LJY482" s="329"/>
      <c r="LJZ482" s="329"/>
      <c r="LKA482" s="329"/>
      <c r="LKB482" s="329"/>
      <c r="LKC482" s="329"/>
      <c r="LKD482" s="329"/>
      <c r="LKE482" s="329"/>
      <c r="LKF482" s="329"/>
      <c r="LKG482" s="329"/>
      <c r="LKH482" s="329"/>
      <c r="LKI482" s="329"/>
      <c r="LKJ482" s="329"/>
      <c r="LKK482" s="329"/>
      <c r="LKL482" s="329"/>
      <c r="LKM482" s="329"/>
      <c r="LKN482" s="329"/>
      <c r="LKO482" s="329"/>
      <c r="LKP482" s="329"/>
      <c r="LKQ482" s="329"/>
      <c r="LKR482" s="329"/>
      <c r="LKS482" s="329"/>
      <c r="LKT482" s="329"/>
      <c r="LKU482" s="329"/>
      <c r="LKV482" s="329"/>
      <c r="LKW482" s="329"/>
      <c r="LKX482" s="329"/>
      <c r="LKY482" s="329"/>
      <c r="LKZ482" s="329"/>
      <c r="LLA482" s="329"/>
      <c r="LLB482" s="329"/>
      <c r="LLC482" s="329"/>
      <c r="LLD482" s="329"/>
      <c r="LLE482" s="329"/>
      <c r="LLF482" s="329"/>
      <c r="LLG482" s="329"/>
      <c r="LLH482" s="329"/>
      <c r="LLI482" s="329"/>
      <c r="LLJ482" s="329"/>
      <c r="LLK482" s="329"/>
      <c r="LLL482" s="329"/>
      <c r="LLM482" s="329"/>
      <c r="LLN482" s="329"/>
      <c r="LLO482" s="329"/>
      <c r="LLP482" s="329"/>
      <c r="LLQ482" s="329"/>
      <c r="LLR482" s="329"/>
      <c r="LLS482" s="329"/>
      <c r="LLT482" s="329"/>
      <c r="LLU482" s="329"/>
      <c r="LLV482" s="329"/>
      <c r="LLW482" s="329"/>
      <c r="LLX482" s="329"/>
      <c r="LLY482" s="329"/>
      <c r="LLZ482" s="329"/>
      <c r="LMA482" s="329"/>
      <c r="LMB482" s="329"/>
      <c r="LMC482" s="329"/>
      <c r="LMD482" s="329"/>
      <c r="LME482" s="329"/>
      <c r="LMF482" s="329"/>
      <c r="LMG482" s="329"/>
      <c r="LMH482" s="329"/>
      <c r="LMI482" s="329"/>
      <c r="LMJ482" s="329"/>
      <c r="LMK482" s="329"/>
      <c r="LML482" s="329"/>
      <c r="LMM482" s="329"/>
      <c r="LMN482" s="329"/>
      <c r="LMO482" s="329"/>
      <c r="LMP482" s="329"/>
      <c r="LMQ482" s="329"/>
      <c r="LMR482" s="329"/>
      <c r="LMS482" s="329"/>
      <c r="LMT482" s="329"/>
      <c r="LMU482" s="329"/>
      <c r="LMV482" s="329"/>
      <c r="LMW482" s="329"/>
      <c r="LMX482" s="329"/>
      <c r="LMY482" s="329"/>
      <c r="LMZ482" s="329"/>
      <c r="LNA482" s="329"/>
      <c r="LNB482" s="329"/>
      <c r="LNC482" s="329"/>
      <c r="LND482" s="329"/>
      <c r="LNE482" s="329"/>
      <c r="LNF482" s="329"/>
      <c r="LNG482" s="329"/>
      <c r="LNH482" s="329"/>
      <c r="LNI482" s="329"/>
      <c r="LNJ482" s="329"/>
      <c r="LNK482" s="329"/>
      <c r="LNL482" s="329"/>
      <c r="LNM482" s="329"/>
      <c r="LNN482" s="329"/>
      <c r="LNO482" s="329"/>
      <c r="LNP482" s="329"/>
      <c r="LNQ482" s="329"/>
      <c r="LNR482" s="329"/>
      <c r="LNS482" s="329"/>
      <c r="LNT482" s="329"/>
      <c r="LNU482" s="329"/>
      <c r="LNV482" s="329"/>
      <c r="LNW482" s="329"/>
      <c r="LNX482" s="329"/>
      <c r="LNY482" s="329"/>
      <c r="LNZ482" s="329"/>
      <c r="LOA482" s="329"/>
      <c r="LOB482" s="329"/>
      <c r="LOC482" s="329"/>
      <c r="LOD482" s="329"/>
      <c r="LOE482" s="329"/>
      <c r="LOF482" s="329"/>
      <c r="LOG482" s="329"/>
      <c r="LOH482" s="329"/>
      <c r="LOI482" s="329"/>
      <c r="LOJ482" s="329"/>
      <c r="LOK482" s="329"/>
      <c r="LOL482" s="329"/>
      <c r="LOM482" s="329"/>
      <c r="LON482" s="329"/>
      <c r="LOO482" s="329"/>
      <c r="LOP482" s="329"/>
      <c r="LOQ482" s="329"/>
      <c r="LOR482" s="329"/>
      <c r="LOS482" s="329"/>
      <c r="LOT482" s="329"/>
      <c r="LOU482" s="329"/>
      <c r="LOV482" s="329"/>
      <c r="LOW482" s="329"/>
      <c r="LOX482" s="329"/>
      <c r="LOY482" s="329"/>
      <c r="LOZ482" s="329"/>
      <c r="LPA482" s="329"/>
      <c r="LPB482" s="329"/>
      <c r="LPC482" s="329"/>
      <c r="LPD482" s="329"/>
      <c r="LPE482" s="329"/>
      <c r="LPF482" s="329"/>
      <c r="LPG482" s="329"/>
      <c r="LPH482" s="329"/>
      <c r="LPI482" s="329"/>
      <c r="LPJ482" s="329"/>
      <c r="LPK482" s="329"/>
      <c r="LPL482" s="329"/>
      <c r="LPM482" s="329"/>
      <c r="LPN482" s="329"/>
      <c r="LPO482" s="329"/>
      <c r="LPP482" s="329"/>
      <c r="LPQ482" s="329"/>
      <c r="LPR482" s="329"/>
      <c r="LPS482" s="329"/>
      <c r="LPT482" s="329"/>
      <c r="LPU482" s="329"/>
      <c r="LPV482" s="329"/>
      <c r="LPW482" s="329"/>
      <c r="LPX482" s="329"/>
      <c r="LPY482" s="329"/>
      <c r="LPZ482" s="329"/>
      <c r="LQA482" s="329"/>
      <c r="LQB482" s="329"/>
      <c r="LQC482" s="329"/>
      <c r="LQD482" s="329"/>
      <c r="LQE482" s="329"/>
      <c r="LQF482" s="329"/>
      <c r="LQG482" s="329"/>
      <c r="LQH482" s="329"/>
      <c r="LQI482" s="329"/>
      <c r="LQJ482" s="329"/>
      <c r="LQK482" s="329"/>
      <c r="LQL482" s="329"/>
      <c r="LQM482" s="329"/>
      <c r="LQN482" s="329"/>
      <c r="LQO482" s="329"/>
      <c r="LQP482" s="329"/>
      <c r="LQQ482" s="329"/>
      <c r="LQR482" s="329"/>
      <c r="LQS482" s="329"/>
      <c r="LQT482" s="329"/>
      <c r="LQU482" s="329"/>
      <c r="LQV482" s="329"/>
      <c r="LQW482" s="329"/>
      <c r="LQX482" s="329"/>
      <c r="LQY482" s="329"/>
      <c r="LQZ482" s="329"/>
      <c r="LRA482" s="329"/>
      <c r="LRB482" s="329"/>
      <c r="LRC482" s="329"/>
      <c r="LRD482" s="329"/>
      <c r="LRE482" s="329"/>
      <c r="LRF482" s="329"/>
      <c r="LRG482" s="329"/>
      <c r="LRH482" s="329"/>
      <c r="LRI482" s="329"/>
      <c r="LRJ482" s="329"/>
      <c r="LRK482" s="329"/>
      <c r="LRL482" s="329"/>
      <c r="LRM482" s="329"/>
      <c r="LRN482" s="329"/>
      <c r="LRO482" s="329"/>
      <c r="LRP482" s="329"/>
      <c r="LRQ482" s="329"/>
      <c r="LRR482" s="329"/>
      <c r="LRS482" s="329"/>
      <c r="LRT482" s="329"/>
      <c r="LRU482" s="329"/>
      <c r="LRV482" s="329"/>
      <c r="LRW482" s="329"/>
      <c r="LRX482" s="329"/>
      <c r="LRY482" s="329"/>
      <c r="LRZ482" s="329"/>
      <c r="LSA482" s="329"/>
      <c r="LSB482" s="329"/>
      <c r="LSC482" s="329"/>
      <c r="LSD482" s="329"/>
      <c r="LSE482" s="329"/>
      <c r="LSF482" s="329"/>
      <c r="LSG482" s="329"/>
      <c r="LSH482" s="329"/>
      <c r="LSI482" s="329"/>
      <c r="LSJ482" s="329"/>
      <c r="LSK482" s="329"/>
      <c r="LSL482" s="329"/>
      <c r="LSM482" s="329"/>
      <c r="LSN482" s="329"/>
      <c r="LSO482" s="329"/>
      <c r="LSP482" s="329"/>
      <c r="LSQ482" s="329"/>
      <c r="LSR482" s="329"/>
      <c r="LSS482" s="329"/>
      <c r="LST482" s="329"/>
      <c r="LSU482" s="329"/>
      <c r="LSV482" s="329"/>
      <c r="LSW482" s="329"/>
      <c r="LSX482" s="329"/>
      <c r="LSY482" s="329"/>
      <c r="LSZ482" s="329"/>
      <c r="LTA482" s="329"/>
      <c r="LTB482" s="329"/>
      <c r="LTC482" s="329"/>
      <c r="LTD482" s="329"/>
      <c r="LTE482" s="329"/>
      <c r="LTF482" s="329"/>
      <c r="LTG482" s="329"/>
      <c r="LTH482" s="329"/>
      <c r="LTI482" s="329"/>
      <c r="LTJ482" s="329"/>
      <c r="LTK482" s="329"/>
      <c r="LTL482" s="329"/>
      <c r="LTM482" s="329"/>
      <c r="LTN482" s="329"/>
      <c r="LTO482" s="329"/>
      <c r="LTP482" s="329"/>
      <c r="LTQ482" s="329"/>
      <c r="LTR482" s="329"/>
      <c r="LTS482" s="329"/>
      <c r="LTT482" s="329"/>
      <c r="LTU482" s="329"/>
      <c r="LTV482" s="329"/>
      <c r="LTW482" s="329"/>
      <c r="LTX482" s="329"/>
      <c r="LTY482" s="329"/>
      <c r="LTZ482" s="329"/>
      <c r="LUA482" s="329"/>
      <c r="LUB482" s="329"/>
      <c r="LUC482" s="329"/>
      <c r="LUD482" s="329"/>
      <c r="LUE482" s="329"/>
      <c r="LUF482" s="329"/>
      <c r="LUG482" s="329"/>
      <c r="LUH482" s="329"/>
      <c r="LUI482" s="329"/>
      <c r="LUJ482" s="329"/>
      <c r="LUK482" s="329"/>
      <c r="LUL482" s="329"/>
      <c r="LUM482" s="329"/>
      <c r="LUN482" s="329"/>
      <c r="LUO482" s="329"/>
      <c r="LUP482" s="329"/>
      <c r="LUQ482" s="329"/>
      <c r="LUR482" s="329"/>
      <c r="LUS482" s="329"/>
      <c r="LUT482" s="329"/>
      <c r="LUU482" s="329"/>
      <c r="LUV482" s="329"/>
      <c r="LUW482" s="329"/>
      <c r="LUX482" s="329"/>
      <c r="LUY482" s="329"/>
      <c r="LUZ482" s="329"/>
      <c r="LVA482" s="329"/>
      <c r="LVB482" s="329"/>
      <c r="LVC482" s="329"/>
      <c r="LVD482" s="329"/>
      <c r="LVE482" s="329"/>
      <c r="LVF482" s="329"/>
      <c r="LVG482" s="329"/>
      <c r="LVH482" s="329"/>
      <c r="LVI482" s="329"/>
      <c r="LVJ482" s="329"/>
      <c r="LVK482" s="329"/>
      <c r="LVL482" s="329"/>
      <c r="LVM482" s="329"/>
      <c r="LVN482" s="329"/>
      <c r="LVO482" s="329"/>
      <c r="LVP482" s="329"/>
      <c r="LVQ482" s="329"/>
      <c r="LVR482" s="329"/>
      <c r="LVS482" s="329"/>
      <c r="LVT482" s="329"/>
      <c r="LVU482" s="329"/>
      <c r="LVV482" s="329"/>
      <c r="LVW482" s="329"/>
      <c r="LVX482" s="329"/>
      <c r="LVY482" s="329"/>
      <c r="LVZ482" s="329"/>
      <c r="LWA482" s="329"/>
      <c r="LWB482" s="329"/>
      <c r="LWC482" s="329"/>
      <c r="LWD482" s="329"/>
      <c r="LWE482" s="329"/>
      <c r="LWF482" s="329"/>
      <c r="LWG482" s="329"/>
      <c r="LWH482" s="329"/>
      <c r="LWI482" s="329"/>
      <c r="LWJ482" s="329"/>
      <c r="LWK482" s="329"/>
      <c r="LWL482" s="329"/>
      <c r="LWM482" s="329"/>
      <c r="LWN482" s="329"/>
      <c r="LWO482" s="329"/>
      <c r="LWP482" s="329"/>
      <c r="LWQ482" s="329"/>
      <c r="LWR482" s="329"/>
      <c r="LWS482" s="329"/>
      <c r="LWT482" s="329"/>
      <c r="LWU482" s="329"/>
      <c r="LWV482" s="329"/>
      <c r="LWW482" s="329"/>
      <c r="LWX482" s="329"/>
      <c r="LWY482" s="329"/>
      <c r="LWZ482" s="329"/>
      <c r="LXA482" s="329"/>
      <c r="LXB482" s="329"/>
      <c r="LXC482" s="329"/>
      <c r="LXD482" s="329"/>
      <c r="LXE482" s="329"/>
      <c r="LXF482" s="329"/>
      <c r="LXG482" s="329"/>
      <c r="LXH482" s="329"/>
      <c r="LXI482" s="329"/>
      <c r="LXJ482" s="329"/>
      <c r="LXK482" s="329"/>
      <c r="LXL482" s="329"/>
      <c r="LXM482" s="329"/>
      <c r="LXN482" s="329"/>
      <c r="LXO482" s="329"/>
      <c r="LXP482" s="329"/>
      <c r="LXQ482" s="329"/>
      <c r="LXR482" s="329"/>
      <c r="LXS482" s="329"/>
      <c r="LXT482" s="329"/>
      <c r="LXU482" s="329"/>
      <c r="LXV482" s="329"/>
      <c r="LXW482" s="329"/>
      <c r="LXX482" s="329"/>
      <c r="LXY482" s="329"/>
      <c r="LXZ482" s="329"/>
      <c r="LYA482" s="329"/>
      <c r="LYB482" s="329"/>
      <c r="LYC482" s="329"/>
      <c r="LYD482" s="329"/>
      <c r="LYE482" s="329"/>
      <c r="LYF482" s="329"/>
      <c r="LYG482" s="329"/>
      <c r="LYH482" s="329"/>
      <c r="LYI482" s="329"/>
      <c r="LYJ482" s="329"/>
      <c r="LYK482" s="329"/>
      <c r="LYL482" s="329"/>
      <c r="LYM482" s="329"/>
      <c r="LYN482" s="329"/>
      <c r="LYO482" s="329"/>
      <c r="LYP482" s="329"/>
      <c r="LYQ482" s="329"/>
      <c r="LYR482" s="329"/>
      <c r="LYS482" s="329"/>
      <c r="LYT482" s="329"/>
      <c r="LYU482" s="329"/>
      <c r="LYV482" s="329"/>
      <c r="LYW482" s="329"/>
      <c r="LYX482" s="329"/>
      <c r="LYY482" s="329"/>
      <c r="LYZ482" s="329"/>
      <c r="LZA482" s="329"/>
      <c r="LZB482" s="329"/>
      <c r="LZC482" s="329"/>
      <c r="LZD482" s="329"/>
      <c r="LZE482" s="329"/>
      <c r="LZF482" s="329"/>
      <c r="LZG482" s="329"/>
      <c r="LZH482" s="329"/>
      <c r="LZI482" s="329"/>
      <c r="LZJ482" s="329"/>
      <c r="LZK482" s="329"/>
      <c r="LZL482" s="329"/>
      <c r="LZM482" s="329"/>
      <c r="LZN482" s="329"/>
      <c r="LZO482" s="329"/>
      <c r="LZP482" s="329"/>
      <c r="LZQ482" s="329"/>
      <c r="LZR482" s="329"/>
      <c r="LZS482" s="329"/>
      <c r="LZT482" s="329"/>
      <c r="LZU482" s="329"/>
      <c r="LZV482" s="329"/>
      <c r="LZW482" s="329"/>
      <c r="LZX482" s="329"/>
      <c r="LZY482" s="329"/>
      <c r="LZZ482" s="329"/>
      <c r="MAA482" s="329"/>
      <c r="MAB482" s="329"/>
      <c r="MAC482" s="329"/>
      <c r="MAD482" s="329"/>
      <c r="MAE482" s="329"/>
      <c r="MAF482" s="329"/>
      <c r="MAG482" s="329"/>
      <c r="MAH482" s="329"/>
      <c r="MAI482" s="329"/>
      <c r="MAJ482" s="329"/>
      <c r="MAK482" s="329"/>
      <c r="MAL482" s="329"/>
      <c r="MAM482" s="329"/>
      <c r="MAN482" s="329"/>
      <c r="MAO482" s="329"/>
      <c r="MAP482" s="329"/>
      <c r="MAQ482" s="329"/>
      <c r="MAR482" s="329"/>
      <c r="MAS482" s="329"/>
      <c r="MAT482" s="329"/>
      <c r="MAU482" s="329"/>
      <c r="MAV482" s="329"/>
      <c r="MAW482" s="329"/>
      <c r="MAX482" s="329"/>
      <c r="MAY482" s="329"/>
      <c r="MAZ482" s="329"/>
      <c r="MBA482" s="329"/>
      <c r="MBB482" s="329"/>
      <c r="MBC482" s="329"/>
      <c r="MBD482" s="329"/>
      <c r="MBE482" s="329"/>
      <c r="MBF482" s="329"/>
      <c r="MBG482" s="329"/>
      <c r="MBH482" s="329"/>
      <c r="MBI482" s="329"/>
      <c r="MBJ482" s="329"/>
      <c r="MBK482" s="329"/>
      <c r="MBL482" s="329"/>
      <c r="MBM482" s="329"/>
      <c r="MBN482" s="329"/>
      <c r="MBO482" s="329"/>
      <c r="MBP482" s="329"/>
      <c r="MBQ482" s="329"/>
      <c r="MBR482" s="329"/>
      <c r="MBS482" s="329"/>
      <c r="MBT482" s="329"/>
      <c r="MBU482" s="329"/>
      <c r="MBV482" s="329"/>
      <c r="MBW482" s="329"/>
      <c r="MBX482" s="329"/>
      <c r="MBY482" s="329"/>
      <c r="MBZ482" s="329"/>
      <c r="MCA482" s="329"/>
      <c r="MCB482" s="329"/>
      <c r="MCC482" s="329"/>
      <c r="MCD482" s="329"/>
      <c r="MCE482" s="329"/>
      <c r="MCF482" s="329"/>
      <c r="MCG482" s="329"/>
      <c r="MCH482" s="329"/>
      <c r="MCI482" s="329"/>
      <c r="MCJ482" s="329"/>
      <c r="MCK482" s="329"/>
      <c r="MCL482" s="329"/>
      <c r="MCM482" s="329"/>
      <c r="MCN482" s="329"/>
      <c r="MCO482" s="329"/>
      <c r="MCP482" s="329"/>
      <c r="MCQ482" s="329"/>
      <c r="MCR482" s="329"/>
      <c r="MCS482" s="329"/>
      <c r="MCT482" s="329"/>
      <c r="MCU482" s="329"/>
      <c r="MCV482" s="329"/>
      <c r="MCW482" s="329"/>
      <c r="MCX482" s="329"/>
      <c r="MCY482" s="329"/>
      <c r="MCZ482" s="329"/>
      <c r="MDA482" s="329"/>
      <c r="MDB482" s="329"/>
      <c r="MDC482" s="329"/>
      <c r="MDD482" s="329"/>
      <c r="MDE482" s="329"/>
      <c r="MDF482" s="329"/>
      <c r="MDG482" s="329"/>
      <c r="MDH482" s="329"/>
      <c r="MDI482" s="329"/>
      <c r="MDJ482" s="329"/>
      <c r="MDK482" s="329"/>
      <c r="MDL482" s="329"/>
      <c r="MDM482" s="329"/>
      <c r="MDN482" s="329"/>
      <c r="MDO482" s="329"/>
      <c r="MDP482" s="329"/>
      <c r="MDQ482" s="329"/>
      <c r="MDR482" s="329"/>
      <c r="MDS482" s="329"/>
      <c r="MDT482" s="329"/>
      <c r="MDU482" s="329"/>
      <c r="MDV482" s="329"/>
      <c r="MDW482" s="329"/>
      <c r="MDX482" s="329"/>
      <c r="MDY482" s="329"/>
      <c r="MDZ482" s="329"/>
      <c r="MEA482" s="329"/>
      <c r="MEB482" s="329"/>
      <c r="MEC482" s="329"/>
      <c r="MED482" s="329"/>
      <c r="MEE482" s="329"/>
      <c r="MEF482" s="329"/>
      <c r="MEG482" s="329"/>
      <c r="MEH482" s="329"/>
      <c r="MEI482" s="329"/>
      <c r="MEJ482" s="329"/>
      <c r="MEK482" s="329"/>
      <c r="MEL482" s="329"/>
      <c r="MEM482" s="329"/>
      <c r="MEN482" s="329"/>
      <c r="MEO482" s="329"/>
      <c r="MEP482" s="329"/>
      <c r="MEQ482" s="329"/>
      <c r="MER482" s="329"/>
      <c r="MES482" s="329"/>
      <c r="MET482" s="329"/>
      <c r="MEU482" s="329"/>
      <c r="MEV482" s="329"/>
      <c r="MEW482" s="329"/>
      <c r="MEX482" s="329"/>
      <c r="MEY482" s="329"/>
      <c r="MEZ482" s="329"/>
      <c r="MFA482" s="329"/>
      <c r="MFB482" s="329"/>
      <c r="MFC482" s="329"/>
      <c r="MFD482" s="329"/>
      <c r="MFE482" s="329"/>
      <c r="MFF482" s="329"/>
      <c r="MFG482" s="329"/>
      <c r="MFH482" s="329"/>
      <c r="MFI482" s="329"/>
      <c r="MFJ482" s="329"/>
      <c r="MFK482" s="329"/>
      <c r="MFL482" s="329"/>
      <c r="MFM482" s="329"/>
      <c r="MFN482" s="329"/>
      <c r="MFO482" s="329"/>
      <c r="MFP482" s="329"/>
      <c r="MFQ482" s="329"/>
      <c r="MFR482" s="329"/>
      <c r="MFS482" s="329"/>
      <c r="MFT482" s="329"/>
      <c r="MFU482" s="329"/>
      <c r="MFV482" s="329"/>
      <c r="MFW482" s="329"/>
      <c r="MFX482" s="329"/>
      <c r="MFY482" s="329"/>
      <c r="MFZ482" s="329"/>
      <c r="MGA482" s="329"/>
      <c r="MGB482" s="329"/>
      <c r="MGC482" s="329"/>
      <c r="MGD482" s="329"/>
      <c r="MGE482" s="329"/>
      <c r="MGF482" s="329"/>
      <c r="MGG482" s="329"/>
      <c r="MGH482" s="329"/>
      <c r="MGI482" s="329"/>
      <c r="MGJ482" s="329"/>
      <c r="MGK482" s="329"/>
      <c r="MGL482" s="329"/>
      <c r="MGM482" s="329"/>
      <c r="MGN482" s="329"/>
      <c r="MGO482" s="329"/>
      <c r="MGP482" s="329"/>
      <c r="MGQ482" s="329"/>
      <c r="MGR482" s="329"/>
      <c r="MGS482" s="329"/>
      <c r="MGT482" s="329"/>
      <c r="MGU482" s="329"/>
      <c r="MGV482" s="329"/>
      <c r="MGW482" s="329"/>
      <c r="MGX482" s="329"/>
      <c r="MGY482" s="329"/>
      <c r="MGZ482" s="329"/>
      <c r="MHA482" s="329"/>
      <c r="MHB482" s="329"/>
      <c r="MHC482" s="329"/>
      <c r="MHD482" s="329"/>
      <c r="MHE482" s="329"/>
      <c r="MHF482" s="329"/>
      <c r="MHG482" s="329"/>
      <c r="MHH482" s="329"/>
      <c r="MHI482" s="329"/>
      <c r="MHJ482" s="329"/>
      <c r="MHK482" s="329"/>
      <c r="MHL482" s="329"/>
      <c r="MHM482" s="329"/>
      <c r="MHN482" s="329"/>
      <c r="MHO482" s="329"/>
      <c r="MHP482" s="329"/>
      <c r="MHQ482" s="329"/>
      <c r="MHR482" s="329"/>
      <c r="MHS482" s="329"/>
      <c r="MHT482" s="329"/>
      <c r="MHU482" s="329"/>
      <c r="MHV482" s="329"/>
      <c r="MHW482" s="329"/>
      <c r="MHX482" s="329"/>
      <c r="MHY482" s="329"/>
      <c r="MHZ482" s="329"/>
      <c r="MIA482" s="329"/>
      <c r="MIB482" s="329"/>
      <c r="MIC482" s="329"/>
      <c r="MID482" s="329"/>
      <c r="MIE482" s="329"/>
      <c r="MIF482" s="329"/>
      <c r="MIG482" s="329"/>
      <c r="MIH482" s="329"/>
      <c r="MII482" s="329"/>
      <c r="MIJ482" s="329"/>
      <c r="MIK482" s="329"/>
      <c r="MIL482" s="329"/>
      <c r="MIM482" s="329"/>
      <c r="MIN482" s="329"/>
      <c r="MIO482" s="329"/>
      <c r="MIP482" s="329"/>
      <c r="MIQ482" s="329"/>
      <c r="MIR482" s="329"/>
      <c r="MIS482" s="329"/>
      <c r="MIT482" s="329"/>
      <c r="MIU482" s="329"/>
      <c r="MIV482" s="329"/>
      <c r="MIW482" s="329"/>
      <c r="MIX482" s="329"/>
      <c r="MIY482" s="329"/>
      <c r="MIZ482" s="329"/>
      <c r="MJA482" s="329"/>
      <c r="MJB482" s="329"/>
      <c r="MJC482" s="329"/>
      <c r="MJD482" s="329"/>
      <c r="MJE482" s="329"/>
      <c r="MJF482" s="329"/>
      <c r="MJG482" s="329"/>
      <c r="MJH482" s="329"/>
      <c r="MJI482" s="329"/>
      <c r="MJJ482" s="329"/>
      <c r="MJK482" s="329"/>
      <c r="MJL482" s="329"/>
      <c r="MJM482" s="329"/>
      <c r="MJN482" s="329"/>
      <c r="MJO482" s="329"/>
      <c r="MJP482" s="329"/>
      <c r="MJQ482" s="329"/>
      <c r="MJR482" s="329"/>
      <c r="MJS482" s="329"/>
      <c r="MJT482" s="329"/>
      <c r="MJU482" s="329"/>
      <c r="MJV482" s="329"/>
      <c r="MJW482" s="329"/>
      <c r="MJX482" s="329"/>
      <c r="MJY482" s="329"/>
      <c r="MJZ482" s="329"/>
      <c r="MKA482" s="329"/>
      <c r="MKB482" s="329"/>
      <c r="MKC482" s="329"/>
      <c r="MKD482" s="329"/>
      <c r="MKE482" s="329"/>
      <c r="MKF482" s="329"/>
      <c r="MKG482" s="329"/>
      <c r="MKH482" s="329"/>
      <c r="MKI482" s="329"/>
      <c r="MKJ482" s="329"/>
      <c r="MKK482" s="329"/>
      <c r="MKL482" s="329"/>
      <c r="MKM482" s="329"/>
      <c r="MKN482" s="329"/>
      <c r="MKO482" s="329"/>
      <c r="MKP482" s="329"/>
      <c r="MKQ482" s="329"/>
      <c r="MKR482" s="329"/>
      <c r="MKS482" s="329"/>
      <c r="MKT482" s="329"/>
      <c r="MKU482" s="329"/>
      <c r="MKV482" s="329"/>
      <c r="MKW482" s="329"/>
      <c r="MKX482" s="329"/>
      <c r="MKY482" s="329"/>
      <c r="MKZ482" s="329"/>
      <c r="MLA482" s="329"/>
      <c r="MLB482" s="329"/>
      <c r="MLC482" s="329"/>
      <c r="MLD482" s="329"/>
      <c r="MLE482" s="329"/>
      <c r="MLF482" s="329"/>
      <c r="MLG482" s="329"/>
      <c r="MLH482" s="329"/>
      <c r="MLI482" s="329"/>
      <c r="MLJ482" s="329"/>
      <c r="MLK482" s="329"/>
      <c r="MLL482" s="329"/>
      <c r="MLM482" s="329"/>
      <c r="MLN482" s="329"/>
      <c r="MLO482" s="329"/>
      <c r="MLP482" s="329"/>
      <c r="MLQ482" s="329"/>
      <c r="MLR482" s="329"/>
      <c r="MLS482" s="329"/>
      <c r="MLT482" s="329"/>
      <c r="MLU482" s="329"/>
      <c r="MLV482" s="329"/>
      <c r="MLW482" s="329"/>
      <c r="MLX482" s="329"/>
      <c r="MLY482" s="329"/>
      <c r="MLZ482" s="329"/>
      <c r="MMA482" s="329"/>
      <c r="MMB482" s="329"/>
      <c r="MMC482" s="329"/>
      <c r="MMD482" s="329"/>
      <c r="MME482" s="329"/>
      <c r="MMF482" s="329"/>
      <c r="MMG482" s="329"/>
      <c r="MMH482" s="329"/>
      <c r="MMI482" s="329"/>
      <c r="MMJ482" s="329"/>
      <c r="MMK482" s="329"/>
      <c r="MML482" s="329"/>
      <c r="MMM482" s="329"/>
      <c r="MMN482" s="329"/>
      <c r="MMO482" s="329"/>
      <c r="MMP482" s="329"/>
      <c r="MMQ482" s="329"/>
      <c r="MMR482" s="329"/>
      <c r="MMS482" s="329"/>
      <c r="MMT482" s="329"/>
      <c r="MMU482" s="329"/>
      <c r="MMV482" s="329"/>
      <c r="MMW482" s="329"/>
      <c r="MMX482" s="329"/>
      <c r="MMY482" s="329"/>
      <c r="MMZ482" s="329"/>
      <c r="MNA482" s="329"/>
      <c r="MNB482" s="329"/>
      <c r="MNC482" s="329"/>
      <c r="MND482" s="329"/>
      <c r="MNE482" s="329"/>
      <c r="MNF482" s="329"/>
      <c r="MNG482" s="329"/>
      <c r="MNH482" s="329"/>
      <c r="MNI482" s="329"/>
      <c r="MNJ482" s="329"/>
      <c r="MNK482" s="329"/>
      <c r="MNL482" s="329"/>
      <c r="MNM482" s="329"/>
      <c r="MNN482" s="329"/>
      <c r="MNO482" s="329"/>
      <c r="MNP482" s="329"/>
      <c r="MNQ482" s="329"/>
      <c r="MNR482" s="329"/>
      <c r="MNS482" s="329"/>
      <c r="MNT482" s="329"/>
      <c r="MNU482" s="329"/>
      <c r="MNV482" s="329"/>
      <c r="MNW482" s="329"/>
      <c r="MNX482" s="329"/>
      <c r="MNY482" s="329"/>
      <c r="MNZ482" s="329"/>
      <c r="MOA482" s="329"/>
      <c r="MOB482" s="329"/>
      <c r="MOC482" s="329"/>
      <c r="MOD482" s="329"/>
      <c r="MOE482" s="329"/>
      <c r="MOF482" s="329"/>
      <c r="MOG482" s="329"/>
      <c r="MOH482" s="329"/>
      <c r="MOI482" s="329"/>
      <c r="MOJ482" s="329"/>
      <c r="MOK482" s="329"/>
      <c r="MOL482" s="329"/>
      <c r="MOM482" s="329"/>
      <c r="MON482" s="329"/>
      <c r="MOO482" s="329"/>
      <c r="MOP482" s="329"/>
      <c r="MOQ482" s="329"/>
      <c r="MOR482" s="329"/>
      <c r="MOS482" s="329"/>
      <c r="MOT482" s="329"/>
      <c r="MOU482" s="329"/>
      <c r="MOV482" s="329"/>
      <c r="MOW482" s="329"/>
      <c r="MOX482" s="329"/>
      <c r="MOY482" s="329"/>
      <c r="MOZ482" s="329"/>
      <c r="MPA482" s="329"/>
      <c r="MPB482" s="329"/>
      <c r="MPC482" s="329"/>
      <c r="MPD482" s="329"/>
      <c r="MPE482" s="329"/>
      <c r="MPF482" s="329"/>
      <c r="MPG482" s="329"/>
      <c r="MPH482" s="329"/>
      <c r="MPI482" s="329"/>
      <c r="MPJ482" s="329"/>
      <c r="MPK482" s="329"/>
      <c r="MPL482" s="329"/>
      <c r="MPM482" s="329"/>
      <c r="MPN482" s="329"/>
      <c r="MPO482" s="329"/>
      <c r="MPP482" s="329"/>
      <c r="MPQ482" s="329"/>
      <c r="MPR482" s="329"/>
      <c r="MPS482" s="329"/>
      <c r="MPT482" s="329"/>
      <c r="MPU482" s="329"/>
      <c r="MPV482" s="329"/>
      <c r="MPW482" s="329"/>
      <c r="MPX482" s="329"/>
      <c r="MPY482" s="329"/>
      <c r="MPZ482" s="329"/>
      <c r="MQA482" s="329"/>
      <c r="MQB482" s="329"/>
      <c r="MQC482" s="329"/>
      <c r="MQD482" s="329"/>
      <c r="MQE482" s="329"/>
      <c r="MQF482" s="329"/>
      <c r="MQG482" s="329"/>
      <c r="MQH482" s="329"/>
      <c r="MQI482" s="329"/>
      <c r="MQJ482" s="329"/>
      <c r="MQK482" s="329"/>
      <c r="MQL482" s="329"/>
      <c r="MQM482" s="329"/>
      <c r="MQN482" s="329"/>
      <c r="MQO482" s="329"/>
      <c r="MQP482" s="329"/>
      <c r="MQQ482" s="329"/>
      <c r="MQR482" s="329"/>
      <c r="MQS482" s="329"/>
      <c r="MQT482" s="329"/>
      <c r="MQU482" s="329"/>
      <c r="MQV482" s="329"/>
      <c r="MQW482" s="329"/>
      <c r="MQX482" s="329"/>
      <c r="MQY482" s="329"/>
      <c r="MQZ482" s="329"/>
      <c r="MRA482" s="329"/>
      <c r="MRB482" s="329"/>
      <c r="MRC482" s="329"/>
      <c r="MRD482" s="329"/>
      <c r="MRE482" s="329"/>
      <c r="MRF482" s="329"/>
      <c r="MRG482" s="329"/>
      <c r="MRH482" s="329"/>
      <c r="MRI482" s="329"/>
      <c r="MRJ482" s="329"/>
      <c r="MRK482" s="329"/>
      <c r="MRL482" s="329"/>
      <c r="MRM482" s="329"/>
      <c r="MRN482" s="329"/>
      <c r="MRO482" s="329"/>
      <c r="MRP482" s="329"/>
      <c r="MRQ482" s="329"/>
      <c r="MRR482" s="329"/>
      <c r="MRS482" s="329"/>
      <c r="MRT482" s="329"/>
      <c r="MRU482" s="329"/>
      <c r="MRV482" s="329"/>
      <c r="MRW482" s="329"/>
      <c r="MRX482" s="329"/>
      <c r="MRY482" s="329"/>
      <c r="MRZ482" s="329"/>
      <c r="MSA482" s="329"/>
      <c r="MSB482" s="329"/>
      <c r="MSC482" s="329"/>
      <c r="MSD482" s="329"/>
      <c r="MSE482" s="329"/>
      <c r="MSF482" s="329"/>
      <c r="MSG482" s="329"/>
      <c r="MSH482" s="329"/>
      <c r="MSI482" s="329"/>
      <c r="MSJ482" s="329"/>
      <c r="MSK482" s="329"/>
      <c r="MSL482" s="329"/>
      <c r="MSM482" s="329"/>
      <c r="MSN482" s="329"/>
      <c r="MSO482" s="329"/>
      <c r="MSP482" s="329"/>
      <c r="MSQ482" s="329"/>
      <c r="MSR482" s="329"/>
      <c r="MSS482" s="329"/>
      <c r="MST482" s="329"/>
      <c r="MSU482" s="329"/>
      <c r="MSV482" s="329"/>
      <c r="MSW482" s="329"/>
      <c r="MSX482" s="329"/>
      <c r="MSY482" s="329"/>
      <c r="MSZ482" s="329"/>
      <c r="MTA482" s="329"/>
      <c r="MTB482" s="329"/>
      <c r="MTC482" s="329"/>
      <c r="MTD482" s="329"/>
      <c r="MTE482" s="329"/>
      <c r="MTF482" s="329"/>
      <c r="MTG482" s="329"/>
      <c r="MTH482" s="329"/>
      <c r="MTI482" s="329"/>
      <c r="MTJ482" s="329"/>
      <c r="MTK482" s="329"/>
      <c r="MTL482" s="329"/>
      <c r="MTM482" s="329"/>
      <c r="MTN482" s="329"/>
      <c r="MTO482" s="329"/>
      <c r="MTP482" s="329"/>
      <c r="MTQ482" s="329"/>
      <c r="MTR482" s="329"/>
      <c r="MTS482" s="329"/>
      <c r="MTT482" s="329"/>
      <c r="MTU482" s="329"/>
      <c r="MTV482" s="329"/>
      <c r="MTW482" s="329"/>
      <c r="MTX482" s="329"/>
      <c r="MTY482" s="329"/>
      <c r="MTZ482" s="329"/>
      <c r="MUA482" s="329"/>
      <c r="MUB482" s="329"/>
      <c r="MUC482" s="329"/>
      <c r="MUD482" s="329"/>
      <c r="MUE482" s="329"/>
      <c r="MUF482" s="329"/>
      <c r="MUG482" s="329"/>
      <c r="MUH482" s="329"/>
      <c r="MUI482" s="329"/>
      <c r="MUJ482" s="329"/>
      <c r="MUK482" s="329"/>
      <c r="MUL482" s="329"/>
      <c r="MUM482" s="329"/>
      <c r="MUN482" s="329"/>
      <c r="MUO482" s="329"/>
      <c r="MUP482" s="329"/>
      <c r="MUQ482" s="329"/>
      <c r="MUR482" s="329"/>
      <c r="MUS482" s="329"/>
      <c r="MUT482" s="329"/>
      <c r="MUU482" s="329"/>
      <c r="MUV482" s="329"/>
      <c r="MUW482" s="329"/>
      <c r="MUX482" s="329"/>
      <c r="MUY482" s="329"/>
      <c r="MUZ482" s="329"/>
      <c r="MVA482" s="329"/>
      <c r="MVB482" s="329"/>
      <c r="MVC482" s="329"/>
      <c r="MVD482" s="329"/>
      <c r="MVE482" s="329"/>
      <c r="MVF482" s="329"/>
      <c r="MVG482" s="329"/>
      <c r="MVH482" s="329"/>
      <c r="MVI482" s="329"/>
      <c r="MVJ482" s="329"/>
      <c r="MVK482" s="329"/>
      <c r="MVL482" s="329"/>
      <c r="MVM482" s="329"/>
      <c r="MVN482" s="329"/>
      <c r="MVO482" s="329"/>
      <c r="MVP482" s="329"/>
      <c r="MVQ482" s="329"/>
      <c r="MVR482" s="329"/>
      <c r="MVS482" s="329"/>
      <c r="MVT482" s="329"/>
      <c r="MVU482" s="329"/>
      <c r="MVV482" s="329"/>
      <c r="MVW482" s="329"/>
      <c r="MVX482" s="329"/>
      <c r="MVY482" s="329"/>
      <c r="MVZ482" s="329"/>
      <c r="MWA482" s="329"/>
      <c r="MWB482" s="329"/>
      <c r="MWC482" s="329"/>
      <c r="MWD482" s="329"/>
      <c r="MWE482" s="329"/>
      <c r="MWF482" s="329"/>
      <c r="MWG482" s="329"/>
      <c r="MWH482" s="329"/>
      <c r="MWI482" s="329"/>
      <c r="MWJ482" s="329"/>
      <c r="MWK482" s="329"/>
      <c r="MWL482" s="329"/>
      <c r="MWM482" s="329"/>
      <c r="MWN482" s="329"/>
      <c r="MWO482" s="329"/>
      <c r="MWP482" s="329"/>
      <c r="MWQ482" s="329"/>
      <c r="MWR482" s="329"/>
      <c r="MWS482" s="329"/>
      <c r="MWT482" s="329"/>
      <c r="MWU482" s="329"/>
      <c r="MWV482" s="329"/>
      <c r="MWW482" s="329"/>
      <c r="MWX482" s="329"/>
      <c r="MWY482" s="329"/>
      <c r="MWZ482" s="329"/>
      <c r="MXA482" s="329"/>
      <c r="MXB482" s="329"/>
      <c r="MXC482" s="329"/>
      <c r="MXD482" s="329"/>
      <c r="MXE482" s="329"/>
      <c r="MXF482" s="329"/>
      <c r="MXG482" s="329"/>
      <c r="MXH482" s="329"/>
      <c r="MXI482" s="329"/>
      <c r="MXJ482" s="329"/>
      <c r="MXK482" s="329"/>
      <c r="MXL482" s="329"/>
      <c r="MXM482" s="329"/>
      <c r="MXN482" s="329"/>
      <c r="MXO482" s="329"/>
      <c r="MXP482" s="329"/>
      <c r="MXQ482" s="329"/>
      <c r="MXR482" s="329"/>
      <c r="MXS482" s="329"/>
      <c r="MXT482" s="329"/>
      <c r="MXU482" s="329"/>
      <c r="MXV482" s="329"/>
      <c r="MXW482" s="329"/>
      <c r="MXX482" s="329"/>
      <c r="MXY482" s="329"/>
      <c r="MXZ482" s="329"/>
      <c r="MYA482" s="329"/>
      <c r="MYB482" s="329"/>
      <c r="MYC482" s="329"/>
      <c r="MYD482" s="329"/>
      <c r="MYE482" s="329"/>
      <c r="MYF482" s="329"/>
      <c r="MYG482" s="329"/>
      <c r="MYH482" s="329"/>
      <c r="MYI482" s="329"/>
      <c r="MYJ482" s="329"/>
      <c r="MYK482" s="329"/>
      <c r="MYL482" s="329"/>
      <c r="MYM482" s="329"/>
      <c r="MYN482" s="329"/>
      <c r="MYO482" s="329"/>
      <c r="MYP482" s="329"/>
      <c r="MYQ482" s="329"/>
      <c r="MYR482" s="329"/>
      <c r="MYS482" s="329"/>
      <c r="MYT482" s="329"/>
      <c r="MYU482" s="329"/>
      <c r="MYV482" s="329"/>
      <c r="MYW482" s="329"/>
      <c r="MYX482" s="329"/>
      <c r="MYY482" s="329"/>
      <c r="MYZ482" s="329"/>
      <c r="MZA482" s="329"/>
      <c r="MZB482" s="329"/>
      <c r="MZC482" s="329"/>
      <c r="MZD482" s="329"/>
      <c r="MZE482" s="329"/>
      <c r="MZF482" s="329"/>
      <c r="MZG482" s="329"/>
      <c r="MZH482" s="329"/>
      <c r="MZI482" s="329"/>
      <c r="MZJ482" s="329"/>
      <c r="MZK482" s="329"/>
      <c r="MZL482" s="329"/>
      <c r="MZM482" s="329"/>
      <c r="MZN482" s="329"/>
      <c r="MZO482" s="329"/>
      <c r="MZP482" s="329"/>
      <c r="MZQ482" s="329"/>
      <c r="MZR482" s="329"/>
      <c r="MZS482" s="329"/>
      <c r="MZT482" s="329"/>
      <c r="MZU482" s="329"/>
      <c r="MZV482" s="329"/>
      <c r="MZW482" s="329"/>
      <c r="MZX482" s="329"/>
      <c r="MZY482" s="329"/>
      <c r="MZZ482" s="329"/>
      <c r="NAA482" s="329"/>
      <c r="NAB482" s="329"/>
      <c r="NAC482" s="329"/>
      <c r="NAD482" s="329"/>
      <c r="NAE482" s="329"/>
      <c r="NAF482" s="329"/>
      <c r="NAG482" s="329"/>
      <c r="NAH482" s="329"/>
      <c r="NAI482" s="329"/>
      <c r="NAJ482" s="329"/>
      <c r="NAK482" s="329"/>
      <c r="NAL482" s="329"/>
      <c r="NAM482" s="329"/>
      <c r="NAN482" s="329"/>
      <c r="NAO482" s="329"/>
      <c r="NAP482" s="329"/>
      <c r="NAQ482" s="329"/>
      <c r="NAR482" s="329"/>
      <c r="NAS482" s="329"/>
      <c r="NAT482" s="329"/>
      <c r="NAU482" s="329"/>
      <c r="NAV482" s="329"/>
      <c r="NAW482" s="329"/>
      <c r="NAX482" s="329"/>
      <c r="NAY482" s="329"/>
      <c r="NAZ482" s="329"/>
      <c r="NBA482" s="329"/>
      <c r="NBB482" s="329"/>
      <c r="NBC482" s="329"/>
      <c r="NBD482" s="329"/>
      <c r="NBE482" s="329"/>
      <c r="NBF482" s="329"/>
      <c r="NBG482" s="329"/>
      <c r="NBH482" s="329"/>
      <c r="NBI482" s="329"/>
      <c r="NBJ482" s="329"/>
      <c r="NBK482" s="329"/>
      <c r="NBL482" s="329"/>
      <c r="NBM482" s="329"/>
      <c r="NBN482" s="329"/>
      <c r="NBO482" s="329"/>
      <c r="NBP482" s="329"/>
      <c r="NBQ482" s="329"/>
      <c r="NBR482" s="329"/>
      <c r="NBS482" s="329"/>
      <c r="NBT482" s="329"/>
      <c r="NBU482" s="329"/>
      <c r="NBV482" s="329"/>
      <c r="NBW482" s="329"/>
      <c r="NBX482" s="329"/>
      <c r="NBY482" s="329"/>
      <c r="NBZ482" s="329"/>
      <c r="NCA482" s="329"/>
      <c r="NCB482" s="329"/>
      <c r="NCC482" s="329"/>
      <c r="NCD482" s="329"/>
      <c r="NCE482" s="329"/>
      <c r="NCF482" s="329"/>
      <c r="NCG482" s="329"/>
      <c r="NCH482" s="329"/>
      <c r="NCI482" s="329"/>
      <c r="NCJ482" s="329"/>
      <c r="NCK482" s="329"/>
      <c r="NCL482" s="329"/>
      <c r="NCM482" s="329"/>
      <c r="NCN482" s="329"/>
      <c r="NCO482" s="329"/>
      <c r="NCP482" s="329"/>
      <c r="NCQ482" s="329"/>
      <c r="NCR482" s="329"/>
      <c r="NCS482" s="329"/>
      <c r="NCT482" s="329"/>
      <c r="NCU482" s="329"/>
      <c r="NCV482" s="329"/>
      <c r="NCW482" s="329"/>
      <c r="NCX482" s="329"/>
      <c r="NCY482" s="329"/>
      <c r="NCZ482" s="329"/>
      <c r="NDA482" s="329"/>
      <c r="NDB482" s="329"/>
      <c r="NDC482" s="329"/>
      <c r="NDD482" s="329"/>
      <c r="NDE482" s="329"/>
      <c r="NDF482" s="329"/>
      <c r="NDG482" s="329"/>
      <c r="NDH482" s="329"/>
      <c r="NDI482" s="329"/>
      <c r="NDJ482" s="329"/>
      <c r="NDK482" s="329"/>
      <c r="NDL482" s="329"/>
      <c r="NDM482" s="329"/>
      <c r="NDN482" s="329"/>
      <c r="NDO482" s="329"/>
      <c r="NDP482" s="329"/>
      <c r="NDQ482" s="329"/>
      <c r="NDR482" s="329"/>
      <c r="NDS482" s="329"/>
      <c r="NDT482" s="329"/>
      <c r="NDU482" s="329"/>
      <c r="NDV482" s="329"/>
      <c r="NDW482" s="329"/>
      <c r="NDX482" s="329"/>
      <c r="NDY482" s="329"/>
      <c r="NDZ482" s="329"/>
      <c r="NEA482" s="329"/>
      <c r="NEB482" s="329"/>
      <c r="NEC482" s="329"/>
      <c r="NED482" s="329"/>
      <c r="NEE482" s="329"/>
      <c r="NEF482" s="329"/>
      <c r="NEG482" s="329"/>
      <c r="NEH482" s="329"/>
      <c r="NEI482" s="329"/>
      <c r="NEJ482" s="329"/>
      <c r="NEK482" s="329"/>
      <c r="NEL482" s="329"/>
      <c r="NEM482" s="329"/>
      <c r="NEN482" s="329"/>
      <c r="NEO482" s="329"/>
      <c r="NEP482" s="329"/>
      <c r="NEQ482" s="329"/>
      <c r="NER482" s="329"/>
      <c r="NES482" s="329"/>
      <c r="NET482" s="329"/>
      <c r="NEU482" s="329"/>
      <c r="NEV482" s="329"/>
      <c r="NEW482" s="329"/>
      <c r="NEX482" s="329"/>
      <c r="NEY482" s="329"/>
      <c r="NEZ482" s="329"/>
      <c r="NFA482" s="329"/>
      <c r="NFB482" s="329"/>
      <c r="NFC482" s="329"/>
      <c r="NFD482" s="329"/>
      <c r="NFE482" s="329"/>
      <c r="NFF482" s="329"/>
      <c r="NFG482" s="329"/>
      <c r="NFH482" s="329"/>
      <c r="NFI482" s="329"/>
      <c r="NFJ482" s="329"/>
      <c r="NFK482" s="329"/>
      <c r="NFL482" s="329"/>
      <c r="NFM482" s="329"/>
      <c r="NFN482" s="329"/>
      <c r="NFO482" s="329"/>
      <c r="NFP482" s="329"/>
      <c r="NFQ482" s="329"/>
      <c r="NFR482" s="329"/>
      <c r="NFS482" s="329"/>
      <c r="NFT482" s="329"/>
      <c r="NFU482" s="329"/>
      <c r="NFV482" s="329"/>
      <c r="NFW482" s="329"/>
      <c r="NFX482" s="329"/>
      <c r="NFY482" s="329"/>
      <c r="NFZ482" s="329"/>
      <c r="NGA482" s="329"/>
      <c r="NGB482" s="329"/>
      <c r="NGC482" s="329"/>
      <c r="NGD482" s="329"/>
      <c r="NGE482" s="329"/>
      <c r="NGF482" s="329"/>
      <c r="NGG482" s="329"/>
      <c r="NGH482" s="329"/>
      <c r="NGI482" s="329"/>
      <c r="NGJ482" s="329"/>
      <c r="NGK482" s="329"/>
      <c r="NGL482" s="329"/>
      <c r="NGM482" s="329"/>
      <c r="NGN482" s="329"/>
      <c r="NGO482" s="329"/>
      <c r="NGP482" s="329"/>
      <c r="NGQ482" s="329"/>
      <c r="NGR482" s="329"/>
      <c r="NGS482" s="329"/>
      <c r="NGT482" s="329"/>
      <c r="NGU482" s="329"/>
      <c r="NGV482" s="329"/>
      <c r="NGW482" s="329"/>
      <c r="NGX482" s="329"/>
      <c r="NGY482" s="329"/>
      <c r="NGZ482" s="329"/>
      <c r="NHA482" s="329"/>
      <c r="NHB482" s="329"/>
      <c r="NHC482" s="329"/>
      <c r="NHD482" s="329"/>
      <c r="NHE482" s="329"/>
      <c r="NHF482" s="329"/>
      <c r="NHG482" s="329"/>
      <c r="NHH482" s="329"/>
      <c r="NHI482" s="329"/>
      <c r="NHJ482" s="329"/>
      <c r="NHK482" s="329"/>
      <c r="NHL482" s="329"/>
      <c r="NHM482" s="329"/>
      <c r="NHN482" s="329"/>
      <c r="NHO482" s="329"/>
      <c r="NHP482" s="329"/>
      <c r="NHQ482" s="329"/>
      <c r="NHR482" s="329"/>
      <c r="NHS482" s="329"/>
      <c r="NHT482" s="329"/>
      <c r="NHU482" s="329"/>
      <c r="NHV482" s="329"/>
      <c r="NHW482" s="329"/>
      <c r="NHX482" s="329"/>
      <c r="NHY482" s="329"/>
      <c r="NHZ482" s="329"/>
      <c r="NIA482" s="329"/>
      <c r="NIB482" s="329"/>
      <c r="NIC482" s="329"/>
      <c r="NID482" s="329"/>
      <c r="NIE482" s="329"/>
      <c r="NIF482" s="329"/>
      <c r="NIG482" s="329"/>
      <c r="NIH482" s="329"/>
      <c r="NII482" s="329"/>
      <c r="NIJ482" s="329"/>
      <c r="NIK482" s="329"/>
      <c r="NIL482" s="329"/>
      <c r="NIM482" s="329"/>
      <c r="NIN482" s="329"/>
      <c r="NIO482" s="329"/>
      <c r="NIP482" s="329"/>
      <c r="NIQ482" s="329"/>
      <c r="NIR482" s="329"/>
      <c r="NIS482" s="329"/>
      <c r="NIT482" s="329"/>
      <c r="NIU482" s="329"/>
      <c r="NIV482" s="329"/>
      <c r="NIW482" s="329"/>
      <c r="NIX482" s="329"/>
      <c r="NIY482" s="329"/>
      <c r="NIZ482" s="329"/>
      <c r="NJA482" s="329"/>
      <c r="NJB482" s="329"/>
      <c r="NJC482" s="329"/>
      <c r="NJD482" s="329"/>
      <c r="NJE482" s="329"/>
      <c r="NJF482" s="329"/>
      <c r="NJG482" s="329"/>
      <c r="NJH482" s="329"/>
      <c r="NJI482" s="329"/>
      <c r="NJJ482" s="329"/>
      <c r="NJK482" s="329"/>
      <c r="NJL482" s="329"/>
      <c r="NJM482" s="329"/>
      <c r="NJN482" s="329"/>
      <c r="NJO482" s="329"/>
      <c r="NJP482" s="329"/>
      <c r="NJQ482" s="329"/>
      <c r="NJR482" s="329"/>
      <c r="NJS482" s="329"/>
      <c r="NJT482" s="329"/>
      <c r="NJU482" s="329"/>
      <c r="NJV482" s="329"/>
      <c r="NJW482" s="329"/>
      <c r="NJX482" s="329"/>
      <c r="NJY482" s="329"/>
      <c r="NJZ482" s="329"/>
      <c r="NKA482" s="329"/>
      <c r="NKB482" s="329"/>
      <c r="NKC482" s="329"/>
      <c r="NKD482" s="329"/>
      <c r="NKE482" s="329"/>
      <c r="NKF482" s="329"/>
      <c r="NKG482" s="329"/>
      <c r="NKH482" s="329"/>
      <c r="NKI482" s="329"/>
      <c r="NKJ482" s="329"/>
      <c r="NKK482" s="329"/>
      <c r="NKL482" s="329"/>
      <c r="NKM482" s="329"/>
      <c r="NKN482" s="329"/>
      <c r="NKO482" s="329"/>
      <c r="NKP482" s="329"/>
      <c r="NKQ482" s="329"/>
      <c r="NKR482" s="329"/>
      <c r="NKS482" s="329"/>
      <c r="NKT482" s="329"/>
      <c r="NKU482" s="329"/>
      <c r="NKV482" s="329"/>
      <c r="NKW482" s="329"/>
      <c r="NKX482" s="329"/>
      <c r="NKY482" s="329"/>
      <c r="NKZ482" s="329"/>
      <c r="NLA482" s="329"/>
      <c r="NLB482" s="329"/>
      <c r="NLC482" s="329"/>
      <c r="NLD482" s="329"/>
      <c r="NLE482" s="329"/>
      <c r="NLF482" s="329"/>
      <c r="NLG482" s="329"/>
      <c r="NLH482" s="329"/>
      <c r="NLI482" s="329"/>
      <c r="NLJ482" s="329"/>
      <c r="NLK482" s="329"/>
      <c r="NLL482" s="329"/>
      <c r="NLM482" s="329"/>
      <c r="NLN482" s="329"/>
      <c r="NLO482" s="329"/>
      <c r="NLP482" s="329"/>
      <c r="NLQ482" s="329"/>
      <c r="NLR482" s="329"/>
      <c r="NLS482" s="329"/>
      <c r="NLT482" s="329"/>
      <c r="NLU482" s="329"/>
      <c r="NLV482" s="329"/>
      <c r="NLW482" s="329"/>
      <c r="NLX482" s="329"/>
      <c r="NLY482" s="329"/>
      <c r="NLZ482" s="329"/>
      <c r="NMA482" s="329"/>
      <c r="NMB482" s="329"/>
      <c r="NMC482" s="329"/>
      <c r="NMD482" s="329"/>
      <c r="NME482" s="329"/>
      <c r="NMF482" s="329"/>
      <c r="NMG482" s="329"/>
      <c r="NMH482" s="329"/>
      <c r="NMI482" s="329"/>
      <c r="NMJ482" s="329"/>
      <c r="NMK482" s="329"/>
      <c r="NML482" s="329"/>
      <c r="NMM482" s="329"/>
      <c r="NMN482" s="329"/>
      <c r="NMO482" s="329"/>
      <c r="NMP482" s="329"/>
      <c r="NMQ482" s="329"/>
      <c r="NMR482" s="329"/>
      <c r="NMS482" s="329"/>
      <c r="NMT482" s="329"/>
      <c r="NMU482" s="329"/>
      <c r="NMV482" s="329"/>
      <c r="NMW482" s="329"/>
      <c r="NMX482" s="329"/>
      <c r="NMY482" s="329"/>
      <c r="NMZ482" s="329"/>
      <c r="NNA482" s="329"/>
      <c r="NNB482" s="329"/>
      <c r="NNC482" s="329"/>
      <c r="NND482" s="329"/>
      <c r="NNE482" s="329"/>
      <c r="NNF482" s="329"/>
      <c r="NNG482" s="329"/>
      <c r="NNH482" s="329"/>
      <c r="NNI482" s="329"/>
      <c r="NNJ482" s="329"/>
      <c r="NNK482" s="329"/>
      <c r="NNL482" s="329"/>
      <c r="NNM482" s="329"/>
      <c r="NNN482" s="329"/>
      <c r="NNO482" s="329"/>
      <c r="NNP482" s="329"/>
      <c r="NNQ482" s="329"/>
      <c r="NNR482" s="329"/>
      <c r="NNS482" s="329"/>
      <c r="NNT482" s="329"/>
      <c r="NNU482" s="329"/>
      <c r="NNV482" s="329"/>
      <c r="NNW482" s="329"/>
      <c r="NNX482" s="329"/>
      <c r="NNY482" s="329"/>
      <c r="NNZ482" s="329"/>
      <c r="NOA482" s="329"/>
      <c r="NOB482" s="329"/>
      <c r="NOC482" s="329"/>
      <c r="NOD482" s="329"/>
      <c r="NOE482" s="329"/>
      <c r="NOF482" s="329"/>
      <c r="NOG482" s="329"/>
      <c r="NOH482" s="329"/>
      <c r="NOI482" s="329"/>
      <c r="NOJ482" s="329"/>
      <c r="NOK482" s="329"/>
      <c r="NOL482" s="329"/>
      <c r="NOM482" s="329"/>
      <c r="NON482" s="329"/>
      <c r="NOO482" s="329"/>
      <c r="NOP482" s="329"/>
      <c r="NOQ482" s="329"/>
      <c r="NOR482" s="329"/>
      <c r="NOS482" s="329"/>
      <c r="NOT482" s="329"/>
      <c r="NOU482" s="329"/>
      <c r="NOV482" s="329"/>
      <c r="NOW482" s="329"/>
      <c r="NOX482" s="329"/>
      <c r="NOY482" s="329"/>
      <c r="NOZ482" s="329"/>
      <c r="NPA482" s="329"/>
      <c r="NPB482" s="329"/>
      <c r="NPC482" s="329"/>
      <c r="NPD482" s="329"/>
      <c r="NPE482" s="329"/>
      <c r="NPF482" s="329"/>
      <c r="NPG482" s="329"/>
      <c r="NPH482" s="329"/>
      <c r="NPI482" s="329"/>
      <c r="NPJ482" s="329"/>
      <c r="NPK482" s="329"/>
      <c r="NPL482" s="329"/>
      <c r="NPM482" s="329"/>
      <c r="NPN482" s="329"/>
      <c r="NPO482" s="329"/>
      <c r="NPP482" s="329"/>
      <c r="NPQ482" s="329"/>
      <c r="NPR482" s="329"/>
      <c r="NPS482" s="329"/>
      <c r="NPT482" s="329"/>
      <c r="NPU482" s="329"/>
      <c r="NPV482" s="329"/>
      <c r="NPW482" s="329"/>
      <c r="NPX482" s="329"/>
      <c r="NPY482" s="329"/>
      <c r="NPZ482" s="329"/>
      <c r="NQA482" s="329"/>
      <c r="NQB482" s="329"/>
      <c r="NQC482" s="329"/>
      <c r="NQD482" s="329"/>
      <c r="NQE482" s="329"/>
      <c r="NQF482" s="329"/>
      <c r="NQG482" s="329"/>
      <c r="NQH482" s="329"/>
      <c r="NQI482" s="329"/>
      <c r="NQJ482" s="329"/>
      <c r="NQK482" s="329"/>
      <c r="NQL482" s="329"/>
      <c r="NQM482" s="329"/>
      <c r="NQN482" s="329"/>
      <c r="NQO482" s="329"/>
      <c r="NQP482" s="329"/>
      <c r="NQQ482" s="329"/>
      <c r="NQR482" s="329"/>
      <c r="NQS482" s="329"/>
      <c r="NQT482" s="329"/>
      <c r="NQU482" s="329"/>
      <c r="NQV482" s="329"/>
      <c r="NQW482" s="329"/>
      <c r="NQX482" s="329"/>
      <c r="NQY482" s="329"/>
      <c r="NQZ482" s="329"/>
      <c r="NRA482" s="329"/>
      <c r="NRB482" s="329"/>
      <c r="NRC482" s="329"/>
      <c r="NRD482" s="329"/>
      <c r="NRE482" s="329"/>
      <c r="NRF482" s="329"/>
      <c r="NRG482" s="329"/>
      <c r="NRH482" s="329"/>
      <c r="NRI482" s="329"/>
      <c r="NRJ482" s="329"/>
      <c r="NRK482" s="329"/>
      <c r="NRL482" s="329"/>
      <c r="NRM482" s="329"/>
      <c r="NRN482" s="329"/>
      <c r="NRO482" s="329"/>
      <c r="NRP482" s="329"/>
      <c r="NRQ482" s="329"/>
      <c r="NRR482" s="329"/>
      <c r="NRS482" s="329"/>
      <c r="NRT482" s="329"/>
      <c r="NRU482" s="329"/>
      <c r="NRV482" s="329"/>
      <c r="NRW482" s="329"/>
      <c r="NRX482" s="329"/>
      <c r="NRY482" s="329"/>
      <c r="NRZ482" s="329"/>
      <c r="NSA482" s="329"/>
      <c r="NSB482" s="329"/>
      <c r="NSC482" s="329"/>
      <c r="NSD482" s="329"/>
      <c r="NSE482" s="329"/>
      <c r="NSF482" s="329"/>
      <c r="NSG482" s="329"/>
      <c r="NSH482" s="329"/>
      <c r="NSI482" s="329"/>
      <c r="NSJ482" s="329"/>
      <c r="NSK482" s="329"/>
      <c r="NSL482" s="329"/>
      <c r="NSM482" s="329"/>
      <c r="NSN482" s="329"/>
      <c r="NSO482" s="329"/>
      <c r="NSP482" s="329"/>
      <c r="NSQ482" s="329"/>
      <c r="NSR482" s="329"/>
      <c r="NSS482" s="329"/>
      <c r="NST482" s="329"/>
      <c r="NSU482" s="329"/>
      <c r="NSV482" s="329"/>
      <c r="NSW482" s="329"/>
      <c r="NSX482" s="329"/>
      <c r="NSY482" s="329"/>
      <c r="NSZ482" s="329"/>
      <c r="NTA482" s="329"/>
      <c r="NTB482" s="329"/>
      <c r="NTC482" s="329"/>
      <c r="NTD482" s="329"/>
      <c r="NTE482" s="329"/>
      <c r="NTF482" s="329"/>
      <c r="NTG482" s="329"/>
      <c r="NTH482" s="329"/>
      <c r="NTI482" s="329"/>
      <c r="NTJ482" s="329"/>
      <c r="NTK482" s="329"/>
      <c r="NTL482" s="329"/>
      <c r="NTM482" s="329"/>
      <c r="NTN482" s="329"/>
      <c r="NTO482" s="329"/>
      <c r="NTP482" s="329"/>
      <c r="NTQ482" s="329"/>
      <c r="NTR482" s="329"/>
      <c r="NTS482" s="329"/>
      <c r="NTT482" s="329"/>
      <c r="NTU482" s="329"/>
      <c r="NTV482" s="329"/>
      <c r="NTW482" s="329"/>
      <c r="NTX482" s="329"/>
      <c r="NTY482" s="329"/>
      <c r="NTZ482" s="329"/>
      <c r="NUA482" s="329"/>
      <c r="NUB482" s="329"/>
      <c r="NUC482" s="329"/>
      <c r="NUD482" s="329"/>
      <c r="NUE482" s="329"/>
      <c r="NUF482" s="329"/>
      <c r="NUG482" s="329"/>
      <c r="NUH482" s="329"/>
      <c r="NUI482" s="329"/>
      <c r="NUJ482" s="329"/>
      <c r="NUK482" s="329"/>
      <c r="NUL482" s="329"/>
      <c r="NUM482" s="329"/>
      <c r="NUN482" s="329"/>
      <c r="NUO482" s="329"/>
      <c r="NUP482" s="329"/>
      <c r="NUQ482" s="329"/>
      <c r="NUR482" s="329"/>
      <c r="NUS482" s="329"/>
      <c r="NUT482" s="329"/>
      <c r="NUU482" s="329"/>
      <c r="NUV482" s="329"/>
      <c r="NUW482" s="329"/>
      <c r="NUX482" s="329"/>
      <c r="NUY482" s="329"/>
      <c r="NUZ482" s="329"/>
      <c r="NVA482" s="329"/>
      <c r="NVB482" s="329"/>
      <c r="NVC482" s="329"/>
      <c r="NVD482" s="329"/>
      <c r="NVE482" s="329"/>
      <c r="NVF482" s="329"/>
      <c r="NVG482" s="329"/>
      <c r="NVH482" s="329"/>
      <c r="NVI482" s="329"/>
      <c r="NVJ482" s="329"/>
      <c r="NVK482" s="329"/>
      <c r="NVL482" s="329"/>
      <c r="NVM482" s="329"/>
      <c r="NVN482" s="329"/>
      <c r="NVO482" s="329"/>
      <c r="NVP482" s="329"/>
      <c r="NVQ482" s="329"/>
      <c r="NVR482" s="329"/>
      <c r="NVS482" s="329"/>
      <c r="NVT482" s="329"/>
      <c r="NVU482" s="329"/>
      <c r="NVV482" s="329"/>
      <c r="NVW482" s="329"/>
      <c r="NVX482" s="329"/>
      <c r="NVY482" s="329"/>
      <c r="NVZ482" s="329"/>
      <c r="NWA482" s="329"/>
      <c r="NWB482" s="329"/>
      <c r="NWC482" s="329"/>
      <c r="NWD482" s="329"/>
      <c r="NWE482" s="329"/>
      <c r="NWF482" s="329"/>
      <c r="NWG482" s="329"/>
      <c r="NWH482" s="329"/>
      <c r="NWI482" s="329"/>
      <c r="NWJ482" s="329"/>
      <c r="NWK482" s="329"/>
      <c r="NWL482" s="329"/>
      <c r="NWM482" s="329"/>
      <c r="NWN482" s="329"/>
      <c r="NWO482" s="329"/>
      <c r="NWP482" s="329"/>
      <c r="NWQ482" s="329"/>
      <c r="NWR482" s="329"/>
      <c r="NWS482" s="329"/>
      <c r="NWT482" s="329"/>
      <c r="NWU482" s="329"/>
      <c r="NWV482" s="329"/>
      <c r="NWW482" s="329"/>
      <c r="NWX482" s="329"/>
      <c r="NWY482" s="329"/>
      <c r="NWZ482" s="329"/>
      <c r="NXA482" s="329"/>
      <c r="NXB482" s="329"/>
      <c r="NXC482" s="329"/>
      <c r="NXD482" s="329"/>
      <c r="NXE482" s="329"/>
      <c r="NXF482" s="329"/>
      <c r="NXG482" s="329"/>
      <c r="NXH482" s="329"/>
      <c r="NXI482" s="329"/>
      <c r="NXJ482" s="329"/>
      <c r="NXK482" s="329"/>
      <c r="NXL482" s="329"/>
      <c r="NXM482" s="329"/>
      <c r="NXN482" s="329"/>
      <c r="NXO482" s="329"/>
      <c r="NXP482" s="329"/>
      <c r="NXQ482" s="329"/>
      <c r="NXR482" s="329"/>
      <c r="NXS482" s="329"/>
      <c r="NXT482" s="329"/>
      <c r="NXU482" s="329"/>
      <c r="NXV482" s="329"/>
      <c r="NXW482" s="329"/>
      <c r="NXX482" s="329"/>
      <c r="NXY482" s="329"/>
      <c r="NXZ482" s="329"/>
      <c r="NYA482" s="329"/>
      <c r="NYB482" s="329"/>
      <c r="NYC482" s="329"/>
      <c r="NYD482" s="329"/>
      <c r="NYE482" s="329"/>
      <c r="NYF482" s="329"/>
      <c r="NYG482" s="329"/>
      <c r="NYH482" s="329"/>
      <c r="NYI482" s="329"/>
      <c r="NYJ482" s="329"/>
      <c r="NYK482" s="329"/>
      <c r="NYL482" s="329"/>
      <c r="NYM482" s="329"/>
      <c r="NYN482" s="329"/>
      <c r="NYO482" s="329"/>
      <c r="NYP482" s="329"/>
      <c r="NYQ482" s="329"/>
      <c r="NYR482" s="329"/>
      <c r="NYS482" s="329"/>
      <c r="NYT482" s="329"/>
      <c r="NYU482" s="329"/>
      <c r="NYV482" s="329"/>
      <c r="NYW482" s="329"/>
      <c r="NYX482" s="329"/>
      <c r="NYY482" s="329"/>
      <c r="NYZ482" s="329"/>
      <c r="NZA482" s="329"/>
      <c r="NZB482" s="329"/>
      <c r="NZC482" s="329"/>
      <c r="NZD482" s="329"/>
      <c r="NZE482" s="329"/>
      <c r="NZF482" s="329"/>
      <c r="NZG482" s="329"/>
      <c r="NZH482" s="329"/>
      <c r="NZI482" s="329"/>
      <c r="NZJ482" s="329"/>
      <c r="NZK482" s="329"/>
      <c r="NZL482" s="329"/>
      <c r="NZM482" s="329"/>
      <c r="NZN482" s="329"/>
      <c r="NZO482" s="329"/>
      <c r="NZP482" s="329"/>
      <c r="NZQ482" s="329"/>
      <c r="NZR482" s="329"/>
      <c r="NZS482" s="329"/>
      <c r="NZT482" s="329"/>
      <c r="NZU482" s="329"/>
      <c r="NZV482" s="329"/>
      <c r="NZW482" s="329"/>
      <c r="NZX482" s="329"/>
      <c r="NZY482" s="329"/>
      <c r="NZZ482" s="329"/>
      <c r="OAA482" s="329"/>
      <c r="OAB482" s="329"/>
      <c r="OAC482" s="329"/>
      <c r="OAD482" s="329"/>
      <c r="OAE482" s="329"/>
      <c r="OAF482" s="329"/>
      <c r="OAG482" s="329"/>
      <c r="OAH482" s="329"/>
      <c r="OAI482" s="329"/>
      <c r="OAJ482" s="329"/>
      <c r="OAK482" s="329"/>
      <c r="OAL482" s="329"/>
      <c r="OAM482" s="329"/>
      <c r="OAN482" s="329"/>
      <c r="OAO482" s="329"/>
      <c r="OAP482" s="329"/>
      <c r="OAQ482" s="329"/>
      <c r="OAR482" s="329"/>
      <c r="OAS482" s="329"/>
      <c r="OAT482" s="329"/>
      <c r="OAU482" s="329"/>
      <c r="OAV482" s="329"/>
      <c r="OAW482" s="329"/>
      <c r="OAX482" s="329"/>
      <c r="OAY482" s="329"/>
      <c r="OAZ482" s="329"/>
      <c r="OBA482" s="329"/>
      <c r="OBB482" s="329"/>
      <c r="OBC482" s="329"/>
      <c r="OBD482" s="329"/>
      <c r="OBE482" s="329"/>
      <c r="OBF482" s="329"/>
      <c r="OBG482" s="329"/>
      <c r="OBH482" s="329"/>
      <c r="OBI482" s="329"/>
      <c r="OBJ482" s="329"/>
      <c r="OBK482" s="329"/>
      <c r="OBL482" s="329"/>
      <c r="OBM482" s="329"/>
      <c r="OBN482" s="329"/>
      <c r="OBO482" s="329"/>
      <c r="OBP482" s="329"/>
      <c r="OBQ482" s="329"/>
      <c r="OBR482" s="329"/>
      <c r="OBS482" s="329"/>
      <c r="OBT482" s="329"/>
      <c r="OBU482" s="329"/>
      <c r="OBV482" s="329"/>
      <c r="OBW482" s="329"/>
      <c r="OBX482" s="329"/>
      <c r="OBY482" s="329"/>
      <c r="OBZ482" s="329"/>
      <c r="OCA482" s="329"/>
      <c r="OCB482" s="329"/>
      <c r="OCC482" s="329"/>
      <c r="OCD482" s="329"/>
      <c r="OCE482" s="329"/>
      <c r="OCF482" s="329"/>
      <c r="OCG482" s="329"/>
      <c r="OCH482" s="329"/>
      <c r="OCI482" s="329"/>
      <c r="OCJ482" s="329"/>
      <c r="OCK482" s="329"/>
      <c r="OCL482" s="329"/>
      <c r="OCM482" s="329"/>
      <c r="OCN482" s="329"/>
      <c r="OCO482" s="329"/>
      <c r="OCP482" s="329"/>
      <c r="OCQ482" s="329"/>
      <c r="OCR482" s="329"/>
      <c r="OCS482" s="329"/>
      <c r="OCT482" s="329"/>
      <c r="OCU482" s="329"/>
      <c r="OCV482" s="329"/>
      <c r="OCW482" s="329"/>
      <c r="OCX482" s="329"/>
      <c r="OCY482" s="329"/>
      <c r="OCZ482" s="329"/>
      <c r="ODA482" s="329"/>
      <c r="ODB482" s="329"/>
      <c r="ODC482" s="329"/>
      <c r="ODD482" s="329"/>
      <c r="ODE482" s="329"/>
      <c r="ODF482" s="329"/>
      <c r="ODG482" s="329"/>
      <c r="ODH482" s="329"/>
      <c r="ODI482" s="329"/>
      <c r="ODJ482" s="329"/>
      <c r="ODK482" s="329"/>
      <c r="ODL482" s="329"/>
      <c r="ODM482" s="329"/>
      <c r="ODN482" s="329"/>
      <c r="ODO482" s="329"/>
      <c r="ODP482" s="329"/>
      <c r="ODQ482" s="329"/>
      <c r="ODR482" s="329"/>
      <c r="ODS482" s="329"/>
      <c r="ODT482" s="329"/>
      <c r="ODU482" s="329"/>
      <c r="ODV482" s="329"/>
      <c r="ODW482" s="329"/>
      <c r="ODX482" s="329"/>
      <c r="ODY482" s="329"/>
      <c r="ODZ482" s="329"/>
      <c r="OEA482" s="329"/>
      <c r="OEB482" s="329"/>
      <c r="OEC482" s="329"/>
      <c r="OED482" s="329"/>
      <c r="OEE482" s="329"/>
      <c r="OEF482" s="329"/>
      <c r="OEG482" s="329"/>
      <c r="OEH482" s="329"/>
      <c r="OEI482" s="329"/>
      <c r="OEJ482" s="329"/>
      <c r="OEK482" s="329"/>
      <c r="OEL482" s="329"/>
      <c r="OEM482" s="329"/>
      <c r="OEN482" s="329"/>
      <c r="OEO482" s="329"/>
      <c r="OEP482" s="329"/>
      <c r="OEQ482" s="329"/>
      <c r="OER482" s="329"/>
      <c r="OES482" s="329"/>
      <c r="OET482" s="329"/>
      <c r="OEU482" s="329"/>
      <c r="OEV482" s="329"/>
      <c r="OEW482" s="329"/>
      <c r="OEX482" s="329"/>
      <c r="OEY482" s="329"/>
      <c r="OEZ482" s="329"/>
      <c r="OFA482" s="329"/>
      <c r="OFB482" s="329"/>
      <c r="OFC482" s="329"/>
      <c r="OFD482" s="329"/>
      <c r="OFE482" s="329"/>
      <c r="OFF482" s="329"/>
      <c r="OFG482" s="329"/>
      <c r="OFH482" s="329"/>
      <c r="OFI482" s="329"/>
      <c r="OFJ482" s="329"/>
      <c r="OFK482" s="329"/>
      <c r="OFL482" s="329"/>
      <c r="OFM482" s="329"/>
      <c r="OFN482" s="329"/>
      <c r="OFO482" s="329"/>
      <c r="OFP482" s="329"/>
      <c r="OFQ482" s="329"/>
      <c r="OFR482" s="329"/>
      <c r="OFS482" s="329"/>
      <c r="OFT482" s="329"/>
      <c r="OFU482" s="329"/>
      <c r="OFV482" s="329"/>
      <c r="OFW482" s="329"/>
      <c r="OFX482" s="329"/>
      <c r="OFY482" s="329"/>
      <c r="OFZ482" s="329"/>
      <c r="OGA482" s="329"/>
      <c r="OGB482" s="329"/>
      <c r="OGC482" s="329"/>
      <c r="OGD482" s="329"/>
      <c r="OGE482" s="329"/>
      <c r="OGF482" s="329"/>
      <c r="OGG482" s="329"/>
      <c r="OGH482" s="329"/>
      <c r="OGI482" s="329"/>
      <c r="OGJ482" s="329"/>
      <c r="OGK482" s="329"/>
      <c r="OGL482" s="329"/>
      <c r="OGM482" s="329"/>
      <c r="OGN482" s="329"/>
      <c r="OGO482" s="329"/>
      <c r="OGP482" s="329"/>
      <c r="OGQ482" s="329"/>
      <c r="OGR482" s="329"/>
      <c r="OGS482" s="329"/>
      <c r="OGT482" s="329"/>
      <c r="OGU482" s="329"/>
      <c r="OGV482" s="329"/>
      <c r="OGW482" s="329"/>
      <c r="OGX482" s="329"/>
      <c r="OGY482" s="329"/>
      <c r="OGZ482" s="329"/>
      <c r="OHA482" s="329"/>
      <c r="OHB482" s="329"/>
      <c r="OHC482" s="329"/>
      <c r="OHD482" s="329"/>
      <c r="OHE482" s="329"/>
      <c r="OHF482" s="329"/>
      <c r="OHG482" s="329"/>
      <c r="OHH482" s="329"/>
      <c r="OHI482" s="329"/>
      <c r="OHJ482" s="329"/>
      <c r="OHK482" s="329"/>
      <c r="OHL482" s="329"/>
      <c r="OHM482" s="329"/>
      <c r="OHN482" s="329"/>
      <c r="OHO482" s="329"/>
      <c r="OHP482" s="329"/>
      <c r="OHQ482" s="329"/>
      <c r="OHR482" s="329"/>
      <c r="OHS482" s="329"/>
      <c r="OHT482" s="329"/>
      <c r="OHU482" s="329"/>
      <c r="OHV482" s="329"/>
      <c r="OHW482" s="329"/>
      <c r="OHX482" s="329"/>
      <c r="OHY482" s="329"/>
      <c r="OHZ482" s="329"/>
      <c r="OIA482" s="329"/>
      <c r="OIB482" s="329"/>
      <c r="OIC482" s="329"/>
      <c r="OID482" s="329"/>
      <c r="OIE482" s="329"/>
      <c r="OIF482" s="329"/>
      <c r="OIG482" s="329"/>
      <c r="OIH482" s="329"/>
      <c r="OII482" s="329"/>
      <c r="OIJ482" s="329"/>
      <c r="OIK482" s="329"/>
      <c r="OIL482" s="329"/>
      <c r="OIM482" s="329"/>
      <c r="OIN482" s="329"/>
      <c r="OIO482" s="329"/>
      <c r="OIP482" s="329"/>
      <c r="OIQ482" s="329"/>
      <c r="OIR482" s="329"/>
      <c r="OIS482" s="329"/>
      <c r="OIT482" s="329"/>
      <c r="OIU482" s="329"/>
      <c r="OIV482" s="329"/>
      <c r="OIW482" s="329"/>
      <c r="OIX482" s="329"/>
      <c r="OIY482" s="329"/>
      <c r="OIZ482" s="329"/>
      <c r="OJA482" s="329"/>
      <c r="OJB482" s="329"/>
      <c r="OJC482" s="329"/>
      <c r="OJD482" s="329"/>
      <c r="OJE482" s="329"/>
      <c r="OJF482" s="329"/>
      <c r="OJG482" s="329"/>
      <c r="OJH482" s="329"/>
      <c r="OJI482" s="329"/>
      <c r="OJJ482" s="329"/>
      <c r="OJK482" s="329"/>
      <c r="OJL482" s="329"/>
      <c r="OJM482" s="329"/>
      <c r="OJN482" s="329"/>
      <c r="OJO482" s="329"/>
      <c r="OJP482" s="329"/>
      <c r="OJQ482" s="329"/>
      <c r="OJR482" s="329"/>
      <c r="OJS482" s="329"/>
      <c r="OJT482" s="329"/>
      <c r="OJU482" s="329"/>
      <c r="OJV482" s="329"/>
      <c r="OJW482" s="329"/>
      <c r="OJX482" s="329"/>
      <c r="OJY482" s="329"/>
      <c r="OJZ482" s="329"/>
      <c r="OKA482" s="329"/>
      <c r="OKB482" s="329"/>
      <c r="OKC482" s="329"/>
      <c r="OKD482" s="329"/>
      <c r="OKE482" s="329"/>
      <c r="OKF482" s="329"/>
      <c r="OKG482" s="329"/>
      <c r="OKH482" s="329"/>
      <c r="OKI482" s="329"/>
      <c r="OKJ482" s="329"/>
      <c r="OKK482" s="329"/>
      <c r="OKL482" s="329"/>
      <c r="OKM482" s="329"/>
      <c r="OKN482" s="329"/>
      <c r="OKO482" s="329"/>
      <c r="OKP482" s="329"/>
      <c r="OKQ482" s="329"/>
      <c r="OKR482" s="329"/>
      <c r="OKS482" s="329"/>
      <c r="OKT482" s="329"/>
      <c r="OKU482" s="329"/>
      <c r="OKV482" s="329"/>
      <c r="OKW482" s="329"/>
      <c r="OKX482" s="329"/>
      <c r="OKY482" s="329"/>
      <c r="OKZ482" s="329"/>
      <c r="OLA482" s="329"/>
      <c r="OLB482" s="329"/>
      <c r="OLC482" s="329"/>
      <c r="OLD482" s="329"/>
      <c r="OLE482" s="329"/>
      <c r="OLF482" s="329"/>
      <c r="OLG482" s="329"/>
      <c r="OLH482" s="329"/>
      <c r="OLI482" s="329"/>
      <c r="OLJ482" s="329"/>
      <c r="OLK482" s="329"/>
      <c r="OLL482" s="329"/>
      <c r="OLM482" s="329"/>
      <c r="OLN482" s="329"/>
      <c r="OLO482" s="329"/>
      <c r="OLP482" s="329"/>
      <c r="OLQ482" s="329"/>
      <c r="OLR482" s="329"/>
      <c r="OLS482" s="329"/>
      <c r="OLT482" s="329"/>
      <c r="OLU482" s="329"/>
      <c r="OLV482" s="329"/>
      <c r="OLW482" s="329"/>
      <c r="OLX482" s="329"/>
      <c r="OLY482" s="329"/>
      <c r="OLZ482" s="329"/>
      <c r="OMA482" s="329"/>
      <c r="OMB482" s="329"/>
      <c r="OMC482" s="329"/>
      <c r="OMD482" s="329"/>
      <c r="OME482" s="329"/>
      <c r="OMF482" s="329"/>
      <c r="OMG482" s="329"/>
      <c r="OMH482" s="329"/>
      <c r="OMI482" s="329"/>
      <c r="OMJ482" s="329"/>
      <c r="OMK482" s="329"/>
      <c r="OML482" s="329"/>
      <c r="OMM482" s="329"/>
      <c r="OMN482" s="329"/>
      <c r="OMO482" s="329"/>
      <c r="OMP482" s="329"/>
      <c r="OMQ482" s="329"/>
      <c r="OMR482" s="329"/>
      <c r="OMS482" s="329"/>
      <c r="OMT482" s="329"/>
      <c r="OMU482" s="329"/>
      <c r="OMV482" s="329"/>
      <c r="OMW482" s="329"/>
      <c r="OMX482" s="329"/>
      <c r="OMY482" s="329"/>
      <c r="OMZ482" s="329"/>
      <c r="ONA482" s="329"/>
      <c r="ONB482" s="329"/>
      <c r="ONC482" s="329"/>
      <c r="OND482" s="329"/>
      <c r="ONE482" s="329"/>
      <c r="ONF482" s="329"/>
      <c r="ONG482" s="329"/>
      <c r="ONH482" s="329"/>
      <c r="ONI482" s="329"/>
      <c r="ONJ482" s="329"/>
      <c r="ONK482" s="329"/>
      <c r="ONL482" s="329"/>
      <c r="ONM482" s="329"/>
      <c r="ONN482" s="329"/>
      <c r="ONO482" s="329"/>
      <c r="ONP482" s="329"/>
      <c r="ONQ482" s="329"/>
      <c r="ONR482" s="329"/>
      <c r="ONS482" s="329"/>
      <c r="ONT482" s="329"/>
      <c r="ONU482" s="329"/>
      <c r="ONV482" s="329"/>
      <c r="ONW482" s="329"/>
      <c r="ONX482" s="329"/>
      <c r="ONY482" s="329"/>
      <c r="ONZ482" s="329"/>
      <c r="OOA482" s="329"/>
      <c r="OOB482" s="329"/>
      <c r="OOC482" s="329"/>
      <c r="OOD482" s="329"/>
      <c r="OOE482" s="329"/>
      <c r="OOF482" s="329"/>
      <c r="OOG482" s="329"/>
      <c r="OOH482" s="329"/>
      <c r="OOI482" s="329"/>
      <c r="OOJ482" s="329"/>
      <c r="OOK482" s="329"/>
      <c r="OOL482" s="329"/>
      <c r="OOM482" s="329"/>
      <c r="OON482" s="329"/>
      <c r="OOO482" s="329"/>
      <c r="OOP482" s="329"/>
      <c r="OOQ482" s="329"/>
      <c r="OOR482" s="329"/>
      <c r="OOS482" s="329"/>
      <c r="OOT482" s="329"/>
      <c r="OOU482" s="329"/>
      <c r="OOV482" s="329"/>
      <c r="OOW482" s="329"/>
      <c r="OOX482" s="329"/>
      <c r="OOY482" s="329"/>
      <c r="OOZ482" s="329"/>
      <c r="OPA482" s="329"/>
      <c r="OPB482" s="329"/>
      <c r="OPC482" s="329"/>
      <c r="OPD482" s="329"/>
      <c r="OPE482" s="329"/>
      <c r="OPF482" s="329"/>
      <c r="OPG482" s="329"/>
      <c r="OPH482" s="329"/>
      <c r="OPI482" s="329"/>
      <c r="OPJ482" s="329"/>
      <c r="OPK482" s="329"/>
      <c r="OPL482" s="329"/>
      <c r="OPM482" s="329"/>
      <c r="OPN482" s="329"/>
      <c r="OPO482" s="329"/>
      <c r="OPP482" s="329"/>
      <c r="OPQ482" s="329"/>
      <c r="OPR482" s="329"/>
      <c r="OPS482" s="329"/>
      <c r="OPT482" s="329"/>
      <c r="OPU482" s="329"/>
      <c r="OPV482" s="329"/>
      <c r="OPW482" s="329"/>
      <c r="OPX482" s="329"/>
      <c r="OPY482" s="329"/>
      <c r="OPZ482" s="329"/>
      <c r="OQA482" s="329"/>
      <c r="OQB482" s="329"/>
      <c r="OQC482" s="329"/>
      <c r="OQD482" s="329"/>
      <c r="OQE482" s="329"/>
      <c r="OQF482" s="329"/>
      <c r="OQG482" s="329"/>
      <c r="OQH482" s="329"/>
      <c r="OQI482" s="329"/>
      <c r="OQJ482" s="329"/>
      <c r="OQK482" s="329"/>
      <c r="OQL482" s="329"/>
      <c r="OQM482" s="329"/>
      <c r="OQN482" s="329"/>
      <c r="OQO482" s="329"/>
      <c r="OQP482" s="329"/>
      <c r="OQQ482" s="329"/>
      <c r="OQR482" s="329"/>
      <c r="OQS482" s="329"/>
      <c r="OQT482" s="329"/>
      <c r="OQU482" s="329"/>
      <c r="OQV482" s="329"/>
      <c r="OQW482" s="329"/>
      <c r="OQX482" s="329"/>
      <c r="OQY482" s="329"/>
      <c r="OQZ482" s="329"/>
      <c r="ORA482" s="329"/>
      <c r="ORB482" s="329"/>
      <c r="ORC482" s="329"/>
      <c r="ORD482" s="329"/>
      <c r="ORE482" s="329"/>
      <c r="ORF482" s="329"/>
      <c r="ORG482" s="329"/>
      <c r="ORH482" s="329"/>
      <c r="ORI482" s="329"/>
      <c r="ORJ482" s="329"/>
      <c r="ORK482" s="329"/>
      <c r="ORL482" s="329"/>
      <c r="ORM482" s="329"/>
      <c r="ORN482" s="329"/>
      <c r="ORO482" s="329"/>
      <c r="ORP482" s="329"/>
      <c r="ORQ482" s="329"/>
      <c r="ORR482" s="329"/>
      <c r="ORS482" s="329"/>
      <c r="ORT482" s="329"/>
      <c r="ORU482" s="329"/>
      <c r="ORV482" s="329"/>
      <c r="ORW482" s="329"/>
      <c r="ORX482" s="329"/>
      <c r="ORY482" s="329"/>
      <c r="ORZ482" s="329"/>
      <c r="OSA482" s="329"/>
      <c r="OSB482" s="329"/>
      <c r="OSC482" s="329"/>
      <c r="OSD482" s="329"/>
      <c r="OSE482" s="329"/>
      <c r="OSF482" s="329"/>
      <c r="OSG482" s="329"/>
      <c r="OSH482" s="329"/>
      <c r="OSI482" s="329"/>
      <c r="OSJ482" s="329"/>
      <c r="OSK482" s="329"/>
      <c r="OSL482" s="329"/>
      <c r="OSM482" s="329"/>
      <c r="OSN482" s="329"/>
      <c r="OSO482" s="329"/>
      <c r="OSP482" s="329"/>
      <c r="OSQ482" s="329"/>
      <c r="OSR482" s="329"/>
      <c r="OSS482" s="329"/>
      <c r="OST482" s="329"/>
      <c r="OSU482" s="329"/>
      <c r="OSV482" s="329"/>
      <c r="OSW482" s="329"/>
      <c r="OSX482" s="329"/>
      <c r="OSY482" s="329"/>
      <c r="OSZ482" s="329"/>
      <c r="OTA482" s="329"/>
      <c r="OTB482" s="329"/>
      <c r="OTC482" s="329"/>
      <c r="OTD482" s="329"/>
      <c r="OTE482" s="329"/>
      <c r="OTF482" s="329"/>
      <c r="OTG482" s="329"/>
      <c r="OTH482" s="329"/>
      <c r="OTI482" s="329"/>
      <c r="OTJ482" s="329"/>
      <c r="OTK482" s="329"/>
      <c r="OTL482" s="329"/>
      <c r="OTM482" s="329"/>
      <c r="OTN482" s="329"/>
      <c r="OTO482" s="329"/>
      <c r="OTP482" s="329"/>
      <c r="OTQ482" s="329"/>
      <c r="OTR482" s="329"/>
      <c r="OTS482" s="329"/>
      <c r="OTT482" s="329"/>
      <c r="OTU482" s="329"/>
      <c r="OTV482" s="329"/>
      <c r="OTW482" s="329"/>
      <c r="OTX482" s="329"/>
      <c r="OTY482" s="329"/>
      <c r="OTZ482" s="329"/>
      <c r="OUA482" s="329"/>
      <c r="OUB482" s="329"/>
      <c r="OUC482" s="329"/>
      <c r="OUD482" s="329"/>
      <c r="OUE482" s="329"/>
      <c r="OUF482" s="329"/>
      <c r="OUG482" s="329"/>
      <c r="OUH482" s="329"/>
      <c r="OUI482" s="329"/>
      <c r="OUJ482" s="329"/>
      <c r="OUK482" s="329"/>
      <c r="OUL482" s="329"/>
      <c r="OUM482" s="329"/>
      <c r="OUN482" s="329"/>
      <c r="OUO482" s="329"/>
      <c r="OUP482" s="329"/>
      <c r="OUQ482" s="329"/>
      <c r="OUR482" s="329"/>
      <c r="OUS482" s="329"/>
      <c r="OUT482" s="329"/>
      <c r="OUU482" s="329"/>
      <c r="OUV482" s="329"/>
      <c r="OUW482" s="329"/>
      <c r="OUX482" s="329"/>
      <c r="OUY482" s="329"/>
      <c r="OUZ482" s="329"/>
      <c r="OVA482" s="329"/>
      <c r="OVB482" s="329"/>
      <c r="OVC482" s="329"/>
      <c r="OVD482" s="329"/>
      <c r="OVE482" s="329"/>
      <c r="OVF482" s="329"/>
      <c r="OVG482" s="329"/>
      <c r="OVH482" s="329"/>
      <c r="OVI482" s="329"/>
      <c r="OVJ482" s="329"/>
      <c r="OVK482" s="329"/>
      <c r="OVL482" s="329"/>
      <c r="OVM482" s="329"/>
      <c r="OVN482" s="329"/>
      <c r="OVO482" s="329"/>
      <c r="OVP482" s="329"/>
      <c r="OVQ482" s="329"/>
      <c r="OVR482" s="329"/>
      <c r="OVS482" s="329"/>
      <c r="OVT482" s="329"/>
      <c r="OVU482" s="329"/>
      <c r="OVV482" s="329"/>
      <c r="OVW482" s="329"/>
      <c r="OVX482" s="329"/>
      <c r="OVY482" s="329"/>
      <c r="OVZ482" s="329"/>
      <c r="OWA482" s="329"/>
      <c r="OWB482" s="329"/>
      <c r="OWC482" s="329"/>
      <c r="OWD482" s="329"/>
      <c r="OWE482" s="329"/>
      <c r="OWF482" s="329"/>
      <c r="OWG482" s="329"/>
      <c r="OWH482" s="329"/>
      <c r="OWI482" s="329"/>
      <c r="OWJ482" s="329"/>
      <c r="OWK482" s="329"/>
      <c r="OWL482" s="329"/>
      <c r="OWM482" s="329"/>
      <c r="OWN482" s="329"/>
      <c r="OWO482" s="329"/>
      <c r="OWP482" s="329"/>
      <c r="OWQ482" s="329"/>
      <c r="OWR482" s="329"/>
      <c r="OWS482" s="329"/>
      <c r="OWT482" s="329"/>
      <c r="OWU482" s="329"/>
      <c r="OWV482" s="329"/>
      <c r="OWW482" s="329"/>
      <c r="OWX482" s="329"/>
      <c r="OWY482" s="329"/>
      <c r="OWZ482" s="329"/>
      <c r="OXA482" s="329"/>
      <c r="OXB482" s="329"/>
      <c r="OXC482" s="329"/>
      <c r="OXD482" s="329"/>
      <c r="OXE482" s="329"/>
      <c r="OXF482" s="329"/>
      <c r="OXG482" s="329"/>
      <c r="OXH482" s="329"/>
      <c r="OXI482" s="329"/>
      <c r="OXJ482" s="329"/>
      <c r="OXK482" s="329"/>
      <c r="OXL482" s="329"/>
      <c r="OXM482" s="329"/>
      <c r="OXN482" s="329"/>
      <c r="OXO482" s="329"/>
      <c r="OXP482" s="329"/>
      <c r="OXQ482" s="329"/>
      <c r="OXR482" s="329"/>
      <c r="OXS482" s="329"/>
      <c r="OXT482" s="329"/>
      <c r="OXU482" s="329"/>
      <c r="OXV482" s="329"/>
      <c r="OXW482" s="329"/>
      <c r="OXX482" s="329"/>
      <c r="OXY482" s="329"/>
      <c r="OXZ482" s="329"/>
      <c r="OYA482" s="329"/>
      <c r="OYB482" s="329"/>
      <c r="OYC482" s="329"/>
      <c r="OYD482" s="329"/>
      <c r="OYE482" s="329"/>
      <c r="OYF482" s="329"/>
      <c r="OYG482" s="329"/>
      <c r="OYH482" s="329"/>
      <c r="OYI482" s="329"/>
      <c r="OYJ482" s="329"/>
      <c r="OYK482" s="329"/>
      <c r="OYL482" s="329"/>
      <c r="OYM482" s="329"/>
      <c r="OYN482" s="329"/>
      <c r="OYO482" s="329"/>
      <c r="OYP482" s="329"/>
      <c r="OYQ482" s="329"/>
      <c r="OYR482" s="329"/>
      <c r="OYS482" s="329"/>
      <c r="OYT482" s="329"/>
      <c r="OYU482" s="329"/>
      <c r="OYV482" s="329"/>
      <c r="OYW482" s="329"/>
      <c r="OYX482" s="329"/>
      <c r="OYY482" s="329"/>
      <c r="OYZ482" s="329"/>
      <c r="OZA482" s="329"/>
      <c r="OZB482" s="329"/>
      <c r="OZC482" s="329"/>
      <c r="OZD482" s="329"/>
      <c r="OZE482" s="329"/>
      <c r="OZF482" s="329"/>
      <c r="OZG482" s="329"/>
      <c r="OZH482" s="329"/>
      <c r="OZI482" s="329"/>
      <c r="OZJ482" s="329"/>
      <c r="OZK482" s="329"/>
      <c r="OZL482" s="329"/>
      <c r="OZM482" s="329"/>
      <c r="OZN482" s="329"/>
      <c r="OZO482" s="329"/>
      <c r="OZP482" s="329"/>
      <c r="OZQ482" s="329"/>
      <c r="OZR482" s="329"/>
      <c r="OZS482" s="329"/>
      <c r="OZT482" s="329"/>
      <c r="OZU482" s="329"/>
      <c r="OZV482" s="329"/>
      <c r="OZW482" s="329"/>
      <c r="OZX482" s="329"/>
      <c r="OZY482" s="329"/>
      <c r="OZZ482" s="329"/>
      <c r="PAA482" s="329"/>
      <c r="PAB482" s="329"/>
      <c r="PAC482" s="329"/>
      <c r="PAD482" s="329"/>
      <c r="PAE482" s="329"/>
      <c r="PAF482" s="329"/>
      <c r="PAG482" s="329"/>
      <c r="PAH482" s="329"/>
      <c r="PAI482" s="329"/>
      <c r="PAJ482" s="329"/>
      <c r="PAK482" s="329"/>
      <c r="PAL482" s="329"/>
      <c r="PAM482" s="329"/>
      <c r="PAN482" s="329"/>
      <c r="PAO482" s="329"/>
      <c r="PAP482" s="329"/>
      <c r="PAQ482" s="329"/>
      <c r="PAR482" s="329"/>
      <c r="PAS482" s="329"/>
      <c r="PAT482" s="329"/>
      <c r="PAU482" s="329"/>
      <c r="PAV482" s="329"/>
      <c r="PAW482" s="329"/>
      <c r="PAX482" s="329"/>
      <c r="PAY482" s="329"/>
      <c r="PAZ482" s="329"/>
      <c r="PBA482" s="329"/>
      <c r="PBB482" s="329"/>
      <c r="PBC482" s="329"/>
      <c r="PBD482" s="329"/>
      <c r="PBE482" s="329"/>
      <c r="PBF482" s="329"/>
      <c r="PBG482" s="329"/>
      <c r="PBH482" s="329"/>
      <c r="PBI482" s="329"/>
      <c r="PBJ482" s="329"/>
      <c r="PBK482" s="329"/>
      <c r="PBL482" s="329"/>
      <c r="PBM482" s="329"/>
      <c r="PBN482" s="329"/>
      <c r="PBO482" s="329"/>
      <c r="PBP482" s="329"/>
      <c r="PBQ482" s="329"/>
      <c r="PBR482" s="329"/>
      <c r="PBS482" s="329"/>
      <c r="PBT482" s="329"/>
      <c r="PBU482" s="329"/>
      <c r="PBV482" s="329"/>
      <c r="PBW482" s="329"/>
      <c r="PBX482" s="329"/>
      <c r="PBY482" s="329"/>
      <c r="PBZ482" s="329"/>
      <c r="PCA482" s="329"/>
      <c r="PCB482" s="329"/>
      <c r="PCC482" s="329"/>
      <c r="PCD482" s="329"/>
      <c r="PCE482" s="329"/>
      <c r="PCF482" s="329"/>
      <c r="PCG482" s="329"/>
      <c r="PCH482" s="329"/>
      <c r="PCI482" s="329"/>
      <c r="PCJ482" s="329"/>
      <c r="PCK482" s="329"/>
      <c r="PCL482" s="329"/>
      <c r="PCM482" s="329"/>
      <c r="PCN482" s="329"/>
      <c r="PCO482" s="329"/>
      <c r="PCP482" s="329"/>
      <c r="PCQ482" s="329"/>
      <c r="PCR482" s="329"/>
      <c r="PCS482" s="329"/>
      <c r="PCT482" s="329"/>
      <c r="PCU482" s="329"/>
      <c r="PCV482" s="329"/>
      <c r="PCW482" s="329"/>
      <c r="PCX482" s="329"/>
      <c r="PCY482" s="329"/>
      <c r="PCZ482" s="329"/>
      <c r="PDA482" s="329"/>
      <c r="PDB482" s="329"/>
      <c r="PDC482" s="329"/>
      <c r="PDD482" s="329"/>
      <c r="PDE482" s="329"/>
      <c r="PDF482" s="329"/>
      <c r="PDG482" s="329"/>
      <c r="PDH482" s="329"/>
      <c r="PDI482" s="329"/>
      <c r="PDJ482" s="329"/>
      <c r="PDK482" s="329"/>
      <c r="PDL482" s="329"/>
      <c r="PDM482" s="329"/>
      <c r="PDN482" s="329"/>
      <c r="PDO482" s="329"/>
      <c r="PDP482" s="329"/>
      <c r="PDQ482" s="329"/>
      <c r="PDR482" s="329"/>
      <c r="PDS482" s="329"/>
      <c r="PDT482" s="329"/>
      <c r="PDU482" s="329"/>
      <c r="PDV482" s="329"/>
      <c r="PDW482" s="329"/>
      <c r="PDX482" s="329"/>
      <c r="PDY482" s="329"/>
      <c r="PDZ482" s="329"/>
      <c r="PEA482" s="329"/>
      <c r="PEB482" s="329"/>
      <c r="PEC482" s="329"/>
      <c r="PED482" s="329"/>
      <c r="PEE482" s="329"/>
      <c r="PEF482" s="329"/>
      <c r="PEG482" s="329"/>
      <c r="PEH482" s="329"/>
      <c r="PEI482" s="329"/>
      <c r="PEJ482" s="329"/>
      <c r="PEK482" s="329"/>
      <c r="PEL482" s="329"/>
      <c r="PEM482" s="329"/>
      <c r="PEN482" s="329"/>
      <c r="PEO482" s="329"/>
      <c r="PEP482" s="329"/>
      <c r="PEQ482" s="329"/>
      <c r="PER482" s="329"/>
      <c r="PES482" s="329"/>
      <c r="PET482" s="329"/>
      <c r="PEU482" s="329"/>
      <c r="PEV482" s="329"/>
      <c r="PEW482" s="329"/>
      <c r="PEX482" s="329"/>
      <c r="PEY482" s="329"/>
      <c r="PEZ482" s="329"/>
      <c r="PFA482" s="329"/>
      <c r="PFB482" s="329"/>
      <c r="PFC482" s="329"/>
      <c r="PFD482" s="329"/>
      <c r="PFE482" s="329"/>
      <c r="PFF482" s="329"/>
      <c r="PFG482" s="329"/>
      <c r="PFH482" s="329"/>
      <c r="PFI482" s="329"/>
      <c r="PFJ482" s="329"/>
      <c r="PFK482" s="329"/>
      <c r="PFL482" s="329"/>
      <c r="PFM482" s="329"/>
      <c r="PFN482" s="329"/>
      <c r="PFO482" s="329"/>
      <c r="PFP482" s="329"/>
      <c r="PFQ482" s="329"/>
      <c r="PFR482" s="329"/>
      <c r="PFS482" s="329"/>
      <c r="PFT482" s="329"/>
      <c r="PFU482" s="329"/>
      <c r="PFV482" s="329"/>
      <c r="PFW482" s="329"/>
      <c r="PFX482" s="329"/>
      <c r="PFY482" s="329"/>
      <c r="PFZ482" s="329"/>
      <c r="PGA482" s="329"/>
      <c r="PGB482" s="329"/>
      <c r="PGC482" s="329"/>
      <c r="PGD482" s="329"/>
      <c r="PGE482" s="329"/>
      <c r="PGF482" s="329"/>
      <c r="PGG482" s="329"/>
      <c r="PGH482" s="329"/>
      <c r="PGI482" s="329"/>
      <c r="PGJ482" s="329"/>
      <c r="PGK482" s="329"/>
      <c r="PGL482" s="329"/>
      <c r="PGM482" s="329"/>
      <c r="PGN482" s="329"/>
      <c r="PGO482" s="329"/>
      <c r="PGP482" s="329"/>
      <c r="PGQ482" s="329"/>
      <c r="PGR482" s="329"/>
      <c r="PGS482" s="329"/>
      <c r="PGT482" s="329"/>
      <c r="PGU482" s="329"/>
      <c r="PGV482" s="329"/>
      <c r="PGW482" s="329"/>
      <c r="PGX482" s="329"/>
      <c r="PGY482" s="329"/>
      <c r="PGZ482" s="329"/>
      <c r="PHA482" s="329"/>
      <c r="PHB482" s="329"/>
      <c r="PHC482" s="329"/>
      <c r="PHD482" s="329"/>
      <c r="PHE482" s="329"/>
      <c r="PHF482" s="329"/>
      <c r="PHG482" s="329"/>
      <c r="PHH482" s="329"/>
      <c r="PHI482" s="329"/>
      <c r="PHJ482" s="329"/>
      <c r="PHK482" s="329"/>
      <c r="PHL482" s="329"/>
      <c r="PHM482" s="329"/>
      <c r="PHN482" s="329"/>
      <c r="PHO482" s="329"/>
      <c r="PHP482" s="329"/>
      <c r="PHQ482" s="329"/>
      <c r="PHR482" s="329"/>
      <c r="PHS482" s="329"/>
      <c r="PHT482" s="329"/>
      <c r="PHU482" s="329"/>
      <c r="PHV482" s="329"/>
      <c r="PHW482" s="329"/>
      <c r="PHX482" s="329"/>
      <c r="PHY482" s="329"/>
      <c r="PHZ482" s="329"/>
      <c r="PIA482" s="329"/>
      <c r="PIB482" s="329"/>
      <c r="PIC482" s="329"/>
      <c r="PID482" s="329"/>
      <c r="PIE482" s="329"/>
      <c r="PIF482" s="329"/>
      <c r="PIG482" s="329"/>
      <c r="PIH482" s="329"/>
      <c r="PII482" s="329"/>
      <c r="PIJ482" s="329"/>
      <c r="PIK482" s="329"/>
      <c r="PIL482" s="329"/>
      <c r="PIM482" s="329"/>
      <c r="PIN482" s="329"/>
      <c r="PIO482" s="329"/>
      <c r="PIP482" s="329"/>
      <c r="PIQ482" s="329"/>
      <c r="PIR482" s="329"/>
      <c r="PIS482" s="329"/>
      <c r="PIT482" s="329"/>
      <c r="PIU482" s="329"/>
      <c r="PIV482" s="329"/>
      <c r="PIW482" s="329"/>
      <c r="PIX482" s="329"/>
      <c r="PIY482" s="329"/>
      <c r="PIZ482" s="329"/>
      <c r="PJA482" s="329"/>
      <c r="PJB482" s="329"/>
      <c r="PJC482" s="329"/>
      <c r="PJD482" s="329"/>
      <c r="PJE482" s="329"/>
      <c r="PJF482" s="329"/>
      <c r="PJG482" s="329"/>
      <c r="PJH482" s="329"/>
      <c r="PJI482" s="329"/>
      <c r="PJJ482" s="329"/>
      <c r="PJK482" s="329"/>
      <c r="PJL482" s="329"/>
      <c r="PJM482" s="329"/>
      <c r="PJN482" s="329"/>
      <c r="PJO482" s="329"/>
      <c r="PJP482" s="329"/>
      <c r="PJQ482" s="329"/>
      <c r="PJR482" s="329"/>
      <c r="PJS482" s="329"/>
      <c r="PJT482" s="329"/>
      <c r="PJU482" s="329"/>
      <c r="PJV482" s="329"/>
      <c r="PJW482" s="329"/>
      <c r="PJX482" s="329"/>
      <c r="PJY482" s="329"/>
      <c r="PJZ482" s="329"/>
      <c r="PKA482" s="329"/>
      <c r="PKB482" s="329"/>
      <c r="PKC482" s="329"/>
      <c r="PKD482" s="329"/>
      <c r="PKE482" s="329"/>
      <c r="PKF482" s="329"/>
      <c r="PKG482" s="329"/>
      <c r="PKH482" s="329"/>
      <c r="PKI482" s="329"/>
      <c r="PKJ482" s="329"/>
      <c r="PKK482" s="329"/>
      <c r="PKL482" s="329"/>
      <c r="PKM482" s="329"/>
      <c r="PKN482" s="329"/>
      <c r="PKO482" s="329"/>
      <c r="PKP482" s="329"/>
      <c r="PKQ482" s="329"/>
      <c r="PKR482" s="329"/>
      <c r="PKS482" s="329"/>
      <c r="PKT482" s="329"/>
      <c r="PKU482" s="329"/>
      <c r="PKV482" s="329"/>
      <c r="PKW482" s="329"/>
      <c r="PKX482" s="329"/>
      <c r="PKY482" s="329"/>
      <c r="PKZ482" s="329"/>
      <c r="PLA482" s="329"/>
      <c r="PLB482" s="329"/>
      <c r="PLC482" s="329"/>
      <c r="PLD482" s="329"/>
      <c r="PLE482" s="329"/>
      <c r="PLF482" s="329"/>
      <c r="PLG482" s="329"/>
      <c r="PLH482" s="329"/>
      <c r="PLI482" s="329"/>
      <c r="PLJ482" s="329"/>
      <c r="PLK482" s="329"/>
      <c r="PLL482" s="329"/>
      <c r="PLM482" s="329"/>
      <c r="PLN482" s="329"/>
      <c r="PLO482" s="329"/>
      <c r="PLP482" s="329"/>
      <c r="PLQ482" s="329"/>
      <c r="PLR482" s="329"/>
      <c r="PLS482" s="329"/>
      <c r="PLT482" s="329"/>
      <c r="PLU482" s="329"/>
      <c r="PLV482" s="329"/>
      <c r="PLW482" s="329"/>
      <c r="PLX482" s="329"/>
      <c r="PLY482" s="329"/>
      <c r="PLZ482" s="329"/>
      <c r="PMA482" s="329"/>
      <c r="PMB482" s="329"/>
      <c r="PMC482" s="329"/>
      <c r="PMD482" s="329"/>
      <c r="PME482" s="329"/>
      <c r="PMF482" s="329"/>
      <c r="PMG482" s="329"/>
      <c r="PMH482" s="329"/>
      <c r="PMI482" s="329"/>
      <c r="PMJ482" s="329"/>
      <c r="PMK482" s="329"/>
      <c r="PML482" s="329"/>
      <c r="PMM482" s="329"/>
      <c r="PMN482" s="329"/>
      <c r="PMO482" s="329"/>
      <c r="PMP482" s="329"/>
      <c r="PMQ482" s="329"/>
      <c r="PMR482" s="329"/>
      <c r="PMS482" s="329"/>
      <c r="PMT482" s="329"/>
      <c r="PMU482" s="329"/>
      <c r="PMV482" s="329"/>
      <c r="PMW482" s="329"/>
      <c r="PMX482" s="329"/>
      <c r="PMY482" s="329"/>
      <c r="PMZ482" s="329"/>
      <c r="PNA482" s="329"/>
      <c r="PNB482" s="329"/>
      <c r="PNC482" s="329"/>
      <c r="PND482" s="329"/>
      <c r="PNE482" s="329"/>
      <c r="PNF482" s="329"/>
      <c r="PNG482" s="329"/>
      <c r="PNH482" s="329"/>
      <c r="PNI482" s="329"/>
      <c r="PNJ482" s="329"/>
      <c r="PNK482" s="329"/>
      <c r="PNL482" s="329"/>
      <c r="PNM482" s="329"/>
      <c r="PNN482" s="329"/>
      <c r="PNO482" s="329"/>
      <c r="PNP482" s="329"/>
      <c r="PNQ482" s="329"/>
      <c r="PNR482" s="329"/>
      <c r="PNS482" s="329"/>
      <c r="PNT482" s="329"/>
      <c r="PNU482" s="329"/>
      <c r="PNV482" s="329"/>
      <c r="PNW482" s="329"/>
      <c r="PNX482" s="329"/>
      <c r="PNY482" s="329"/>
      <c r="PNZ482" s="329"/>
      <c r="POA482" s="329"/>
      <c r="POB482" s="329"/>
      <c r="POC482" s="329"/>
      <c r="POD482" s="329"/>
      <c r="POE482" s="329"/>
      <c r="POF482" s="329"/>
      <c r="POG482" s="329"/>
      <c r="POH482" s="329"/>
      <c r="POI482" s="329"/>
      <c r="POJ482" s="329"/>
      <c r="POK482" s="329"/>
      <c r="POL482" s="329"/>
      <c r="POM482" s="329"/>
      <c r="PON482" s="329"/>
      <c r="POO482" s="329"/>
      <c r="POP482" s="329"/>
      <c r="POQ482" s="329"/>
      <c r="POR482" s="329"/>
      <c r="POS482" s="329"/>
      <c r="POT482" s="329"/>
      <c r="POU482" s="329"/>
      <c r="POV482" s="329"/>
      <c r="POW482" s="329"/>
      <c r="POX482" s="329"/>
      <c r="POY482" s="329"/>
      <c r="POZ482" s="329"/>
      <c r="PPA482" s="329"/>
      <c r="PPB482" s="329"/>
      <c r="PPC482" s="329"/>
      <c r="PPD482" s="329"/>
      <c r="PPE482" s="329"/>
      <c r="PPF482" s="329"/>
      <c r="PPG482" s="329"/>
      <c r="PPH482" s="329"/>
      <c r="PPI482" s="329"/>
      <c r="PPJ482" s="329"/>
      <c r="PPK482" s="329"/>
      <c r="PPL482" s="329"/>
      <c r="PPM482" s="329"/>
      <c r="PPN482" s="329"/>
      <c r="PPO482" s="329"/>
      <c r="PPP482" s="329"/>
      <c r="PPQ482" s="329"/>
      <c r="PPR482" s="329"/>
      <c r="PPS482" s="329"/>
      <c r="PPT482" s="329"/>
      <c r="PPU482" s="329"/>
      <c r="PPV482" s="329"/>
      <c r="PPW482" s="329"/>
      <c r="PPX482" s="329"/>
      <c r="PPY482" s="329"/>
      <c r="PPZ482" s="329"/>
      <c r="PQA482" s="329"/>
      <c r="PQB482" s="329"/>
      <c r="PQC482" s="329"/>
      <c r="PQD482" s="329"/>
      <c r="PQE482" s="329"/>
      <c r="PQF482" s="329"/>
      <c r="PQG482" s="329"/>
      <c r="PQH482" s="329"/>
      <c r="PQI482" s="329"/>
      <c r="PQJ482" s="329"/>
      <c r="PQK482" s="329"/>
      <c r="PQL482" s="329"/>
      <c r="PQM482" s="329"/>
      <c r="PQN482" s="329"/>
      <c r="PQO482" s="329"/>
      <c r="PQP482" s="329"/>
      <c r="PQQ482" s="329"/>
      <c r="PQR482" s="329"/>
      <c r="PQS482" s="329"/>
      <c r="PQT482" s="329"/>
      <c r="PQU482" s="329"/>
      <c r="PQV482" s="329"/>
      <c r="PQW482" s="329"/>
      <c r="PQX482" s="329"/>
      <c r="PQY482" s="329"/>
      <c r="PQZ482" s="329"/>
      <c r="PRA482" s="329"/>
      <c r="PRB482" s="329"/>
      <c r="PRC482" s="329"/>
      <c r="PRD482" s="329"/>
      <c r="PRE482" s="329"/>
      <c r="PRF482" s="329"/>
      <c r="PRG482" s="329"/>
      <c r="PRH482" s="329"/>
      <c r="PRI482" s="329"/>
      <c r="PRJ482" s="329"/>
      <c r="PRK482" s="329"/>
      <c r="PRL482" s="329"/>
      <c r="PRM482" s="329"/>
      <c r="PRN482" s="329"/>
      <c r="PRO482" s="329"/>
      <c r="PRP482" s="329"/>
      <c r="PRQ482" s="329"/>
      <c r="PRR482" s="329"/>
      <c r="PRS482" s="329"/>
      <c r="PRT482" s="329"/>
      <c r="PRU482" s="329"/>
      <c r="PRV482" s="329"/>
      <c r="PRW482" s="329"/>
      <c r="PRX482" s="329"/>
      <c r="PRY482" s="329"/>
      <c r="PRZ482" s="329"/>
      <c r="PSA482" s="329"/>
      <c r="PSB482" s="329"/>
      <c r="PSC482" s="329"/>
      <c r="PSD482" s="329"/>
      <c r="PSE482" s="329"/>
      <c r="PSF482" s="329"/>
      <c r="PSG482" s="329"/>
      <c r="PSH482" s="329"/>
      <c r="PSI482" s="329"/>
      <c r="PSJ482" s="329"/>
      <c r="PSK482" s="329"/>
      <c r="PSL482" s="329"/>
      <c r="PSM482" s="329"/>
      <c r="PSN482" s="329"/>
      <c r="PSO482" s="329"/>
      <c r="PSP482" s="329"/>
      <c r="PSQ482" s="329"/>
      <c r="PSR482" s="329"/>
      <c r="PSS482" s="329"/>
      <c r="PST482" s="329"/>
      <c r="PSU482" s="329"/>
      <c r="PSV482" s="329"/>
      <c r="PSW482" s="329"/>
      <c r="PSX482" s="329"/>
      <c r="PSY482" s="329"/>
      <c r="PSZ482" s="329"/>
      <c r="PTA482" s="329"/>
      <c r="PTB482" s="329"/>
      <c r="PTC482" s="329"/>
      <c r="PTD482" s="329"/>
      <c r="PTE482" s="329"/>
      <c r="PTF482" s="329"/>
      <c r="PTG482" s="329"/>
      <c r="PTH482" s="329"/>
      <c r="PTI482" s="329"/>
      <c r="PTJ482" s="329"/>
      <c r="PTK482" s="329"/>
      <c r="PTL482" s="329"/>
      <c r="PTM482" s="329"/>
      <c r="PTN482" s="329"/>
      <c r="PTO482" s="329"/>
      <c r="PTP482" s="329"/>
      <c r="PTQ482" s="329"/>
      <c r="PTR482" s="329"/>
      <c r="PTS482" s="329"/>
      <c r="PTT482" s="329"/>
      <c r="PTU482" s="329"/>
      <c r="PTV482" s="329"/>
      <c r="PTW482" s="329"/>
      <c r="PTX482" s="329"/>
      <c r="PTY482" s="329"/>
      <c r="PTZ482" s="329"/>
      <c r="PUA482" s="329"/>
      <c r="PUB482" s="329"/>
      <c r="PUC482" s="329"/>
      <c r="PUD482" s="329"/>
      <c r="PUE482" s="329"/>
      <c r="PUF482" s="329"/>
      <c r="PUG482" s="329"/>
      <c r="PUH482" s="329"/>
      <c r="PUI482" s="329"/>
      <c r="PUJ482" s="329"/>
      <c r="PUK482" s="329"/>
      <c r="PUL482" s="329"/>
      <c r="PUM482" s="329"/>
      <c r="PUN482" s="329"/>
      <c r="PUO482" s="329"/>
      <c r="PUP482" s="329"/>
      <c r="PUQ482" s="329"/>
      <c r="PUR482" s="329"/>
      <c r="PUS482" s="329"/>
      <c r="PUT482" s="329"/>
      <c r="PUU482" s="329"/>
      <c r="PUV482" s="329"/>
      <c r="PUW482" s="329"/>
      <c r="PUX482" s="329"/>
      <c r="PUY482" s="329"/>
      <c r="PUZ482" s="329"/>
      <c r="PVA482" s="329"/>
      <c r="PVB482" s="329"/>
      <c r="PVC482" s="329"/>
      <c r="PVD482" s="329"/>
      <c r="PVE482" s="329"/>
      <c r="PVF482" s="329"/>
      <c r="PVG482" s="329"/>
      <c r="PVH482" s="329"/>
      <c r="PVI482" s="329"/>
      <c r="PVJ482" s="329"/>
      <c r="PVK482" s="329"/>
      <c r="PVL482" s="329"/>
      <c r="PVM482" s="329"/>
      <c r="PVN482" s="329"/>
      <c r="PVO482" s="329"/>
      <c r="PVP482" s="329"/>
      <c r="PVQ482" s="329"/>
      <c r="PVR482" s="329"/>
      <c r="PVS482" s="329"/>
      <c r="PVT482" s="329"/>
      <c r="PVU482" s="329"/>
      <c r="PVV482" s="329"/>
      <c r="PVW482" s="329"/>
      <c r="PVX482" s="329"/>
      <c r="PVY482" s="329"/>
      <c r="PVZ482" s="329"/>
      <c r="PWA482" s="329"/>
      <c r="PWB482" s="329"/>
      <c r="PWC482" s="329"/>
      <c r="PWD482" s="329"/>
      <c r="PWE482" s="329"/>
      <c r="PWF482" s="329"/>
      <c r="PWG482" s="329"/>
      <c r="PWH482" s="329"/>
      <c r="PWI482" s="329"/>
      <c r="PWJ482" s="329"/>
      <c r="PWK482" s="329"/>
      <c r="PWL482" s="329"/>
      <c r="PWM482" s="329"/>
      <c r="PWN482" s="329"/>
      <c r="PWO482" s="329"/>
      <c r="PWP482" s="329"/>
      <c r="PWQ482" s="329"/>
      <c r="PWR482" s="329"/>
      <c r="PWS482" s="329"/>
      <c r="PWT482" s="329"/>
      <c r="PWU482" s="329"/>
      <c r="PWV482" s="329"/>
      <c r="PWW482" s="329"/>
      <c r="PWX482" s="329"/>
      <c r="PWY482" s="329"/>
      <c r="PWZ482" s="329"/>
      <c r="PXA482" s="329"/>
      <c r="PXB482" s="329"/>
      <c r="PXC482" s="329"/>
      <c r="PXD482" s="329"/>
      <c r="PXE482" s="329"/>
      <c r="PXF482" s="329"/>
      <c r="PXG482" s="329"/>
      <c r="PXH482" s="329"/>
      <c r="PXI482" s="329"/>
      <c r="PXJ482" s="329"/>
      <c r="PXK482" s="329"/>
      <c r="PXL482" s="329"/>
      <c r="PXM482" s="329"/>
      <c r="PXN482" s="329"/>
      <c r="PXO482" s="329"/>
      <c r="PXP482" s="329"/>
      <c r="PXQ482" s="329"/>
      <c r="PXR482" s="329"/>
      <c r="PXS482" s="329"/>
      <c r="PXT482" s="329"/>
      <c r="PXU482" s="329"/>
      <c r="PXV482" s="329"/>
      <c r="PXW482" s="329"/>
      <c r="PXX482" s="329"/>
      <c r="PXY482" s="329"/>
      <c r="PXZ482" s="329"/>
      <c r="PYA482" s="329"/>
      <c r="PYB482" s="329"/>
      <c r="PYC482" s="329"/>
      <c r="PYD482" s="329"/>
      <c r="PYE482" s="329"/>
      <c r="PYF482" s="329"/>
      <c r="PYG482" s="329"/>
      <c r="PYH482" s="329"/>
      <c r="PYI482" s="329"/>
      <c r="PYJ482" s="329"/>
      <c r="PYK482" s="329"/>
      <c r="PYL482" s="329"/>
      <c r="PYM482" s="329"/>
      <c r="PYN482" s="329"/>
      <c r="PYO482" s="329"/>
      <c r="PYP482" s="329"/>
      <c r="PYQ482" s="329"/>
      <c r="PYR482" s="329"/>
      <c r="PYS482" s="329"/>
      <c r="PYT482" s="329"/>
      <c r="PYU482" s="329"/>
      <c r="PYV482" s="329"/>
      <c r="PYW482" s="329"/>
      <c r="PYX482" s="329"/>
      <c r="PYY482" s="329"/>
      <c r="PYZ482" s="329"/>
      <c r="PZA482" s="329"/>
      <c r="PZB482" s="329"/>
      <c r="PZC482" s="329"/>
      <c r="PZD482" s="329"/>
      <c r="PZE482" s="329"/>
      <c r="PZF482" s="329"/>
      <c r="PZG482" s="329"/>
      <c r="PZH482" s="329"/>
      <c r="PZI482" s="329"/>
      <c r="PZJ482" s="329"/>
      <c r="PZK482" s="329"/>
      <c r="PZL482" s="329"/>
      <c r="PZM482" s="329"/>
      <c r="PZN482" s="329"/>
      <c r="PZO482" s="329"/>
      <c r="PZP482" s="329"/>
      <c r="PZQ482" s="329"/>
      <c r="PZR482" s="329"/>
      <c r="PZS482" s="329"/>
      <c r="PZT482" s="329"/>
      <c r="PZU482" s="329"/>
      <c r="PZV482" s="329"/>
      <c r="PZW482" s="329"/>
      <c r="PZX482" s="329"/>
      <c r="PZY482" s="329"/>
      <c r="PZZ482" s="329"/>
      <c r="QAA482" s="329"/>
      <c r="QAB482" s="329"/>
      <c r="QAC482" s="329"/>
      <c r="QAD482" s="329"/>
      <c r="QAE482" s="329"/>
      <c r="QAF482" s="329"/>
      <c r="QAG482" s="329"/>
      <c r="QAH482" s="329"/>
      <c r="QAI482" s="329"/>
      <c r="QAJ482" s="329"/>
      <c r="QAK482" s="329"/>
      <c r="QAL482" s="329"/>
      <c r="QAM482" s="329"/>
      <c r="QAN482" s="329"/>
      <c r="QAO482" s="329"/>
      <c r="QAP482" s="329"/>
      <c r="QAQ482" s="329"/>
      <c r="QAR482" s="329"/>
      <c r="QAS482" s="329"/>
      <c r="QAT482" s="329"/>
      <c r="QAU482" s="329"/>
      <c r="QAV482" s="329"/>
      <c r="QAW482" s="329"/>
      <c r="QAX482" s="329"/>
      <c r="QAY482" s="329"/>
      <c r="QAZ482" s="329"/>
      <c r="QBA482" s="329"/>
      <c r="QBB482" s="329"/>
      <c r="QBC482" s="329"/>
      <c r="QBD482" s="329"/>
      <c r="QBE482" s="329"/>
      <c r="QBF482" s="329"/>
      <c r="QBG482" s="329"/>
      <c r="QBH482" s="329"/>
      <c r="QBI482" s="329"/>
      <c r="QBJ482" s="329"/>
      <c r="QBK482" s="329"/>
      <c r="QBL482" s="329"/>
      <c r="QBM482" s="329"/>
      <c r="QBN482" s="329"/>
      <c r="QBO482" s="329"/>
      <c r="QBP482" s="329"/>
      <c r="QBQ482" s="329"/>
      <c r="QBR482" s="329"/>
      <c r="QBS482" s="329"/>
      <c r="QBT482" s="329"/>
      <c r="QBU482" s="329"/>
      <c r="QBV482" s="329"/>
      <c r="QBW482" s="329"/>
      <c r="QBX482" s="329"/>
      <c r="QBY482" s="329"/>
      <c r="QBZ482" s="329"/>
      <c r="QCA482" s="329"/>
      <c r="QCB482" s="329"/>
      <c r="QCC482" s="329"/>
      <c r="QCD482" s="329"/>
      <c r="QCE482" s="329"/>
      <c r="QCF482" s="329"/>
      <c r="QCG482" s="329"/>
      <c r="QCH482" s="329"/>
      <c r="QCI482" s="329"/>
      <c r="QCJ482" s="329"/>
      <c r="QCK482" s="329"/>
      <c r="QCL482" s="329"/>
      <c r="QCM482" s="329"/>
      <c r="QCN482" s="329"/>
      <c r="QCO482" s="329"/>
      <c r="QCP482" s="329"/>
      <c r="QCQ482" s="329"/>
      <c r="QCR482" s="329"/>
      <c r="QCS482" s="329"/>
      <c r="QCT482" s="329"/>
      <c r="QCU482" s="329"/>
      <c r="QCV482" s="329"/>
      <c r="QCW482" s="329"/>
      <c r="QCX482" s="329"/>
      <c r="QCY482" s="329"/>
      <c r="QCZ482" s="329"/>
      <c r="QDA482" s="329"/>
      <c r="QDB482" s="329"/>
      <c r="QDC482" s="329"/>
      <c r="QDD482" s="329"/>
      <c r="QDE482" s="329"/>
      <c r="QDF482" s="329"/>
      <c r="QDG482" s="329"/>
      <c r="QDH482" s="329"/>
      <c r="QDI482" s="329"/>
      <c r="QDJ482" s="329"/>
      <c r="QDK482" s="329"/>
      <c r="QDL482" s="329"/>
      <c r="QDM482" s="329"/>
      <c r="QDN482" s="329"/>
      <c r="QDO482" s="329"/>
      <c r="QDP482" s="329"/>
      <c r="QDQ482" s="329"/>
      <c r="QDR482" s="329"/>
      <c r="QDS482" s="329"/>
      <c r="QDT482" s="329"/>
      <c r="QDU482" s="329"/>
      <c r="QDV482" s="329"/>
      <c r="QDW482" s="329"/>
      <c r="QDX482" s="329"/>
      <c r="QDY482" s="329"/>
      <c r="QDZ482" s="329"/>
      <c r="QEA482" s="329"/>
      <c r="QEB482" s="329"/>
      <c r="QEC482" s="329"/>
      <c r="QED482" s="329"/>
      <c r="QEE482" s="329"/>
      <c r="QEF482" s="329"/>
      <c r="QEG482" s="329"/>
      <c r="QEH482" s="329"/>
      <c r="QEI482" s="329"/>
      <c r="QEJ482" s="329"/>
      <c r="QEK482" s="329"/>
      <c r="QEL482" s="329"/>
      <c r="QEM482" s="329"/>
      <c r="QEN482" s="329"/>
      <c r="QEO482" s="329"/>
      <c r="QEP482" s="329"/>
      <c r="QEQ482" s="329"/>
      <c r="QER482" s="329"/>
      <c r="QES482" s="329"/>
      <c r="QET482" s="329"/>
      <c r="QEU482" s="329"/>
      <c r="QEV482" s="329"/>
      <c r="QEW482" s="329"/>
      <c r="QEX482" s="329"/>
      <c r="QEY482" s="329"/>
      <c r="QEZ482" s="329"/>
      <c r="QFA482" s="329"/>
      <c r="QFB482" s="329"/>
      <c r="QFC482" s="329"/>
      <c r="QFD482" s="329"/>
      <c r="QFE482" s="329"/>
      <c r="QFF482" s="329"/>
      <c r="QFG482" s="329"/>
      <c r="QFH482" s="329"/>
      <c r="QFI482" s="329"/>
      <c r="QFJ482" s="329"/>
      <c r="QFK482" s="329"/>
      <c r="QFL482" s="329"/>
      <c r="QFM482" s="329"/>
      <c r="QFN482" s="329"/>
      <c r="QFO482" s="329"/>
      <c r="QFP482" s="329"/>
      <c r="QFQ482" s="329"/>
      <c r="QFR482" s="329"/>
      <c r="QFS482" s="329"/>
      <c r="QFT482" s="329"/>
      <c r="QFU482" s="329"/>
      <c r="QFV482" s="329"/>
      <c r="QFW482" s="329"/>
      <c r="QFX482" s="329"/>
      <c r="QFY482" s="329"/>
      <c r="QFZ482" s="329"/>
      <c r="QGA482" s="329"/>
      <c r="QGB482" s="329"/>
      <c r="QGC482" s="329"/>
      <c r="QGD482" s="329"/>
      <c r="QGE482" s="329"/>
      <c r="QGF482" s="329"/>
      <c r="QGG482" s="329"/>
      <c r="QGH482" s="329"/>
      <c r="QGI482" s="329"/>
      <c r="QGJ482" s="329"/>
      <c r="QGK482" s="329"/>
      <c r="QGL482" s="329"/>
      <c r="QGM482" s="329"/>
      <c r="QGN482" s="329"/>
      <c r="QGO482" s="329"/>
      <c r="QGP482" s="329"/>
      <c r="QGQ482" s="329"/>
      <c r="QGR482" s="329"/>
      <c r="QGS482" s="329"/>
      <c r="QGT482" s="329"/>
      <c r="QGU482" s="329"/>
      <c r="QGV482" s="329"/>
      <c r="QGW482" s="329"/>
      <c r="QGX482" s="329"/>
      <c r="QGY482" s="329"/>
      <c r="QGZ482" s="329"/>
      <c r="QHA482" s="329"/>
      <c r="QHB482" s="329"/>
      <c r="QHC482" s="329"/>
      <c r="QHD482" s="329"/>
      <c r="QHE482" s="329"/>
      <c r="QHF482" s="329"/>
      <c r="QHG482" s="329"/>
      <c r="QHH482" s="329"/>
      <c r="QHI482" s="329"/>
      <c r="QHJ482" s="329"/>
      <c r="QHK482" s="329"/>
      <c r="QHL482" s="329"/>
      <c r="QHM482" s="329"/>
      <c r="QHN482" s="329"/>
      <c r="QHO482" s="329"/>
      <c r="QHP482" s="329"/>
      <c r="QHQ482" s="329"/>
      <c r="QHR482" s="329"/>
      <c r="QHS482" s="329"/>
      <c r="QHT482" s="329"/>
      <c r="QHU482" s="329"/>
      <c r="QHV482" s="329"/>
      <c r="QHW482" s="329"/>
      <c r="QHX482" s="329"/>
      <c r="QHY482" s="329"/>
      <c r="QHZ482" s="329"/>
      <c r="QIA482" s="329"/>
      <c r="QIB482" s="329"/>
      <c r="QIC482" s="329"/>
      <c r="QID482" s="329"/>
      <c r="QIE482" s="329"/>
      <c r="QIF482" s="329"/>
      <c r="QIG482" s="329"/>
      <c r="QIH482" s="329"/>
      <c r="QII482" s="329"/>
      <c r="QIJ482" s="329"/>
      <c r="QIK482" s="329"/>
      <c r="QIL482" s="329"/>
      <c r="QIM482" s="329"/>
      <c r="QIN482" s="329"/>
      <c r="QIO482" s="329"/>
      <c r="QIP482" s="329"/>
      <c r="QIQ482" s="329"/>
      <c r="QIR482" s="329"/>
      <c r="QIS482" s="329"/>
      <c r="QIT482" s="329"/>
      <c r="QIU482" s="329"/>
      <c r="QIV482" s="329"/>
      <c r="QIW482" s="329"/>
      <c r="QIX482" s="329"/>
      <c r="QIY482" s="329"/>
      <c r="QIZ482" s="329"/>
      <c r="QJA482" s="329"/>
      <c r="QJB482" s="329"/>
      <c r="QJC482" s="329"/>
      <c r="QJD482" s="329"/>
      <c r="QJE482" s="329"/>
      <c r="QJF482" s="329"/>
      <c r="QJG482" s="329"/>
      <c r="QJH482" s="329"/>
      <c r="QJI482" s="329"/>
      <c r="QJJ482" s="329"/>
      <c r="QJK482" s="329"/>
      <c r="QJL482" s="329"/>
      <c r="QJM482" s="329"/>
      <c r="QJN482" s="329"/>
      <c r="QJO482" s="329"/>
      <c r="QJP482" s="329"/>
      <c r="QJQ482" s="329"/>
      <c r="QJR482" s="329"/>
      <c r="QJS482" s="329"/>
      <c r="QJT482" s="329"/>
      <c r="QJU482" s="329"/>
      <c r="QJV482" s="329"/>
      <c r="QJW482" s="329"/>
      <c r="QJX482" s="329"/>
      <c r="QJY482" s="329"/>
      <c r="QJZ482" s="329"/>
      <c r="QKA482" s="329"/>
      <c r="QKB482" s="329"/>
      <c r="QKC482" s="329"/>
      <c r="QKD482" s="329"/>
      <c r="QKE482" s="329"/>
      <c r="QKF482" s="329"/>
      <c r="QKG482" s="329"/>
      <c r="QKH482" s="329"/>
      <c r="QKI482" s="329"/>
      <c r="QKJ482" s="329"/>
      <c r="QKK482" s="329"/>
      <c r="QKL482" s="329"/>
      <c r="QKM482" s="329"/>
      <c r="QKN482" s="329"/>
      <c r="QKO482" s="329"/>
      <c r="QKP482" s="329"/>
      <c r="QKQ482" s="329"/>
      <c r="QKR482" s="329"/>
      <c r="QKS482" s="329"/>
      <c r="QKT482" s="329"/>
      <c r="QKU482" s="329"/>
      <c r="QKV482" s="329"/>
      <c r="QKW482" s="329"/>
      <c r="QKX482" s="329"/>
      <c r="QKY482" s="329"/>
      <c r="QKZ482" s="329"/>
      <c r="QLA482" s="329"/>
      <c r="QLB482" s="329"/>
      <c r="QLC482" s="329"/>
      <c r="QLD482" s="329"/>
      <c r="QLE482" s="329"/>
      <c r="QLF482" s="329"/>
      <c r="QLG482" s="329"/>
      <c r="QLH482" s="329"/>
      <c r="QLI482" s="329"/>
      <c r="QLJ482" s="329"/>
      <c r="QLK482" s="329"/>
      <c r="QLL482" s="329"/>
      <c r="QLM482" s="329"/>
      <c r="QLN482" s="329"/>
      <c r="QLO482" s="329"/>
      <c r="QLP482" s="329"/>
      <c r="QLQ482" s="329"/>
      <c r="QLR482" s="329"/>
      <c r="QLS482" s="329"/>
      <c r="QLT482" s="329"/>
      <c r="QLU482" s="329"/>
      <c r="QLV482" s="329"/>
      <c r="QLW482" s="329"/>
      <c r="QLX482" s="329"/>
      <c r="QLY482" s="329"/>
      <c r="QLZ482" s="329"/>
      <c r="QMA482" s="329"/>
      <c r="QMB482" s="329"/>
      <c r="QMC482" s="329"/>
      <c r="QMD482" s="329"/>
      <c r="QME482" s="329"/>
      <c r="QMF482" s="329"/>
      <c r="QMG482" s="329"/>
      <c r="QMH482" s="329"/>
      <c r="QMI482" s="329"/>
      <c r="QMJ482" s="329"/>
      <c r="QMK482" s="329"/>
      <c r="QML482" s="329"/>
      <c r="QMM482" s="329"/>
      <c r="QMN482" s="329"/>
      <c r="QMO482" s="329"/>
      <c r="QMP482" s="329"/>
      <c r="QMQ482" s="329"/>
      <c r="QMR482" s="329"/>
      <c r="QMS482" s="329"/>
      <c r="QMT482" s="329"/>
      <c r="QMU482" s="329"/>
      <c r="QMV482" s="329"/>
      <c r="QMW482" s="329"/>
      <c r="QMX482" s="329"/>
      <c r="QMY482" s="329"/>
      <c r="QMZ482" s="329"/>
      <c r="QNA482" s="329"/>
      <c r="QNB482" s="329"/>
      <c r="QNC482" s="329"/>
      <c r="QND482" s="329"/>
      <c r="QNE482" s="329"/>
      <c r="QNF482" s="329"/>
      <c r="QNG482" s="329"/>
      <c r="QNH482" s="329"/>
      <c r="QNI482" s="329"/>
      <c r="QNJ482" s="329"/>
      <c r="QNK482" s="329"/>
      <c r="QNL482" s="329"/>
      <c r="QNM482" s="329"/>
      <c r="QNN482" s="329"/>
      <c r="QNO482" s="329"/>
      <c r="QNP482" s="329"/>
      <c r="QNQ482" s="329"/>
      <c r="QNR482" s="329"/>
      <c r="QNS482" s="329"/>
      <c r="QNT482" s="329"/>
      <c r="QNU482" s="329"/>
      <c r="QNV482" s="329"/>
      <c r="QNW482" s="329"/>
      <c r="QNX482" s="329"/>
      <c r="QNY482" s="329"/>
      <c r="QNZ482" s="329"/>
      <c r="QOA482" s="329"/>
      <c r="QOB482" s="329"/>
      <c r="QOC482" s="329"/>
      <c r="QOD482" s="329"/>
      <c r="QOE482" s="329"/>
      <c r="QOF482" s="329"/>
      <c r="QOG482" s="329"/>
      <c r="QOH482" s="329"/>
      <c r="QOI482" s="329"/>
      <c r="QOJ482" s="329"/>
      <c r="QOK482" s="329"/>
      <c r="QOL482" s="329"/>
      <c r="QOM482" s="329"/>
      <c r="QON482" s="329"/>
      <c r="QOO482" s="329"/>
      <c r="QOP482" s="329"/>
      <c r="QOQ482" s="329"/>
      <c r="QOR482" s="329"/>
      <c r="QOS482" s="329"/>
      <c r="QOT482" s="329"/>
      <c r="QOU482" s="329"/>
      <c r="QOV482" s="329"/>
      <c r="QOW482" s="329"/>
      <c r="QOX482" s="329"/>
      <c r="QOY482" s="329"/>
      <c r="QOZ482" s="329"/>
      <c r="QPA482" s="329"/>
      <c r="QPB482" s="329"/>
      <c r="QPC482" s="329"/>
      <c r="QPD482" s="329"/>
      <c r="QPE482" s="329"/>
      <c r="QPF482" s="329"/>
      <c r="QPG482" s="329"/>
      <c r="QPH482" s="329"/>
      <c r="QPI482" s="329"/>
      <c r="QPJ482" s="329"/>
      <c r="QPK482" s="329"/>
      <c r="QPL482" s="329"/>
      <c r="QPM482" s="329"/>
      <c r="QPN482" s="329"/>
      <c r="QPO482" s="329"/>
      <c r="QPP482" s="329"/>
      <c r="QPQ482" s="329"/>
      <c r="QPR482" s="329"/>
      <c r="QPS482" s="329"/>
      <c r="QPT482" s="329"/>
      <c r="QPU482" s="329"/>
      <c r="QPV482" s="329"/>
      <c r="QPW482" s="329"/>
      <c r="QPX482" s="329"/>
      <c r="QPY482" s="329"/>
      <c r="QPZ482" s="329"/>
      <c r="QQA482" s="329"/>
      <c r="QQB482" s="329"/>
      <c r="QQC482" s="329"/>
      <c r="QQD482" s="329"/>
      <c r="QQE482" s="329"/>
      <c r="QQF482" s="329"/>
      <c r="QQG482" s="329"/>
      <c r="QQH482" s="329"/>
      <c r="QQI482" s="329"/>
      <c r="QQJ482" s="329"/>
      <c r="QQK482" s="329"/>
      <c r="QQL482" s="329"/>
      <c r="QQM482" s="329"/>
      <c r="QQN482" s="329"/>
      <c r="QQO482" s="329"/>
      <c r="QQP482" s="329"/>
      <c r="QQQ482" s="329"/>
      <c r="QQR482" s="329"/>
      <c r="QQS482" s="329"/>
      <c r="QQT482" s="329"/>
      <c r="QQU482" s="329"/>
      <c r="QQV482" s="329"/>
      <c r="QQW482" s="329"/>
      <c r="QQX482" s="329"/>
      <c r="QQY482" s="329"/>
      <c r="QQZ482" s="329"/>
      <c r="QRA482" s="329"/>
      <c r="QRB482" s="329"/>
      <c r="QRC482" s="329"/>
      <c r="QRD482" s="329"/>
      <c r="QRE482" s="329"/>
      <c r="QRF482" s="329"/>
      <c r="QRG482" s="329"/>
      <c r="QRH482" s="329"/>
      <c r="QRI482" s="329"/>
      <c r="QRJ482" s="329"/>
      <c r="QRK482" s="329"/>
      <c r="QRL482" s="329"/>
      <c r="QRM482" s="329"/>
      <c r="QRN482" s="329"/>
      <c r="QRO482" s="329"/>
      <c r="QRP482" s="329"/>
      <c r="QRQ482" s="329"/>
      <c r="QRR482" s="329"/>
      <c r="QRS482" s="329"/>
      <c r="QRT482" s="329"/>
      <c r="QRU482" s="329"/>
      <c r="QRV482" s="329"/>
      <c r="QRW482" s="329"/>
      <c r="QRX482" s="329"/>
      <c r="QRY482" s="329"/>
      <c r="QRZ482" s="329"/>
      <c r="QSA482" s="329"/>
      <c r="QSB482" s="329"/>
      <c r="QSC482" s="329"/>
      <c r="QSD482" s="329"/>
      <c r="QSE482" s="329"/>
      <c r="QSF482" s="329"/>
      <c r="QSG482" s="329"/>
      <c r="QSH482" s="329"/>
      <c r="QSI482" s="329"/>
      <c r="QSJ482" s="329"/>
      <c r="QSK482" s="329"/>
      <c r="QSL482" s="329"/>
      <c r="QSM482" s="329"/>
      <c r="QSN482" s="329"/>
      <c r="QSO482" s="329"/>
      <c r="QSP482" s="329"/>
      <c r="QSQ482" s="329"/>
      <c r="QSR482" s="329"/>
      <c r="QSS482" s="329"/>
      <c r="QST482" s="329"/>
      <c r="QSU482" s="329"/>
      <c r="QSV482" s="329"/>
      <c r="QSW482" s="329"/>
      <c r="QSX482" s="329"/>
      <c r="QSY482" s="329"/>
      <c r="QSZ482" s="329"/>
      <c r="QTA482" s="329"/>
      <c r="QTB482" s="329"/>
      <c r="QTC482" s="329"/>
      <c r="QTD482" s="329"/>
      <c r="QTE482" s="329"/>
      <c r="QTF482" s="329"/>
      <c r="QTG482" s="329"/>
      <c r="QTH482" s="329"/>
      <c r="QTI482" s="329"/>
      <c r="QTJ482" s="329"/>
      <c r="QTK482" s="329"/>
      <c r="QTL482" s="329"/>
      <c r="QTM482" s="329"/>
      <c r="QTN482" s="329"/>
      <c r="QTO482" s="329"/>
      <c r="QTP482" s="329"/>
      <c r="QTQ482" s="329"/>
      <c r="QTR482" s="329"/>
      <c r="QTS482" s="329"/>
      <c r="QTT482" s="329"/>
      <c r="QTU482" s="329"/>
      <c r="QTV482" s="329"/>
      <c r="QTW482" s="329"/>
      <c r="QTX482" s="329"/>
      <c r="QTY482" s="329"/>
      <c r="QTZ482" s="329"/>
      <c r="QUA482" s="329"/>
      <c r="QUB482" s="329"/>
      <c r="QUC482" s="329"/>
      <c r="QUD482" s="329"/>
      <c r="QUE482" s="329"/>
      <c r="QUF482" s="329"/>
      <c r="QUG482" s="329"/>
      <c r="QUH482" s="329"/>
      <c r="QUI482" s="329"/>
      <c r="QUJ482" s="329"/>
      <c r="QUK482" s="329"/>
      <c r="QUL482" s="329"/>
      <c r="QUM482" s="329"/>
      <c r="QUN482" s="329"/>
      <c r="QUO482" s="329"/>
      <c r="QUP482" s="329"/>
      <c r="QUQ482" s="329"/>
      <c r="QUR482" s="329"/>
      <c r="QUS482" s="329"/>
      <c r="QUT482" s="329"/>
      <c r="QUU482" s="329"/>
      <c r="QUV482" s="329"/>
      <c r="QUW482" s="329"/>
      <c r="QUX482" s="329"/>
      <c r="QUY482" s="329"/>
      <c r="QUZ482" s="329"/>
      <c r="QVA482" s="329"/>
      <c r="QVB482" s="329"/>
      <c r="QVC482" s="329"/>
      <c r="QVD482" s="329"/>
      <c r="QVE482" s="329"/>
      <c r="QVF482" s="329"/>
      <c r="QVG482" s="329"/>
      <c r="QVH482" s="329"/>
      <c r="QVI482" s="329"/>
      <c r="QVJ482" s="329"/>
      <c r="QVK482" s="329"/>
      <c r="QVL482" s="329"/>
      <c r="QVM482" s="329"/>
      <c r="QVN482" s="329"/>
      <c r="QVO482" s="329"/>
      <c r="QVP482" s="329"/>
      <c r="QVQ482" s="329"/>
      <c r="QVR482" s="329"/>
      <c r="QVS482" s="329"/>
      <c r="QVT482" s="329"/>
      <c r="QVU482" s="329"/>
      <c r="QVV482" s="329"/>
      <c r="QVW482" s="329"/>
      <c r="QVX482" s="329"/>
      <c r="QVY482" s="329"/>
      <c r="QVZ482" s="329"/>
      <c r="QWA482" s="329"/>
      <c r="QWB482" s="329"/>
      <c r="QWC482" s="329"/>
      <c r="QWD482" s="329"/>
      <c r="QWE482" s="329"/>
      <c r="QWF482" s="329"/>
      <c r="QWG482" s="329"/>
      <c r="QWH482" s="329"/>
      <c r="QWI482" s="329"/>
      <c r="QWJ482" s="329"/>
      <c r="QWK482" s="329"/>
      <c r="QWL482" s="329"/>
      <c r="QWM482" s="329"/>
      <c r="QWN482" s="329"/>
      <c r="QWO482" s="329"/>
      <c r="QWP482" s="329"/>
      <c r="QWQ482" s="329"/>
      <c r="QWR482" s="329"/>
      <c r="QWS482" s="329"/>
      <c r="QWT482" s="329"/>
      <c r="QWU482" s="329"/>
      <c r="QWV482" s="329"/>
      <c r="QWW482" s="329"/>
      <c r="QWX482" s="329"/>
      <c r="QWY482" s="329"/>
      <c r="QWZ482" s="329"/>
      <c r="QXA482" s="329"/>
      <c r="QXB482" s="329"/>
      <c r="QXC482" s="329"/>
      <c r="QXD482" s="329"/>
      <c r="QXE482" s="329"/>
      <c r="QXF482" s="329"/>
      <c r="QXG482" s="329"/>
      <c r="QXH482" s="329"/>
      <c r="QXI482" s="329"/>
      <c r="QXJ482" s="329"/>
      <c r="QXK482" s="329"/>
      <c r="QXL482" s="329"/>
      <c r="QXM482" s="329"/>
      <c r="QXN482" s="329"/>
      <c r="QXO482" s="329"/>
      <c r="QXP482" s="329"/>
      <c r="QXQ482" s="329"/>
      <c r="QXR482" s="329"/>
      <c r="QXS482" s="329"/>
      <c r="QXT482" s="329"/>
      <c r="QXU482" s="329"/>
      <c r="QXV482" s="329"/>
      <c r="QXW482" s="329"/>
      <c r="QXX482" s="329"/>
      <c r="QXY482" s="329"/>
      <c r="QXZ482" s="329"/>
      <c r="QYA482" s="329"/>
      <c r="QYB482" s="329"/>
      <c r="QYC482" s="329"/>
      <c r="QYD482" s="329"/>
      <c r="QYE482" s="329"/>
      <c r="QYF482" s="329"/>
      <c r="QYG482" s="329"/>
      <c r="QYH482" s="329"/>
      <c r="QYI482" s="329"/>
      <c r="QYJ482" s="329"/>
      <c r="QYK482" s="329"/>
      <c r="QYL482" s="329"/>
      <c r="QYM482" s="329"/>
      <c r="QYN482" s="329"/>
      <c r="QYO482" s="329"/>
      <c r="QYP482" s="329"/>
      <c r="QYQ482" s="329"/>
      <c r="QYR482" s="329"/>
      <c r="QYS482" s="329"/>
      <c r="QYT482" s="329"/>
      <c r="QYU482" s="329"/>
      <c r="QYV482" s="329"/>
      <c r="QYW482" s="329"/>
      <c r="QYX482" s="329"/>
      <c r="QYY482" s="329"/>
      <c r="QYZ482" s="329"/>
      <c r="QZA482" s="329"/>
      <c r="QZB482" s="329"/>
      <c r="QZC482" s="329"/>
      <c r="QZD482" s="329"/>
      <c r="QZE482" s="329"/>
      <c r="QZF482" s="329"/>
      <c r="QZG482" s="329"/>
      <c r="QZH482" s="329"/>
      <c r="QZI482" s="329"/>
      <c r="QZJ482" s="329"/>
      <c r="QZK482" s="329"/>
      <c r="QZL482" s="329"/>
      <c r="QZM482" s="329"/>
      <c r="QZN482" s="329"/>
      <c r="QZO482" s="329"/>
      <c r="QZP482" s="329"/>
      <c r="QZQ482" s="329"/>
      <c r="QZR482" s="329"/>
      <c r="QZS482" s="329"/>
      <c r="QZT482" s="329"/>
      <c r="QZU482" s="329"/>
      <c r="QZV482" s="329"/>
      <c r="QZW482" s="329"/>
      <c r="QZX482" s="329"/>
      <c r="QZY482" s="329"/>
      <c r="QZZ482" s="329"/>
      <c r="RAA482" s="329"/>
      <c r="RAB482" s="329"/>
      <c r="RAC482" s="329"/>
      <c r="RAD482" s="329"/>
      <c r="RAE482" s="329"/>
      <c r="RAF482" s="329"/>
      <c r="RAG482" s="329"/>
      <c r="RAH482" s="329"/>
      <c r="RAI482" s="329"/>
      <c r="RAJ482" s="329"/>
      <c r="RAK482" s="329"/>
      <c r="RAL482" s="329"/>
      <c r="RAM482" s="329"/>
      <c r="RAN482" s="329"/>
      <c r="RAO482" s="329"/>
      <c r="RAP482" s="329"/>
      <c r="RAQ482" s="329"/>
      <c r="RAR482" s="329"/>
      <c r="RAS482" s="329"/>
      <c r="RAT482" s="329"/>
      <c r="RAU482" s="329"/>
      <c r="RAV482" s="329"/>
      <c r="RAW482" s="329"/>
      <c r="RAX482" s="329"/>
      <c r="RAY482" s="329"/>
      <c r="RAZ482" s="329"/>
      <c r="RBA482" s="329"/>
      <c r="RBB482" s="329"/>
      <c r="RBC482" s="329"/>
      <c r="RBD482" s="329"/>
      <c r="RBE482" s="329"/>
      <c r="RBF482" s="329"/>
      <c r="RBG482" s="329"/>
      <c r="RBH482" s="329"/>
      <c r="RBI482" s="329"/>
      <c r="RBJ482" s="329"/>
      <c r="RBK482" s="329"/>
      <c r="RBL482" s="329"/>
      <c r="RBM482" s="329"/>
      <c r="RBN482" s="329"/>
      <c r="RBO482" s="329"/>
      <c r="RBP482" s="329"/>
      <c r="RBQ482" s="329"/>
      <c r="RBR482" s="329"/>
      <c r="RBS482" s="329"/>
      <c r="RBT482" s="329"/>
      <c r="RBU482" s="329"/>
      <c r="RBV482" s="329"/>
      <c r="RBW482" s="329"/>
      <c r="RBX482" s="329"/>
      <c r="RBY482" s="329"/>
      <c r="RBZ482" s="329"/>
      <c r="RCA482" s="329"/>
      <c r="RCB482" s="329"/>
      <c r="RCC482" s="329"/>
      <c r="RCD482" s="329"/>
      <c r="RCE482" s="329"/>
      <c r="RCF482" s="329"/>
      <c r="RCG482" s="329"/>
      <c r="RCH482" s="329"/>
      <c r="RCI482" s="329"/>
      <c r="RCJ482" s="329"/>
      <c r="RCK482" s="329"/>
      <c r="RCL482" s="329"/>
      <c r="RCM482" s="329"/>
      <c r="RCN482" s="329"/>
      <c r="RCO482" s="329"/>
      <c r="RCP482" s="329"/>
      <c r="RCQ482" s="329"/>
      <c r="RCR482" s="329"/>
      <c r="RCS482" s="329"/>
      <c r="RCT482" s="329"/>
      <c r="RCU482" s="329"/>
      <c r="RCV482" s="329"/>
      <c r="RCW482" s="329"/>
      <c r="RCX482" s="329"/>
      <c r="RCY482" s="329"/>
      <c r="RCZ482" s="329"/>
      <c r="RDA482" s="329"/>
      <c r="RDB482" s="329"/>
      <c r="RDC482" s="329"/>
      <c r="RDD482" s="329"/>
      <c r="RDE482" s="329"/>
      <c r="RDF482" s="329"/>
      <c r="RDG482" s="329"/>
      <c r="RDH482" s="329"/>
      <c r="RDI482" s="329"/>
      <c r="RDJ482" s="329"/>
      <c r="RDK482" s="329"/>
      <c r="RDL482" s="329"/>
      <c r="RDM482" s="329"/>
      <c r="RDN482" s="329"/>
      <c r="RDO482" s="329"/>
      <c r="RDP482" s="329"/>
      <c r="RDQ482" s="329"/>
      <c r="RDR482" s="329"/>
      <c r="RDS482" s="329"/>
      <c r="RDT482" s="329"/>
      <c r="RDU482" s="329"/>
      <c r="RDV482" s="329"/>
      <c r="RDW482" s="329"/>
      <c r="RDX482" s="329"/>
      <c r="RDY482" s="329"/>
      <c r="RDZ482" s="329"/>
      <c r="REA482" s="329"/>
      <c r="REB482" s="329"/>
      <c r="REC482" s="329"/>
      <c r="RED482" s="329"/>
      <c r="REE482" s="329"/>
      <c r="REF482" s="329"/>
      <c r="REG482" s="329"/>
      <c r="REH482" s="329"/>
      <c r="REI482" s="329"/>
      <c r="REJ482" s="329"/>
      <c r="REK482" s="329"/>
      <c r="REL482" s="329"/>
      <c r="REM482" s="329"/>
      <c r="REN482" s="329"/>
      <c r="REO482" s="329"/>
      <c r="REP482" s="329"/>
      <c r="REQ482" s="329"/>
      <c r="RER482" s="329"/>
      <c r="RES482" s="329"/>
      <c r="RET482" s="329"/>
      <c r="REU482" s="329"/>
      <c r="REV482" s="329"/>
      <c r="REW482" s="329"/>
      <c r="REX482" s="329"/>
      <c r="REY482" s="329"/>
      <c r="REZ482" s="329"/>
      <c r="RFA482" s="329"/>
      <c r="RFB482" s="329"/>
      <c r="RFC482" s="329"/>
      <c r="RFD482" s="329"/>
      <c r="RFE482" s="329"/>
      <c r="RFF482" s="329"/>
      <c r="RFG482" s="329"/>
      <c r="RFH482" s="329"/>
      <c r="RFI482" s="329"/>
      <c r="RFJ482" s="329"/>
      <c r="RFK482" s="329"/>
      <c r="RFL482" s="329"/>
      <c r="RFM482" s="329"/>
      <c r="RFN482" s="329"/>
      <c r="RFO482" s="329"/>
      <c r="RFP482" s="329"/>
      <c r="RFQ482" s="329"/>
      <c r="RFR482" s="329"/>
      <c r="RFS482" s="329"/>
      <c r="RFT482" s="329"/>
      <c r="RFU482" s="329"/>
      <c r="RFV482" s="329"/>
      <c r="RFW482" s="329"/>
      <c r="RFX482" s="329"/>
      <c r="RFY482" s="329"/>
      <c r="RFZ482" s="329"/>
      <c r="RGA482" s="329"/>
      <c r="RGB482" s="329"/>
      <c r="RGC482" s="329"/>
      <c r="RGD482" s="329"/>
      <c r="RGE482" s="329"/>
      <c r="RGF482" s="329"/>
      <c r="RGG482" s="329"/>
      <c r="RGH482" s="329"/>
      <c r="RGI482" s="329"/>
      <c r="RGJ482" s="329"/>
      <c r="RGK482" s="329"/>
      <c r="RGL482" s="329"/>
      <c r="RGM482" s="329"/>
      <c r="RGN482" s="329"/>
      <c r="RGO482" s="329"/>
      <c r="RGP482" s="329"/>
      <c r="RGQ482" s="329"/>
      <c r="RGR482" s="329"/>
      <c r="RGS482" s="329"/>
      <c r="RGT482" s="329"/>
      <c r="RGU482" s="329"/>
      <c r="RGV482" s="329"/>
      <c r="RGW482" s="329"/>
      <c r="RGX482" s="329"/>
      <c r="RGY482" s="329"/>
      <c r="RGZ482" s="329"/>
      <c r="RHA482" s="329"/>
      <c r="RHB482" s="329"/>
      <c r="RHC482" s="329"/>
      <c r="RHD482" s="329"/>
      <c r="RHE482" s="329"/>
      <c r="RHF482" s="329"/>
      <c r="RHG482" s="329"/>
      <c r="RHH482" s="329"/>
      <c r="RHI482" s="329"/>
      <c r="RHJ482" s="329"/>
      <c r="RHK482" s="329"/>
      <c r="RHL482" s="329"/>
      <c r="RHM482" s="329"/>
      <c r="RHN482" s="329"/>
      <c r="RHO482" s="329"/>
      <c r="RHP482" s="329"/>
      <c r="RHQ482" s="329"/>
      <c r="RHR482" s="329"/>
      <c r="RHS482" s="329"/>
      <c r="RHT482" s="329"/>
      <c r="RHU482" s="329"/>
      <c r="RHV482" s="329"/>
      <c r="RHW482" s="329"/>
      <c r="RHX482" s="329"/>
      <c r="RHY482" s="329"/>
      <c r="RHZ482" s="329"/>
      <c r="RIA482" s="329"/>
      <c r="RIB482" s="329"/>
      <c r="RIC482" s="329"/>
      <c r="RID482" s="329"/>
      <c r="RIE482" s="329"/>
      <c r="RIF482" s="329"/>
      <c r="RIG482" s="329"/>
      <c r="RIH482" s="329"/>
      <c r="RII482" s="329"/>
      <c r="RIJ482" s="329"/>
      <c r="RIK482" s="329"/>
      <c r="RIL482" s="329"/>
      <c r="RIM482" s="329"/>
      <c r="RIN482" s="329"/>
      <c r="RIO482" s="329"/>
      <c r="RIP482" s="329"/>
      <c r="RIQ482" s="329"/>
      <c r="RIR482" s="329"/>
      <c r="RIS482" s="329"/>
      <c r="RIT482" s="329"/>
      <c r="RIU482" s="329"/>
      <c r="RIV482" s="329"/>
      <c r="RIW482" s="329"/>
      <c r="RIX482" s="329"/>
      <c r="RIY482" s="329"/>
      <c r="RIZ482" s="329"/>
      <c r="RJA482" s="329"/>
      <c r="RJB482" s="329"/>
      <c r="RJC482" s="329"/>
      <c r="RJD482" s="329"/>
      <c r="RJE482" s="329"/>
      <c r="RJF482" s="329"/>
      <c r="RJG482" s="329"/>
      <c r="RJH482" s="329"/>
      <c r="RJI482" s="329"/>
      <c r="RJJ482" s="329"/>
      <c r="RJK482" s="329"/>
      <c r="RJL482" s="329"/>
      <c r="RJM482" s="329"/>
      <c r="RJN482" s="329"/>
      <c r="RJO482" s="329"/>
      <c r="RJP482" s="329"/>
      <c r="RJQ482" s="329"/>
      <c r="RJR482" s="329"/>
      <c r="RJS482" s="329"/>
      <c r="RJT482" s="329"/>
      <c r="RJU482" s="329"/>
      <c r="RJV482" s="329"/>
      <c r="RJW482" s="329"/>
      <c r="RJX482" s="329"/>
      <c r="RJY482" s="329"/>
      <c r="RJZ482" s="329"/>
      <c r="RKA482" s="329"/>
      <c r="RKB482" s="329"/>
      <c r="RKC482" s="329"/>
      <c r="RKD482" s="329"/>
      <c r="RKE482" s="329"/>
      <c r="RKF482" s="329"/>
      <c r="RKG482" s="329"/>
      <c r="RKH482" s="329"/>
      <c r="RKI482" s="329"/>
      <c r="RKJ482" s="329"/>
      <c r="RKK482" s="329"/>
      <c r="RKL482" s="329"/>
      <c r="RKM482" s="329"/>
      <c r="RKN482" s="329"/>
      <c r="RKO482" s="329"/>
      <c r="RKP482" s="329"/>
      <c r="RKQ482" s="329"/>
      <c r="RKR482" s="329"/>
      <c r="RKS482" s="329"/>
      <c r="RKT482" s="329"/>
      <c r="RKU482" s="329"/>
      <c r="RKV482" s="329"/>
      <c r="RKW482" s="329"/>
      <c r="RKX482" s="329"/>
      <c r="RKY482" s="329"/>
      <c r="RKZ482" s="329"/>
      <c r="RLA482" s="329"/>
      <c r="RLB482" s="329"/>
      <c r="RLC482" s="329"/>
      <c r="RLD482" s="329"/>
      <c r="RLE482" s="329"/>
      <c r="RLF482" s="329"/>
      <c r="RLG482" s="329"/>
      <c r="RLH482" s="329"/>
      <c r="RLI482" s="329"/>
      <c r="RLJ482" s="329"/>
      <c r="RLK482" s="329"/>
      <c r="RLL482" s="329"/>
      <c r="RLM482" s="329"/>
      <c r="RLN482" s="329"/>
      <c r="RLO482" s="329"/>
      <c r="RLP482" s="329"/>
      <c r="RLQ482" s="329"/>
      <c r="RLR482" s="329"/>
      <c r="RLS482" s="329"/>
      <c r="RLT482" s="329"/>
      <c r="RLU482" s="329"/>
      <c r="RLV482" s="329"/>
      <c r="RLW482" s="329"/>
      <c r="RLX482" s="329"/>
      <c r="RLY482" s="329"/>
      <c r="RLZ482" s="329"/>
      <c r="RMA482" s="329"/>
      <c r="RMB482" s="329"/>
      <c r="RMC482" s="329"/>
      <c r="RMD482" s="329"/>
      <c r="RME482" s="329"/>
      <c r="RMF482" s="329"/>
      <c r="RMG482" s="329"/>
      <c r="RMH482" s="329"/>
      <c r="RMI482" s="329"/>
      <c r="RMJ482" s="329"/>
      <c r="RMK482" s="329"/>
      <c r="RML482" s="329"/>
      <c r="RMM482" s="329"/>
      <c r="RMN482" s="329"/>
      <c r="RMO482" s="329"/>
      <c r="RMP482" s="329"/>
      <c r="RMQ482" s="329"/>
      <c r="RMR482" s="329"/>
      <c r="RMS482" s="329"/>
      <c r="RMT482" s="329"/>
      <c r="RMU482" s="329"/>
      <c r="RMV482" s="329"/>
      <c r="RMW482" s="329"/>
      <c r="RMX482" s="329"/>
      <c r="RMY482" s="329"/>
      <c r="RMZ482" s="329"/>
      <c r="RNA482" s="329"/>
      <c r="RNB482" s="329"/>
      <c r="RNC482" s="329"/>
      <c r="RND482" s="329"/>
      <c r="RNE482" s="329"/>
      <c r="RNF482" s="329"/>
      <c r="RNG482" s="329"/>
      <c r="RNH482" s="329"/>
      <c r="RNI482" s="329"/>
      <c r="RNJ482" s="329"/>
      <c r="RNK482" s="329"/>
      <c r="RNL482" s="329"/>
      <c r="RNM482" s="329"/>
      <c r="RNN482" s="329"/>
      <c r="RNO482" s="329"/>
      <c r="RNP482" s="329"/>
      <c r="RNQ482" s="329"/>
      <c r="RNR482" s="329"/>
      <c r="RNS482" s="329"/>
      <c r="RNT482" s="329"/>
      <c r="RNU482" s="329"/>
      <c r="RNV482" s="329"/>
      <c r="RNW482" s="329"/>
      <c r="RNX482" s="329"/>
      <c r="RNY482" s="329"/>
      <c r="RNZ482" s="329"/>
      <c r="ROA482" s="329"/>
      <c r="ROB482" s="329"/>
      <c r="ROC482" s="329"/>
      <c r="ROD482" s="329"/>
      <c r="ROE482" s="329"/>
      <c r="ROF482" s="329"/>
      <c r="ROG482" s="329"/>
      <c r="ROH482" s="329"/>
      <c r="ROI482" s="329"/>
      <c r="ROJ482" s="329"/>
      <c r="ROK482" s="329"/>
      <c r="ROL482" s="329"/>
      <c r="ROM482" s="329"/>
      <c r="RON482" s="329"/>
      <c r="ROO482" s="329"/>
      <c r="ROP482" s="329"/>
      <c r="ROQ482" s="329"/>
      <c r="ROR482" s="329"/>
      <c r="ROS482" s="329"/>
      <c r="ROT482" s="329"/>
      <c r="ROU482" s="329"/>
      <c r="ROV482" s="329"/>
      <c r="ROW482" s="329"/>
      <c r="ROX482" s="329"/>
      <c r="ROY482" s="329"/>
      <c r="ROZ482" s="329"/>
      <c r="RPA482" s="329"/>
      <c r="RPB482" s="329"/>
      <c r="RPC482" s="329"/>
      <c r="RPD482" s="329"/>
      <c r="RPE482" s="329"/>
      <c r="RPF482" s="329"/>
      <c r="RPG482" s="329"/>
      <c r="RPH482" s="329"/>
      <c r="RPI482" s="329"/>
      <c r="RPJ482" s="329"/>
      <c r="RPK482" s="329"/>
      <c r="RPL482" s="329"/>
      <c r="RPM482" s="329"/>
      <c r="RPN482" s="329"/>
      <c r="RPO482" s="329"/>
      <c r="RPP482" s="329"/>
      <c r="RPQ482" s="329"/>
      <c r="RPR482" s="329"/>
      <c r="RPS482" s="329"/>
      <c r="RPT482" s="329"/>
      <c r="RPU482" s="329"/>
      <c r="RPV482" s="329"/>
      <c r="RPW482" s="329"/>
      <c r="RPX482" s="329"/>
      <c r="RPY482" s="329"/>
      <c r="RPZ482" s="329"/>
      <c r="RQA482" s="329"/>
      <c r="RQB482" s="329"/>
      <c r="RQC482" s="329"/>
      <c r="RQD482" s="329"/>
      <c r="RQE482" s="329"/>
      <c r="RQF482" s="329"/>
      <c r="RQG482" s="329"/>
      <c r="RQH482" s="329"/>
      <c r="RQI482" s="329"/>
      <c r="RQJ482" s="329"/>
      <c r="RQK482" s="329"/>
      <c r="RQL482" s="329"/>
      <c r="RQM482" s="329"/>
      <c r="RQN482" s="329"/>
      <c r="RQO482" s="329"/>
      <c r="RQP482" s="329"/>
      <c r="RQQ482" s="329"/>
      <c r="RQR482" s="329"/>
      <c r="RQS482" s="329"/>
      <c r="RQT482" s="329"/>
      <c r="RQU482" s="329"/>
      <c r="RQV482" s="329"/>
      <c r="RQW482" s="329"/>
      <c r="RQX482" s="329"/>
      <c r="RQY482" s="329"/>
      <c r="RQZ482" s="329"/>
      <c r="RRA482" s="329"/>
      <c r="RRB482" s="329"/>
      <c r="RRC482" s="329"/>
      <c r="RRD482" s="329"/>
      <c r="RRE482" s="329"/>
      <c r="RRF482" s="329"/>
      <c r="RRG482" s="329"/>
      <c r="RRH482" s="329"/>
      <c r="RRI482" s="329"/>
      <c r="RRJ482" s="329"/>
      <c r="RRK482" s="329"/>
      <c r="RRL482" s="329"/>
      <c r="RRM482" s="329"/>
      <c r="RRN482" s="329"/>
      <c r="RRO482" s="329"/>
      <c r="RRP482" s="329"/>
      <c r="RRQ482" s="329"/>
      <c r="RRR482" s="329"/>
      <c r="RRS482" s="329"/>
      <c r="RRT482" s="329"/>
      <c r="RRU482" s="329"/>
      <c r="RRV482" s="329"/>
      <c r="RRW482" s="329"/>
      <c r="RRX482" s="329"/>
      <c r="RRY482" s="329"/>
      <c r="RRZ482" s="329"/>
      <c r="RSA482" s="329"/>
      <c r="RSB482" s="329"/>
      <c r="RSC482" s="329"/>
      <c r="RSD482" s="329"/>
      <c r="RSE482" s="329"/>
      <c r="RSF482" s="329"/>
      <c r="RSG482" s="329"/>
      <c r="RSH482" s="329"/>
      <c r="RSI482" s="329"/>
      <c r="RSJ482" s="329"/>
      <c r="RSK482" s="329"/>
      <c r="RSL482" s="329"/>
      <c r="RSM482" s="329"/>
      <c r="RSN482" s="329"/>
      <c r="RSO482" s="329"/>
      <c r="RSP482" s="329"/>
      <c r="RSQ482" s="329"/>
      <c r="RSR482" s="329"/>
      <c r="RSS482" s="329"/>
      <c r="RST482" s="329"/>
      <c r="RSU482" s="329"/>
      <c r="RSV482" s="329"/>
      <c r="RSW482" s="329"/>
      <c r="RSX482" s="329"/>
      <c r="RSY482" s="329"/>
      <c r="RSZ482" s="329"/>
      <c r="RTA482" s="329"/>
      <c r="RTB482" s="329"/>
      <c r="RTC482" s="329"/>
      <c r="RTD482" s="329"/>
      <c r="RTE482" s="329"/>
      <c r="RTF482" s="329"/>
      <c r="RTG482" s="329"/>
      <c r="RTH482" s="329"/>
      <c r="RTI482" s="329"/>
      <c r="RTJ482" s="329"/>
      <c r="RTK482" s="329"/>
      <c r="RTL482" s="329"/>
      <c r="RTM482" s="329"/>
      <c r="RTN482" s="329"/>
      <c r="RTO482" s="329"/>
      <c r="RTP482" s="329"/>
      <c r="RTQ482" s="329"/>
      <c r="RTR482" s="329"/>
      <c r="RTS482" s="329"/>
      <c r="RTT482" s="329"/>
      <c r="RTU482" s="329"/>
      <c r="RTV482" s="329"/>
      <c r="RTW482" s="329"/>
      <c r="RTX482" s="329"/>
      <c r="RTY482" s="329"/>
      <c r="RTZ482" s="329"/>
      <c r="RUA482" s="329"/>
      <c r="RUB482" s="329"/>
      <c r="RUC482" s="329"/>
      <c r="RUD482" s="329"/>
      <c r="RUE482" s="329"/>
      <c r="RUF482" s="329"/>
      <c r="RUG482" s="329"/>
      <c r="RUH482" s="329"/>
      <c r="RUI482" s="329"/>
      <c r="RUJ482" s="329"/>
      <c r="RUK482" s="329"/>
      <c r="RUL482" s="329"/>
      <c r="RUM482" s="329"/>
      <c r="RUN482" s="329"/>
      <c r="RUO482" s="329"/>
      <c r="RUP482" s="329"/>
      <c r="RUQ482" s="329"/>
      <c r="RUR482" s="329"/>
      <c r="RUS482" s="329"/>
      <c r="RUT482" s="329"/>
      <c r="RUU482" s="329"/>
      <c r="RUV482" s="329"/>
      <c r="RUW482" s="329"/>
      <c r="RUX482" s="329"/>
      <c r="RUY482" s="329"/>
      <c r="RUZ482" s="329"/>
      <c r="RVA482" s="329"/>
      <c r="RVB482" s="329"/>
      <c r="RVC482" s="329"/>
      <c r="RVD482" s="329"/>
      <c r="RVE482" s="329"/>
      <c r="RVF482" s="329"/>
      <c r="RVG482" s="329"/>
      <c r="RVH482" s="329"/>
      <c r="RVI482" s="329"/>
      <c r="RVJ482" s="329"/>
      <c r="RVK482" s="329"/>
      <c r="RVL482" s="329"/>
      <c r="RVM482" s="329"/>
      <c r="RVN482" s="329"/>
      <c r="RVO482" s="329"/>
      <c r="RVP482" s="329"/>
      <c r="RVQ482" s="329"/>
      <c r="RVR482" s="329"/>
      <c r="RVS482" s="329"/>
      <c r="RVT482" s="329"/>
      <c r="RVU482" s="329"/>
      <c r="RVV482" s="329"/>
      <c r="RVW482" s="329"/>
      <c r="RVX482" s="329"/>
      <c r="RVY482" s="329"/>
      <c r="RVZ482" s="329"/>
      <c r="RWA482" s="329"/>
      <c r="RWB482" s="329"/>
      <c r="RWC482" s="329"/>
      <c r="RWD482" s="329"/>
      <c r="RWE482" s="329"/>
      <c r="RWF482" s="329"/>
      <c r="RWG482" s="329"/>
      <c r="RWH482" s="329"/>
      <c r="RWI482" s="329"/>
      <c r="RWJ482" s="329"/>
      <c r="RWK482" s="329"/>
      <c r="RWL482" s="329"/>
      <c r="RWM482" s="329"/>
      <c r="RWN482" s="329"/>
      <c r="RWO482" s="329"/>
      <c r="RWP482" s="329"/>
      <c r="RWQ482" s="329"/>
      <c r="RWR482" s="329"/>
      <c r="RWS482" s="329"/>
      <c r="RWT482" s="329"/>
      <c r="RWU482" s="329"/>
      <c r="RWV482" s="329"/>
      <c r="RWW482" s="329"/>
      <c r="RWX482" s="329"/>
      <c r="RWY482" s="329"/>
      <c r="RWZ482" s="329"/>
      <c r="RXA482" s="329"/>
      <c r="RXB482" s="329"/>
      <c r="RXC482" s="329"/>
      <c r="RXD482" s="329"/>
      <c r="RXE482" s="329"/>
      <c r="RXF482" s="329"/>
      <c r="RXG482" s="329"/>
      <c r="RXH482" s="329"/>
      <c r="RXI482" s="329"/>
      <c r="RXJ482" s="329"/>
      <c r="RXK482" s="329"/>
      <c r="RXL482" s="329"/>
      <c r="RXM482" s="329"/>
      <c r="RXN482" s="329"/>
      <c r="RXO482" s="329"/>
      <c r="RXP482" s="329"/>
      <c r="RXQ482" s="329"/>
      <c r="RXR482" s="329"/>
      <c r="RXS482" s="329"/>
      <c r="RXT482" s="329"/>
      <c r="RXU482" s="329"/>
      <c r="RXV482" s="329"/>
      <c r="RXW482" s="329"/>
      <c r="RXX482" s="329"/>
      <c r="RXY482" s="329"/>
      <c r="RXZ482" s="329"/>
      <c r="RYA482" s="329"/>
      <c r="RYB482" s="329"/>
      <c r="RYC482" s="329"/>
      <c r="RYD482" s="329"/>
      <c r="RYE482" s="329"/>
      <c r="RYF482" s="329"/>
      <c r="RYG482" s="329"/>
      <c r="RYH482" s="329"/>
      <c r="RYI482" s="329"/>
      <c r="RYJ482" s="329"/>
      <c r="RYK482" s="329"/>
      <c r="RYL482" s="329"/>
      <c r="RYM482" s="329"/>
      <c r="RYN482" s="329"/>
      <c r="RYO482" s="329"/>
      <c r="RYP482" s="329"/>
      <c r="RYQ482" s="329"/>
      <c r="RYR482" s="329"/>
      <c r="RYS482" s="329"/>
      <c r="RYT482" s="329"/>
      <c r="RYU482" s="329"/>
      <c r="RYV482" s="329"/>
      <c r="RYW482" s="329"/>
      <c r="RYX482" s="329"/>
      <c r="RYY482" s="329"/>
      <c r="RYZ482" s="329"/>
      <c r="RZA482" s="329"/>
      <c r="RZB482" s="329"/>
      <c r="RZC482" s="329"/>
      <c r="RZD482" s="329"/>
      <c r="RZE482" s="329"/>
      <c r="RZF482" s="329"/>
      <c r="RZG482" s="329"/>
      <c r="RZH482" s="329"/>
      <c r="RZI482" s="329"/>
      <c r="RZJ482" s="329"/>
      <c r="RZK482" s="329"/>
      <c r="RZL482" s="329"/>
      <c r="RZM482" s="329"/>
      <c r="RZN482" s="329"/>
      <c r="RZO482" s="329"/>
      <c r="RZP482" s="329"/>
      <c r="RZQ482" s="329"/>
      <c r="RZR482" s="329"/>
      <c r="RZS482" s="329"/>
      <c r="RZT482" s="329"/>
      <c r="RZU482" s="329"/>
      <c r="RZV482" s="329"/>
      <c r="RZW482" s="329"/>
      <c r="RZX482" s="329"/>
      <c r="RZY482" s="329"/>
      <c r="RZZ482" s="329"/>
      <c r="SAA482" s="329"/>
      <c r="SAB482" s="329"/>
      <c r="SAC482" s="329"/>
      <c r="SAD482" s="329"/>
      <c r="SAE482" s="329"/>
      <c r="SAF482" s="329"/>
      <c r="SAG482" s="329"/>
      <c r="SAH482" s="329"/>
      <c r="SAI482" s="329"/>
      <c r="SAJ482" s="329"/>
      <c r="SAK482" s="329"/>
      <c r="SAL482" s="329"/>
      <c r="SAM482" s="329"/>
      <c r="SAN482" s="329"/>
      <c r="SAO482" s="329"/>
      <c r="SAP482" s="329"/>
      <c r="SAQ482" s="329"/>
      <c r="SAR482" s="329"/>
      <c r="SAS482" s="329"/>
      <c r="SAT482" s="329"/>
      <c r="SAU482" s="329"/>
      <c r="SAV482" s="329"/>
      <c r="SAW482" s="329"/>
      <c r="SAX482" s="329"/>
      <c r="SAY482" s="329"/>
      <c r="SAZ482" s="329"/>
      <c r="SBA482" s="329"/>
      <c r="SBB482" s="329"/>
      <c r="SBC482" s="329"/>
      <c r="SBD482" s="329"/>
      <c r="SBE482" s="329"/>
      <c r="SBF482" s="329"/>
      <c r="SBG482" s="329"/>
      <c r="SBH482" s="329"/>
      <c r="SBI482" s="329"/>
      <c r="SBJ482" s="329"/>
      <c r="SBK482" s="329"/>
      <c r="SBL482" s="329"/>
      <c r="SBM482" s="329"/>
      <c r="SBN482" s="329"/>
      <c r="SBO482" s="329"/>
      <c r="SBP482" s="329"/>
      <c r="SBQ482" s="329"/>
      <c r="SBR482" s="329"/>
      <c r="SBS482" s="329"/>
      <c r="SBT482" s="329"/>
      <c r="SBU482" s="329"/>
      <c r="SBV482" s="329"/>
      <c r="SBW482" s="329"/>
      <c r="SBX482" s="329"/>
      <c r="SBY482" s="329"/>
      <c r="SBZ482" s="329"/>
      <c r="SCA482" s="329"/>
      <c r="SCB482" s="329"/>
      <c r="SCC482" s="329"/>
      <c r="SCD482" s="329"/>
      <c r="SCE482" s="329"/>
      <c r="SCF482" s="329"/>
      <c r="SCG482" s="329"/>
      <c r="SCH482" s="329"/>
      <c r="SCI482" s="329"/>
      <c r="SCJ482" s="329"/>
      <c r="SCK482" s="329"/>
      <c r="SCL482" s="329"/>
      <c r="SCM482" s="329"/>
      <c r="SCN482" s="329"/>
      <c r="SCO482" s="329"/>
      <c r="SCP482" s="329"/>
      <c r="SCQ482" s="329"/>
      <c r="SCR482" s="329"/>
      <c r="SCS482" s="329"/>
      <c r="SCT482" s="329"/>
      <c r="SCU482" s="329"/>
      <c r="SCV482" s="329"/>
      <c r="SCW482" s="329"/>
      <c r="SCX482" s="329"/>
      <c r="SCY482" s="329"/>
      <c r="SCZ482" s="329"/>
      <c r="SDA482" s="329"/>
      <c r="SDB482" s="329"/>
      <c r="SDC482" s="329"/>
      <c r="SDD482" s="329"/>
      <c r="SDE482" s="329"/>
      <c r="SDF482" s="329"/>
      <c r="SDG482" s="329"/>
      <c r="SDH482" s="329"/>
      <c r="SDI482" s="329"/>
      <c r="SDJ482" s="329"/>
      <c r="SDK482" s="329"/>
      <c r="SDL482" s="329"/>
      <c r="SDM482" s="329"/>
      <c r="SDN482" s="329"/>
      <c r="SDO482" s="329"/>
      <c r="SDP482" s="329"/>
      <c r="SDQ482" s="329"/>
      <c r="SDR482" s="329"/>
      <c r="SDS482" s="329"/>
      <c r="SDT482" s="329"/>
      <c r="SDU482" s="329"/>
      <c r="SDV482" s="329"/>
      <c r="SDW482" s="329"/>
      <c r="SDX482" s="329"/>
      <c r="SDY482" s="329"/>
      <c r="SDZ482" s="329"/>
      <c r="SEA482" s="329"/>
      <c r="SEB482" s="329"/>
      <c r="SEC482" s="329"/>
      <c r="SED482" s="329"/>
      <c r="SEE482" s="329"/>
      <c r="SEF482" s="329"/>
      <c r="SEG482" s="329"/>
      <c r="SEH482" s="329"/>
      <c r="SEI482" s="329"/>
      <c r="SEJ482" s="329"/>
      <c r="SEK482" s="329"/>
      <c r="SEL482" s="329"/>
      <c r="SEM482" s="329"/>
      <c r="SEN482" s="329"/>
      <c r="SEO482" s="329"/>
      <c r="SEP482" s="329"/>
      <c r="SEQ482" s="329"/>
      <c r="SER482" s="329"/>
      <c r="SES482" s="329"/>
      <c r="SET482" s="329"/>
      <c r="SEU482" s="329"/>
      <c r="SEV482" s="329"/>
      <c r="SEW482" s="329"/>
      <c r="SEX482" s="329"/>
      <c r="SEY482" s="329"/>
      <c r="SEZ482" s="329"/>
      <c r="SFA482" s="329"/>
      <c r="SFB482" s="329"/>
      <c r="SFC482" s="329"/>
      <c r="SFD482" s="329"/>
      <c r="SFE482" s="329"/>
      <c r="SFF482" s="329"/>
      <c r="SFG482" s="329"/>
      <c r="SFH482" s="329"/>
      <c r="SFI482" s="329"/>
      <c r="SFJ482" s="329"/>
      <c r="SFK482" s="329"/>
      <c r="SFL482" s="329"/>
      <c r="SFM482" s="329"/>
      <c r="SFN482" s="329"/>
      <c r="SFO482" s="329"/>
      <c r="SFP482" s="329"/>
      <c r="SFQ482" s="329"/>
      <c r="SFR482" s="329"/>
      <c r="SFS482" s="329"/>
      <c r="SFT482" s="329"/>
      <c r="SFU482" s="329"/>
      <c r="SFV482" s="329"/>
      <c r="SFW482" s="329"/>
      <c r="SFX482" s="329"/>
      <c r="SFY482" s="329"/>
      <c r="SFZ482" s="329"/>
      <c r="SGA482" s="329"/>
      <c r="SGB482" s="329"/>
      <c r="SGC482" s="329"/>
      <c r="SGD482" s="329"/>
      <c r="SGE482" s="329"/>
      <c r="SGF482" s="329"/>
      <c r="SGG482" s="329"/>
      <c r="SGH482" s="329"/>
      <c r="SGI482" s="329"/>
      <c r="SGJ482" s="329"/>
      <c r="SGK482" s="329"/>
      <c r="SGL482" s="329"/>
      <c r="SGM482" s="329"/>
      <c r="SGN482" s="329"/>
      <c r="SGO482" s="329"/>
      <c r="SGP482" s="329"/>
      <c r="SGQ482" s="329"/>
      <c r="SGR482" s="329"/>
      <c r="SGS482" s="329"/>
      <c r="SGT482" s="329"/>
      <c r="SGU482" s="329"/>
      <c r="SGV482" s="329"/>
      <c r="SGW482" s="329"/>
      <c r="SGX482" s="329"/>
      <c r="SGY482" s="329"/>
      <c r="SGZ482" s="329"/>
      <c r="SHA482" s="329"/>
      <c r="SHB482" s="329"/>
      <c r="SHC482" s="329"/>
      <c r="SHD482" s="329"/>
      <c r="SHE482" s="329"/>
      <c r="SHF482" s="329"/>
      <c r="SHG482" s="329"/>
      <c r="SHH482" s="329"/>
      <c r="SHI482" s="329"/>
      <c r="SHJ482" s="329"/>
      <c r="SHK482" s="329"/>
      <c r="SHL482" s="329"/>
      <c r="SHM482" s="329"/>
      <c r="SHN482" s="329"/>
      <c r="SHO482" s="329"/>
      <c r="SHP482" s="329"/>
      <c r="SHQ482" s="329"/>
      <c r="SHR482" s="329"/>
      <c r="SHS482" s="329"/>
      <c r="SHT482" s="329"/>
      <c r="SHU482" s="329"/>
      <c r="SHV482" s="329"/>
      <c r="SHW482" s="329"/>
      <c r="SHX482" s="329"/>
      <c r="SHY482" s="329"/>
      <c r="SHZ482" s="329"/>
      <c r="SIA482" s="329"/>
      <c r="SIB482" s="329"/>
      <c r="SIC482" s="329"/>
      <c r="SID482" s="329"/>
      <c r="SIE482" s="329"/>
      <c r="SIF482" s="329"/>
      <c r="SIG482" s="329"/>
      <c r="SIH482" s="329"/>
      <c r="SII482" s="329"/>
      <c r="SIJ482" s="329"/>
      <c r="SIK482" s="329"/>
      <c r="SIL482" s="329"/>
      <c r="SIM482" s="329"/>
      <c r="SIN482" s="329"/>
      <c r="SIO482" s="329"/>
      <c r="SIP482" s="329"/>
      <c r="SIQ482" s="329"/>
      <c r="SIR482" s="329"/>
      <c r="SIS482" s="329"/>
      <c r="SIT482" s="329"/>
      <c r="SIU482" s="329"/>
      <c r="SIV482" s="329"/>
      <c r="SIW482" s="329"/>
      <c r="SIX482" s="329"/>
      <c r="SIY482" s="329"/>
      <c r="SIZ482" s="329"/>
      <c r="SJA482" s="329"/>
      <c r="SJB482" s="329"/>
      <c r="SJC482" s="329"/>
      <c r="SJD482" s="329"/>
      <c r="SJE482" s="329"/>
      <c r="SJF482" s="329"/>
      <c r="SJG482" s="329"/>
      <c r="SJH482" s="329"/>
      <c r="SJI482" s="329"/>
      <c r="SJJ482" s="329"/>
      <c r="SJK482" s="329"/>
      <c r="SJL482" s="329"/>
      <c r="SJM482" s="329"/>
      <c r="SJN482" s="329"/>
      <c r="SJO482" s="329"/>
      <c r="SJP482" s="329"/>
      <c r="SJQ482" s="329"/>
      <c r="SJR482" s="329"/>
      <c r="SJS482" s="329"/>
      <c r="SJT482" s="329"/>
      <c r="SJU482" s="329"/>
      <c r="SJV482" s="329"/>
      <c r="SJW482" s="329"/>
      <c r="SJX482" s="329"/>
      <c r="SJY482" s="329"/>
      <c r="SJZ482" s="329"/>
      <c r="SKA482" s="329"/>
      <c r="SKB482" s="329"/>
      <c r="SKC482" s="329"/>
      <c r="SKD482" s="329"/>
      <c r="SKE482" s="329"/>
      <c r="SKF482" s="329"/>
      <c r="SKG482" s="329"/>
      <c r="SKH482" s="329"/>
      <c r="SKI482" s="329"/>
      <c r="SKJ482" s="329"/>
      <c r="SKK482" s="329"/>
      <c r="SKL482" s="329"/>
      <c r="SKM482" s="329"/>
      <c r="SKN482" s="329"/>
      <c r="SKO482" s="329"/>
      <c r="SKP482" s="329"/>
      <c r="SKQ482" s="329"/>
      <c r="SKR482" s="329"/>
      <c r="SKS482" s="329"/>
      <c r="SKT482" s="329"/>
      <c r="SKU482" s="329"/>
      <c r="SKV482" s="329"/>
      <c r="SKW482" s="329"/>
      <c r="SKX482" s="329"/>
      <c r="SKY482" s="329"/>
      <c r="SKZ482" s="329"/>
      <c r="SLA482" s="329"/>
      <c r="SLB482" s="329"/>
      <c r="SLC482" s="329"/>
      <c r="SLD482" s="329"/>
      <c r="SLE482" s="329"/>
      <c r="SLF482" s="329"/>
      <c r="SLG482" s="329"/>
      <c r="SLH482" s="329"/>
      <c r="SLI482" s="329"/>
      <c r="SLJ482" s="329"/>
      <c r="SLK482" s="329"/>
      <c r="SLL482" s="329"/>
      <c r="SLM482" s="329"/>
      <c r="SLN482" s="329"/>
      <c r="SLO482" s="329"/>
      <c r="SLP482" s="329"/>
      <c r="SLQ482" s="329"/>
      <c r="SLR482" s="329"/>
      <c r="SLS482" s="329"/>
      <c r="SLT482" s="329"/>
      <c r="SLU482" s="329"/>
      <c r="SLV482" s="329"/>
      <c r="SLW482" s="329"/>
      <c r="SLX482" s="329"/>
      <c r="SLY482" s="329"/>
      <c r="SLZ482" s="329"/>
      <c r="SMA482" s="329"/>
      <c r="SMB482" s="329"/>
      <c r="SMC482" s="329"/>
      <c r="SMD482" s="329"/>
      <c r="SME482" s="329"/>
      <c r="SMF482" s="329"/>
      <c r="SMG482" s="329"/>
      <c r="SMH482" s="329"/>
      <c r="SMI482" s="329"/>
      <c r="SMJ482" s="329"/>
      <c r="SMK482" s="329"/>
      <c r="SML482" s="329"/>
      <c r="SMM482" s="329"/>
      <c r="SMN482" s="329"/>
      <c r="SMO482" s="329"/>
      <c r="SMP482" s="329"/>
      <c r="SMQ482" s="329"/>
      <c r="SMR482" s="329"/>
      <c r="SMS482" s="329"/>
      <c r="SMT482" s="329"/>
      <c r="SMU482" s="329"/>
      <c r="SMV482" s="329"/>
      <c r="SMW482" s="329"/>
      <c r="SMX482" s="329"/>
      <c r="SMY482" s="329"/>
      <c r="SMZ482" s="329"/>
      <c r="SNA482" s="329"/>
      <c r="SNB482" s="329"/>
      <c r="SNC482" s="329"/>
      <c r="SND482" s="329"/>
      <c r="SNE482" s="329"/>
      <c r="SNF482" s="329"/>
      <c r="SNG482" s="329"/>
      <c r="SNH482" s="329"/>
      <c r="SNI482" s="329"/>
      <c r="SNJ482" s="329"/>
      <c r="SNK482" s="329"/>
      <c r="SNL482" s="329"/>
      <c r="SNM482" s="329"/>
      <c r="SNN482" s="329"/>
      <c r="SNO482" s="329"/>
      <c r="SNP482" s="329"/>
      <c r="SNQ482" s="329"/>
      <c r="SNR482" s="329"/>
      <c r="SNS482" s="329"/>
      <c r="SNT482" s="329"/>
      <c r="SNU482" s="329"/>
      <c r="SNV482" s="329"/>
      <c r="SNW482" s="329"/>
      <c r="SNX482" s="329"/>
      <c r="SNY482" s="329"/>
      <c r="SNZ482" s="329"/>
      <c r="SOA482" s="329"/>
      <c r="SOB482" s="329"/>
      <c r="SOC482" s="329"/>
      <c r="SOD482" s="329"/>
      <c r="SOE482" s="329"/>
      <c r="SOF482" s="329"/>
      <c r="SOG482" s="329"/>
      <c r="SOH482" s="329"/>
      <c r="SOI482" s="329"/>
      <c r="SOJ482" s="329"/>
      <c r="SOK482" s="329"/>
      <c r="SOL482" s="329"/>
      <c r="SOM482" s="329"/>
      <c r="SON482" s="329"/>
      <c r="SOO482" s="329"/>
      <c r="SOP482" s="329"/>
      <c r="SOQ482" s="329"/>
      <c r="SOR482" s="329"/>
      <c r="SOS482" s="329"/>
      <c r="SOT482" s="329"/>
      <c r="SOU482" s="329"/>
      <c r="SOV482" s="329"/>
      <c r="SOW482" s="329"/>
      <c r="SOX482" s="329"/>
      <c r="SOY482" s="329"/>
      <c r="SOZ482" s="329"/>
      <c r="SPA482" s="329"/>
      <c r="SPB482" s="329"/>
      <c r="SPC482" s="329"/>
      <c r="SPD482" s="329"/>
      <c r="SPE482" s="329"/>
      <c r="SPF482" s="329"/>
      <c r="SPG482" s="329"/>
      <c r="SPH482" s="329"/>
      <c r="SPI482" s="329"/>
      <c r="SPJ482" s="329"/>
      <c r="SPK482" s="329"/>
      <c r="SPL482" s="329"/>
      <c r="SPM482" s="329"/>
      <c r="SPN482" s="329"/>
      <c r="SPO482" s="329"/>
      <c r="SPP482" s="329"/>
      <c r="SPQ482" s="329"/>
      <c r="SPR482" s="329"/>
      <c r="SPS482" s="329"/>
      <c r="SPT482" s="329"/>
      <c r="SPU482" s="329"/>
      <c r="SPV482" s="329"/>
      <c r="SPW482" s="329"/>
      <c r="SPX482" s="329"/>
      <c r="SPY482" s="329"/>
      <c r="SPZ482" s="329"/>
      <c r="SQA482" s="329"/>
      <c r="SQB482" s="329"/>
      <c r="SQC482" s="329"/>
      <c r="SQD482" s="329"/>
      <c r="SQE482" s="329"/>
      <c r="SQF482" s="329"/>
      <c r="SQG482" s="329"/>
      <c r="SQH482" s="329"/>
      <c r="SQI482" s="329"/>
      <c r="SQJ482" s="329"/>
      <c r="SQK482" s="329"/>
      <c r="SQL482" s="329"/>
      <c r="SQM482" s="329"/>
      <c r="SQN482" s="329"/>
      <c r="SQO482" s="329"/>
      <c r="SQP482" s="329"/>
      <c r="SQQ482" s="329"/>
      <c r="SQR482" s="329"/>
      <c r="SQS482" s="329"/>
      <c r="SQT482" s="329"/>
      <c r="SQU482" s="329"/>
      <c r="SQV482" s="329"/>
      <c r="SQW482" s="329"/>
      <c r="SQX482" s="329"/>
      <c r="SQY482" s="329"/>
      <c r="SQZ482" s="329"/>
      <c r="SRA482" s="329"/>
      <c r="SRB482" s="329"/>
      <c r="SRC482" s="329"/>
      <c r="SRD482" s="329"/>
      <c r="SRE482" s="329"/>
      <c r="SRF482" s="329"/>
      <c r="SRG482" s="329"/>
      <c r="SRH482" s="329"/>
      <c r="SRI482" s="329"/>
      <c r="SRJ482" s="329"/>
      <c r="SRK482" s="329"/>
      <c r="SRL482" s="329"/>
      <c r="SRM482" s="329"/>
      <c r="SRN482" s="329"/>
      <c r="SRO482" s="329"/>
      <c r="SRP482" s="329"/>
      <c r="SRQ482" s="329"/>
      <c r="SRR482" s="329"/>
      <c r="SRS482" s="329"/>
      <c r="SRT482" s="329"/>
      <c r="SRU482" s="329"/>
      <c r="SRV482" s="329"/>
      <c r="SRW482" s="329"/>
      <c r="SRX482" s="329"/>
      <c r="SRY482" s="329"/>
      <c r="SRZ482" s="329"/>
      <c r="SSA482" s="329"/>
      <c r="SSB482" s="329"/>
      <c r="SSC482" s="329"/>
      <c r="SSD482" s="329"/>
      <c r="SSE482" s="329"/>
      <c r="SSF482" s="329"/>
      <c r="SSG482" s="329"/>
      <c r="SSH482" s="329"/>
      <c r="SSI482" s="329"/>
      <c r="SSJ482" s="329"/>
      <c r="SSK482" s="329"/>
      <c r="SSL482" s="329"/>
      <c r="SSM482" s="329"/>
      <c r="SSN482" s="329"/>
      <c r="SSO482" s="329"/>
      <c r="SSP482" s="329"/>
      <c r="SSQ482" s="329"/>
      <c r="SSR482" s="329"/>
      <c r="SSS482" s="329"/>
      <c r="SST482" s="329"/>
      <c r="SSU482" s="329"/>
      <c r="SSV482" s="329"/>
      <c r="SSW482" s="329"/>
      <c r="SSX482" s="329"/>
      <c r="SSY482" s="329"/>
      <c r="SSZ482" s="329"/>
      <c r="STA482" s="329"/>
      <c r="STB482" s="329"/>
      <c r="STC482" s="329"/>
      <c r="STD482" s="329"/>
      <c r="STE482" s="329"/>
      <c r="STF482" s="329"/>
      <c r="STG482" s="329"/>
      <c r="STH482" s="329"/>
      <c r="STI482" s="329"/>
      <c r="STJ482" s="329"/>
      <c r="STK482" s="329"/>
      <c r="STL482" s="329"/>
      <c r="STM482" s="329"/>
      <c r="STN482" s="329"/>
      <c r="STO482" s="329"/>
      <c r="STP482" s="329"/>
      <c r="STQ482" s="329"/>
      <c r="STR482" s="329"/>
      <c r="STS482" s="329"/>
      <c r="STT482" s="329"/>
      <c r="STU482" s="329"/>
      <c r="STV482" s="329"/>
      <c r="STW482" s="329"/>
      <c r="STX482" s="329"/>
      <c r="STY482" s="329"/>
      <c r="STZ482" s="329"/>
      <c r="SUA482" s="329"/>
      <c r="SUB482" s="329"/>
      <c r="SUC482" s="329"/>
      <c r="SUD482" s="329"/>
      <c r="SUE482" s="329"/>
      <c r="SUF482" s="329"/>
      <c r="SUG482" s="329"/>
      <c r="SUH482" s="329"/>
      <c r="SUI482" s="329"/>
      <c r="SUJ482" s="329"/>
      <c r="SUK482" s="329"/>
      <c r="SUL482" s="329"/>
      <c r="SUM482" s="329"/>
      <c r="SUN482" s="329"/>
      <c r="SUO482" s="329"/>
      <c r="SUP482" s="329"/>
      <c r="SUQ482" s="329"/>
      <c r="SUR482" s="329"/>
      <c r="SUS482" s="329"/>
      <c r="SUT482" s="329"/>
      <c r="SUU482" s="329"/>
      <c r="SUV482" s="329"/>
      <c r="SUW482" s="329"/>
      <c r="SUX482" s="329"/>
      <c r="SUY482" s="329"/>
      <c r="SUZ482" s="329"/>
      <c r="SVA482" s="329"/>
      <c r="SVB482" s="329"/>
      <c r="SVC482" s="329"/>
      <c r="SVD482" s="329"/>
      <c r="SVE482" s="329"/>
      <c r="SVF482" s="329"/>
      <c r="SVG482" s="329"/>
      <c r="SVH482" s="329"/>
      <c r="SVI482" s="329"/>
      <c r="SVJ482" s="329"/>
      <c r="SVK482" s="329"/>
      <c r="SVL482" s="329"/>
      <c r="SVM482" s="329"/>
      <c r="SVN482" s="329"/>
      <c r="SVO482" s="329"/>
      <c r="SVP482" s="329"/>
      <c r="SVQ482" s="329"/>
      <c r="SVR482" s="329"/>
      <c r="SVS482" s="329"/>
      <c r="SVT482" s="329"/>
      <c r="SVU482" s="329"/>
      <c r="SVV482" s="329"/>
      <c r="SVW482" s="329"/>
      <c r="SVX482" s="329"/>
      <c r="SVY482" s="329"/>
      <c r="SVZ482" s="329"/>
      <c r="SWA482" s="329"/>
      <c r="SWB482" s="329"/>
      <c r="SWC482" s="329"/>
      <c r="SWD482" s="329"/>
      <c r="SWE482" s="329"/>
      <c r="SWF482" s="329"/>
      <c r="SWG482" s="329"/>
      <c r="SWH482" s="329"/>
      <c r="SWI482" s="329"/>
      <c r="SWJ482" s="329"/>
      <c r="SWK482" s="329"/>
      <c r="SWL482" s="329"/>
      <c r="SWM482" s="329"/>
      <c r="SWN482" s="329"/>
      <c r="SWO482" s="329"/>
      <c r="SWP482" s="329"/>
      <c r="SWQ482" s="329"/>
      <c r="SWR482" s="329"/>
      <c r="SWS482" s="329"/>
      <c r="SWT482" s="329"/>
      <c r="SWU482" s="329"/>
      <c r="SWV482" s="329"/>
      <c r="SWW482" s="329"/>
      <c r="SWX482" s="329"/>
      <c r="SWY482" s="329"/>
      <c r="SWZ482" s="329"/>
      <c r="SXA482" s="329"/>
      <c r="SXB482" s="329"/>
      <c r="SXC482" s="329"/>
      <c r="SXD482" s="329"/>
      <c r="SXE482" s="329"/>
      <c r="SXF482" s="329"/>
      <c r="SXG482" s="329"/>
      <c r="SXH482" s="329"/>
      <c r="SXI482" s="329"/>
      <c r="SXJ482" s="329"/>
      <c r="SXK482" s="329"/>
      <c r="SXL482" s="329"/>
      <c r="SXM482" s="329"/>
      <c r="SXN482" s="329"/>
      <c r="SXO482" s="329"/>
      <c r="SXP482" s="329"/>
      <c r="SXQ482" s="329"/>
      <c r="SXR482" s="329"/>
      <c r="SXS482" s="329"/>
      <c r="SXT482" s="329"/>
      <c r="SXU482" s="329"/>
      <c r="SXV482" s="329"/>
      <c r="SXW482" s="329"/>
      <c r="SXX482" s="329"/>
      <c r="SXY482" s="329"/>
      <c r="SXZ482" s="329"/>
      <c r="SYA482" s="329"/>
      <c r="SYB482" s="329"/>
      <c r="SYC482" s="329"/>
      <c r="SYD482" s="329"/>
      <c r="SYE482" s="329"/>
      <c r="SYF482" s="329"/>
      <c r="SYG482" s="329"/>
      <c r="SYH482" s="329"/>
      <c r="SYI482" s="329"/>
      <c r="SYJ482" s="329"/>
      <c r="SYK482" s="329"/>
      <c r="SYL482" s="329"/>
      <c r="SYM482" s="329"/>
      <c r="SYN482" s="329"/>
      <c r="SYO482" s="329"/>
      <c r="SYP482" s="329"/>
      <c r="SYQ482" s="329"/>
      <c r="SYR482" s="329"/>
      <c r="SYS482" s="329"/>
      <c r="SYT482" s="329"/>
      <c r="SYU482" s="329"/>
      <c r="SYV482" s="329"/>
      <c r="SYW482" s="329"/>
      <c r="SYX482" s="329"/>
      <c r="SYY482" s="329"/>
      <c r="SYZ482" s="329"/>
      <c r="SZA482" s="329"/>
      <c r="SZB482" s="329"/>
      <c r="SZC482" s="329"/>
      <c r="SZD482" s="329"/>
      <c r="SZE482" s="329"/>
      <c r="SZF482" s="329"/>
      <c r="SZG482" s="329"/>
      <c r="SZH482" s="329"/>
      <c r="SZI482" s="329"/>
      <c r="SZJ482" s="329"/>
      <c r="SZK482" s="329"/>
      <c r="SZL482" s="329"/>
      <c r="SZM482" s="329"/>
      <c r="SZN482" s="329"/>
      <c r="SZO482" s="329"/>
      <c r="SZP482" s="329"/>
      <c r="SZQ482" s="329"/>
      <c r="SZR482" s="329"/>
      <c r="SZS482" s="329"/>
      <c r="SZT482" s="329"/>
      <c r="SZU482" s="329"/>
      <c r="SZV482" s="329"/>
      <c r="SZW482" s="329"/>
      <c r="SZX482" s="329"/>
      <c r="SZY482" s="329"/>
      <c r="SZZ482" s="329"/>
      <c r="TAA482" s="329"/>
      <c r="TAB482" s="329"/>
      <c r="TAC482" s="329"/>
      <c r="TAD482" s="329"/>
      <c r="TAE482" s="329"/>
      <c r="TAF482" s="329"/>
      <c r="TAG482" s="329"/>
      <c r="TAH482" s="329"/>
      <c r="TAI482" s="329"/>
      <c r="TAJ482" s="329"/>
      <c r="TAK482" s="329"/>
      <c r="TAL482" s="329"/>
      <c r="TAM482" s="329"/>
      <c r="TAN482" s="329"/>
      <c r="TAO482" s="329"/>
      <c r="TAP482" s="329"/>
      <c r="TAQ482" s="329"/>
      <c r="TAR482" s="329"/>
      <c r="TAS482" s="329"/>
      <c r="TAT482" s="329"/>
      <c r="TAU482" s="329"/>
      <c r="TAV482" s="329"/>
      <c r="TAW482" s="329"/>
      <c r="TAX482" s="329"/>
      <c r="TAY482" s="329"/>
      <c r="TAZ482" s="329"/>
      <c r="TBA482" s="329"/>
      <c r="TBB482" s="329"/>
      <c r="TBC482" s="329"/>
      <c r="TBD482" s="329"/>
      <c r="TBE482" s="329"/>
      <c r="TBF482" s="329"/>
      <c r="TBG482" s="329"/>
      <c r="TBH482" s="329"/>
      <c r="TBI482" s="329"/>
      <c r="TBJ482" s="329"/>
      <c r="TBK482" s="329"/>
      <c r="TBL482" s="329"/>
      <c r="TBM482" s="329"/>
      <c r="TBN482" s="329"/>
      <c r="TBO482" s="329"/>
      <c r="TBP482" s="329"/>
      <c r="TBQ482" s="329"/>
      <c r="TBR482" s="329"/>
      <c r="TBS482" s="329"/>
      <c r="TBT482" s="329"/>
      <c r="TBU482" s="329"/>
      <c r="TBV482" s="329"/>
      <c r="TBW482" s="329"/>
      <c r="TBX482" s="329"/>
      <c r="TBY482" s="329"/>
      <c r="TBZ482" s="329"/>
      <c r="TCA482" s="329"/>
      <c r="TCB482" s="329"/>
      <c r="TCC482" s="329"/>
      <c r="TCD482" s="329"/>
      <c r="TCE482" s="329"/>
      <c r="TCF482" s="329"/>
      <c r="TCG482" s="329"/>
      <c r="TCH482" s="329"/>
      <c r="TCI482" s="329"/>
      <c r="TCJ482" s="329"/>
      <c r="TCK482" s="329"/>
      <c r="TCL482" s="329"/>
      <c r="TCM482" s="329"/>
      <c r="TCN482" s="329"/>
      <c r="TCO482" s="329"/>
      <c r="TCP482" s="329"/>
      <c r="TCQ482" s="329"/>
      <c r="TCR482" s="329"/>
      <c r="TCS482" s="329"/>
      <c r="TCT482" s="329"/>
      <c r="TCU482" s="329"/>
      <c r="TCV482" s="329"/>
      <c r="TCW482" s="329"/>
      <c r="TCX482" s="329"/>
      <c r="TCY482" s="329"/>
      <c r="TCZ482" s="329"/>
      <c r="TDA482" s="329"/>
      <c r="TDB482" s="329"/>
      <c r="TDC482" s="329"/>
      <c r="TDD482" s="329"/>
      <c r="TDE482" s="329"/>
      <c r="TDF482" s="329"/>
      <c r="TDG482" s="329"/>
      <c r="TDH482" s="329"/>
      <c r="TDI482" s="329"/>
      <c r="TDJ482" s="329"/>
      <c r="TDK482" s="329"/>
      <c r="TDL482" s="329"/>
      <c r="TDM482" s="329"/>
      <c r="TDN482" s="329"/>
      <c r="TDO482" s="329"/>
      <c r="TDP482" s="329"/>
      <c r="TDQ482" s="329"/>
      <c r="TDR482" s="329"/>
      <c r="TDS482" s="329"/>
      <c r="TDT482" s="329"/>
      <c r="TDU482" s="329"/>
      <c r="TDV482" s="329"/>
      <c r="TDW482" s="329"/>
      <c r="TDX482" s="329"/>
      <c r="TDY482" s="329"/>
      <c r="TDZ482" s="329"/>
      <c r="TEA482" s="329"/>
      <c r="TEB482" s="329"/>
      <c r="TEC482" s="329"/>
      <c r="TED482" s="329"/>
      <c r="TEE482" s="329"/>
      <c r="TEF482" s="329"/>
      <c r="TEG482" s="329"/>
      <c r="TEH482" s="329"/>
      <c r="TEI482" s="329"/>
      <c r="TEJ482" s="329"/>
      <c r="TEK482" s="329"/>
      <c r="TEL482" s="329"/>
      <c r="TEM482" s="329"/>
      <c r="TEN482" s="329"/>
      <c r="TEO482" s="329"/>
      <c r="TEP482" s="329"/>
      <c r="TEQ482" s="329"/>
      <c r="TER482" s="329"/>
      <c r="TES482" s="329"/>
      <c r="TET482" s="329"/>
      <c r="TEU482" s="329"/>
      <c r="TEV482" s="329"/>
      <c r="TEW482" s="329"/>
      <c r="TEX482" s="329"/>
      <c r="TEY482" s="329"/>
      <c r="TEZ482" s="329"/>
      <c r="TFA482" s="329"/>
      <c r="TFB482" s="329"/>
      <c r="TFC482" s="329"/>
      <c r="TFD482" s="329"/>
      <c r="TFE482" s="329"/>
      <c r="TFF482" s="329"/>
      <c r="TFG482" s="329"/>
      <c r="TFH482" s="329"/>
      <c r="TFI482" s="329"/>
      <c r="TFJ482" s="329"/>
      <c r="TFK482" s="329"/>
      <c r="TFL482" s="329"/>
      <c r="TFM482" s="329"/>
      <c r="TFN482" s="329"/>
      <c r="TFO482" s="329"/>
      <c r="TFP482" s="329"/>
      <c r="TFQ482" s="329"/>
      <c r="TFR482" s="329"/>
      <c r="TFS482" s="329"/>
      <c r="TFT482" s="329"/>
      <c r="TFU482" s="329"/>
      <c r="TFV482" s="329"/>
      <c r="TFW482" s="329"/>
      <c r="TFX482" s="329"/>
      <c r="TFY482" s="329"/>
      <c r="TFZ482" s="329"/>
      <c r="TGA482" s="329"/>
      <c r="TGB482" s="329"/>
      <c r="TGC482" s="329"/>
      <c r="TGD482" s="329"/>
      <c r="TGE482" s="329"/>
      <c r="TGF482" s="329"/>
      <c r="TGG482" s="329"/>
      <c r="TGH482" s="329"/>
      <c r="TGI482" s="329"/>
      <c r="TGJ482" s="329"/>
      <c r="TGK482" s="329"/>
      <c r="TGL482" s="329"/>
      <c r="TGM482" s="329"/>
      <c r="TGN482" s="329"/>
      <c r="TGO482" s="329"/>
      <c r="TGP482" s="329"/>
      <c r="TGQ482" s="329"/>
      <c r="TGR482" s="329"/>
      <c r="TGS482" s="329"/>
      <c r="TGT482" s="329"/>
      <c r="TGU482" s="329"/>
      <c r="TGV482" s="329"/>
      <c r="TGW482" s="329"/>
      <c r="TGX482" s="329"/>
      <c r="TGY482" s="329"/>
      <c r="TGZ482" s="329"/>
      <c r="THA482" s="329"/>
      <c r="THB482" s="329"/>
      <c r="THC482" s="329"/>
      <c r="THD482" s="329"/>
      <c r="THE482" s="329"/>
      <c r="THF482" s="329"/>
      <c r="THG482" s="329"/>
      <c r="THH482" s="329"/>
      <c r="THI482" s="329"/>
      <c r="THJ482" s="329"/>
      <c r="THK482" s="329"/>
      <c r="THL482" s="329"/>
      <c r="THM482" s="329"/>
      <c r="THN482" s="329"/>
      <c r="THO482" s="329"/>
      <c r="THP482" s="329"/>
      <c r="THQ482" s="329"/>
      <c r="THR482" s="329"/>
      <c r="THS482" s="329"/>
      <c r="THT482" s="329"/>
      <c r="THU482" s="329"/>
      <c r="THV482" s="329"/>
      <c r="THW482" s="329"/>
      <c r="THX482" s="329"/>
      <c r="THY482" s="329"/>
      <c r="THZ482" s="329"/>
      <c r="TIA482" s="329"/>
      <c r="TIB482" s="329"/>
      <c r="TIC482" s="329"/>
      <c r="TID482" s="329"/>
      <c r="TIE482" s="329"/>
      <c r="TIF482" s="329"/>
      <c r="TIG482" s="329"/>
      <c r="TIH482" s="329"/>
      <c r="TII482" s="329"/>
      <c r="TIJ482" s="329"/>
      <c r="TIK482" s="329"/>
      <c r="TIL482" s="329"/>
      <c r="TIM482" s="329"/>
      <c r="TIN482" s="329"/>
      <c r="TIO482" s="329"/>
      <c r="TIP482" s="329"/>
      <c r="TIQ482" s="329"/>
      <c r="TIR482" s="329"/>
      <c r="TIS482" s="329"/>
      <c r="TIT482" s="329"/>
      <c r="TIU482" s="329"/>
      <c r="TIV482" s="329"/>
      <c r="TIW482" s="329"/>
      <c r="TIX482" s="329"/>
      <c r="TIY482" s="329"/>
      <c r="TIZ482" s="329"/>
      <c r="TJA482" s="329"/>
      <c r="TJB482" s="329"/>
      <c r="TJC482" s="329"/>
      <c r="TJD482" s="329"/>
      <c r="TJE482" s="329"/>
      <c r="TJF482" s="329"/>
      <c r="TJG482" s="329"/>
      <c r="TJH482" s="329"/>
      <c r="TJI482" s="329"/>
      <c r="TJJ482" s="329"/>
      <c r="TJK482" s="329"/>
      <c r="TJL482" s="329"/>
      <c r="TJM482" s="329"/>
      <c r="TJN482" s="329"/>
      <c r="TJO482" s="329"/>
      <c r="TJP482" s="329"/>
      <c r="TJQ482" s="329"/>
      <c r="TJR482" s="329"/>
      <c r="TJS482" s="329"/>
      <c r="TJT482" s="329"/>
      <c r="TJU482" s="329"/>
      <c r="TJV482" s="329"/>
      <c r="TJW482" s="329"/>
      <c r="TJX482" s="329"/>
      <c r="TJY482" s="329"/>
      <c r="TJZ482" s="329"/>
      <c r="TKA482" s="329"/>
      <c r="TKB482" s="329"/>
      <c r="TKC482" s="329"/>
      <c r="TKD482" s="329"/>
      <c r="TKE482" s="329"/>
      <c r="TKF482" s="329"/>
      <c r="TKG482" s="329"/>
      <c r="TKH482" s="329"/>
      <c r="TKI482" s="329"/>
      <c r="TKJ482" s="329"/>
      <c r="TKK482" s="329"/>
      <c r="TKL482" s="329"/>
      <c r="TKM482" s="329"/>
      <c r="TKN482" s="329"/>
      <c r="TKO482" s="329"/>
      <c r="TKP482" s="329"/>
      <c r="TKQ482" s="329"/>
      <c r="TKR482" s="329"/>
      <c r="TKS482" s="329"/>
      <c r="TKT482" s="329"/>
      <c r="TKU482" s="329"/>
      <c r="TKV482" s="329"/>
      <c r="TKW482" s="329"/>
      <c r="TKX482" s="329"/>
      <c r="TKY482" s="329"/>
      <c r="TKZ482" s="329"/>
      <c r="TLA482" s="329"/>
      <c r="TLB482" s="329"/>
      <c r="TLC482" s="329"/>
      <c r="TLD482" s="329"/>
      <c r="TLE482" s="329"/>
      <c r="TLF482" s="329"/>
      <c r="TLG482" s="329"/>
      <c r="TLH482" s="329"/>
      <c r="TLI482" s="329"/>
      <c r="TLJ482" s="329"/>
      <c r="TLK482" s="329"/>
      <c r="TLL482" s="329"/>
      <c r="TLM482" s="329"/>
      <c r="TLN482" s="329"/>
      <c r="TLO482" s="329"/>
      <c r="TLP482" s="329"/>
      <c r="TLQ482" s="329"/>
      <c r="TLR482" s="329"/>
      <c r="TLS482" s="329"/>
      <c r="TLT482" s="329"/>
      <c r="TLU482" s="329"/>
      <c r="TLV482" s="329"/>
      <c r="TLW482" s="329"/>
      <c r="TLX482" s="329"/>
      <c r="TLY482" s="329"/>
      <c r="TLZ482" s="329"/>
      <c r="TMA482" s="329"/>
      <c r="TMB482" s="329"/>
      <c r="TMC482" s="329"/>
      <c r="TMD482" s="329"/>
      <c r="TME482" s="329"/>
      <c r="TMF482" s="329"/>
      <c r="TMG482" s="329"/>
      <c r="TMH482" s="329"/>
      <c r="TMI482" s="329"/>
      <c r="TMJ482" s="329"/>
      <c r="TMK482" s="329"/>
      <c r="TML482" s="329"/>
      <c r="TMM482" s="329"/>
      <c r="TMN482" s="329"/>
      <c r="TMO482" s="329"/>
      <c r="TMP482" s="329"/>
      <c r="TMQ482" s="329"/>
      <c r="TMR482" s="329"/>
      <c r="TMS482" s="329"/>
      <c r="TMT482" s="329"/>
      <c r="TMU482" s="329"/>
      <c r="TMV482" s="329"/>
      <c r="TMW482" s="329"/>
      <c r="TMX482" s="329"/>
      <c r="TMY482" s="329"/>
      <c r="TMZ482" s="329"/>
      <c r="TNA482" s="329"/>
      <c r="TNB482" s="329"/>
      <c r="TNC482" s="329"/>
      <c r="TND482" s="329"/>
      <c r="TNE482" s="329"/>
      <c r="TNF482" s="329"/>
      <c r="TNG482" s="329"/>
      <c r="TNH482" s="329"/>
      <c r="TNI482" s="329"/>
      <c r="TNJ482" s="329"/>
      <c r="TNK482" s="329"/>
      <c r="TNL482" s="329"/>
      <c r="TNM482" s="329"/>
      <c r="TNN482" s="329"/>
      <c r="TNO482" s="329"/>
      <c r="TNP482" s="329"/>
      <c r="TNQ482" s="329"/>
      <c r="TNR482" s="329"/>
      <c r="TNS482" s="329"/>
      <c r="TNT482" s="329"/>
      <c r="TNU482" s="329"/>
      <c r="TNV482" s="329"/>
      <c r="TNW482" s="329"/>
      <c r="TNX482" s="329"/>
      <c r="TNY482" s="329"/>
      <c r="TNZ482" s="329"/>
      <c r="TOA482" s="329"/>
      <c r="TOB482" s="329"/>
      <c r="TOC482" s="329"/>
      <c r="TOD482" s="329"/>
      <c r="TOE482" s="329"/>
      <c r="TOF482" s="329"/>
      <c r="TOG482" s="329"/>
      <c r="TOH482" s="329"/>
      <c r="TOI482" s="329"/>
      <c r="TOJ482" s="329"/>
      <c r="TOK482" s="329"/>
      <c r="TOL482" s="329"/>
      <c r="TOM482" s="329"/>
      <c r="TON482" s="329"/>
      <c r="TOO482" s="329"/>
      <c r="TOP482" s="329"/>
      <c r="TOQ482" s="329"/>
      <c r="TOR482" s="329"/>
      <c r="TOS482" s="329"/>
      <c r="TOT482" s="329"/>
      <c r="TOU482" s="329"/>
      <c r="TOV482" s="329"/>
      <c r="TOW482" s="329"/>
      <c r="TOX482" s="329"/>
      <c r="TOY482" s="329"/>
      <c r="TOZ482" s="329"/>
      <c r="TPA482" s="329"/>
      <c r="TPB482" s="329"/>
      <c r="TPC482" s="329"/>
      <c r="TPD482" s="329"/>
      <c r="TPE482" s="329"/>
      <c r="TPF482" s="329"/>
      <c r="TPG482" s="329"/>
      <c r="TPH482" s="329"/>
      <c r="TPI482" s="329"/>
      <c r="TPJ482" s="329"/>
      <c r="TPK482" s="329"/>
      <c r="TPL482" s="329"/>
      <c r="TPM482" s="329"/>
      <c r="TPN482" s="329"/>
      <c r="TPO482" s="329"/>
      <c r="TPP482" s="329"/>
      <c r="TPQ482" s="329"/>
      <c r="TPR482" s="329"/>
      <c r="TPS482" s="329"/>
      <c r="TPT482" s="329"/>
      <c r="TPU482" s="329"/>
      <c r="TPV482" s="329"/>
      <c r="TPW482" s="329"/>
      <c r="TPX482" s="329"/>
      <c r="TPY482" s="329"/>
      <c r="TPZ482" s="329"/>
      <c r="TQA482" s="329"/>
      <c r="TQB482" s="329"/>
      <c r="TQC482" s="329"/>
      <c r="TQD482" s="329"/>
      <c r="TQE482" s="329"/>
      <c r="TQF482" s="329"/>
      <c r="TQG482" s="329"/>
      <c r="TQH482" s="329"/>
      <c r="TQI482" s="329"/>
      <c r="TQJ482" s="329"/>
      <c r="TQK482" s="329"/>
      <c r="TQL482" s="329"/>
      <c r="TQM482" s="329"/>
      <c r="TQN482" s="329"/>
      <c r="TQO482" s="329"/>
      <c r="TQP482" s="329"/>
      <c r="TQQ482" s="329"/>
      <c r="TQR482" s="329"/>
      <c r="TQS482" s="329"/>
      <c r="TQT482" s="329"/>
      <c r="TQU482" s="329"/>
      <c r="TQV482" s="329"/>
      <c r="TQW482" s="329"/>
      <c r="TQX482" s="329"/>
      <c r="TQY482" s="329"/>
      <c r="TQZ482" s="329"/>
      <c r="TRA482" s="329"/>
      <c r="TRB482" s="329"/>
      <c r="TRC482" s="329"/>
      <c r="TRD482" s="329"/>
      <c r="TRE482" s="329"/>
      <c r="TRF482" s="329"/>
      <c r="TRG482" s="329"/>
      <c r="TRH482" s="329"/>
      <c r="TRI482" s="329"/>
      <c r="TRJ482" s="329"/>
      <c r="TRK482" s="329"/>
      <c r="TRL482" s="329"/>
      <c r="TRM482" s="329"/>
      <c r="TRN482" s="329"/>
      <c r="TRO482" s="329"/>
      <c r="TRP482" s="329"/>
      <c r="TRQ482" s="329"/>
      <c r="TRR482" s="329"/>
      <c r="TRS482" s="329"/>
      <c r="TRT482" s="329"/>
      <c r="TRU482" s="329"/>
      <c r="TRV482" s="329"/>
      <c r="TRW482" s="329"/>
      <c r="TRX482" s="329"/>
      <c r="TRY482" s="329"/>
      <c r="TRZ482" s="329"/>
      <c r="TSA482" s="329"/>
      <c r="TSB482" s="329"/>
      <c r="TSC482" s="329"/>
      <c r="TSD482" s="329"/>
      <c r="TSE482" s="329"/>
      <c r="TSF482" s="329"/>
      <c r="TSG482" s="329"/>
      <c r="TSH482" s="329"/>
      <c r="TSI482" s="329"/>
      <c r="TSJ482" s="329"/>
      <c r="TSK482" s="329"/>
      <c r="TSL482" s="329"/>
      <c r="TSM482" s="329"/>
      <c r="TSN482" s="329"/>
      <c r="TSO482" s="329"/>
      <c r="TSP482" s="329"/>
      <c r="TSQ482" s="329"/>
      <c r="TSR482" s="329"/>
      <c r="TSS482" s="329"/>
      <c r="TST482" s="329"/>
      <c r="TSU482" s="329"/>
      <c r="TSV482" s="329"/>
      <c r="TSW482" s="329"/>
      <c r="TSX482" s="329"/>
      <c r="TSY482" s="329"/>
      <c r="TSZ482" s="329"/>
      <c r="TTA482" s="329"/>
      <c r="TTB482" s="329"/>
      <c r="TTC482" s="329"/>
      <c r="TTD482" s="329"/>
      <c r="TTE482" s="329"/>
      <c r="TTF482" s="329"/>
      <c r="TTG482" s="329"/>
      <c r="TTH482" s="329"/>
      <c r="TTI482" s="329"/>
      <c r="TTJ482" s="329"/>
      <c r="TTK482" s="329"/>
      <c r="TTL482" s="329"/>
      <c r="TTM482" s="329"/>
      <c r="TTN482" s="329"/>
      <c r="TTO482" s="329"/>
      <c r="TTP482" s="329"/>
      <c r="TTQ482" s="329"/>
      <c r="TTR482" s="329"/>
      <c r="TTS482" s="329"/>
      <c r="TTT482" s="329"/>
      <c r="TTU482" s="329"/>
      <c r="TTV482" s="329"/>
      <c r="TTW482" s="329"/>
      <c r="TTX482" s="329"/>
      <c r="TTY482" s="329"/>
      <c r="TTZ482" s="329"/>
      <c r="TUA482" s="329"/>
      <c r="TUB482" s="329"/>
      <c r="TUC482" s="329"/>
      <c r="TUD482" s="329"/>
      <c r="TUE482" s="329"/>
      <c r="TUF482" s="329"/>
      <c r="TUG482" s="329"/>
      <c r="TUH482" s="329"/>
      <c r="TUI482" s="329"/>
      <c r="TUJ482" s="329"/>
      <c r="TUK482" s="329"/>
      <c r="TUL482" s="329"/>
      <c r="TUM482" s="329"/>
      <c r="TUN482" s="329"/>
      <c r="TUO482" s="329"/>
      <c r="TUP482" s="329"/>
      <c r="TUQ482" s="329"/>
      <c r="TUR482" s="329"/>
      <c r="TUS482" s="329"/>
      <c r="TUT482" s="329"/>
      <c r="TUU482" s="329"/>
      <c r="TUV482" s="329"/>
      <c r="TUW482" s="329"/>
      <c r="TUX482" s="329"/>
      <c r="TUY482" s="329"/>
      <c r="TUZ482" s="329"/>
      <c r="TVA482" s="329"/>
      <c r="TVB482" s="329"/>
      <c r="TVC482" s="329"/>
      <c r="TVD482" s="329"/>
      <c r="TVE482" s="329"/>
      <c r="TVF482" s="329"/>
      <c r="TVG482" s="329"/>
      <c r="TVH482" s="329"/>
      <c r="TVI482" s="329"/>
      <c r="TVJ482" s="329"/>
      <c r="TVK482" s="329"/>
      <c r="TVL482" s="329"/>
      <c r="TVM482" s="329"/>
      <c r="TVN482" s="329"/>
      <c r="TVO482" s="329"/>
      <c r="TVP482" s="329"/>
      <c r="TVQ482" s="329"/>
      <c r="TVR482" s="329"/>
      <c r="TVS482" s="329"/>
      <c r="TVT482" s="329"/>
      <c r="TVU482" s="329"/>
      <c r="TVV482" s="329"/>
      <c r="TVW482" s="329"/>
      <c r="TVX482" s="329"/>
      <c r="TVY482" s="329"/>
      <c r="TVZ482" s="329"/>
      <c r="TWA482" s="329"/>
      <c r="TWB482" s="329"/>
      <c r="TWC482" s="329"/>
      <c r="TWD482" s="329"/>
      <c r="TWE482" s="329"/>
      <c r="TWF482" s="329"/>
      <c r="TWG482" s="329"/>
      <c r="TWH482" s="329"/>
      <c r="TWI482" s="329"/>
      <c r="TWJ482" s="329"/>
      <c r="TWK482" s="329"/>
      <c r="TWL482" s="329"/>
      <c r="TWM482" s="329"/>
      <c r="TWN482" s="329"/>
      <c r="TWO482" s="329"/>
      <c r="TWP482" s="329"/>
      <c r="TWQ482" s="329"/>
      <c r="TWR482" s="329"/>
      <c r="TWS482" s="329"/>
      <c r="TWT482" s="329"/>
      <c r="TWU482" s="329"/>
      <c r="TWV482" s="329"/>
      <c r="TWW482" s="329"/>
      <c r="TWX482" s="329"/>
      <c r="TWY482" s="329"/>
      <c r="TWZ482" s="329"/>
      <c r="TXA482" s="329"/>
      <c r="TXB482" s="329"/>
      <c r="TXC482" s="329"/>
      <c r="TXD482" s="329"/>
      <c r="TXE482" s="329"/>
      <c r="TXF482" s="329"/>
      <c r="TXG482" s="329"/>
      <c r="TXH482" s="329"/>
      <c r="TXI482" s="329"/>
      <c r="TXJ482" s="329"/>
      <c r="TXK482" s="329"/>
      <c r="TXL482" s="329"/>
      <c r="TXM482" s="329"/>
      <c r="TXN482" s="329"/>
      <c r="TXO482" s="329"/>
      <c r="TXP482" s="329"/>
      <c r="TXQ482" s="329"/>
      <c r="TXR482" s="329"/>
      <c r="TXS482" s="329"/>
      <c r="TXT482" s="329"/>
      <c r="TXU482" s="329"/>
      <c r="TXV482" s="329"/>
      <c r="TXW482" s="329"/>
      <c r="TXX482" s="329"/>
      <c r="TXY482" s="329"/>
      <c r="TXZ482" s="329"/>
      <c r="TYA482" s="329"/>
      <c r="TYB482" s="329"/>
      <c r="TYC482" s="329"/>
      <c r="TYD482" s="329"/>
      <c r="TYE482" s="329"/>
      <c r="TYF482" s="329"/>
      <c r="TYG482" s="329"/>
      <c r="TYH482" s="329"/>
      <c r="TYI482" s="329"/>
      <c r="TYJ482" s="329"/>
      <c r="TYK482" s="329"/>
      <c r="TYL482" s="329"/>
      <c r="TYM482" s="329"/>
      <c r="TYN482" s="329"/>
      <c r="TYO482" s="329"/>
      <c r="TYP482" s="329"/>
      <c r="TYQ482" s="329"/>
      <c r="TYR482" s="329"/>
      <c r="TYS482" s="329"/>
      <c r="TYT482" s="329"/>
      <c r="TYU482" s="329"/>
      <c r="TYV482" s="329"/>
      <c r="TYW482" s="329"/>
      <c r="TYX482" s="329"/>
      <c r="TYY482" s="329"/>
      <c r="TYZ482" s="329"/>
      <c r="TZA482" s="329"/>
      <c r="TZB482" s="329"/>
      <c r="TZC482" s="329"/>
      <c r="TZD482" s="329"/>
      <c r="TZE482" s="329"/>
      <c r="TZF482" s="329"/>
      <c r="TZG482" s="329"/>
      <c r="TZH482" s="329"/>
      <c r="TZI482" s="329"/>
      <c r="TZJ482" s="329"/>
      <c r="TZK482" s="329"/>
      <c r="TZL482" s="329"/>
      <c r="TZM482" s="329"/>
      <c r="TZN482" s="329"/>
      <c r="TZO482" s="329"/>
      <c r="TZP482" s="329"/>
      <c r="TZQ482" s="329"/>
      <c r="TZR482" s="329"/>
      <c r="TZS482" s="329"/>
      <c r="TZT482" s="329"/>
      <c r="TZU482" s="329"/>
      <c r="TZV482" s="329"/>
      <c r="TZW482" s="329"/>
      <c r="TZX482" s="329"/>
      <c r="TZY482" s="329"/>
      <c r="TZZ482" s="329"/>
      <c r="UAA482" s="329"/>
      <c r="UAB482" s="329"/>
      <c r="UAC482" s="329"/>
      <c r="UAD482" s="329"/>
      <c r="UAE482" s="329"/>
      <c r="UAF482" s="329"/>
      <c r="UAG482" s="329"/>
      <c r="UAH482" s="329"/>
      <c r="UAI482" s="329"/>
      <c r="UAJ482" s="329"/>
      <c r="UAK482" s="329"/>
      <c r="UAL482" s="329"/>
      <c r="UAM482" s="329"/>
      <c r="UAN482" s="329"/>
      <c r="UAO482" s="329"/>
      <c r="UAP482" s="329"/>
      <c r="UAQ482" s="329"/>
      <c r="UAR482" s="329"/>
      <c r="UAS482" s="329"/>
      <c r="UAT482" s="329"/>
      <c r="UAU482" s="329"/>
      <c r="UAV482" s="329"/>
      <c r="UAW482" s="329"/>
      <c r="UAX482" s="329"/>
      <c r="UAY482" s="329"/>
      <c r="UAZ482" s="329"/>
      <c r="UBA482" s="329"/>
      <c r="UBB482" s="329"/>
      <c r="UBC482" s="329"/>
      <c r="UBD482" s="329"/>
      <c r="UBE482" s="329"/>
      <c r="UBF482" s="329"/>
      <c r="UBG482" s="329"/>
      <c r="UBH482" s="329"/>
      <c r="UBI482" s="329"/>
      <c r="UBJ482" s="329"/>
      <c r="UBK482" s="329"/>
      <c r="UBL482" s="329"/>
      <c r="UBM482" s="329"/>
      <c r="UBN482" s="329"/>
      <c r="UBO482" s="329"/>
      <c r="UBP482" s="329"/>
      <c r="UBQ482" s="329"/>
      <c r="UBR482" s="329"/>
      <c r="UBS482" s="329"/>
      <c r="UBT482" s="329"/>
      <c r="UBU482" s="329"/>
      <c r="UBV482" s="329"/>
      <c r="UBW482" s="329"/>
      <c r="UBX482" s="329"/>
      <c r="UBY482" s="329"/>
      <c r="UBZ482" s="329"/>
      <c r="UCA482" s="329"/>
      <c r="UCB482" s="329"/>
      <c r="UCC482" s="329"/>
      <c r="UCD482" s="329"/>
      <c r="UCE482" s="329"/>
      <c r="UCF482" s="329"/>
      <c r="UCG482" s="329"/>
      <c r="UCH482" s="329"/>
      <c r="UCI482" s="329"/>
      <c r="UCJ482" s="329"/>
      <c r="UCK482" s="329"/>
      <c r="UCL482" s="329"/>
      <c r="UCM482" s="329"/>
      <c r="UCN482" s="329"/>
      <c r="UCO482" s="329"/>
      <c r="UCP482" s="329"/>
      <c r="UCQ482" s="329"/>
      <c r="UCR482" s="329"/>
      <c r="UCS482" s="329"/>
      <c r="UCT482" s="329"/>
      <c r="UCU482" s="329"/>
      <c r="UCV482" s="329"/>
      <c r="UCW482" s="329"/>
      <c r="UCX482" s="329"/>
      <c r="UCY482" s="329"/>
      <c r="UCZ482" s="329"/>
      <c r="UDA482" s="329"/>
      <c r="UDB482" s="329"/>
      <c r="UDC482" s="329"/>
      <c r="UDD482" s="329"/>
      <c r="UDE482" s="329"/>
      <c r="UDF482" s="329"/>
      <c r="UDG482" s="329"/>
      <c r="UDH482" s="329"/>
      <c r="UDI482" s="329"/>
      <c r="UDJ482" s="329"/>
      <c r="UDK482" s="329"/>
      <c r="UDL482" s="329"/>
      <c r="UDM482" s="329"/>
      <c r="UDN482" s="329"/>
      <c r="UDO482" s="329"/>
      <c r="UDP482" s="329"/>
      <c r="UDQ482" s="329"/>
      <c r="UDR482" s="329"/>
      <c r="UDS482" s="329"/>
      <c r="UDT482" s="329"/>
      <c r="UDU482" s="329"/>
      <c r="UDV482" s="329"/>
      <c r="UDW482" s="329"/>
      <c r="UDX482" s="329"/>
      <c r="UDY482" s="329"/>
      <c r="UDZ482" s="329"/>
      <c r="UEA482" s="329"/>
      <c r="UEB482" s="329"/>
      <c r="UEC482" s="329"/>
      <c r="UED482" s="329"/>
      <c r="UEE482" s="329"/>
      <c r="UEF482" s="329"/>
      <c r="UEG482" s="329"/>
      <c r="UEH482" s="329"/>
      <c r="UEI482" s="329"/>
      <c r="UEJ482" s="329"/>
      <c r="UEK482" s="329"/>
      <c r="UEL482" s="329"/>
      <c r="UEM482" s="329"/>
      <c r="UEN482" s="329"/>
      <c r="UEO482" s="329"/>
      <c r="UEP482" s="329"/>
      <c r="UEQ482" s="329"/>
      <c r="UER482" s="329"/>
      <c r="UES482" s="329"/>
      <c r="UET482" s="329"/>
      <c r="UEU482" s="329"/>
      <c r="UEV482" s="329"/>
      <c r="UEW482" s="329"/>
      <c r="UEX482" s="329"/>
      <c r="UEY482" s="329"/>
      <c r="UEZ482" s="329"/>
      <c r="UFA482" s="329"/>
      <c r="UFB482" s="329"/>
      <c r="UFC482" s="329"/>
      <c r="UFD482" s="329"/>
      <c r="UFE482" s="329"/>
      <c r="UFF482" s="329"/>
      <c r="UFG482" s="329"/>
      <c r="UFH482" s="329"/>
      <c r="UFI482" s="329"/>
      <c r="UFJ482" s="329"/>
      <c r="UFK482" s="329"/>
      <c r="UFL482" s="329"/>
      <c r="UFM482" s="329"/>
      <c r="UFN482" s="329"/>
      <c r="UFO482" s="329"/>
      <c r="UFP482" s="329"/>
      <c r="UFQ482" s="329"/>
      <c r="UFR482" s="329"/>
      <c r="UFS482" s="329"/>
      <c r="UFT482" s="329"/>
      <c r="UFU482" s="329"/>
      <c r="UFV482" s="329"/>
      <c r="UFW482" s="329"/>
      <c r="UFX482" s="329"/>
      <c r="UFY482" s="329"/>
      <c r="UFZ482" s="329"/>
      <c r="UGA482" s="329"/>
      <c r="UGB482" s="329"/>
      <c r="UGC482" s="329"/>
      <c r="UGD482" s="329"/>
      <c r="UGE482" s="329"/>
      <c r="UGF482" s="329"/>
      <c r="UGG482" s="329"/>
      <c r="UGH482" s="329"/>
      <c r="UGI482" s="329"/>
      <c r="UGJ482" s="329"/>
      <c r="UGK482" s="329"/>
      <c r="UGL482" s="329"/>
      <c r="UGM482" s="329"/>
      <c r="UGN482" s="329"/>
      <c r="UGO482" s="329"/>
      <c r="UGP482" s="329"/>
      <c r="UGQ482" s="329"/>
      <c r="UGR482" s="329"/>
      <c r="UGS482" s="329"/>
      <c r="UGT482" s="329"/>
      <c r="UGU482" s="329"/>
      <c r="UGV482" s="329"/>
      <c r="UGW482" s="329"/>
      <c r="UGX482" s="329"/>
      <c r="UGY482" s="329"/>
      <c r="UGZ482" s="329"/>
      <c r="UHA482" s="329"/>
      <c r="UHB482" s="329"/>
      <c r="UHC482" s="329"/>
      <c r="UHD482" s="329"/>
      <c r="UHE482" s="329"/>
      <c r="UHF482" s="329"/>
      <c r="UHG482" s="329"/>
      <c r="UHH482" s="329"/>
      <c r="UHI482" s="329"/>
      <c r="UHJ482" s="329"/>
      <c r="UHK482" s="329"/>
      <c r="UHL482" s="329"/>
      <c r="UHM482" s="329"/>
      <c r="UHN482" s="329"/>
      <c r="UHO482" s="329"/>
      <c r="UHP482" s="329"/>
      <c r="UHQ482" s="329"/>
      <c r="UHR482" s="329"/>
      <c r="UHS482" s="329"/>
      <c r="UHT482" s="329"/>
      <c r="UHU482" s="329"/>
      <c r="UHV482" s="329"/>
      <c r="UHW482" s="329"/>
      <c r="UHX482" s="329"/>
      <c r="UHY482" s="329"/>
      <c r="UHZ482" s="329"/>
      <c r="UIA482" s="329"/>
      <c r="UIB482" s="329"/>
      <c r="UIC482" s="329"/>
      <c r="UID482" s="329"/>
      <c r="UIE482" s="329"/>
      <c r="UIF482" s="329"/>
      <c r="UIG482" s="329"/>
      <c r="UIH482" s="329"/>
      <c r="UII482" s="329"/>
      <c r="UIJ482" s="329"/>
      <c r="UIK482" s="329"/>
      <c r="UIL482" s="329"/>
      <c r="UIM482" s="329"/>
      <c r="UIN482" s="329"/>
      <c r="UIO482" s="329"/>
      <c r="UIP482" s="329"/>
      <c r="UIQ482" s="329"/>
      <c r="UIR482" s="329"/>
      <c r="UIS482" s="329"/>
      <c r="UIT482" s="329"/>
      <c r="UIU482" s="329"/>
      <c r="UIV482" s="329"/>
      <c r="UIW482" s="329"/>
      <c r="UIX482" s="329"/>
      <c r="UIY482" s="329"/>
      <c r="UIZ482" s="329"/>
      <c r="UJA482" s="329"/>
      <c r="UJB482" s="329"/>
      <c r="UJC482" s="329"/>
      <c r="UJD482" s="329"/>
      <c r="UJE482" s="329"/>
      <c r="UJF482" s="329"/>
      <c r="UJG482" s="329"/>
      <c r="UJH482" s="329"/>
      <c r="UJI482" s="329"/>
      <c r="UJJ482" s="329"/>
      <c r="UJK482" s="329"/>
      <c r="UJL482" s="329"/>
      <c r="UJM482" s="329"/>
      <c r="UJN482" s="329"/>
      <c r="UJO482" s="329"/>
      <c r="UJP482" s="329"/>
      <c r="UJQ482" s="329"/>
      <c r="UJR482" s="329"/>
      <c r="UJS482" s="329"/>
      <c r="UJT482" s="329"/>
      <c r="UJU482" s="329"/>
      <c r="UJV482" s="329"/>
      <c r="UJW482" s="329"/>
      <c r="UJX482" s="329"/>
      <c r="UJY482" s="329"/>
      <c r="UJZ482" s="329"/>
      <c r="UKA482" s="329"/>
      <c r="UKB482" s="329"/>
      <c r="UKC482" s="329"/>
      <c r="UKD482" s="329"/>
      <c r="UKE482" s="329"/>
      <c r="UKF482" s="329"/>
      <c r="UKG482" s="329"/>
      <c r="UKH482" s="329"/>
      <c r="UKI482" s="329"/>
      <c r="UKJ482" s="329"/>
      <c r="UKK482" s="329"/>
      <c r="UKL482" s="329"/>
      <c r="UKM482" s="329"/>
      <c r="UKN482" s="329"/>
      <c r="UKO482" s="329"/>
      <c r="UKP482" s="329"/>
      <c r="UKQ482" s="329"/>
      <c r="UKR482" s="329"/>
      <c r="UKS482" s="329"/>
      <c r="UKT482" s="329"/>
      <c r="UKU482" s="329"/>
      <c r="UKV482" s="329"/>
      <c r="UKW482" s="329"/>
      <c r="UKX482" s="329"/>
      <c r="UKY482" s="329"/>
      <c r="UKZ482" s="329"/>
      <c r="ULA482" s="329"/>
      <c r="ULB482" s="329"/>
      <c r="ULC482" s="329"/>
      <c r="ULD482" s="329"/>
      <c r="ULE482" s="329"/>
      <c r="ULF482" s="329"/>
      <c r="ULG482" s="329"/>
      <c r="ULH482" s="329"/>
      <c r="ULI482" s="329"/>
      <c r="ULJ482" s="329"/>
      <c r="ULK482" s="329"/>
      <c r="ULL482" s="329"/>
      <c r="ULM482" s="329"/>
      <c r="ULN482" s="329"/>
      <c r="ULO482" s="329"/>
      <c r="ULP482" s="329"/>
      <c r="ULQ482" s="329"/>
      <c r="ULR482" s="329"/>
      <c r="ULS482" s="329"/>
      <c r="ULT482" s="329"/>
      <c r="ULU482" s="329"/>
      <c r="ULV482" s="329"/>
      <c r="ULW482" s="329"/>
      <c r="ULX482" s="329"/>
      <c r="ULY482" s="329"/>
      <c r="ULZ482" s="329"/>
      <c r="UMA482" s="329"/>
      <c r="UMB482" s="329"/>
      <c r="UMC482" s="329"/>
      <c r="UMD482" s="329"/>
      <c r="UME482" s="329"/>
      <c r="UMF482" s="329"/>
      <c r="UMG482" s="329"/>
      <c r="UMH482" s="329"/>
      <c r="UMI482" s="329"/>
      <c r="UMJ482" s="329"/>
      <c r="UMK482" s="329"/>
      <c r="UML482" s="329"/>
      <c r="UMM482" s="329"/>
      <c r="UMN482" s="329"/>
      <c r="UMO482" s="329"/>
      <c r="UMP482" s="329"/>
      <c r="UMQ482" s="329"/>
      <c r="UMR482" s="329"/>
      <c r="UMS482" s="329"/>
      <c r="UMT482" s="329"/>
      <c r="UMU482" s="329"/>
      <c r="UMV482" s="329"/>
      <c r="UMW482" s="329"/>
      <c r="UMX482" s="329"/>
      <c r="UMY482" s="329"/>
      <c r="UMZ482" s="329"/>
      <c r="UNA482" s="329"/>
      <c r="UNB482" s="329"/>
      <c r="UNC482" s="329"/>
      <c r="UND482" s="329"/>
      <c r="UNE482" s="329"/>
      <c r="UNF482" s="329"/>
      <c r="UNG482" s="329"/>
      <c r="UNH482" s="329"/>
      <c r="UNI482" s="329"/>
      <c r="UNJ482" s="329"/>
      <c r="UNK482" s="329"/>
      <c r="UNL482" s="329"/>
      <c r="UNM482" s="329"/>
      <c r="UNN482" s="329"/>
      <c r="UNO482" s="329"/>
      <c r="UNP482" s="329"/>
      <c r="UNQ482" s="329"/>
      <c r="UNR482" s="329"/>
      <c r="UNS482" s="329"/>
      <c r="UNT482" s="329"/>
      <c r="UNU482" s="329"/>
      <c r="UNV482" s="329"/>
      <c r="UNW482" s="329"/>
      <c r="UNX482" s="329"/>
      <c r="UNY482" s="329"/>
      <c r="UNZ482" s="329"/>
      <c r="UOA482" s="329"/>
      <c r="UOB482" s="329"/>
      <c r="UOC482" s="329"/>
      <c r="UOD482" s="329"/>
      <c r="UOE482" s="329"/>
      <c r="UOF482" s="329"/>
      <c r="UOG482" s="329"/>
      <c r="UOH482" s="329"/>
      <c r="UOI482" s="329"/>
      <c r="UOJ482" s="329"/>
      <c r="UOK482" s="329"/>
      <c r="UOL482" s="329"/>
      <c r="UOM482" s="329"/>
      <c r="UON482" s="329"/>
      <c r="UOO482" s="329"/>
      <c r="UOP482" s="329"/>
      <c r="UOQ482" s="329"/>
      <c r="UOR482" s="329"/>
      <c r="UOS482" s="329"/>
      <c r="UOT482" s="329"/>
      <c r="UOU482" s="329"/>
      <c r="UOV482" s="329"/>
      <c r="UOW482" s="329"/>
      <c r="UOX482" s="329"/>
      <c r="UOY482" s="329"/>
      <c r="UOZ482" s="329"/>
      <c r="UPA482" s="329"/>
      <c r="UPB482" s="329"/>
      <c r="UPC482" s="329"/>
      <c r="UPD482" s="329"/>
      <c r="UPE482" s="329"/>
      <c r="UPF482" s="329"/>
      <c r="UPG482" s="329"/>
      <c r="UPH482" s="329"/>
      <c r="UPI482" s="329"/>
      <c r="UPJ482" s="329"/>
      <c r="UPK482" s="329"/>
      <c r="UPL482" s="329"/>
      <c r="UPM482" s="329"/>
      <c r="UPN482" s="329"/>
      <c r="UPO482" s="329"/>
      <c r="UPP482" s="329"/>
      <c r="UPQ482" s="329"/>
      <c r="UPR482" s="329"/>
      <c r="UPS482" s="329"/>
      <c r="UPT482" s="329"/>
      <c r="UPU482" s="329"/>
      <c r="UPV482" s="329"/>
      <c r="UPW482" s="329"/>
      <c r="UPX482" s="329"/>
      <c r="UPY482" s="329"/>
      <c r="UPZ482" s="329"/>
      <c r="UQA482" s="329"/>
      <c r="UQB482" s="329"/>
      <c r="UQC482" s="329"/>
      <c r="UQD482" s="329"/>
      <c r="UQE482" s="329"/>
      <c r="UQF482" s="329"/>
      <c r="UQG482" s="329"/>
      <c r="UQH482" s="329"/>
      <c r="UQI482" s="329"/>
      <c r="UQJ482" s="329"/>
      <c r="UQK482" s="329"/>
      <c r="UQL482" s="329"/>
      <c r="UQM482" s="329"/>
      <c r="UQN482" s="329"/>
      <c r="UQO482" s="329"/>
      <c r="UQP482" s="329"/>
      <c r="UQQ482" s="329"/>
      <c r="UQR482" s="329"/>
      <c r="UQS482" s="329"/>
      <c r="UQT482" s="329"/>
      <c r="UQU482" s="329"/>
      <c r="UQV482" s="329"/>
      <c r="UQW482" s="329"/>
      <c r="UQX482" s="329"/>
      <c r="UQY482" s="329"/>
      <c r="UQZ482" s="329"/>
      <c r="URA482" s="329"/>
      <c r="URB482" s="329"/>
      <c r="URC482" s="329"/>
      <c r="URD482" s="329"/>
      <c r="URE482" s="329"/>
      <c r="URF482" s="329"/>
      <c r="URG482" s="329"/>
      <c r="URH482" s="329"/>
      <c r="URI482" s="329"/>
      <c r="URJ482" s="329"/>
      <c r="URK482" s="329"/>
      <c r="URL482" s="329"/>
      <c r="URM482" s="329"/>
      <c r="URN482" s="329"/>
      <c r="URO482" s="329"/>
      <c r="URP482" s="329"/>
      <c r="URQ482" s="329"/>
      <c r="URR482" s="329"/>
      <c r="URS482" s="329"/>
      <c r="URT482" s="329"/>
      <c r="URU482" s="329"/>
      <c r="URV482" s="329"/>
      <c r="URW482" s="329"/>
      <c r="URX482" s="329"/>
      <c r="URY482" s="329"/>
      <c r="URZ482" s="329"/>
      <c r="USA482" s="329"/>
      <c r="USB482" s="329"/>
      <c r="USC482" s="329"/>
      <c r="USD482" s="329"/>
      <c r="USE482" s="329"/>
      <c r="USF482" s="329"/>
      <c r="USG482" s="329"/>
      <c r="USH482" s="329"/>
      <c r="USI482" s="329"/>
      <c r="USJ482" s="329"/>
      <c r="USK482" s="329"/>
      <c r="USL482" s="329"/>
      <c r="USM482" s="329"/>
      <c r="USN482" s="329"/>
      <c r="USO482" s="329"/>
      <c r="USP482" s="329"/>
      <c r="USQ482" s="329"/>
      <c r="USR482" s="329"/>
      <c r="USS482" s="329"/>
      <c r="UST482" s="329"/>
      <c r="USU482" s="329"/>
      <c r="USV482" s="329"/>
      <c r="USW482" s="329"/>
      <c r="USX482" s="329"/>
      <c r="USY482" s="329"/>
      <c r="USZ482" s="329"/>
      <c r="UTA482" s="329"/>
      <c r="UTB482" s="329"/>
      <c r="UTC482" s="329"/>
      <c r="UTD482" s="329"/>
      <c r="UTE482" s="329"/>
      <c r="UTF482" s="329"/>
      <c r="UTG482" s="329"/>
      <c r="UTH482" s="329"/>
      <c r="UTI482" s="329"/>
      <c r="UTJ482" s="329"/>
      <c r="UTK482" s="329"/>
      <c r="UTL482" s="329"/>
      <c r="UTM482" s="329"/>
      <c r="UTN482" s="329"/>
      <c r="UTO482" s="329"/>
      <c r="UTP482" s="329"/>
      <c r="UTQ482" s="329"/>
      <c r="UTR482" s="329"/>
      <c r="UTS482" s="329"/>
      <c r="UTT482" s="329"/>
      <c r="UTU482" s="329"/>
      <c r="UTV482" s="329"/>
      <c r="UTW482" s="329"/>
      <c r="UTX482" s="329"/>
      <c r="UTY482" s="329"/>
      <c r="UTZ482" s="329"/>
      <c r="UUA482" s="329"/>
      <c r="UUB482" s="329"/>
      <c r="UUC482" s="329"/>
      <c r="UUD482" s="329"/>
      <c r="UUE482" s="329"/>
      <c r="UUF482" s="329"/>
      <c r="UUG482" s="329"/>
      <c r="UUH482" s="329"/>
      <c r="UUI482" s="329"/>
      <c r="UUJ482" s="329"/>
      <c r="UUK482" s="329"/>
      <c r="UUL482" s="329"/>
      <c r="UUM482" s="329"/>
      <c r="UUN482" s="329"/>
      <c r="UUO482" s="329"/>
      <c r="UUP482" s="329"/>
      <c r="UUQ482" s="329"/>
      <c r="UUR482" s="329"/>
      <c r="UUS482" s="329"/>
      <c r="UUT482" s="329"/>
      <c r="UUU482" s="329"/>
      <c r="UUV482" s="329"/>
      <c r="UUW482" s="329"/>
      <c r="UUX482" s="329"/>
      <c r="UUY482" s="329"/>
      <c r="UUZ482" s="329"/>
      <c r="UVA482" s="329"/>
      <c r="UVB482" s="329"/>
      <c r="UVC482" s="329"/>
      <c r="UVD482" s="329"/>
      <c r="UVE482" s="329"/>
      <c r="UVF482" s="329"/>
      <c r="UVG482" s="329"/>
      <c r="UVH482" s="329"/>
      <c r="UVI482" s="329"/>
      <c r="UVJ482" s="329"/>
      <c r="UVK482" s="329"/>
      <c r="UVL482" s="329"/>
      <c r="UVM482" s="329"/>
      <c r="UVN482" s="329"/>
      <c r="UVO482" s="329"/>
      <c r="UVP482" s="329"/>
      <c r="UVQ482" s="329"/>
      <c r="UVR482" s="329"/>
      <c r="UVS482" s="329"/>
      <c r="UVT482" s="329"/>
      <c r="UVU482" s="329"/>
      <c r="UVV482" s="329"/>
      <c r="UVW482" s="329"/>
      <c r="UVX482" s="329"/>
      <c r="UVY482" s="329"/>
      <c r="UVZ482" s="329"/>
      <c r="UWA482" s="329"/>
      <c r="UWB482" s="329"/>
      <c r="UWC482" s="329"/>
      <c r="UWD482" s="329"/>
      <c r="UWE482" s="329"/>
      <c r="UWF482" s="329"/>
      <c r="UWG482" s="329"/>
      <c r="UWH482" s="329"/>
      <c r="UWI482" s="329"/>
      <c r="UWJ482" s="329"/>
      <c r="UWK482" s="329"/>
      <c r="UWL482" s="329"/>
      <c r="UWM482" s="329"/>
      <c r="UWN482" s="329"/>
      <c r="UWO482" s="329"/>
      <c r="UWP482" s="329"/>
      <c r="UWQ482" s="329"/>
      <c r="UWR482" s="329"/>
      <c r="UWS482" s="329"/>
      <c r="UWT482" s="329"/>
      <c r="UWU482" s="329"/>
      <c r="UWV482" s="329"/>
      <c r="UWW482" s="329"/>
      <c r="UWX482" s="329"/>
      <c r="UWY482" s="329"/>
      <c r="UWZ482" s="329"/>
      <c r="UXA482" s="329"/>
      <c r="UXB482" s="329"/>
      <c r="UXC482" s="329"/>
      <c r="UXD482" s="329"/>
      <c r="UXE482" s="329"/>
      <c r="UXF482" s="329"/>
      <c r="UXG482" s="329"/>
      <c r="UXH482" s="329"/>
      <c r="UXI482" s="329"/>
      <c r="UXJ482" s="329"/>
      <c r="UXK482" s="329"/>
      <c r="UXL482" s="329"/>
      <c r="UXM482" s="329"/>
      <c r="UXN482" s="329"/>
      <c r="UXO482" s="329"/>
      <c r="UXP482" s="329"/>
      <c r="UXQ482" s="329"/>
      <c r="UXR482" s="329"/>
      <c r="UXS482" s="329"/>
      <c r="UXT482" s="329"/>
      <c r="UXU482" s="329"/>
      <c r="UXV482" s="329"/>
      <c r="UXW482" s="329"/>
      <c r="UXX482" s="329"/>
      <c r="UXY482" s="329"/>
      <c r="UXZ482" s="329"/>
      <c r="UYA482" s="329"/>
      <c r="UYB482" s="329"/>
      <c r="UYC482" s="329"/>
      <c r="UYD482" s="329"/>
      <c r="UYE482" s="329"/>
      <c r="UYF482" s="329"/>
      <c r="UYG482" s="329"/>
      <c r="UYH482" s="329"/>
      <c r="UYI482" s="329"/>
      <c r="UYJ482" s="329"/>
      <c r="UYK482" s="329"/>
      <c r="UYL482" s="329"/>
      <c r="UYM482" s="329"/>
      <c r="UYN482" s="329"/>
      <c r="UYO482" s="329"/>
      <c r="UYP482" s="329"/>
      <c r="UYQ482" s="329"/>
      <c r="UYR482" s="329"/>
      <c r="UYS482" s="329"/>
      <c r="UYT482" s="329"/>
      <c r="UYU482" s="329"/>
      <c r="UYV482" s="329"/>
      <c r="UYW482" s="329"/>
      <c r="UYX482" s="329"/>
      <c r="UYY482" s="329"/>
      <c r="UYZ482" s="329"/>
      <c r="UZA482" s="329"/>
      <c r="UZB482" s="329"/>
      <c r="UZC482" s="329"/>
      <c r="UZD482" s="329"/>
      <c r="UZE482" s="329"/>
      <c r="UZF482" s="329"/>
      <c r="UZG482" s="329"/>
      <c r="UZH482" s="329"/>
      <c r="UZI482" s="329"/>
      <c r="UZJ482" s="329"/>
      <c r="UZK482" s="329"/>
      <c r="UZL482" s="329"/>
      <c r="UZM482" s="329"/>
      <c r="UZN482" s="329"/>
      <c r="UZO482" s="329"/>
      <c r="UZP482" s="329"/>
      <c r="UZQ482" s="329"/>
      <c r="UZR482" s="329"/>
      <c r="UZS482" s="329"/>
      <c r="UZT482" s="329"/>
      <c r="UZU482" s="329"/>
      <c r="UZV482" s="329"/>
      <c r="UZW482" s="329"/>
      <c r="UZX482" s="329"/>
      <c r="UZY482" s="329"/>
      <c r="UZZ482" s="329"/>
      <c r="VAA482" s="329"/>
      <c r="VAB482" s="329"/>
      <c r="VAC482" s="329"/>
      <c r="VAD482" s="329"/>
      <c r="VAE482" s="329"/>
      <c r="VAF482" s="329"/>
      <c r="VAG482" s="329"/>
      <c r="VAH482" s="329"/>
      <c r="VAI482" s="329"/>
      <c r="VAJ482" s="329"/>
      <c r="VAK482" s="329"/>
      <c r="VAL482" s="329"/>
      <c r="VAM482" s="329"/>
      <c r="VAN482" s="329"/>
      <c r="VAO482" s="329"/>
      <c r="VAP482" s="329"/>
      <c r="VAQ482" s="329"/>
      <c r="VAR482" s="329"/>
      <c r="VAS482" s="329"/>
      <c r="VAT482" s="329"/>
      <c r="VAU482" s="329"/>
      <c r="VAV482" s="329"/>
      <c r="VAW482" s="329"/>
      <c r="VAX482" s="329"/>
      <c r="VAY482" s="329"/>
      <c r="VAZ482" s="329"/>
      <c r="VBA482" s="329"/>
      <c r="VBB482" s="329"/>
      <c r="VBC482" s="329"/>
      <c r="VBD482" s="329"/>
      <c r="VBE482" s="329"/>
      <c r="VBF482" s="329"/>
      <c r="VBG482" s="329"/>
      <c r="VBH482" s="329"/>
      <c r="VBI482" s="329"/>
      <c r="VBJ482" s="329"/>
      <c r="VBK482" s="329"/>
      <c r="VBL482" s="329"/>
      <c r="VBM482" s="329"/>
      <c r="VBN482" s="329"/>
      <c r="VBO482" s="329"/>
      <c r="VBP482" s="329"/>
      <c r="VBQ482" s="329"/>
      <c r="VBR482" s="329"/>
      <c r="VBS482" s="329"/>
      <c r="VBT482" s="329"/>
      <c r="VBU482" s="329"/>
      <c r="VBV482" s="329"/>
      <c r="VBW482" s="329"/>
      <c r="VBX482" s="329"/>
      <c r="VBY482" s="329"/>
      <c r="VBZ482" s="329"/>
      <c r="VCA482" s="329"/>
      <c r="VCB482" s="329"/>
      <c r="VCC482" s="329"/>
      <c r="VCD482" s="329"/>
      <c r="VCE482" s="329"/>
      <c r="VCF482" s="329"/>
      <c r="VCG482" s="329"/>
      <c r="VCH482" s="329"/>
      <c r="VCI482" s="329"/>
      <c r="VCJ482" s="329"/>
      <c r="VCK482" s="329"/>
      <c r="VCL482" s="329"/>
      <c r="VCM482" s="329"/>
      <c r="VCN482" s="329"/>
      <c r="VCO482" s="329"/>
      <c r="VCP482" s="329"/>
      <c r="VCQ482" s="329"/>
      <c r="VCR482" s="329"/>
      <c r="VCS482" s="329"/>
      <c r="VCT482" s="329"/>
      <c r="VCU482" s="329"/>
      <c r="VCV482" s="329"/>
      <c r="VCW482" s="329"/>
      <c r="VCX482" s="329"/>
      <c r="VCY482" s="329"/>
      <c r="VCZ482" s="329"/>
      <c r="VDA482" s="329"/>
      <c r="VDB482" s="329"/>
      <c r="VDC482" s="329"/>
      <c r="VDD482" s="329"/>
      <c r="VDE482" s="329"/>
      <c r="VDF482" s="329"/>
      <c r="VDG482" s="329"/>
      <c r="VDH482" s="329"/>
      <c r="VDI482" s="329"/>
      <c r="VDJ482" s="329"/>
      <c r="VDK482" s="329"/>
      <c r="VDL482" s="329"/>
      <c r="VDM482" s="329"/>
      <c r="VDN482" s="329"/>
      <c r="VDO482" s="329"/>
      <c r="VDP482" s="329"/>
      <c r="VDQ482" s="329"/>
      <c r="VDR482" s="329"/>
      <c r="VDS482" s="329"/>
      <c r="VDT482" s="329"/>
      <c r="VDU482" s="329"/>
      <c r="VDV482" s="329"/>
      <c r="VDW482" s="329"/>
      <c r="VDX482" s="329"/>
      <c r="VDY482" s="329"/>
      <c r="VDZ482" s="329"/>
      <c r="VEA482" s="329"/>
      <c r="VEB482" s="329"/>
      <c r="VEC482" s="329"/>
      <c r="VED482" s="329"/>
      <c r="VEE482" s="329"/>
      <c r="VEF482" s="329"/>
      <c r="VEG482" s="329"/>
      <c r="VEH482" s="329"/>
      <c r="VEI482" s="329"/>
      <c r="VEJ482" s="329"/>
      <c r="VEK482" s="329"/>
      <c r="VEL482" s="329"/>
      <c r="VEM482" s="329"/>
      <c r="VEN482" s="329"/>
      <c r="VEO482" s="329"/>
      <c r="VEP482" s="329"/>
      <c r="VEQ482" s="329"/>
      <c r="VER482" s="329"/>
      <c r="VES482" s="329"/>
      <c r="VET482" s="329"/>
      <c r="VEU482" s="329"/>
      <c r="VEV482" s="329"/>
      <c r="VEW482" s="329"/>
      <c r="VEX482" s="329"/>
      <c r="VEY482" s="329"/>
      <c r="VEZ482" s="329"/>
      <c r="VFA482" s="329"/>
      <c r="VFB482" s="329"/>
      <c r="VFC482" s="329"/>
      <c r="VFD482" s="329"/>
      <c r="VFE482" s="329"/>
      <c r="VFF482" s="329"/>
      <c r="VFG482" s="329"/>
      <c r="VFH482" s="329"/>
      <c r="VFI482" s="329"/>
      <c r="VFJ482" s="329"/>
      <c r="VFK482" s="329"/>
      <c r="VFL482" s="329"/>
      <c r="VFM482" s="329"/>
      <c r="VFN482" s="329"/>
      <c r="VFO482" s="329"/>
      <c r="VFP482" s="329"/>
      <c r="VFQ482" s="329"/>
      <c r="VFR482" s="329"/>
      <c r="VFS482" s="329"/>
      <c r="VFT482" s="329"/>
      <c r="VFU482" s="329"/>
      <c r="VFV482" s="329"/>
      <c r="VFW482" s="329"/>
      <c r="VFX482" s="329"/>
      <c r="VFY482" s="329"/>
      <c r="VFZ482" s="329"/>
      <c r="VGA482" s="329"/>
      <c r="VGB482" s="329"/>
      <c r="VGC482" s="329"/>
      <c r="VGD482" s="329"/>
      <c r="VGE482" s="329"/>
      <c r="VGF482" s="329"/>
      <c r="VGG482" s="329"/>
      <c r="VGH482" s="329"/>
      <c r="VGI482" s="329"/>
      <c r="VGJ482" s="329"/>
      <c r="VGK482" s="329"/>
      <c r="VGL482" s="329"/>
      <c r="VGM482" s="329"/>
      <c r="VGN482" s="329"/>
      <c r="VGO482" s="329"/>
      <c r="VGP482" s="329"/>
      <c r="VGQ482" s="329"/>
      <c r="VGR482" s="329"/>
      <c r="VGS482" s="329"/>
      <c r="VGT482" s="329"/>
      <c r="VGU482" s="329"/>
      <c r="VGV482" s="329"/>
      <c r="VGW482" s="329"/>
      <c r="VGX482" s="329"/>
      <c r="VGY482" s="329"/>
      <c r="VGZ482" s="329"/>
      <c r="VHA482" s="329"/>
      <c r="VHB482" s="329"/>
      <c r="VHC482" s="329"/>
      <c r="VHD482" s="329"/>
      <c r="VHE482" s="329"/>
      <c r="VHF482" s="329"/>
      <c r="VHG482" s="329"/>
      <c r="VHH482" s="329"/>
      <c r="VHI482" s="329"/>
      <c r="VHJ482" s="329"/>
      <c r="VHK482" s="329"/>
      <c r="VHL482" s="329"/>
      <c r="VHM482" s="329"/>
      <c r="VHN482" s="329"/>
      <c r="VHO482" s="329"/>
      <c r="VHP482" s="329"/>
      <c r="VHQ482" s="329"/>
      <c r="VHR482" s="329"/>
      <c r="VHS482" s="329"/>
      <c r="VHT482" s="329"/>
      <c r="VHU482" s="329"/>
      <c r="VHV482" s="329"/>
      <c r="VHW482" s="329"/>
      <c r="VHX482" s="329"/>
      <c r="VHY482" s="329"/>
      <c r="VHZ482" s="329"/>
      <c r="VIA482" s="329"/>
      <c r="VIB482" s="329"/>
      <c r="VIC482" s="329"/>
      <c r="VID482" s="329"/>
      <c r="VIE482" s="329"/>
      <c r="VIF482" s="329"/>
      <c r="VIG482" s="329"/>
      <c r="VIH482" s="329"/>
      <c r="VII482" s="329"/>
      <c r="VIJ482" s="329"/>
      <c r="VIK482" s="329"/>
      <c r="VIL482" s="329"/>
      <c r="VIM482" s="329"/>
      <c r="VIN482" s="329"/>
      <c r="VIO482" s="329"/>
      <c r="VIP482" s="329"/>
      <c r="VIQ482" s="329"/>
      <c r="VIR482" s="329"/>
      <c r="VIS482" s="329"/>
      <c r="VIT482" s="329"/>
      <c r="VIU482" s="329"/>
      <c r="VIV482" s="329"/>
      <c r="VIW482" s="329"/>
      <c r="VIX482" s="329"/>
      <c r="VIY482" s="329"/>
      <c r="VIZ482" s="329"/>
      <c r="VJA482" s="329"/>
      <c r="VJB482" s="329"/>
      <c r="VJC482" s="329"/>
      <c r="VJD482" s="329"/>
      <c r="VJE482" s="329"/>
      <c r="VJF482" s="329"/>
      <c r="VJG482" s="329"/>
      <c r="VJH482" s="329"/>
      <c r="VJI482" s="329"/>
      <c r="VJJ482" s="329"/>
      <c r="VJK482" s="329"/>
      <c r="VJL482" s="329"/>
      <c r="VJM482" s="329"/>
      <c r="VJN482" s="329"/>
      <c r="VJO482" s="329"/>
      <c r="VJP482" s="329"/>
      <c r="VJQ482" s="329"/>
      <c r="VJR482" s="329"/>
      <c r="VJS482" s="329"/>
      <c r="VJT482" s="329"/>
      <c r="VJU482" s="329"/>
      <c r="VJV482" s="329"/>
      <c r="VJW482" s="329"/>
      <c r="VJX482" s="329"/>
      <c r="VJY482" s="329"/>
      <c r="VJZ482" s="329"/>
      <c r="VKA482" s="329"/>
      <c r="VKB482" s="329"/>
      <c r="VKC482" s="329"/>
      <c r="VKD482" s="329"/>
      <c r="VKE482" s="329"/>
      <c r="VKF482" s="329"/>
      <c r="VKG482" s="329"/>
      <c r="VKH482" s="329"/>
      <c r="VKI482" s="329"/>
      <c r="VKJ482" s="329"/>
      <c r="VKK482" s="329"/>
      <c r="VKL482" s="329"/>
      <c r="VKM482" s="329"/>
      <c r="VKN482" s="329"/>
      <c r="VKO482" s="329"/>
      <c r="VKP482" s="329"/>
      <c r="VKQ482" s="329"/>
      <c r="VKR482" s="329"/>
      <c r="VKS482" s="329"/>
      <c r="VKT482" s="329"/>
      <c r="VKU482" s="329"/>
      <c r="VKV482" s="329"/>
      <c r="VKW482" s="329"/>
      <c r="VKX482" s="329"/>
      <c r="VKY482" s="329"/>
      <c r="VKZ482" s="329"/>
      <c r="VLA482" s="329"/>
      <c r="VLB482" s="329"/>
      <c r="VLC482" s="329"/>
      <c r="VLD482" s="329"/>
      <c r="VLE482" s="329"/>
      <c r="VLF482" s="329"/>
      <c r="VLG482" s="329"/>
      <c r="VLH482" s="329"/>
      <c r="VLI482" s="329"/>
      <c r="VLJ482" s="329"/>
      <c r="VLK482" s="329"/>
      <c r="VLL482" s="329"/>
      <c r="VLM482" s="329"/>
      <c r="VLN482" s="329"/>
      <c r="VLO482" s="329"/>
      <c r="VLP482" s="329"/>
      <c r="VLQ482" s="329"/>
      <c r="VLR482" s="329"/>
      <c r="VLS482" s="329"/>
      <c r="VLT482" s="329"/>
      <c r="VLU482" s="329"/>
      <c r="VLV482" s="329"/>
      <c r="VLW482" s="329"/>
      <c r="VLX482" s="329"/>
      <c r="VLY482" s="329"/>
      <c r="VLZ482" s="329"/>
      <c r="VMA482" s="329"/>
      <c r="VMB482" s="329"/>
      <c r="VMC482" s="329"/>
      <c r="VMD482" s="329"/>
      <c r="VME482" s="329"/>
      <c r="VMF482" s="329"/>
      <c r="VMG482" s="329"/>
      <c r="VMH482" s="329"/>
      <c r="VMI482" s="329"/>
      <c r="VMJ482" s="329"/>
      <c r="VMK482" s="329"/>
      <c r="VML482" s="329"/>
      <c r="VMM482" s="329"/>
      <c r="VMN482" s="329"/>
      <c r="VMO482" s="329"/>
      <c r="VMP482" s="329"/>
      <c r="VMQ482" s="329"/>
      <c r="VMR482" s="329"/>
      <c r="VMS482" s="329"/>
      <c r="VMT482" s="329"/>
      <c r="VMU482" s="329"/>
      <c r="VMV482" s="329"/>
      <c r="VMW482" s="329"/>
      <c r="VMX482" s="329"/>
      <c r="VMY482" s="329"/>
      <c r="VMZ482" s="329"/>
      <c r="VNA482" s="329"/>
      <c r="VNB482" s="329"/>
      <c r="VNC482" s="329"/>
      <c r="VND482" s="329"/>
      <c r="VNE482" s="329"/>
      <c r="VNF482" s="329"/>
      <c r="VNG482" s="329"/>
      <c r="VNH482" s="329"/>
      <c r="VNI482" s="329"/>
      <c r="VNJ482" s="329"/>
      <c r="VNK482" s="329"/>
      <c r="VNL482" s="329"/>
      <c r="VNM482" s="329"/>
      <c r="VNN482" s="329"/>
      <c r="VNO482" s="329"/>
      <c r="VNP482" s="329"/>
      <c r="VNQ482" s="329"/>
      <c r="VNR482" s="329"/>
      <c r="VNS482" s="329"/>
      <c r="VNT482" s="329"/>
      <c r="VNU482" s="329"/>
      <c r="VNV482" s="329"/>
      <c r="VNW482" s="329"/>
      <c r="VNX482" s="329"/>
      <c r="VNY482" s="329"/>
      <c r="VNZ482" s="329"/>
      <c r="VOA482" s="329"/>
      <c r="VOB482" s="329"/>
      <c r="VOC482" s="329"/>
      <c r="VOD482" s="329"/>
      <c r="VOE482" s="329"/>
      <c r="VOF482" s="329"/>
      <c r="VOG482" s="329"/>
      <c r="VOH482" s="329"/>
      <c r="VOI482" s="329"/>
      <c r="VOJ482" s="329"/>
      <c r="VOK482" s="329"/>
      <c r="VOL482" s="329"/>
      <c r="VOM482" s="329"/>
      <c r="VON482" s="329"/>
      <c r="VOO482" s="329"/>
      <c r="VOP482" s="329"/>
      <c r="VOQ482" s="329"/>
      <c r="VOR482" s="329"/>
      <c r="VOS482" s="329"/>
      <c r="VOT482" s="329"/>
      <c r="VOU482" s="329"/>
      <c r="VOV482" s="329"/>
      <c r="VOW482" s="329"/>
      <c r="VOX482" s="329"/>
      <c r="VOY482" s="329"/>
      <c r="VOZ482" s="329"/>
      <c r="VPA482" s="329"/>
      <c r="VPB482" s="329"/>
      <c r="VPC482" s="329"/>
      <c r="VPD482" s="329"/>
      <c r="VPE482" s="329"/>
      <c r="VPF482" s="329"/>
      <c r="VPG482" s="329"/>
      <c r="VPH482" s="329"/>
      <c r="VPI482" s="329"/>
      <c r="VPJ482" s="329"/>
      <c r="VPK482" s="329"/>
      <c r="VPL482" s="329"/>
      <c r="VPM482" s="329"/>
      <c r="VPN482" s="329"/>
      <c r="VPO482" s="329"/>
      <c r="VPP482" s="329"/>
      <c r="VPQ482" s="329"/>
      <c r="VPR482" s="329"/>
      <c r="VPS482" s="329"/>
      <c r="VPT482" s="329"/>
      <c r="VPU482" s="329"/>
      <c r="VPV482" s="329"/>
      <c r="VPW482" s="329"/>
      <c r="VPX482" s="329"/>
      <c r="VPY482" s="329"/>
      <c r="VPZ482" s="329"/>
      <c r="VQA482" s="329"/>
      <c r="VQB482" s="329"/>
      <c r="VQC482" s="329"/>
      <c r="VQD482" s="329"/>
      <c r="VQE482" s="329"/>
      <c r="VQF482" s="329"/>
      <c r="VQG482" s="329"/>
      <c r="VQH482" s="329"/>
      <c r="VQI482" s="329"/>
      <c r="VQJ482" s="329"/>
      <c r="VQK482" s="329"/>
      <c r="VQL482" s="329"/>
      <c r="VQM482" s="329"/>
      <c r="VQN482" s="329"/>
      <c r="VQO482" s="329"/>
      <c r="VQP482" s="329"/>
      <c r="VQQ482" s="329"/>
      <c r="VQR482" s="329"/>
      <c r="VQS482" s="329"/>
      <c r="VQT482" s="329"/>
      <c r="VQU482" s="329"/>
      <c r="VQV482" s="329"/>
      <c r="VQW482" s="329"/>
      <c r="VQX482" s="329"/>
      <c r="VQY482" s="329"/>
      <c r="VQZ482" s="329"/>
      <c r="VRA482" s="329"/>
      <c r="VRB482" s="329"/>
      <c r="VRC482" s="329"/>
      <c r="VRD482" s="329"/>
      <c r="VRE482" s="329"/>
      <c r="VRF482" s="329"/>
      <c r="VRG482" s="329"/>
      <c r="VRH482" s="329"/>
      <c r="VRI482" s="329"/>
      <c r="VRJ482" s="329"/>
      <c r="VRK482" s="329"/>
      <c r="VRL482" s="329"/>
      <c r="VRM482" s="329"/>
      <c r="VRN482" s="329"/>
      <c r="VRO482" s="329"/>
      <c r="VRP482" s="329"/>
      <c r="VRQ482" s="329"/>
      <c r="VRR482" s="329"/>
      <c r="VRS482" s="329"/>
      <c r="VRT482" s="329"/>
      <c r="VRU482" s="329"/>
      <c r="VRV482" s="329"/>
      <c r="VRW482" s="329"/>
      <c r="VRX482" s="329"/>
      <c r="VRY482" s="329"/>
      <c r="VRZ482" s="329"/>
      <c r="VSA482" s="329"/>
      <c r="VSB482" s="329"/>
      <c r="VSC482" s="329"/>
      <c r="VSD482" s="329"/>
      <c r="VSE482" s="329"/>
      <c r="VSF482" s="329"/>
      <c r="VSG482" s="329"/>
      <c r="VSH482" s="329"/>
      <c r="VSI482" s="329"/>
      <c r="VSJ482" s="329"/>
      <c r="VSK482" s="329"/>
      <c r="VSL482" s="329"/>
      <c r="VSM482" s="329"/>
      <c r="VSN482" s="329"/>
      <c r="VSO482" s="329"/>
      <c r="VSP482" s="329"/>
      <c r="VSQ482" s="329"/>
      <c r="VSR482" s="329"/>
      <c r="VSS482" s="329"/>
      <c r="VST482" s="329"/>
      <c r="VSU482" s="329"/>
      <c r="VSV482" s="329"/>
      <c r="VSW482" s="329"/>
      <c r="VSX482" s="329"/>
      <c r="VSY482" s="329"/>
      <c r="VSZ482" s="329"/>
      <c r="VTA482" s="329"/>
      <c r="VTB482" s="329"/>
      <c r="VTC482" s="329"/>
      <c r="VTD482" s="329"/>
      <c r="VTE482" s="329"/>
      <c r="VTF482" s="329"/>
      <c r="VTG482" s="329"/>
      <c r="VTH482" s="329"/>
      <c r="VTI482" s="329"/>
      <c r="VTJ482" s="329"/>
      <c r="VTK482" s="329"/>
      <c r="VTL482" s="329"/>
      <c r="VTM482" s="329"/>
      <c r="VTN482" s="329"/>
      <c r="VTO482" s="329"/>
      <c r="VTP482" s="329"/>
      <c r="VTQ482" s="329"/>
      <c r="VTR482" s="329"/>
      <c r="VTS482" s="329"/>
      <c r="VTT482" s="329"/>
      <c r="VTU482" s="329"/>
      <c r="VTV482" s="329"/>
      <c r="VTW482" s="329"/>
      <c r="VTX482" s="329"/>
      <c r="VTY482" s="329"/>
      <c r="VTZ482" s="329"/>
      <c r="VUA482" s="329"/>
      <c r="VUB482" s="329"/>
      <c r="VUC482" s="329"/>
      <c r="VUD482" s="329"/>
      <c r="VUE482" s="329"/>
      <c r="VUF482" s="329"/>
      <c r="VUG482" s="329"/>
      <c r="VUH482" s="329"/>
      <c r="VUI482" s="329"/>
      <c r="VUJ482" s="329"/>
      <c r="VUK482" s="329"/>
      <c r="VUL482" s="329"/>
      <c r="VUM482" s="329"/>
      <c r="VUN482" s="329"/>
      <c r="VUO482" s="329"/>
      <c r="VUP482" s="329"/>
      <c r="VUQ482" s="329"/>
      <c r="VUR482" s="329"/>
      <c r="VUS482" s="329"/>
      <c r="VUT482" s="329"/>
      <c r="VUU482" s="329"/>
      <c r="VUV482" s="329"/>
      <c r="VUW482" s="329"/>
      <c r="VUX482" s="329"/>
      <c r="VUY482" s="329"/>
      <c r="VUZ482" s="329"/>
      <c r="VVA482" s="329"/>
      <c r="VVB482" s="329"/>
      <c r="VVC482" s="329"/>
      <c r="VVD482" s="329"/>
      <c r="VVE482" s="329"/>
      <c r="VVF482" s="329"/>
      <c r="VVG482" s="329"/>
      <c r="VVH482" s="329"/>
      <c r="VVI482" s="329"/>
      <c r="VVJ482" s="329"/>
      <c r="VVK482" s="329"/>
      <c r="VVL482" s="329"/>
      <c r="VVM482" s="329"/>
      <c r="VVN482" s="329"/>
      <c r="VVO482" s="329"/>
      <c r="VVP482" s="329"/>
      <c r="VVQ482" s="329"/>
      <c r="VVR482" s="329"/>
      <c r="VVS482" s="329"/>
      <c r="VVT482" s="329"/>
      <c r="VVU482" s="329"/>
      <c r="VVV482" s="329"/>
      <c r="VVW482" s="329"/>
      <c r="VVX482" s="329"/>
      <c r="VVY482" s="329"/>
      <c r="VVZ482" s="329"/>
      <c r="VWA482" s="329"/>
      <c r="VWB482" s="329"/>
      <c r="VWC482" s="329"/>
      <c r="VWD482" s="329"/>
      <c r="VWE482" s="329"/>
      <c r="VWF482" s="329"/>
      <c r="VWG482" s="329"/>
      <c r="VWH482" s="329"/>
      <c r="VWI482" s="329"/>
      <c r="VWJ482" s="329"/>
      <c r="VWK482" s="329"/>
      <c r="VWL482" s="329"/>
      <c r="VWM482" s="329"/>
      <c r="VWN482" s="329"/>
      <c r="VWO482" s="329"/>
      <c r="VWP482" s="329"/>
      <c r="VWQ482" s="329"/>
      <c r="VWR482" s="329"/>
      <c r="VWS482" s="329"/>
      <c r="VWT482" s="329"/>
      <c r="VWU482" s="329"/>
      <c r="VWV482" s="329"/>
      <c r="VWW482" s="329"/>
      <c r="VWX482" s="329"/>
      <c r="VWY482" s="329"/>
      <c r="VWZ482" s="329"/>
      <c r="VXA482" s="329"/>
      <c r="VXB482" s="329"/>
      <c r="VXC482" s="329"/>
      <c r="VXD482" s="329"/>
      <c r="VXE482" s="329"/>
      <c r="VXF482" s="329"/>
      <c r="VXG482" s="329"/>
      <c r="VXH482" s="329"/>
      <c r="VXI482" s="329"/>
      <c r="VXJ482" s="329"/>
      <c r="VXK482" s="329"/>
      <c r="VXL482" s="329"/>
      <c r="VXM482" s="329"/>
      <c r="VXN482" s="329"/>
      <c r="VXO482" s="329"/>
      <c r="VXP482" s="329"/>
      <c r="VXQ482" s="329"/>
      <c r="VXR482" s="329"/>
      <c r="VXS482" s="329"/>
      <c r="VXT482" s="329"/>
      <c r="VXU482" s="329"/>
      <c r="VXV482" s="329"/>
      <c r="VXW482" s="329"/>
      <c r="VXX482" s="329"/>
      <c r="VXY482" s="329"/>
      <c r="VXZ482" s="329"/>
      <c r="VYA482" s="329"/>
      <c r="VYB482" s="329"/>
      <c r="VYC482" s="329"/>
      <c r="VYD482" s="329"/>
      <c r="VYE482" s="329"/>
      <c r="VYF482" s="329"/>
      <c r="VYG482" s="329"/>
      <c r="VYH482" s="329"/>
      <c r="VYI482" s="329"/>
      <c r="VYJ482" s="329"/>
      <c r="VYK482" s="329"/>
      <c r="VYL482" s="329"/>
      <c r="VYM482" s="329"/>
      <c r="VYN482" s="329"/>
      <c r="VYO482" s="329"/>
      <c r="VYP482" s="329"/>
      <c r="VYQ482" s="329"/>
      <c r="VYR482" s="329"/>
      <c r="VYS482" s="329"/>
      <c r="VYT482" s="329"/>
      <c r="VYU482" s="329"/>
      <c r="VYV482" s="329"/>
      <c r="VYW482" s="329"/>
      <c r="VYX482" s="329"/>
      <c r="VYY482" s="329"/>
      <c r="VYZ482" s="329"/>
      <c r="VZA482" s="329"/>
      <c r="VZB482" s="329"/>
      <c r="VZC482" s="329"/>
      <c r="VZD482" s="329"/>
      <c r="VZE482" s="329"/>
      <c r="VZF482" s="329"/>
      <c r="VZG482" s="329"/>
      <c r="VZH482" s="329"/>
      <c r="VZI482" s="329"/>
      <c r="VZJ482" s="329"/>
      <c r="VZK482" s="329"/>
      <c r="VZL482" s="329"/>
      <c r="VZM482" s="329"/>
      <c r="VZN482" s="329"/>
      <c r="VZO482" s="329"/>
      <c r="VZP482" s="329"/>
      <c r="VZQ482" s="329"/>
      <c r="VZR482" s="329"/>
      <c r="VZS482" s="329"/>
      <c r="VZT482" s="329"/>
      <c r="VZU482" s="329"/>
      <c r="VZV482" s="329"/>
      <c r="VZW482" s="329"/>
      <c r="VZX482" s="329"/>
      <c r="VZY482" s="329"/>
      <c r="VZZ482" s="329"/>
      <c r="WAA482" s="329"/>
      <c r="WAB482" s="329"/>
      <c r="WAC482" s="329"/>
      <c r="WAD482" s="329"/>
      <c r="WAE482" s="329"/>
      <c r="WAF482" s="329"/>
      <c r="WAG482" s="329"/>
      <c r="WAH482" s="329"/>
      <c r="WAI482" s="329"/>
      <c r="WAJ482" s="329"/>
      <c r="WAK482" s="329"/>
      <c r="WAL482" s="329"/>
      <c r="WAM482" s="329"/>
      <c r="WAN482" s="329"/>
      <c r="WAO482" s="329"/>
      <c r="WAP482" s="329"/>
      <c r="WAQ482" s="329"/>
      <c r="WAR482" s="329"/>
      <c r="WAS482" s="329"/>
      <c r="WAT482" s="329"/>
      <c r="WAU482" s="329"/>
      <c r="WAV482" s="329"/>
      <c r="WAW482" s="329"/>
      <c r="WAX482" s="329"/>
      <c r="WAY482" s="329"/>
      <c r="WAZ482" s="329"/>
      <c r="WBA482" s="329"/>
      <c r="WBB482" s="329"/>
      <c r="WBC482" s="329"/>
      <c r="WBD482" s="329"/>
      <c r="WBE482" s="329"/>
      <c r="WBF482" s="329"/>
      <c r="WBG482" s="329"/>
      <c r="WBH482" s="329"/>
      <c r="WBI482" s="329"/>
      <c r="WBJ482" s="329"/>
      <c r="WBK482" s="329"/>
      <c r="WBL482" s="329"/>
      <c r="WBM482" s="329"/>
      <c r="WBN482" s="329"/>
      <c r="WBO482" s="329"/>
      <c r="WBP482" s="329"/>
      <c r="WBQ482" s="329"/>
      <c r="WBR482" s="329"/>
      <c r="WBS482" s="329"/>
      <c r="WBT482" s="329"/>
      <c r="WBU482" s="329"/>
      <c r="WBV482" s="329"/>
      <c r="WBW482" s="329"/>
      <c r="WBX482" s="329"/>
      <c r="WBY482" s="329"/>
      <c r="WBZ482" s="329"/>
      <c r="WCA482" s="329"/>
      <c r="WCB482" s="329"/>
      <c r="WCC482" s="329"/>
      <c r="WCD482" s="329"/>
      <c r="WCE482" s="329"/>
      <c r="WCF482" s="329"/>
      <c r="WCG482" s="329"/>
      <c r="WCH482" s="329"/>
      <c r="WCI482" s="329"/>
      <c r="WCJ482" s="329"/>
      <c r="WCK482" s="329"/>
      <c r="WCL482" s="329"/>
      <c r="WCM482" s="329"/>
      <c r="WCN482" s="329"/>
      <c r="WCO482" s="329"/>
      <c r="WCP482" s="329"/>
      <c r="WCQ482" s="329"/>
      <c r="WCR482" s="329"/>
      <c r="WCS482" s="329"/>
      <c r="WCT482" s="329"/>
      <c r="WCU482" s="329"/>
      <c r="WCV482" s="329"/>
      <c r="WCW482" s="329"/>
      <c r="WCX482" s="329"/>
      <c r="WCY482" s="329"/>
      <c r="WCZ482" s="329"/>
      <c r="WDA482" s="329"/>
      <c r="WDB482" s="329"/>
      <c r="WDC482" s="329"/>
      <c r="WDD482" s="329"/>
      <c r="WDE482" s="329"/>
      <c r="WDF482" s="329"/>
      <c r="WDG482" s="329"/>
      <c r="WDH482" s="329"/>
      <c r="WDI482" s="329"/>
      <c r="WDJ482" s="329"/>
      <c r="WDK482" s="329"/>
      <c r="WDL482" s="329"/>
      <c r="WDM482" s="329"/>
      <c r="WDN482" s="329"/>
      <c r="WDO482" s="329"/>
      <c r="WDP482" s="329"/>
      <c r="WDQ482" s="329"/>
      <c r="WDR482" s="329"/>
      <c r="WDS482" s="329"/>
      <c r="WDT482" s="329"/>
      <c r="WDU482" s="329"/>
      <c r="WDV482" s="329"/>
      <c r="WDW482" s="329"/>
      <c r="WDX482" s="329"/>
      <c r="WDY482" s="329"/>
      <c r="WDZ482" s="329"/>
      <c r="WEA482" s="329"/>
      <c r="WEB482" s="329"/>
      <c r="WEC482" s="329"/>
      <c r="WED482" s="329"/>
      <c r="WEE482" s="329"/>
      <c r="WEF482" s="329"/>
      <c r="WEG482" s="329"/>
      <c r="WEH482" s="329"/>
      <c r="WEI482" s="329"/>
      <c r="WEJ482" s="329"/>
      <c r="WEK482" s="329"/>
      <c r="WEL482" s="329"/>
      <c r="WEM482" s="329"/>
      <c r="WEN482" s="329"/>
      <c r="WEO482" s="329"/>
      <c r="WEP482" s="329"/>
      <c r="WEQ482" s="329"/>
      <c r="WER482" s="329"/>
      <c r="WES482" s="329"/>
      <c r="WET482" s="329"/>
      <c r="WEU482" s="329"/>
      <c r="WEV482" s="329"/>
      <c r="WEW482" s="329"/>
      <c r="WEX482" s="329"/>
      <c r="WEY482" s="329"/>
      <c r="WEZ482" s="329"/>
      <c r="WFA482" s="329"/>
      <c r="WFB482" s="329"/>
      <c r="WFC482" s="329"/>
      <c r="WFD482" s="329"/>
      <c r="WFE482" s="329"/>
      <c r="WFF482" s="329"/>
      <c r="WFG482" s="329"/>
      <c r="WFH482" s="329"/>
      <c r="WFI482" s="329"/>
      <c r="WFJ482" s="329"/>
      <c r="WFK482" s="329"/>
      <c r="WFL482" s="329"/>
      <c r="WFM482" s="329"/>
      <c r="WFN482" s="329"/>
      <c r="WFO482" s="329"/>
      <c r="WFP482" s="329"/>
      <c r="WFQ482" s="329"/>
      <c r="WFR482" s="329"/>
      <c r="WFS482" s="329"/>
      <c r="WFT482" s="329"/>
      <c r="WFU482" s="329"/>
      <c r="WFV482" s="329"/>
      <c r="WFW482" s="329"/>
      <c r="WFX482" s="329"/>
      <c r="WFY482" s="329"/>
      <c r="WFZ482" s="329"/>
      <c r="WGA482" s="329"/>
      <c r="WGB482" s="329"/>
      <c r="WGC482" s="329"/>
      <c r="WGD482" s="329"/>
      <c r="WGE482" s="329"/>
      <c r="WGF482" s="329"/>
      <c r="WGG482" s="329"/>
      <c r="WGH482" s="329"/>
      <c r="WGI482" s="329"/>
      <c r="WGJ482" s="329"/>
      <c r="WGK482" s="329"/>
      <c r="WGL482" s="329"/>
      <c r="WGM482" s="329"/>
      <c r="WGN482" s="329"/>
      <c r="WGO482" s="329"/>
      <c r="WGP482" s="329"/>
      <c r="WGQ482" s="329"/>
      <c r="WGR482" s="329"/>
      <c r="WGS482" s="329"/>
      <c r="WGT482" s="329"/>
      <c r="WGU482" s="329"/>
      <c r="WGV482" s="329"/>
      <c r="WGW482" s="329"/>
      <c r="WGX482" s="329"/>
      <c r="WGY482" s="329"/>
      <c r="WGZ482" s="329"/>
      <c r="WHA482" s="329"/>
      <c r="WHB482" s="329"/>
      <c r="WHC482" s="329"/>
      <c r="WHD482" s="329"/>
      <c r="WHE482" s="329"/>
      <c r="WHF482" s="329"/>
      <c r="WHG482" s="329"/>
      <c r="WHH482" s="329"/>
      <c r="WHI482" s="329"/>
      <c r="WHJ482" s="329"/>
      <c r="WHK482" s="329"/>
      <c r="WHL482" s="329"/>
      <c r="WHM482" s="329"/>
      <c r="WHN482" s="329"/>
      <c r="WHO482" s="329"/>
      <c r="WHP482" s="329"/>
      <c r="WHQ482" s="329"/>
      <c r="WHR482" s="329"/>
      <c r="WHS482" s="329"/>
      <c r="WHT482" s="329"/>
      <c r="WHU482" s="329"/>
      <c r="WHV482" s="329"/>
      <c r="WHW482" s="329"/>
      <c r="WHX482" s="329"/>
      <c r="WHY482" s="329"/>
      <c r="WHZ482" s="329"/>
      <c r="WIA482" s="329"/>
      <c r="WIB482" s="329"/>
      <c r="WIC482" s="329"/>
      <c r="WID482" s="329"/>
      <c r="WIE482" s="329"/>
      <c r="WIF482" s="329"/>
      <c r="WIG482" s="329"/>
      <c r="WIH482" s="329"/>
      <c r="WII482" s="329"/>
      <c r="WIJ482" s="329"/>
      <c r="WIK482" s="329"/>
      <c r="WIL482" s="329"/>
      <c r="WIM482" s="329"/>
      <c r="WIN482" s="329"/>
      <c r="WIO482" s="329"/>
      <c r="WIP482" s="329"/>
      <c r="WIQ482" s="329"/>
      <c r="WIR482" s="329"/>
      <c r="WIS482" s="329"/>
      <c r="WIT482" s="329"/>
      <c r="WIU482" s="329"/>
      <c r="WIV482" s="329"/>
      <c r="WIW482" s="329"/>
      <c r="WIX482" s="329"/>
      <c r="WIY482" s="329"/>
      <c r="WIZ482" s="329"/>
      <c r="WJA482" s="329"/>
      <c r="WJB482" s="329"/>
      <c r="WJC482" s="329"/>
      <c r="WJD482" s="329"/>
      <c r="WJE482" s="329"/>
      <c r="WJF482" s="329"/>
      <c r="WJG482" s="329"/>
      <c r="WJH482" s="329"/>
      <c r="WJI482" s="329"/>
      <c r="WJJ482" s="329"/>
      <c r="WJK482" s="329"/>
      <c r="WJL482" s="329"/>
      <c r="WJM482" s="329"/>
      <c r="WJN482" s="329"/>
      <c r="WJO482" s="329"/>
      <c r="WJP482" s="329"/>
      <c r="WJQ482" s="329"/>
      <c r="WJR482" s="329"/>
      <c r="WJS482" s="329"/>
      <c r="WJT482" s="329"/>
      <c r="WJU482" s="329"/>
      <c r="WJV482" s="329"/>
      <c r="WJW482" s="329"/>
      <c r="WJX482" s="329"/>
      <c r="WJY482" s="329"/>
      <c r="WJZ482" s="329"/>
      <c r="WKA482" s="329"/>
      <c r="WKB482" s="329"/>
      <c r="WKC482" s="329"/>
      <c r="WKD482" s="329"/>
      <c r="WKE482" s="329"/>
      <c r="WKF482" s="329"/>
      <c r="WKG482" s="329"/>
      <c r="WKH482" s="329"/>
      <c r="WKI482" s="329"/>
      <c r="WKJ482" s="329"/>
      <c r="WKK482" s="329"/>
      <c r="WKL482" s="329"/>
      <c r="WKM482" s="329"/>
      <c r="WKN482" s="329"/>
      <c r="WKO482" s="329"/>
      <c r="WKP482" s="329"/>
      <c r="WKQ482" s="329"/>
      <c r="WKR482" s="329"/>
      <c r="WKS482" s="329"/>
      <c r="WKT482" s="329"/>
      <c r="WKU482" s="329"/>
      <c r="WKV482" s="329"/>
      <c r="WKW482" s="329"/>
      <c r="WKX482" s="329"/>
      <c r="WKY482" s="329"/>
      <c r="WKZ482" s="329"/>
      <c r="WLA482" s="329"/>
      <c r="WLB482" s="329"/>
      <c r="WLC482" s="329"/>
      <c r="WLD482" s="329"/>
      <c r="WLE482" s="329"/>
      <c r="WLF482" s="329"/>
      <c r="WLG482" s="329"/>
      <c r="WLH482" s="329"/>
      <c r="WLI482" s="329"/>
      <c r="WLJ482" s="329"/>
      <c r="WLK482" s="329"/>
      <c r="WLL482" s="329"/>
      <c r="WLM482" s="329"/>
      <c r="WLN482" s="329"/>
      <c r="WLO482" s="329"/>
      <c r="WLP482" s="329"/>
      <c r="WLQ482" s="329"/>
      <c r="WLR482" s="329"/>
      <c r="WLS482" s="329"/>
      <c r="WLT482" s="329"/>
      <c r="WLU482" s="329"/>
      <c r="WLV482" s="329"/>
      <c r="WLW482" s="329"/>
      <c r="WLX482" s="329"/>
      <c r="WLY482" s="329"/>
      <c r="WLZ482" s="329"/>
      <c r="WMA482" s="329"/>
      <c r="WMB482" s="329"/>
      <c r="WMC482" s="329"/>
      <c r="WMD482" s="329"/>
      <c r="WME482" s="329"/>
      <c r="WMF482" s="329"/>
      <c r="WMG482" s="329"/>
      <c r="WMH482" s="329"/>
      <c r="WMI482" s="329"/>
      <c r="WMJ482" s="329"/>
      <c r="WMK482" s="329"/>
      <c r="WML482" s="329"/>
      <c r="WMM482" s="329"/>
      <c r="WMN482" s="329"/>
      <c r="WMO482" s="329"/>
      <c r="WMP482" s="329"/>
      <c r="WMQ482" s="329"/>
      <c r="WMR482" s="329"/>
      <c r="WMS482" s="329"/>
      <c r="WMT482" s="329"/>
      <c r="WMU482" s="329"/>
      <c r="WMV482" s="329"/>
      <c r="WMW482" s="329"/>
      <c r="WMX482" s="329"/>
      <c r="WMY482" s="329"/>
      <c r="WMZ482" s="329"/>
      <c r="WNA482" s="329"/>
      <c r="WNB482" s="329"/>
      <c r="WNC482" s="329"/>
      <c r="WND482" s="329"/>
      <c r="WNE482" s="329"/>
      <c r="WNF482" s="329"/>
      <c r="WNG482" s="329"/>
      <c r="WNH482" s="329"/>
      <c r="WNI482" s="329"/>
      <c r="WNJ482" s="329"/>
      <c r="WNK482" s="329"/>
      <c r="WNL482" s="329"/>
      <c r="WNM482" s="329"/>
      <c r="WNN482" s="329"/>
      <c r="WNO482" s="329"/>
      <c r="WNP482" s="329"/>
      <c r="WNQ482" s="329"/>
      <c r="WNR482" s="329"/>
      <c r="WNS482" s="329"/>
      <c r="WNT482" s="329"/>
      <c r="WNU482" s="329"/>
      <c r="WNV482" s="329"/>
      <c r="WNW482" s="329"/>
      <c r="WNX482" s="329"/>
      <c r="WNY482" s="329"/>
      <c r="WNZ482" s="329"/>
      <c r="WOA482" s="329"/>
      <c r="WOB482" s="329"/>
      <c r="WOC482" s="329"/>
      <c r="WOD482" s="329"/>
      <c r="WOE482" s="329"/>
      <c r="WOF482" s="329"/>
      <c r="WOG482" s="329"/>
      <c r="WOH482" s="329"/>
      <c r="WOI482" s="329"/>
      <c r="WOJ482" s="329"/>
      <c r="WOK482" s="329"/>
      <c r="WOL482" s="329"/>
      <c r="WOM482" s="329"/>
      <c r="WON482" s="329"/>
      <c r="WOO482" s="329"/>
      <c r="WOP482" s="329"/>
      <c r="WOQ482" s="329"/>
      <c r="WOR482" s="329"/>
      <c r="WOS482" s="329"/>
      <c r="WOT482" s="329"/>
      <c r="WOU482" s="329"/>
      <c r="WOV482" s="329"/>
      <c r="WOW482" s="329"/>
      <c r="WOX482" s="329"/>
      <c r="WOY482" s="329"/>
      <c r="WOZ482" s="329"/>
      <c r="WPA482" s="329"/>
      <c r="WPB482" s="329"/>
      <c r="WPC482" s="329"/>
      <c r="WPD482" s="329"/>
      <c r="WPE482" s="329"/>
      <c r="WPF482" s="329"/>
      <c r="WPG482" s="329"/>
      <c r="WPH482" s="329"/>
      <c r="WPI482" s="329"/>
      <c r="WPJ482" s="329"/>
      <c r="WPK482" s="329"/>
      <c r="WPL482" s="329"/>
      <c r="WPM482" s="329"/>
      <c r="WPN482" s="329"/>
      <c r="WPO482" s="329"/>
      <c r="WPP482" s="329"/>
      <c r="WPQ482" s="329"/>
      <c r="WPR482" s="329"/>
      <c r="WPS482" s="329"/>
      <c r="WPT482" s="329"/>
      <c r="WPU482" s="329"/>
      <c r="WPV482" s="329"/>
      <c r="WPW482" s="329"/>
      <c r="WPX482" s="329"/>
      <c r="WPY482" s="329"/>
      <c r="WPZ482" s="329"/>
      <c r="WQA482" s="329"/>
      <c r="WQB482" s="329"/>
      <c r="WQC482" s="329"/>
      <c r="WQD482" s="329"/>
      <c r="WQE482" s="329"/>
      <c r="WQF482" s="329"/>
      <c r="WQG482" s="329"/>
      <c r="WQH482" s="329"/>
      <c r="WQI482" s="329"/>
      <c r="WQJ482" s="329"/>
      <c r="WQK482" s="329"/>
      <c r="WQL482" s="329"/>
      <c r="WQM482" s="329"/>
      <c r="WQN482" s="329"/>
      <c r="WQO482" s="329"/>
      <c r="WQP482" s="329"/>
      <c r="WQQ482" s="329"/>
      <c r="WQR482" s="329"/>
      <c r="WQS482" s="329"/>
      <c r="WQT482" s="329"/>
      <c r="WQU482" s="329"/>
      <c r="WQV482" s="329"/>
      <c r="WQW482" s="329"/>
      <c r="WQX482" s="329"/>
      <c r="WQY482" s="329"/>
      <c r="WQZ482" s="329"/>
      <c r="WRA482" s="329"/>
      <c r="WRB482" s="329"/>
      <c r="WRC482" s="329"/>
      <c r="WRD482" s="329"/>
      <c r="WRE482" s="329"/>
      <c r="WRF482" s="329"/>
      <c r="WRG482" s="329"/>
      <c r="WRH482" s="329"/>
      <c r="WRI482" s="329"/>
      <c r="WRJ482" s="329"/>
      <c r="WRK482" s="329"/>
      <c r="WRL482" s="329"/>
      <c r="WRM482" s="329"/>
      <c r="WRN482" s="329"/>
      <c r="WRO482" s="329"/>
      <c r="WRP482" s="329"/>
      <c r="WRQ482" s="329"/>
      <c r="WRR482" s="329"/>
      <c r="WRS482" s="329"/>
      <c r="WRT482" s="329"/>
      <c r="WRU482" s="329"/>
      <c r="WRV482" s="329"/>
      <c r="WRW482" s="329"/>
      <c r="WRX482" s="329"/>
      <c r="WRY482" s="329"/>
      <c r="WRZ482" s="329"/>
      <c r="WSA482" s="329"/>
      <c r="WSB482" s="329"/>
      <c r="WSC482" s="329"/>
      <c r="WSD482" s="329"/>
      <c r="WSE482" s="329"/>
      <c r="WSF482" s="329"/>
      <c r="WSG482" s="329"/>
      <c r="WSH482" s="329"/>
      <c r="WSI482" s="329"/>
      <c r="WSJ482" s="329"/>
      <c r="WSK482" s="329"/>
      <c r="WSL482" s="329"/>
      <c r="WSM482" s="329"/>
      <c r="WSN482" s="329"/>
      <c r="WSO482" s="329"/>
      <c r="WSP482" s="329"/>
      <c r="WSQ482" s="329"/>
      <c r="WSR482" s="329"/>
      <c r="WSS482" s="329"/>
      <c r="WST482" s="329"/>
      <c r="WSU482" s="329"/>
      <c r="WSV482" s="329"/>
      <c r="WSW482" s="329"/>
      <c r="WSX482" s="329"/>
      <c r="WSY482" s="329"/>
      <c r="WSZ482" s="329"/>
      <c r="WTA482" s="329"/>
      <c r="WTB482" s="329"/>
      <c r="WTC482" s="329"/>
      <c r="WTD482" s="329"/>
      <c r="WTE482" s="329"/>
      <c r="WTF482" s="329"/>
      <c r="WTG482" s="329"/>
      <c r="WTH482" s="329"/>
      <c r="WTI482" s="329"/>
      <c r="WTJ482" s="329"/>
      <c r="WTK482" s="329"/>
      <c r="WTL482" s="329"/>
      <c r="WTM482" s="329"/>
      <c r="WTN482" s="329"/>
      <c r="WTO482" s="329"/>
      <c r="WTP482" s="329"/>
      <c r="WTQ482" s="329"/>
      <c r="WTR482" s="329"/>
      <c r="WTS482" s="329"/>
      <c r="WTT482" s="329"/>
      <c r="WTU482" s="329"/>
      <c r="WTV482" s="329"/>
      <c r="WTW482" s="329"/>
      <c r="WTX482" s="329"/>
      <c r="WTY482" s="329"/>
      <c r="WTZ482" s="329"/>
      <c r="WUA482" s="329"/>
      <c r="WUB482" s="329"/>
      <c r="WUC482" s="329"/>
      <c r="WUD482" s="329"/>
      <c r="WUE482" s="329"/>
      <c r="WUF482" s="329"/>
      <c r="WUG482" s="329"/>
      <c r="WUH482" s="329"/>
      <c r="WUI482" s="329"/>
      <c r="WUJ482" s="329"/>
      <c r="WUK482" s="329"/>
      <c r="WUL482" s="329"/>
      <c r="WUM482" s="329"/>
      <c r="WUN482" s="329"/>
      <c r="WUO482" s="329"/>
      <c r="WUP482" s="329"/>
      <c r="WUQ482" s="329"/>
      <c r="WUR482" s="329"/>
      <c r="WUS482" s="329"/>
      <c r="WUT482" s="329"/>
      <c r="WUU482" s="329"/>
      <c r="WUV482" s="329"/>
      <c r="WUW482" s="329"/>
      <c r="WUX482" s="329"/>
      <c r="WUY482" s="329"/>
      <c r="WUZ482" s="329"/>
      <c r="WVA482" s="329"/>
      <c r="WVB482" s="329"/>
      <c r="WVC482" s="329"/>
      <c r="WVD482" s="329"/>
      <c r="WVE482" s="329"/>
      <c r="WVF482" s="329"/>
      <c r="WVG482" s="329"/>
      <c r="WVH482" s="329"/>
      <c r="WVI482" s="329"/>
      <c r="WVJ482" s="329"/>
      <c r="WVK482" s="329"/>
      <c r="WVL482" s="329"/>
      <c r="WVM482" s="329"/>
      <c r="WVN482" s="329"/>
      <c r="WVO482" s="329"/>
      <c r="WVP482" s="329"/>
      <c r="WVQ482" s="329"/>
      <c r="WVR482" s="329"/>
      <c r="WVS482" s="329"/>
      <c r="WVT482" s="329"/>
      <c r="WVU482" s="329"/>
      <c r="WVV482" s="329"/>
      <c r="WVW482" s="329"/>
      <c r="WVX482" s="329"/>
      <c r="WVY482" s="329"/>
      <c r="WVZ482" s="329"/>
      <c r="WWA482" s="329"/>
      <c r="WWB482" s="329"/>
      <c r="WWC482" s="329"/>
      <c r="WWD482" s="329"/>
      <c r="WWE482" s="329"/>
      <c r="WWF482" s="329"/>
      <c r="WWG482" s="329"/>
      <c r="WWH482" s="329"/>
      <c r="WWI482" s="329"/>
      <c r="WWJ482" s="329"/>
      <c r="WWK482" s="329"/>
      <c r="WWL482" s="329"/>
      <c r="WWM482" s="329"/>
      <c r="WWN482" s="329"/>
      <c r="WWO482" s="329"/>
      <c r="WWP482" s="329"/>
      <c r="WWQ482" s="329"/>
      <c r="WWR482" s="329"/>
      <c r="WWS482" s="329"/>
      <c r="WWT482" s="329"/>
      <c r="WWU482" s="329"/>
      <c r="WWV482" s="329"/>
      <c r="WWW482" s="329"/>
      <c r="WWX482" s="329"/>
      <c r="WWY482" s="329"/>
      <c r="WWZ482" s="329"/>
      <c r="WXA482" s="329"/>
      <c r="WXB482" s="329"/>
      <c r="WXC482" s="329"/>
      <c r="WXD482" s="329"/>
      <c r="WXE482" s="329"/>
      <c r="WXF482" s="329"/>
      <c r="WXG482" s="329"/>
      <c r="WXH482" s="329"/>
      <c r="WXI482" s="329"/>
      <c r="WXJ482" s="329"/>
      <c r="WXK482" s="329"/>
      <c r="WXL482" s="329"/>
      <c r="WXM482" s="329"/>
      <c r="WXN482" s="329"/>
      <c r="WXO482" s="329"/>
      <c r="WXP482" s="329"/>
      <c r="WXQ482" s="329"/>
      <c r="WXR482" s="329"/>
      <c r="WXS482" s="329"/>
      <c r="WXT482" s="329"/>
      <c r="WXU482" s="329"/>
      <c r="WXV482" s="329"/>
      <c r="WXW482" s="329"/>
      <c r="WXX482" s="329"/>
      <c r="WXY482" s="329"/>
      <c r="WXZ482" s="329"/>
      <c r="WYA482" s="329"/>
      <c r="WYB482" s="329"/>
      <c r="WYC482" s="329"/>
      <c r="WYD482" s="329"/>
      <c r="WYE482" s="329"/>
      <c r="WYF482" s="329"/>
      <c r="WYG482" s="329"/>
      <c r="WYH482" s="329"/>
      <c r="WYI482" s="329"/>
      <c r="WYJ482" s="329"/>
      <c r="WYK482" s="329"/>
      <c r="WYL482" s="329"/>
      <c r="WYM482" s="329"/>
      <c r="WYN482" s="329"/>
      <c r="WYO482" s="329"/>
      <c r="WYP482" s="329"/>
      <c r="WYQ482" s="329"/>
      <c r="WYR482" s="329"/>
      <c r="WYS482" s="329"/>
      <c r="WYT482" s="329"/>
      <c r="WYU482" s="329"/>
      <c r="WYV482" s="329"/>
      <c r="WYW482" s="329"/>
      <c r="WYX482" s="329"/>
      <c r="WYY482" s="329"/>
      <c r="WYZ482" s="329"/>
      <c r="WZA482" s="329"/>
      <c r="WZB482" s="329"/>
      <c r="WZC482" s="329"/>
      <c r="WZD482" s="329"/>
      <c r="WZE482" s="329"/>
      <c r="WZF482" s="329"/>
      <c r="WZG482" s="329"/>
      <c r="WZH482" s="329"/>
      <c r="WZI482" s="329"/>
      <c r="WZJ482" s="329"/>
      <c r="WZK482" s="329"/>
      <c r="WZL482" s="329"/>
      <c r="WZM482" s="329"/>
      <c r="WZN482" s="329"/>
      <c r="WZO482" s="329"/>
      <c r="WZP482" s="329"/>
      <c r="WZQ482" s="329"/>
      <c r="WZR482" s="329"/>
      <c r="WZS482" s="329"/>
      <c r="WZT482" s="329"/>
      <c r="WZU482" s="329"/>
      <c r="WZV482" s="329"/>
      <c r="WZW482" s="329"/>
      <c r="WZX482" s="329"/>
      <c r="WZY482" s="329"/>
      <c r="WZZ482" s="329"/>
      <c r="XAA482" s="329"/>
      <c r="XAB482" s="329"/>
      <c r="XAC482" s="329"/>
      <c r="XAD482" s="329"/>
      <c r="XAE482" s="329"/>
      <c r="XAF482" s="329"/>
      <c r="XAG482" s="329"/>
      <c r="XAH482" s="329"/>
      <c r="XAI482" s="329"/>
      <c r="XAJ482" s="329"/>
      <c r="XAK482" s="329"/>
      <c r="XAL482" s="329"/>
      <c r="XAM482" s="329"/>
      <c r="XAN482" s="329"/>
      <c r="XAO482" s="329"/>
      <c r="XAP482" s="329"/>
      <c r="XAQ482" s="329"/>
      <c r="XAR482" s="329"/>
      <c r="XAS482" s="329"/>
      <c r="XAT482" s="329"/>
      <c r="XAU482" s="329"/>
      <c r="XAV482" s="329"/>
      <c r="XAW482" s="329"/>
      <c r="XAX482" s="329"/>
      <c r="XAY482" s="329"/>
      <c r="XAZ482" s="329"/>
      <c r="XBA482" s="329"/>
      <c r="XBB482" s="329"/>
      <c r="XBC482" s="329"/>
      <c r="XBD482" s="329"/>
      <c r="XBE482" s="329"/>
      <c r="XBF482" s="329"/>
      <c r="XBG482" s="329"/>
      <c r="XBH482" s="329"/>
      <c r="XBI482" s="329"/>
      <c r="XBJ482" s="329"/>
      <c r="XBK482" s="329"/>
      <c r="XBL482" s="329"/>
      <c r="XBM482" s="329"/>
      <c r="XBN482" s="329"/>
      <c r="XBO482" s="329"/>
      <c r="XBP482" s="329"/>
      <c r="XBQ482" s="329"/>
      <c r="XBR482" s="329"/>
      <c r="XBS482" s="329"/>
      <c r="XBT482" s="329"/>
      <c r="XBU482" s="329"/>
      <c r="XBV482" s="329"/>
      <c r="XBW482" s="329"/>
      <c r="XBX482" s="329"/>
      <c r="XBY482" s="329"/>
      <c r="XBZ482" s="329"/>
      <c r="XCA482" s="329"/>
      <c r="XCB482" s="329"/>
      <c r="XCC482" s="329"/>
      <c r="XCD482" s="329"/>
      <c r="XCE482" s="329"/>
      <c r="XCF482" s="329"/>
    </row>
  </sheetData>
  <sheetProtection sheet="1" formatCells="0" formatColumns="0" formatRows="0" insertColumns="0" insertRows="0" insertHyperlinks="0" selectLockedCells="1" sort="0" autoFilter="0" pivotTables="0"/>
  <mergeCells count="22">
    <mergeCell ref="O162:R162"/>
    <mergeCell ref="O215:R215"/>
    <mergeCell ref="F62:O62"/>
    <mergeCell ref="B108:B114"/>
    <mergeCell ref="C108:H108"/>
    <mergeCell ref="B119:B125"/>
    <mergeCell ref="C119:H119"/>
    <mergeCell ref="O108:R108"/>
    <mergeCell ref="B130:B136"/>
    <mergeCell ref="C130:H130"/>
    <mergeCell ref="B162:B168"/>
    <mergeCell ref="C162:H162"/>
    <mergeCell ref="B173:B179"/>
    <mergeCell ref="C173:H173"/>
    <mergeCell ref="B237:B243"/>
    <mergeCell ref="C237:H237"/>
    <mergeCell ref="B184:B190"/>
    <mergeCell ref="C184:H184"/>
    <mergeCell ref="B215:B221"/>
    <mergeCell ref="C215:H215"/>
    <mergeCell ref="B226:B232"/>
    <mergeCell ref="C226:H226"/>
  </mergeCells>
  <phoneticPr fontId="4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tabSelected="1" zoomScale="67" workbookViewId="0">
      <selection activeCell="B21" sqref="B21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39" t="s">
        <v>176</v>
      </c>
      <c r="C5" s="240"/>
      <c r="D5" s="240"/>
      <c r="E5" s="240"/>
      <c r="F5" s="25"/>
      <c r="G5" s="239" t="s">
        <v>177</v>
      </c>
      <c r="H5" s="240"/>
      <c r="I5" s="240"/>
      <c r="J5" s="240"/>
      <c r="K5" s="240"/>
      <c r="L5" s="25"/>
      <c r="M5" s="239" t="s">
        <v>176</v>
      </c>
      <c r="N5" s="240"/>
      <c r="O5" s="240"/>
      <c r="P5" s="240"/>
    </row>
    <row r="6" spans="2:16384">
      <c r="B6" s="241" t="s">
        <v>178</v>
      </c>
      <c r="C6" s="25"/>
      <c r="D6" s="25"/>
      <c r="E6" s="25"/>
      <c r="F6" s="25"/>
      <c r="G6" s="242"/>
      <c r="H6" s="243">
        <f>DCF!E5</f>
        <v>2023</v>
      </c>
      <c r="I6" s="244">
        <f>DCF!F5</f>
        <v>2024</v>
      </c>
      <c r="J6" s="25"/>
      <c r="K6" s="25"/>
      <c r="L6" s="25"/>
      <c r="M6" s="241" t="s">
        <v>178</v>
      </c>
      <c r="N6" s="25"/>
      <c r="O6" s="25"/>
      <c r="P6" s="25"/>
    </row>
    <row r="7" spans="2:16384">
      <c r="B7" s="245"/>
      <c r="C7" s="246"/>
      <c r="D7" s="246"/>
      <c r="E7" s="246"/>
      <c r="F7" s="246"/>
      <c r="G7" s="246"/>
      <c r="H7" s="25"/>
      <c r="I7" s="25"/>
      <c r="J7" s="25"/>
      <c r="K7" s="25"/>
      <c r="L7" s="25"/>
      <c r="M7" s="245"/>
      <c r="N7" s="246"/>
      <c r="O7" s="246"/>
      <c r="P7" s="246"/>
    </row>
    <row r="8" spans="2:16384">
      <c r="B8" s="245" t="s">
        <v>179</v>
      </c>
      <c r="C8" s="25"/>
      <c r="D8" s="25"/>
      <c r="E8" s="247" vm="1">
        <f ca="1">'Information from Python'!F5</f>
        <v>237.3</v>
      </c>
      <c r="F8" s="246"/>
      <c r="G8" s="246" t="s">
        <v>180</v>
      </c>
      <c r="H8" s="248">
        <f>DCF!E6</f>
        <v>96773</v>
      </c>
      <c r="I8" s="248">
        <f>DCF!F6</f>
        <v>106450.3</v>
      </c>
      <c r="J8" s="25"/>
      <c r="K8" s="25"/>
      <c r="L8" s="25"/>
      <c r="M8" s="25" t="s">
        <v>181</v>
      </c>
      <c r="N8" s="249">
        <f>High_Share_Price</f>
        <v>280</v>
      </c>
      <c r="O8" s="25" t="s">
        <v>182</v>
      </c>
      <c r="P8" s="25"/>
    </row>
    <row r="9" spans="2:16384">
      <c r="B9" s="245" t="s">
        <v>183</v>
      </c>
      <c r="C9" s="25"/>
      <c r="D9" s="25"/>
      <c r="E9" s="250">
        <f>Shares_Outstanding / 1000000</f>
        <v>15171.99</v>
      </c>
      <c r="F9" s="246"/>
      <c r="G9" s="246" t="s">
        <v>184</v>
      </c>
      <c r="H9" s="248">
        <f>DCF!E15</f>
        <v>14796</v>
      </c>
      <c r="I9" s="248">
        <f>DCF!F15</f>
        <v>21407.782397665589</v>
      </c>
      <c r="J9" s="25"/>
      <c r="K9" s="25"/>
      <c r="L9" s="25"/>
      <c r="M9" s="25" t="s">
        <v>185</v>
      </c>
      <c r="N9" s="249">
        <f>Low_Share_Price</f>
        <v>120</v>
      </c>
      <c r="O9" s="25" t="s">
        <v>186</v>
      </c>
      <c r="P9" s="25"/>
    </row>
    <row r="10" spans="2:16384">
      <c r="B10" s="245" t="s">
        <v>187</v>
      </c>
      <c r="C10" s="245"/>
      <c r="D10" s="245"/>
      <c r="E10" s="251">
        <f ca="1">E8 * E9</f>
        <v>3600313.227</v>
      </c>
      <c r="F10" s="246"/>
      <c r="G10" s="252" t="s">
        <v>188</v>
      </c>
      <c r="H10" s="253">
        <f ca="1">$E$13/H8</f>
        <v>37.009643464602732</v>
      </c>
      <c r="I10" s="253">
        <f ca="1">$E$13/I8</f>
        <v>33.645130422366115</v>
      </c>
      <c r="J10" s="25"/>
      <c r="K10" s="25"/>
      <c r="L10" s="25"/>
      <c r="M10" s="25"/>
      <c r="N10" s="25"/>
      <c r="O10" s="25"/>
      <c r="P10" s="25"/>
    </row>
    <row r="11" spans="2:16384">
      <c r="B11" s="245" t="s">
        <v>189</v>
      </c>
      <c r="C11" s="245"/>
      <c r="D11" s="245"/>
      <c r="E11" s="254">
        <f>'Balance Sheet Historic'!C62</f>
        <v>9573</v>
      </c>
      <c r="F11" s="246"/>
      <c r="G11" s="246" t="s">
        <v>190</v>
      </c>
      <c r="H11" s="253">
        <f ca="1">$E$13/H9</f>
        <v>242.0609777642606</v>
      </c>
      <c r="I11" s="253">
        <f ca="1">$E$13/I9</f>
        <v>167.30057137494765</v>
      </c>
      <c r="J11" s="25"/>
      <c r="K11" s="25"/>
      <c r="L11" s="25"/>
      <c r="M11" s="25"/>
      <c r="N11" s="25"/>
      <c r="O11" s="25"/>
      <c r="P11" s="25"/>
    </row>
    <row r="12" spans="2:16384">
      <c r="B12" s="245" t="s">
        <v>191</v>
      </c>
      <c r="C12" s="245"/>
      <c r="D12" s="245"/>
      <c r="E12" s="254">
        <f>'Balance Sheet Historic'!C53</f>
        <v>28352</v>
      </c>
      <c r="F12" s="246"/>
      <c r="G12" s="245"/>
      <c r="H12" s="246"/>
      <c r="I12" s="246"/>
      <c r="J12" s="25"/>
      <c r="K12" s="25"/>
      <c r="L12" s="25"/>
      <c r="M12" s="25"/>
      <c r="N12" s="25"/>
      <c r="O12" s="25"/>
      <c r="P12" s="25"/>
    </row>
    <row r="13" spans="2:16384">
      <c r="B13" s="255" t="s">
        <v>176</v>
      </c>
      <c r="C13" s="255"/>
      <c r="D13" s="255"/>
      <c r="E13" s="256">
        <f ca="1">E10+E11-E12</f>
        <v>3581534.227</v>
      </c>
      <c r="F13" s="246"/>
      <c r="G13" s="246"/>
      <c r="H13" s="246"/>
      <c r="I13" s="246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116" t="s">
        <v>252</v>
      </c>
      <c r="C23" s="117">
        <v>1137223.081161313</v>
      </c>
      <c r="D23" s="118">
        <v>1056174.081161313</v>
      </c>
      <c r="E23" s="119">
        <v>3.7245544455490549</v>
      </c>
      <c r="F23" s="120">
        <v>3.435896865785645</v>
      </c>
      <c r="G23" s="119">
        <v>12.00608694993632</v>
      </c>
      <c r="H23" s="121">
        <v>10.76059663747364</v>
      </c>
    </row>
    <row r="24" spans="2:16384">
      <c r="B24" s="116" t="s">
        <v>253</v>
      </c>
      <c r="C24" s="122">
        <v>42458.781280389398</v>
      </c>
      <c r="D24" s="123">
        <v>61779.781280389398</v>
      </c>
      <c r="E24" s="124">
        <v>0.62616964917634632</v>
      </c>
      <c r="F24" s="125">
        <v>0.6986687167700244</v>
      </c>
      <c r="G24" s="124">
        <v>8.4253296436129688</v>
      </c>
      <c r="H24" s="126">
        <v>7.1084778829121396</v>
      </c>
    </row>
    <row r="25" spans="2:16384">
      <c r="B25" s="116" t="s">
        <v>254</v>
      </c>
      <c r="C25" s="122">
        <v>3236031.52</v>
      </c>
      <c r="D25" s="123">
        <v>3258340.52</v>
      </c>
      <c r="E25" s="124">
        <v>15.120262935610979</v>
      </c>
      <c r="F25" s="125">
        <v>13.292729824332371</v>
      </c>
      <c r="G25" s="124">
        <v>30.572777512737819</v>
      </c>
      <c r="H25" s="126">
        <v>24.916575055440848</v>
      </c>
    </row>
    <row r="26" spans="2:16384">
      <c r="B26" s="116" t="s">
        <v>255</v>
      </c>
      <c r="C26" s="122">
        <v>389606.584734793</v>
      </c>
      <c r="D26" s="123">
        <v>399440.60673479299</v>
      </c>
      <c r="E26" s="124">
        <v>12.66717475213283</v>
      </c>
      <c r="F26" s="125">
        <v>11.844648722655821</v>
      </c>
      <c r="G26" s="124">
        <v>63.499434934957428</v>
      </c>
      <c r="H26" s="126">
        <v>55.002866458904343</v>
      </c>
    </row>
    <row r="27" spans="2:16384">
      <c r="B27" s="116"/>
      <c r="C27" s="122"/>
      <c r="D27" s="123"/>
      <c r="E27" s="124"/>
      <c r="F27" s="125"/>
      <c r="G27" s="124"/>
      <c r="H27" s="126"/>
    </row>
    <row r="28" spans="2:16384">
      <c r="B28" s="116"/>
      <c r="C28" s="122"/>
      <c r="D28" s="123"/>
      <c r="E28" s="124"/>
      <c r="F28" s="125"/>
      <c r="G28" s="124"/>
      <c r="H28" s="126"/>
    </row>
    <row r="29" spans="2:16384">
      <c r="B29" s="116"/>
      <c r="C29" s="122"/>
      <c r="D29" s="123"/>
      <c r="E29" s="124"/>
      <c r="F29" s="125"/>
      <c r="G29" s="124"/>
      <c r="H29" s="126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116"/>
      <c r="C30" s="122"/>
      <c r="D30" s="123"/>
      <c r="E30" s="124"/>
      <c r="F30" s="125"/>
      <c r="G30" s="124"/>
      <c r="H30" s="126"/>
      <c r="AZ30">
        <v>0.62616964917634632</v>
      </c>
      <c r="BA30">
        <v>8.0345404456173029</v>
      </c>
      <c r="BB30">
        <v>15.120262935610979</v>
      </c>
    </row>
    <row r="31" spans="2:16384">
      <c r="B31" s="116"/>
      <c r="C31" s="122"/>
      <c r="D31" s="123"/>
      <c r="E31" s="124"/>
      <c r="F31" s="125"/>
      <c r="G31" s="124"/>
      <c r="H31" s="126"/>
      <c r="AZ31">
        <v>0.6986687167700244</v>
      </c>
      <c r="BA31">
        <v>7.3179860323859653</v>
      </c>
      <c r="BB31">
        <v>13.292729824332371</v>
      </c>
    </row>
    <row r="32" spans="2:16384">
      <c r="B32" s="116"/>
      <c r="C32" s="122"/>
      <c r="D32" s="123"/>
      <c r="E32" s="124"/>
      <c r="F32" s="125"/>
      <c r="G32" s="124"/>
      <c r="H32" s="126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45"/>
      <c r="C35" s="25"/>
      <c r="D35" s="257" t="s">
        <v>213</v>
      </c>
      <c r="E35" s="258">
        <f>MAX(E23:E33)</f>
        <v>15.120262935610979</v>
      </c>
      <c r="F35" s="258">
        <f t="shared" ref="F35:H35" si="0">MAX(F23:F33)</f>
        <v>13.292729824332371</v>
      </c>
      <c r="G35" s="258">
        <f t="shared" si="0"/>
        <v>63.499434934957428</v>
      </c>
      <c r="H35" s="258">
        <f t="shared" si="0"/>
        <v>55.002866458904343</v>
      </c>
    </row>
    <row r="36" spans="2:54">
      <c r="B36" s="245"/>
      <c r="C36" s="25"/>
      <c r="D36" s="257" t="s">
        <v>214</v>
      </c>
      <c r="E36" s="258">
        <f>AVERAGE(E23:E33)</f>
        <v>8.0345404456173029</v>
      </c>
      <c r="F36" s="258">
        <f t="shared" ref="F36:H36" si="1">AVERAGE(F23:F33)</f>
        <v>7.3179860323859653</v>
      </c>
      <c r="G36" s="258">
        <f t="shared" si="1"/>
        <v>28.625907260311131</v>
      </c>
      <c r="H36" s="258">
        <f t="shared" si="1"/>
        <v>24.447129008682744</v>
      </c>
    </row>
    <row r="37" spans="2:54">
      <c r="B37" s="245"/>
      <c r="C37" s="25"/>
      <c r="D37" s="257" t="s">
        <v>215</v>
      </c>
      <c r="E37" s="258">
        <f>MEDIAN(E23:E33)</f>
        <v>8.1958645988409415</v>
      </c>
      <c r="F37" s="258">
        <f t="shared" ref="F37:H37" si="2">MEDIAN(F23:F33)</f>
        <v>7.6402727942207331</v>
      </c>
      <c r="G37" s="258">
        <f t="shared" si="2"/>
        <v>21.289432231337067</v>
      </c>
      <c r="H37" s="258">
        <f t="shared" si="2"/>
        <v>17.838585846457242</v>
      </c>
    </row>
    <row r="38" spans="2:54">
      <c r="B38" s="245"/>
      <c r="C38" s="25"/>
      <c r="D38" s="257" t="s">
        <v>216</v>
      </c>
      <c r="E38" s="258">
        <f>MIN(E23:E33)</f>
        <v>0.62616964917634632</v>
      </c>
      <c r="F38" s="258">
        <f t="shared" ref="F38:H38" si="3">MIN(F23:F33)</f>
        <v>0.6986687167700244</v>
      </c>
      <c r="G38" s="258">
        <f t="shared" si="3"/>
        <v>8.4253296436129688</v>
      </c>
      <c r="H38" s="258">
        <f t="shared" si="3"/>
        <v>7.1084778829121396</v>
      </c>
    </row>
    <row r="39" spans="2:54">
      <c r="B39" s="25"/>
      <c r="C39" s="246"/>
      <c r="D39" s="246"/>
      <c r="E39" s="259"/>
      <c r="F39" s="92"/>
      <c r="G39" s="92"/>
      <c r="H39" s="92"/>
    </row>
    <row r="40" spans="2:54">
      <c r="B40" s="260" t="str" cm="1">
        <f t="array" ref="B40">Name</f>
        <v>Apple Inc.</v>
      </c>
      <c r="C40" s="261">
        <f ca="1">E10</f>
        <v>3600313.227</v>
      </c>
      <c r="D40" s="261">
        <f ca="1">E13</f>
        <v>3581534.227</v>
      </c>
      <c r="E40" s="262">
        <f ca="1">H10</f>
        <v>37.009643464602732</v>
      </c>
      <c r="F40" s="262">
        <f ca="1">I10</f>
        <v>33.645130422366115</v>
      </c>
      <c r="G40" s="262">
        <f ca="1">H11</f>
        <v>242.0609777642606</v>
      </c>
      <c r="H40" s="262">
        <f ca="1">I11</f>
        <v>167.30057137494765</v>
      </c>
    </row>
  </sheetData>
  <sheetProtection sheet="1" formatCells="0" formatColumns="0" formatRows="0" insertColumns="0" insertRows="0" insertHyperlinks="0" selectLockedCells="1" sort="0" autoFilter="0" pivotTables="0"/>
  <phoneticPr fontId="4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topLeftCell="B1" zoomScaleNormal="113" workbookViewId="0">
      <selection activeCell="H5" sqref="H5:J8"/>
    </sheetView>
  </sheetViews>
  <sheetFormatPr baseColWidth="10" defaultRowHeight="16"/>
  <cols>
    <col min="2" max="2" width="17.7109375" customWidth="1"/>
    <col min="3" max="3" width="16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308" t="str">
        <f>"Valuation Football Field: "&amp;Name</f>
        <v>Valuation Football Field: Apple Inc.</v>
      </c>
      <c r="C4" s="309"/>
      <c r="D4" s="309"/>
      <c r="E4" s="309"/>
      <c r="F4" s="309"/>
      <c r="G4" s="25"/>
      <c r="H4" s="25"/>
      <c r="I4" s="25"/>
      <c r="AT4" s="275" t="str">
        <f>B4</f>
        <v>Valuation Football Field: Apple Inc.</v>
      </c>
      <c r="AU4" s="275"/>
      <c r="AV4" s="275"/>
      <c r="AW4" s="275"/>
      <c r="AX4" s="275"/>
      <c r="AY4" s="275"/>
      <c r="AZ4" s="275"/>
      <c r="BA4" s="275"/>
      <c r="BB4" s="275"/>
    </row>
    <row r="5" spans="2:16384">
      <c r="B5" s="25"/>
      <c r="C5" s="263" t="s">
        <v>230</v>
      </c>
      <c r="D5" s="264" t="s">
        <v>223</v>
      </c>
      <c r="E5" s="264" t="s">
        <v>234</v>
      </c>
      <c r="F5" s="264" t="s">
        <v>224</v>
      </c>
      <c r="G5" s="25"/>
      <c r="H5" s="265" t="s">
        <v>231</v>
      </c>
      <c r="I5" s="265" t="s">
        <v>232</v>
      </c>
      <c r="J5" s="265" t="s">
        <v>233</v>
      </c>
      <c r="AT5" s="275"/>
      <c r="AU5" s="275" t="s">
        <v>230</v>
      </c>
      <c r="AV5" s="275" t="s">
        <v>223</v>
      </c>
      <c r="AW5" s="275" t="s">
        <v>234</v>
      </c>
      <c r="AX5" s="275" t="s">
        <v>224</v>
      </c>
      <c r="AY5" s="275"/>
      <c r="AZ5" s="275" t="s">
        <v>231</v>
      </c>
      <c r="BA5" s="275" t="s">
        <v>232</v>
      </c>
      <c r="BB5" s="275" t="s">
        <v>233</v>
      </c>
    </row>
    <row r="6" spans="2:16384">
      <c r="B6" s="266" t="s">
        <v>235</v>
      </c>
      <c r="C6" s="245"/>
      <c r="D6" s="267">
        <f>Low_Share_Price</f>
        <v>120</v>
      </c>
      <c r="E6" s="268">
        <f>AVERAGE(D6,F6)</f>
        <v>200</v>
      </c>
      <c r="F6" s="267">
        <f>High_Share_Price</f>
        <v>280</v>
      </c>
      <c r="G6" s="25"/>
      <c r="H6" s="128">
        <f>D6</f>
        <v>120</v>
      </c>
      <c r="I6" s="153">
        <f>E6-D6</f>
        <v>80</v>
      </c>
      <c r="J6" s="128">
        <f>F6-E6</f>
        <v>80</v>
      </c>
      <c r="S6" s="128"/>
      <c r="T6" s="128"/>
      <c r="U6" s="128"/>
      <c r="V6" s="128"/>
      <c r="W6" s="128"/>
      <c r="X6" s="128"/>
      <c r="Y6" s="128"/>
      <c r="AT6" s="275" t="s">
        <v>235</v>
      </c>
      <c r="AU6" s="275"/>
      <c r="AV6" s="276">
        <f>D6</f>
        <v>120</v>
      </c>
      <c r="AW6" s="276">
        <f t="shared" ref="AW6:BB6" si="0">E6</f>
        <v>200</v>
      </c>
      <c r="AX6" s="276">
        <f t="shared" si="0"/>
        <v>280</v>
      </c>
      <c r="AY6" s="276"/>
      <c r="AZ6" s="276">
        <f t="shared" si="0"/>
        <v>120</v>
      </c>
      <c r="BA6" s="276">
        <f t="shared" si="0"/>
        <v>80</v>
      </c>
      <c r="BB6" s="276">
        <f t="shared" si="0"/>
        <v>80</v>
      </c>
    </row>
    <row r="7" spans="2:16384">
      <c r="B7" s="266" t="s">
        <v>225</v>
      </c>
      <c r="C7" s="245"/>
      <c r="D7" s="267">
        <f>MIN(DCF!D110:H114)</f>
        <v>9.8607521877802</v>
      </c>
      <c r="E7" s="268">
        <f ca="1">DCF!C101</f>
        <v>11.650909482118017</v>
      </c>
      <c r="F7" s="267">
        <f>MAX(DCF!D110:H114)</f>
        <v>14.37641100233099</v>
      </c>
      <c r="G7" s="25"/>
      <c r="H7" s="128">
        <f t="shared" ref="H7" si="1">D7</f>
        <v>9.8607521877802</v>
      </c>
      <c r="I7" s="153">
        <f t="shared" ref="I7" ca="1" si="2">E7-D7</f>
        <v>1.790157294337817</v>
      </c>
      <c r="J7" s="128">
        <f t="shared" ref="J7" ca="1" si="3">F7-E7</f>
        <v>2.7255015202129727</v>
      </c>
      <c r="S7" s="128"/>
      <c r="T7" s="128"/>
      <c r="U7" s="128"/>
      <c r="V7" s="128"/>
      <c r="W7" s="128"/>
      <c r="X7" s="128"/>
      <c r="Y7" s="128"/>
      <c r="AT7" s="275" t="s">
        <v>225</v>
      </c>
      <c r="AU7" s="275"/>
      <c r="AV7" s="276">
        <f t="shared" ref="AV7:AV13" si="4">D7</f>
        <v>9.8607521877802</v>
      </c>
      <c r="AW7" s="276">
        <f t="shared" ref="AW7:AW13" ca="1" si="5">E7</f>
        <v>11.650909482118017</v>
      </c>
      <c r="AX7" s="276">
        <f t="shared" ref="AX7:AX13" si="6">F7</f>
        <v>14.37641100233099</v>
      </c>
      <c r="AY7" s="276"/>
      <c r="AZ7" s="276">
        <f t="shared" ref="AZ7:AZ13" si="7">H7</f>
        <v>9.8607521877802</v>
      </c>
      <c r="BA7" s="276">
        <f t="shared" ref="BA7:BA13" ca="1" si="8">I7</f>
        <v>1.790157294337817</v>
      </c>
      <c r="BB7" s="276">
        <f t="shared" ref="BB7:BB13" ca="1" si="9">J7</f>
        <v>2.7255015202129727</v>
      </c>
    </row>
    <row r="8" spans="2:16384">
      <c r="B8" s="266" t="s">
        <v>226</v>
      </c>
      <c r="C8" s="245"/>
      <c r="D8" s="267">
        <f>(('Comparable multiples'!AZ30*Revenue_FY0)-Total_Debt+Cash)/(Shares_Outstanding/1000000)</f>
        <v>5.2317010134954325</v>
      </c>
      <c r="E8" s="269">
        <f>(('Comparable multiples'!BA30*Revenue_FY0)-Total_Debt+Cash)/(Shares_Outstanding/1000000)</f>
        <v>52.485243039556664</v>
      </c>
      <c r="F8" s="267">
        <f>(('Comparable multiples'!BB30*Revenue_FY0)-Total_Debt+Cash)/(Shares_Outstanding/1000000)</f>
        <v>97.680805554701877</v>
      </c>
      <c r="G8" s="25"/>
      <c r="H8" s="128">
        <f>D8</f>
        <v>5.2317010134954325</v>
      </c>
      <c r="I8" s="153">
        <f t="shared" ref="I8:J11" si="10">E8-D8</f>
        <v>47.253542026061233</v>
      </c>
      <c r="J8" s="128">
        <f t="shared" si="10"/>
        <v>45.195562515145213</v>
      </c>
      <c r="S8" s="128"/>
      <c r="T8" s="128"/>
      <c r="U8" s="128"/>
      <c r="V8" s="128"/>
      <c r="W8" s="128"/>
      <c r="X8" s="128"/>
      <c r="Y8" s="128"/>
      <c r="AT8" s="275" t="s">
        <v>248</v>
      </c>
      <c r="AU8" s="275"/>
      <c r="AV8" s="276">
        <f t="shared" si="4"/>
        <v>5.2317010134954325</v>
      </c>
      <c r="AW8" s="276">
        <f t="shared" si="5"/>
        <v>52.485243039556664</v>
      </c>
      <c r="AX8" s="276">
        <f t="shared" si="6"/>
        <v>97.680805554701877</v>
      </c>
      <c r="AY8" s="276"/>
      <c r="AZ8" s="276">
        <f t="shared" si="7"/>
        <v>5.2317010134954325</v>
      </c>
      <c r="BA8" s="276">
        <f t="shared" si="8"/>
        <v>47.253542026061233</v>
      </c>
      <c r="BB8" s="276">
        <f t="shared" si="9"/>
        <v>45.195562515145213</v>
      </c>
    </row>
    <row r="9" spans="2:16384">
      <c r="B9" s="266" t="s">
        <v>227</v>
      </c>
      <c r="C9" s="245"/>
      <c r="D9" s="267">
        <f>(('Comparable multiples'!AZ31*Revenue_FY1)-Total_Debt+Cash)/(Shares_Outstanding/1000000)</f>
        <v>6.1397677233364991</v>
      </c>
      <c r="E9" s="269">
        <f>(('Comparable multiples'!BA31*Revenue_FY1)-Total_Debt+Cash)/(Shares_Outstanding/1000000)</f>
        <v>52.58247655998295</v>
      </c>
      <c r="F9" s="267">
        <f>(('Comparable multiples'!BB31*Revenue_FY1)-Total_Debt+Cash)/(Shares_Outstanding/1000000)</f>
        <v>94.502703839056593</v>
      </c>
      <c r="G9" s="25"/>
      <c r="H9" s="128">
        <f>D9</f>
        <v>6.1397677233364991</v>
      </c>
      <c r="I9" s="153">
        <f t="shared" si="10"/>
        <v>46.442708836646453</v>
      </c>
      <c r="J9" s="128">
        <f t="shared" si="10"/>
        <v>41.920227279073643</v>
      </c>
      <c r="S9" s="128"/>
      <c r="T9" s="128"/>
      <c r="U9" s="128"/>
      <c r="V9" s="128"/>
      <c r="W9" s="128"/>
      <c r="X9" s="128"/>
      <c r="Y9" s="128"/>
      <c r="AT9" s="275" t="s">
        <v>249</v>
      </c>
      <c r="AU9" s="275"/>
      <c r="AV9" s="276">
        <f t="shared" si="4"/>
        <v>6.1397677233364991</v>
      </c>
      <c r="AW9" s="276">
        <f t="shared" si="5"/>
        <v>52.58247655998295</v>
      </c>
      <c r="AX9" s="276">
        <f t="shared" si="6"/>
        <v>94.502703839056593</v>
      </c>
      <c r="AY9" s="276"/>
      <c r="AZ9" s="276">
        <f t="shared" si="7"/>
        <v>6.1397677233364991</v>
      </c>
      <c r="BA9" s="276">
        <f t="shared" si="8"/>
        <v>46.442708836646453</v>
      </c>
      <c r="BB9" s="276">
        <f t="shared" si="9"/>
        <v>41.920227279073643</v>
      </c>
    </row>
    <row r="10" spans="2:16384">
      <c r="B10" s="266" t="s">
        <v>228</v>
      </c>
      <c r="C10" s="245"/>
      <c r="D10" s="267">
        <f>(('Comparable multiples'!AZ32*EBITDA_FY0)-Total_Debt+Cash)/(Shares_Outstanding/1000000)</f>
        <v>9.4542757678391212</v>
      </c>
      <c r="E10" s="269">
        <f>(('Comparable multiples'!BA32*EBITDA_FY0)-Total_Debt+Cash)/(Shares_Outstanding/1000000)</f>
        <v>29.154245674006081</v>
      </c>
      <c r="F10" s="267">
        <f>(('Comparable multiples'!BB32*EBITDA_FY0)-Total_Debt+Cash)/(Shares_Outstanding/1000000)</f>
        <v>63.1635427717544</v>
      </c>
      <c r="G10" s="25"/>
      <c r="H10" s="128">
        <f>D10</f>
        <v>9.4542757678391212</v>
      </c>
      <c r="I10" s="153">
        <f t="shared" si="10"/>
        <v>19.69996990616696</v>
      </c>
      <c r="J10" s="128">
        <f t="shared" si="10"/>
        <v>34.009297097748316</v>
      </c>
      <c r="S10" s="128"/>
      <c r="T10" s="128"/>
      <c r="U10" s="128"/>
      <c r="V10" s="128"/>
      <c r="W10" s="128"/>
      <c r="X10" s="128"/>
      <c r="Y10" s="128"/>
      <c r="AT10" s="275" t="s">
        <v>250</v>
      </c>
      <c r="AU10" s="275"/>
      <c r="AV10" s="276">
        <f t="shared" si="4"/>
        <v>9.4542757678391212</v>
      </c>
      <c r="AW10" s="276">
        <f t="shared" si="5"/>
        <v>29.154245674006081</v>
      </c>
      <c r="AX10" s="276">
        <f t="shared" si="6"/>
        <v>63.1635427717544</v>
      </c>
      <c r="AY10" s="276"/>
      <c r="AZ10" s="276">
        <f t="shared" si="7"/>
        <v>9.4542757678391212</v>
      </c>
      <c r="BA10" s="276">
        <f t="shared" si="8"/>
        <v>19.69996990616696</v>
      </c>
      <c r="BB10" s="276">
        <f t="shared" si="9"/>
        <v>34.009297097748316</v>
      </c>
    </row>
    <row r="11" spans="2:16384">
      <c r="B11" s="266" t="s">
        <v>229</v>
      </c>
      <c r="C11" s="245"/>
      <c r="D11" s="267">
        <f>(('Comparable multiples'!AZ33*EBITDA_FY1)-Total_Debt+Cash)/(Shares_Outstanding/1000000)</f>
        <v>11.267852647938845</v>
      </c>
      <c r="E11" s="269">
        <f>(('Comparable multiples'!BA33*EBITDA_FY1)-Total_Debt+Cash)/(Shares_Outstanding/1000000)</f>
        <v>35.732808818456796</v>
      </c>
      <c r="F11" s="267">
        <f>(('Comparable multiples'!BB33*EBITDA_FY1)-Total_Debt+Cash)/(Shares_Outstanding/1000000)</f>
        <v>78.847164834677812</v>
      </c>
      <c r="G11" s="25"/>
      <c r="H11" s="128">
        <f>D11</f>
        <v>11.267852647938845</v>
      </c>
      <c r="I11" s="153">
        <f t="shared" si="10"/>
        <v>24.464956170517951</v>
      </c>
      <c r="J11" s="128">
        <f t="shared" si="10"/>
        <v>43.114356016221016</v>
      </c>
      <c r="S11" s="128"/>
      <c r="T11" s="128"/>
      <c r="U11" s="128"/>
      <c r="V11" s="128"/>
      <c r="W11" s="128"/>
      <c r="X11" s="128"/>
      <c r="Y11" s="128"/>
      <c r="AT11" s="275" t="s">
        <v>251</v>
      </c>
      <c r="AU11" s="275"/>
      <c r="AV11" s="276">
        <f t="shared" si="4"/>
        <v>11.267852647938845</v>
      </c>
      <c r="AW11" s="276">
        <f t="shared" si="5"/>
        <v>35.732808818456796</v>
      </c>
      <c r="AX11" s="276">
        <f t="shared" si="6"/>
        <v>78.847164834677812</v>
      </c>
      <c r="AY11" s="276"/>
      <c r="AZ11" s="276">
        <f t="shared" si="7"/>
        <v>11.267852647938845</v>
      </c>
      <c r="BA11" s="276">
        <f t="shared" si="8"/>
        <v>24.464956170517951</v>
      </c>
      <c r="BB11" s="276">
        <f t="shared" si="9"/>
        <v>43.114356016221016</v>
      </c>
    </row>
    <row r="12" spans="2:16384">
      <c r="B12" s="25"/>
      <c r="C12" s="320"/>
      <c r="D12" s="270"/>
      <c r="E12" s="271"/>
      <c r="F12" s="270"/>
      <c r="G12" s="25"/>
      <c r="H12" s="245"/>
      <c r="I12" s="272"/>
      <c r="J12" s="273"/>
      <c r="S12" s="128"/>
      <c r="T12" s="128"/>
      <c r="U12" s="128"/>
      <c r="V12" s="128"/>
      <c r="W12" s="128"/>
      <c r="X12" s="128"/>
      <c r="Y12" s="128"/>
      <c r="AT12" s="275"/>
      <c r="AU12" s="275"/>
      <c r="AV12" s="276"/>
      <c r="AW12" s="276"/>
      <c r="AX12" s="276"/>
      <c r="AY12" s="276"/>
      <c r="AZ12" s="276"/>
      <c r="BA12" s="276"/>
      <c r="BB12" s="276"/>
    </row>
    <row r="13" spans="2:16384">
      <c r="B13" s="266" t="s">
        <v>11</v>
      </c>
      <c r="D13" s="128" vm="1">
        <f ca="1">'Information from Python'!$F$5</f>
        <v>237.3</v>
      </c>
      <c r="E13" s="153" vm="1">
        <f ca="1">'Information from Python'!$F$5</f>
        <v>237.3</v>
      </c>
      <c r="F13" s="128" vm="1">
        <f ca="1">'Information from Python'!$F$5</f>
        <v>237.3</v>
      </c>
      <c r="H13" s="273">
        <v>1000</v>
      </c>
      <c r="I13" s="274">
        <v>0</v>
      </c>
      <c r="J13" s="273">
        <v>0</v>
      </c>
      <c r="S13" s="128"/>
      <c r="T13" s="128"/>
      <c r="U13" s="128"/>
      <c r="V13" s="128"/>
      <c r="W13" s="128"/>
      <c r="X13" s="128"/>
      <c r="Y13" s="128"/>
      <c r="AT13" s="275" t="s">
        <v>11</v>
      </c>
      <c r="AU13" s="275"/>
      <c r="AV13" s="276" vm="1">
        <f t="shared" ca="1" si="4"/>
        <v>237.3</v>
      </c>
      <c r="AW13" s="276" vm="1">
        <f t="shared" ca="1" si="5"/>
        <v>237.3</v>
      </c>
      <c r="AX13" s="276" vm="1">
        <f t="shared" ca="1" si="6"/>
        <v>237.3</v>
      </c>
      <c r="AY13" s="276"/>
      <c r="AZ13" s="276">
        <f t="shared" si="7"/>
        <v>1000</v>
      </c>
      <c r="BA13" s="276">
        <f t="shared" si="8"/>
        <v>0</v>
      </c>
      <c r="BB13" s="276">
        <f t="shared" si="9"/>
        <v>0</v>
      </c>
    </row>
    <row r="14" spans="2:16384">
      <c r="AT14" s="275"/>
      <c r="AU14" s="275"/>
      <c r="AV14" s="275"/>
      <c r="AW14" s="275"/>
      <c r="AX14" s="275"/>
      <c r="AY14" s="275"/>
      <c r="AZ14" s="275"/>
      <c r="BA14" s="275"/>
      <c r="BB14" s="275"/>
    </row>
    <row r="15" spans="2:16384">
      <c r="AT15" s="275" t="s">
        <v>246</v>
      </c>
      <c r="AU15" s="275"/>
      <c r="AV15" s="275"/>
      <c r="AW15" s="275"/>
      <c r="AX15" s="275"/>
      <c r="AY15" s="275"/>
      <c r="AZ15" s="275"/>
      <c r="BA15" s="275"/>
      <c r="BB15" s="275"/>
    </row>
    <row r="23" spans="12:12">
      <c r="L23" s="127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honeticPr fontId="4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310" t="s">
        <v>149</v>
      </c>
      <c r="G4" s="310"/>
      <c r="H4" s="310"/>
      <c r="I4" s="310"/>
      <c r="J4" s="310"/>
      <c r="K4" s="310"/>
      <c r="L4" s="310"/>
      <c r="M4" s="310"/>
      <c r="N4" s="310"/>
      <c r="O4" s="310"/>
    </row>
    <row r="5" spans="2:16384">
      <c r="B5" s="85" t="s">
        <v>202</v>
      </c>
      <c r="C5" s="68" t="s">
        <v>112</v>
      </c>
      <c r="D5" s="68">
        <f>DCF!D63</f>
        <v>2022</v>
      </c>
      <c r="E5" s="69">
        <f>DCF!E63</f>
        <v>2023</v>
      </c>
      <c r="F5" s="67">
        <f>DCF!F63</f>
        <v>2024</v>
      </c>
      <c r="G5" s="67">
        <f>DCF!G63</f>
        <v>2025</v>
      </c>
      <c r="H5" s="67">
        <f>DCF!H63</f>
        <v>2026</v>
      </c>
      <c r="I5" s="67" t="str">
        <f>DCF!I63</f>
        <v/>
      </c>
      <c r="J5" s="67" t="str">
        <f>DCF!J63</f>
        <v/>
      </c>
      <c r="K5" s="67" t="str">
        <f>DCF!K63</f>
        <v/>
      </c>
      <c r="L5" s="67" t="str">
        <f>DCF!L63</f>
        <v/>
      </c>
      <c r="M5" s="67" t="str">
        <f>DCF!M63</f>
        <v/>
      </c>
      <c r="N5" s="67" t="str">
        <f>DCF!N63</f>
        <v/>
      </c>
      <c r="O5" s="67" t="str">
        <f>DCF!O63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TRANSPOSE((DCF!D63:O63))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7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8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7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8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7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8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7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8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7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8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7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8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7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8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7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8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7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80" t="str">
        <f>IF(B17&lt;&gt;"",$E$8*(1+Growth_RATE_PPE)^(COLUMN()-COLUMN($E$8)),"")</f>
        <v/>
      </c>
      <c r="O17" s="6" t="str">
        <f>IF(AND(P17&lt;&gt;"",COLUMN()-COLUMN($N17)&lt;$P17),$N17/$P17,"")</f>
        <v/>
      </c>
      <c r="P17" s="279" t="str">
        <f>IF(B17&lt;&gt;"",AVERAGE($P$6:$P$7),"")</f>
        <v/>
      </c>
      <c r="Q17" s="6"/>
    </row>
    <row r="18" spans="2:17">
      <c r="B18" t="str">
        <v/>
      </c>
      <c r="O18" s="282" t="str">
        <f>IF(B18&lt;&gt;"",$E$8*(1+Growth_RATE_PPE)^(COLUMN()-COLUMN($E$8)),"")</f>
        <v/>
      </c>
      <c r="P18" s="27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311" t="s">
        <v>196</v>
      </c>
      <c r="D4" s="311"/>
      <c r="E4" s="311"/>
      <c r="F4" s="311"/>
      <c r="G4" s="311"/>
      <c r="H4" s="311"/>
      <c r="I4" s="311"/>
      <c r="J4" s="311"/>
      <c r="K4" s="311"/>
      <c r="L4" s="311"/>
      <c r="M4" s="311"/>
      <c r="N4" s="311"/>
      <c r="O4" s="311"/>
      <c r="P4" s="311"/>
      <c r="Q4" s="311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topLeftCell="A18" zoomScale="84" workbookViewId="0">
      <selection activeCell="E55" sqref="E55:E57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311" t="s">
        <v>196</v>
      </c>
      <c r="D4" s="311"/>
      <c r="E4" s="311"/>
      <c r="F4" s="311"/>
      <c r="G4" s="311"/>
      <c r="H4" s="311"/>
      <c r="I4" s="311"/>
      <c r="J4" s="311"/>
      <c r="K4" s="311"/>
      <c r="L4" s="311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E55" sqref="E55:E57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311" t="s">
        <v>196</v>
      </c>
      <c r="D4" s="311"/>
      <c r="E4" s="311"/>
      <c r="F4" s="311"/>
      <c r="G4" s="311"/>
      <c r="H4" s="311"/>
      <c r="I4" s="311"/>
      <c r="J4" s="311"/>
      <c r="K4" s="311"/>
      <c r="L4" s="311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312" t="s">
        <v>196</v>
      </c>
      <c r="D36" s="312"/>
      <c r="E36" s="312"/>
      <c r="F36" s="312"/>
      <c r="G36" s="312"/>
      <c r="H36" s="312"/>
      <c r="I36" s="312"/>
      <c r="J36" s="312"/>
      <c r="K36" s="312"/>
      <c r="L36" s="312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312" t="s">
        <v>196</v>
      </c>
      <c r="D50" s="312"/>
      <c r="E50" s="312"/>
      <c r="F50" s="312"/>
      <c r="G50" s="312"/>
      <c r="H50" s="312"/>
      <c r="I50" s="312"/>
      <c r="J50" s="312"/>
      <c r="K50" s="312"/>
      <c r="L50" s="312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E55" sqref="E55:E57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256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242</v>
      </c>
      <c r="C4" s="135"/>
      <c r="E4" s="134" t="s">
        <v>245</v>
      </c>
      <c r="F4" s="135"/>
    </row>
    <row r="5" spans="2:16384">
      <c r="B5" s="136" t="s">
        <v>10</v>
      </c>
      <c r="C5" s="35" t="s">
        <v>0</v>
      </c>
      <c r="E5" s="137" t="s">
        <v>11</v>
      </c>
      <c r="F5" s="151" cm="1" vm="1">
        <f t="array" aca="1" ref="F5" ca="1">INDEX(_xlfn.STOCKHISTORY(Ticker, TODAY()-7, TODAY(), 0, 1), ROWS(_xlfn.STOCKHISTORY(Ticker, TODAY()-7, TODAY(), 0, 1)), 2)</f>
        <v>237.3</v>
      </c>
    </row>
    <row r="6" spans="2:16384">
      <c r="B6" s="136" t="s">
        <v>217</v>
      </c>
      <c r="C6" s="35" t="s">
        <v>218</v>
      </c>
    </row>
    <row r="7" spans="2:16384">
      <c r="B7" s="136"/>
      <c r="C7" s="35"/>
    </row>
    <row r="8" spans="2:16384">
      <c r="B8" s="136" t="s">
        <v>12</v>
      </c>
      <c r="C8" s="35">
        <v>5</v>
      </c>
    </row>
    <row r="9" spans="2:16384">
      <c r="B9" s="136" t="s">
        <v>13</v>
      </c>
      <c r="C9" s="35">
        <v>2023</v>
      </c>
    </row>
    <row r="10" spans="2:16384">
      <c r="B10" s="136" t="s">
        <v>92</v>
      </c>
      <c r="C10" s="35">
        <v>3</v>
      </c>
    </row>
    <row r="11" spans="2:16384">
      <c r="B11" s="136"/>
      <c r="C11" s="35"/>
    </row>
    <row r="12" spans="2:16384">
      <c r="B12" s="136" t="s">
        <v>115</v>
      </c>
      <c r="C12" s="35" t="s">
        <v>243</v>
      </c>
    </row>
    <row r="13" spans="2:16384">
      <c r="B13" s="136"/>
      <c r="C13" s="35"/>
    </row>
    <row r="14" spans="2:16384">
      <c r="B14" s="136" t="s">
        <v>97</v>
      </c>
      <c r="C14" s="133">
        <v>1</v>
      </c>
    </row>
    <row r="15" spans="2:16384">
      <c r="B15" s="136" t="s">
        <v>98</v>
      </c>
      <c r="C15" s="143">
        <v>0.04</v>
      </c>
    </row>
    <row r="16" spans="2:16384">
      <c r="B16" s="136" t="s">
        <v>100</v>
      </c>
      <c r="C16" s="143">
        <v>7.0000000000000007E-2</v>
      </c>
    </row>
    <row r="17" spans="2:3">
      <c r="B17" s="136" t="s">
        <v>99</v>
      </c>
      <c r="C17" s="143">
        <f>Market_Return-Riskfree_Return</f>
        <v>3.0000000000000006E-2</v>
      </c>
    </row>
    <row r="18" spans="2:3">
      <c r="B18" s="136"/>
      <c r="C18" s="35"/>
    </row>
    <row r="19" spans="2:3">
      <c r="B19" s="136" t="s">
        <v>128</v>
      </c>
      <c r="C19" s="144">
        <v>15171990000</v>
      </c>
    </row>
    <row r="20" spans="2:3">
      <c r="B20" s="136"/>
      <c r="C20" s="35"/>
    </row>
    <row r="21" spans="2:3">
      <c r="B21" s="136" t="s">
        <v>193</v>
      </c>
      <c r="C21" s="145">
        <v>280</v>
      </c>
    </row>
    <row r="22" spans="2:3">
      <c r="B22" s="137" t="s">
        <v>194</v>
      </c>
      <c r="C22" s="146">
        <v>120</v>
      </c>
    </row>
    <row r="25" spans="2:3">
      <c r="B25" s="150" t="s">
        <v>219</v>
      </c>
    </row>
    <row r="26" spans="2:3">
      <c r="B26" s="149" t="s">
        <v>244</v>
      </c>
    </row>
    <row r="27" spans="2:3">
      <c r="B27" s="147" t="str">
        <f>IF('Comparable multiples'!B23&lt;&gt;"",'Comparable multiples'!B23,"")</f>
        <v>DUMMY 1</v>
      </c>
    </row>
    <row r="28" spans="2:3">
      <c r="B28" s="147" t="str">
        <f>IF('Comparable multiples'!B24&lt;&gt;"",'Comparable multiples'!B24,"")</f>
        <v>DUMMY 2</v>
      </c>
    </row>
    <row r="29" spans="2:3">
      <c r="B29" s="147" t="str">
        <f>IF('Comparable multiples'!B25&lt;&gt;"",'Comparable multiples'!B25,"")</f>
        <v>DUMMY 3</v>
      </c>
    </row>
    <row r="30" spans="2:3">
      <c r="B30" s="147" t="str">
        <f>IF('Comparable multiples'!B26&lt;&gt;"",'Comparable multiples'!B26,"")</f>
        <v>DUMMY 4</v>
      </c>
    </row>
    <row r="31" spans="2:3">
      <c r="B31" s="147" t="str">
        <f>IF('Comparable multiples'!B27&lt;&gt;"",'Comparable multiples'!B27,"")</f>
        <v/>
      </c>
    </row>
    <row r="32" spans="2:3">
      <c r="B32" s="147" t="str">
        <f>IF('Comparable multiples'!B28&lt;&gt;"",'Comparable multiples'!B28,"")</f>
        <v/>
      </c>
    </row>
    <row r="33" spans="2:2">
      <c r="B33" s="147" t="str">
        <f>IF('Comparable multiples'!B29&lt;&gt;"",'Comparable multiples'!B29,"")</f>
        <v/>
      </c>
    </row>
    <row r="34" spans="2:2">
      <c r="B34" s="147" t="str">
        <f>IF('Comparable multiples'!B30&lt;&gt;"",'Comparable multiples'!B30,"")</f>
        <v/>
      </c>
    </row>
    <row r="35" spans="2:2">
      <c r="B35" s="147" t="str">
        <f>IF('Comparable multiples'!B31&lt;&gt;"",'Comparable multiples'!B31,"")</f>
        <v/>
      </c>
    </row>
    <row r="36" spans="2:2">
      <c r="B36" s="147" t="str">
        <f>IF('Comparable multiples'!B32&lt;&gt;"",'Comparable multiples'!B32,"")</f>
        <v/>
      </c>
    </row>
    <row r="37" spans="2:2">
      <c r="B37" s="148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E55" sqref="E55:E57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313" t="s">
        <v>196</v>
      </c>
      <c r="D4" s="313"/>
      <c r="E4" s="313"/>
      <c r="F4" s="152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40</vt:i4>
      </vt:variant>
    </vt:vector>
  </HeadingPairs>
  <TitlesOfParts>
    <vt:vector size="50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EV_EBITDA_FY0</vt:lpstr>
      <vt:lpstr>EV_REVENUE_FY0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2025-02-28T13:39:30Z</dcterms:modified>
</cp:coreProperties>
</file>