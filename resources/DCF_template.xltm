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BC3E6642-1A9A-764B-B00A-4359E830950B}" xr6:coauthVersionLast="47" xr6:coauthVersionMax="47" xr10:uidLastSave="{00000000-0000-0000-0000-000000000000}"/>
  <bookViews>
    <workbookView xWindow="0" yWindow="740" windowWidth="29400" windowHeight="16500" activeTab="2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Assumptions!$C$8</definedName>
    <definedName name="Growth_Non_Operating">Assumptions!$C$10</definedName>
    <definedName name="Growth_RATE_ONWC">Assumptions!$C$13</definedName>
    <definedName name="Growth_RATE_PPE">Assumptions!$C$12</definedName>
    <definedName name="Growth_Sales">Assumptions!$C$6</definedName>
    <definedName name="Growth_SGA">Assumptions!$C$9</definedName>
    <definedName name="High_Share_Price">'Information from Python'!$C$21</definedName>
    <definedName name="Industry">'Information from Python'!$C$12</definedName>
    <definedName name="Interest_Rate">Assumptions!$C$18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Assumptions!$C$15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Assumptions!$C$17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Assumptions!$C$12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4" l="1"/>
  <c r="C17" i="1"/>
  <c r="C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V10" i="3"/>
  <c r="AW10" i="3"/>
  <c r="AX10" i="3"/>
  <c r="AZ10" i="3"/>
  <c r="BA10" i="3"/>
  <c r="BB10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F5" i="5" a="1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F5" i="5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C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C20" i="1" s="1"/>
  <c r="F8" i="10"/>
  <c r="C21" i="1" s="1"/>
  <c r="F9" i="10"/>
  <c r="C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D10" i="3"/>
  <c r="E10" i="3"/>
  <c r="AW6" i="3"/>
  <c r="E10" i="2"/>
  <c r="C40" i="2" s="1"/>
  <c r="C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H10" i="3"/>
  <c r="J10" i="3"/>
  <c r="C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H11" i="4"/>
  <c r="H15" i="4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<sst xmlns="http://schemas.openxmlformats.org/spreadsheetml/2006/main" count="348" uniqueCount="257">
  <si>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</si>
  <si>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</si>
  <si>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</si>
  <si>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</si>
  <si>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</si>
  <si>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</si>
  <si>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</si>
  <si>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</si>
  <si>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</si>
  <si>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</si>
  <si>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</si>
  <si>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</si>
  <si>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</si>
  <si>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</si>
  <si>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</si>
  <si>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</si>
  <si>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</si>
  <si>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</si>
  <si>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</si>
  <si>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</si>
  <si>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</si>
  <si>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</si>
  <si>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</si>
  <si>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</si>
  <si>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</si>
  <si>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</si>
  <si>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</si>
  <si>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</si>
  <si>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</si>
  <si>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</si>
  <si>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</si>
  <si>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</si>
  <si>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</si>
  <si>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</si>
  <si>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</si>
  <si>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</si>
  <si>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</si>
  <si>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</si>
  <si>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</si>
  <si>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</si>
  <si>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</si>
  <si>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</si>
  <si>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</si>
  <si>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</si>
  <si>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</si>
  <si>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</si>
  <si>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</si>
  <si>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</si>
  <si>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</si>
  <si>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</si>
  <si>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</si>
  <si>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</si>
  <si>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</si>
  <si>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</si>
  <si>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</si>
  <si>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</si>
  <si>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</si>
  <si>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</si>
  <si>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</si>
  <si>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</si>
  <si>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</si>
  <si>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</si>
  <si>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</si>
  <si>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</si>
  <si>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</si>
  <si>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</si>
  <si>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</si>
  <si>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</si>
  <si>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</si>
  <si>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</si>
  <si>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</si>
  <si>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</si>
  <si>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</si>
  <si>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</si>
  <si>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</si>
  <si>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</si>
  <si>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</si>
  <si>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</si>
  <si>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</si>
  <si>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</si>
  <si>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</si>
  <si>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</si>
  <si>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</si>
  <si>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</si>
  <si>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</si>
  <si>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</si>
  <si>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</si>
  <si>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</si>
  <si>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</si>
  <si>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</si>
  <si>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</si>
  <si>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</si>
  <si>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</si>
  <si>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</si>
  <si>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</si>
  <si>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</si>
  <si>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</si>
  <si>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</si>
  <si>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</si>
  <si>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</si>
  <si>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</si>
  <si>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</si>
  <si>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</si>
  <si>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</si>
  <si>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</si>
  <si>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</si>
  <si>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</si>
  <si>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</si>
  <si>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</si>
  <si>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</si>
  <si>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</si>
  <si>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</si>
  <si>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</si>
  <si>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</si>
  <si>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</si>
  <si>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</si>
  <si>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</si>
  <si>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</si>
  <si>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</si>
  <si>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</si>
  <si>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</si>
  <si>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</si>
  <si>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</si>
  <si>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</si>
  <si>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</si>
  <si>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</si>
  <si>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</si>
  <si>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</si>
  <si>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</si>
  <si>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</si>
  <si>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</si>
  <si>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</si>
  <si>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</si>
  <si>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</si>
  <si>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</si>
  <si>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</si>
  <si>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</si>
  <si>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</si>
  <si>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</si>
  <si>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</si>
  <si>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</si>
  <si>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</si>
  <si>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</si>
  <si>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</si>
  <si>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</si>
  <si>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</si>
  <si>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</si>
  <si>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</si>
  <si>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</si>
  <si>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</si>
  <si>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</si>
  <si>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</si>
  <si>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</si>
  <si>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</si>
  <si>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</si>
  <si>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</si>
  <si>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</si>
  <si>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</si>
  <si>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</si>
  <si>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</si>
  <si>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</si>
  <si>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</si>
  <si>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</si>
  <si>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</si>
  <si>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</si>
  <si>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</si>
  <si>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</si>
  <si>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</si>
  <si>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</si>
  <si>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</si>
  <si>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</si>
  <si>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</si>
  <si>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</si>
  <si>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</si>
  <si>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</si>
  <si>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</si>
  <si>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</si>
  <si>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</si>
  <si>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</si>
  <si>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</si>
  <si>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</si>
  <si>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</si>
  <si>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</si>
  <si>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</si>
  <si>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</si>
  <si>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</si>
  <si>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</si>
  <si>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</si>
  <si>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</si>
  <si>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</si>
  <si>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</si>
  <si>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</si>
  <si>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</si>
  <si>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</si>
  <si>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</si>
  <si>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</si>
  <si>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</si>
  <si>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</si>
  <si>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</si>
  <si>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</si>
  <si>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</si>
  <si>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</si>
  <si>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</si>
  <si>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</si>
  <si>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</si>
  <si>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</si>
  <si>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</si>
  <si>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</si>
  <si>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</si>
  <si>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</si>
  <si>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</si>
  <si>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</si>
  <si>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</si>
  <si>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</si>
  <si>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</si>
  <si>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</si>
  <si>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</si>
  <si>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</si>
  <si>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</si>
  <si>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</si>
  <si>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</si>
  <si>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</si>
  <si>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</si>
  <si>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</si>
  <si>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</si>
  <si>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</si>
  <si>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</si>
  <si>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</si>
  <si>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</si>
  <si>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</si>
  <si>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</si>
  <si>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</si>
  <si>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</si>
  <si>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</si>
  <si>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</si>
  <si>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</si>
  <si>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</si>
  <si>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</si>
  <si>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</si>
  <si>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</si>
  <si>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</si>
  <si>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</si>
  <si>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Informtation from Python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</si>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</sst>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3F84BBD-C5FA-0C4C-B385-F212B535469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59A611-4556-6545-AE2E-2547C7884E6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5E19E01-967D-5144-9301-5C3803B2540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5F2757-608C-9845-892A-80B4F0C774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976A3C-A67E-6C4D-A73B-50AD2F1D826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D35631-D598-9C43-A22F-E5F07ED4B7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9C01791-1578-0E45-8619-3CFB83A28A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EA17F47-95E0-AA4D-AE42-88CBE6F6E6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CE5E9A-245F-8F47-87DE-2AAA9286FA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DCE8CE-FD7F-3748-80D8-AC8C37E9AA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26B2FE-707C-B943-9835-0A740DE52F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72709C-0782-0D4E-A285-D8E94EE9CB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39E28E5-B795-2A48-9055-950136D335C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BD0E31-104E-DF47-8B3A-0FD6D2EDDAA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143133-9277-AA4E-9262-51E9877E52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F06664-433B-A44D-AEF9-6ED50C874F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C762FA-E8C5-6A41-9A89-69692DAD0F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DA2AFB-F34B-204E-9C7A-D62FF33BDC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247.1</c:v>
                </c:pt>
                <c:pt idx="1">
                  <c:v>247.1</c:v>
                </c:pt>
                <c:pt idx="2">
                  <c:v>247.1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6</v>
  </a>
  <a r="1" c="5">
    <v>244.47</v>
    <v>244.87</v>
    <v>245.83</v>
    <v>245.55</v>
    <v>247.1</v>
  </a>
</arrayData>
</file>

<file path=xl/richData/rdrichvalue.xml><?xml version="1.0" encoding="utf-8"?>
<rvData xmlns="http://schemas.microsoft.com/office/spreadsheetml/2017/richdata" count="2">
  <rv s="0">
    <fb>247.1</fb>
    <v>0</v>
  </rv>
  <rv s="1">
    <v>1</v>
    <v>AAPL</v>
    <v>Daily</v>
    <v>45706</v>
    <v>45713</v>
    <v>0</v>
    <v>1</v>
    <v>638759520000000000,638760766476834414,0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5" workbookViewId="0">
      <selection activeCell="J29" sqref="J29"/>
    </sheetView>
  </sheetViews>
  <sheetFormatPr baseColWidth="10" defaultRowHeight="16"/>
  <cols>
    <col min="2" max="2" width="24" bestFit="1" customWidth="1"/>
    <col min="3" max="3" width="23.710937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135"/>
    </row>
    <row r="5" spans="2:16384">
      <c r="B5" s="136"/>
      <c r="C5" s="35"/>
    </row>
    <row r="6" spans="2:16384">
      <c r="B6" s="141" t="s">
        <v>93</v>
      </c>
      <c r="C6" s="142">
        <f>Average_Growth_Sales</f>
        <v>0.4693951084601678</v>
      </c>
    </row>
    <row r="7" spans="2:16384">
      <c r="B7" s="139"/>
      <c r="C7" s="35"/>
    </row>
    <row r="8" spans="2:16384">
      <c r="B8" s="139" t="s">
        <v>86</v>
      </c>
      <c r="C8" s="129">
        <f>Average_Gross_Margin</f>
        <v>0.72014242893006786</v>
      </c>
    </row>
    <row r="9" spans="2:16384">
      <c r="B9" s="139" t="s">
        <v>94</v>
      </c>
      <c r="C9" s="129">
        <f>Growth_Sales</f>
        <v>0.4693951084601678</v>
      </c>
    </row>
    <row r="10" spans="2:16384">
      <c r="B10" s="139" t="s">
        <v>96</v>
      </c>
      <c r="C10" s="131">
        <v>0.02</v>
      </c>
    </row>
    <row r="11" spans="2:16384">
      <c r="B11" s="139"/>
      <c r="C11" s="35"/>
    </row>
    <row r="12" spans="2:16384">
      <c r="B12" s="139" t="s">
        <v>118</v>
      </c>
      <c r="C12" s="131">
        <v>0.03</v>
      </c>
    </row>
    <row r="13" spans="2:16384">
      <c r="B13" s="139" t="s">
        <v>119</v>
      </c>
      <c r="C13" s="131">
        <v>0.02</v>
      </c>
    </row>
    <row r="14" spans="2:16384">
      <c r="B14" s="139"/>
      <c r="C14" s="35"/>
    </row>
    <row r="15" spans="2:16384">
      <c r="B15" s="139" t="s">
        <v>237</v>
      </c>
      <c r="C15" s="132">
        <v>1.4999999999999999E-2</v>
      </c>
    </row>
    <row r="16" spans="2:16384">
      <c r="B16" s="139"/>
      <c r="C16" s="35"/>
    </row>
    <row r="17" spans="2:3">
      <c r="B17" s="139" t="s">
        <v>95</v>
      </c>
      <c r="C17" s="131">
        <f>30%</f>
        <v>0.3</v>
      </c>
    </row>
    <row r="18" spans="2:3">
      <c r="B18" s="139" t="s">
        <v>238</v>
      </c>
      <c r="C18" s="129">
        <f>ABS(Latest_Interest/Total_Debt_FY_minu1)</f>
        <v>2.7139874739039668E-2</v>
      </c>
    </row>
    <row r="19" spans="2:3">
      <c r="B19" s="139"/>
      <c r="C19" s="35"/>
    </row>
    <row r="20" spans="2:3">
      <c r="B20" s="139" t="s">
        <v>241</v>
      </c>
      <c r="C20" s="133">
        <f>Average_Inventory_Turnover</f>
        <v>5.4574954602297057</v>
      </c>
    </row>
    <row r="21" spans="2:3">
      <c r="B21" s="139" t="s">
        <v>239</v>
      </c>
      <c r="C21" s="133">
        <f>Average_Receivables_Turnover</f>
        <v>26.392398910547467</v>
      </c>
    </row>
    <row r="22" spans="2:3">
      <c r="B22" s="140" t="s">
        <v>240</v>
      </c>
      <c r="C22" s="138">
        <f>Average_Payable_Turnover</f>
        <v>4.2024952811418705</v>
      </c>
    </row>
    <row r="23" spans="2:3">
      <c r="C23" s="5"/>
    </row>
  </sheetData>
  <dataValidations count="7"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C18&gt;0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C18&lt;0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C18" xr:uid="{974884FC-E1AB-A84E-83DB-C6576FC432F4}">
      <formula1>$C$18&gt;0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C17" xr:uid="{52C25F15-2CFA-D744-8130-E9C7202DCDC4}">
      <formula1>$C$17&gt;0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C15" xr:uid="{B76FCBEC-53CB-AF40-9E1C-73442E02CA1B}">
      <formula1>$C$15&lt;0.03</formula1>
    </dataValidation>
    <dataValidation type="custom" allowBlank="1" showInputMessage="1" showErrorMessage="1" errorTitle="Negative COGS/Revenue" error="The Gross margin is negative (COGS will be recorded as an income). This is not possible." sqref="C8" xr:uid="{3D3C1DED-6FA8-5C41-9795-3233E26D1E46}">
      <formula1>$C$8&gt;0</formula1>
    </dataValidation>
    <dataValidation type="custom" errorStyle="warning" allowBlank="1" showInputMessage="1" showErrorMessage="1" errorTitle="Negative Turnover" error="Turnover cant be negative" sqref="C20:C22" xr:uid="{A8576CDB-BB4E-A14D-ACD7-B70A4A633958}">
      <formula1>C20&gt;0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06"/>
  <sheetViews>
    <sheetView workbookViewId="0">
      <selection activeCell="B27" sqref="B27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248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3" t="s">
        <v>149</v>
      </c>
      <c r="G62" s="283"/>
      <c r="H62" s="283"/>
      <c r="I62" s="283"/>
      <c r="J62" s="283"/>
      <c r="K62" s="283"/>
      <c r="L62" s="283"/>
      <c r="M62" s="283"/>
      <c r="N62" s="283"/>
      <c r="O62" s="283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4" t="s">
        <v>110</v>
      </c>
      <c r="I100" s="285" t="s">
        <v>122</v>
      </c>
      <c r="J100" s="285"/>
      <c r="K100" s="285"/>
      <c r="L100" s="285"/>
      <c r="M100" s="285"/>
      <c r="N100" s="285"/>
      <c r="O100" s="8"/>
      <c r="P100" s="11" t="s">
        <v>123</v>
      </c>
      <c r="Q100" s="16">
        <v>2.5000000000000001E-3</v>
      </c>
    </row>
    <row r="101" spans="2:17" ht="17" thickBot="1">
      <c r="H101" s="284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4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4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4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4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4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</sheetData>
  <sheetProtection sheet="1"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abSelected="1" zoomScale="50" workbookViewId="0">
      <selection activeCell="C14" sqref="C14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247.1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3748998.7289999998</v>
      </c>
      <c r="F10" s="246"/>
      <c r="G10" s="252" t="s">
        <v>188</v>
      </c>
      <c r="H10" s="253">
        <f ca="1">$E$13/H8</f>
        <v>38.546079267977639</v>
      </c>
      <c r="I10" s="253">
        <f ca="1">$E$13/I8</f>
        <v>26.232617113018339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252.11001142200593</v>
      </c>
      <c r="I11" s="253">
        <f ca="1">$E$13/I9</f>
        <v>132.4052043695547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3730219.7289999998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253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254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255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256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3748998.7289999998</v>
      </c>
      <c r="D40" s="261">
        <f ca="1">E13</f>
        <v>3730219.7289999998</v>
      </c>
      <c r="E40" s="262">
        <f ca="1">H10</f>
        <v>38.546079267977639</v>
      </c>
      <c r="F40" s="262">
        <f ca="1">I10</f>
        <v>26.232617113018339</v>
      </c>
      <c r="G40" s="262">
        <f ca="1">H11</f>
        <v>252.11001142200593</v>
      </c>
      <c r="H40" s="262">
        <f ca="1">I11</f>
        <v>132.4052043695547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6" t="str">
        <f>"Valuation Football Field: "&amp;Name</f>
        <v>Valuation Football Field: Apple Inc.</v>
      </c>
      <c r="C4" s="287"/>
      <c r="D4" s="287"/>
      <c r="E4" s="287"/>
      <c r="F4" s="287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249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250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251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252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247.1</v>
      </c>
      <c r="E13" s="153" vm="1">
        <f ca="1">'Information from Python'!$F$5</f>
        <v>247.1</v>
      </c>
      <c r="F13" s="128" vm="1">
        <f ca="1">'Information from Python'!$F$5</f>
        <v>247.1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247.1</v>
      </c>
      <c r="AW13" s="276" vm="1">
        <f t="shared" ca="1" si="5"/>
        <v>247.1</v>
      </c>
      <c r="AX13" s="276" vm="1">
        <f t="shared" ca="1" si="6"/>
        <v>247.1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247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88" t="s">
        <v>149</v>
      </c>
      <c r="G4" s="288"/>
      <c r="H4" s="288"/>
      <c r="I4" s="288"/>
      <c r="J4" s="288"/>
      <c r="K4" s="288"/>
      <c r="L4" s="288"/>
      <c r="M4" s="288"/>
      <c r="N4" s="288"/>
      <c r="O4" s="288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19" sqref="F1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H26" sqref="H26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C62" sqref="C62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0" t="s">
        <v>196</v>
      </c>
      <c r="D36" s="290"/>
      <c r="E36" s="290"/>
      <c r="F36" s="290"/>
      <c r="G36" s="290"/>
      <c r="H36" s="290"/>
      <c r="I36" s="290"/>
      <c r="J36" s="290"/>
      <c r="K36" s="290"/>
      <c r="L36" s="29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0" t="s">
        <v>196</v>
      </c>
      <c r="D50" s="290"/>
      <c r="E50" s="290"/>
      <c r="F50" s="290"/>
      <c r="G50" s="290"/>
      <c r="H50" s="290"/>
      <c r="I50" s="290"/>
      <c r="J50" s="290"/>
      <c r="K50" s="290"/>
      <c r="L50" s="29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J22" sqref="J22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243</v>
      </c>
      <c r="C4" s="135"/>
      <c r="E4" s="134" t="s">
        <v>246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247.1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244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245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5" sqref="F5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1" t="s">
        <v>196</v>
      </c>
      <c r="D4" s="291"/>
      <c r="E4" s="291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2025-02-25T10:37:59Z</dcterms:modified>
</cp:coreProperties>
</file>