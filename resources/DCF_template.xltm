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26048389-9BB9-8C44-B76A-EC2DDCF38D84}" xr6:coauthVersionLast="47" xr6:coauthVersionMax="47" xr10:uidLastSave="{00000000-0000-0000-0000-000000000000}"/>
  <bookViews>
    <workbookView xWindow="0" yWindow="740" windowWidth="29400" windowHeight="16500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r:id="rId6"/>
    <sheet name="Cash flow statement Historic" sheetId="9" r:id="rId7"/>
    <sheet name="Balance Sheet Historic" sheetId="6" r:id="rId8"/>
    <sheet name="Information from Python" sheetId="5" r:id="rId9"/>
    <sheet name="Ratios" sheetId="10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D17" i="1"/>
  <c r="D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F5" i="5" a="1"/>
  <c r="F5" i="5" l="1"/>
  <c r="AV7" i="3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AX10" i="3" s="1"/>
  <c r="D10" i="3"/>
  <c r="AV10" i="3" s="1"/>
  <c r="E10" i="3"/>
  <c r="AW10" i="3" s="1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H11" i="4" s="1"/>
  <c r="H15" i="4" s="1"/>
  <c r="I9" i="3"/>
  <c r="BA9" i="3" s="1"/>
  <c r="J9" i="3"/>
  <c r="BB9" i="3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<sst xmlns="http://schemas.openxmlformats.org/spreadsheetml/2006/main" count="362" uniqueCount="258">
  <si>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</si>
  <si>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</si>
  <si>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</si>
  <si>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</si>
  <si>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</si>
  <si>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</si>
  <si>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</si>
  <si>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</si>
  <si>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</si>
  <si>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</si>
  <si>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</si>
  <si>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</si>
  <si>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</si>
  <si>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</si>
  <si>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</si>
  <si>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</si>
  <si>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</si>
  <si>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</si>
  <si>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</si>
  <si>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</si>
  <si>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</si>
  <si>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</si>
  <si>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</si>
  <si>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</si>
  <si>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</si>
  <si>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</si>
  <si>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</si>
  <si>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</si>
  <si>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</si>
  <si>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</si>
  <si>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</si>
  <si>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</si>
  <si>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</si>
  <si>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</si>
  <si>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</si>
  <si>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</si>
  <si>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</si>
  <si>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</si>
  <si>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</si>
  <si>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</si>
  <si>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</si>
  <si>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</si>
  <si>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</si>
  <si>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</si>
  <si>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</si>
  <si>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</si>
  <si>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</si>
  <si>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</si>
  <si>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</si>
  <si>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</si>
  <si>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</si>
  <si>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</si>
  <si>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</si>
  <si>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</si>
  <si>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</si>
  <si>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</si>
  <si>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</si>
  <si>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</si>
  <si>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</si>
  <si>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</si>
  <si>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</si>
  <si>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</si>
  <si>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</si>
  <si>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</si>
  <si>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</si>
  <si>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</si>
  <si>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</si>
  <si>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</si>
  <si>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</si>
  <si>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</si>
  <si>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</si>
  <si>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</si>
  <si>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</si>
  <si>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</si>
  <si>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</si>
  <si>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</si>
  <si>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</si>
  <si>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</si>
  <si>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</si>
  <si>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</si>
  <si>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</si>
  <si>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</si>
  <si>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</si>
  <si>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</si>
  <si>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</si>
  <si>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</si>
  <si>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</si>
  <si>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</si>
  <si>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</si>
  <si>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</si>
  <si>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</si>
  <si>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</si>
  <si>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</si>
  <si>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</si>
  <si>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</si>
  <si>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</si>
  <si>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</si>
  <si>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</si>
  <si>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</si>
  <si>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</si>
  <si>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</si>
  <si>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</si>
  <si>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</si>
  <si>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</si>
  <si>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</si>
  <si>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</si>
  <si>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</si>
  <si>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</si>
  <si>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</si>
  <si>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</si>
  <si>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</si>
  <si>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</si>
  <si>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</si>
  <si>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</si>
  <si>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</si>
  <si>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</si>
  <si>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</si>
  <si>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</si>
  <si>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</si>
  <si>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</si>
  <si>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</si>
  <si>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</si>
  <si>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</si>
  <si>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</si>
  <si>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</si>
  <si>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</si>
  <si>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</si>
  <si>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</si>
  <si>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</si>
  <si>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</si>
  <si>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</si>
  <si>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</si>
  <si>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</si>
  <si>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</si>
  <si>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</si>
  <si>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</si>
  <si>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</si>
  <si>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</si>
  <si>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</si>
  <si>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</si>
  <si>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</si>
  <si>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</si>
  <si>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</si>
  <si>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</si>
  <si>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</si>
  <si>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</si>
  <si>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</si>
  <si>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</si>
  <si>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</si>
  <si>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</si>
  <si>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</si>
  <si>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</si>
  <si>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</si>
  <si>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</si>
  <si>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</si>
  <si>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</si>
  <si>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</si>
  <si>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</si>
  <si>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</si>
  <si>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</si>
  <si>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</si>
  <si>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</si>
  <si>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</si>
  <si>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</si>
  <si>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</si>
  <si>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</si>
  <si>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</si>
  <si>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</si>
  <si>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</si>
  <si>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</si>
  <si>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</si>
  <si>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</si>
  <si>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</si>
  <si>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</si>
  <si>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</si>
  <si>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</si>
  <si>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</si>
  <si>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</si>
  <si>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</si>
  <si>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</si>
  <si>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</si>
  <si>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</si>
  <si>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</si>
  <si>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</si>
  <si>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</si>
  <si>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</si>
  <si>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</si>
  <si>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</si>
  <si>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</si>
  <si>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</si>
  <si>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</si>
  <si>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</si>
  <si>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</si>
  <si>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</si>
  <si>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</si>
  <si>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</si>
  <si>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</si>
  <si>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</si>
  <si>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</si>
  <si>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</si>
  <si>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</si>
  <si>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</si>
  <si>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</si>
  <si>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</si>
  <si>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</si>
  <si>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</si>
  <si>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</si>
  <si>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</si>
  <si>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</si>
  <si>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</si>
  <si>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</si>
  <si>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</si>
  <si>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</si>
  <si>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</si>
  <si>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</si>
  <si>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</si>
  <si>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</si>
  <si>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</si>
  <si>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</si>
  <si>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</si>
  <si>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</si>
  <si>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</si>
  <si>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</si>
  <si>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</si>
  <si>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</si>
  <si>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</si>
  <si>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</si>
  <si>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</si>
  <si>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</si>
  <si>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</si>
  <si>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</si>
  <si>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</si>
  <si>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</si>
  <si>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</si>
  <si>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</si>
  <si>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</si>
  <si>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</si>
  <si>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</si>
  <si>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</si>
  <si>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</si>
  <si>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</si>
  <si>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</si>
  <si>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</si>
  <si>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</si>
  <si>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</si>
  <si>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</si>
  <si>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</si>
  <si>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</si>
  <si>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</si>
  <si>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</si>
  <si>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</si>
  <si>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</si>
  <si>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</si>
  <si>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</si>
  <si>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</si>
  <si>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</si>
  <si>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Add terminal value using Multiples (see Freddy DCF)</t>
  </si>
  <si>
    <t>Information from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</si>
</sst>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5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3" fillId="6" borderId="0" xfId="0" applyFont="1" applyFill="1" applyBorder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8C2B0C-06A4-4D4A-8A69-D92ED6EED69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5ACB6B-8F36-7349-9DB1-7367E474D8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0A97BD-BB8A-6E48-84D5-40032A616B2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D92D63-D4DD-F343-94D9-E8415457B8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589987-D881-884F-8F78-779049D0DE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3622AF-5AE9-D248-BCEC-149E7141B1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462367-A71D-BF41-85B7-F9F5C33CED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3CA1D2-B3BD-7A4B-A243-E67264B94D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9059C3-ABAF-1449-990E-D23892B19D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C6F673-35F8-D741-8C3C-471D6B784E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B2DD47-789E-B044-B853-C8C46947B7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EA8B16-F883-9146-AFBD-F1DBD98B9B1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6C0349-1AF2-BA4B-8710-1474BA5393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3A2C7-7A30-2649-B7A5-7C5F7FA140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A2A32C-326D-964B-8B04-B39943D1448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8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abSelected="1"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92"/>
      <c r="D4" s="135"/>
    </row>
    <row r="5" spans="2:16384">
      <c r="B5" s="136"/>
      <c r="C5" s="293" t="s">
        <v>151</v>
      </c>
      <c r="D5" s="35"/>
    </row>
    <row r="6" spans="2:16384">
      <c r="B6" s="141" t="s">
        <v>93</v>
      </c>
      <c r="C6" s="293" t="s">
        <v>155</v>
      </c>
      <c r="D6" s="142">
        <f>Average_Growth_Sales</f>
        <v>0.4693951084601678</v>
      </c>
    </row>
    <row r="7" spans="2:16384">
      <c r="B7" s="139"/>
      <c r="C7" s="293"/>
      <c r="D7" s="35"/>
    </row>
    <row r="8" spans="2:16384">
      <c r="B8" s="139" t="s">
        <v>86</v>
      </c>
      <c r="C8" s="293" t="s">
        <v>155</v>
      </c>
      <c r="D8" s="129">
        <f>Average_Gross_Margin</f>
        <v>0.72014242893006786</v>
      </c>
    </row>
    <row r="9" spans="2:16384">
      <c r="B9" s="139" t="s">
        <v>94</v>
      </c>
      <c r="C9" s="293" t="s">
        <v>155</v>
      </c>
      <c r="D9" s="129">
        <f>Growth_Sales</f>
        <v>0.4693951084601678</v>
      </c>
    </row>
    <row r="10" spans="2:16384">
      <c r="B10" s="139" t="s">
        <v>96</v>
      </c>
      <c r="C10" s="293" t="s">
        <v>155</v>
      </c>
      <c r="D10" s="131">
        <v>0.02</v>
      </c>
    </row>
    <row r="11" spans="2:16384">
      <c r="B11" s="139"/>
      <c r="C11" s="293"/>
      <c r="D11" s="35"/>
    </row>
    <row r="12" spans="2:16384">
      <c r="B12" s="139" t="s">
        <v>118</v>
      </c>
      <c r="C12" s="293" t="s">
        <v>155</v>
      </c>
      <c r="D12" s="131">
        <v>0.03</v>
      </c>
    </row>
    <row r="13" spans="2:16384">
      <c r="B13" s="139" t="s">
        <v>119</v>
      </c>
      <c r="C13" s="293" t="s">
        <v>155</v>
      </c>
      <c r="D13" s="131">
        <v>0.02</v>
      </c>
    </row>
    <row r="14" spans="2:16384">
      <c r="B14" s="139"/>
      <c r="C14" s="293"/>
      <c r="D14" s="35"/>
    </row>
    <row r="15" spans="2:16384">
      <c r="B15" s="139" t="s">
        <v>237</v>
      </c>
      <c r="C15" s="293" t="s">
        <v>155</v>
      </c>
      <c r="D15" s="132">
        <v>1.4999999999999999E-2</v>
      </c>
    </row>
    <row r="16" spans="2:16384">
      <c r="B16" s="139"/>
      <c r="C16" s="293"/>
      <c r="D16" s="35"/>
    </row>
    <row r="17" spans="2:4">
      <c r="B17" s="139" t="s">
        <v>95</v>
      </c>
      <c r="C17" s="293" t="s">
        <v>155</v>
      </c>
      <c r="D17" s="131">
        <f>30%</f>
        <v>0.3</v>
      </c>
    </row>
    <row r="18" spans="2:4">
      <c r="B18" s="139" t="s">
        <v>238</v>
      </c>
      <c r="C18" s="293" t="s">
        <v>155</v>
      </c>
      <c r="D18" s="129">
        <f>ABS(Latest_Interest/Total_Debt_FY_minu1)</f>
        <v>2.7139874739039668E-2</v>
      </c>
    </row>
    <row r="19" spans="2:4">
      <c r="B19" s="139"/>
      <c r="C19" s="293"/>
      <c r="D19" s="35"/>
    </row>
    <row r="20" spans="2:4">
      <c r="B20" s="139" t="s">
        <v>241</v>
      </c>
      <c r="C20" s="293" t="s">
        <v>154</v>
      </c>
      <c r="D20" s="133">
        <f>Average_Inventory_Turnover</f>
        <v>5.4574954602297057</v>
      </c>
    </row>
    <row r="21" spans="2:4">
      <c r="B21" s="139" t="s">
        <v>239</v>
      </c>
      <c r="C21" s="293" t="s">
        <v>154</v>
      </c>
      <c r="D21" s="133">
        <f>Average_Receivables_Turnover</f>
        <v>26.392398910547467</v>
      </c>
    </row>
    <row r="22" spans="2:4">
      <c r="B22" s="140" t="s">
        <v>240</v>
      </c>
      <c r="C22" s="294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12"/>
  <sheetViews>
    <sheetView topLeftCell="A57" zoomScale="75" workbookViewId="0">
      <selection activeCell="B81" sqref="B81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3" t="s">
        <v>149</v>
      </c>
      <c r="G62" s="283"/>
      <c r="H62" s="283"/>
      <c r="I62" s="283"/>
      <c r="J62" s="283"/>
      <c r="K62" s="283"/>
      <c r="L62" s="283"/>
      <c r="M62" s="283"/>
      <c r="N62" s="283"/>
      <c r="O62" s="283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4" t="s">
        <v>110</v>
      </c>
      <c r="I100" s="285" t="s">
        <v>122</v>
      </c>
      <c r="J100" s="285"/>
      <c r="K100" s="285"/>
      <c r="L100" s="285"/>
      <c r="M100" s="285"/>
      <c r="N100" s="285"/>
      <c r="O100" s="8"/>
      <c r="P100" s="11" t="s">
        <v>123</v>
      </c>
      <c r="Q100" s="16">
        <v>2.5000000000000001E-3</v>
      </c>
    </row>
    <row r="101" spans="2:17" ht="17" thickBot="1">
      <c r="H101" s="284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4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4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4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4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4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  <row r="112" spans="2:17">
      <c r="B112" t="s">
        <v>256</v>
      </c>
    </row>
  </sheetData>
  <sheetProtection sheet="1"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50" workbookViewId="0">
      <selection activeCell="C14" sqref="C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t="e" vm="1">
        <f ca="1">'Information from Python'!F5</f>
        <v>#VALUE!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 t="e" vm="1">
        <f ca="1">E8 * E9</f>
        <v>#VALUE!</v>
      </c>
      <c r="F10" s="246"/>
      <c r="G10" s="252" t="s">
        <v>188</v>
      </c>
      <c r="H10" s="253" t="e" vm="1">
        <f ca="1">$E$13/H8</f>
        <v>#VALUE!</v>
      </c>
      <c r="I10" s="253" t="e" vm="1">
        <f ca="1">$E$13/I8</f>
        <v>#VALUE!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 t="e" vm="1">
        <f ca="1">$E$13/H9</f>
        <v>#VALUE!</v>
      </c>
      <c r="I11" s="253" t="e" vm="1">
        <f ca="1">$E$13/I9</f>
        <v>#VALUE!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 t="e" vm="1">
        <f ca="1">E10+E11-E12</f>
        <v>#VALUE!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 t="e" vm="1">
        <f ca="1">E10</f>
        <v>#VALUE!</v>
      </c>
      <c r="D40" s="261" t="e" vm="1">
        <f ca="1">E13</f>
        <v>#VALUE!</v>
      </c>
      <c r="E40" s="262" t="e" vm="1">
        <f ca="1">H10</f>
        <v>#VALUE!</v>
      </c>
      <c r="F40" s="262" t="e" vm="1">
        <f ca="1">I10</f>
        <v>#VALUE!</v>
      </c>
      <c r="G40" s="262" t="e" vm="1">
        <f ca="1">H11</f>
        <v>#VALUE!</v>
      </c>
      <c r="H40" s="262" t="e" vm="1">
        <f ca="1">I11</f>
        <v>#VALUE!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6" t="str">
        <f>"Valuation Football Field: "&amp;Name</f>
        <v>Valuation Football Field: Apple Inc.</v>
      </c>
      <c r="C4" s="287"/>
      <c r="D4" s="287"/>
      <c r="E4" s="287"/>
      <c r="F4" s="287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t="e" vm="1">
        <f ca="1">'Information from Python'!$F$5</f>
        <v>#VALUE!</v>
      </c>
      <c r="E13" s="153" t="e" vm="1">
        <f ca="1">'Information from Python'!$F$5</f>
        <v>#VALUE!</v>
      </c>
      <c r="F13" s="128" t="e" vm="1">
        <f ca="1">'Information from Python'!$F$5</f>
        <v>#VALUE!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t="e" vm="1">
        <f t="shared" ca="1" si="4"/>
        <v>#VALUE!</v>
      </c>
      <c r="AW13" s="276" t="e" vm="1">
        <f t="shared" ca="1" si="5"/>
        <v>#VALUE!</v>
      </c>
      <c r="AX13" s="276" t="e" vm="1">
        <f t="shared" ca="1" si="6"/>
        <v>#VALUE!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88" t="s">
        <v>149</v>
      </c>
      <c r="G4" s="288"/>
      <c r="H4" s="288"/>
      <c r="I4" s="288"/>
      <c r="J4" s="288"/>
      <c r="K4" s="288"/>
      <c r="L4" s="288"/>
      <c r="M4" s="288"/>
      <c r="N4" s="288"/>
      <c r="O4" s="288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19" sqref="F1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H26" sqref="H26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C62" sqref="C62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0" t="s">
        <v>196</v>
      </c>
      <c r="D36" s="290"/>
      <c r="E36" s="290"/>
      <c r="F36" s="290"/>
      <c r="G36" s="290"/>
      <c r="H36" s="290"/>
      <c r="I36" s="290"/>
      <c r="J36" s="290"/>
      <c r="K36" s="290"/>
      <c r="L36" s="29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0" t="s">
        <v>196</v>
      </c>
      <c r="D50" s="290"/>
      <c r="E50" s="290"/>
      <c r="F50" s="290"/>
      <c r="G50" s="290"/>
      <c r="H50" s="290"/>
      <c r="I50" s="290"/>
      <c r="J50" s="290"/>
      <c r="K50" s="290"/>
      <c r="L50" s="29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F8" sqref="F8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t="e" cm="1" vm="2">
        <f t="array" aca="1" ref="F5" ca="1">INDEX(_xlfn.STOCKHISTORY(Ticker, TODAY()-7, TODAY(), 0, 1), ROWS(_xlfn.STOCKHISTORY(Ticker, TODAY()-7, TODAY(), 0, 1)), 2)</f>
        <v>#VALUE!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5" sqref="F5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1" t="s">
        <v>196</v>
      </c>
      <c r="D4" s="291"/>
      <c r="E4" s="291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2025-02-26T11:54:25Z</dcterms:modified>
</cp:coreProperties>
</file>