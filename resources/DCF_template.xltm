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32D5D585-1046-2040-8B55-50E1D303BEE5}" xr6:coauthVersionLast="47" xr6:coauthVersionMax="47" xr10:uidLastSave="{00000000-0000-0000-0000-000000000000}"/>
  <bookViews>
    <workbookView xWindow="0" yWindow="740" windowWidth="29400" windowHeight="1662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Forecasted_Years">'Information from Python'!$C$8</definedName>
    <definedName name="Gross_Margin">Assumptions!$C$8</definedName>
    <definedName name="Growth_Non_Operating">Assumptions!$C$10</definedName>
    <definedName name="Growth_RATE_ONWC">Assumptions!$C$13</definedName>
    <definedName name="Growth_RATE_PPE">Assumptions!$C$12</definedName>
    <definedName name="Growth_Sales">Assumptions!$C$6</definedName>
    <definedName name="Growth_SGA">Assumptions!$C$9</definedName>
    <definedName name="High_Share_Price">'Information from Python'!$C$21</definedName>
    <definedName name="Industry">'Information from Python'!$C$12</definedName>
    <definedName name="Interest_Rate">Assumptions!$C$18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Assumptions!$C$15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Assumptions!$C$17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Assumptions!$C$12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4" l="1"/>
  <c r="C17" i="1"/>
  <c r="C18" i="1"/>
  <c r="E47" i="4"/>
  <c r="P7" i="11"/>
  <c r="K14" i="11"/>
  <c r="J13" i="11"/>
  <c r="H11" i="11"/>
  <c r="K32" i="4"/>
  <c r="K17" i="4" s="1"/>
  <c r="K31" i="4"/>
  <c r="I17" i="4"/>
  <c r="J17" i="4"/>
  <c r="L17" i="4"/>
  <c r="M17" i="4"/>
  <c r="N17" i="4"/>
  <c r="O17" i="4"/>
  <c r="J35" i="4"/>
  <c r="I35" i="4"/>
  <c r="K35" i="4"/>
  <c r="L35" i="4"/>
  <c r="M35" i="4"/>
  <c r="N35" i="4"/>
  <c r="O35" i="4"/>
  <c r="I31" i="4"/>
  <c r="H33" i="4"/>
  <c r="I12" i="11"/>
  <c r="E6" i="3"/>
  <c r="AV8" i="3"/>
  <c r="AW8" i="3"/>
  <c r="AX8" i="3"/>
  <c r="AZ8" i="3"/>
  <c r="BA8" i="3"/>
  <c r="BB8" i="3"/>
  <c r="AV10" i="3"/>
  <c r="AW10" i="3"/>
  <c r="AX10" i="3"/>
  <c r="AZ10" i="3"/>
  <c r="BA10" i="3"/>
  <c r="BB10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D35" i="4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AV7" i="3" l="1"/>
  <c r="E35" i="4"/>
  <c r="AZ29" i="2" a="1"/>
  <c r="C99" i="4"/>
  <c r="N9" i="2"/>
  <c r="N8" i="2"/>
  <c r="L101" i="4"/>
  <c r="I92" i="4"/>
  <c r="M63" i="4"/>
  <c r="M5" i="11" s="1"/>
  <c r="M7" i="11" s="1"/>
  <c r="D65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F5" i="5" a="1"/>
  <c r="I13" i="4" l="1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F8" i="3"/>
  <c r="D8" i="3"/>
  <c r="J15" i="4"/>
  <c r="I15" i="4"/>
  <c r="I6" i="2"/>
  <c r="K15" i="4"/>
  <c r="H6" i="2"/>
  <c r="D8" i="4"/>
  <c r="L15" i="4"/>
  <c r="O15" i="4"/>
  <c r="N15" i="4"/>
  <c r="M15" i="4"/>
  <c r="F5" i="5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M31" i="4"/>
  <c r="N30" i="4"/>
  <c r="I33" i="4"/>
  <c r="I32" i="4"/>
  <c r="I30" i="4"/>
  <c r="O34" i="4"/>
  <c r="O31" i="4"/>
  <c r="O6" i="4"/>
  <c r="O8" i="4" s="1"/>
  <c r="O11" i="4" s="1"/>
  <c r="O18" i="4" s="1"/>
  <c r="O32" i="4"/>
  <c r="N31" i="4"/>
  <c r="M6" i="4"/>
  <c r="M8" i="4" s="1"/>
  <c r="M11" i="4" s="1"/>
  <c r="M18" i="4" s="1"/>
  <c r="L34" i="4"/>
  <c r="M32" i="4"/>
  <c r="L31" i="4"/>
  <c r="M30" i="4"/>
  <c r="F33" i="4"/>
  <c r="F13" i="4" s="1"/>
  <c r="G13" i="4" s="1"/>
  <c r="J6" i="4"/>
  <c r="J8" i="4" s="1"/>
  <c r="J11" i="4" s="1"/>
  <c r="J18" i="4" s="1"/>
  <c r="J32" i="4"/>
  <c r="J30" i="4"/>
  <c r="N34" i="4"/>
  <c r="O30" i="4"/>
  <c r="L6" i="4"/>
  <c r="L8" i="4" s="1"/>
  <c r="L11" i="4" s="1"/>
  <c r="L18" i="4" s="1"/>
  <c r="K34" i="4"/>
  <c r="L32" i="4"/>
  <c r="L30" i="4"/>
  <c r="E8" i="4"/>
  <c r="H5" i="4"/>
  <c r="H35" i="4" s="1"/>
  <c r="H20" i="4" s="1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K101" i="4"/>
  <c r="J101" i="4" s="1"/>
  <c r="M101" i="4"/>
  <c r="N101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8" i="3" l="1"/>
  <c r="J8" i="3"/>
  <c r="I8" i="3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7" i="4" s="1"/>
  <c r="C62" i="6"/>
  <c r="C95" i="4" s="1"/>
  <c r="D65" i="6"/>
  <c r="E62" i="6"/>
  <c r="K56" i="6"/>
  <c r="K67" i="6"/>
  <c r="L55" i="6"/>
  <c r="C53" i="6"/>
  <c r="C96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C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C20" i="1" s="1"/>
  <c r="F8" i="10"/>
  <c r="C21" i="1" s="1"/>
  <c r="F9" i="10"/>
  <c r="C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D10" i="3"/>
  <c r="E10" i="3"/>
  <c r="AW6" i="3"/>
  <c r="E10" i="2"/>
  <c r="C40" i="2" s="1"/>
  <c r="C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H10" i="3"/>
  <c r="J10" i="3"/>
  <c r="C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7" i="4" l="1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G40" i="2" s="1"/>
  <c r="E56" i="4"/>
  <c r="I104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H82" i="4"/>
  <c r="H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H9" i="3" l="1"/>
  <c r="AZ9" i="3" s="1"/>
  <c r="AV9" i="3"/>
  <c r="G7" i="4"/>
  <c r="G8" i="4" s="1"/>
  <c r="G11" i="4" s="1"/>
  <c r="G15" i="4" s="1"/>
  <c r="H6" i="4"/>
  <c r="H7" i="4" s="1"/>
  <c r="H8" i="4" s="1"/>
  <c r="I9" i="3"/>
  <c r="BA9" i="3" s="1"/>
  <c r="J9" i="3"/>
  <c r="BB9" i="3" s="1"/>
  <c r="H11" i="4"/>
  <c r="H15" i="4" s="1"/>
  <c r="F11" i="4"/>
  <c r="F15" i="4" s="1"/>
  <c r="I9" i="2" s="1"/>
  <c r="H83" i="4"/>
  <c r="H71" i="4" s="1"/>
  <c r="I105" i="4"/>
  <c r="I106" i="4" s="1"/>
  <c r="I103" i="4"/>
  <c r="I102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I11" i="2" l="1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H11" i="3" l="1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1" i="4" l="1"/>
  <c r="I93" i="4" s="1"/>
  <c r="I94" i="4" s="1"/>
  <c r="C93" i="4" s="1"/>
  <c r="F75" i="4"/>
  <c r="G75" i="4" s="1"/>
  <c r="H75" i="4" l="1"/>
  <c r="H78" i="4" s="1"/>
  <c r="G78" i="4"/>
  <c r="F78" i="4"/>
  <c r="C92" i="4" l="1"/>
  <c r="C94" i="4" s="1"/>
  <c r="C98" i="4" s="1"/>
  <c r="C100" i="4" l="1"/>
  <c r="I101" i="4" l="1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<sst xmlns="http://schemas.openxmlformats.org/spreadsheetml/2006/main" count="348" uniqueCount="257">
  <si>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</si>
  <si>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</si>
  <si>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</si>
  <si>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</si>
  <si>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</si>
  <si>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</si>
  <si>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</si>
  <si>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</si>
  <si>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</si>
  <si>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</si>
  <si>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</si>
  <si>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</si>
  <si>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</si>
  <si>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</si>
  <si>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</si>
  <si>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</si>
  <si>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</si>
  <si>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</si>
  <si>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</si>
  <si>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</si>
  <si>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</si>
  <si>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</si>
  <si>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</si>
  <si>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</si>
  <si>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</si>
  <si>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</si>
  <si>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</si>
  <si>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</si>
  <si>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</si>
  <si>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</si>
  <si>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</si>
  <si>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</si>
  <si>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</si>
  <si>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</si>
  <si>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</si>
  <si>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</si>
  <si>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</si>
  <si>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</si>
  <si>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</si>
  <si>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</si>
  <si>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</si>
  <si>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</si>
  <si>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</si>
  <si>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</si>
  <si>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</si>
  <si>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</si>
  <si>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</si>
  <si>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</si>
  <si>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</si>
  <si>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</si>
  <si>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</si>
  <si>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</si>
  <si>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</si>
  <si>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</si>
  <si>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</si>
  <si>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</si>
  <si>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</si>
  <si>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</si>
  <si>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</si>
  <si>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</si>
  <si>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</si>
  <si>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</si>
  <si>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</si>
  <si>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</si>
  <si>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</si>
  <si>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</si>
  <si>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</si>
  <si>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</si>
  <si>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</si>
  <si>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</si>
  <si>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</si>
  <si>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</si>
  <si>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</si>
  <si>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</si>
  <si>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</si>
  <si>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</si>
  <si>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</si>
  <si>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</si>
  <si>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</si>
  <si>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</si>
  <si>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</si>
  <si>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</si>
  <si>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</si>
  <si>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</si>
  <si>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</si>
  <si>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</si>
  <si>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</si>
  <si>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</si>
  <si>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</si>
  <si>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</si>
  <si>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</si>
  <si>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</si>
  <si>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</si>
  <si>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</si>
  <si>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</si>
  <si>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</si>
  <si>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</si>
  <si>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</si>
  <si>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</si>
  <si>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</si>
  <si>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</si>
  <si>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</si>
  <si>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</si>
  <si>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</si>
  <si>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</si>
  <si>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</si>
  <si>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</si>
  <si>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</si>
  <si>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</si>
  <si>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</si>
  <si>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</si>
  <si>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</si>
  <si>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</si>
  <si>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</si>
  <si>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</si>
  <si>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</si>
  <si>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</si>
  <si>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</si>
  <si>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</si>
  <si>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</si>
  <si>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</si>
  <si>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</si>
  <si>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</si>
  <si>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</si>
  <si>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</si>
  <si>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</si>
  <si>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</si>
  <si>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</si>
  <si>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</si>
  <si>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</si>
  <si>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</si>
  <si>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</si>
  <si>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</si>
  <si>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</si>
  <si>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</si>
  <si>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</si>
  <si>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</si>
  <si>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</si>
  <si>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</si>
  <si>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</si>
  <si>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</si>
  <si>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</si>
  <si>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</si>
  <si>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</si>
  <si>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</si>
  <si>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</si>
  <si>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</si>
  <si>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</si>
  <si>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</si>
  <si>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</si>
  <si>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</si>
  <si>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</si>
  <si>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</si>
  <si>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</si>
  <si>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</si>
  <si>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</si>
  <si>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</si>
  <si>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</si>
  <si>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</si>
  <si>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</si>
  <si>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</si>
  <si>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</si>
  <si>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</si>
  <si>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</si>
  <si>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</si>
  <si>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</si>
  <si>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</si>
  <si>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</si>
  <si>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</si>
  <si>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</si>
  <si>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</si>
  <si>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</si>
  <si>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</si>
  <si>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</si>
  <si>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</si>
  <si>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</si>
  <si>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</si>
  <si>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</si>
  <si>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</si>
  <si>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</si>
  <si>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</si>
  <si>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</si>
  <si>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</si>
  <si>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</si>
  <si>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</si>
  <si>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</si>
  <si>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</si>
  <si>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</si>
  <si>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</si>
  <si>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</si>
  <si>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</si>
  <si>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</si>
  <si>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</si>
  <si>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</si>
  <si>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</si>
  <si>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</si>
  <si>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</si>
  <si>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</si>
  <si>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</si>
  <si>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</si>
  <si>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</si>
  <si>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</si>
  <si>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</si>
  <si>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</si>
  <si>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</si>
  <si>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</si>
  <si>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</si>
  <si>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</si>
  <si>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</si>
  <si>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</si>
  <si>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</si>
  <si>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</si>
  <si>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</si>
  <si>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</si>
  <si>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</si>
  <si>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</si>
  <si>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</si>
  <si>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</si>
  <si>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</si>
  <si>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</si>
  <si>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</si>
  <si>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</si>
  <si>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</si>
  <si>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</si>
  <si>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</si>
  <si>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</si>
  <si>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</si>
  <si>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</si>
  <si>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</si>
  <si>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</si>
  <si>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Alphabet Inc.</t>
  </si>
  <si>
    <t>Dell Technologies Inc.</t>
  </si>
  <si>
    <t>Microsoft Corporation</t>
  </si>
  <si>
    <t>Netflix, Inc.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</si>
  <si>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</si>
  <si>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</si>
  <si>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</si>
  <si>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</si>
  <si>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</si>
  <si>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</si>
  <si>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</si>
  <si>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</si>
  <si>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</si>
  <si>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</si>
  <si>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</si>
  <si>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</si>
  <si>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Informtation from Python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</si>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</sst>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04B55D0-A8F1-4E4B-A6E6-ACFF04CAFAF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671BB9-DE7A-CB40-92DE-2AAA19DD8F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F3CC39-A6B3-5D47-BCC3-F2AEAEC493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64C5D0-70A5-5B40-AF71-4C1FBC48BB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6B9A03-2399-224E-B658-2E658E24E2D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5258C9-A361-7E4F-B90C-B73CCE04738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00ED9D3-A00B-C345-BD7F-29A18E6DC65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A0DBDD-9C65-6840-8D7F-3D8D9C02F9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0BF9EB-6BCB-FC41-95E9-EEC61BA9895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42C786-2033-BC4D-B7A8-2984DEA711D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06282C-C9A5-9C4E-B884-CFEFDC5C588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1E4C72-1E9F-6049-9FA1-3E0196815A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BD4804F-E0DB-C045-8494-84E5246F39A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E5671B-4284-F34E-B441-4E35A545E8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03A00E-2E6D-BB48-894B-D1EA24C63A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C272F8-13C0-7F4E-95ED-768350F7870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3F7B8D-8560-3E4E-8E33-2CECAF27913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A3DEC8-13F8-524F-8DCC-2A785FEA70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245.55</c:v>
                </c:pt>
                <c:pt idx="1">
                  <c:v>245.55</c:v>
                </c:pt>
                <c:pt idx="2">
                  <c:v>245.55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4">
    <v t="i">1</v>
    <v t="i">2</v>
    <v t="i">3</v>
    <v t="i">4</v>
  </a>
  <a r="1" c="4">
    <v>244.47</v>
    <v>244.87</v>
    <v>245.83</v>
    <v>245.55</v>
  </a>
</arrayData>
</file>

<file path=xl/richData/rdrichvalue.xml><?xml version="1.0" encoding="utf-8"?>
<rvData xmlns="http://schemas.microsoft.com/office/spreadsheetml/2017/richdata" count="2">
  <rv s="0">
    <fb>245.55</fb>
    <v>0</v>
  </rv>
  <rv s="1">
    <v>1</v>
    <v>AAPL</v>
    <v>Daily</v>
    <v>45705</v>
    <v>45712</v>
    <v>0</v>
    <v>1</v>
    <v>638756928000000000,638760170565243674,0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5" workbookViewId="0">
      <selection activeCell="J29" sqref="J29"/>
    </sheetView>
  </sheetViews>
  <sheetFormatPr baseColWidth="10" defaultRowHeight="16"/>
  <cols>
    <col min="2" max="2" width="24" bestFit="1" customWidth="1"/>
    <col min="3" max="3" width="23.710937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240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240</v>
      </c>
      <c r="C4" s="135"/>
    </row>
    <row r="5" spans="2:16384">
      <c r="B5" s="136"/>
      <c r="C5" s="35"/>
    </row>
    <row r="6" spans="2:16384">
      <c r="B6" s="141" t="s">
        <v>93</v>
      </c>
      <c r="C6" s="142">
        <f>Average_Growth_Sales</f>
        <v>0.4693951084601678</v>
      </c>
    </row>
    <row r="7" spans="2:16384">
      <c r="B7" s="139"/>
      <c r="C7" s="35"/>
    </row>
    <row r="8" spans="2:16384">
      <c r="B8" s="139" t="s">
        <v>86</v>
      </c>
      <c r="C8" s="129">
        <f>Average_Gross_Margin</f>
        <v>0.72014242893006786</v>
      </c>
    </row>
    <row r="9" spans="2:16384">
      <c r="B9" s="139" t="s">
        <v>94</v>
      </c>
      <c r="C9" s="129">
        <f>Growth_Sales</f>
        <v>0.4693951084601678</v>
      </c>
    </row>
    <row r="10" spans="2:16384">
      <c r="B10" s="139" t="s">
        <v>96</v>
      </c>
      <c r="C10" s="131">
        <v>0.02</v>
      </c>
    </row>
    <row r="11" spans="2:16384">
      <c r="B11" s="139"/>
      <c r="C11" s="35"/>
    </row>
    <row r="12" spans="2:16384">
      <c r="B12" s="139" t="s">
        <v>118</v>
      </c>
      <c r="C12" s="131">
        <v>0.03</v>
      </c>
    </row>
    <row r="13" spans="2:16384">
      <c r="B13" s="139" t="s">
        <v>119</v>
      </c>
      <c r="C13" s="131">
        <v>0.02</v>
      </c>
    </row>
    <row r="14" spans="2:16384">
      <c r="B14" s="139"/>
      <c r="C14" s="35"/>
    </row>
    <row r="15" spans="2:16384">
      <c r="B15" s="139" t="s">
        <v>241</v>
      </c>
      <c r="C15" s="132">
        <v>1.4999999999999999E-2</v>
      </c>
    </row>
    <row r="16" spans="2:16384">
      <c r="B16" s="139"/>
      <c r="C16" s="35"/>
    </row>
    <row r="17" spans="2:3">
      <c r="B17" s="139" t="s">
        <v>95</v>
      </c>
      <c r="C17" s="131">
        <f>30%</f>
        <v>0.3</v>
      </c>
    </row>
    <row r="18" spans="2:3">
      <c r="B18" s="139" t="s">
        <v>242</v>
      </c>
      <c r="C18" s="129">
        <f>ABS(Latest_Interest/Total_Debt_FY_minu1)</f>
        <v>2.7139874739039668E-2</v>
      </c>
    </row>
    <row r="19" spans="2:3">
      <c r="B19" s="139"/>
      <c r="C19" s="35"/>
    </row>
    <row r="20" spans="2:3">
      <c r="B20" s="139" t="s">
        <v>245</v>
      </c>
      <c r="C20" s="133">
        <f>Average_Inventory_Turnover</f>
        <v>5.4574954602297057</v>
      </c>
    </row>
    <row r="21" spans="2:3">
      <c r="B21" s="139" t="s">
        <v>243</v>
      </c>
      <c r="C21" s="133">
        <f>Average_Receivables_Turnover</f>
        <v>26.392398910547467</v>
      </c>
    </row>
    <row r="22" spans="2:3">
      <c r="B22" s="140" t="s">
        <v>244</v>
      </c>
      <c r="C22" s="138">
        <f>Average_Payable_Turnover</f>
        <v>4.2024952811418705</v>
      </c>
    </row>
    <row r="23" spans="2:3">
      <c r="C23" s="5"/>
    </row>
  </sheetData>
  <dataValidations count="7"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C18&gt;0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C18&lt;0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C18" xr:uid="{974884FC-E1AB-A84E-83DB-C6576FC432F4}">
      <formula1>$C$18&gt;0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C17" xr:uid="{52C25F15-2CFA-D744-8130-E9C7202DCDC4}">
      <formula1>$C$17&gt;0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C15" xr:uid="{B76FCBEC-53CB-AF40-9E1C-73442E02CA1B}">
      <formula1>$C$15&lt;0.03</formula1>
    </dataValidation>
    <dataValidation type="custom" allowBlank="1" showInputMessage="1" showErrorMessage="1" errorTitle="Negative COGS/Revenue" error="The Gross margin is negative (COGS will be recorded as an income). This is not possible." sqref="C8" xr:uid="{3D3C1DED-6FA8-5C41-9795-3233E26D1E46}">
      <formula1>$C$8&gt;0</formula1>
    </dataValidation>
    <dataValidation type="custom" errorStyle="warning" allowBlank="1" showInputMessage="1" showErrorMessage="1" errorTitle="Negative Turnover" error="Turnover cant be negative" sqref="C20:C22" xr:uid="{A8576CDB-BB4E-A14D-ACD7-B70A4A633958}">
      <formula1>C20&gt;0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106"/>
  <sheetViews>
    <sheetView tabSelected="1" workbookViewId="0">
      <selection activeCell="B8" sqref="B8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252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3" t="s">
        <v>149</v>
      </c>
      <c r="G62" s="283"/>
      <c r="H62" s="283"/>
      <c r="I62" s="283"/>
      <c r="J62" s="283"/>
      <c r="K62" s="283"/>
      <c r="L62" s="283"/>
      <c r="M62" s="283"/>
      <c r="N62" s="283"/>
      <c r="O62" s="283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5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5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5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5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5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5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5">
      <c r="B87" s="30"/>
      <c r="C87" s="28"/>
      <c r="D87" s="29"/>
      <c r="E87" s="29"/>
      <c r="F87" s="32"/>
      <c r="G87" s="32"/>
      <c r="H87" s="32"/>
      <c r="I87" s="32"/>
      <c r="J87" s="32"/>
      <c r="K87" s="25"/>
      <c r="L87" s="25"/>
    </row>
    <row r="88" spans="2:15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90" spans="2:15">
      <c r="B90" s="237" t="s">
        <v>172</v>
      </c>
      <c r="C90" s="238"/>
      <c r="H90" s="1" t="s">
        <v>124</v>
      </c>
      <c r="I90" s="1"/>
    </row>
    <row r="91" spans="2:15">
      <c r="H91" t="s">
        <v>125</v>
      </c>
      <c r="I91" s="6">
        <f ca="1">OFFSET($E$73,0,Years_Forecasted)</f>
        <v>31838.583854689627</v>
      </c>
    </row>
    <row r="92" spans="2:15">
      <c r="B92" t="s">
        <v>9</v>
      </c>
      <c r="C92" s="6">
        <f ca="1">SUM(F78:O78)</f>
        <v>52578.379365809669</v>
      </c>
      <c r="H92" t="s">
        <v>126</v>
      </c>
      <c r="I92" s="13">
        <f>Perpetuity_Growth_Rate</f>
        <v>1.4999999999999999E-2</v>
      </c>
    </row>
    <row r="93" spans="2:15" ht="16" customHeight="1">
      <c r="B93" t="s">
        <v>135</v>
      </c>
      <c r="C93" s="6">
        <f ca="1">I94</f>
        <v>557360.36627199478</v>
      </c>
      <c r="H93" t="s">
        <v>127</v>
      </c>
      <c r="I93" s="6">
        <f ca="1">I91*(1+I92)/(WACC-I92)</f>
        <v>669927.65266857692</v>
      </c>
    </row>
    <row r="94" spans="2:15">
      <c r="B94" s="14" t="s">
        <v>129</v>
      </c>
      <c r="C94" s="15">
        <f ca="1">SUM(C92:C93)</f>
        <v>609938.7456378045</v>
      </c>
      <c r="H94" s="14" t="s">
        <v>136</v>
      </c>
      <c r="I94" s="15">
        <f ca="1">I93/((1+WACC)^Years_Forecasted)</f>
        <v>557360.36627199478</v>
      </c>
    </row>
    <row r="95" spans="2:15">
      <c r="B95" t="s">
        <v>130</v>
      </c>
      <c r="C95" s="6">
        <f>-'Balance Sheet Historic'!C62</f>
        <v>-9573</v>
      </c>
    </row>
    <row r="96" spans="2:15">
      <c r="B96" t="s">
        <v>131</v>
      </c>
      <c r="C96" s="6">
        <f>'Balance Sheet Historic'!C53</f>
        <v>28352</v>
      </c>
    </row>
    <row r="97" spans="2:17">
      <c r="B97" t="s">
        <v>132</v>
      </c>
      <c r="C97" s="6">
        <f>'Balance Sheet Historic'!C58</f>
        <v>-3805</v>
      </c>
    </row>
    <row r="98" spans="2:17">
      <c r="B98" s="14" t="s">
        <v>133</v>
      </c>
      <c r="C98" s="15">
        <f ca="1">SUM(C94:C97)</f>
        <v>624912.7456378045</v>
      </c>
      <c r="L98" s="3"/>
    </row>
    <row r="99" spans="2:17" ht="24" customHeight="1">
      <c r="B99" t="s">
        <v>203</v>
      </c>
      <c r="C99" s="6">
        <f>Shares_Outstanding / 1000000</f>
        <v>15171.99</v>
      </c>
      <c r="H99" s="227" t="s">
        <v>120</v>
      </c>
      <c r="I99" s="227"/>
      <c r="J99" s="227"/>
      <c r="K99" s="227"/>
      <c r="L99" s="227"/>
      <c r="M99" s="227"/>
      <c r="N99" s="227"/>
      <c r="O99" s="8"/>
      <c r="P99" s="9"/>
      <c r="Q99" s="10" t="s">
        <v>121</v>
      </c>
    </row>
    <row r="100" spans="2:17">
      <c r="B100" s="14" t="s">
        <v>134</v>
      </c>
      <c r="C100" s="15">
        <f ca="1">C98/C99</f>
        <v>41.188581434459458</v>
      </c>
      <c r="H100" s="284" t="s">
        <v>110</v>
      </c>
      <c r="I100" s="285" t="s">
        <v>122</v>
      </c>
      <c r="J100" s="285"/>
      <c r="K100" s="285"/>
      <c r="L100" s="285"/>
      <c r="M100" s="285"/>
      <c r="N100" s="285"/>
      <c r="O100" s="8"/>
      <c r="P100" s="11" t="s">
        <v>123</v>
      </c>
      <c r="Q100" s="16">
        <v>2.5000000000000001E-3</v>
      </c>
    </row>
    <row r="101" spans="2:17" ht="17" thickBot="1">
      <c r="H101" s="284"/>
      <c r="I101" s="228">
        <f ca="1">C100</f>
        <v>41.188581434459458</v>
      </c>
      <c r="J101" s="229">
        <f>K101-$Q$100</f>
        <v>9.9999999999999985E-3</v>
      </c>
      <c r="K101" s="229">
        <f>L101-$Q$100</f>
        <v>1.2499999999999999E-2</v>
      </c>
      <c r="L101" s="230">
        <f>Perpetuity_Growth_Rate</f>
        <v>1.4999999999999999E-2</v>
      </c>
      <c r="M101" s="229">
        <f>L101+$Q$100</f>
        <v>1.7499999999999998E-2</v>
      </c>
      <c r="N101" s="229">
        <f>M101+$Q$100</f>
        <v>1.9999999999999997E-2</v>
      </c>
      <c r="O101" s="8"/>
    </row>
    <row r="102" spans="2:17">
      <c r="H102" s="284"/>
      <c r="I102" s="229">
        <f>I103-$Q$102</f>
        <v>5.823828734906282E-2</v>
      </c>
      <c r="J102" s="231">
        <f t="dataTable" ref="J102:N106" dt2D="1" dtr="1" r1="I92" r2="E56" ca="1"/>
        <v>41.566424898997631</v>
      </c>
      <c r="K102" s="232">
        <v>43.689730394901886</v>
      </c>
      <c r="L102" s="233">
        <v>46.058571228360428</v>
      </c>
      <c r="M102" s="232">
        <v>48.718150945017641</v>
      </c>
      <c r="N102" s="232">
        <v>51.725494630858243</v>
      </c>
      <c r="O102" s="8"/>
      <c r="P102" s="11" t="s">
        <v>110</v>
      </c>
      <c r="Q102" s="16">
        <v>2.5000000000000001E-3</v>
      </c>
    </row>
    <row r="103" spans="2:17">
      <c r="H103" s="284"/>
      <c r="I103" s="229">
        <f>I104-$Q$102</f>
        <v>6.0738287349062822E-2</v>
      </c>
      <c r="J103" s="234">
        <v>39.471784150584426</v>
      </c>
      <c r="K103" s="235">
        <v>41.376837005638947</v>
      </c>
      <c r="L103" s="235">
        <v>43.490145674965184</v>
      </c>
      <c r="M103" s="235">
        <v>45.8478336662874</v>
      </c>
      <c r="N103" s="233">
        <v>48.494891700478682</v>
      </c>
      <c r="O103" s="8"/>
      <c r="P103" s="8"/>
      <c r="Q103" s="8"/>
    </row>
    <row r="104" spans="2:17">
      <c r="H104" s="284"/>
      <c r="I104" s="236">
        <f>E45*E53+E52*E49</f>
        <v>6.3238287349062824E-2</v>
      </c>
      <c r="J104" s="233">
        <v>37.574449283909324</v>
      </c>
      <c r="K104" s="235">
        <v>39.292476776602612</v>
      </c>
      <c r="L104" s="235">
        <v>41.188581434459458</v>
      </c>
      <c r="M104" s="235">
        <v>43.29196371110713</v>
      </c>
      <c r="N104" s="233">
        <v>45.63857743904552</v>
      </c>
      <c r="O104" s="8"/>
      <c r="P104" s="12"/>
      <c r="Q104" s="8"/>
    </row>
    <row r="105" spans="2:17">
      <c r="H105" s="284"/>
      <c r="I105" s="229">
        <f>I104+$Q$102</f>
        <v>6.5738287349062827E-2</v>
      </c>
      <c r="J105" s="234">
        <v>35.847866365286826</v>
      </c>
      <c r="K105" s="235">
        <v>37.404449678900349</v>
      </c>
      <c r="L105" s="235">
        <v>39.114426356277285</v>
      </c>
      <c r="M105" s="235">
        <v>41.001645714867522</v>
      </c>
      <c r="N105" s="233">
        <v>43.095171372618815</v>
      </c>
      <c r="O105" s="8"/>
      <c r="P105" s="8"/>
      <c r="Q105" s="8"/>
    </row>
    <row r="106" spans="2:17">
      <c r="H106" s="284"/>
      <c r="I106" s="229">
        <f>I105+$Q$102</f>
        <v>6.8238287349062829E-2</v>
      </c>
      <c r="J106" s="234">
        <v>34.270041046896146</v>
      </c>
      <c r="K106" s="233">
        <v>35.686332743322538</v>
      </c>
      <c r="L106" s="233">
        <v>37.235638832862314</v>
      </c>
      <c r="M106" s="233">
        <v>38.937621152768443</v>
      </c>
      <c r="N106" s="233">
        <v>40.816017521912059</v>
      </c>
      <c r="O106" s="8"/>
      <c r="P106" s="8"/>
      <c r="Q106" s="8"/>
    </row>
  </sheetData>
  <sheetProtection formatCells="0" formatColumns="0" formatRows="0" insertColumns="0" insertRows="0" insertHyperlinks="0" selectLockedCells="1" sort="0" autoFilter="0" pivotTables="0"/>
  <mergeCells count="3">
    <mergeCell ref="F62:O62"/>
    <mergeCell ref="H100:H106"/>
    <mergeCell ref="I100:N100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50" workbookViewId="0">
      <selection activeCell="H21" sqref="H21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vm="1">
        <f ca="1">'Information from Python'!F5</f>
        <v>245.55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>
        <f ca="1">E8 * E9</f>
        <v>3725482.1444999999</v>
      </c>
      <c r="F10" s="246"/>
      <c r="G10" s="252" t="s">
        <v>188</v>
      </c>
      <c r="H10" s="253">
        <f ca="1">$E$13/H8</f>
        <v>38.303071564382627</v>
      </c>
      <c r="I10" s="253">
        <f ca="1">$E$13/I8</f>
        <v>26.06723769791353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>
        <f ca="1">$E$13/H9</f>
        <v>250.52062344552581</v>
      </c>
      <c r="I11" s="253">
        <f ca="1">$E$13/I9</f>
        <v>131.57047655108616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>
        <f ca="1">E10+E11-E12</f>
        <v>3706703.1444999999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230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231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232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233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>
        <f ca="1">E10</f>
        <v>3725482.1444999999</v>
      </c>
      <c r="D40" s="261">
        <f ca="1">E13</f>
        <v>3706703.1444999999</v>
      </c>
      <c r="E40" s="262">
        <f ca="1">H10</f>
        <v>38.303071564382627</v>
      </c>
      <c r="F40" s="262">
        <f ca="1">I10</f>
        <v>26.06723769791353</v>
      </c>
      <c r="G40" s="262">
        <f ca="1">H11</f>
        <v>250.52062344552581</v>
      </c>
      <c r="H40" s="262">
        <f ca="1">I11</f>
        <v>131.57047655108616</v>
      </c>
    </row>
  </sheetData>
  <sheetProtection sheet="1" formatCells="0" formatColumns="0" formatRows="0" insertColumns="0" insertRows="0" insertHyperlinks="0" selectLockedCells="1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6" t="str">
        <f>"Valuation Football Field: "&amp;Name</f>
        <v>Valuation Football Field: Apple Inc.</v>
      </c>
      <c r="C4" s="287"/>
      <c r="D4" s="287"/>
      <c r="E4" s="287"/>
      <c r="F4" s="287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234</v>
      </c>
      <c r="D5" s="264" t="s">
        <v>223</v>
      </c>
      <c r="E5" s="264" t="s">
        <v>238</v>
      </c>
      <c r="F5" s="264" t="s">
        <v>224</v>
      </c>
      <c r="G5" s="25"/>
      <c r="H5" s="265" t="s">
        <v>235</v>
      </c>
      <c r="I5" s="265" t="s">
        <v>236</v>
      </c>
      <c r="J5" s="265" t="s">
        <v>237</v>
      </c>
      <c r="AT5" s="275"/>
      <c r="AU5" s="275" t="s">
        <v>234</v>
      </c>
      <c r="AV5" s="275" t="s">
        <v>223</v>
      </c>
      <c r="AW5" s="275" t="s">
        <v>238</v>
      </c>
      <c r="AX5" s="275" t="s">
        <v>224</v>
      </c>
      <c r="AY5" s="275"/>
      <c r="AZ5" s="275" t="s">
        <v>235</v>
      </c>
      <c r="BA5" s="275" t="s">
        <v>236</v>
      </c>
      <c r="BB5" s="275" t="s">
        <v>237</v>
      </c>
    </row>
    <row r="6" spans="2:16384">
      <c r="B6" s="266" t="s">
        <v>239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239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MIN(DCF!J102:N106)</f>
        <v>34.270041046896146</v>
      </c>
      <c r="E7" s="268">
        <f ca="1">DCF!C100</f>
        <v>41.188581434459458</v>
      </c>
      <c r="F7" s="267">
        <f>MAX(DCF!J102:N106)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253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254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255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256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vm="1">
        <f ca="1">'Information from Python'!$F$5</f>
        <v>245.55</v>
      </c>
      <c r="E13" s="153" vm="1">
        <f ca="1">'Information from Python'!$F$5</f>
        <v>245.55</v>
      </c>
      <c r="F13" s="128" vm="1">
        <f ca="1">'Information from Python'!$F$5</f>
        <v>245.55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vm="1">
        <f t="shared" ca="1" si="4"/>
        <v>245.55</v>
      </c>
      <c r="AW13" s="276" vm="1">
        <f t="shared" ca="1" si="5"/>
        <v>245.55</v>
      </c>
      <c r="AX13" s="276" vm="1">
        <f t="shared" ca="1" si="6"/>
        <v>245.55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251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88" t="s">
        <v>149</v>
      </c>
      <c r="G4" s="288"/>
      <c r="H4" s="288"/>
      <c r="I4" s="288"/>
      <c r="J4" s="288"/>
      <c r="K4" s="288"/>
      <c r="L4" s="288"/>
      <c r="M4" s="288"/>
      <c r="N4" s="288"/>
      <c r="O4" s="288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F19" sqref="F1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H26" sqref="H26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C62" sqref="C62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0" t="s">
        <v>196</v>
      </c>
      <c r="D36" s="290"/>
      <c r="E36" s="290"/>
      <c r="F36" s="290"/>
      <c r="G36" s="290"/>
      <c r="H36" s="290"/>
      <c r="I36" s="290"/>
      <c r="J36" s="290"/>
      <c r="K36" s="290"/>
      <c r="L36" s="29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0" t="s">
        <v>196</v>
      </c>
      <c r="D50" s="290"/>
      <c r="E50" s="290"/>
      <c r="F50" s="290"/>
      <c r="G50" s="290"/>
      <c r="H50" s="290"/>
      <c r="I50" s="290"/>
      <c r="J50" s="290"/>
      <c r="K50" s="290"/>
      <c r="L50" s="29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J22" sqref="J22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247</v>
      </c>
      <c r="C4" s="135"/>
      <c r="E4" s="134" t="s">
        <v>250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cm="1" vm="1">
        <f t="array" aca="1" ref="F5" ca="1">INDEX(_xlfn.STOCKHISTORY(Ticker, TODAY()-7, TODAY(), 0, 1), ROWS(_xlfn.STOCKHISTORY(Ticker, TODAY()-7, TODAY(), 0, 1)), 2)</f>
        <v>245.55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248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249</v>
      </c>
    </row>
    <row r="27" spans="2:3">
      <c r="B27" s="147" t="str">
        <f>IF('Comparable multiples'!B23&lt;&gt;"",'Comparable multiples'!B23,"")</f>
        <v>Alphabet Inc.</v>
      </c>
    </row>
    <row r="28" spans="2:3">
      <c r="B28" s="147" t="str">
        <f>IF('Comparable multiples'!B24&lt;&gt;"",'Comparable multiples'!B24,"")</f>
        <v>Dell Technologies Inc.</v>
      </c>
    </row>
    <row r="29" spans="2:3">
      <c r="B29" s="147" t="str">
        <f>IF('Comparable multiples'!B25&lt;&gt;"",'Comparable multiples'!B25,"")</f>
        <v>Microsoft Corporation</v>
      </c>
    </row>
    <row r="30" spans="2:3">
      <c r="B30" s="147" t="str">
        <f>IF('Comparable multiples'!B26&lt;&gt;"",'Comparable multiples'!B26,"")</f>
        <v>Netflix, Inc.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5" sqref="F5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1" t="s">
        <v>196</v>
      </c>
      <c r="D4" s="291"/>
      <c r="E4" s="291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2025-02-24T18:04:39Z</dcterms:modified>
</cp:coreProperties>
</file>