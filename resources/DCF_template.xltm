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FEA4BEDE-3C08-9C49-857C-C6FC988B79FB}" xr6:coauthVersionLast="47" xr6:coauthVersionMax="47" xr10:uidLastSave="{00000000-0000-0000-0000-000000000000}"/>
  <bookViews>
    <workbookView xWindow="0" yWindow="720" windowWidth="14580" windowHeight="184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r:id="rId6"/>
    <sheet name="Cash flow statement Historic" sheetId="9" r:id="rId7"/>
    <sheet name="Balance Sheet Historic" sheetId="6" r:id="rId8"/>
    <sheet name="Information from Python" sheetId="5" r:id="rId9"/>
    <sheet name="Ratios" sheetId="10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9" i="4" l="1"/>
  <c r="I200" i="4" a="1"/>
  <c r="I200" i="4" s="1"/>
  <c r="C241" i="4"/>
  <c r="C242" i="4" s="1"/>
  <c r="C243" i="4" s="1"/>
  <c r="C230" i="4"/>
  <c r="C231" i="4" s="1"/>
  <c r="C232" i="4" s="1"/>
  <c r="C219" i="4"/>
  <c r="C220" i="4" s="1"/>
  <c r="C221" i="4" s="1"/>
  <c r="C207" i="4"/>
  <c r="C205" i="4"/>
  <c r="C204" i="4"/>
  <c r="C203" i="4"/>
  <c r="I146" i="4"/>
  <c r="C188" i="4"/>
  <c r="C189" i="4" s="1"/>
  <c r="C190" i="4" s="1"/>
  <c r="C187" i="4"/>
  <c r="C186" i="4"/>
  <c r="C177" i="4"/>
  <c r="C178" i="4" s="1"/>
  <c r="C179" i="4" s="1"/>
  <c r="C167" i="4"/>
  <c r="C168" i="4" s="1"/>
  <c r="C166" i="4"/>
  <c r="C165" i="4" s="1"/>
  <c r="C164" i="4" s="1"/>
  <c r="C154" i="4"/>
  <c r="C152" i="4"/>
  <c r="C151" i="4"/>
  <c r="C150" i="4"/>
  <c r="C147" i="4"/>
  <c r="F120" i="4"/>
  <c r="C134" i="4"/>
  <c r="C123" i="4"/>
  <c r="C112" i="4"/>
  <c r="C135" i="4"/>
  <c r="C136" i="4" s="1"/>
  <c r="F131" i="4"/>
  <c r="E131" i="4" s="1"/>
  <c r="D131" i="4" s="1"/>
  <c r="E120" i="4"/>
  <c r="D120" i="4" s="1"/>
  <c r="C229" i="4" l="1"/>
  <c r="C228" i="4" s="1"/>
  <c r="C218" i="4"/>
  <c r="C217" i="4" s="1"/>
  <c r="C240" i="4"/>
  <c r="C239" i="4" s="1"/>
  <c r="C176" i="4"/>
  <c r="C175" i="4" s="1"/>
  <c r="C133" i="4"/>
  <c r="C132" i="4" s="1"/>
  <c r="G131" i="4"/>
  <c r="H131" i="4" s="1"/>
  <c r="G120" i="4"/>
  <c r="H120" i="4" s="1"/>
  <c r="F5" i="5" l="1" a="1"/>
  <c r="F5" i="5" s="1"/>
  <c r="D5" i="4"/>
  <c r="D17" i="1"/>
  <c r="D18" i="1"/>
  <c r="E47" i="4"/>
  <c r="E6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D35" i="4" s="1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AW8" i="3" s="1"/>
  <c r="F8" i="3"/>
  <c r="AX8" i="3" s="1"/>
  <c r="D8" i="3"/>
  <c r="AV8" i="3" s="1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35" i="4" l="1"/>
  <c r="H20" i="4" s="1"/>
  <c r="H33" i="4"/>
  <c r="H8" i="3"/>
  <c r="AZ8" i="3" s="1"/>
  <c r="J8" i="3"/>
  <c r="BB8" i="3" s="1"/>
  <c r="I8" i="3"/>
  <c r="BA8" i="3" s="1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216" i="4" s="1"/>
  <c r="F83" i="4"/>
  <c r="F71" i="4" s="1"/>
  <c r="E53" i="4"/>
  <c r="B7" i="11" a="1"/>
  <c r="G5" i="11"/>
  <c r="G84" i="4"/>
  <c r="H5" i="11"/>
  <c r="F227" i="4" l="1"/>
  <c r="E227" i="4" s="1"/>
  <c r="D227" i="4" s="1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F163" i="4" s="1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85" i="4" l="1"/>
  <c r="C200" i="4" s="1"/>
  <c r="C202" i="4" s="1"/>
  <c r="C206" i="4" s="1"/>
  <c r="C208" i="4" s="1"/>
  <c r="C216" i="4" s="1"/>
  <c r="F174" i="4"/>
  <c r="G227" i="4"/>
  <c r="H227" i="4" s="1"/>
  <c r="G238" i="4"/>
  <c r="H238" i="4" s="1"/>
  <c r="E238" i="4"/>
  <c r="D238" i="4" s="1"/>
  <c r="I147" i="4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85" i="4" l="1"/>
  <c r="H185" i="4" s="1"/>
  <c r="E185" i="4"/>
  <c r="D185" i="4" s="1"/>
  <c r="G174" i="4"/>
  <c r="H174" i="4" s="1"/>
  <c r="E174" i="4"/>
  <c r="D174" i="4" s="1"/>
  <c r="E216" i="4"/>
  <c r="D216" i="4" s="1"/>
  <c r="G216" i="4"/>
  <c r="H216" i="4" s="1"/>
  <c r="I148" i="4"/>
  <c r="I201" i="4"/>
  <c r="G163" i="4"/>
  <c r="H163" i="4" s="1"/>
  <c r="E163" i="4"/>
  <c r="D163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149" i="4" l="1"/>
  <c r="I202" i="4"/>
  <c r="C201" i="4" s="1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211" i="4" l="1" a="1"/>
  <c r="C211" i="4" s="1"/>
  <c r="C238" i="4" s="1"/>
  <c r="C174" i="4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<sst xmlns="http://schemas.openxmlformats.org/spreadsheetml/2006/main" count="430" uniqueCount="279">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</sst>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9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9E3FEC-663F-F141-9308-BF1774A8B3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A51B86-FA63-A148-A8CA-7CB0152AB5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D0314C-FF9E-2B41-B6BE-8123E8537B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B2740E-7EBE-6D43-89EA-B5E4E011637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44E70C-8359-2940-98D2-9537575D76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8E009E-8CC2-4644-AB6C-2E38F9FF19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86A9CA-B5AD-AA44-9E65-30060F52CD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37F5E2-D1A6-CC4D-B7CD-AC617C23BD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911EEA-0981-0649-9AA0-E72517A6F7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4A8714-41DE-7E40-A73C-512D93CC16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86F6DE-C182-6C49-B3A3-EE5387C93D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F3791-F370-A341-8568-FDF120B2813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D09F25-A63F-F042-B2E5-8802579FD4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8A4B70-C657-A648-AE6F-E637E4AFF0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5B73B9-7515-C34F-BD2A-05F4D6A093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243"/>
  <sheetViews>
    <sheetView tabSelected="1" topLeftCell="A121" zoomScale="66" workbookViewId="0">
      <selection activeCell="F164" sqref="F164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6" t="s">
        <v>149</v>
      </c>
      <c r="G62" s="286"/>
      <c r="H62" s="286"/>
      <c r="I62" s="286"/>
      <c r="J62" s="286"/>
      <c r="K62" s="286"/>
      <c r="L62" s="286"/>
      <c r="M62" s="286"/>
      <c r="N62" s="286"/>
      <c r="O62" s="286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31838.583854689627</v>
      </c>
    </row>
    <row r="93" spans="2:16384">
      <c r="B93" t="s">
        <v>9</v>
      </c>
      <c r="C93" s="6">
        <f ca="1">SUM(F78:O78)</f>
        <v>52578.379365809669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557360.36627199478</v>
      </c>
      <c r="H94" t="s">
        <v>127</v>
      </c>
      <c r="I94" s="6">
        <f ca="1">$I$92*(1+$I$93)/(WACC-$I$93)</f>
        <v>669927.65266857692</v>
      </c>
    </row>
    <row r="95" spans="2:16384">
      <c r="B95" s="14" t="s">
        <v>129</v>
      </c>
      <c r="C95" s="15">
        <f ca="1">SUM(C93:C94)</f>
        <v>609938.7456378045</v>
      </c>
      <c r="H95" s="14" t="s">
        <v>136</v>
      </c>
      <c r="I95" s="15">
        <f ca="1">$I$94/((1+WACC)^Years_Forecasted)</f>
        <v>557360.36627199478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624912.7456378045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15">
        <f ca="1">C99/C100</f>
        <v>41.188581434459458</v>
      </c>
    </row>
    <row r="103" spans="2:12">
      <c r="B103" s="295" t="s">
        <v>260</v>
      </c>
      <c r="C103" s="297">
        <f ca="1">$C$95/EBITDA_FY0</f>
        <v>41.223218818451237</v>
      </c>
    </row>
    <row r="104" spans="2:12">
      <c r="B104" s="296" t="s">
        <v>261</v>
      </c>
      <c r="C104" s="298">
        <f ca="1">$C$95/Revenue_FY0</f>
        <v>6.3027781058539523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287" t="s">
        <v>110</v>
      </c>
      <c r="C108" s="288" t="s">
        <v>122</v>
      </c>
      <c r="D108" s="288"/>
      <c r="E108" s="288"/>
      <c r="F108" s="288"/>
      <c r="G108" s="288"/>
      <c r="H108" s="288"/>
      <c r="I108" s="8"/>
      <c r="J108" s="11" t="s">
        <v>123</v>
      </c>
      <c r="K108" s="16">
        <v>2.5000000000000001E-3</v>
      </c>
    </row>
    <row r="109" spans="2:12" ht="17" thickBot="1">
      <c r="B109" s="287"/>
      <c r="C109" s="228">
        <f ca="1">$C$101</f>
        <v>41.188581434459458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287"/>
      <c r="C110" s="229">
        <f>C111-$K$110</f>
        <v>5.823828734906282E-2</v>
      </c>
      <c r="D110" s="231">
        <f t="dataTable" ref="D110:H114" dt2D="1" dtr="1" r1="I93" r2="E56" ca="1"/>
        <v>41.566424898997631</v>
      </c>
      <c r="E110" s="232">
        <v>43.689730394901886</v>
      </c>
      <c r="F110" s="233">
        <v>46.058571228360428</v>
      </c>
      <c r="G110" s="232">
        <v>48.718150945017641</v>
      </c>
      <c r="H110" s="232">
        <v>51.725494630858243</v>
      </c>
      <c r="I110" s="8"/>
      <c r="J110" s="11" t="s">
        <v>110</v>
      </c>
      <c r="K110" s="16">
        <v>2.5000000000000001E-3</v>
      </c>
    </row>
    <row r="111" spans="2:12">
      <c r="B111" s="287"/>
      <c r="C111" s="229">
        <f>C112-$K$110</f>
        <v>6.0738287349062822E-2</v>
      </c>
      <c r="D111" s="234">
        <v>39.471784150584426</v>
      </c>
      <c r="E111" s="235">
        <v>41.376837005638947</v>
      </c>
      <c r="F111" s="235">
        <v>43.490145674965184</v>
      </c>
      <c r="G111" s="235">
        <v>45.8478336662874</v>
      </c>
      <c r="H111" s="233">
        <v>48.494891700478682</v>
      </c>
      <c r="I111" s="8"/>
      <c r="J111" s="8"/>
      <c r="K111" s="8"/>
    </row>
    <row r="112" spans="2:12">
      <c r="B112" s="287"/>
      <c r="C112" s="236">
        <f>$E$45*$E$53+$E$52*$E$49</f>
        <v>6.3238287349062824E-2</v>
      </c>
      <c r="D112" s="233">
        <v>37.574449283909324</v>
      </c>
      <c r="E112" s="235">
        <v>39.292476776602612</v>
      </c>
      <c r="F112" s="235">
        <v>41.188581434459458</v>
      </c>
      <c r="G112" s="235">
        <v>43.29196371110713</v>
      </c>
      <c r="H112" s="233">
        <v>45.63857743904552</v>
      </c>
      <c r="I112" s="8"/>
      <c r="J112" s="12"/>
      <c r="K112" s="8"/>
    </row>
    <row r="113" spans="2:11">
      <c r="B113" s="287"/>
      <c r="C113" s="229">
        <f>C112+$K$110</f>
        <v>6.5738287349062827E-2</v>
      </c>
      <c r="D113" s="234">
        <v>35.847866365286826</v>
      </c>
      <c r="E113" s="235">
        <v>37.404449678900349</v>
      </c>
      <c r="F113" s="235">
        <v>39.114426356277285</v>
      </c>
      <c r="G113" s="235">
        <v>41.001645714867522</v>
      </c>
      <c r="H113" s="233">
        <v>43.095171372618815</v>
      </c>
      <c r="I113" s="8"/>
      <c r="J113" s="8"/>
      <c r="K113" s="8"/>
    </row>
    <row r="114" spans="2:11">
      <c r="B114" s="287"/>
      <c r="C114" s="229">
        <f>C113+$K$110</f>
        <v>6.8238287349062829E-2</v>
      </c>
      <c r="D114" s="234">
        <v>34.270041046896146</v>
      </c>
      <c r="E114" s="233">
        <v>35.686332743322538</v>
      </c>
      <c r="F114" s="233">
        <v>37.235638832862314</v>
      </c>
      <c r="G114" s="233">
        <v>38.937621152768443</v>
      </c>
      <c r="H114" s="233">
        <v>40.816017521912059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287" t="s">
        <v>110</v>
      </c>
      <c r="C119" s="288" t="s">
        <v>264</v>
      </c>
      <c r="D119" s="288"/>
      <c r="E119" s="288"/>
      <c r="F119" s="288"/>
      <c r="G119" s="288"/>
      <c r="H119" s="288"/>
    </row>
    <row r="120" spans="2:11" ht="17" thickBot="1">
      <c r="B120" s="287"/>
      <c r="C120" s="228">
        <f ca="1">$C$103</f>
        <v>41.223218818451237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287"/>
      <c r="C121" s="229">
        <f>C122-$K$110</f>
        <v>5.823828734906282E-2</v>
      </c>
      <c r="D121" s="231">
        <f t="dataTable" ref="D121:H125" dt2D="1" dtr="1" r1="I93" r2="E56" ca="1"/>
        <v>41.610663889114832</v>
      </c>
      <c r="E121" s="232">
        <v>43.787925970137032</v>
      </c>
      <c r="F121" s="233">
        <v>46.216962833939718</v>
      </c>
      <c r="G121" s="232">
        <v>48.944126720485144</v>
      </c>
      <c r="H121" s="232">
        <v>52.027891814303523</v>
      </c>
    </row>
    <row r="122" spans="2:11">
      <c r="B122" s="287"/>
      <c r="C122" s="229">
        <f>C123-$K$110</f>
        <v>6.0738287349062822E-2</v>
      </c>
      <c r="D122" s="234">
        <v>39.462794972615931</v>
      </c>
      <c r="E122" s="235">
        <v>41.416258264475807</v>
      </c>
      <c r="F122" s="235">
        <v>43.583269483584417</v>
      </c>
      <c r="G122" s="235">
        <v>46.000870093712876</v>
      </c>
      <c r="H122" s="233">
        <v>48.715194101834655</v>
      </c>
    </row>
    <row r="123" spans="2:11">
      <c r="B123" s="287"/>
      <c r="C123" s="236">
        <f>$E$45*$E$53+$E$52*$E$49</f>
        <v>6.3238287349062824E-2</v>
      </c>
      <c r="D123" s="233">
        <v>37.51724579555146</v>
      </c>
      <c r="E123" s="235">
        <v>39.278931111776629</v>
      </c>
      <c r="F123" s="235">
        <v>41.223218818451237</v>
      </c>
      <c r="G123" s="235">
        <v>43.380051399383632</v>
      </c>
      <c r="H123" s="233">
        <v>45.786296331402021</v>
      </c>
    </row>
    <row r="124" spans="2:11">
      <c r="B124" s="287"/>
      <c r="C124" s="229">
        <f>C123+$K$110</f>
        <v>6.5738287349062827E-2</v>
      </c>
      <c r="D124" s="234">
        <v>35.746787646354967</v>
      </c>
      <c r="E124" s="235">
        <v>37.342926228965894</v>
      </c>
      <c r="F124" s="235">
        <v>39.096356145794495</v>
      </c>
      <c r="G124" s="235">
        <v>41.03153276355183</v>
      </c>
      <c r="H124" s="233">
        <v>43.17825825315348</v>
      </c>
    </row>
    <row r="125" spans="2:11">
      <c r="B125" s="287"/>
      <c r="C125" s="229">
        <f>C124+$K$110</f>
        <v>6.8238287349062829E-2</v>
      </c>
      <c r="D125" s="234">
        <v>34.12886726568653</v>
      </c>
      <c r="E125" s="233">
        <v>35.581149196969591</v>
      </c>
      <c r="F125" s="233">
        <v>37.169825629616028</v>
      </c>
      <c r="G125" s="233">
        <v>38.915058039577673</v>
      </c>
      <c r="H125" s="233">
        <v>40.841187461629801</v>
      </c>
    </row>
    <row r="129" spans="2:11">
      <c r="B129" s="227" t="s">
        <v>261</v>
      </c>
      <c r="C129" s="227"/>
      <c r="D129" s="227"/>
      <c r="E129" s="227"/>
      <c r="F129" s="227"/>
      <c r="G129" s="227"/>
      <c r="H129" s="227"/>
    </row>
    <row r="130" spans="2:11">
      <c r="B130" s="287" t="s">
        <v>110</v>
      </c>
      <c r="C130" s="288" t="s">
        <v>265</v>
      </c>
      <c r="D130" s="288"/>
      <c r="E130" s="288"/>
      <c r="F130" s="288"/>
      <c r="G130" s="288"/>
      <c r="H130" s="288"/>
    </row>
    <row r="131" spans="2:11" ht="17" thickBot="1">
      <c r="B131" s="287"/>
      <c r="C131" s="228">
        <f ca="1">$C$104</f>
        <v>6.3027781058539523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287"/>
      <c r="C132" s="229">
        <f>C133-$K$110</f>
        <v>5.823828734906282E-2</v>
      </c>
      <c r="D132" s="231">
        <f t="dataTable" ref="D132:H136" dt2D="1" dtr="1" r1="I93" r2="E56" ca="1"/>
        <v>6.362016088199633</v>
      </c>
      <c r="E132" s="232">
        <v>6.694906147935348</v>
      </c>
      <c r="F132" s="233">
        <v>7.0662910325294463</v>
      </c>
      <c r="G132" s="232">
        <v>7.4832577160602458</v>
      </c>
      <c r="H132" s="232">
        <v>7.9547465438132008</v>
      </c>
    </row>
    <row r="133" spans="2:11">
      <c r="B133" s="287"/>
      <c r="C133" s="229">
        <f>C134-$K$110</f>
        <v>6.0738287349062822E-2</v>
      </c>
      <c r="D133" s="234">
        <v>6.0336200636006465</v>
      </c>
      <c r="E133" s="235">
        <v>6.3322926568483364</v>
      </c>
      <c r="F133" s="235">
        <v>6.6636154224743986</v>
      </c>
      <c r="G133" s="235">
        <v>7.0332517738064926</v>
      </c>
      <c r="H133" s="233">
        <v>7.448255318433298</v>
      </c>
    </row>
    <row r="134" spans="2:11">
      <c r="B134" s="287"/>
      <c r="C134" s="236">
        <f>$E$45*$E$53+$E$52*$E$49</f>
        <v>6.3238287349062824E-2</v>
      </c>
      <c r="D134" s="233">
        <v>5.7361574901158319</v>
      </c>
      <c r="E134" s="235">
        <v>6.0055084034787285</v>
      </c>
      <c r="F134" s="235">
        <v>6.3027781058539523</v>
      </c>
      <c r="G134" s="235">
        <v>6.6325446199382077</v>
      </c>
      <c r="H134" s="233">
        <v>7.0004447575193929</v>
      </c>
    </row>
    <row r="135" spans="2:11">
      <c r="B135" s="287"/>
      <c r="C135" s="229">
        <f>C134+$K$110</f>
        <v>6.5738287349062827E-2</v>
      </c>
      <c r="D135" s="234">
        <v>5.4654652642314288</v>
      </c>
      <c r="E135" s="235">
        <v>5.7095050942285486</v>
      </c>
      <c r="F135" s="235">
        <v>5.9775938074997716</v>
      </c>
      <c r="G135" s="235">
        <v>6.2734704800875543</v>
      </c>
      <c r="H135" s="233">
        <v>6.6016916817052165</v>
      </c>
    </row>
    <row r="136" spans="2:11">
      <c r="B136" s="287"/>
      <c r="C136" s="229">
        <f>C135+$K$110</f>
        <v>6.8238287349062829E-2</v>
      </c>
      <c r="D136" s="234">
        <v>5.2180951304919541</v>
      </c>
      <c r="E136" s="233">
        <v>5.4401401580850246</v>
      </c>
      <c r="F136" s="233">
        <v>5.6830390709784622</v>
      </c>
      <c r="G136" s="233">
        <v>5.9498744355718154</v>
      </c>
      <c r="H136" s="233">
        <v>6.2443678472536188</v>
      </c>
    </row>
    <row r="142" spans="2:11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59415.742953672037</v>
      </c>
    </row>
    <row r="147" spans="2:9">
      <c r="B147" t="s">
        <v>9</v>
      </c>
      <c r="C147" s="6">
        <f>SUM(F132:O132)</f>
        <v>22.504295292402894</v>
      </c>
      <c r="H147" t="s">
        <v>266</v>
      </c>
      <c r="I147" s="13" t="e" vm="1">
        <f ca="1">EV_EBITDA_FY0</f>
        <v>#NAME?</v>
      </c>
    </row>
    <row r="148" spans="2:9">
      <c r="B148" t="s">
        <v>267</v>
      </c>
      <c r="C148" s="6" t="e" vm="1">
        <f ca="1">I149</f>
        <v>#NAME?</v>
      </c>
      <c r="H148" t="s">
        <v>127</v>
      </c>
      <c r="I148" s="6" t="e" vm="1">
        <f ca="1">$I$146*$I$147</f>
        <v>#NAME?</v>
      </c>
    </row>
    <row r="149" spans="2:9">
      <c r="B149" s="14" t="s">
        <v>129</v>
      </c>
      <c r="C149" s="15" t="e" vm="1">
        <f ca="1">SUM(C147:C148)</f>
        <v>#NAME?</v>
      </c>
      <c r="H149" s="14" t="s">
        <v>136</v>
      </c>
      <c r="I149" s="15" t="e" vm="1">
        <f ca="1">$I$148/((1+WACC)^Years_Forecasted)</f>
        <v>#NAME?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 t="e" vm="1">
        <f ca="1">SUM(C149:C152)</f>
        <v>#NAME?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15" t="e" vm="1">
        <f ca="1">C153/C154</f>
        <v>#NAME?</v>
      </c>
    </row>
    <row r="157" spans="2:9">
      <c r="B157" s="295" t="s">
        <v>268</v>
      </c>
      <c r="C157" s="297" t="e" vm="1">
        <f ca="1">WACC-($I$92/$I$148)</f>
        <v>#NAME?</v>
      </c>
    </row>
    <row r="158" spans="2:9">
      <c r="B158" s="296" t="s">
        <v>261</v>
      </c>
      <c r="C158" s="298" t="e" vm="1">
        <f ca="1">$C$149/Revenue_FY0</f>
        <v>#NAME?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287" t="s">
        <v>110</v>
      </c>
      <c r="C162" s="288" t="s">
        <v>270</v>
      </c>
      <c r="D162" s="288"/>
      <c r="E162" s="288"/>
      <c r="F162" s="288"/>
      <c r="G162" s="288"/>
      <c r="H162" s="288"/>
      <c r="I162" s="8"/>
      <c r="J162" s="11" t="s">
        <v>263</v>
      </c>
      <c r="K162" s="16">
        <v>0.5</v>
      </c>
    </row>
    <row r="163" spans="2:11" ht="17" thickBot="1">
      <c r="B163" s="287"/>
      <c r="C163" s="228" t="e" vm="1">
        <f ca="1">$C$155</f>
        <v>#NAME?</v>
      </c>
      <c r="D163" s="229" t="e" vm="1">
        <f ca="1">E163-$K$108</f>
        <v>#NAME?</v>
      </c>
      <c r="E163" s="229" t="e" vm="1">
        <f ca="1">F163-$K$108</f>
        <v>#NAME?</v>
      </c>
      <c r="F163" s="230" t="e" vm="1">
        <f ca="1">EV_EBITDA_FY0</f>
        <v>#NAME?</v>
      </c>
      <c r="G163" s="229" t="e" vm="1">
        <f ca="1">F163+$K$108</f>
        <v>#NAME?</v>
      </c>
      <c r="H163" s="229" t="e" vm="1">
        <f ca="1">G163+$K$108</f>
        <v>#NAME?</v>
      </c>
      <c r="I163" s="8"/>
    </row>
    <row r="164" spans="2:11">
      <c r="B164" s="287"/>
      <c r="C164" s="229">
        <f>C165-$K$110</f>
        <v>5.823828734906282E-2</v>
      </c>
      <c r="D164" s="231" t="e" vm="1">
        <f t="dataTable" ref="D164:H168" dt2D="1" dtr="1" r1="I147" r2="E56" ca="1"/>
        <v>#NAME?</v>
      </c>
      <c r="E164" s="232" t="e" vm="1">
        <v>#NAME?</v>
      </c>
      <c r="F164" s="233" t="e" vm="1">
        <v>#NAME?</v>
      </c>
      <c r="G164" s="232" t="e" vm="1">
        <v>#NAME?</v>
      </c>
      <c r="H164" s="232" t="e" vm="1">
        <v>#NAME?</v>
      </c>
      <c r="I164" s="8"/>
      <c r="J164" s="11" t="s">
        <v>110</v>
      </c>
      <c r="K164" s="16">
        <v>2.5000000000000001E-3</v>
      </c>
    </row>
    <row r="165" spans="2:11">
      <c r="B165" s="287"/>
      <c r="C165" s="229">
        <f>C166-$K$110</f>
        <v>6.0738287349062822E-2</v>
      </c>
      <c r="D165" s="234" t="e" vm="1">
        <v>#NAME?</v>
      </c>
      <c r="E165" s="235" t="e" vm="1">
        <v>#NAME?</v>
      </c>
      <c r="F165" s="235" t="e" vm="1">
        <v>#NAME?</v>
      </c>
      <c r="G165" s="235" t="e" vm="1">
        <v>#NAME?</v>
      </c>
      <c r="H165" s="233" t="e" vm="1">
        <v>#NAME?</v>
      </c>
      <c r="I165" s="8"/>
      <c r="J165" s="8"/>
      <c r="K165" s="8"/>
    </row>
    <row r="166" spans="2:11">
      <c r="B166" s="287"/>
      <c r="C166" s="236">
        <f>$E$45*$E$53+$E$52*$E$49</f>
        <v>6.3238287349062824E-2</v>
      </c>
      <c r="D166" s="233" t="e" vm="1">
        <v>#NAME?</v>
      </c>
      <c r="E166" s="235" t="e" vm="1">
        <v>#NAME?</v>
      </c>
      <c r="F166" s="235" t="e" vm="1">
        <v>#NAME?</v>
      </c>
      <c r="G166" s="235" t="e" vm="1">
        <v>#NAME?</v>
      </c>
      <c r="H166" s="233" t="e" vm="1">
        <v>#NAME?</v>
      </c>
      <c r="I166" s="8"/>
      <c r="J166" s="12"/>
      <c r="K166" s="8"/>
    </row>
    <row r="167" spans="2:11">
      <c r="B167" s="287"/>
      <c r="C167" s="229">
        <f>C166+$K$110</f>
        <v>6.5738287349062827E-2</v>
      </c>
      <c r="D167" s="234" t="e" vm="1">
        <v>#NAME?</v>
      </c>
      <c r="E167" s="235" t="e" vm="1">
        <v>#NAME?</v>
      </c>
      <c r="F167" s="235" t="e" vm="1">
        <v>#NAME?</v>
      </c>
      <c r="G167" s="235" t="e" vm="1">
        <v>#NAME?</v>
      </c>
      <c r="H167" s="233" t="e" vm="1">
        <v>#NAME?</v>
      </c>
      <c r="I167" s="8"/>
      <c r="J167" s="8"/>
      <c r="K167" s="8"/>
    </row>
    <row r="168" spans="2:11">
      <c r="B168" s="287"/>
      <c r="C168" s="229">
        <f>C167+$K$110</f>
        <v>6.8238287349062829E-2</v>
      </c>
      <c r="D168" s="234" t="e" vm="1">
        <v>#NAME?</v>
      </c>
      <c r="E168" s="233" t="e" vm="1">
        <v>#NAME?</v>
      </c>
      <c r="F168" s="233" t="e" vm="1">
        <v>#NAME?</v>
      </c>
      <c r="G168" s="233" t="e" vm="1">
        <v>#NAME?</v>
      </c>
      <c r="H168" s="233" t="e" vm="1">
        <v>#NAME?</v>
      </c>
      <c r="I168" s="8"/>
      <c r="J168" s="8"/>
      <c r="K168" s="8"/>
    </row>
    <row r="172" spans="2:11">
      <c r="B172" s="227" t="s">
        <v>269</v>
      </c>
      <c r="C172" s="227"/>
      <c r="D172" s="227"/>
      <c r="E172" s="227"/>
      <c r="F172" s="227"/>
      <c r="G172" s="227"/>
      <c r="H172" s="227"/>
    </row>
    <row r="173" spans="2:11">
      <c r="B173" s="287" t="s">
        <v>110</v>
      </c>
      <c r="C173" s="288" t="s">
        <v>270</v>
      </c>
      <c r="D173" s="288"/>
      <c r="E173" s="288"/>
      <c r="F173" s="288"/>
      <c r="G173" s="288"/>
      <c r="H173" s="288"/>
    </row>
    <row r="174" spans="2:11" ht="17" thickBot="1">
      <c r="B174" s="287"/>
      <c r="C174" s="228" t="e" vm="1">
        <f ca="1">$C$157</f>
        <v>#NAME?</v>
      </c>
      <c r="D174" s="229" t="e" vm="1">
        <f ca="1">E174-$K$108</f>
        <v>#NAME?</v>
      </c>
      <c r="E174" s="229" t="e" vm="1">
        <f ca="1">F174-$K$108</f>
        <v>#NAME?</v>
      </c>
      <c r="F174" s="230" t="e" vm="1">
        <f ca="1">EV_EBITDA_FY0</f>
        <v>#NAME?</v>
      </c>
      <c r="G174" s="229" t="e" vm="1">
        <f ca="1">F174+$K$108</f>
        <v>#NAME?</v>
      </c>
      <c r="H174" s="229" t="e" vm="1">
        <f ca="1">G174+$K$108</f>
        <v>#NAME?</v>
      </c>
    </row>
    <row r="175" spans="2:11">
      <c r="B175" s="287"/>
      <c r="C175" s="229">
        <f>C176-$K$110</f>
        <v>5.823828734906282E-2</v>
      </c>
      <c r="D175" s="231" t="e" vm="1">
        <f t="dataTable" ref="D175:H179" dt2D="1" dtr="1" r1="I147" r2="E56" ca="1"/>
        <v>#NAME?</v>
      </c>
      <c r="E175" s="232" t="e" vm="1">
        <v>#NAME?</v>
      </c>
      <c r="F175" s="233" t="e" vm="1">
        <v>#NAME?</v>
      </c>
      <c r="G175" s="232" t="e" vm="1">
        <v>#NAME?</v>
      </c>
      <c r="H175" s="232" t="e" vm="1">
        <v>#NAME?</v>
      </c>
    </row>
    <row r="176" spans="2:11">
      <c r="B176" s="287"/>
      <c r="C176" s="229">
        <f>C177-$K$110</f>
        <v>6.0738287349062822E-2</v>
      </c>
      <c r="D176" s="234" t="e" vm="1">
        <v>#NAME?</v>
      </c>
      <c r="E176" s="235" t="e" vm="1">
        <v>#NAME?</v>
      </c>
      <c r="F176" s="235" t="e" vm="1">
        <v>#NAME?</v>
      </c>
      <c r="G176" s="235" t="e" vm="1">
        <v>#NAME?</v>
      </c>
      <c r="H176" s="233" t="e" vm="1">
        <v>#NAME?</v>
      </c>
    </row>
    <row r="177" spans="2:8">
      <c r="B177" s="287"/>
      <c r="C177" s="236">
        <f>$E$45*$E$53+$E$52*$E$49</f>
        <v>6.3238287349062824E-2</v>
      </c>
      <c r="D177" s="233" t="e" vm="1">
        <v>#NAME?</v>
      </c>
      <c r="E177" s="235" t="e" vm="1">
        <v>#NAME?</v>
      </c>
      <c r="F177" s="235" t="e" vm="1">
        <v>#NAME?</v>
      </c>
      <c r="G177" s="235" t="e" vm="1">
        <v>#NAME?</v>
      </c>
      <c r="H177" s="233" t="e" vm="1">
        <v>#NAME?</v>
      </c>
    </row>
    <row r="178" spans="2:8">
      <c r="B178" s="287"/>
      <c r="C178" s="229">
        <f>C177+$K$110</f>
        <v>6.5738287349062827E-2</v>
      </c>
      <c r="D178" s="234" t="e" vm="1">
        <v>#NAME?</v>
      </c>
      <c r="E178" s="235" t="e" vm="1">
        <v>#NAME?</v>
      </c>
      <c r="F178" s="235" t="e" vm="1">
        <v>#NAME?</v>
      </c>
      <c r="G178" s="235" t="e" vm="1">
        <v>#NAME?</v>
      </c>
      <c r="H178" s="233" t="e" vm="1">
        <v>#NAME?</v>
      </c>
    </row>
    <row r="179" spans="2:8">
      <c r="B179" s="287"/>
      <c r="C179" s="229">
        <f>C178+$K$110</f>
        <v>6.8238287349062829E-2</v>
      </c>
      <c r="D179" s="234" t="e" vm="1">
        <v>#NAME?</v>
      </c>
      <c r="E179" s="233" t="e" vm="1">
        <v>#NAME?</v>
      </c>
      <c r="F179" s="233" t="e" vm="1">
        <v>#NAME?</v>
      </c>
      <c r="G179" s="233" t="e" vm="1">
        <v>#NAME?</v>
      </c>
      <c r="H179" s="233" t="e" vm="1">
        <v>#NAME?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287" t="s">
        <v>110</v>
      </c>
      <c r="C184" s="288" t="s">
        <v>270</v>
      </c>
      <c r="D184" s="288"/>
      <c r="E184" s="288"/>
      <c r="F184" s="288"/>
      <c r="G184" s="288"/>
      <c r="H184" s="288"/>
    </row>
    <row r="185" spans="2:8" ht="17" thickBot="1">
      <c r="B185" s="287"/>
      <c r="C185" s="228" t="e" vm="1">
        <f ca="1">$C$158</f>
        <v>#NAME?</v>
      </c>
      <c r="D185" s="229" t="e" vm="1">
        <f ca="1">E185-$K$108</f>
        <v>#NAME?</v>
      </c>
      <c r="E185" s="229" t="e" vm="1">
        <f ca="1">F185-$K$108</f>
        <v>#NAME?</v>
      </c>
      <c r="F185" s="230" t="e" vm="1">
        <f ca="1">EV_EBITDA_FY0</f>
        <v>#NAME?</v>
      </c>
      <c r="G185" s="229" t="e" vm="1">
        <f ca="1">F185+$K$108</f>
        <v>#NAME?</v>
      </c>
      <c r="H185" s="229" t="e" vm="1">
        <f ca="1">G185+$K$108</f>
        <v>#NAME?</v>
      </c>
    </row>
    <row r="186" spans="2:8">
      <c r="B186" s="287"/>
      <c r="C186" s="229">
        <f>C187-$K$110</f>
        <v>5.823828734906282E-2</v>
      </c>
      <c r="D186" s="231" t="e" vm="1">
        <f t="dataTable" ref="D186:H190" dt2D="1" dtr="1" r1="I147" r2="E56" ca="1"/>
        <v>#NAME?</v>
      </c>
      <c r="E186" s="232" t="e" vm="1">
        <v>#NAME?</v>
      </c>
      <c r="F186" s="233" t="e" vm="1">
        <v>#NAME?</v>
      </c>
      <c r="G186" s="232" t="e" vm="1">
        <v>#NAME?</v>
      </c>
      <c r="H186" s="232" t="e" vm="1">
        <v>#NAME?</v>
      </c>
    </row>
    <row r="187" spans="2:8">
      <c r="B187" s="287"/>
      <c r="C187" s="229">
        <f>C188-$K$110</f>
        <v>6.0738287349062822E-2</v>
      </c>
      <c r="D187" s="234" t="e" vm="1">
        <v>#NAME?</v>
      </c>
      <c r="E187" s="235" t="e" vm="1">
        <v>#NAME?</v>
      </c>
      <c r="F187" s="235" t="e" vm="1">
        <v>#NAME?</v>
      </c>
      <c r="G187" s="235" t="e" vm="1">
        <v>#NAME?</v>
      </c>
      <c r="H187" s="233" t="e" vm="1">
        <v>#NAME?</v>
      </c>
    </row>
    <row r="188" spans="2:8">
      <c r="B188" s="287"/>
      <c r="C188" s="236">
        <f>$E$45*$E$53+$E$52*$E$49</f>
        <v>6.3238287349062824E-2</v>
      </c>
      <c r="D188" s="233" t="e" vm="1">
        <v>#NAME?</v>
      </c>
      <c r="E188" s="235" t="e" vm="1">
        <v>#NAME?</v>
      </c>
      <c r="F188" s="235" t="e" vm="1">
        <v>#NAME?</v>
      </c>
      <c r="G188" s="235" t="e" vm="1">
        <v>#NAME?</v>
      </c>
      <c r="H188" s="233" t="e" vm="1">
        <v>#NAME?</v>
      </c>
    </row>
    <row r="189" spans="2:8">
      <c r="B189" s="287"/>
      <c r="C189" s="229">
        <f>C188+$K$110</f>
        <v>6.5738287349062827E-2</v>
      </c>
      <c r="D189" s="234" t="e" vm="1">
        <v>#NAME?</v>
      </c>
      <c r="E189" s="235" t="e" vm="1">
        <v>#NAME?</v>
      </c>
      <c r="F189" s="235" t="e" vm="1">
        <v>#NAME?</v>
      </c>
      <c r="G189" s="235" t="e" vm="1">
        <v>#NAME?</v>
      </c>
      <c r="H189" s="233" t="e" vm="1">
        <v>#NAME?</v>
      </c>
    </row>
    <row r="190" spans="2:8">
      <c r="B190" s="287"/>
      <c r="C190" s="229">
        <f>C189+$K$110</f>
        <v>6.8238287349062829E-2</v>
      </c>
      <c r="D190" s="234" t="e" vm="1">
        <v>#NAME?</v>
      </c>
      <c r="E190" s="233" t="e" vm="1">
        <v>#NAME?</v>
      </c>
      <c r="F190" s="233" t="e" vm="1">
        <v>#NAME?</v>
      </c>
      <c r="G190" s="233" t="e" vm="1">
        <v>#NAME?</v>
      </c>
      <c r="H190" s="233" t="e" vm="1">
        <v>#NAME?</v>
      </c>
    </row>
    <row r="195" spans="2:11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</row>
    <row r="196" spans="2:11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11">
      <c r="B198" s="237" t="s">
        <v>172</v>
      </c>
      <c r="C198" s="238"/>
      <c r="H198" s="1" t="s">
        <v>277</v>
      </c>
      <c r="I198" s="1"/>
    </row>
    <row r="199" spans="2:11">
      <c r="H199" t="s">
        <v>273</v>
      </c>
      <c r="I199" s="6">
        <f ca="1">OFFSET($E$8,0,Years_Forecasted)</f>
        <v>85922.525638167077</v>
      </c>
    </row>
    <row r="200" spans="2:11">
      <c r="B200" t="s">
        <v>9</v>
      </c>
      <c r="C200" s="6" t="e" vm="1">
        <f ca="1">SUM(F185:O185)</f>
        <v>#NAME?</v>
      </c>
      <c r="H200" t="s">
        <v>272</v>
      </c>
      <c r="I200" s="13" t="e" cm="1">
        <f t="array" ref="I200">EV</f>
        <v>#NAME?</v>
      </c>
    </row>
    <row r="201" spans="2:11">
      <c r="B201" t="s">
        <v>267</v>
      </c>
      <c r="C201" s="6" t="e" vm="1">
        <f ca="1">I202</f>
        <v>#NAME?</v>
      </c>
      <c r="H201" t="s">
        <v>127</v>
      </c>
      <c r="I201" s="6" t="e" vm="1">
        <f ca="1">$I$146*$I$147</f>
        <v>#NAME?</v>
      </c>
    </row>
    <row r="202" spans="2:11">
      <c r="B202" s="14" t="s">
        <v>129</v>
      </c>
      <c r="C202" s="15" t="e" vm="1">
        <f ca="1">SUM(C200:C201)</f>
        <v>#NAME?</v>
      </c>
      <c r="H202" s="14" t="s">
        <v>136</v>
      </c>
      <c r="I202" s="15" t="e" vm="1">
        <f ca="1">$I$148/((1+WACC)^Years_Forecasted)</f>
        <v>#NAME?</v>
      </c>
    </row>
    <row r="203" spans="2:11">
      <c r="B203" t="s">
        <v>130</v>
      </c>
      <c r="C203" s="6">
        <f>-'Balance Sheet Historic'!C169</f>
        <v>0</v>
      </c>
    </row>
    <row r="204" spans="2:11">
      <c r="B204" t="s">
        <v>131</v>
      </c>
      <c r="C204" s="6">
        <f>'Balance Sheet Historic'!C160</f>
        <v>0</v>
      </c>
    </row>
    <row r="205" spans="2:11">
      <c r="B205" t="s">
        <v>132</v>
      </c>
      <c r="C205" s="6">
        <f>'Balance Sheet Historic'!C165</f>
        <v>0</v>
      </c>
    </row>
    <row r="206" spans="2:11">
      <c r="B206" s="14" t="s">
        <v>133</v>
      </c>
      <c r="C206" s="15" t="e" vm="1">
        <f ca="1">SUM(C202:C205)</f>
        <v>#NAME?</v>
      </c>
    </row>
    <row r="207" spans="2:11">
      <c r="B207" t="s">
        <v>203</v>
      </c>
      <c r="C207" s="6">
        <f>Shares_Outstanding / 1000000</f>
        <v>15171.99</v>
      </c>
    </row>
    <row r="208" spans="2:11">
      <c r="B208" s="14" t="s">
        <v>134</v>
      </c>
      <c r="C208" s="15" t="e" vm="1">
        <f ca="1">C206/C207</f>
        <v>#NAME?</v>
      </c>
    </row>
    <row r="210" spans="2:11">
      <c r="B210" s="295" t="s">
        <v>268</v>
      </c>
      <c r="C210" s="297" t="e" vm="1">
        <f ca="1">WACC-($I$92/$I$148)</f>
        <v>#NAME?</v>
      </c>
    </row>
    <row r="211" spans="2:11">
      <c r="B211" s="296" t="s">
        <v>260</v>
      </c>
      <c r="C211" s="298" t="e" cm="1" vm="1">
        <f t="array" aca="1" ref="C211" ca="1">$C$149/EBI</f>
        <v>#NAME?</v>
      </c>
    </row>
    <row r="214" spans="2:11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11">
      <c r="B215" s="287" t="s">
        <v>110</v>
      </c>
      <c r="C215" s="288" t="s">
        <v>275</v>
      </c>
      <c r="D215" s="288"/>
      <c r="E215" s="288"/>
      <c r="F215" s="288"/>
      <c r="G215" s="288"/>
      <c r="H215" s="288"/>
      <c r="I215" s="8"/>
      <c r="J215" s="11" t="s">
        <v>276</v>
      </c>
      <c r="K215" s="16">
        <v>0.5</v>
      </c>
    </row>
    <row r="216" spans="2:11" ht="17" thickBot="1">
      <c r="B216" s="287"/>
      <c r="C216" s="228" t="e" vm="1">
        <f ca="1">$C$208</f>
        <v>#NAME?</v>
      </c>
      <c r="D216" s="229" t="e" vm="1">
        <f ca="1">E216-$K$108</f>
        <v>#NAME?</v>
      </c>
      <c r="E216" s="229" t="e" vm="1">
        <f ca="1">F216-$K$108</f>
        <v>#NAME?</v>
      </c>
      <c r="F216" s="230" t="e" vm="1">
        <f ca="1">EV_REVENUE_FY0</f>
        <v>#NAME?</v>
      </c>
      <c r="G216" s="229" t="e" vm="1">
        <f ca="1">F216+$K$108</f>
        <v>#NAME?</v>
      </c>
      <c r="H216" s="229" t="e" vm="1">
        <f ca="1">G216+$K$108</f>
        <v>#NAME?</v>
      </c>
      <c r="I216" s="8"/>
    </row>
    <row r="217" spans="2:11">
      <c r="B217" s="287"/>
      <c r="C217" s="229">
        <f>C218-$K$110</f>
        <v>5.823828734906282E-2</v>
      </c>
      <c r="D217" s="231" t="e" vm="1">
        <v>#NAME?</v>
      </c>
      <c r="E217" s="232" t="e" vm="1">
        <v>#NAME?</v>
      </c>
      <c r="F217" s="233" t="e" vm="1">
        <v>#NAME?</v>
      </c>
      <c r="G217" s="232" t="e" vm="1">
        <v>#NAME?</v>
      </c>
      <c r="H217" s="232" t="e" vm="1">
        <v>#NAME?</v>
      </c>
      <c r="I217" s="8"/>
      <c r="J217" s="11" t="s">
        <v>110</v>
      </c>
      <c r="K217" s="16">
        <v>2.5000000000000001E-3</v>
      </c>
    </row>
    <row r="218" spans="2:11">
      <c r="B218" s="287"/>
      <c r="C218" s="229">
        <f>C219-$K$110</f>
        <v>6.0738287349062822E-2</v>
      </c>
      <c r="D218" s="234" t="e" vm="1">
        <v>#NAME?</v>
      </c>
      <c r="E218" s="235" t="e" vm="1">
        <v>#NAME?</v>
      </c>
      <c r="F218" s="235" t="e" vm="1">
        <v>#NAME?</v>
      </c>
      <c r="G218" s="235" t="e" vm="1">
        <v>#NAME?</v>
      </c>
      <c r="H218" s="233" t="e" vm="1">
        <v>#NAME?</v>
      </c>
      <c r="I218" s="8"/>
      <c r="J218" s="8"/>
      <c r="K218" s="8"/>
    </row>
    <row r="219" spans="2:11">
      <c r="B219" s="287"/>
      <c r="C219" s="236">
        <f>$E$45*$E$53+$E$52*$E$49</f>
        <v>6.3238287349062824E-2</v>
      </c>
      <c r="D219" s="233" t="e" vm="1">
        <v>#NAME?</v>
      </c>
      <c r="E219" s="235" t="e" vm="1">
        <v>#NAME?</v>
      </c>
      <c r="F219" s="235" t="e" vm="1">
        <v>#NAME?</v>
      </c>
      <c r="G219" s="235" t="e" vm="1">
        <v>#NAME?</v>
      </c>
      <c r="H219" s="233" t="e" vm="1">
        <v>#NAME?</v>
      </c>
      <c r="I219" s="8"/>
      <c r="J219" s="12"/>
      <c r="K219" s="8"/>
    </row>
    <row r="220" spans="2:11">
      <c r="B220" s="287"/>
      <c r="C220" s="229">
        <f>C219+$K$110</f>
        <v>6.5738287349062827E-2</v>
      </c>
      <c r="D220" s="234" t="e" vm="1">
        <v>#NAME?</v>
      </c>
      <c r="E220" s="235" t="e" vm="1">
        <v>#NAME?</v>
      </c>
      <c r="F220" s="235" t="e" vm="1">
        <v>#NAME?</v>
      </c>
      <c r="G220" s="235" t="e" vm="1">
        <v>#NAME?</v>
      </c>
      <c r="H220" s="233" t="e" vm="1">
        <v>#NAME?</v>
      </c>
      <c r="I220" s="8"/>
      <c r="J220" s="8"/>
      <c r="K220" s="8"/>
    </row>
    <row r="221" spans="2:11">
      <c r="B221" s="287"/>
      <c r="C221" s="229">
        <f>C220+$K$110</f>
        <v>6.8238287349062829E-2</v>
      </c>
      <c r="D221" s="234" t="e" vm="1">
        <v>#NAME?</v>
      </c>
      <c r="E221" s="233" t="e" vm="1">
        <v>#NAME?</v>
      </c>
      <c r="F221" s="233" t="e" vm="1">
        <v>#NAME?</v>
      </c>
      <c r="G221" s="233" t="e" vm="1">
        <v>#NAME?</v>
      </c>
      <c r="H221" s="233" t="e" vm="1">
        <v>#NAME?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287" t="s">
        <v>110</v>
      </c>
      <c r="C226" s="288" t="s">
        <v>275</v>
      </c>
      <c r="D226" s="288"/>
      <c r="E226" s="288"/>
      <c r="F226" s="288"/>
      <c r="G226" s="288"/>
      <c r="H226" s="288"/>
    </row>
    <row r="227" spans="2:8" ht="17" thickBot="1">
      <c r="B227" s="287"/>
      <c r="C227" s="228" t="e" vm="1">
        <f ca="1">$C$210</f>
        <v>#NAME?</v>
      </c>
      <c r="D227" s="229" t="e" vm="1">
        <f ca="1">E227-$K$108</f>
        <v>#NAME?</v>
      </c>
      <c r="E227" s="229" t="e" vm="1">
        <f ca="1">F227-$K$108</f>
        <v>#NAME?</v>
      </c>
      <c r="F227" s="230" t="e" vm="1">
        <f ca="1">EV_REVENUE_FY0</f>
        <v>#NAME?</v>
      </c>
      <c r="G227" s="229" t="e" vm="1">
        <f ca="1">F227+$K$108</f>
        <v>#NAME?</v>
      </c>
      <c r="H227" s="229" t="e" vm="1">
        <f ca="1">G227+$K$108</f>
        <v>#NAME?</v>
      </c>
    </row>
    <row r="228" spans="2:8">
      <c r="B228" s="287"/>
      <c r="C228" s="229">
        <f>C229-$K$110</f>
        <v>5.823828734906282E-2</v>
      </c>
      <c r="D228" s="231" t="e">
        <v>#NAME?</v>
      </c>
      <c r="E228" s="232" t="e">
        <v>#NAME?</v>
      </c>
      <c r="F228" s="233" t="e">
        <v>#NAME?</v>
      </c>
      <c r="G228" s="232" t="e">
        <v>#NAME?</v>
      </c>
      <c r="H228" s="232" t="e">
        <v>#NAME?</v>
      </c>
    </row>
    <row r="229" spans="2:8">
      <c r="B229" s="287"/>
      <c r="C229" s="229">
        <f>C230-$K$110</f>
        <v>6.0738287349062822E-2</v>
      </c>
      <c r="D229" s="234" t="e">
        <v>#NAME?</v>
      </c>
      <c r="E229" s="235" t="e">
        <v>#NAME?</v>
      </c>
      <c r="F229" s="235" t="e">
        <v>#NAME?</v>
      </c>
      <c r="G229" s="235" t="e">
        <v>#NAME?</v>
      </c>
      <c r="H229" s="233" t="e">
        <v>#NAME?</v>
      </c>
    </row>
    <row r="230" spans="2:8">
      <c r="B230" s="287"/>
      <c r="C230" s="236">
        <f>$E$45*$E$53+$E$52*$E$49</f>
        <v>6.3238287349062824E-2</v>
      </c>
      <c r="D230" s="233" t="e">
        <v>#NAME?</v>
      </c>
      <c r="E230" s="235" t="e">
        <v>#NAME?</v>
      </c>
      <c r="F230" s="235" t="e">
        <v>#NAME?</v>
      </c>
      <c r="G230" s="235" t="e">
        <v>#NAME?</v>
      </c>
      <c r="H230" s="233" t="e">
        <v>#NAME?</v>
      </c>
    </row>
    <row r="231" spans="2:8">
      <c r="B231" s="287"/>
      <c r="C231" s="229">
        <f>C230+$K$110</f>
        <v>6.5738287349062827E-2</v>
      </c>
      <c r="D231" s="234" t="e">
        <v>#NAME?</v>
      </c>
      <c r="E231" s="235" t="e">
        <v>#NAME?</v>
      </c>
      <c r="F231" s="235" t="e">
        <v>#NAME?</v>
      </c>
      <c r="G231" s="235" t="e">
        <v>#NAME?</v>
      </c>
      <c r="H231" s="233" t="e">
        <v>#NAME?</v>
      </c>
    </row>
    <row r="232" spans="2:8">
      <c r="B232" s="287"/>
      <c r="C232" s="229">
        <f>C231+$K$110</f>
        <v>6.8238287349062829E-2</v>
      </c>
      <c r="D232" s="234" t="e">
        <v>#NAME?</v>
      </c>
      <c r="E232" s="233" t="e">
        <v>#NAME?</v>
      </c>
      <c r="F232" s="233" t="e">
        <v>#NAME?</v>
      </c>
      <c r="G232" s="233" t="e">
        <v>#NAME?</v>
      </c>
      <c r="H232" s="233" t="e">
        <v>#NAME?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287" t="s">
        <v>110</v>
      </c>
      <c r="C237" s="288" t="s">
        <v>275</v>
      </c>
      <c r="D237" s="288"/>
      <c r="E237" s="288"/>
      <c r="F237" s="288"/>
      <c r="G237" s="288"/>
      <c r="H237" s="288"/>
    </row>
    <row r="238" spans="2:8" ht="17" thickBot="1">
      <c r="B238" s="287"/>
      <c r="C238" s="228" t="e" vm="1">
        <f ca="1">$C$211</f>
        <v>#NAME?</v>
      </c>
      <c r="D238" s="229" t="e" vm="1">
        <f ca="1">E238-$K$108</f>
        <v>#NAME?</v>
      </c>
      <c r="E238" s="229" t="e" vm="1">
        <f ca="1">F238-$K$108</f>
        <v>#NAME?</v>
      </c>
      <c r="F238" s="230" t="e" vm="1">
        <f ca="1">EV_REVENUE_FY0</f>
        <v>#NAME?</v>
      </c>
      <c r="G238" s="229" t="e" vm="1">
        <f ca="1">F238+$K$108</f>
        <v>#NAME?</v>
      </c>
      <c r="H238" s="229" t="e" vm="1">
        <f ca="1">G238+$K$108</f>
        <v>#NAME?</v>
      </c>
    </row>
    <row r="239" spans="2:8">
      <c r="B239" s="287"/>
      <c r="C239" s="229">
        <f>C240-$K$110</f>
        <v>5.823828734906282E-2</v>
      </c>
      <c r="D239" s="231" t="e">
        <v>#NAME?</v>
      </c>
      <c r="E239" s="232" t="e">
        <v>#NAME?</v>
      </c>
      <c r="F239" s="233" t="e">
        <v>#NAME?</v>
      </c>
      <c r="G239" s="232" t="e">
        <v>#NAME?</v>
      </c>
      <c r="H239" s="232" t="e">
        <v>#NAME?</v>
      </c>
    </row>
    <row r="240" spans="2:8">
      <c r="B240" s="287"/>
      <c r="C240" s="229">
        <f>C241-$K$110</f>
        <v>6.0738287349062822E-2</v>
      </c>
      <c r="D240" s="234" t="e">
        <v>#NAME?</v>
      </c>
      <c r="E240" s="235" t="e">
        <v>#NAME?</v>
      </c>
      <c r="F240" s="235" t="e">
        <v>#NAME?</v>
      </c>
      <c r="G240" s="235" t="e">
        <v>#NAME?</v>
      </c>
      <c r="H240" s="233" t="e">
        <v>#NAME?</v>
      </c>
    </row>
    <row r="241" spans="2:8">
      <c r="B241" s="287"/>
      <c r="C241" s="236">
        <f>$E$45*$E$53+$E$52*$E$49</f>
        <v>6.3238287349062824E-2</v>
      </c>
      <c r="D241" s="233" t="e">
        <v>#NAME?</v>
      </c>
      <c r="E241" s="235" t="e">
        <v>#NAME?</v>
      </c>
      <c r="F241" s="235" t="e">
        <v>#NAME?</v>
      </c>
      <c r="G241" s="235" t="e">
        <v>#NAME?</v>
      </c>
      <c r="H241" s="233" t="e">
        <v>#NAME?</v>
      </c>
    </row>
    <row r="242" spans="2:8">
      <c r="B242" s="287"/>
      <c r="C242" s="229">
        <f>C241+$K$110</f>
        <v>6.5738287349062827E-2</v>
      </c>
      <c r="D242" s="234" t="e">
        <v>#NAME?</v>
      </c>
      <c r="E242" s="235" t="e">
        <v>#NAME?</v>
      </c>
      <c r="F242" s="235" t="e">
        <v>#NAME?</v>
      </c>
      <c r="G242" s="235" t="e">
        <v>#NAME?</v>
      </c>
      <c r="H242" s="233" t="e">
        <v>#NAME?</v>
      </c>
    </row>
    <row r="243" spans="2:8">
      <c r="B243" s="287"/>
      <c r="C243" s="229">
        <f>C242+$K$110</f>
        <v>6.8238287349062829E-2</v>
      </c>
      <c r="D243" s="234" t="e">
        <v>#NAME?</v>
      </c>
      <c r="E243" s="233" t="e">
        <v>#NAME?</v>
      </c>
      <c r="F243" s="233" t="e">
        <v>#NAME?</v>
      </c>
      <c r="G243" s="233" t="e">
        <v>#NAME?</v>
      </c>
      <c r="H243" s="233" t="e">
        <v>#NAME?</v>
      </c>
    </row>
  </sheetData>
  <sheetProtection formatCells="0" formatColumns="0" formatRows="0" insertColumns="0" insertRows="0" insertHyperlinks="0" selectLockedCells="1" sort="0" autoFilter="0" pivotTables="0"/>
  <mergeCells count="19">
    <mergeCell ref="B237:B243"/>
    <mergeCell ref="C237:H237"/>
    <mergeCell ref="B184:B190"/>
    <mergeCell ref="C184:H184"/>
    <mergeCell ref="B215:B221"/>
    <mergeCell ref="C215:H215"/>
    <mergeCell ref="B226:B232"/>
    <mergeCell ref="C226:H226"/>
    <mergeCell ref="B130:B136"/>
    <mergeCell ref="C130:H130"/>
    <mergeCell ref="B162:B168"/>
    <mergeCell ref="C162:H162"/>
    <mergeCell ref="B173:B179"/>
    <mergeCell ref="C173:H173"/>
    <mergeCell ref="F62:O62"/>
    <mergeCell ref="B108:B114"/>
    <mergeCell ref="C108:H108"/>
    <mergeCell ref="B119:B125"/>
    <mergeCell ref="C119:H119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1" zoomScale="67" workbookViewId="0">
      <selection activeCell="I18" sqref="I18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#NAME?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#NAME?</v>
      </c>
      <c r="F10" s="246"/>
      <c r="G10" s="252" t="s">
        <v>188</v>
      </c>
      <c r="H10" s="253" t="e" vm="1">
        <f ca="1">$E$13/H8</f>
        <v>#NAME?</v>
      </c>
      <c r="I10" s="253" t="e" vm="1">
        <f ca="1">$E$13/I8</f>
        <v>#NAME?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#NAME?</v>
      </c>
      <c r="I11" s="253" t="e" vm="1">
        <f ca="1">$E$13/I9</f>
        <v>#NAME?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#NAME?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#NAME?</v>
      </c>
      <c r="D40" s="261" t="e" vm="1">
        <f ca="1">E13</f>
        <v>#NAME?</v>
      </c>
      <c r="E40" s="262" t="e" vm="1">
        <f ca="1">H10</f>
        <v>#NAME?</v>
      </c>
      <c r="F40" s="262" t="e" vm="1">
        <f ca="1">I10</f>
        <v>#NAME?</v>
      </c>
      <c r="G40" s="262" t="e" vm="1">
        <f ca="1">H11</f>
        <v>#NAME?</v>
      </c>
      <c r="H40" s="262" t="e" vm="1">
        <f ca="1">I11</f>
        <v>#NAME?</v>
      </c>
    </row>
  </sheetData>
  <sheetProtection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9" t="str">
        <f>"Valuation Football Field: "&amp;Name</f>
        <v>Valuation Football Field: Apple Inc.</v>
      </c>
      <c r="C4" s="290"/>
      <c r="D4" s="290"/>
      <c r="E4" s="290"/>
      <c r="F4" s="290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34.270041046896146</v>
      </c>
      <c r="E7" s="268">
        <f ca="1">DCF!C101</f>
        <v>41.188581434459458</v>
      </c>
      <c r="F7" s="267">
        <f>MAX(DCF!D110:H114)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#NAME?</v>
      </c>
      <c r="E13" s="153" t="e" vm="1">
        <f ca="1">'Information from Python'!$F$5</f>
        <v>#NAME?</v>
      </c>
      <c r="F13" s="128" t="e" vm="1">
        <f ca="1">'Information from Python'!$F$5</f>
        <v>#NAME?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#NAME?</v>
      </c>
      <c r="AW13" s="276" t="e" vm="1">
        <f t="shared" ca="1" si="5"/>
        <v>#NAME?</v>
      </c>
      <c r="AX13" s="276" t="e" vm="1">
        <f t="shared" ca="1" si="6"/>
        <v>#NAME?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1" t="s">
        <v>149</v>
      </c>
      <c r="G4" s="291"/>
      <c r="H4" s="291"/>
      <c r="I4" s="291"/>
      <c r="J4" s="291"/>
      <c r="K4" s="291"/>
      <c r="L4" s="291"/>
      <c r="M4" s="291"/>
      <c r="N4" s="291"/>
      <c r="O4" s="291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J31" sqref="J31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F29" sqref="F2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F29" sqref="F29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3" t="s">
        <v>196</v>
      </c>
      <c r="D36" s="293"/>
      <c r="E36" s="293"/>
      <c r="F36" s="293"/>
      <c r="G36" s="293"/>
      <c r="H36" s="293"/>
      <c r="I36" s="293"/>
      <c r="J36" s="293"/>
      <c r="K36" s="293"/>
      <c r="L36" s="293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3" t="s">
        <v>196</v>
      </c>
      <c r="D50" s="293"/>
      <c r="E50" s="293"/>
      <c r="F50" s="293"/>
      <c r="G50" s="293"/>
      <c r="H50" s="293"/>
      <c r="I50" s="293"/>
      <c r="J50" s="293"/>
      <c r="K50" s="293"/>
      <c r="L50" s="293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G20" sqref="G20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#NAME?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29" sqref="F29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4" t="s">
        <v>196</v>
      </c>
      <c r="D4" s="294"/>
      <c r="E4" s="294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2025-02-27T10:02:13Z</dcterms:modified>
</cp:coreProperties>
</file>