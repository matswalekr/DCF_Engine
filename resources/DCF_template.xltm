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4B598128-2119-8F4D-ADCC-5A76FF9C58DB}" xr6:coauthVersionLast="47" xr6:coauthVersionMax="47" xr10:uidLastSave="{00000000-0000-0000-0000-000000000000}"/>
  <bookViews>
    <workbookView xWindow="0" yWindow="740" windowWidth="29400" windowHeight="1662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Assumptions!$C$8</definedName>
    <definedName name="Growth_Non_Operating">Assumptions!$C$10</definedName>
    <definedName name="Growth_RATE_ONWC">Assumptions!$C$13</definedName>
    <definedName name="Growth_RATE_PPE">Assumptions!$C$12</definedName>
    <definedName name="Growth_Sales">Assumptions!$C$6</definedName>
    <definedName name="Growth_SGA">Assumptions!$C$9</definedName>
    <definedName name="High_Share_Price">'Information from Python'!$C$21</definedName>
    <definedName name="Industry">'Information from Python'!$C$12</definedName>
    <definedName name="Interest_Rate">Assumptions!$C$18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Assumptions!$C$15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Assumptions!$C$17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Assumptions!$C$12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C17" i="1"/>
  <c r="C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V10" i="3"/>
  <c r="AW10" i="3"/>
  <c r="AX10" i="3"/>
  <c r="AZ10" i="3"/>
  <c r="BA10" i="3"/>
  <c r="BB10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F5" i="5" a="1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F5" i="5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C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C20" i="1" s="1"/>
  <c r="F8" i="10"/>
  <c r="C21" i="1" s="1"/>
  <c r="F9" i="10"/>
  <c r="C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D10" i="3"/>
  <c r="E10" i="3"/>
  <c r="AW6" i="3"/>
  <c r="E10" i="2"/>
  <c r="C40" i="2" s="1"/>
  <c r="C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H10" i="3"/>
  <c r="J10" i="3"/>
  <c r="C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H11" i="4"/>
  <c r="H15" i="4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<sst xmlns="http://schemas.openxmlformats.org/spreadsheetml/2006/main" count="348" uniqueCount="257">
  <si>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</si>
  <si>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</si>
  <si>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</si>
  <si>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</si>
  <si>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</si>
  <si>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</si>
  <si>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</si>
  <si>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</si>
  <si>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</si>
  <si>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</si>
  <si>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</si>
  <si>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</si>
  <si>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</si>
  <si>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</si>
  <si>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</si>
  <si>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</si>
  <si>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</si>
  <si>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</si>
  <si>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</si>
  <si>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</si>
  <si>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</si>
  <si>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</si>
  <si>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</si>
  <si>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</si>
  <si>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</si>
  <si>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</si>
  <si>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</si>
  <si>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</si>
  <si>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</si>
  <si>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</si>
  <si>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</si>
  <si>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</si>
  <si>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</si>
  <si>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</si>
  <si>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</si>
  <si>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</si>
  <si>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</si>
  <si>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</si>
  <si>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</si>
  <si>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</si>
  <si>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</si>
  <si>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</si>
  <si>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</si>
  <si>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</si>
  <si>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</si>
  <si>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</si>
  <si>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</si>
  <si>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</si>
  <si>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</si>
  <si>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</si>
  <si>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</si>
  <si>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</si>
  <si>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</si>
  <si>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</si>
  <si>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</si>
  <si>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</si>
  <si>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</si>
  <si>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</si>
  <si>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</si>
  <si>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</si>
  <si>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</si>
  <si>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</si>
  <si>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</si>
  <si>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</si>
  <si>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</si>
  <si>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</si>
  <si>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</si>
  <si>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</si>
  <si>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</si>
  <si>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</si>
  <si>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</si>
  <si>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</si>
  <si>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</si>
  <si>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</si>
  <si>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</si>
  <si>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</si>
  <si>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</si>
  <si>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</si>
  <si>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</si>
  <si>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</si>
  <si>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</si>
  <si>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</si>
  <si>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</si>
  <si>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</si>
  <si>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</si>
  <si>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</si>
  <si>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</si>
  <si>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</si>
  <si>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</si>
  <si>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</si>
  <si>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</si>
  <si>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</si>
  <si>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</si>
  <si>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</si>
  <si>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</si>
  <si>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</si>
  <si>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</si>
  <si>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</si>
  <si>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</si>
  <si>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</si>
  <si>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</si>
  <si>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</si>
  <si>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</si>
  <si>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</si>
  <si>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</si>
  <si>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</si>
  <si>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</si>
  <si>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</si>
  <si>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</si>
  <si>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</si>
  <si>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</si>
  <si>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</si>
  <si>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</si>
  <si>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</si>
  <si>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</si>
  <si>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</si>
  <si>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</si>
  <si>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</si>
  <si>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</si>
  <si>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</si>
  <si>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</si>
  <si>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</si>
  <si>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</si>
  <si>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</si>
  <si>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</si>
  <si>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</si>
  <si>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</si>
  <si>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</si>
  <si>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</si>
  <si>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</si>
  <si>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</si>
  <si>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</si>
  <si>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</si>
  <si>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</si>
  <si>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</si>
  <si>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</si>
  <si>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</si>
  <si>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</si>
  <si>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</si>
  <si>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</si>
  <si>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</si>
  <si>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</si>
  <si>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</si>
  <si>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</si>
  <si>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</si>
  <si>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</si>
  <si>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</si>
  <si>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</si>
  <si>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</si>
  <si>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</si>
  <si>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</si>
  <si>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</si>
  <si>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</si>
  <si>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</si>
  <si>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</si>
  <si>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</si>
  <si>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</si>
  <si>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</si>
  <si>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</si>
  <si>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</si>
  <si>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</si>
  <si>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</si>
  <si>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</si>
  <si>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</si>
  <si>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</si>
  <si>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</si>
  <si>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</si>
  <si>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</si>
  <si>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</si>
  <si>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</si>
  <si>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</si>
  <si>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</si>
  <si>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</si>
  <si>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</si>
  <si>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</si>
  <si>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</si>
  <si>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</si>
  <si>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</si>
  <si>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</si>
  <si>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</si>
  <si>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</si>
  <si>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</si>
  <si>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</si>
  <si>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</si>
  <si>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</si>
  <si>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</si>
  <si>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</si>
  <si>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</si>
  <si>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</si>
  <si>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</si>
  <si>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</si>
  <si>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</si>
  <si>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</si>
  <si>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</si>
  <si>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</si>
  <si>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</si>
  <si>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</si>
  <si>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</si>
  <si>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</si>
  <si>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</si>
  <si>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</si>
  <si>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</si>
  <si>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</si>
  <si>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</si>
  <si>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</si>
  <si>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</si>
  <si>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</si>
  <si>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</si>
  <si>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</si>
  <si>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</si>
  <si>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</si>
  <si>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</si>
  <si>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</si>
  <si>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</si>
  <si>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</si>
  <si>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</si>
  <si>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</si>
  <si>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</si>
  <si>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</si>
  <si>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</si>
  <si>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</si>
  <si>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</si>
  <si>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</si>
  <si>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</si>
  <si>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</si>
  <si>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</si>
  <si>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</si>
  <si>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</si>
  <si>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</si>
  <si>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</si>
  <si>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Alphabet Inc.</t>
  </si>
  <si>
    <t>Dell Technologies Inc.</t>
  </si>
  <si>
    <t>Microsoft Corporation</t>
  </si>
  <si>
    <t>Netflix, Inc.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</si>
  <si>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</si>
  <si>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</si>
  <si>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</si>
  <si>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</si>
  <si>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</si>
  <si>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</si>
  <si>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</si>
  <si>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</si>
  <si>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</si>
  <si>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</si>
  <si>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</si>
  <si>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</si>
  <si>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Informtation from Python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</si>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</sst>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0A3B0B-2BE5-7E46-BFE4-3AD130EBFE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30AD73-A747-EC44-8EAE-8B3CCCD235D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6ED423-655A-4043-BBF4-A5EDB99AC4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7B9572-F4FF-3741-BACC-D78D07DDD7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532B2E-06C7-D942-9FD6-DB2619F5BA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3B0167-72CF-8C42-872C-DA9B4C0E75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A654AD-5E7E-334F-8303-14F04ADAE4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BDD317-B5CE-5144-A09E-42A49365AE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0FB39C-ECAF-B048-AEE5-864BE9FE15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513268-226F-F84D-8A7D-6DBF610518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9AA9D7-6520-2B4F-8F28-0494541033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B7CCB1-12E4-564B-88B1-CE9C0E000F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B1C7C0-02BD-6C43-B819-1174C636ED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B4735C-CBD7-6040-A917-6897EE1231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D9441D-EC62-8944-A0AA-579405A763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245.55</c:v>
                </c:pt>
                <c:pt idx="1">
                  <c:v>245.55</c:v>
                </c:pt>
                <c:pt idx="2">
                  <c:v>245.55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4">
    <v t="i">1</v>
    <v t="i">2</v>
    <v t="i">3</v>
    <v t="i">4</v>
  </a>
  <a r="1" c="4">
    <v>244.47</v>
    <v>244.87</v>
    <v>245.83</v>
    <v>245.55</v>
  </a>
</arrayData>
</file>

<file path=xl/richData/rdrichvalue.xml><?xml version="1.0" encoding="utf-8"?>
<rvData xmlns="http://schemas.microsoft.com/office/spreadsheetml/2017/richdata" count="2">
  <rv s="0">
    <fb>245.55</fb>
    <v>0</v>
  </rv>
  <rv s="1">
    <v>1</v>
    <v>AAPL</v>
    <v>Daily</v>
    <v>45705</v>
    <v>45712</v>
    <v>0</v>
    <v>1</v>
    <v>638756928000000000,638760170565243674,0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5" workbookViewId="0">
      <selection activeCell="J29" sqref="J29"/>
    </sheetView>
  </sheetViews>
  <sheetFormatPr baseColWidth="10" defaultRowHeight="16"/>
  <cols>
    <col min="2" max="2" width="24" bestFit="1" customWidth="1"/>
    <col min="3" max="3" width="23.710937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240</v>
      </c>
      <c r="C4" s="135"/>
    </row>
    <row r="5" spans="2:16384">
      <c r="B5" s="136"/>
      <c r="C5" s="35"/>
    </row>
    <row r="6" spans="2:16384">
      <c r="B6" s="141" t="s">
        <v>93</v>
      </c>
      <c r="C6" s="142">
        <f>Average_Growth_Sales</f>
        <v>0.4693951084601678</v>
      </c>
    </row>
    <row r="7" spans="2:16384">
      <c r="B7" s="139"/>
      <c r="C7" s="35"/>
    </row>
    <row r="8" spans="2:16384">
      <c r="B8" s="139" t="s">
        <v>86</v>
      </c>
      <c r="C8" s="129">
        <f>Average_Gross_Margin</f>
        <v>0.72014242893006786</v>
      </c>
    </row>
    <row r="9" spans="2:16384">
      <c r="B9" s="139" t="s">
        <v>94</v>
      </c>
      <c r="C9" s="129">
        <f>Growth_Sales</f>
        <v>0.4693951084601678</v>
      </c>
    </row>
    <row r="10" spans="2:16384">
      <c r="B10" s="139" t="s">
        <v>96</v>
      </c>
      <c r="C10" s="131">
        <v>0.02</v>
      </c>
    </row>
    <row r="11" spans="2:16384">
      <c r="B11" s="139"/>
      <c r="C11" s="35"/>
    </row>
    <row r="12" spans="2:16384">
      <c r="B12" s="139" t="s">
        <v>118</v>
      </c>
      <c r="C12" s="131">
        <v>0.03</v>
      </c>
    </row>
    <row r="13" spans="2:16384">
      <c r="B13" s="139" t="s">
        <v>119</v>
      </c>
      <c r="C13" s="131">
        <v>0.02</v>
      </c>
    </row>
    <row r="14" spans="2:16384">
      <c r="B14" s="139"/>
      <c r="C14" s="35"/>
    </row>
    <row r="15" spans="2:16384">
      <c r="B15" s="139" t="s">
        <v>241</v>
      </c>
      <c r="C15" s="132">
        <v>1.4999999999999999E-2</v>
      </c>
    </row>
    <row r="16" spans="2:16384">
      <c r="B16" s="139"/>
      <c r="C16" s="35"/>
    </row>
    <row r="17" spans="2:3">
      <c r="B17" s="139" t="s">
        <v>95</v>
      </c>
      <c r="C17" s="131">
        <f>30%</f>
        <v>0.3</v>
      </c>
    </row>
    <row r="18" spans="2:3">
      <c r="B18" s="139" t="s">
        <v>242</v>
      </c>
      <c r="C18" s="129">
        <f>ABS(Latest_Interest/Total_Debt_FY_minu1)</f>
        <v>2.7139874739039668E-2</v>
      </c>
    </row>
    <row r="19" spans="2:3">
      <c r="B19" s="139"/>
      <c r="C19" s="35"/>
    </row>
    <row r="20" spans="2:3">
      <c r="B20" s="139" t="s">
        <v>245</v>
      </c>
      <c r="C20" s="133">
        <f>Average_Inventory_Turnover</f>
        <v>5.4574954602297057</v>
      </c>
    </row>
    <row r="21" spans="2:3">
      <c r="B21" s="139" t="s">
        <v>243</v>
      </c>
      <c r="C21" s="133">
        <f>Average_Receivables_Turnover</f>
        <v>26.392398910547467</v>
      </c>
    </row>
    <row r="22" spans="2:3">
      <c r="B22" s="140" t="s">
        <v>244</v>
      </c>
      <c r="C22" s="138">
        <f>Average_Payable_Turnover</f>
        <v>4.2024952811418705</v>
      </c>
    </row>
    <row r="23" spans="2:3">
      <c r="C23" s="5"/>
    </row>
  </sheetData>
  <dataValidations count="7"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C18&gt;0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C18&lt;0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C18" xr:uid="{974884FC-E1AB-A84E-83DB-C6576FC432F4}">
      <formula1>$C$18&gt;0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C17" xr:uid="{52C25F15-2CFA-D744-8130-E9C7202DCDC4}">
      <formula1>$C$17&gt;0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C15" xr:uid="{B76FCBEC-53CB-AF40-9E1C-73442E02CA1B}">
      <formula1>$C$15&lt;0.03</formula1>
    </dataValidation>
    <dataValidation type="custom" allowBlank="1" showInputMessage="1" showErrorMessage="1" errorTitle="Negative COGS/Revenue" error="The Gross margin is negative (COGS will be recorded as an income). This is not possible." sqref="C8" xr:uid="{3D3C1DED-6FA8-5C41-9795-3233E26D1E46}">
      <formula1>$C$8&gt;0</formula1>
    </dataValidation>
    <dataValidation type="custom" errorStyle="warning" allowBlank="1" showInputMessage="1" showErrorMessage="1" errorTitle="Negative Turnover" error="Turnover cant be negative" sqref="C20:C22" xr:uid="{A8576CDB-BB4E-A14D-ACD7-B70A4A633958}">
      <formula1>C20&gt;0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06"/>
  <sheetViews>
    <sheetView tabSelected="1" workbookViewId="0">
      <selection activeCell="B27" sqref="B27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252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3" t="s">
        <v>149</v>
      </c>
      <c r="G62" s="283"/>
      <c r="H62" s="283"/>
      <c r="I62" s="283"/>
      <c r="J62" s="283"/>
      <c r="K62" s="283"/>
      <c r="L62" s="283"/>
      <c r="M62" s="283"/>
      <c r="N62" s="283"/>
      <c r="O62" s="283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4" t="s">
        <v>110</v>
      </c>
      <c r="I100" s="285" t="s">
        <v>122</v>
      </c>
      <c r="J100" s="285"/>
      <c r="K100" s="285"/>
      <c r="L100" s="285"/>
      <c r="M100" s="285"/>
      <c r="N100" s="285"/>
      <c r="O100" s="8"/>
      <c r="P100" s="11" t="s">
        <v>123</v>
      </c>
      <c r="Q100" s="16">
        <v>2.5000000000000001E-3</v>
      </c>
    </row>
    <row r="101" spans="2:17" ht="17" thickBot="1">
      <c r="H101" s="284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4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4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4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4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4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</sheetData>
  <sheetProtection sheet="1"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50" workbookViewId="0">
      <selection activeCell="H21" sqref="H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245.55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3725482.1444999999</v>
      </c>
      <c r="F10" s="246"/>
      <c r="G10" s="252" t="s">
        <v>188</v>
      </c>
      <c r="H10" s="253">
        <f ca="1">$E$13/H8</f>
        <v>38.303071564382627</v>
      </c>
      <c r="I10" s="253">
        <f ca="1">$E$13/I8</f>
        <v>26.06723769791353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250.52062344552581</v>
      </c>
      <c r="I11" s="253">
        <f ca="1">$E$13/I9</f>
        <v>131.57047655108616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3706703.1444999999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230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231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232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233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3725482.1444999999</v>
      </c>
      <c r="D40" s="261">
        <f ca="1">E13</f>
        <v>3706703.1444999999</v>
      </c>
      <c r="E40" s="262">
        <f ca="1">H10</f>
        <v>38.303071564382627</v>
      </c>
      <c r="F40" s="262">
        <f ca="1">I10</f>
        <v>26.06723769791353</v>
      </c>
      <c r="G40" s="262">
        <f ca="1">H11</f>
        <v>250.52062344552581</v>
      </c>
      <c r="H40" s="262">
        <f ca="1">I11</f>
        <v>131.57047655108616</v>
      </c>
    </row>
  </sheetData>
  <sheetProtection sheet="1" formatCells="0" formatColumns="0" formatRows="0" insertColumns="0" insertRows="0" insertHyperlinks="0" selectLockedCells="1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6" t="str">
        <f>"Valuation Football Field: "&amp;Name</f>
        <v>Valuation Football Field: Apple Inc.</v>
      </c>
      <c r="C4" s="287"/>
      <c r="D4" s="287"/>
      <c r="E4" s="287"/>
      <c r="F4" s="287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234</v>
      </c>
      <c r="D5" s="264" t="s">
        <v>223</v>
      </c>
      <c r="E5" s="264" t="s">
        <v>238</v>
      </c>
      <c r="F5" s="264" t="s">
        <v>224</v>
      </c>
      <c r="G5" s="25"/>
      <c r="H5" s="265" t="s">
        <v>235</v>
      </c>
      <c r="I5" s="265" t="s">
        <v>236</v>
      </c>
      <c r="J5" s="265" t="s">
        <v>237</v>
      </c>
      <c r="AT5" s="275"/>
      <c r="AU5" s="275" t="s">
        <v>234</v>
      </c>
      <c r="AV5" s="275" t="s">
        <v>223</v>
      </c>
      <c r="AW5" s="275" t="s">
        <v>238</v>
      </c>
      <c r="AX5" s="275" t="s">
        <v>224</v>
      </c>
      <c r="AY5" s="275"/>
      <c r="AZ5" s="275" t="s">
        <v>235</v>
      </c>
      <c r="BA5" s="275" t="s">
        <v>236</v>
      </c>
      <c r="BB5" s="275" t="s">
        <v>237</v>
      </c>
    </row>
    <row r="6" spans="2:16384">
      <c r="B6" s="266" t="s">
        <v>239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239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253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254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255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256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245.55</v>
      </c>
      <c r="E13" s="153" vm="1">
        <f ca="1">'Information from Python'!$F$5</f>
        <v>245.55</v>
      </c>
      <c r="F13" s="128" vm="1">
        <f ca="1">'Information from Python'!$F$5</f>
        <v>245.55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245.55</v>
      </c>
      <c r="AW13" s="276" vm="1">
        <f t="shared" ca="1" si="5"/>
        <v>245.55</v>
      </c>
      <c r="AX13" s="276" vm="1">
        <f t="shared" ca="1" si="6"/>
        <v>245.55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251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88" t="s">
        <v>149</v>
      </c>
      <c r="G4" s="288"/>
      <c r="H4" s="288"/>
      <c r="I4" s="288"/>
      <c r="J4" s="288"/>
      <c r="K4" s="288"/>
      <c r="L4" s="288"/>
      <c r="M4" s="288"/>
      <c r="N4" s="288"/>
      <c r="O4" s="288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19" sqref="F1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H26" sqref="H26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C62" sqref="C62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0" t="s">
        <v>196</v>
      </c>
      <c r="D36" s="290"/>
      <c r="E36" s="290"/>
      <c r="F36" s="290"/>
      <c r="G36" s="290"/>
      <c r="H36" s="290"/>
      <c r="I36" s="290"/>
      <c r="J36" s="290"/>
      <c r="K36" s="290"/>
      <c r="L36" s="29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0" t="s">
        <v>196</v>
      </c>
      <c r="D50" s="290"/>
      <c r="E50" s="290"/>
      <c r="F50" s="290"/>
      <c r="G50" s="290"/>
      <c r="H50" s="290"/>
      <c r="I50" s="290"/>
      <c r="J50" s="290"/>
      <c r="K50" s="290"/>
      <c r="L50" s="29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J22" sqref="J22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247</v>
      </c>
      <c r="C4" s="135"/>
      <c r="E4" s="134" t="s">
        <v>250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245.55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248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249</v>
      </c>
    </row>
    <row r="27" spans="2:3">
      <c r="B27" s="147" t="str">
        <f>IF('Comparable multiples'!B23&lt;&gt;"",'Comparable multiples'!B23,"")</f>
        <v>Alphabet Inc.</v>
      </c>
    </row>
    <row r="28" spans="2:3">
      <c r="B28" s="147" t="str">
        <f>IF('Comparable multiples'!B24&lt;&gt;"",'Comparable multiples'!B24,"")</f>
        <v>Dell Technologies Inc.</v>
      </c>
    </row>
    <row r="29" spans="2:3">
      <c r="B29" s="147" t="str">
        <f>IF('Comparable multiples'!B25&lt;&gt;"",'Comparable multiples'!B25,"")</f>
        <v>Microsoft Corporation</v>
      </c>
    </row>
    <row r="30" spans="2:3">
      <c r="B30" s="147" t="str">
        <f>IF('Comparable multiples'!B26&lt;&gt;"",'Comparable multiples'!B26,"")</f>
        <v>Netflix, Inc.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5" sqref="F5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1" t="s">
        <v>196</v>
      </c>
      <c r="D4" s="291"/>
      <c r="E4" s="291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2025-02-24T18:05:35Z</dcterms:modified>
</cp:coreProperties>
</file>