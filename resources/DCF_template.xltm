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swalker/DCF/"/>
    </mc:Choice>
  </mc:AlternateContent>
  <xr:revisionPtr revIDLastSave="0" documentId="13_ncr:1_{754AC60D-6F36-664C-A74E-288B6BFE2443}" xr6:coauthVersionLast="47" xr6:coauthVersionMax="47" xr10:uidLastSave="{00000000-0000-0000-0000-000000000000}"/>
  <bookViews>
    <workbookView xWindow="0" yWindow="740" windowWidth="29400" windowHeight="16620" activeTab="3" xr2:uid="{00000000-000D-0000-FFFF-FFFF00000000}"/>
  </bookViews>
  <sheets>
    <sheet name="Assumptions" sheetId="1" r:id="rId1"/>
    <sheet name="DCF" sheetId="4" r:id="rId2"/>
    <sheet name="Comparable multiples" sheetId="2" r:id="rId3"/>
    <sheet name="Charts" sheetId="3" r:id="rId4"/>
    <sheet name="PPE &amp; Depreciation Schedule" sheetId="11" r:id="rId5"/>
    <sheet name="Income Statement Historic" sheetId="8" state="hidden" r:id="rId6"/>
    <sheet name="Cash flow statement Historic" sheetId="9" state="hidden" r:id="rId7"/>
    <sheet name="Balance Sheet Historic" sheetId="6" state="hidden" r:id="rId8"/>
    <sheet name="Information from Python" sheetId="5" state="hidden" r:id="rId9"/>
    <sheet name="Ratios" sheetId="10" state="hidden" r:id="rId10"/>
  </sheets>
  <definedNames>
    <definedName name="_xleta.ABS" hidden="1" xlm="1">#NAME?</definedName>
    <definedName name="_xleta.MIN" hidden="1" xlm="1">#NAME?</definedName>
    <definedName name="_xleta.OFFSET" hidden="1" xlm="1">#NAME?</definedName>
    <definedName name="_xleta.SHEET" hidden="1" xlm="1">#NAME?</definedName>
    <definedName name="_xleta.SUM" hidden="1" xlm="1">#NAME?</definedName>
    <definedName name="Average_Gross_Margin">Ratios!$F$6</definedName>
    <definedName name="Average_Growth_Sales">Ratios!$F$11</definedName>
    <definedName name="Average_Inventory_Turnover">Ratios!$F$7</definedName>
    <definedName name="Average_Payable_Turnover">Ratios!$F$9</definedName>
    <definedName name="Average_Receivables_Turnover">Ratios!$F$8</definedName>
    <definedName name="Beta_Equity">'Information from Python'!$C$14</definedName>
    <definedName name="Cash">'Comparable multiples'!$E$12</definedName>
    <definedName name="EBITDA_FY0">'Comparable multiples'!$H$9</definedName>
    <definedName name="EBITDA_FY1">'Comparable multiples'!$I$9</definedName>
    <definedName name="Forecasted_Years">'Information from Python'!$C$8</definedName>
    <definedName name="Gross_Margin">Assumptions!$C$8</definedName>
    <definedName name="Growth_Non_Operating">Assumptions!$C$10</definedName>
    <definedName name="Growth_RATE_ONWC">Assumptions!$C$13</definedName>
    <definedName name="Growth_RATE_PPE">Assumptions!$C$12</definedName>
    <definedName name="Growth_Sales">Assumptions!$C$6</definedName>
    <definedName name="Growth_SGA">Assumptions!$C$9</definedName>
    <definedName name="High_Share_Price">'Information from Python'!$C$21</definedName>
    <definedName name="Industry">'Information from Python'!$C$12</definedName>
    <definedName name="Interest_Rate">Assumptions!$C$18</definedName>
    <definedName name="Latest_Interest">'Income Statement Historic'!$C$15</definedName>
    <definedName name="Low_Share_Price">'Information from Python'!$C$22</definedName>
    <definedName name="Market_Return">'Information from Python'!$C$16</definedName>
    <definedName name="Name">'Information from Python'!$C$6</definedName>
    <definedName name="Perpetuity_Growth_Rate">Assumptions!$C$15</definedName>
    <definedName name="Revenue_FY0">'Comparable multiples'!$H$8</definedName>
    <definedName name="Revenue_FY1">'Comparable multiples'!$I$8</definedName>
    <definedName name="Risk_Premium">'Information from Python'!$C$17</definedName>
    <definedName name="Riskfree_Return">'Information from Python'!$C$15</definedName>
    <definedName name="Shares_Outstanding">'Information from Python'!$C$19</definedName>
    <definedName name="Start_Year">'Information from Python'!$C$9</definedName>
    <definedName name="Tax_Rate">Assumptions!$C$17</definedName>
    <definedName name="Ticker">'Information from Python'!$C$5</definedName>
    <definedName name="Total_Debt">'Comparable multiples'!$E$11</definedName>
    <definedName name="Total_Debt_FY_minu1">'Balance Sheet Historic'!$D$62</definedName>
    <definedName name="Total_Debt_FY0">'Balance Sheet Historic'!$C$62</definedName>
    <definedName name="WACC">DCF!$E$56</definedName>
    <definedName name="Yearly_Depreciation">Assumptions!$C$12</definedName>
    <definedName name="Years_Forecasted">'Information from Python'!$C$10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7" i="1" l="1"/>
  <c r="C18" i="1"/>
  <c r="E47" i="4"/>
  <c r="P7" i="11"/>
  <c r="K14" i="11"/>
  <c r="J13" i="11"/>
  <c r="H11" i="11"/>
  <c r="K32" i="4"/>
  <c r="K17" i="4" s="1"/>
  <c r="K31" i="4"/>
  <c r="I17" i="4"/>
  <c r="J17" i="4"/>
  <c r="L17" i="4"/>
  <c r="M17" i="4"/>
  <c r="N17" i="4"/>
  <c r="O17" i="4"/>
  <c r="J35" i="4"/>
  <c r="I35" i="4"/>
  <c r="K35" i="4"/>
  <c r="L35" i="4"/>
  <c r="M35" i="4"/>
  <c r="N35" i="4"/>
  <c r="O35" i="4"/>
  <c r="I31" i="4"/>
  <c r="H33" i="4"/>
  <c r="I12" i="11"/>
  <c r="E6" i="3"/>
  <c r="AV8" i="3"/>
  <c r="AW8" i="3"/>
  <c r="AX8" i="3"/>
  <c r="AZ8" i="3"/>
  <c r="BA8" i="3"/>
  <c r="BB8" i="3"/>
  <c r="AV10" i="3"/>
  <c r="AW10" i="3"/>
  <c r="AX10" i="3"/>
  <c r="AZ10" i="3"/>
  <c r="BA10" i="3"/>
  <c r="BB10" i="3"/>
  <c r="AZ13" i="3"/>
  <c r="BA13" i="3"/>
  <c r="BB13" i="3"/>
  <c r="AX6" i="3"/>
  <c r="AZ6" i="3"/>
  <c r="AV6" i="3"/>
  <c r="B28" i="5"/>
  <c r="B29" i="5"/>
  <c r="B30" i="5"/>
  <c r="B31" i="5"/>
  <c r="B32" i="5"/>
  <c r="B33" i="5"/>
  <c r="B34" i="5"/>
  <c r="B35" i="5"/>
  <c r="B36" i="5"/>
  <c r="B37" i="5"/>
  <c r="B38" i="5"/>
  <c r="B27" i="5"/>
  <c r="D35" i="4"/>
  <c r="B4" i="3"/>
  <c r="AT4" i="3" s="1"/>
  <c r="B66" i="4"/>
  <c r="D7" i="3"/>
  <c r="H7" i="3" s="1"/>
  <c r="AZ7" i="3" s="1"/>
  <c r="F7" i="3"/>
  <c r="AX7" i="3" s="1"/>
  <c r="F6" i="3"/>
  <c r="D6" i="3"/>
  <c r="H6" i="3" s="1"/>
  <c r="E9" i="2"/>
  <c r="B40" i="2" a="1"/>
  <c r="B40" i="2" s="1"/>
  <c r="F35" i="2"/>
  <c r="G35" i="2"/>
  <c r="H35" i="2"/>
  <c r="F36" i="2"/>
  <c r="G36" i="2"/>
  <c r="H36" i="2"/>
  <c r="F37" i="2"/>
  <c r="G37" i="2"/>
  <c r="H37" i="2"/>
  <c r="F38" i="2"/>
  <c r="G38" i="2"/>
  <c r="H38" i="2"/>
  <c r="E35" i="2"/>
  <c r="E38" i="2"/>
  <c r="E37" i="2"/>
  <c r="E36" i="2"/>
  <c r="AV7" i="3" l="1"/>
  <c r="E35" i="4"/>
  <c r="AZ29" i="2" a="1"/>
  <c r="C99" i="4"/>
  <c r="N9" i="2"/>
  <c r="N8" i="2"/>
  <c r="L101" i="4"/>
  <c r="I92" i="4"/>
  <c r="M63" i="4"/>
  <c r="M5" i="11" s="1"/>
  <c r="M7" i="11" s="1"/>
  <c r="D65" i="4"/>
  <c r="N5" i="4"/>
  <c r="O5" i="4"/>
  <c r="I5" i="4"/>
  <c r="J5" i="4"/>
  <c r="K5" i="4"/>
  <c r="L5" i="4"/>
  <c r="M5" i="4"/>
  <c r="E23" i="4"/>
  <c r="D23" i="4"/>
  <c r="D5" i="4"/>
  <c r="D6" i="4"/>
  <c r="D7" i="4"/>
  <c r="D10" i="4"/>
  <c r="D13" i="4"/>
  <c r="D14" i="4"/>
  <c r="D20" i="4"/>
  <c r="E20" i="4"/>
  <c r="E14" i="4"/>
  <c r="E13" i="4"/>
  <c r="E10" i="4"/>
  <c r="E7" i="4"/>
  <c r="E6" i="4"/>
  <c r="H8" i="2" s="1"/>
  <c r="E5" i="4"/>
  <c r="F5" i="4" s="1"/>
  <c r="G5" i="4" s="1"/>
  <c r="G33" i="4" s="1"/>
  <c r="E48" i="4"/>
  <c r="E43" i="4"/>
  <c r="E42" i="4"/>
  <c r="F5" i="5" a="1"/>
  <c r="I13" i="4" l="1"/>
  <c r="I20" i="4"/>
  <c r="I29" i="4"/>
  <c r="O33" i="4"/>
  <c r="O20" i="4"/>
  <c r="O29" i="4"/>
  <c r="N14" i="4"/>
  <c r="N29" i="4"/>
  <c r="N20" i="4"/>
  <c r="L14" i="4"/>
  <c r="L29" i="4"/>
  <c r="L20" i="4"/>
  <c r="K14" i="4"/>
  <c r="K20" i="4"/>
  <c r="K29" i="4"/>
  <c r="F35" i="4"/>
  <c r="F20" i="4" s="1"/>
  <c r="M20" i="4"/>
  <c r="M29" i="4"/>
  <c r="G35" i="4"/>
  <c r="G20" i="4" s="1"/>
  <c r="J23" i="4"/>
  <c r="J20" i="4"/>
  <c r="J29" i="4"/>
  <c r="AZ29" i="2"/>
  <c r="E8" i="3"/>
  <c r="F8" i="3"/>
  <c r="D8" i="3"/>
  <c r="J15" i="4"/>
  <c r="I15" i="4"/>
  <c r="I6" i="2"/>
  <c r="K15" i="4"/>
  <c r="H6" i="2"/>
  <c r="D8" i="4"/>
  <c r="L15" i="4"/>
  <c r="O15" i="4"/>
  <c r="N15" i="4"/>
  <c r="M15" i="4"/>
  <c r="F5" i="5"/>
  <c r="M84" i="4"/>
  <c r="M82" i="4"/>
  <c r="M69" i="4" s="1"/>
  <c r="M83" i="4"/>
  <c r="M71" i="4" s="1"/>
  <c r="M65" i="4"/>
  <c r="E31" i="4"/>
  <c r="E33" i="4"/>
  <c r="E30" i="4"/>
  <c r="I34" i="4"/>
  <c r="G34" i="4"/>
  <c r="E29" i="4"/>
  <c r="M33" i="4"/>
  <c r="L33" i="4"/>
  <c r="D30" i="4"/>
  <c r="F34" i="4"/>
  <c r="K33" i="4"/>
  <c r="I6" i="4"/>
  <c r="I8" i="4" s="1"/>
  <c r="I11" i="4" s="1"/>
  <c r="I18" i="4" s="1"/>
  <c r="K6" i="4"/>
  <c r="K8" i="4" s="1"/>
  <c r="K11" i="4" s="1"/>
  <c r="K18" i="4" s="1"/>
  <c r="J34" i="4"/>
  <c r="J31" i="4"/>
  <c r="K30" i="4"/>
  <c r="N33" i="4"/>
  <c r="J33" i="4"/>
  <c r="N6" i="4"/>
  <c r="N8" i="4" s="1"/>
  <c r="N11" i="4" s="1"/>
  <c r="N18" i="4" s="1"/>
  <c r="M34" i="4"/>
  <c r="N32" i="4"/>
  <c r="M31" i="4"/>
  <c r="N30" i="4"/>
  <c r="I33" i="4"/>
  <c r="I32" i="4"/>
  <c r="I30" i="4"/>
  <c r="O34" i="4"/>
  <c r="O31" i="4"/>
  <c r="O6" i="4"/>
  <c r="O8" i="4" s="1"/>
  <c r="O11" i="4" s="1"/>
  <c r="O18" i="4" s="1"/>
  <c r="O32" i="4"/>
  <c r="N31" i="4"/>
  <c r="M6" i="4"/>
  <c r="M8" i="4" s="1"/>
  <c r="M11" i="4" s="1"/>
  <c r="M18" i="4" s="1"/>
  <c r="L34" i="4"/>
  <c r="M32" i="4"/>
  <c r="L31" i="4"/>
  <c r="M30" i="4"/>
  <c r="F33" i="4"/>
  <c r="F13" i="4" s="1"/>
  <c r="G13" i="4" s="1"/>
  <c r="J6" i="4"/>
  <c r="J8" i="4" s="1"/>
  <c r="J11" i="4" s="1"/>
  <c r="J18" i="4" s="1"/>
  <c r="J32" i="4"/>
  <c r="J30" i="4"/>
  <c r="N34" i="4"/>
  <c r="O30" i="4"/>
  <c r="L6" i="4"/>
  <c r="L8" i="4" s="1"/>
  <c r="L11" i="4" s="1"/>
  <c r="L18" i="4" s="1"/>
  <c r="K34" i="4"/>
  <c r="L32" i="4"/>
  <c r="L30" i="4"/>
  <c r="E8" i="4"/>
  <c r="H5" i="4"/>
  <c r="H35" i="4" s="1"/>
  <c r="H20" i="4" s="1"/>
  <c r="G14" i="4"/>
  <c r="I14" i="4"/>
  <c r="J13" i="4"/>
  <c r="J14" i="4"/>
  <c r="J7" i="4"/>
  <c r="K7" i="4"/>
  <c r="L13" i="4"/>
  <c r="L7" i="4"/>
  <c r="I7" i="4"/>
  <c r="F14" i="4"/>
  <c r="M10" i="4"/>
  <c r="K10" i="4"/>
  <c r="O14" i="4"/>
  <c r="K23" i="4"/>
  <c r="L10" i="4"/>
  <c r="K13" i="4"/>
  <c r="L23" i="4"/>
  <c r="M7" i="4"/>
  <c r="N13" i="4"/>
  <c r="O23" i="4"/>
  <c r="N7" i="4"/>
  <c r="O13" i="4"/>
  <c r="M23" i="4"/>
  <c r="N10" i="4"/>
  <c r="M13" i="4"/>
  <c r="O7" i="4"/>
  <c r="I10" i="4"/>
  <c r="M14" i="4"/>
  <c r="I23" i="4"/>
  <c r="N23" i="4"/>
  <c r="O10" i="4"/>
  <c r="J10" i="4"/>
  <c r="K101" i="4"/>
  <c r="J101" i="4" s="1"/>
  <c r="M101" i="4"/>
  <c r="N101" i="4" s="1"/>
  <c r="E8" i="11"/>
  <c r="D7" i="11"/>
  <c r="D6" i="11"/>
  <c r="C6" i="11"/>
  <c r="G40" i="6"/>
  <c r="G38" i="6"/>
  <c r="G64" i="6" s="1"/>
  <c r="C17" i="5"/>
  <c r="E44" i="4" s="1"/>
  <c r="E45" i="4" s="1"/>
  <c r="P67" i="4"/>
  <c r="I63" i="4"/>
  <c r="I65" i="4" s="1"/>
  <c r="J63" i="4"/>
  <c r="J65" i="4" s="1"/>
  <c r="K63" i="4"/>
  <c r="K65" i="4" s="1"/>
  <c r="L63" i="4"/>
  <c r="N63" i="4"/>
  <c r="O63" i="4"/>
  <c r="D11" i="10"/>
  <c r="E11" i="10"/>
  <c r="C11" i="10"/>
  <c r="D7" i="10"/>
  <c r="E7" i="10"/>
  <c r="D8" i="10"/>
  <c r="E8" i="10"/>
  <c r="D9" i="10"/>
  <c r="E9" i="10"/>
  <c r="C9" i="10"/>
  <c r="C8" i="10"/>
  <c r="C7" i="10"/>
  <c r="D6" i="10"/>
  <c r="E6" i="10"/>
  <c r="C6" i="10"/>
  <c r="D5" i="10"/>
  <c r="E5" i="10"/>
  <c r="C5" i="10"/>
  <c r="L44" i="6"/>
  <c r="L40" i="6"/>
  <c r="K40" i="6"/>
  <c r="J40" i="6"/>
  <c r="I40" i="6"/>
  <c r="H40" i="6"/>
  <c r="F40" i="6"/>
  <c r="E40" i="6"/>
  <c r="D40" i="6"/>
  <c r="C40" i="6"/>
  <c r="L39" i="6"/>
  <c r="K39" i="6"/>
  <c r="J39" i="6"/>
  <c r="I39" i="6"/>
  <c r="H39" i="6"/>
  <c r="G39" i="6"/>
  <c r="F39" i="6"/>
  <c r="E39" i="6"/>
  <c r="D39" i="6"/>
  <c r="C39" i="6"/>
  <c r="L38" i="6"/>
  <c r="L52" i="6" s="1"/>
  <c r="K38" i="6"/>
  <c r="K52" i="6" s="1"/>
  <c r="J38" i="6"/>
  <c r="J52" i="6" s="1"/>
  <c r="I38" i="6"/>
  <c r="I55" i="6" s="1"/>
  <c r="H38" i="6"/>
  <c r="H56" i="6" s="1"/>
  <c r="F38" i="6"/>
  <c r="E38" i="6"/>
  <c r="E56" i="6" s="1"/>
  <c r="D38" i="6"/>
  <c r="D62" i="6" s="1"/>
  <c r="C38" i="6"/>
  <c r="C56" i="6" s="1"/>
  <c r="L37" i="6"/>
  <c r="L51" i="6" s="1"/>
  <c r="K37" i="6"/>
  <c r="K51" i="6" s="1"/>
  <c r="J37" i="6"/>
  <c r="J51" i="6" s="1"/>
  <c r="I37" i="6"/>
  <c r="I51" i="6" s="1"/>
  <c r="H37" i="6"/>
  <c r="H51" i="6" s="1"/>
  <c r="G37" i="6"/>
  <c r="G51" i="6" s="1"/>
  <c r="F37" i="6"/>
  <c r="F51" i="6" s="1"/>
  <c r="E37" i="6"/>
  <c r="E51" i="6" s="1"/>
  <c r="D37" i="6"/>
  <c r="D51" i="6" s="1"/>
  <c r="C37" i="6"/>
  <c r="C51" i="6" s="1"/>
  <c r="E65" i="4"/>
  <c r="E63" i="4"/>
  <c r="H8" i="3" l="1"/>
  <c r="J8" i="3"/>
  <c r="I8" i="3"/>
  <c r="D13" i="3"/>
  <c r="AV13" i="3" s="1"/>
  <c r="E13" i="3"/>
  <c r="AW13" i="3" s="1"/>
  <c r="F13" i="3"/>
  <c r="AX13" i="3" s="1"/>
  <c r="D11" i="4"/>
  <c r="D15" i="4" s="1"/>
  <c r="N65" i="4"/>
  <c r="N5" i="11"/>
  <c r="O65" i="4"/>
  <c r="O5" i="11"/>
  <c r="J65" i="6"/>
  <c r="K58" i="6"/>
  <c r="D56" i="6"/>
  <c r="E64" i="6"/>
  <c r="J67" i="6"/>
  <c r="F42" i="6"/>
  <c r="F52" i="6" s="1"/>
  <c r="D64" i="6"/>
  <c r="L58" i="6"/>
  <c r="C55" i="6"/>
  <c r="K65" i="6"/>
  <c r="K62" i="6"/>
  <c r="E58" i="6"/>
  <c r="D55" i="6"/>
  <c r="C58" i="6"/>
  <c r="C97" i="4" s="1"/>
  <c r="C62" i="6"/>
  <c r="C95" i="4" s="1"/>
  <c r="D65" i="6"/>
  <c r="E62" i="6"/>
  <c r="K56" i="6"/>
  <c r="K67" i="6"/>
  <c r="L55" i="6"/>
  <c r="C53" i="6"/>
  <c r="C96" i="4" s="1"/>
  <c r="L65" i="6"/>
  <c r="L62" i="6"/>
  <c r="G58" i="6"/>
  <c r="G55" i="6"/>
  <c r="D58" i="6"/>
  <c r="G62" i="6"/>
  <c r="L56" i="6"/>
  <c r="G53" i="6"/>
  <c r="L64" i="6"/>
  <c r="G56" i="6"/>
  <c r="I52" i="6"/>
  <c r="J42" i="6"/>
  <c r="I44" i="6" s="1"/>
  <c r="L67" i="6"/>
  <c r="K64" i="6"/>
  <c r="L60" i="6"/>
  <c r="E42" i="6"/>
  <c r="E52" i="6" s="1"/>
  <c r="E65" i="6"/>
  <c r="F64" i="6"/>
  <c r="H60" i="6"/>
  <c r="H55" i="6"/>
  <c r="I53" i="6"/>
  <c r="F62" i="6"/>
  <c r="F58" i="6"/>
  <c r="F56" i="6"/>
  <c r="H53" i="6"/>
  <c r="C64" i="6"/>
  <c r="D53" i="4" s="1"/>
  <c r="H67" i="6"/>
  <c r="H65" i="6"/>
  <c r="I64" i="6"/>
  <c r="J62" i="6"/>
  <c r="K60" i="6"/>
  <c r="J58" i="6"/>
  <c r="J56" i="6"/>
  <c r="K55" i="6"/>
  <c r="L53" i="6"/>
  <c r="D53" i="6"/>
  <c r="F55" i="6"/>
  <c r="H52" i="6"/>
  <c r="F53" i="6"/>
  <c r="I67" i="6"/>
  <c r="I65" i="6"/>
  <c r="J64" i="6"/>
  <c r="E53" i="6"/>
  <c r="C65" i="6"/>
  <c r="G65" i="6"/>
  <c r="G67" i="6" s="1"/>
  <c r="H64" i="6"/>
  <c r="I62" i="6"/>
  <c r="J60" i="6"/>
  <c r="I58" i="6"/>
  <c r="I56" i="6"/>
  <c r="J55" i="6"/>
  <c r="K53" i="6"/>
  <c r="E49" i="4"/>
  <c r="E55" i="6"/>
  <c r="C52" i="6"/>
  <c r="F65" i="6"/>
  <c r="H62" i="6"/>
  <c r="I60" i="6"/>
  <c r="H58" i="6"/>
  <c r="J53" i="6"/>
  <c r="F11" i="10"/>
  <c r="F6" i="10"/>
  <c r="C8" i="1" s="1"/>
  <c r="G30" i="4" s="1"/>
  <c r="E11" i="4"/>
  <c r="E15" i="4" s="1"/>
  <c r="H9" i="2" s="1"/>
  <c r="M21" i="4"/>
  <c r="M24" i="4" s="1"/>
  <c r="J21" i="4"/>
  <c r="J24" i="4" s="1"/>
  <c r="N21" i="4"/>
  <c r="N24" i="4" s="1"/>
  <c r="L21" i="4"/>
  <c r="L24" i="4" s="1"/>
  <c r="O21" i="4"/>
  <c r="O24" i="4" s="1"/>
  <c r="K21" i="4"/>
  <c r="K24" i="4" s="1"/>
  <c r="I21" i="4"/>
  <c r="I24" i="4" s="1"/>
  <c r="K70" i="4"/>
  <c r="M70" i="4"/>
  <c r="N70" i="4"/>
  <c r="I70" i="4"/>
  <c r="J70" i="4"/>
  <c r="O70" i="4"/>
  <c r="L83" i="4"/>
  <c r="L71" i="4" s="1"/>
  <c r="L65" i="4"/>
  <c r="L70" i="4"/>
  <c r="N84" i="4"/>
  <c r="N83" i="4"/>
  <c r="N71" i="4" s="1"/>
  <c r="K84" i="4"/>
  <c r="K83" i="4"/>
  <c r="K71" i="4" s="1"/>
  <c r="O84" i="4"/>
  <c r="O83" i="4"/>
  <c r="O71" i="4" s="1"/>
  <c r="J84" i="4"/>
  <c r="J83" i="4"/>
  <c r="J71" i="4" s="1"/>
  <c r="I84" i="4"/>
  <c r="I83" i="4"/>
  <c r="I71" i="4" s="1"/>
  <c r="L82" i="4"/>
  <c r="L69" i="4" s="1"/>
  <c r="L84" i="4"/>
  <c r="H34" i="4"/>
  <c r="H14" i="4"/>
  <c r="H13" i="4"/>
  <c r="K76" i="4"/>
  <c r="K82" i="4"/>
  <c r="K69" i="4" s="1"/>
  <c r="F63" i="4"/>
  <c r="E82" i="4"/>
  <c r="E69" i="4" s="1"/>
  <c r="J5" i="11"/>
  <c r="J82" i="4"/>
  <c r="J69" i="4" s="1"/>
  <c r="O82" i="4"/>
  <c r="O69" i="4" s="1"/>
  <c r="I82" i="4"/>
  <c r="I69" i="4" s="1"/>
  <c r="N82" i="4"/>
  <c r="N69" i="4" s="1"/>
  <c r="I5" i="11"/>
  <c r="M78" i="4"/>
  <c r="M76" i="4"/>
  <c r="N76" i="4"/>
  <c r="K5" i="11"/>
  <c r="L78" i="4"/>
  <c r="L76" i="4"/>
  <c r="I76" i="4"/>
  <c r="J76" i="4"/>
  <c r="E5" i="11"/>
  <c r="O76" i="4"/>
  <c r="L5" i="11"/>
  <c r="L7" i="11" s="1"/>
  <c r="Q6" i="11"/>
  <c r="P6" i="11"/>
  <c r="E66" i="4"/>
  <c r="E67" i="4" s="1"/>
  <c r="D63" i="4"/>
  <c r="D82" i="4" s="1"/>
  <c r="D69" i="4" s="1"/>
  <c r="K66" i="4"/>
  <c r="K78" i="4"/>
  <c r="J66" i="4"/>
  <c r="J78" i="4"/>
  <c r="I66" i="4"/>
  <c r="I78" i="4"/>
  <c r="O66" i="4"/>
  <c r="O78" i="4"/>
  <c r="N66" i="4"/>
  <c r="N78" i="4"/>
  <c r="M66" i="4"/>
  <c r="L66" i="4"/>
  <c r="E8" i="2"/>
  <c r="F7" i="10"/>
  <c r="C20" i="1" s="1"/>
  <c r="F8" i="10"/>
  <c r="C21" i="1" s="1"/>
  <c r="F9" i="10"/>
  <c r="C22" i="1" s="1"/>
  <c r="C42" i="6"/>
  <c r="K42" i="6"/>
  <c r="J44" i="6" s="1"/>
  <c r="D42" i="6"/>
  <c r="L42" i="6"/>
  <c r="K44" i="6" s="1"/>
  <c r="H42" i="6"/>
  <c r="G44" i="6" s="1"/>
  <c r="I42" i="6"/>
  <c r="H44" i="6" s="1"/>
  <c r="G42" i="6"/>
  <c r="G52" i="6" s="1"/>
  <c r="F10" i="3" l="1"/>
  <c r="D10" i="3"/>
  <c r="E10" i="3"/>
  <c r="AW6" i="3"/>
  <c r="E10" i="2"/>
  <c r="C40" i="2" s="1"/>
  <c r="C6" i="1"/>
  <c r="E12" i="2"/>
  <c r="D44" i="6"/>
  <c r="D83" i="4" s="1"/>
  <c r="D71" i="4" s="1"/>
  <c r="E44" i="6"/>
  <c r="D67" i="6"/>
  <c r="C60" i="6"/>
  <c r="E67" i="6"/>
  <c r="G60" i="6"/>
  <c r="E11" i="2"/>
  <c r="D52" i="4"/>
  <c r="D54" i="4" s="1"/>
  <c r="E52" i="4" s="1"/>
  <c r="F67" i="6"/>
  <c r="F60" i="6"/>
  <c r="E60" i="6"/>
  <c r="C44" i="6"/>
  <c r="E83" i="4" s="1"/>
  <c r="E71" i="4" s="1"/>
  <c r="D52" i="6"/>
  <c r="D60" i="6" s="1"/>
  <c r="C67" i="6"/>
  <c r="H30" i="4"/>
  <c r="F30" i="4"/>
  <c r="G63" i="4"/>
  <c r="H63" i="4" s="1"/>
  <c r="H84" i="4" s="1"/>
  <c r="F84" i="4"/>
  <c r="F5" i="11"/>
  <c r="L67" i="4"/>
  <c r="L73" i="4" s="1"/>
  <c r="L75" i="4" s="1"/>
  <c r="J67" i="4"/>
  <c r="J73" i="4" s="1"/>
  <c r="J75" i="4" s="1"/>
  <c r="O67" i="4"/>
  <c r="O73" i="4" s="1"/>
  <c r="O75" i="4" s="1"/>
  <c r="I67" i="4"/>
  <c r="I73" i="4" s="1"/>
  <c r="I75" i="4" s="1"/>
  <c r="D66" i="4"/>
  <c r="D67" i="4" s="1"/>
  <c r="D5" i="11"/>
  <c r="N67" i="4"/>
  <c r="N73" i="4" s="1"/>
  <c r="N75" i="4" s="1"/>
  <c r="M67" i="4"/>
  <c r="M73" i="4" s="1"/>
  <c r="M75" i="4" s="1"/>
  <c r="K67" i="4"/>
  <c r="K73" i="4" s="1"/>
  <c r="F44" i="6"/>
  <c r="K75" i="4" l="1"/>
  <c r="I10" i="3"/>
  <c r="H10" i="3"/>
  <c r="J10" i="3"/>
  <c r="C9" i="1"/>
  <c r="F29" i="4"/>
  <c r="F6" i="4" s="1"/>
  <c r="I8" i="2" s="1"/>
  <c r="E9" i="3" s="1"/>
  <c r="AW9" i="3" s="1"/>
  <c r="G29" i="4"/>
  <c r="H29" i="4"/>
  <c r="I6" i="3"/>
  <c r="BA6" i="3" s="1"/>
  <c r="J6" i="3"/>
  <c r="BB6" i="3" s="1"/>
  <c r="E13" i="2"/>
  <c r="H10" i="2" s="1"/>
  <c r="F83" i="4"/>
  <c r="F71" i="4" s="1"/>
  <c r="E53" i="4"/>
  <c r="B7" i="11" a="1"/>
  <c r="G5" i="11"/>
  <c r="G84" i="4"/>
  <c r="H5" i="11"/>
  <c r="F7" i="4" l="1"/>
  <c r="F8" i="4" s="1"/>
  <c r="D9" i="3"/>
  <c r="F9" i="3"/>
  <c r="AX9" i="3" s="1"/>
  <c r="G6" i="4"/>
  <c r="H31" i="4"/>
  <c r="G31" i="4"/>
  <c r="F31" i="4"/>
  <c r="F10" i="4" s="1"/>
  <c r="G10" i="4" s="1"/>
  <c r="H10" i="4" s="1"/>
  <c r="E40" i="2"/>
  <c r="D40" i="2"/>
  <c r="G83" i="4"/>
  <c r="G71" i="4" s="1"/>
  <c r="I10" i="2"/>
  <c r="F40" i="2" s="1"/>
  <c r="H11" i="2"/>
  <c r="G40" i="2" s="1"/>
  <c r="E56" i="4"/>
  <c r="I104" i="4"/>
  <c r="P17" i="11"/>
  <c r="O17" i="11" s="1"/>
  <c r="O18" i="11"/>
  <c r="N17" i="11"/>
  <c r="B7" i="11"/>
  <c r="M16" i="11"/>
  <c r="P12" i="11"/>
  <c r="M12" i="11" s="1"/>
  <c r="F9" i="11"/>
  <c r="F82" i="4" s="1"/>
  <c r="F69" i="4" s="1"/>
  <c r="H82" i="4"/>
  <c r="H69" i="4" s="1"/>
  <c r="G10" i="11"/>
  <c r="G82" i="4" s="1"/>
  <c r="G69" i="4" s="1"/>
  <c r="L15" i="11"/>
  <c r="P15" i="11"/>
  <c r="M15" i="11" s="1"/>
  <c r="P13" i="11"/>
  <c r="M13" i="11" s="1"/>
  <c r="P14" i="11"/>
  <c r="M14" i="11" s="1"/>
  <c r="H6" i="11"/>
  <c r="J6" i="11"/>
  <c r="G6" i="11"/>
  <c r="I6" i="11"/>
  <c r="J7" i="11"/>
  <c r="K6" i="11"/>
  <c r="K7" i="11"/>
  <c r="L6" i="11"/>
  <c r="E6" i="11"/>
  <c r="M6" i="11"/>
  <c r="O7" i="11"/>
  <c r="F6" i="11"/>
  <c r="N6" i="11"/>
  <c r="N7" i="11"/>
  <c r="O6" i="11"/>
  <c r="O19" i="11"/>
  <c r="K19" i="11"/>
  <c r="L19" i="11"/>
  <c r="J19" i="11"/>
  <c r="N19" i="11"/>
  <c r="D19" i="11"/>
  <c r="D32" i="4" s="1"/>
  <c r="H9" i="3" l="1"/>
  <c r="AZ9" i="3" s="1"/>
  <c r="AV9" i="3"/>
  <c r="G7" i="4"/>
  <c r="G8" i="4" s="1"/>
  <c r="G11" i="4" s="1"/>
  <c r="G15" i="4" s="1"/>
  <c r="H6" i="4"/>
  <c r="H7" i="4" s="1"/>
  <c r="H8" i="4" s="1"/>
  <c r="I9" i="3"/>
  <c r="BA9" i="3" s="1"/>
  <c r="J9" i="3"/>
  <c r="BB9" i="3" s="1"/>
  <c r="H11" i="4"/>
  <c r="H15" i="4" s="1"/>
  <c r="F11" i="4"/>
  <c r="F15" i="4" s="1"/>
  <c r="I9" i="2" s="1"/>
  <c r="H83" i="4"/>
  <c r="H71" i="4" s="1"/>
  <c r="I105" i="4"/>
  <c r="I106" i="4" s="1"/>
  <c r="I103" i="4"/>
  <c r="I102" i="4" s="1"/>
  <c r="F76" i="4"/>
  <c r="G76" i="4"/>
  <c r="H76" i="4"/>
  <c r="D17" i="4"/>
  <c r="D70" i="4"/>
  <c r="D73" i="4" s="1"/>
  <c r="O14" i="11"/>
  <c r="N14" i="11"/>
  <c r="L14" i="11"/>
  <c r="N13" i="11"/>
  <c r="O13" i="11"/>
  <c r="K13" i="11"/>
  <c r="L13" i="11"/>
  <c r="N12" i="11"/>
  <c r="O12" i="11"/>
  <c r="J12" i="11"/>
  <c r="L12" i="11"/>
  <c r="K12" i="11"/>
  <c r="N15" i="11"/>
  <c r="O15" i="11"/>
  <c r="E7" i="11"/>
  <c r="I11" i="2" l="1"/>
  <c r="H40" i="2" s="1"/>
  <c r="E11" i="3"/>
  <c r="AW11" i="3" s="1"/>
  <c r="F11" i="3"/>
  <c r="AX11" i="3" s="1"/>
  <c r="D11" i="3"/>
  <c r="AV11" i="3" s="1"/>
  <c r="D18" i="4"/>
  <c r="D21" i="4" s="1"/>
  <c r="D24" i="4" s="1"/>
  <c r="F7" i="11"/>
  <c r="G7" i="11" s="1"/>
  <c r="I7" i="11"/>
  <c r="I19" i="11" s="1"/>
  <c r="E19" i="11"/>
  <c r="E32" i="4" s="1"/>
  <c r="H11" i="3" l="1"/>
  <c r="AZ11" i="3" s="1"/>
  <c r="J11" i="3"/>
  <c r="BB11" i="3" s="1"/>
  <c r="I11" i="3"/>
  <c r="BA11" i="3" s="1"/>
  <c r="P10" i="11"/>
  <c r="M10" i="11" s="1"/>
  <c r="P16" i="11"/>
  <c r="N16" i="11" s="1"/>
  <c r="E17" i="4"/>
  <c r="E18" i="4" s="1"/>
  <c r="E70" i="4"/>
  <c r="E73" i="4" s="1"/>
  <c r="H7" i="11"/>
  <c r="P9" i="11" l="1"/>
  <c r="M9" i="11" s="1"/>
  <c r="P11" i="11"/>
  <c r="P8" i="11"/>
  <c r="M8" i="11" s="1"/>
  <c r="O16" i="11"/>
  <c r="H10" i="11"/>
  <c r="I10" i="11"/>
  <c r="J10" i="11"/>
  <c r="K10" i="11"/>
  <c r="L10" i="11"/>
  <c r="N10" i="11"/>
  <c r="O10" i="11"/>
  <c r="M11" i="11" l="1"/>
  <c r="I11" i="11"/>
  <c r="J11" i="11"/>
  <c r="K8" i="11"/>
  <c r="F8" i="11"/>
  <c r="F19" i="11" s="1"/>
  <c r="F32" i="4" s="1"/>
  <c r="F17" i="4" s="1"/>
  <c r="F18" i="4" s="1"/>
  <c r="G9" i="11"/>
  <c r="J9" i="11"/>
  <c r="O9" i="11"/>
  <c r="I9" i="11"/>
  <c r="K9" i="11"/>
  <c r="L9" i="11"/>
  <c r="H9" i="11"/>
  <c r="N9" i="11"/>
  <c r="L8" i="11"/>
  <c r="N8" i="11"/>
  <c r="O8" i="11"/>
  <c r="G8" i="11"/>
  <c r="I8" i="11"/>
  <c r="K11" i="11"/>
  <c r="O11" i="11"/>
  <c r="H8" i="11"/>
  <c r="N11" i="11"/>
  <c r="J8" i="11"/>
  <c r="L11" i="11"/>
  <c r="M19" i="11"/>
  <c r="G19" i="11" l="1"/>
  <c r="G32" i="4" s="1"/>
  <c r="F70" i="4"/>
  <c r="H19" i="11"/>
  <c r="H32" i="4" s="1"/>
  <c r="H17" i="4" l="1"/>
  <c r="H18" i="4" s="1"/>
  <c r="H70" i="4"/>
  <c r="G17" i="4"/>
  <c r="G18" i="4" s="1"/>
  <c r="G70" i="4"/>
  <c r="G65" i="4" l="1"/>
  <c r="F65" i="4"/>
  <c r="H21" i="4"/>
  <c r="E21" i="4"/>
  <c r="H65" i="4" l="1"/>
  <c r="H66" i="4" s="1"/>
  <c r="H67" i="4" s="1"/>
  <c r="H73" i="4" s="1"/>
  <c r="G21" i="4"/>
  <c r="G23" i="4" s="1"/>
  <c r="G24" i="4" s="1"/>
  <c r="E24" i="4"/>
  <c r="E34" i="4"/>
  <c r="F21" i="4"/>
  <c r="F23" i="4" s="1"/>
  <c r="F24" i="4" s="1"/>
  <c r="D34" i="4"/>
  <c r="F66" i="4"/>
  <c r="F67" i="4" s="1"/>
  <c r="F73" i="4" s="1"/>
  <c r="G66" i="4"/>
  <c r="G67" i="4" s="1"/>
  <c r="G73" i="4" s="1"/>
  <c r="H23" i="4"/>
  <c r="H24" i="4" s="1"/>
  <c r="I91" i="4" l="1"/>
  <c r="I93" i="4" s="1"/>
  <c r="I94" i="4" s="1"/>
  <c r="C93" i="4" s="1"/>
  <c r="F75" i="4"/>
  <c r="G75" i="4" s="1"/>
  <c r="H75" i="4" l="1"/>
  <c r="H78" i="4" s="1"/>
  <c r="G78" i="4"/>
  <c r="F78" i="4"/>
  <c r="C92" i="4" l="1"/>
  <c r="C94" i="4" s="1"/>
  <c r="C98" i="4" s="1"/>
  <c r="C100" i="4" l="1"/>
  <c r="I101" i="4" l="1"/>
  <c r="E7" i="3"/>
  <c r="AW7" i="3" s="1"/>
  <c r="I7" i="3" l="1"/>
  <c r="BA7" i="3" s="1"/>
  <c r="J7" i="3"/>
  <c r="BB7" i="3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1">
    <bk>
      <extLst>
        <ext uri="{3e2802c4-a4d2-4d8b-9148-e3be6c30e623}">
          <xlrd:rvb i="0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1">
    <bk>
      <rc t="1" v="0"/>
    </bk>
  </valueMetadata>
</metadata>
</file>

<file path=xl/sharedStrings.xml><?xml version="1.0" encoding="utf-8"?>
<sst xmlns="http://schemas.openxmlformats.org/spreadsheetml/2006/main" count="348" uniqueCount="257">
  <si>
    <t>AAPL</t>
  </si>
  <si>
    <t>EBIT</t>
  </si>
  <si>
    <t>EBIAT</t>
  </si>
  <si>
    <t>Capex (-)</t>
  </si>
  <si>
    <t>D&amp;A (+)</t>
  </si>
  <si>
    <t>Unlevered FCFF</t>
  </si>
  <si>
    <t>Discount Period</t>
  </si>
  <si>
    <t>Discount rate</t>
  </si>
  <si>
    <t>PV of unlevered Cash Flows</t>
  </si>
  <si>
    <t>NPV regular cash flows</t>
  </si>
  <si>
    <t>Ticker</t>
  </si>
  <si>
    <t>Current Price</t>
  </si>
  <si>
    <t>Historic years</t>
  </si>
  <si>
    <t>Start Year</t>
  </si>
  <si>
    <t>Cash and Equivalents</t>
  </si>
  <si>
    <t>Receivables</t>
  </si>
  <si>
    <t>Inventory</t>
  </si>
  <si>
    <t>Other current Assets</t>
  </si>
  <si>
    <t>Total Current Assets</t>
  </si>
  <si>
    <t>PPE</t>
  </si>
  <si>
    <t>Cum Depr. And Am.</t>
  </si>
  <si>
    <t>Investment in Equity</t>
  </si>
  <si>
    <t>Other Investment</t>
  </si>
  <si>
    <t>Intangible Assets</t>
  </si>
  <si>
    <t>Other Assets</t>
  </si>
  <si>
    <t>Total Assets</t>
  </si>
  <si>
    <t>Current debt</t>
  </si>
  <si>
    <t>Trade Payables</t>
  </si>
  <si>
    <t>Current tax payables</t>
  </si>
  <si>
    <t>Other current liabilities</t>
  </si>
  <si>
    <t>Total Current Liabilities</t>
  </si>
  <si>
    <t>Non-current debt</t>
  </si>
  <si>
    <t>Non-current tax liabilities</t>
  </si>
  <si>
    <t>Other non-current Liabilities</t>
  </si>
  <si>
    <t>Total liabilities</t>
  </si>
  <si>
    <t>Non-controlling interest</t>
  </si>
  <si>
    <t>Preffered Stock</t>
  </si>
  <si>
    <t>Common stock</t>
  </si>
  <si>
    <t>Total stockholder's equity</t>
  </si>
  <si>
    <t>ONWC</t>
  </si>
  <si>
    <t>Inventories (+)</t>
  </si>
  <si>
    <t>Accounts Receivable (+)</t>
  </si>
  <si>
    <t>Trade payables (-)</t>
  </si>
  <si>
    <t>Change in ONWC</t>
  </si>
  <si>
    <t>Revenues</t>
  </si>
  <si>
    <t>COGS</t>
  </si>
  <si>
    <t>Gross Margin</t>
  </si>
  <si>
    <t>SG&amp;A Expense</t>
  </si>
  <si>
    <t>D&amp;A Expense</t>
  </si>
  <si>
    <t>Operating Income</t>
  </si>
  <si>
    <t>Non-operating result</t>
  </si>
  <si>
    <t>Special items</t>
  </si>
  <si>
    <t>Net Interest</t>
  </si>
  <si>
    <t>EBT</t>
  </si>
  <si>
    <t>Tax</t>
  </si>
  <si>
    <t>Income before Extraordinary</t>
  </si>
  <si>
    <t>Net Income</t>
  </si>
  <si>
    <t>Extraordinary and discontinued Items</t>
  </si>
  <si>
    <t>D&amp;A</t>
  </si>
  <si>
    <t>Deferred Taxes</t>
  </si>
  <si>
    <t>Equity earnings unconsolidated</t>
  </si>
  <si>
    <t>netresultsaleppe</t>
  </si>
  <si>
    <t>Other funds Operations</t>
  </si>
  <si>
    <t>Increase account receivables</t>
  </si>
  <si>
    <t>Increase Inventory</t>
  </si>
  <si>
    <t>Increase Accounts Payable</t>
  </si>
  <si>
    <t>Increase Accrued Taxes</t>
  </si>
  <si>
    <t>Net change other assets/liabilities</t>
  </si>
  <si>
    <t>Operating Cash Flow</t>
  </si>
  <si>
    <t>Increase Investments</t>
  </si>
  <si>
    <t>Sale of investments</t>
  </si>
  <si>
    <t>changes in short term investment</t>
  </si>
  <si>
    <t>Capex</t>
  </si>
  <si>
    <t>Sale of Property</t>
  </si>
  <si>
    <t>Acquisitions</t>
  </si>
  <si>
    <t>other investing activities</t>
  </si>
  <si>
    <t>Equity increase</t>
  </si>
  <si>
    <t>Tax benefits of stock options</t>
  </si>
  <si>
    <t>Equity decrease</t>
  </si>
  <si>
    <t>Dividend</t>
  </si>
  <si>
    <t>Long term debt issuance</t>
  </si>
  <si>
    <t>Long term debt reduction</t>
  </si>
  <si>
    <t>Current debt change</t>
  </si>
  <si>
    <t>Other financing activities</t>
  </si>
  <si>
    <t>Financing Cash Flow</t>
  </si>
  <si>
    <t>Net change in Cash</t>
  </si>
  <si>
    <t>COGS/Revenues</t>
  </si>
  <si>
    <t>Invenory turnover</t>
  </si>
  <si>
    <t>Receivables turnover</t>
  </si>
  <si>
    <t>Payables turnover</t>
  </si>
  <si>
    <t>Average</t>
  </si>
  <si>
    <t>Growth of sales</t>
  </si>
  <si>
    <t>Years Forecasted</t>
  </si>
  <si>
    <t>Growth Sales</t>
  </si>
  <si>
    <t>Growth SG&amp;A</t>
  </si>
  <si>
    <t>Tax Rate</t>
  </si>
  <si>
    <t>Growth Non-operating Result</t>
  </si>
  <si>
    <t>Beta Equity</t>
  </si>
  <si>
    <t>Risk free return ( 10 year US treasury bond)</t>
  </si>
  <si>
    <t>Risk Premium</t>
  </si>
  <si>
    <t>Market return</t>
  </si>
  <si>
    <t>Cash</t>
  </si>
  <si>
    <t>Net other assets/liabilities</t>
  </si>
  <si>
    <t>Intangible assets</t>
  </si>
  <si>
    <t>Total Capital employed</t>
  </si>
  <si>
    <t>Financial debt</t>
  </si>
  <si>
    <t>Shareholders Equity</t>
  </si>
  <si>
    <t>Total Net Investment</t>
  </si>
  <si>
    <t>Net PPE</t>
  </si>
  <si>
    <t>Financial Balance Sheet</t>
  </si>
  <si>
    <t>WACC</t>
  </si>
  <si>
    <t>Non-controlling Interest (Excluded for WACC)</t>
  </si>
  <si>
    <t>Base Case</t>
  </si>
  <si>
    <t>Always assume PPE aquired at end of the year</t>
  </si>
  <si>
    <t>Lifetime (remaining)</t>
  </si>
  <si>
    <t>Industry</t>
  </si>
  <si>
    <t>Lifetime Total</t>
  </si>
  <si>
    <t>Total Depreciation</t>
  </si>
  <si>
    <t>Growth Rate PPE</t>
  </si>
  <si>
    <t>Growth Rate ONWC</t>
  </si>
  <si>
    <t>Implied Value Per Share</t>
  </si>
  <si>
    <t>Steps</t>
  </si>
  <si>
    <t>Perpetuity Growth Rate</t>
  </si>
  <si>
    <t>Perp. Growth</t>
  </si>
  <si>
    <t>Terminal Value - Perpetuity</t>
  </si>
  <si>
    <t>Last Cash Flow</t>
  </si>
  <si>
    <t>Perpetuity Growth rate</t>
  </si>
  <si>
    <t xml:space="preserve">Terminal Value   </t>
  </si>
  <si>
    <t>Number of shares outstanding</t>
  </si>
  <si>
    <t>Implied Enterprise value</t>
  </si>
  <si>
    <t>Debt (-)</t>
  </si>
  <si>
    <t>Cash (+)</t>
  </si>
  <si>
    <t>Other investments (+)</t>
  </si>
  <si>
    <t>Implied Equity Value</t>
  </si>
  <si>
    <t>Implied Value per Share</t>
  </si>
  <si>
    <t>PV of perpetuity</t>
  </si>
  <si>
    <t>Present Value of perpetuity</t>
  </si>
  <si>
    <t>Weighted Average Cost of Capital</t>
  </si>
  <si>
    <t>Equity Beta</t>
  </si>
  <si>
    <t>Cost of debt</t>
  </si>
  <si>
    <t>Tax rate</t>
  </si>
  <si>
    <t>Percentage of Capital</t>
  </si>
  <si>
    <t>Debt</t>
  </si>
  <si>
    <t>Equity</t>
  </si>
  <si>
    <t>Total capital</t>
  </si>
  <si>
    <t>(1) As of Nov-4 2024, based on the current 10-year U.S. Treasury Bond Yield</t>
  </si>
  <si>
    <t>(2) Equity beta calculated using correlation with S&amp;P500</t>
  </si>
  <si>
    <t>(3) Calculated using average yearly return of S&amp;P500</t>
  </si>
  <si>
    <t>Discounted Cash Flow</t>
  </si>
  <si>
    <t>Projected</t>
  </si>
  <si>
    <t>All in millions except Share amount</t>
  </si>
  <si>
    <t>Units</t>
  </si>
  <si>
    <t>Change in ONWC (+-)</t>
  </si>
  <si>
    <t>$</t>
  </si>
  <si>
    <t>#</t>
  </si>
  <si>
    <t>%</t>
  </si>
  <si>
    <t>Discounted Cash Flow Analysis</t>
  </si>
  <si>
    <r>
      <t>Risk free rate (R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</si>
  <si>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Equity risk premium (R</t>
    </r>
    <r>
      <rPr>
        <vertAlign val="subscript"/>
        <sz val="12"/>
        <rFont val="Arial"/>
        <family val="2"/>
      </rPr>
      <t>m</t>
    </r>
    <r>
      <rPr>
        <sz val="12"/>
        <color theme="1"/>
        <rFont val="Arial"/>
        <family val="2"/>
      </rPr>
      <t xml:space="preserve"> - R</t>
    </r>
    <r>
      <rPr>
        <vertAlign val="subscript"/>
        <sz val="12"/>
        <rFont val="Arial"/>
        <family val="2"/>
      </rPr>
      <t>f</t>
    </r>
    <r>
      <rPr>
        <sz val="12"/>
        <color theme="1"/>
        <rFont val="Arial"/>
        <family val="2"/>
      </rPr>
      <t>)</t>
    </r>
  </si>
  <si>
    <r>
      <t>Cost of Equity (K</t>
    </r>
    <r>
      <rPr>
        <b/>
        <vertAlign val="subscript"/>
        <sz val="12"/>
        <rFont val="Arial"/>
        <family val="2"/>
      </rPr>
      <t>e</t>
    </r>
    <r>
      <rPr>
        <b/>
        <sz val="12"/>
        <rFont val="Arial"/>
        <family val="2"/>
      </rPr>
      <t>)</t>
    </r>
  </si>
  <si>
    <r>
      <t>After-tax Cost of Debt (K</t>
    </r>
    <r>
      <rPr>
        <b/>
        <vertAlign val="subscript"/>
        <sz val="12"/>
        <rFont val="Arial"/>
        <family val="2"/>
      </rPr>
      <t>dt</t>
    </r>
    <r>
      <rPr>
        <b/>
        <sz val="12"/>
        <rFont val="Arial"/>
        <family val="2"/>
      </rPr>
      <t>)</t>
    </r>
  </si>
  <si>
    <t>DCF Drivers</t>
  </si>
  <si>
    <t>Income Statement</t>
  </si>
  <si>
    <t>$m</t>
  </si>
  <si>
    <t>Gross Profit</t>
  </si>
  <si>
    <t>Income Statement Drivers</t>
  </si>
  <si>
    <t>Revenue Growth</t>
  </si>
  <si>
    <t>Cost of Sales % Revenues</t>
  </si>
  <si>
    <t>Growth Rate SG&amp;A</t>
  </si>
  <si>
    <t>Depreciation and ammortisation</t>
  </si>
  <si>
    <t>Growth Rate non-operating result</t>
  </si>
  <si>
    <t>Change ONWC</t>
  </si>
  <si>
    <t>DCF Value - Perpetuity Growth</t>
  </si>
  <si>
    <t>(4) Calculated using this year's interest and last years financial debt</t>
  </si>
  <si>
    <t>PPE &amp; Depreciation Forecast</t>
  </si>
  <si>
    <t>Enterprise Value Analysis</t>
  </si>
  <si>
    <t>Enterprise Value</t>
  </si>
  <si>
    <t>Enterprise Value Multiples</t>
  </si>
  <si>
    <t>Amounts in millions as of November 25th 2024</t>
  </si>
  <si>
    <t xml:space="preserve">Share price </t>
  </si>
  <si>
    <t>LTM Revenue</t>
  </si>
  <si>
    <t>52 Week High</t>
  </si>
  <si>
    <t>Max share price at close of day</t>
  </si>
  <si>
    <t xml:space="preserve">Diluted Shares </t>
  </si>
  <si>
    <t xml:space="preserve">LTM EBITDA </t>
  </si>
  <si>
    <t>52 Week Low</t>
  </si>
  <si>
    <t>Min share price at close of day</t>
  </si>
  <si>
    <t>Equity Value</t>
  </si>
  <si>
    <t>EV / LTM Revenue</t>
  </si>
  <si>
    <t>Total Debt</t>
  </si>
  <si>
    <t>EV / LTM EBITDA</t>
  </si>
  <si>
    <t>Cash &amp; Cash Equivalents</t>
  </si>
  <si>
    <t>EBITDA</t>
  </si>
  <si>
    <t>52 week high</t>
  </si>
  <si>
    <t>52 week low</t>
  </si>
  <si>
    <t>Historic Income Statement</t>
  </si>
  <si>
    <t>Historic</t>
  </si>
  <si>
    <t>Historic Cash Flow Statement</t>
  </si>
  <si>
    <t>Historic Accounting Balance Sheet</t>
  </si>
  <si>
    <t>Operating Net Working Capital</t>
  </si>
  <si>
    <t>Historic Financial Balance Sheet</t>
  </si>
  <si>
    <t>Investing Cash Flow</t>
  </si>
  <si>
    <t>All in millions</t>
  </si>
  <si>
    <t>Shares Outstanding (millions)</t>
  </si>
  <si>
    <t>Trading Comparables</t>
  </si>
  <si>
    <t>Market</t>
  </si>
  <si>
    <t>Enterprise</t>
  </si>
  <si>
    <t xml:space="preserve">  Enterprise Value / Revenue</t>
  </si>
  <si>
    <t xml:space="preserve">  Enterprise Value / EBITDA</t>
  </si>
  <si>
    <t>Company</t>
  </si>
  <si>
    <t>Value</t>
  </si>
  <si>
    <t>LTM</t>
  </si>
  <si>
    <t>FY1</t>
  </si>
  <si>
    <t xml:space="preserve">High </t>
  </si>
  <si>
    <t xml:space="preserve">Mean </t>
  </si>
  <si>
    <t xml:space="preserve">Median </t>
  </si>
  <si>
    <t xml:space="preserve">Low </t>
  </si>
  <si>
    <t>Name</t>
  </si>
  <si>
    <t>Apple Inc.</t>
  </si>
  <si>
    <t>Competitors</t>
  </si>
  <si>
    <t>Historic ratios</t>
  </si>
  <si>
    <t>Ratios</t>
  </si>
  <si>
    <t>Football Field Comparable Multiples</t>
  </si>
  <si>
    <t>Low</t>
  </si>
  <si>
    <t>High</t>
  </si>
  <si>
    <t>DCF</t>
  </si>
  <si>
    <t>EV/Revenue LTM</t>
  </si>
  <si>
    <t>EV/Revenue FY1</t>
  </si>
  <si>
    <t>EV/EBITDA LTM</t>
  </si>
  <si>
    <t>EV/EBITDA FY1</t>
  </si>
  <si>
    <t>Alphabet Inc.</t>
  </si>
  <si>
    <t>Dell Technologies Inc.</t>
  </si>
  <si>
    <t>Microsoft Corporation</t>
  </si>
  <si>
    <t>Netflix, Inc.</t>
  </si>
  <si>
    <t>Implied value/share in $</t>
  </si>
  <si>
    <t>0 to min</t>
  </si>
  <si>
    <t>Min to Avg</t>
  </si>
  <si>
    <t>Avg to Max</t>
  </si>
  <si>
    <t>Mean</t>
  </si>
  <si>
    <t>Equity Market Value</t>
  </si>
  <si>
    <t>Assumptions</t>
  </si>
  <si>
    <t>Growth Rate Perpetuity</t>
  </si>
  <si>
    <t>Interest Rate</t>
  </si>
  <si>
    <t>Receivables Turnover</t>
  </si>
  <si>
    <t>Payables Turnover</t>
  </si>
  <si>
    <t>Invenory Turnover</t>
  </si>
  <si>
    <t>Informtation from Python</t>
  </si>
  <si>
    <t>Inputs</t>
  </si>
  <si>
    <t>Electronics</t>
  </si>
  <si>
    <t>Company Name</t>
  </si>
  <si>
    <t>Calculations in Excel</t>
  </si>
  <si>
    <t>Moved due to problems with openpyxl. Direct reference not possible</t>
  </si>
  <si>
    <t>Interest rate</t>
  </si>
  <si>
    <t>EV / Revenue LTM</t>
  </si>
  <si>
    <t>EV / Revenue FY1</t>
  </si>
  <si>
    <t>EV / EBITDA LTM</t>
  </si>
  <si>
    <t>EV / EBITDA FY1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</si>
</sst>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yyyy\-mm\-dd"/>
    <numFmt numFmtId="165" formatCode="#,##0.0"/>
    <numFmt numFmtId="166" formatCode="0.00%_);\(0.00%\)"/>
    <numFmt numFmtId="167" formatCode="_(* #,##0.00_);_(* \(#,##0.00\);_(* \–\ ?;_(@_)"/>
    <numFmt numFmtId="168" formatCode="0.0%"/>
    <numFmt numFmtId="169" formatCode="#,##0.00%_);\(#,##0.00%\)"/>
    <numFmt numFmtId="170" formatCode="_)0"/>
    <numFmt numFmtId="171" formatCode="#,##0.000_);\(#,##0.000\)"/>
    <numFmt numFmtId="172" formatCode="_(* #,##0_);_(* \(#,##0\);_(* &quot;-&quot;??_);_(@_)"/>
    <numFmt numFmtId="173" formatCode="_(* #,##0_);_(* \(#,##0\);_(* \–\ ?;_(@_)"/>
    <numFmt numFmtId="174" formatCode="#,##0.0%_);\(#,##0.0%\)"/>
    <numFmt numFmtId="175" formatCode="&quot;FY&quot;0\A"/>
    <numFmt numFmtId="176" formatCode="&quot;FY&quot;0\E"/>
    <numFmt numFmtId="177" formatCode="#,##0.00_);\(#,##0.00\)"/>
    <numFmt numFmtId="178" formatCode="0.0&quot;x&quot;"/>
    <numFmt numFmtId="179" formatCode="#,##0_ ;\-#,##0\ "/>
    <numFmt numFmtId="180" formatCode="#,##0.00\ &quot;€&quot;"/>
    <numFmt numFmtId="181" formatCode="#,##0\ &quot;€&quot;"/>
  </numFmts>
  <fonts count="50">
    <font>
      <sz val="12"/>
      <color theme="1"/>
      <name val="ArialMT"/>
      <family val="2"/>
    </font>
    <font>
      <b/>
      <sz val="12"/>
      <color theme="1"/>
      <name val="ArialMT"/>
    </font>
    <font>
      <sz val="12"/>
      <color theme="1"/>
      <name val="ArialMT"/>
      <family val="2"/>
    </font>
    <font>
      <b/>
      <sz val="11"/>
      <color theme="0"/>
      <name val="Aptos Narrow"/>
      <family val="2"/>
      <scheme val="minor"/>
    </font>
    <font>
      <sz val="10"/>
      <color rgb="FF000000"/>
      <name val="Arial"/>
      <family val="2"/>
    </font>
    <font>
      <sz val="11"/>
      <color rgb="FF000000"/>
      <name val="Aptos Narrow"/>
      <family val="2"/>
      <scheme val="minor"/>
    </font>
    <font>
      <sz val="11"/>
      <color indexed="12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C00000"/>
      <name val="Aptos Narrow"/>
      <family val="2"/>
      <scheme val="minor"/>
    </font>
    <font>
      <b/>
      <sz val="12"/>
      <color theme="0"/>
      <name val="ArialMT"/>
      <family val="2"/>
    </font>
    <font>
      <sz val="12"/>
      <color rgb="FFFF0000"/>
      <name val="ArialMT"/>
      <family val="2"/>
    </font>
    <font>
      <b/>
      <sz val="12"/>
      <color theme="1"/>
      <name val="ArialMT"/>
      <family val="2"/>
    </font>
    <font>
      <sz val="10"/>
      <color theme="0" tint="-0.34998626667073579"/>
      <name val="Arial"/>
      <family val="2"/>
    </font>
    <font>
      <sz val="10"/>
      <color theme="0" tint="-0.499984740745262"/>
      <name val="Arial"/>
      <family val="2"/>
    </font>
    <font>
      <b/>
      <sz val="16"/>
      <color rgb="FFFF0000"/>
      <name val="ArialMT"/>
    </font>
    <font>
      <sz val="12"/>
      <color theme="1"/>
      <name val="Arial"/>
      <family val="2"/>
    </font>
    <font>
      <vertAlign val="subscript"/>
      <sz val="12"/>
      <name val="Arial"/>
      <family val="2"/>
    </font>
    <font>
      <sz val="12"/>
      <color rgb="FF0000FF"/>
      <name val="Arial"/>
      <family val="2"/>
    </font>
    <font>
      <b/>
      <vertAlign val="superscript"/>
      <sz val="12"/>
      <color theme="1"/>
      <name val="Arial"/>
      <family val="2"/>
    </font>
    <font>
      <b/>
      <sz val="12"/>
      <name val="Arial"/>
      <family val="2"/>
    </font>
    <font>
      <b/>
      <vertAlign val="subscript"/>
      <sz val="12"/>
      <name val="Arial"/>
      <family val="2"/>
    </font>
    <font>
      <sz val="12"/>
      <name val="Arial"/>
      <family val="2"/>
    </font>
    <font>
      <b/>
      <vertAlign val="superscript"/>
      <sz val="12"/>
      <name val="Arial"/>
      <family val="2"/>
    </font>
    <font>
      <vertAlign val="superscript"/>
      <sz val="12"/>
      <color theme="1"/>
      <name val="Arial"/>
      <family val="2"/>
    </font>
    <font>
      <b/>
      <sz val="12"/>
      <color theme="1"/>
      <name val="Arial"/>
      <family val="2"/>
    </font>
    <font>
      <b/>
      <sz val="10"/>
      <color theme="0" tint="-0.499984740745262"/>
      <name val="Arial"/>
      <family val="2"/>
    </font>
    <font>
      <b/>
      <sz val="12"/>
      <color theme="0"/>
      <name val="Arial"/>
      <family val="2"/>
    </font>
    <font>
      <sz val="12"/>
      <color theme="0" tint="-0.34998626667073579"/>
      <name val="Arial"/>
      <family val="2"/>
    </font>
    <font>
      <sz val="12"/>
      <color rgb="FF000000"/>
      <name val="Arial"/>
      <family val="2"/>
    </font>
    <font>
      <b/>
      <sz val="11"/>
      <color theme="4"/>
      <name val="Aptos Narrow"/>
      <family val="2"/>
      <scheme val="minor"/>
    </font>
    <font>
      <sz val="10"/>
      <color theme="0" tint="-0.34998626667073579"/>
      <name val="ArialMT"/>
      <family val="2"/>
    </font>
    <font>
      <b/>
      <sz val="10"/>
      <color theme="0" tint="-0.34998626667073579"/>
      <name val="ArialMT"/>
    </font>
    <font>
      <i/>
      <sz val="12"/>
      <name val="Arial"/>
      <family val="2"/>
    </font>
    <font>
      <i/>
      <sz val="12"/>
      <color theme="0" tint="-0.34998626667073579"/>
      <name val="Arial"/>
      <family val="2"/>
    </font>
    <font>
      <i/>
      <sz val="12"/>
      <color theme="1"/>
      <name val="Arial"/>
      <family val="2"/>
    </font>
    <font>
      <i/>
      <sz val="12"/>
      <color theme="1"/>
      <name val="ArialMT"/>
      <family val="2"/>
    </font>
    <font>
      <b/>
      <i/>
      <sz val="12"/>
      <color theme="1"/>
      <name val="Arial"/>
      <family val="2"/>
    </font>
    <font>
      <i/>
      <sz val="10"/>
      <color theme="0" tint="-0.34998626667073579"/>
      <name val="Arial"/>
      <family val="2"/>
    </font>
    <font>
      <b/>
      <sz val="12"/>
      <color rgb="FF000000"/>
      <name val="Arial"/>
      <family val="2"/>
    </font>
    <font>
      <sz val="12"/>
      <color theme="1"/>
      <name val="ArialMT"/>
    </font>
    <font>
      <sz val="8"/>
      <name val="ArialMT"/>
      <family val="2"/>
    </font>
    <font>
      <b/>
      <sz val="12"/>
      <color theme="0"/>
      <name val="ArialMT"/>
    </font>
    <font>
      <b/>
      <sz val="11"/>
      <color rgb="FFFFFFFF"/>
      <name val="Aptos Narrow"/>
      <family val="2"/>
    </font>
    <font>
      <b/>
      <sz val="11"/>
      <color rgb="FF000000"/>
      <name val="Aptos Narrow"/>
      <family val="2"/>
    </font>
    <font>
      <sz val="10"/>
      <color theme="0" tint="-0.499984740745262"/>
      <name val="ArialMT"/>
      <family val="2"/>
    </font>
    <font>
      <sz val="12"/>
      <color theme="0"/>
      <name val="Arial"/>
      <family val="2"/>
    </font>
    <font>
      <sz val="12"/>
      <color rgb="FF000000"/>
      <name val="ArialMT"/>
      <family val="2"/>
    </font>
    <font>
      <sz val="11"/>
      <name val="Aptos Narrow"/>
      <family val="2"/>
      <scheme val="minor"/>
    </font>
    <font>
      <sz val="10"/>
      <color theme="0" tint="-0.249977111117893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595959"/>
        <bgColor rgb="FF000000"/>
      </patternFill>
    </fill>
    <fill>
      <patternFill patternType="solid">
        <fgColor rgb="FFE8E8E8"/>
        <bgColor rgb="FF000000"/>
      </patternFill>
    </fill>
    <fill>
      <patternFill patternType="solid">
        <fgColor indexed="9"/>
        <bgColor indexed="64"/>
      </patternFill>
    </fill>
  </fills>
  <borders count="4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medium">
        <color theme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1"/>
      </top>
      <bottom style="double">
        <color theme="1"/>
      </bottom>
      <diagonal/>
    </border>
    <border>
      <left/>
      <right/>
      <top style="thin">
        <color rgb="FFFF0000"/>
      </top>
      <bottom/>
      <diagonal/>
    </border>
    <border>
      <left/>
      <right/>
      <top/>
      <bottom style="thin">
        <color rgb="FFFF0000"/>
      </bottom>
      <diagonal/>
    </border>
    <border>
      <left style="thin">
        <color rgb="FFFF0000"/>
      </left>
      <right/>
      <top style="thin">
        <color rgb="FFFF0000"/>
      </top>
      <bottom style="double">
        <color rgb="FFFF0000"/>
      </bottom>
      <diagonal/>
    </border>
    <border>
      <left/>
      <right/>
      <top style="thin">
        <color rgb="FFFF0000"/>
      </top>
      <bottom style="double">
        <color rgb="FFFF0000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/>
      <bottom style="thin">
        <color theme="0"/>
      </bottom>
      <diagonal/>
    </border>
    <border>
      <left/>
      <right style="thin">
        <color theme="1"/>
      </right>
      <top style="thin">
        <color indexed="64"/>
      </top>
      <bottom style="double">
        <color indexed="64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double">
        <color theme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1"/>
      </right>
      <top/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FFFFFF"/>
      </bottom>
      <diagonal/>
    </border>
    <border>
      <left/>
      <right/>
      <top/>
      <bottom style="double">
        <color theme="1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0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4" fillId="0" borderId="0"/>
  </cellStyleXfs>
  <cellXfs count="292">
    <xf numFmtId="0" fontId="0" fillId="0" borderId="0" xfId="0"/>
    <xf numFmtId="0" fontId="1" fillId="0" borderId="0" xfId="0" applyFont="1"/>
    <xf numFmtId="3" fontId="1" fillId="0" borderId="0" xfId="0" applyNumberFormat="1" applyFont="1"/>
    <xf numFmtId="9" fontId="0" fillId="0" borderId="0" xfId="1" applyFont="1"/>
    <xf numFmtId="9" fontId="0" fillId="0" borderId="0" xfId="0" applyNumberFormat="1"/>
    <xf numFmtId="2" fontId="0" fillId="0" borderId="0" xfId="0" applyNumberFormat="1"/>
    <xf numFmtId="165" fontId="0" fillId="0" borderId="0" xfId="0" applyNumberFormat="1"/>
    <xf numFmtId="165" fontId="0" fillId="0" borderId="2" xfId="0" applyNumberFormat="1" applyBorder="1"/>
    <xf numFmtId="0" fontId="5" fillId="0" borderId="0" xfId="3" applyFont="1" applyProtection="1">
      <protection locked="0"/>
    </xf>
    <xf numFmtId="0" fontId="0" fillId="0" borderId="0" xfId="0" applyProtection="1">
      <protection locked="0"/>
    </xf>
    <xf numFmtId="0" fontId="5" fillId="0" borderId="0" xfId="3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9" fillId="0" borderId="0" xfId="3" applyFont="1" applyProtection="1">
      <protection locked="0"/>
    </xf>
    <xf numFmtId="168" fontId="0" fillId="0" borderId="0" xfId="1" applyNumberFormat="1" applyFont="1"/>
    <xf numFmtId="0" fontId="1" fillId="0" borderId="9" xfId="0" applyFont="1" applyBorder="1"/>
    <xf numFmtId="165" fontId="1" fillId="0" borderId="9" xfId="0" applyNumberFormat="1" applyFont="1" applyBorder="1"/>
    <xf numFmtId="166" fontId="6" fillId="0" borderId="10" xfId="3" applyNumberFormat="1" applyFont="1" applyBorder="1" applyAlignment="1" applyProtection="1">
      <alignment horizontal="center"/>
      <protection locked="0"/>
    </xf>
    <xf numFmtId="0" fontId="13" fillId="0" borderId="0" xfId="0" applyFont="1" applyProtection="1">
      <protection locked="0"/>
    </xf>
    <xf numFmtId="0" fontId="11" fillId="0" borderId="1" xfId="0" applyFont="1" applyBorder="1"/>
    <xf numFmtId="0" fontId="0" fillId="0" borderId="13" xfId="0" applyBorder="1"/>
    <xf numFmtId="0" fontId="0" fillId="0" borderId="14" xfId="0" applyBorder="1"/>
    <xf numFmtId="0" fontId="11" fillId="0" borderId="16" xfId="0" applyFont="1" applyBorder="1"/>
    <xf numFmtId="0" fontId="15" fillId="0" borderId="15" xfId="0" applyFont="1" applyBorder="1"/>
    <xf numFmtId="0" fontId="16" fillId="0" borderId="0" xfId="0" applyFont="1" applyProtection="1">
      <protection locked="0"/>
    </xf>
    <xf numFmtId="9" fontId="16" fillId="0" borderId="0" xfId="1" applyFont="1" applyFill="1" applyBorder="1" applyProtection="1">
      <protection locked="0"/>
    </xf>
    <xf numFmtId="0" fontId="16" fillId="0" borderId="0" xfId="0" applyFont="1"/>
    <xf numFmtId="0" fontId="27" fillId="6" borderId="0" xfId="0" applyFont="1" applyFill="1" applyAlignment="1" applyProtection="1">
      <alignment vertical="center"/>
      <protection locked="0"/>
    </xf>
    <xf numFmtId="0" fontId="20" fillId="8" borderId="3" xfId="0" applyFont="1" applyFill="1" applyBorder="1" applyAlignment="1" applyProtection="1">
      <alignment horizontal="centerContinuous" wrapText="1"/>
      <protection locked="0"/>
    </xf>
    <xf numFmtId="0" fontId="28" fillId="0" borderId="0" xfId="0" applyFont="1" applyAlignment="1" applyProtection="1">
      <alignment horizontal="center" vertical="center"/>
      <protection locked="0"/>
    </xf>
    <xf numFmtId="173" fontId="18" fillId="0" borderId="0" xfId="2" applyNumberFormat="1" applyFont="1" applyFill="1" applyBorder="1" applyProtection="1">
      <protection locked="0"/>
    </xf>
    <xf numFmtId="9" fontId="22" fillId="0" borderId="0" xfId="1" quotePrefix="1" applyFont="1" applyAlignment="1" applyProtection="1">
      <alignment horizontal="left" indent="1"/>
      <protection locked="0"/>
    </xf>
    <xf numFmtId="9" fontId="18" fillId="0" borderId="0" xfId="1" applyFont="1" applyFill="1" applyBorder="1" applyProtection="1">
      <protection locked="0"/>
    </xf>
    <xf numFmtId="173" fontId="16" fillId="0" borderId="0" xfId="2" applyNumberFormat="1" applyFont="1" applyFill="1" applyBorder="1" applyProtection="1">
      <protection locked="0"/>
    </xf>
    <xf numFmtId="0" fontId="20" fillId="8" borderId="20" xfId="0" applyFont="1" applyFill="1" applyBorder="1" applyAlignment="1" applyProtection="1">
      <alignment horizontal="centerContinuous" wrapText="1"/>
      <protection locked="0"/>
    </xf>
    <xf numFmtId="0" fontId="16" fillId="0" borderId="19" xfId="0" applyFont="1" applyBorder="1"/>
    <xf numFmtId="0" fontId="0" fillId="0" borderId="19" xfId="0" applyBorder="1"/>
    <xf numFmtId="173" fontId="18" fillId="0" borderId="19" xfId="2" applyNumberFormat="1" applyFont="1" applyFill="1" applyBorder="1" applyProtection="1">
      <protection locked="0"/>
    </xf>
    <xf numFmtId="0" fontId="0" fillId="0" borderId="16" xfId="0" applyBorder="1"/>
    <xf numFmtId="0" fontId="15" fillId="0" borderId="16" xfId="0" applyFont="1" applyBorder="1"/>
    <xf numFmtId="0" fontId="1" fillId="0" borderId="12" xfId="0" applyFont="1" applyBorder="1"/>
    <xf numFmtId="0" fontId="3" fillId="6" borderId="18" xfId="0" applyFont="1" applyFill="1" applyBorder="1" applyAlignment="1" applyProtection="1">
      <alignment vertical="center"/>
      <protection locked="0"/>
    </xf>
    <xf numFmtId="0" fontId="12" fillId="0" borderId="0" xfId="0" applyFont="1"/>
    <xf numFmtId="0" fontId="12" fillId="0" borderId="3" xfId="0" applyFont="1" applyBorder="1"/>
    <xf numFmtId="9" fontId="33" fillId="0" borderId="0" xfId="1" quotePrefix="1" applyFont="1" applyAlignment="1" applyProtection="1">
      <alignment horizontal="left" indent="1"/>
      <protection locked="0"/>
    </xf>
    <xf numFmtId="9" fontId="34" fillId="0" borderId="0" xfId="1" applyFont="1" applyAlignment="1" applyProtection="1">
      <alignment horizontal="center" vertical="center"/>
      <protection locked="0"/>
    </xf>
    <xf numFmtId="3" fontId="35" fillId="0" borderId="0" xfId="1" applyNumberFormat="1" applyFont="1" applyFill="1" applyBorder="1" applyProtection="1">
      <protection locked="0"/>
    </xf>
    <xf numFmtId="3" fontId="35" fillId="0" borderId="19" xfId="1" applyNumberFormat="1" applyFont="1" applyFill="1" applyBorder="1" applyProtection="1">
      <protection locked="0"/>
    </xf>
    <xf numFmtId="165" fontId="36" fillId="0" borderId="0" xfId="0" applyNumberFormat="1" applyFont="1"/>
    <xf numFmtId="165" fontId="36" fillId="0" borderId="19" xfId="0" applyNumberFormat="1" applyFont="1" applyBorder="1"/>
    <xf numFmtId="173" fontId="35" fillId="0" borderId="0" xfId="2" applyNumberFormat="1" applyFont="1" applyFill="1" applyBorder="1" applyProtection="1">
      <protection locked="0"/>
    </xf>
    <xf numFmtId="9" fontId="35" fillId="0" borderId="19" xfId="1" applyFont="1" applyFill="1" applyBorder="1" applyProtection="1">
      <protection locked="0"/>
    </xf>
    <xf numFmtId="168" fontId="35" fillId="0" borderId="0" xfId="1" applyNumberFormat="1" applyFont="1" applyFill="1" applyProtection="1">
      <protection locked="0"/>
    </xf>
    <xf numFmtId="0" fontId="20" fillId="8" borderId="0" xfId="0" applyFont="1" applyFill="1" applyProtection="1">
      <protection locked="0"/>
    </xf>
    <xf numFmtId="43" fontId="25" fillId="0" borderId="19" xfId="2" applyFont="1" applyFill="1" applyBorder="1" applyProtection="1">
      <protection locked="0"/>
    </xf>
    <xf numFmtId="0" fontId="35" fillId="0" borderId="0" xfId="0" applyFont="1" applyAlignment="1" applyProtection="1">
      <alignment horizontal="left" indent="1"/>
      <protection locked="0"/>
    </xf>
    <xf numFmtId="174" fontId="35" fillId="0" borderId="0" xfId="1" applyNumberFormat="1" applyFont="1" applyFill="1" applyBorder="1" applyProtection="1">
      <protection locked="0"/>
    </xf>
    <xf numFmtId="174" fontId="35" fillId="0" borderId="19" xfId="1" applyNumberFormat="1" applyFont="1" applyFill="1" applyBorder="1" applyProtection="1">
      <protection locked="0"/>
    </xf>
    <xf numFmtId="174" fontId="37" fillId="0" borderId="0" xfId="1" applyNumberFormat="1" applyFont="1" applyFill="1" applyBorder="1" applyProtection="1">
      <protection locked="0"/>
    </xf>
    <xf numFmtId="174" fontId="35" fillId="0" borderId="0" xfId="1" applyNumberFormat="1" applyFont="1" applyFill="1" applyBorder="1" applyAlignment="1" applyProtection="1">
      <alignment horizontal="right"/>
      <protection locked="0"/>
    </xf>
    <xf numFmtId="165" fontId="35" fillId="0" borderId="0" xfId="1" applyNumberFormat="1" applyFont="1" applyFill="1" applyAlignment="1" applyProtection="1">
      <alignment horizontal="right"/>
      <protection locked="0"/>
    </xf>
    <xf numFmtId="165" fontId="35" fillId="0" borderId="19" xfId="1" applyNumberFormat="1" applyFont="1" applyFill="1" applyBorder="1" applyAlignment="1" applyProtection="1">
      <alignment horizontal="right"/>
      <protection locked="0"/>
    </xf>
    <xf numFmtId="174" fontId="35" fillId="0" borderId="0" xfId="1" applyNumberFormat="1" applyFont="1" applyFill="1" applyAlignment="1" applyProtection="1">
      <alignment horizontal="right"/>
      <protection locked="0"/>
    </xf>
    <xf numFmtId="174" fontId="35" fillId="0" borderId="19" xfId="1" applyNumberFormat="1" applyFont="1" applyFill="1" applyBorder="1" applyAlignment="1" applyProtection="1">
      <alignment horizontal="right"/>
      <protection locked="0"/>
    </xf>
    <xf numFmtId="0" fontId="13" fillId="0" borderId="0" xfId="0" applyFont="1" applyAlignment="1" applyProtection="1">
      <alignment horizontal="center" vertical="center"/>
      <protection locked="0"/>
    </xf>
    <xf numFmtId="0" fontId="38" fillId="0" borderId="0" xfId="0" applyFont="1" applyAlignment="1" applyProtection="1">
      <alignment horizontal="center" vertical="center"/>
      <protection locked="0"/>
    </xf>
    <xf numFmtId="165" fontId="0" fillId="0" borderId="19" xfId="0" applyNumberFormat="1" applyBorder="1"/>
    <xf numFmtId="0" fontId="27" fillId="6" borderId="3" xfId="0" applyFont="1" applyFill="1" applyBorder="1" applyAlignment="1" applyProtection="1">
      <alignment vertical="center"/>
      <protection locked="0"/>
    </xf>
    <xf numFmtId="0" fontId="42" fillId="11" borderId="0" xfId="0" applyFont="1" applyFill="1"/>
    <xf numFmtId="0" fontId="0" fillId="2" borderId="0" xfId="0" applyFill="1"/>
    <xf numFmtId="0" fontId="0" fillId="2" borderId="19" xfId="0" applyFill="1" applyBorder="1"/>
    <xf numFmtId="0" fontId="0" fillId="2" borderId="18" xfId="0" applyFill="1" applyBorder="1"/>
    <xf numFmtId="0" fontId="1" fillId="0" borderId="1" xfId="0" applyFont="1" applyBorder="1"/>
    <xf numFmtId="165" fontId="1" fillId="0" borderId="1" xfId="0" applyNumberFormat="1" applyFont="1" applyBorder="1"/>
    <xf numFmtId="165" fontId="1" fillId="4" borderId="0" xfId="0" applyNumberFormat="1" applyFont="1" applyFill="1"/>
    <xf numFmtId="165" fontId="1" fillId="4" borderId="25" xfId="0" applyNumberFormat="1" applyFont="1" applyFill="1" applyBorder="1"/>
    <xf numFmtId="0" fontId="25" fillId="9" borderId="0" xfId="0" applyFont="1" applyFill="1" applyProtection="1">
      <protection locked="0"/>
    </xf>
    <xf numFmtId="164" fontId="0" fillId="2" borderId="0" xfId="0" applyNumberFormat="1" applyFill="1"/>
    <xf numFmtId="0" fontId="43" fillId="12" borderId="30" xfId="0" applyFont="1" applyFill="1" applyBorder="1" applyAlignment="1" applyProtection="1">
      <alignment vertical="center"/>
      <protection locked="0"/>
    </xf>
    <xf numFmtId="0" fontId="15" fillId="0" borderId="0" xfId="0" applyFont="1"/>
    <xf numFmtId="0" fontId="1" fillId="0" borderId="32" xfId="0" applyFont="1" applyBorder="1"/>
    <xf numFmtId="3" fontId="0" fillId="0" borderId="0" xfId="0" applyNumberFormat="1"/>
    <xf numFmtId="3" fontId="1" fillId="0" borderId="1" xfId="0" applyNumberFormat="1" applyFont="1" applyBorder="1"/>
    <xf numFmtId="3" fontId="1" fillId="0" borderId="12" xfId="0" applyNumberFormat="1" applyFont="1" applyBorder="1"/>
    <xf numFmtId="3" fontId="1" fillId="0" borderId="32" xfId="0" applyNumberFormat="1" applyFont="1" applyBorder="1"/>
    <xf numFmtId="164" fontId="45" fillId="0" borderId="0" xfId="0" applyNumberFormat="1" applyFont="1"/>
    <xf numFmtId="0" fontId="45" fillId="0" borderId="0" xfId="0" applyFont="1"/>
    <xf numFmtId="0" fontId="16" fillId="10" borderId="0" xfId="0" applyFont="1" applyFill="1" applyProtection="1">
      <protection locked="0"/>
    </xf>
    <xf numFmtId="0" fontId="16" fillId="10" borderId="0" xfId="0" applyFont="1" applyFill="1" applyAlignment="1" applyProtection="1">
      <alignment horizontal="right"/>
      <protection locked="0"/>
    </xf>
    <xf numFmtId="14" fontId="16" fillId="2" borderId="0" xfId="0" applyNumberFormat="1" applyFont="1" applyFill="1"/>
    <xf numFmtId="0" fontId="27" fillId="7" borderId="39" xfId="0" applyFont="1" applyFill="1" applyBorder="1"/>
    <xf numFmtId="9" fontId="16" fillId="0" borderId="0" xfId="0" applyNumberFormat="1" applyFont="1"/>
    <xf numFmtId="9" fontId="25" fillId="0" borderId="39" xfId="0" applyNumberFormat="1" applyFont="1" applyBorder="1"/>
    <xf numFmtId="2" fontId="16" fillId="0" borderId="0" xfId="0" applyNumberFormat="1" applyFont="1"/>
    <xf numFmtId="2" fontId="25" fillId="0" borderId="39" xfId="0" applyNumberFormat="1" applyFont="1" applyBorder="1"/>
    <xf numFmtId="0" fontId="25" fillId="0" borderId="39" xfId="0" applyFont="1" applyBorder="1"/>
    <xf numFmtId="9" fontId="16" fillId="0" borderId="0" xfId="1" applyFont="1" applyFill="1"/>
    <xf numFmtId="0" fontId="27" fillId="6" borderId="18" xfId="0" applyFont="1" applyFill="1" applyBorder="1" applyAlignment="1" applyProtection="1">
      <alignment vertical="center"/>
      <protection locked="0"/>
    </xf>
    <xf numFmtId="0" fontId="47" fillId="0" borderId="16" xfId="0" applyFont="1" applyBorder="1"/>
    <xf numFmtId="0" fontId="47" fillId="0" borderId="0" xfId="0" applyFont="1"/>
    <xf numFmtId="0" fontId="16" fillId="0" borderId="34" xfId="0" applyFont="1" applyBorder="1" applyProtection="1">
      <protection locked="0"/>
    </xf>
    <xf numFmtId="179" fontId="16" fillId="14" borderId="36" xfId="0" applyNumberFormat="1" applyFont="1" applyFill="1" applyBorder="1" applyProtection="1">
      <protection locked="0"/>
    </xf>
    <xf numFmtId="179" fontId="16" fillId="14" borderId="37" xfId="0" applyNumberFormat="1" applyFont="1" applyFill="1" applyBorder="1" applyProtection="1">
      <protection locked="0"/>
    </xf>
    <xf numFmtId="2" fontId="16" fillId="14" borderId="36" xfId="0" applyNumberFormat="1" applyFont="1" applyFill="1" applyBorder="1" applyAlignment="1" applyProtection="1">
      <alignment horizontal="right" indent="2"/>
      <protection locked="0"/>
    </xf>
    <xf numFmtId="2" fontId="16" fillId="10" borderId="0" xfId="0" applyNumberFormat="1" applyFont="1" applyFill="1" applyAlignment="1" applyProtection="1">
      <alignment horizontal="right" indent="2"/>
      <protection locked="0"/>
    </xf>
    <xf numFmtId="2" fontId="16" fillId="0" borderId="0" xfId="0" applyNumberFormat="1" applyFont="1" applyAlignment="1" applyProtection="1">
      <alignment horizontal="right" indent="2"/>
      <protection locked="0"/>
    </xf>
    <xf numFmtId="0" fontId="27" fillId="6" borderId="0" xfId="0" applyFont="1" applyFill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" vertical="center"/>
      <protection locked="0"/>
    </xf>
    <xf numFmtId="0" fontId="27" fillId="6" borderId="3" xfId="0" applyFont="1" applyFill="1" applyBorder="1" applyAlignment="1" applyProtection="1">
      <alignment horizontal="centerContinuous"/>
      <protection locked="0"/>
    </xf>
    <xf numFmtId="0" fontId="27" fillId="6" borderId="0" xfId="0" applyFont="1" applyFill="1" applyAlignment="1" applyProtection="1">
      <alignment horizontal="centerContinuous"/>
      <protection locked="0"/>
    </xf>
    <xf numFmtId="0" fontId="27" fillId="6" borderId="24" xfId="0" applyFont="1" applyFill="1" applyBorder="1" applyAlignment="1" applyProtection="1">
      <alignment horizontal="centerContinuous" vertical="center"/>
      <protection locked="0"/>
    </xf>
    <xf numFmtId="0" fontId="27" fillId="6" borderId="0" xfId="0" applyFont="1" applyFill="1" applyAlignment="1" applyProtection="1">
      <alignment horizontal="centerContinuous" vertical="center"/>
      <protection locked="0"/>
    </xf>
    <xf numFmtId="0" fontId="27" fillId="6" borderId="3" xfId="0" applyFont="1" applyFill="1" applyBorder="1" applyAlignment="1" applyProtection="1">
      <alignment horizontal="left"/>
      <protection locked="0"/>
    </xf>
    <xf numFmtId="176" fontId="27" fillId="6" borderId="33" xfId="0" applyNumberFormat="1" applyFont="1" applyFill="1" applyBorder="1" applyAlignment="1" applyProtection="1">
      <alignment horizontal="center" vertical="center"/>
      <protection locked="0"/>
    </xf>
    <xf numFmtId="0" fontId="27" fillId="6" borderId="33" xfId="0" applyFont="1" applyFill="1" applyBorder="1" applyAlignment="1" applyProtection="1">
      <alignment horizontal="center" vertical="center"/>
      <protection locked="0"/>
    </xf>
    <xf numFmtId="2" fontId="22" fillId="14" borderId="37" xfId="0" applyNumberFormat="1" applyFont="1" applyFill="1" applyBorder="1" applyAlignment="1" applyProtection="1">
      <alignment horizontal="right" indent="2"/>
      <protection locked="0"/>
    </xf>
    <xf numFmtId="2" fontId="22" fillId="14" borderId="36" xfId="0" applyNumberFormat="1" applyFont="1" applyFill="1" applyBorder="1" applyAlignment="1" applyProtection="1">
      <alignment horizontal="right" indent="2"/>
      <protection locked="0"/>
    </xf>
    <xf numFmtId="0" fontId="0" fillId="0" borderId="34" xfId="0" applyBorder="1" applyProtection="1">
      <protection locked="0"/>
    </xf>
    <xf numFmtId="179" fontId="0" fillId="14" borderId="34" xfId="0" applyNumberFormat="1" applyFill="1" applyBorder="1" applyProtection="1">
      <protection locked="0"/>
    </xf>
    <xf numFmtId="179" fontId="0" fillId="14" borderId="35" xfId="0" applyNumberFormat="1" applyFill="1" applyBorder="1" applyProtection="1">
      <protection locked="0"/>
    </xf>
    <xf numFmtId="2" fontId="0" fillId="14" borderId="34" xfId="0" applyNumberFormat="1" applyFill="1" applyBorder="1" applyAlignment="1" applyProtection="1">
      <alignment horizontal="right" indent="2"/>
      <protection locked="0"/>
    </xf>
    <xf numFmtId="2" fontId="48" fillId="14" borderId="35" xfId="0" applyNumberFormat="1" applyFont="1" applyFill="1" applyBorder="1" applyAlignment="1" applyProtection="1">
      <alignment horizontal="right" indent="2"/>
      <protection locked="0"/>
    </xf>
    <xf numFmtId="2" fontId="48" fillId="14" borderId="34" xfId="0" applyNumberFormat="1" applyFont="1" applyFill="1" applyBorder="1" applyAlignment="1" applyProtection="1">
      <alignment horizontal="right" indent="2"/>
      <protection locked="0"/>
    </xf>
    <xf numFmtId="179" fontId="0" fillId="14" borderId="36" xfId="0" applyNumberFormat="1" applyFill="1" applyBorder="1" applyProtection="1">
      <protection locked="0"/>
    </xf>
    <xf numFmtId="179" fontId="0" fillId="14" borderId="37" xfId="0" applyNumberFormat="1" applyFill="1" applyBorder="1" applyProtection="1">
      <protection locked="0"/>
    </xf>
    <xf numFmtId="2" fontId="0" fillId="14" borderId="36" xfId="0" applyNumberFormat="1" applyFill="1" applyBorder="1" applyAlignment="1" applyProtection="1">
      <alignment horizontal="right" indent="2"/>
      <protection locked="0"/>
    </xf>
    <xf numFmtId="2" fontId="48" fillId="14" borderId="37" xfId="0" applyNumberFormat="1" applyFont="1" applyFill="1" applyBorder="1" applyAlignment="1" applyProtection="1">
      <alignment horizontal="right" indent="2"/>
      <protection locked="0"/>
    </xf>
    <xf numFmtId="2" fontId="48" fillId="14" borderId="36" xfId="0" applyNumberFormat="1" applyFont="1" applyFill="1" applyBorder="1" applyAlignment="1" applyProtection="1">
      <alignment horizontal="right" indent="2"/>
      <protection locked="0"/>
    </xf>
    <xf numFmtId="173" fontId="16" fillId="10" borderId="0" xfId="2" applyNumberFormat="1" applyFont="1" applyFill="1" applyBorder="1" applyProtection="1">
      <protection locked="0"/>
    </xf>
    <xf numFmtId="180" fontId="0" fillId="0" borderId="0" xfId="0" applyNumberFormat="1"/>
    <xf numFmtId="9" fontId="0" fillId="0" borderId="19" xfId="1" applyFont="1" applyBorder="1"/>
    <xf numFmtId="168" fontId="0" fillId="0" borderId="19" xfId="1" applyNumberFormat="1" applyFont="1" applyBorder="1"/>
    <xf numFmtId="9" fontId="0" fillId="0" borderId="19" xfId="0" applyNumberFormat="1" applyBorder="1"/>
    <xf numFmtId="10" fontId="0" fillId="0" borderId="19" xfId="0" applyNumberFormat="1" applyBorder="1"/>
    <xf numFmtId="2" fontId="0" fillId="0" borderId="19" xfId="0" applyNumberFormat="1" applyBorder="1"/>
    <xf numFmtId="0" fontId="3" fillId="6" borderId="42" xfId="0" applyFont="1" applyFill="1" applyBorder="1" applyAlignment="1" applyProtection="1">
      <alignment vertical="center"/>
      <protection locked="0"/>
    </xf>
    <xf numFmtId="0" fontId="3" fillId="6" borderId="41" xfId="0" applyFont="1" applyFill="1" applyBorder="1" applyAlignment="1" applyProtection="1">
      <alignment vertical="center"/>
      <protection locked="0"/>
    </xf>
    <xf numFmtId="0" fontId="0" fillId="0" borderId="39" xfId="0" applyBorder="1"/>
    <xf numFmtId="0" fontId="0" fillId="0" borderId="43" xfId="0" applyBorder="1"/>
    <xf numFmtId="2" fontId="0" fillId="0" borderId="22" xfId="0" applyNumberFormat="1" applyBorder="1"/>
    <xf numFmtId="0" fontId="0" fillId="0" borderId="39" xfId="0" applyBorder="1" applyAlignment="1">
      <alignment horizontal="left"/>
    </xf>
    <xf numFmtId="0" fontId="0" fillId="0" borderId="43" xfId="0" applyBorder="1" applyAlignment="1">
      <alignment horizontal="left"/>
    </xf>
    <xf numFmtId="0" fontId="1" fillId="0" borderId="39" xfId="0" applyFont="1" applyBorder="1" applyAlignment="1">
      <alignment horizontal="left"/>
    </xf>
    <xf numFmtId="9" fontId="1" fillId="0" borderId="19" xfId="1" applyFont="1" applyBorder="1"/>
    <xf numFmtId="10" fontId="0" fillId="0" borderId="19" xfId="1" applyNumberFormat="1" applyFont="1" applyBorder="1"/>
    <xf numFmtId="3" fontId="0" fillId="0" borderId="19" xfId="1" applyNumberFormat="1" applyFont="1" applyBorder="1"/>
    <xf numFmtId="181" fontId="0" fillId="0" borderId="19" xfId="0" applyNumberFormat="1" applyBorder="1"/>
    <xf numFmtId="181" fontId="0" fillId="0" borderId="22" xfId="0" applyNumberFormat="1" applyBorder="1"/>
    <xf numFmtId="0" fontId="0" fillId="0" borderId="40" xfId="0" applyBorder="1"/>
    <xf numFmtId="0" fontId="0" fillId="0" borderId="44" xfId="0" applyBorder="1"/>
    <xf numFmtId="0" fontId="0" fillId="5" borderId="40" xfId="0" applyFill="1" applyBorder="1"/>
    <xf numFmtId="0" fontId="3" fillId="6" borderId="45" xfId="0" applyFont="1" applyFill="1" applyBorder="1" applyAlignment="1" applyProtection="1">
      <alignment vertical="center"/>
      <protection locked="0"/>
    </xf>
    <xf numFmtId="0" fontId="0" fillId="0" borderId="22" xfId="0" applyBorder="1"/>
    <xf numFmtId="0" fontId="27" fillId="7" borderId="38" xfId="2" applyNumberFormat="1" applyFont="1" applyFill="1" applyBorder="1" applyAlignment="1" applyProtection="1">
      <protection locked="0"/>
    </xf>
    <xf numFmtId="180" fontId="0" fillId="9" borderId="40" xfId="0" applyNumberFormat="1" applyFill="1" applyBorder="1"/>
    <xf numFmtId="0" fontId="3" fillId="6" borderId="18" xfId="0" applyFont="1" applyFill="1" applyBorder="1" applyAlignment="1">
      <alignment vertical="center"/>
    </xf>
    <xf numFmtId="0" fontId="30" fillId="8" borderId="3" xfId="0" applyFont="1" applyFill="1" applyBorder="1" applyAlignment="1">
      <alignment horizontal="centerContinuous" wrapText="1"/>
    </xf>
    <xf numFmtId="0" fontId="30" fillId="8" borderId="20" xfId="0" applyFont="1" applyFill="1" applyBorder="1" applyAlignment="1">
      <alignment horizontal="centerContinuous" wrapText="1"/>
    </xf>
    <xf numFmtId="0" fontId="3" fillId="7" borderId="3" xfId="2" applyNumberFormat="1" applyFont="1" applyFill="1" applyBorder="1" applyAlignment="1" applyProtection="1">
      <alignment horizontal="centerContinuous"/>
    </xf>
    <xf numFmtId="0" fontId="3" fillId="7" borderId="24" xfId="2" applyNumberFormat="1" applyFont="1" applyFill="1" applyBorder="1" applyAlignment="1" applyProtection="1">
      <alignment horizontal="centerContinuous"/>
    </xf>
    <xf numFmtId="0" fontId="14" fillId="0" borderId="0" xfId="0" applyFont="1"/>
    <xf numFmtId="0" fontId="14" fillId="0" borderId="0" xfId="0" applyFont="1" applyAlignment="1">
      <alignment horizontal="left"/>
    </xf>
    <xf numFmtId="0" fontId="40" fillId="5" borderId="3" xfId="0" applyFont="1" applyFill="1" applyBorder="1"/>
    <xf numFmtId="0" fontId="40" fillId="5" borderId="20" xfId="0" applyFont="1" applyFill="1" applyBorder="1"/>
    <xf numFmtId="0" fontId="10" fillId="3" borderId="3" xfId="0" applyFont="1" applyFill="1" applyBorder="1"/>
    <xf numFmtId="0" fontId="10" fillId="3" borderId="0" xfId="0" applyFont="1" applyFill="1"/>
    <xf numFmtId="0" fontId="31" fillId="0" borderId="0" xfId="0" applyFont="1" applyAlignment="1">
      <alignment horizontal="left"/>
    </xf>
    <xf numFmtId="165" fontId="0" fillId="0" borderId="0" xfId="0" applyNumberFormat="1" applyAlignment="1">
      <alignment horizontal="right"/>
    </xf>
    <xf numFmtId="165" fontId="0" fillId="0" borderId="19" xfId="0" applyNumberFormat="1" applyBorder="1" applyAlignment="1">
      <alignment horizontal="right"/>
    </xf>
    <xf numFmtId="0" fontId="31" fillId="0" borderId="18" xfId="0" applyFont="1" applyBorder="1" applyAlignment="1">
      <alignment horizontal="left"/>
    </xf>
    <xf numFmtId="165" fontId="0" fillId="0" borderId="18" xfId="0" applyNumberFormat="1" applyBorder="1" applyAlignment="1">
      <alignment horizontal="right"/>
    </xf>
    <xf numFmtId="165" fontId="0" fillId="0" borderId="22" xfId="0" applyNumberFormat="1" applyBorder="1" applyAlignment="1">
      <alignment horizontal="right"/>
    </xf>
    <xf numFmtId="165" fontId="0" fillId="0" borderId="18" xfId="0" applyNumberFormat="1" applyBorder="1"/>
    <xf numFmtId="0" fontId="1" fillId="0" borderId="11" xfId="0" applyFont="1" applyBorder="1"/>
    <xf numFmtId="0" fontId="32" fillId="0" borderId="0" xfId="0" applyFont="1" applyAlignment="1">
      <alignment horizontal="left"/>
    </xf>
    <xf numFmtId="165" fontId="1" fillId="0" borderId="0" xfId="0" applyNumberFormat="1" applyFont="1" applyAlignment="1">
      <alignment horizontal="right"/>
    </xf>
    <xf numFmtId="165" fontId="1" fillId="0" borderId="19" xfId="0" applyNumberFormat="1" applyFont="1" applyBorder="1" applyAlignment="1">
      <alignment horizontal="right"/>
    </xf>
    <xf numFmtId="0" fontId="0" fillId="0" borderId="18" xfId="0" applyBorder="1"/>
    <xf numFmtId="165" fontId="1" fillId="0" borderId="0" xfId="0" applyNumberFormat="1" applyFont="1"/>
    <xf numFmtId="165" fontId="1" fillId="0" borderId="19" xfId="0" applyNumberFormat="1" applyFont="1" applyBorder="1"/>
    <xf numFmtId="0" fontId="32" fillId="0" borderId="12" xfId="0" applyFont="1" applyBorder="1" applyAlignment="1">
      <alignment horizontal="left"/>
    </xf>
    <xf numFmtId="165" fontId="1" fillId="0" borderId="12" xfId="0" applyNumberFormat="1" applyFont="1" applyBorder="1" applyAlignment="1">
      <alignment horizontal="right"/>
    </xf>
    <xf numFmtId="165" fontId="1" fillId="0" borderId="23" xfId="0" applyNumberFormat="1" applyFont="1" applyBorder="1" applyAlignment="1">
      <alignment horizontal="right"/>
    </xf>
    <xf numFmtId="0" fontId="20" fillId="9" borderId="0" xfId="0" applyFont="1" applyFill="1" applyAlignment="1">
      <alignment vertical="center"/>
    </xf>
    <xf numFmtId="169" fontId="16" fillId="0" borderId="0" xfId="0" applyNumberFormat="1" applyFont="1"/>
    <xf numFmtId="170" fontId="19" fillId="0" borderId="0" xfId="0" applyNumberFormat="1" applyFont="1" applyAlignment="1">
      <alignment horizontal="left"/>
    </xf>
    <xf numFmtId="171" fontId="16" fillId="0" borderId="0" xfId="0" applyNumberFormat="1" applyFont="1" applyAlignment="1">
      <alignment horizontal="right"/>
    </xf>
    <xf numFmtId="0" fontId="20" fillId="0" borderId="9" xfId="0" applyFont="1" applyBorder="1" applyAlignment="1">
      <alignment horizontal="left" indent="1"/>
    </xf>
    <xf numFmtId="0" fontId="16" fillId="0" borderId="9" xfId="0" applyFont="1" applyBorder="1"/>
    <xf numFmtId="0" fontId="20" fillId="0" borderId="11" xfId="0" applyFont="1" applyBorder="1"/>
    <xf numFmtId="168" fontId="16" fillId="0" borderId="11" xfId="1" applyNumberFormat="1" applyFont="1" applyFill="1" applyBorder="1" applyProtection="1"/>
    <xf numFmtId="170" fontId="23" fillId="0" borderId="9" xfId="0" applyNumberFormat="1" applyFont="1" applyBorder="1" applyAlignment="1">
      <alignment horizontal="left"/>
    </xf>
    <xf numFmtId="10" fontId="16" fillId="0" borderId="0" xfId="1" applyNumberFormat="1" applyFont="1" applyFill="1" applyProtection="1"/>
    <xf numFmtId="170" fontId="23" fillId="0" borderId="0" xfId="0" applyNumberFormat="1" applyFont="1" applyAlignment="1">
      <alignment horizontal="left"/>
    </xf>
    <xf numFmtId="0" fontId="20" fillId="0" borderId="0" xfId="0" applyFont="1"/>
    <xf numFmtId="0" fontId="16" fillId="0" borderId="0" xfId="0" applyFont="1" applyAlignment="1">
      <alignment horizontal="left" indent="1"/>
    </xf>
    <xf numFmtId="172" fontId="16" fillId="0" borderId="0" xfId="2" applyNumberFormat="1" applyFont="1" applyBorder="1" applyProtection="1"/>
    <xf numFmtId="9" fontId="16" fillId="0" borderId="0" xfId="1" applyFont="1" applyFill="1" applyBorder="1" applyProtection="1"/>
    <xf numFmtId="0" fontId="16" fillId="0" borderId="9" xfId="0" applyFont="1" applyBorder="1" applyAlignment="1">
      <alignment horizontal="left" indent="2"/>
    </xf>
    <xf numFmtId="172" fontId="16" fillId="0" borderId="9" xfId="2" applyNumberFormat="1" applyFont="1" applyFill="1" applyBorder="1" applyProtection="1"/>
    <xf numFmtId="168" fontId="16" fillId="0" borderId="9" xfId="1" applyNumberFormat="1" applyFont="1" applyFill="1" applyBorder="1" applyProtection="1"/>
    <xf numFmtId="170" fontId="19" fillId="0" borderId="11" xfId="0" applyNumberFormat="1" applyFont="1" applyBorder="1" applyAlignment="1">
      <alignment horizontal="left"/>
    </xf>
    <xf numFmtId="170" fontId="24" fillId="0" borderId="0" xfId="0" applyNumberFormat="1" applyFont="1"/>
    <xf numFmtId="0" fontId="20" fillId="10" borderId="1" xfId="0" applyFont="1" applyFill="1" applyBorder="1" applyAlignment="1">
      <alignment vertical="center"/>
    </xf>
    <xf numFmtId="168" fontId="16" fillId="0" borderId="12" xfId="1" applyNumberFormat="1" applyFont="1" applyFill="1" applyBorder="1" applyProtection="1"/>
    <xf numFmtId="0" fontId="27" fillId="6" borderId="0" xfId="0" applyFont="1" applyFill="1" applyAlignment="1">
      <alignment vertical="center"/>
    </xf>
    <xf numFmtId="0" fontId="20" fillId="8" borderId="3" xfId="0" applyFont="1" applyFill="1" applyBorder="1" applyAlignment="1">
      <alignment horizontal="centerContinuous" wrapText="1"/>
    </xf>
    <xf numFmtId="0" fontId="20" fillId="8" borderId="20" xfId="0" applyFont="1" applyFill="1" applyBorder="1" applyAlignment="1">
      <alignment horizontal="centerContinuous" wrapText="1"/>
    </xf>
    <xf numFmtId="0" fontId="16" fillId="2" borderId="0" xfId="0" applyFont="1" applyFill="1"/>
    <xf numFmtId="0" fontId="16" fillId="2" borderId="19" xfId="0" applyFont="1" applyFill="1" applyBorder="1"/>
    <xf numFmtId="0" fontId="27" fillId="3" borderId="0" xfId="0" applyFont="1" applyFill="1"/>
    <xf numFmtId="3" fontId="16" fillId="0" borderId="0" xfId="0" applyNumberFormat="1" applyFont="1"/>
    <xf numFmtId="3" fontId="16" fillId="0" borderId="19" xfId="0" applyNumberFormat="1" applyFont="1" applyBorder="1"/>
    <xf numFmtId="0" fontId="25" fillId="0" borderId="0" xfId="0" applyFont="1"/>
    <xf numFmtId="0" fontId="26" fillId="0" borderId="0" xfId="0" applyFont="1"/>
    <xf numFmtId="3" fontId="25" fillId="0" borderId="0" xfId="0" applyNumberFormat="1" applyFont="1"/>
    <xf numFmtId="3" fontId="25" fillId="0" borderId="19" xfId="0" applyNumberFormat="1" applyFont="1" applyBorder="1"/>
    <xf numFmtId="3" fontId="16" fillId="0" borderId="18" xfId="0" applyNumberFormat="1" applyFont="1" applyBorder="1"/>
    <xf numFmtId="0" fontId="16" fillId="0" borderId="1" xfId="0" applyFont="1" applyBorder="1"/>
    <xf numFmtId="0" fontId="14" fillId="0" borderId="1" xfId="0" applyFont="1" applyBorder="1"/>
    <xf numFmtId="3" fontId="16" fillId="0" borderId="1" xfId="0" applyNumberFormat="1" applyFont="1" applyBorder="1"/>
    <xf numFmtId="3" fontId="16" fillId="0" borderId="21" xfId="0" applyNumberFormat="1" applyFont="1" applyBorder="1"/>
    <xf numFmtId="3" fontId="16" fillId="0" borderId="17" xfId="0" applyNumberFormat="1" applyFont="1" applyBorder="1"/>
    <xf numFmtId="9" fontId="16" fillId="0" borderId="0" xfId="1" applyFont="1" applyProtection="1"/>
    <xf numFmtId="0" fontId="25" fillId="0" borderId="1" xfId="0" applyFont="1" applyBorder="1"/>
    <xf numFmtId="0" fontId="26" fillId="0" borderId="1" xfId="0" applyFont="1" applyBorder="1"/>
    <xf numFmtId="3" fontId="25" fillId="0" borderId="1" xfId="0" applyNumberFormat="1" applyFont="1" applyBorder="1"/>
    <xf numFmtId="3" fontId="25" fillId="0" borderId="21" xfId="0" applyNumberFormat="1" applyFont="1" applyBorder="1"/>
    <xf numFmtId="0" fontId="3" fillId="6" borderId="0" xfId="0" applyFont="1" applyFill="1" applyAlignment="1">
      <alignment horizontal="center" vertical="center"/>
    </xf>
    <xf numFmtId="167" fontId="8" fillId="0" borderId="0" xfId="2" applyNumberFormat="1" applyFont="1" applyFill="1" applyBorder="1" applyProtection="1"/>
    <xf numFmtId="166" fontId="5" fillId="0" borderId="0" xfId="3" applyNumberFormat="1" applyFont="1"/>
    <xf numFmtId="168" fontId="7" fillId="0" borderId="4" xfId="1" applyNumberFormat="1" applyFont="1" applyFill="1" applyBorder="1" applyProtection="1"/>
    <xf numFmtId="4" fontId="5" fillId="0" borderId="5" xfId="3" applyNumberFormat="1" applyFont="1" applyBorder="1"/>
    <xf numFmtId="4" fontId="5" fillId="0" borderId="6" xfId="3" applyNumberFormat="1" applyFont="1" applyBorder="1"/>
    <xf numFmtId="4" fontId="5" fillId="0" borderId="0" xfId="3" applyNumberFormat="1" applyFont="1"/>
    <xf numFmtId="4" fontId="5" fillId="0" borderId="7" xfId="3" applyNumberFormat="1" applyFont="1" applyBorder="1"/>
    <xf numFmtId="4" fontId="5" fillId="8" borderId="0" xfId="3" applyNumberFormat="1" applyFont="1" applyFill="1"/>
    <xf numFmtId="166" fontId="7" fillId="0" borderId="8" xfId="1" applyNumberFormat="1" applyFont="1" applyFill="1" applyBorder="1" applyProtection="1"/>
    <xf numFmtId="0" fontId="39" fillId="9" borderId="0" xfId="3" applyFont="1" applyFill="1" applyAlignment="1">
      <alignment horizontal="left"/>
    </xf>
    <xf numFmtId="0" fontId="29" fillId="9" borderId="0" xfId="3" applyFont="1" applyFill="1" applyAlignment="1">
      <alignment horizontal="left"/>
    </xf>
    <xf numFmtId="0" fontId="27" fillId="6" borderId="0" xfId="0" applyFont="1" applyFill="1"/>
    <xf numFmtId="0" fontId="46" fillId="6" borderId="0" xfId="0" applyFont="1" applyFill="1" applyAlignment="1">
      <alignment horizontal="right"/>
    </xf>
    <xf numFmtId="0" fontId="33" fillId="0" borderId="0" xfId="0" applyFont="1" applyAlignment="1">
      <alignment vertical="top"/>
    </xf>
    <xf numFmtId="0" fontId="16" fillId="0" borderId="26" xfId="0" applyFont="1" applyBorder="1"/>
    <xf numFmtId="175" fontId="20" fillId="8" borderId="27" xfId="2" applyNumberFormat="1" applyFont="1" applyFill="1" applyBorder="1" applyAlignment="1" applyProtection="1">
      <alignment horizontal="center"/>
    </xf>
    <xf numFmtId="176" fontId="27" fillId="7" borderId="28" xfId="2" applyNumberFormat="1" applyFont="1" applyFill="1" applyBorder="1" applyAlignment="1" applyProtection="1">
      <alignment horizontal="center"/>
    </xf>
    <xf numFmtId="0" fontId="16" fillId="10" borderId="0" xfId="0" applyFont="1" applyFill="1"/>
    <xf numFmtId="0" fontId="16" fillId="10" borderId="0" xfId="0" applyFont="1" applyFill="1" applyAlignment="1">
      <alignment horizontal="right"/>
    </xf>
    <xf numFmtId="177" fontId="22" fillId="0" borderId="0" xfId="0" applyNumberFormat="1" applyFont="1"/>
    <xf numFmtId="173" fontId="22" fillId="0" borderId="0" xfId="0" applyNumberFormat="1" applyFont="1"/>
    <xf numFmtId="173" fontId="16" fillId="0" borderId="29" xfId="2" applyNumberFormat="1" applyFont="1" applyFill="1" applyBorder="1" applyProtection="1"/>
    <xf numFmtId="177" fontId="16" fillId="0" borderId="0" xfId="0" applyNumberFormat="1" applyFont="1"/>
    <xf numFmtId="173" fontId="22" fillId="10" borderId="0" xfId="2" applyNumberFormat="1" applyFont="1" applyFill="1" applyBorder="1" applyAlignment="1" applyProtection="1">
      <alignment horizontal="right"/>
    </xf>
    <xf numFmtId="0" fontId="16" fillId="0" borderId="0" xfId="0" applyFont="1" applyAlignment="1">
      <alignment horizontal="right"/>
    </xf>
    <xf numFmtId="178" fontId="16" fillId="0" borderId="29" xfId="2" applyNumberFormat="1" applyFont="1" applyFill="1" applyBorder="1" applyProtection="1"/>
    <xf numFmtId="173" fontId="16" fillId="10" borderId="0" xfId="2" applyNumberFormat="1" applyFont="1" applyFill="1" applyAlignment="1" applyProtection="1">
      <alignment horizontal="right"/>
    </xf>
    <xf numFmtId="0" fontId="25" fillId="10" borderId="9" xfId="0" applyFont="1" applyFill="1" applyBorder="1"/>
    <xf numFmtId="173" fontId="25" fillId="0" borderId="11" xfId="2" applyNumberFormat="1" applyFont="1" applyFill="1" applyBorder="1" applyProtection="1"/>
    <xf numFmtId="0" fontId="16" fillId="9" borderId="0" xfId="0" applyFont="1" applyFill="1" applyAlignment="1">
      <alignment horizontal="right"/>
    </xf>
    <xf numFmtId="2" fontId="16" fillId="9" borderId="29" xfId="2" applyNumberFormat="1" applyFont="1" applyFill="1" applyBorder="1" applyProtection="1"/>
    <xf numFmtId="2" fontId="16" fillId="10" borderId="0" xfId="0" applyNumberFormat="1" applyFont="1" applyFill="1" applyAlignment="1">
      <alignment horizontal="right"/>
    </xf>
    <xf numFmtId="0" fontId="25" fillId="8" borderId="0" xfId="0" applyFont="1" applyFill="1"/>
    <xf numFmtId="173" fontId="25" fillId="8" borderId="0" xfId="0" applyNumberFormat="1" applyFont="1" applyFill="1" applyAlignment="1">
      <alignment horizontal="right"/>
    </xf>
    <xf numFmtId="2" fontId="25" fillId="8" borderId="0" xfId="0" applyNumberFormat="1" applyFont="1" applyFill="1" applyAlignment="1">
      <alignment horizontal="right"/>
    </xf>
    <xf numFmtId="0" fontId="49" fillId="0" borderId="0" xfId="0" applyFont="1"/>
    <xf numFmtId="0" fontId="25" fillId="8" borderId="0" xfId="0" applyFont="1" applyFill="1" applyAlignment="1">
      <alignment horizontal="right"/>
    </xf>
    <xf numFmtId="0" fontId="1" fillId="8" borderId="0" xfId="0" applyFont="1" applyFill="1"/>
    <xf numFmtId="0" fontId="25" fillId="10" borderId="0" xfId="0" applyFont="1" applyFill="1"/>
    <xf numFmtId="180" fontId="16" fillId="10" borderId="0" xfId="2" applyNumberFormat="1" applyFont="1" applyFill="1" applyBorder="1" applyProtection="1"/>
    <xf numFmtId="180" fontId="16" fillId="9" borderId="40" xfId="0" applyNumberFormat="1" applyFont="1" applyFill="1" applyBorder="1" applyAlignment="1">
      <alignment horizontal="center"/>
    </xf>
    <xf numFmtId="180" fontId="16" fillId="9" borderId="40" xfId="2" applyNumberFormat="1" applyFont="1" applyFill="1" applyBorder="1" applyProtection="1"/>
    <xf numFmtId="180" fontId="16" fillId="0" borderId="0" xfId="0" applyNumberFormat="1" applyFont="1"/>
    <xf numFmtId="180" fontId="16" fillId="9" borderId="40" xfId="0" applyNumberFormat="1" applyFont="1" applyFill="1" applyBorder="1"/>
    <xf numFmtId="0" fontId="16" fillId="9" borderId="40" xfId="0" applyFont="1" applyFill="1" applyBorder="1"/>
    <xf numFmtId="0" fontId="0" fillId="10" borderId="0" xfId="0" applyFill="1"/>
    <xf numFmtId="0" fontId="0" fillId="9" borderId="40" xfId="0" applyFill="1" applyBorder="1"/>
    <xf numFmtId="0" fontId="0" fillId="0" borderId="0" xfId="0" applyProtection="1">
      <protection hidden="1"/>
    </xf>
    <xf numFmtId="180" fontId="0" fillId="0" borderId="0" xfId="0" applyNumberFormat="1" applyProtection="1">
      <protection hidden="1"/>
    </xf>
    <xf numFmtId="168" fontId="0" fillId="0" borderId="0" xfId="1" applyNumberFormat="1" applyFont="1" applyProtection="1">
      <protection locked="0"/>
    </xf>
    <xf numFmtId="165" fontId="36" fillId="0" borderId="0" xfId="0" applyNumberFormat="1" applyFont="1" applyProtection="1">
      <protection locked="0"/>
    </xf>
    <xf numFmtId="165" fontId="0" fillId="0" borderId="0" xfId="0" applyNumberFormat="1" applyProtection="1">
      <protection locked="0"/>
    </xf>
    <xf numFmtId="165" fontId="1" fillId="4" borderId="0" xfId="0" applyNumberFormat="1" applyFont="1" applyFill="1" applyProtection="1">
      <protection locked="0"/>
    </xf>
    <xf numFmtId="165" fontId="0" fillId="4" borderId="0" xfId="0" applyNumberFormat="1" applyFill="1" applyProtection="1">
      <protection locked="0"/>
    </xf>
    <xf numFmtId="0" fontId="1" fillId="4" borderId="0" xfId="0" applyFont="1" applyFill="1" applyProtection="1">
      <protection locked="0"/>
    </xf>
    <xf numFmtId="0" fontId="27" fillId="7" borderId="3" xfId="2" applyNumberFormat="1" applyFont="1" applyFill="1" applyBorder="1" applyAlignment="1" applyProtection="1">
      <alignment horizontal="center"/>
    </xf>
    <xf numFmtId="0" fontId="3" fillId="7" borderId="0" xfId="3" applyFont="1" applyFill="1" applyAlignment="1">
      <alignment horizontal="center" vertical="center" textRotation="90" wrapText="1"/>
    </xf>
    <xf numFmtId="0" fontId="3" fillId="7" borderId="3" xfId="3" applyFont="1" applyFill="1" applyBorder="1" applyAlignment="1">
      <alignment horizontal="center"/>
    </xf>
    <xf numFmtId="0" fontId="27" fillId="6" borderId="3" xfId="0" quotePrefix="1" applyFont="1" applyFill="1" applyBorder="1" applyAlignment="1">
      <alignment horizontal="center"/>
    </xf>
    <xf numFmtId="0" fontId="27" fillId="6" borderId="3" xfId="0" applyFont="1" applyFill="1" applyBorder="1" applyAlignment="1">
      <alignment horizontal="center"/>
    </xf>
    <xf numFmtId="0" fontId="27" fillId="7" borderId="3" xfId="2" applyNumberFormat="1" applyFont="1" applyFill="1" applyBorder="1" applyAlignment="1" applyProtection="1">
      <alignment horizontal="center"/>
      <protection locked="0"/>
    </xf>
    <xf numFmtId="0" fontId="8" fillId="2" borderId="3" xfId="2" applyNumberFormat="1" applyFont="1" applyFill="1" applyBorder="1" applyAlignment="1" applyProtection="1">
      <alignment horizontal="center"/>
      <protection locked="0"/>
    </xf>
    <xf numFmtId="0" fontId="44" fillId="13" borderId="31" xfId="0" applyFont="1" applyFill="1" applyBorder="1" applyAlignment="1" applyProtection="1">
      <alignment horizontal="center"/>
      <protection locked="0"/>
    </xf>
    <xf numFmtId="0" fontId="25" fillId="2" borderId="3" xfId="2" applyNumberFormat="1" applyFont="1" applyFill="1" applyBorder="1" applyAlignment="1" applyProtection="1">
      <alignment horizontal="center"/>
      <protection locked="0"/>
    </xf>
  </cellXfs>
  <cellStyles count="4">
    <cellStyle name="Comma" xfId="2" builtinId="3"/>
    <cellStyle name="Normal" xfId="0" builtinId="0"/>
    <cellStyle name="Normal 2" xfId="3" xr:uid="{297C488F-6C55-0E43-BB8B-4BCD26099488}"/>
    <cellStyle name="Per 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microsoft.com/office/2017/06/relationships/richStyles" Target="richData/richStyles.xml"/><Relationship Id="rId3" Type="http://schemas.openxmlformats.org/officeDocument/2006/relationships/worksheet" Target="worksheets/sheet3.xml"/><Relationship Id="rId21" Type="http://schemas.microsoft.com/office/2017/06/relationships/rdRichValueTypes" Target="richData/rdRichValueTypes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17/06/relationships/rdArray" Target="richData/rdarray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20" Type="http://schemas.microsoft.com/office/2017/06/relationships/rdSupportingPropertyBag" Target="richData/rdsupporting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06/relationships/rdRichValue" Target="richData/rdrichvalue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17/06/relationships/rdSupportingPropertyBagStructure" Target="richData/rdsupportingpropertybagstructure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Charts!$AT$4</c:f>
          <c:strCache>
            <c:ptCount val="1"/>
            <c:pt idx="0">
              <c:v>Valuation Football Field: Apple Inc.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Charts!$AZ$5</c:f>
              <c:strCache>
                <c:ptCount val="1"/>
                <c:pt idx="0">
                  <c:v>0 to min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BC5EE83-90BB-3A4E-905C-966CFF87F196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2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1486C3C-E88F-7747-B889-F08378A2808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E943F70-487A-6744-B238-10449FA0583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868276A-6D1C-2244-9763-FE5D879E59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AEFEF26-A551-3C41-B695-291528AF3074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4FD06D5-2F93-6442-A60C-21CA7DC9CC8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Charts!$AZ$6:$AZ$11</c:f>
              <c:numCache>
                <c:formatCode>#,##0.00\ "€"</c:formatCode>
                <c:ptCount val="6"/>
                <c:pt idx="0">
                  <c:v>120</c:v>
                </c:pt>
                <c:pt idx="1">
                  <c:v>34.270041046896146</c:v>
                </c:pt>
                <c:pt idx="2">
                  <c:v>5.2317010134954325</c:v>
                </c:pt>
                <c:pt idx="3">
                  <c:v>7.785935495040615</c:v>
                </c:pt>
                <c:pt idx="4">
                  <c:v>9.4542757678391212</c:v>
                </c:pt>
                <c:pt idx="5">
                  <c:v>14.437422142448602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Charts!$AV$6:$AV$11</c15:f>
                <c15:dlblRangeCache>
                  <c:ptCount val="6"/>
                  <c:pt idx="0">
                    <c:v>120,00 €</c:v>
                  </c:pt>
                  <c:pt idx="1">
                    <c:v>34,27 €</c:v>
                  </c:pt>
                  <c:pt idx="2">
                    <c:v>5,23 €</c:v>
                  </c:pt>
                  <c:pt idx="3">
                    <c:v>7,79 €</c:v>
                  </c:pt>
                  <c:pt idx="4">
                    <c:v>9,45 €</c:v>
                  </c:pt>
                  <c:pt idx="5">
                    <c:v>14,44 €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7778-1D4F-B33F-7A58B640387E}"/>
            </c:ext>
          </c:extLst>
        </c:ser>
        <c:ser>
          <c:idx val="1"/>
          <c:order val="1"/>
          <c:tx>
            <c:strRef>
              <c:f>Charts!$BA$5</c:f>
              <c:strCache>
                <c:ptCount val="1"/>
                <c:pt idx="0">
                  <c:v>Min to Avg</c:v>
                </c:pt>
              </c:strCache>
            </c:strRef>
          </c:tx>
          <c:spPr>
            <a:solidFill>
              <a:schemeClr val="tx2">
                <a:lumMod val="25000"/>
                <a:lumOff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39BED50-F01C-FA45-A2FA-DB1FC108CEEE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BDFADC3-16A8-DF42-B4E9-54FE3C157BC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0A94150-B29D-1C4D-8B7D-631DCC07290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E645D1-3C1E-0A40-975D-DC5ADD29AB3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3C01E662-637B-014C-B469-443B3976EDC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0E41390-2FFE-AF4B-8062-B01239D628E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Charts!$BA$6:$BA$11</c:f>
              <c:numCache>
                <c:formatCode>#,##0.00\ "€"</c:formatCode>
                <c:ptCount val="6"/>
                <c:pt idx="0">
                  <c:v>80</c:v>
                </c:pt>
                <c:pt idx="1">
                  <c:v>6.9185403875633114</c:v>
                </c:pt>
                <c:pt idx="2">
                  <c:v>47.253542026061233</c:v>
                </c:pt>
                <c:pt idx="3">
                  <c:v>62.038808352916448</c:v>
                </c:pt>
                <c:pt idx="4">
                  <c:v>19.69996990616696</c:v>
                </c:pt>
                <c:pt idx="5">
                  <c:v>32.196014856976973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Charts!$AW$6:$AW$11</c15:f>
                <c15:dlblRangeCache>
                  <c:ptCount val="6"/>
                  <c:pt idx="0">
                    <c:v>200,00 €</c:v>
                  </c:pt>
                  <c:pt idx="1">
                    <c:v>41,19 €</c:v>
                  </c:pt>
                  <c:pt idx="2">
                    <c:v>52,49 €</c:v>
                  </c:pt>
                  <c:pt idx="3">
                    <c:v>69,82 €</c:v>
                  </c:pt>
                  <c:pt idx="4">
                    <c:v>29,15 €</c:v>
                  </c:pt>
                  <c:pt idx="5">
                    <c:v>46,63 €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7778-1D4F-B33F-7A58B640387E}"/>
            </c:ext>
          </c:extLst>
        </c:ser>
        <c:ser>
          <c:idx val="2"/>
          <c:order val="2"/>
          <c:tx>
            <c:strRef>
              <c:f>Charts!$BB$5</c:f>
              <c:strCache>
                <c:ptCount val="1"/>
                <c:pt idx="0">
                  <c:v>Avg to Max</c:v>
                </c:pt>
              </c:strCache>
            </c:strRef>
          </c:tx>
          <c:spPr>
            <a:solidFill>
              <a:schemeClr val="tx2">
                <a:lumMod val="75000"/>
                <a:lumOff val="2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5EAA72C-F70C-114A-B992-190927B125A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7778-1D4F-B33F-7A58B640387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947AA84-B141-9346-9DDB-5B8C5E3E7249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7778-1D4F-B33F-7A58B640387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28147097-F3C1-1746-9C0D-45E24431928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7778-1D4F-B33F-7A58B640387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7FEC7D6-5734-234A-ABF7-708DBC4291C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7778-1D4F-B33F-7A58B640387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81D3185-AC27-C24D-8194-9EE7FFAAA3E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7778-1D4F-B33F-7A58B640387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092377A-443B-2042-8726-D918B142416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dLblPos val="inEnd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Charts!$AT$6:$AT$11</c:f>
              <c:strCache>
                <c:ptCount val="6"/>
                <c:pt idx="0">
                  <c:v>Equity Market Value</c:v>
                </c:pt>
                <c:pt idx="1">
                  <c:v>DCF</c:v>
                </c:pt>
                <c:pt idx="2">
                  <c:v>EV / Revenue LTM</c:v>
                </c:pt>
                <c:pt idx="3">
                  <c:v>EV / Revenue FY1</c:v>
                </c:pt>
                <c:pt idx="4">
                  <c:v>EV / EBITDA LTM</c:v>
                </c:pt>
                <c:pt idx="5">
                  <c:v>EV / EBITDA FY1</c:v>
                </c:pt>
              </c:strCache>
            </c:strRef>
          </c:cat>
          <c:val>
            <c:numRef>
              <c:f>Charts!$BB$6:$BB$11</c:f>
              <c:numCache>
                <c:formatCode>#,##0.00\ "€"</c:formatCode>
                <c:ptCount val="6"/>
                <c:pt idx="0">
                  <c:v>80</c:v>
                </c:pt>
                <c:pt idx="1">
                  <c:v>10.536913196398785</c:v>
                </c:pt>
                <c:pt idx="2">
                  <c:v>45.195562515145213</c:v>
                </c:pt>
                <c:pt idx="3">
                  <c:v>55.997615372190268</c:v>
                </c:pt>
                <c:pt idx="4">
                  <c:v>34.009297097748316</c:v>
                </c:pt>
                <c:pt idx="5">
                  <c:v>56.738726085273804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Charts!$AX$6:$AX$11</c15:f>
                <c15:dlblRangeCache>
                  <c:ptCount val="6"/>
                  <c:pt idx="0">
                    <c:v>280,00 €</c:v>
                  </c:pt>
                  <c:pt idx="1">
                    <c:v>51,73 €</c:v>
                  </c:pt>
                  <c:pt idx="2">
                    <c:v>97,68 €</c:v>
                  </c:pt>
                  <c:pt idx="3">
                    <c:v>125,82 €</c:v>
                  </c:pt>
                  <c:pt idx="4">
                    <c:v>63,16 €</c:v>
                  </c:pt>
                  <c:pt idx="5">
                    <c:v>103,37 €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5124175"/>
        <c:axId val="1491097231"/>
      </c:barChart>
      <c:scatterChart>
        <c:scatterStyle val="lineMarker"/>
        <c:varyColors val="0"/>
        <c:ser>
          <c:idx val="3"/>
          <c:order val="3"/>
          <c:tx>
            <c:v>Current Price</c:v>
          </c:tx>
          <c:spPr>
            <a:ln w="285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dLbls>
            <c:dLbl>
              <c:idx val="0"/>
              <c:numFmt formatCode="#,##0.0\ &quot;€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200" b="1" i="0" u="none" strike="noStrike" kern="1200" baseline="0">
                      <a:solidFill>
                        <a:schemeClr val="tx1"/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n-E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0-5C6F-B54C-B7C3-BBE1E8481ADF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778-1D4F-B33F-7A58B640387E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778-1D4F-B33F-7A58B640387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E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Charts!$AV$13:$AX$13</c:f>
              <c:numCache>
                <c:formatCode>#,##0.00\ "€"</c:formatCode>
                <c:ptCount val="3"/>
                <c:pt idx="0">
                  <c:v>258.2</c:v>
                </c:pt>
                <c:pt idx="1">
                  <c:v>258.2</c:v>
                </c:pt>
                <c:pt idx="2">
                  <c:v>258.2</c:v>
                </c:pt>
              </c:numCache>
            </c:numRef>
          </c:xVal>
          <c:yVal>
            <c:numRef>
              <c:f>Charts!$AZ$13:$BB$13</c:f>
              <c:numCache>
                <c:formatCode>#,##0.00\ "€"</c:formatCode>
                <c:ptCount val="3"/>
                <c:pt idx="0">
                  <c:v>1000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78-1D4F-B33F-7A58B6403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8954879"/>
        <c:axId val="1568866911"/>
      </c:scatterChart>
      <c:catAx>
        <c:axId val="535124175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1491097231"/>
        <c:crosses val="autoZero"/>
        <c:auto val="1"/>
        <c:lblAlgn val="ctr"/>
        <c:lblOffset val="900"/>
        <c:noMultiLvlLbl val="0"/>
      </c:catAx>
      <c:valAx>
        <c:axId val="1491097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##0\ &quot;$&quot;" sourceLinked="0"/>
        <c:majorTickMark val="none"/>
        <c:minorTickMark val="none"/>
        <c:tickLblPos val="nextTo"/>
        <c:spPr>
          <a:noFill/>
          <a:ln>
            <a:solidFill>
              <a:schemeClr val="bg2">
                <a:lumMod val="9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ES"/>
          </a:p>
        </c:txPr>
        <c:crossAx val="535124175"/>
        <c:crosses val="autoZero"/>
        <c:crossBetween val="between"/>
      </c:valAx>
      <c:valAx>
        <c:axId val="1568866911"/>
        <c:scaling>
          <c:orientation val="minMax"/>
          <c:max val="1000"/>
        </c:scaling>
        <c:delete val="1"/>
        <c:axPos val="r"/>
        <c:numFmt formatCode="#,##0.00\ &quot;€&quot;" sourceLinked="1"/>
        <c:majorTickMark val="out"/>
        <c:minorTickMark val="none"/>
        <c:tickLblPos val="nextTo"/>
        <c:crossAx val="1568954879"/>
        <c:crosses val="max"/>
        <c:crossBetween val="midCat"/>
      </c:valAx>
      <c:valAx>
        <c:axId val="1568954879"/>
        <c:scaling>
          <c:orientation val="minMax"/>
        </c:scaling>
        <c:delete val="1"/>
        <c:axPos val="b"/>
        <c:numFmt formatCode="#,##0.00\ &quot;€&quot;" sourceLinked="1"/>
        <c:majorTickMark val="out"/>
        <c:minorTickMark val="none"/>
        <c:tickLblPos val="nextTo"/>
        <c:crossAx val="156886691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E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6985</xdr:colOff>
      <xdr:row>19</xdr:row>
      <xdr:rowOff>8866</xdr:rowOff>
    </xdr:from>
    <xdr:to>
      <xdr:col>18</xdr:col>
      <xdr:colOff>851142</xdr:colOff>
      <xdr:row>43</xdr:row>
      <xdr:rowOff>131720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2BF68936-558F-E5A8-EB88-05ED416D54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" c="4">
    <v t="i">0</v>
    <v t="i">1</v>
    <v t="i">4</v>
    <v t="i">5</v>
  </a>
  <a r="1" c="4">
    <v>249.79</v>
    <v>254.49</v>
    <v>255.27</v>
    <v>258.2</v>
  </a>
</arrayData>
</file>

<file path=xl/richData/rdrichvalue.xml><?xml version="1.0" encoding="utf-8"?>
<rvData xmlns="http://schemas.microsoft.com/office/spreadsheetml/2017/richdata" count="2">
  <rv s="0">
    <fb>258.2</fb>
    <v>0</v>
  </rv>
  <rv s="1">
    <v>1</v>
    <v>AAPL</v>
    <v>Daily</v>
    <v>45645</v>
    <v>45652</v>
    <v>0</v>
    <v>1</v>
    <v>638705952000000000,638707621266610306,0</v>
    <v>0</v>
    <v>a1mou2</v>
    <v/>
    <v>1</v>
  </rv>
</rvData>
</file>

<file path=xl/richData/rdrichvaluestructure.xml><?xml version="1.0" encoding="utf-8"?>
<rvStructures xmlns="http://schemas.microsoft.com/office/spreadsheetml/2017/richdata" count="2">
  <s t="_formattednumber">
    <k n="_Format" t="sp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2">
    <spb s="0">
      <v>1</v>
    </spb>
    <spb s="1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d/m/yy"/>
    </x:dxf>
    <x:dxf>
      <x:numFmt numFmtId="0" formatCode="General"/>
    </x:dxf>
  </dxfs>
  <richProperties>
    <rPr n="NumberFormat" t="s"/>
  </richProperties>
  <richStyles>
    <rSty dxfid="1">
      <rpv i="0">_([$$-en-US]* #,##0.00_);_([$$-en-US]* (#,##0.00);_([$$-en-US]* "-"??_);_(@_)</rpv>
    </rSty>
    <rSty dxfid="0"/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XFD23"/>
  <sheetViews>
    <sheetView zoomScale="75" workbookViewId="0">
      <selection activeCell="J29" sqref="J29"/>
    </sheetView>
  </sheetViews>
  <sheetFormatPr baseColWidth="10" defaultRowHeight="16"/>
  <cols>
    <col min="2" max="2" width="24" bestFit="1" customWidth="1"/>
    <col min="3" max="3" width="23.7109375" bestFit="1" customWidth="1"/>
    <col min="6" max="6" width="38" bestFit="1" customWidth="1"/>
    <col min="7" max="7" width="13.5703125" bestFit="1" customWidth="1"/>
  </cols>
  <sheetData>
    <row r="2" spans="2:16384" ht="21" thickBot="1">
      <c r="B2" s="38" t="s">
        <v>240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240</v>
      </c>
      <c r="C4" s="135"/>
    </row>
    <row r="5" spans="2:16384">
      <c r="B5" s="136"/>
      <c r="C5" s="35"/>
    </row>
    <row r="6" spans="2:16384">
      <c r="B6" s="141" t="s">
        <v>93</v>
      </c>
      <c r="C6" s="142">
        <f>Average_Growth_Sales</f>
        <v>0.4693951084601678</v>
      </c>
    </row>
    <row r="7" spans="2:16384">
      <c r="B7" s="139"/>
      <c r="C7" s="35"/>
    </row>
    <row r="8" spans="2:16384">
      <c r="B8" s="139" t="s">
        <v>86</v>
      </c>
      <c r="C8" s="129">
        <f>Average_Gross_Margin</f>
        <v>0.72014242893006786</v>
      </c>
    </row>
    <row r="9" spans="2:16384">
      <c r="B9" s="139" t="s">
        <v>94</v>
      </c>
      <c r="C9" s="129">
        <f>Growth_Sales</f>
        <v>0.4693951084601678</v>
      </c>
    </row>
    <row r="10" spans="2:16384">
      <c r="B10" s="139" t="s">
        <v>96</v>
      </c>
      <c r="C10" s="131">
        <v>0.02</v>
      </c>
    </row>
    <row r="11" spans="2:16384">
      <c r="B11" s="139"/>
      <c r="C11" s="35"/>
    </row>
    <row r="12" spans="2:16384">
      <c r="B12" s="139" t="s">
        <v>118</v>
      </c>
      <c r="C12" s="131">
        <v>0.03</v>
      </c>
    </row>
    <row r="13" spans="2:16384">
      <c r="B13" s="139" t="s">
        <v>119</v>
      </c>
      <c r="C13" s="131">
        <v>0.02</v>
      </c>
    </row>
    <row r="14" spans="2:16384">
      <c r="B14" s="139"/>
      <c r="C14" s="35"/>
    </row>
    <row r="15" spans="2:16384">
      <c r="B15" s="139" t="s">
        <v>241</v>
      </c>
      <c r="C15" s="132">
        <v>1.4999999999999999E-2</v>
      </c>
    </row>
    <row r="16" spans="2:16384">
      <c r="B16" s="139"/>
      <c r="C16" s="35"/>
    </row>
    <row r="17" spans="2:3">
      <c r="B17" s="139" t="s">
        <v>95</v>
      </c>
      <c r="C17" s="131">
        <f>30%</f>
        <v>0.3</v>
      </c>
    </row>
    <row r="18" spans="2:3">
      <c r="B18" s="139" t="s">
        <v>242</v>
      </c>
      <c r="C18" s="129">
        <f>ABS(Latest_Interest/Total_Debt_FY_minu1)</f>
        <v>2.7139874739039668E-2</v>
      </c>
    </row>
    <row r="19" spans="2:3">
      <c r="B19" s="139"/>
      <c r="C19" s="35"/>
    </row>
    <row r="20" spans="2:3">
      <c r="B20" s="139" t="s">
        <v>245</v>
      </c>
      <c r="C20" s="133">
        <f>Average_Inventory_Turnover</f>
        <v>5.4574954602297057</v>
      </c>
    </row>
    <row r="21" spans="2:3">
      <c r="B21" s="139" t="s">
        <v>243</v>
      </c>
      <c r="C21" s="133">
        <f>Average_Receivables_Turnover</f>
        <v>26.392398910547467</v>
      </c>
    </row>
    <row r="22" spans="2:3">
      <c r="B22" s="140" t="s">
        <v>244</v>
      </c>
      <c r="C22" s="138">
        <f>Average_Payable_Turnover</f>
        <v>4.2024952811418705</v>
      </c>
    </row>
    <row r="23" spans="2:3">
      <c r="C23" s="5"/>
    </row>
  </sheetData>
  <dataValidations count="7">
    <dataValidation type="custom" errorStyle="warning" allowBlank="1" showInputMessage="1" showErrorMessage="1" errorTitle="Interest rate is 0% or lower" error="The interest rate is 0% or lower. Note that this can lead to unexpected behavior in the DCF." sqref="F22" xr:uid="{9ABC4E6A-D4D3-FB45-BC5A-E08F49F49931}">
      <formula1>C18&gt;0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E25" xr:uid="{F49FAA67-6921-B741-A8FA-7A8B6C74ADFE}">
      <formula1>C18&lt;0</formula1>
    </dataValidation>
    <dataValidation type="custom" errorStyle="warning" allowBlank="1" showInputMessage="1" showErrorMessage="1" errorTitle="Low interest rate" error="The interest rate is 0% or lower. Note that this can lead to unexpected behavior in the DCF." sqref="C18" xr:uid="{974884FC-E1AB-A84E-83DB-C6576FC432F4}">
      <formula1>$C$18&gt;0</formula1>
    </dataValidation>
    <dataValidation type="custom" errorStyle="warning" allowBlank="1" showInputMessage="1" showErrorMessage="1" errorTitle="Low tax rate" error="The tax rate is 0% or lower. Note that this can lead to unexpected behavior in the DCF" sqref="C17" xr:uid="{52C25F15-2CFA-D744-8130-E9C7202DCDC4}">
      <formula1>$C$17&gt;0</formula1>
    </dataValidation>
    <dataValidation type="custom" errorStyle="warning" allowBlank="1" showInputMessage="1" showErrorMessage="1" errorTitle="High perpetuity growth" error="The perpetuity growth is above 3%. Assuming a yearly GDP growth of 3%, this is unrealistic. The company would eventually become bigger than the entire economy." sqref="C15" xr:uid="{B76FCBEC-53CB-AF40-9E1C-73442E02CA1B}">
      <formula1>$C$15&lt;0.03</formula1>
    </dataValidation>
    <dataValidation type="custom" allowBlank="1" showInputMessage="1" showErrorMessage="1" errorTitle="Negative COGS/Revenue" error="The Gross margin is negative (COGS will be recorded as an income). This is not possible." sqref="C8" xr:uid="{3D3C1DED-6FA8-5C41-9795-3233E26D1E46}">
      <formula1>$C$8&gt;0</formula1>
    </dataValidation>
    <dataValidation type="custom" errorStyle="warning" allowBlank="1" showInputMessage="1" showErrorMessage="1" errorTitle="Negative Turnover" error="Turnover cant be negative" sqref="C20:C22" xr:uid="{A8576CDB-BB4E-A14D-ACD7-B70A4A633958}">
      <formula1>C20&gt;0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XFD106"/>
  <sheetViews>
    <sheetView topLeftCell="A55" zoomScale="64" workbookViewId="0">
      <selection activeCell="J84" sqref="J84"/>
    </sheetView>
  </sheetViews>
  <sheetFormatPr baseColWidth="10" defaultRowHeight="16" outlineLevelRow="1"/>
  <cols>
    <col min="2" max="2" width="54" bestFit="1" customWidth="1"/>
    <col min="3" max="3" width="15" bestFit="1" customWidth="1"/>
    <col min="4" max="4" width="10.85546875" bestFit="1" customWidth="1"/>
    <col min="5" max="5" width="11.5703125" bestFit="1" customWidth="1"/>
    <col min="6" max="7" width="10.85546875" bestFit="1" customWidth="1"/>
    <col min="8" max="8" width="24.28515625" bestFit="1" customWidth="1"/>
    <col min="9" max="9" width="14" bestFit="1" customWidth="1"/>
    <col min="10" max="14" width="10.85546875" bestFit="1" customWidth="1"/>
    <col min="17" max="17" width="10.85546875" bestFit="1" customWidth="1"/>
  </cols>
  <sheetData>
    <row r="2" spans="1:15" s="37" customFormat="1" ht="21" outlineLevel="1" thickBot="1">
      <c r="A2"/>
      <c r="B2" s="38" t="s">
        <v>162</v>
      </c>
    </row>
    <row r="3" spans="1:15" ht="17" thickTop="1"/>
    <row r="4" spans="1:15" s="42" customFormat="1">
      <c r="A4"/>
      <c r="B4" s="154" t="s">
        <v>162</v>
      </c>
      <c r="C4" s="154"/>
      <c r="D4" s="155"/>
      <c r="E4" s="156"/>
      <c r="F4" s="157" t="s">
        <v>149</v>
      </c>
      <c r="G4" s="158"/>
      <c r="H4" s="157"/>
      <c r="I4" s="157"/>
      <c r="J4" s="157"/>
      <c r="K4" s="157"/>
      <c r="L4" s="157"/>
      <c r="M4" s="157"/>
      <c r="N4" s="157"/>
      <c r="O4" s="157"/>
    </row>
    <row r="5" spans="1:15" s="41" customFormat="1">
      <c r="A5"/>
      <c r="B5" s="159" t="s">
        <v>150</v>
      </c>
      <c r="C5" s="160" t="s">
        <v>151</v>
      </c>
      <c r="D5" s="161">
        <f>Start_Year</f>
        <v>2023</v>
      </c>
      <c r="E5" s="162">
        <f>Start_Year</f>
        <v>2023</v>
      </c>
      <c r="F5" s="163">
        <f t="shared" ref="F5:O5" si="0">IF(COLUMN()-COLUMN($E$5)&lt;=Years_Forecasted, E5+1, "")</f>
        <v>2024</v>
      </c>
      <c r="G5" s="164">
        <f t="shared" si="0"/>
        <v>2025</v>
      </c>
      <c r="H5" s="164">
        <f t="shared" si="0"/>
        <v>2026</v>
      </c>
      <c r="I5" s="164" t="str">
        <f t="shared" si="0"/>
        <v/>
      </c>
      <c r="J5" s="164" t="str">
        <f t="shared" si="0"/>
        <v/>
      </c>
      <c r="K5" s="164" t="str">
        <f t="shared" si="0"/>
        <v/>
      </c>
      <c r="L5" s="164" t="str">
        <f t="shared" si="0"/>
        <v/>
      </c>
      <c r="M5" s="164" t="str">
        <f t="shared" si="0"/>
        <v/>
      </c>
      <c r="N5" s="164" t="str">
        <f t="shared" si="0"/>
        <v/>
      </c>
      <c r="O5" s="164" t="str">
        <f t="shared" si="0"/>
        <v/>
      </c>
    </row>
    <row r="6" spans="1:15">
      <c r="B6" t="s">
        <v>44</v>
      </c>
      <c r="C6" s="165" t="s">
        <v>163</v>
      </c>
      <c r="D6" s="166">
        <f>'Income Statement Historic'!D6</f>
        <v>81462</v>
      </c>
      <c r="E6" s="167">
        <f>'Income Statement Historic'!C6</f>
        <v>96773</v>
      </c>
      <c r="F6" s="6">
        <f t="shared" ref="F6:O6" si="1">IF(F5="","",E6*(1+F29))</f>
        <v>142197.77283101581</v>
      </c>
      <c r="G6" s="6">
        <f t="shared" si="1"/>
        <v>208944.71183182477</v>
      </c>
      <c r="H6" s="6">
        <f>IF(H5="","",G6*(1+H29))</f>
        <v>307022.33750430268</v>
      </c>
      <c r="I6" s="6" t="str">
        <f t="shared" si="1"/>
        <v/>
      </c>
      <c r="J6" s="6" t="str">
        <f t="shared" si="1"/>
        <v/>
      </c>
      <c r="K6" s="6" t="str">
        <f t="shared" si="1"/>
        <v/>
      </c>
      <c r="L6" s="6" t="str">
        <f t="shared" si="1"/>
        <v/>
      </c>
      <c r="M6" s="6" t="str">
        <f t="shared" si="1"/>
        <v/>
      </c>
      <c r="N6" s="6" t="str">
        <f t="shared" si="1"/>
        <v/>
      </c>
      <c r="O6" s="6" t="str">
        <f t="shared" si="1"/>
        <v/>
      </c>
    </row>
    <row r="7" spans="1:15">
      <c r="B7" t="s">
        <v>45</v>
      </c>
      <c r="C7" s="168" t="s">
        <v>163</v>
      </c>
      <c r="D7" s="169">
        <f>'Income Statement Historic'!D7</f>
        <v>56862</v>
      </c>
      <c r="E7" s="170">
        <f>'Income Statement Historic'!C7</f>
        <v>74446</v>
      </c>
      <c r="F7" s="171">
        <f>IF(F5="","",F6*F30)</f>
        <v>102402.64951497375</v>
      </c>
      <c r="G7" s="171">
        <f t="shared" ref="G7:O7" si="2">IF(G5="","",G6*Gross_Margin)</f>
        <v>150469.95229066338</v>
      </c>
      <c r="H7" s="171">
        <f t="shared" si="2"/>
        <v>221099.8118661356</v>
      </c>
      <c r="I7" s="171" t="str">
        <f t="shared" si="2"/>
        <v/>
      </c>
      <c r="J7" s="171" t="str">
        <f t="shared" si="2"/>
        <v/>
      </c>
      <c r="K7" s="171" t="str">
        <f t="shared" si="2"/>
        <v/>
      </c>
      <c r="L7" s="171" t="str">
        <f t="shared" si="2"/>
        <v/>
      </c>
      <c r="M7" s="171" t="str">
        <f t="shared" si="2"/>
        <v/>
      </c>
      <c r="N7" s="171" t="str">
        <f t="shared" si="2"/>
        <v/>
      </c>
      <c r="O7" s="171" t="str">
        <f t="shared" si="2"/>
        <v/>
      </c>
    </row>
    <row r="8" spans="1:15" outlineLevel="1">
      <c r="B8" s="172" t="s">
        <v>164</v>
      </c>
      <c r="C8" s="173" t="s">
        <v>163</v>
      </c>
      <c r="D8" s="174">
        <f>IF(D6="","",D6-D7)</f>
        <v>24600</v>
      </c>
      <c r="E8" s="175">
        <f>IF(E6="","",E6-E7)</f>
        <v>22327</v>
      </c>
      <c r="F8" s="174">
        <f t="shared" ref="F8:O8" si="3">IF(F6="","",F6-F7)</f>
        <v>39795.123316042067</v>
      </c>
      <c r="G8" s="174">
        <f t="shared" si="3"/>
        <v>58474.759541161387</v>
      </c>
      <c r="H8" s="174">
        <f t="shared" si="3"/>
        <v>85922.525638167077</v>
      </c>
      <c r="I8" s="174" t="str">
        <f t="shared" si="3"/>
        <v/>
      </c>
      <c r="J8" s="174" t="str">
        <f t="shared" si="3"/>
        <v/>
      </c>
      <c r="K8" s="174" t="str">
        <f t="shared" si="3"/>
        <v/>
      </c>
      <c r="L8" s="174" t="str">
        <f t="shared" si="3"/>
        <v/>
      </c>
      <c r="M8" s="174" t="str">
        <f t="shared" si="3"/>
        <v/>
      </c>
      <c r="N8" s="174" t="str">
        <f t="shared" si="3"/>
        <v/>
      </c>
      <c r="O8" s="174" t="str">
        <f t="shared" si="3"/>
        <v/>
      </c>
    </row>
    <row r="9" spans="1:15" outlineLevel="1">
      <c r="B9" s="1"/>
      <c r="C9" s="173"/>
      <c r="D9" s="174"/>
      <c r="E9" s="175"/>
      <c r="F9" s="174"/>
      <c r="G9" s="174"/>
      <c r="H9" s="174"/>
      <c r="I9" s="174"/>
      <c r="J9" s="174"/>
      <c r="K9" s="174"/>
      <c r="L9" s="174"/>
      <c r="M9" s="174"/>
      <c r="N9" s="174"/>
      <c r="O9" s="174"/>
    </row>
    <row r="10" spans="1:15">
      <c r="B10" s="176" t="s">
        <v>47</v>
      </c>
      <c r="C10" s="168" t="s">
        <v>163</v>
      </c>
      <c r="D10" s="169">
        <f>'Income Statement Historic'!D9</f>
        <v>7021</v>
      </c>
      <c r="E10" s="170">
        <f>'Income Statement Historic'!C9</f>
        <v>8769</v>
      </c>
      <c r="F10" s="171">
        <f>IF(F5="","",E10*(1+F31))</f>
        <v>12885.12570608721</v>
      </c>
      <c r="G10" s="171">
        <f t="shared" ref="G10:H10" si="4">IF(G5="","",F10*(1+Growth_SGA))</f>
        <v>18933.340684418912</v>
      </c>
      <c r="H10" s="171">
        <f t="shared" si="4"/>
        <v>27820.558188495033</v>
      </c>
      <c r="I10" s="171" t="str">
        <f t="shared" ref="I10:O10" si="5">IF(I5="","",H10*(1+Growth_SGA))</f>
        <v/>
      </c>
      <c r="J10" s="171" t="str">
        <f t="shared" si="5"/>
        <v/>
      </c>
      <c r="K10" s="171" t="str">
        <f t="shared" si="5"/>
        <v/>
      </c>
      <c r="L10" s="171" t="str">
        <f t="shared" si="5"/>
        <v/>
      </c>
      <c r="M10" s="171" t="str">
        <f t="shared" si="5"/>
        <v/>
      </c>
      <c r="N10" s="171" t="str">
        <f t="shared" si="5"/>
        <v/>
      </c>
      <c r="O10" s="171" t="str">
        <f t="shared" si="5"/>
        <v/>
      </c>
    </row>
    <row r="11" spans="1:15">
      <c r="B11" s="1" t="s">
        <v>49</v>
      </c>
      <c r="C11" s="173" t="s">
        <v>163</v>
      </c>
      <c r="D11" s="174">
        <f>IF(D8="","",D8-D10)</f>
        <v>17579</v>
      </c>
      <c r="E11" s="175">
        <f t="shared" ref="E11:O11" si="6">IF(E8="","",E8-E10)</f>
        <v>13558</v>
      </c>
      <c r="F11" s="174">
        <f t="shared" si="6"/>
        <v>26909.997609954858</v>
      </c>
      <c r="G11" s="174">
        <f t="shared" si="6"/>
        <v>39541.418856742472</v>
      </c>
      <c r="H11" s="174">
        <f t="shared" si="6"/>
        <v>58101.96744967204</v>
      </c>
      <c r="I11" s="174" t="str">
        <f t="shared" si="6"/>
        <v/>
      </c>
      <c r="J11" s="174" t="str">
        <f t="shared" si="6"/>
        <v/>
      </c>
      <c r="K11" s="174" t="str">
        <f t="shared" si="6"/>
        <v/>
      </c>
      <c r="L11" s="174" t="str">
        <f t="shared" si="6"/>
        <v/>
      </c>
      <c r="M11" s="174" t="str">
        <f t="shared" si="6"/>
        <v/>
      </c>
      <c r="N11" s="174" t="str">
        <f t="shared" si="6"/>
        <v/>
      </c>
      <c r="O11" s="174" t="str">
        <f t="shared" si="6"/>
        <v/>
      </c>
    </row>
    <row r="12" spans="1:15">
      <c r="C12" s="165"/>
      <c r="D12" s="166"/>
      <c r="E12" s="167"/>
      <c r="F12" s="6"/>
      <c r="G12" s="6"/>
      <c r="H12" s="6"/>
      <c r="I12" s="6"/>
      <c r="J12" s="6"/>
      <c r="K12" s="6"/>
      <c r="L12" s="6"/>
      <c r="M12" s="6"/>
      <c r="N12" s="6"/>
      <c r="O12" s="6"/>
    </row>
    <row r="13" spans="1:15">
      <c r="B13" t="s">
        <v>50</v>
      </c>
      <c r="C13" s="165" t="s">
        <v>163</v>
      </c>
      <c r="D13" s="166">
        <f>'Income Statement Historic'!D12</f>
        <v>114</v>
      </c>
      <c r="E13" s="167">
        <f>'Income Statement Historic'!C12</f>
        <v>1238</v>
      </c>
      <c r="F13" s="6">
        <f>IF(F5="","",E13*(1+F33))</f>
        <v>1262.76</v>
      </c>
      <c r="G13" s="6">
        <f t="shared" ref="G13:O13" si="7">IF(G5="","",F13*(1+Growth_Non_Operating))</f>
        <v>1288.0152</v>
      </c>
      <c r="H13" s="6">
        <f t="shared" si="7"/>
        <v>1313.7755040000002</v>
      </c>
      <c r="I13" s="6" t="str">
        <f t="shared" si="7"/>
        <v/>
      </c>
      <c r="J13" s="6" t="str">
        <f t="shared" si="7"/>
        <v/>
      </c>
      <c r="K13" s="6" t="str">
        <f t="shared" si="7"/>
        <v/>
      </c>
      <c r="L13" s="6" t="str">
        <f t="shared" si="7"/>
        <v/>
      </c>
      <c r="M13" s="6" t="str">
        <f t="shared" si="7"/>
        <v/>
      </c>
      <c r="N13" s="6" t="str">
        <f t="shared" si="7"/>
        <v/>
      </c>
      <c r="O13" s="6" t="str">
        <f t="shared" si="7"/>
        <v/>
      </c>
    </row>
    <row r="14" spans="1:15">
      <c r="B14" s="176" t="s">
        <v>51</v>
      </c>
      <c r="C14" s="168" t="s">
        <v>163</v>
      </c>
      <c r="D14" s="169">
        <f>'Income Statement Historic'!D13</f>
        <v>-36</v>
      </c>
      <c r="E14" s="170">
        <f>'Income Statement Historic'!C13</f>
        <v>0</v>
      </c>
      <c r="F14" s="171">
        <f t="shared" ref="F14:O14" si="8">IF(F5="","",0)</f>
        <v>0</v>
      </c>
      <c r="G14" s="171">
        <f t="shared" si="8"/>
        <v>0</v>
      </c>
      <c r="H14" s="171">
        <f t="shared" si="8"/>
        <v>0</v>
      </c>
      <c r="I14" s="171" t="str">
        <f t="shared" si="8"/>
        <v/>
      </c>
      <c r="J14" s="171" t="str">
        <f t="shared" si="8"/>
        <v/>
      </c>
      <c r="K14" s="171" t="str">
        <f t="shared" si="8"/>
        <v/>
      </c>
      <c r="L14" s="171" t="str">
        <f t="shared" si="8"/>
        <v/>
      </c>
      <c r="M14" s="171" t="str">
        <f t="shared" si="8"/>
        <v/>
      </c>
      <c r="N14" s="171" t="str">
        <f t="shared" si="8"/>
        <v/>
      </c>
      <c r="O14" s="171" t="str">
        <f t="shared" si="8"/>
        <v/>
      </c>
    </row>
    <row r="15" spans="1:15">
      <c r="B15" s="1" t="s">
        <v>192</v>
      </c>
      <c r="C15" s="165" t="s">
        <v>163</v>
      </c>
      <c r="D15" s="177">
        <f>IF(D5&lt;&gt;"",SUM(D11:D14),"")</f>
        <v>17657</v>
      </c>
      <c r="E15" s="178">
        <f t="shared" ref="E15:O15" si="9">IF(E5&lt;&gt;"",SUM(E11:E14),"")</f>
        <v>14796</v>
      </c>
      <c r="F15" s="177">
        <f t="shared" si="9"/>
        <v>28172.757609954857</v>
      </c>
      <c r="G15" s="177">
        <f t="shared" si="9"/>
        <v>40829.434056742473</v>
      </c>
      <c r="H15" s="177">
        <f t="shared" si="9"/>
        <v>59415.742953672037</v>
      </c>
      <c r="I15" s="177" t="str">
        <f t="shared" si="9"/>
        <v/>
      </c>
      <c r="J15" s="177" t="str">
        <f t="shared" si="9"/>
        <v/>
      </c>
      <c r="K15" s="177" t="str">
        <f t="shared" si="9"/>
        <v/>
      </c>
      <c r="L15" s="177" t="str">
        <f t="shared" si="9"/>
        <v/>
      </c>
      <c r="M15" s="177" t="str">
        <f t="shared" si="9"/>
        <v/>
      </c>
      <c r="N15" s="177" t="str">
        <f t="shared" si="9"/>
        <v/>
      </c>
      <c r="O15" s="177" t="str">
        <f t="shared" si="9"/>
        <v/>
      </c>
    </row>
    <row r="16" spans="1:15">
      <c r="D16" s="6"/>
      <c r="E16" s="65"/>
      <c r="F16" s="6"/>
      <c r="G16" s="6"/>
      <c r="H16" s="6"/>
      <c r="I16" s="6"/>
      <c r="J16" s="6"/>
      <c r="K16" s="6"/>
      <c r="L16" s="6"/>
      <c r="M16" s="6"/>
      <c r="N16" s="6"/>
      <c r="O16" s="6"/>
    </row>
    <row r="17" spans="1:15">
      <c r="B17" s="176" t="s">
        <v>48</v>
      </c>
      <c r="C17" s="168" t="s">
        <v>163</v>
      </c>
      <c r="D17" s="169">
        <f t="shared" ref="D17:O17" ca="1" si="10">D32</f>
        <v>3747</v>
      </c>
      <c r="E17" s="170">
        <f t="shared" ca="1" si="10"/>
        <v>4667</v>
      </c>
      <c r="F17" s="169">
        <f t="shared" ca="1" si="10"/>
        <v>5632.9396725001388</v>
      </c>
      <c r="G17" s="169">
        <f t="shared" ca="1" si="10"/>
        <v>6627.8575351752816</v>
      </c>
      <c r="H17" s="169">
        <f t="shared" ca="1" si="10"/>
        <v>7652.6229337306795</v>
      </c>
      <c r="I17" s="169" t="str">
        <f t="shared" si="10"/>
        <v/>
      </c>
      <c r="J17" s="169" t="str">
        <f t="shared" si="10"/>
        <v/>
      </c>
      <c r="K17" s="169" t="str">
        <f>K32</f>
        <v/>
      </c>
      <c r="L17" s="169" t="str">
        <f t="shared" si="10"/>
        <v/>
      </c>
      <c r="M17" s="169" t="str">
        <f t="shared" si="10"/>
        <v/>
      </c>
      <c r="N17" s="169" t="str">
        <f t="shared" si="10"/>
        <v/>
      </c>
      <c r="O17" s="169" t="str">
        <f t="shared" si="10"/>
        <v/>
      </c>
    </row>
    <row r="18" spans="1:15">
      <c r="B18" s="1" t="s">
        <v>1</v>
      </c>
      <c r="C18" s="173" t="s">
        <v>163</v>
      </c>
      <c r="D18" s="174">
        <f ca="1">IF(D11="","",D15-D17)</f>
        <v>13910</v>
      </c>
      <c r="E18" s="175">
        <f t="shared" ref="E18:O18" ca="1" si="11">IF(E11="","",E15-E17)</f>
        <v>10129</v>
      </c>
      <c r="F18" s="174">
        <f t="shared" ca="1" si="11"/>
        <v>22539.817937454718</v>
      </c>
      <c r="G18" s="174">
        <f t="shared" ca="1" si="11"/>
        <v>34201.576521567193</v>
      </c>
      <c r="H18" s="174">
        <f t="shared" ca="1" si="11"/>
        <v>51763.120019941358</v>
      </c>
      <c r="I18" s="174" t="str">
        <f t="shared" si="11"/>
        <v/>
      </c>
      <c r="J18" s="174" t="str">
        <f t="shared" si="11"/>
        <v/>
      </c>
      <c r="K18" s="174" t="str">
        <f t="shared" si="11"/>
        <v/>
      </c>
      <c r="L18" s="174" t="str">
        <f t="shared" si="11"/>
        <v/>
      </c>
      <c r="M18" s="174" t="str">
        <f t="shared" si="11"/>
        <v/>
      </c>
      <c r="N18" s="174" t="str">
        <f t="shared" si="11"/>
        <v/>
      </c>
      <c r="O18" s="174" t="str">
        <f t="shared" si="11"/>
        <v/>
      </c>
    </row>
    <row r="19" spans="1:15">
      <c r="B19" s="1"/>
      <c r="C19" s="173"/>
      <c r="D19" s="174"/>
      <c r="E19" s="175"/>
      <c r="F19" s="174"/>
      <c r="G19" s="174"/>
      <c r="H19" s="174"/>
      <c r="I19" s="174"/>
      <c r="J19" s="174"/>
      <c r="K19" s="174"/>
      <c r="L19" s="174"/>
      <c r="M19" s="174"/>
      <c r="N19" s="174"/>
      <c r="O19" s="174"/>
    </row>
    <row r="20" spans="1:15">
      <c r="B20" s="176" t="s">
        <v>52</v>
      </c>
      <c r="C20" s="168" t="s">
        <v>163</v>
      </c>
      <c r="D20" s="169">
        <f>'Income Statement Historic'!D15</f>
        <v>-191</v>
      </c>
      <c r="E20" s="170">
        <f>'Income Statement Historic'!C15</f>
        <v>-156</v>
      </c>
      <c r="F20" s="171">
        <f t="shared" ref="F20:O20" si="12">IF(F5="","",-Total_Debt_FY0*F35)</f>
        <v>-259.81002087682674</v>
      </c>
      <c r="G20" s="171">
        <f t="shared" si="12"/>
        <v>-259.81002087682674</v>
      </c>
      <c r="H20" s="171">
        <f t="shared" si="12"/>
        <v>-259.81002087682674</v>
      </c>
      <c r="I20" s="171" t="str">
        <f t="shared" si="12"/>
        <v/>
      </c>
      <c r="J20" s="171" t="str">
        <f t="shared" si="12"/>
        <v/>
      </c>
      <c r="K20" s="171" t="str">
        <f t="shared" si="12"/>
        <v/>
      </c>
      <c r="L20" s="171" t="str">
        <f t="shared" si="12"/>
        <v/>
      </c>
      <c r="M20" s="171" t="str">
        <f t="shared" si="12"/>
        <v/>
      </c>
      <c r="N20" s="171" t="str">
        <f t="shared" si="12"/>
        <v/>
      </c>
      <c r="O20" s="171" t="str">
        <f t="shared" si="12"/>
        <v/>
      </c>
    </row>
    <row r="21" spans="1:15">
      <c r="B21" s="1" t="s">
        <v>53</v>
      </c>
      <c r="C21" s="173" t="s">
        <v>163</v>
      </c>
      <c r="D21" s="174">
        <f ca="1">IF(D18="","",SUM(D18:D20))</f>
        <v>13719</v>
      </c>
      <c r="E21" s="175">
        <f t="shared" ref="E21:O21" ca="1" si="13">IF(E18="","",SUM(E18:E20))</f>
        <v>9973</v>
      </c>
      <c r="F21" s="174">
        <f t="shared" ca="1" si="13"/>
        <v>22280.007916577892</v>
      </c>
      <c r="G21" s="174">
        <f t="shared" ca="1" si="13"/>
        <v>33941.766500690363</v>
      </c>
      <c r="H21" s="174">
        <f t="shared" ca="1" si="13"/>
        <v>51503.309999064528</v>
      </c>
      <c r="I21" s="174" t="str">
        <f t="shared" si="13"/>
        <v/>
      </c>
      <c r="J21" s="174" t="str">
        <f t="shared" si="13"/>
        <v/>
      </c>
      <c r="K21" s="174" t="str">
        <f t="shared" si="13"/>
        <v/>
      </c>
      <c r="L21" s="174" t="str">
        <f t="shared" si="13"/>
        <v/>
      </c>
      <c r="M21" s="174" t="str">
        <f t="shared" si="13"/>
        <v/>
      </c>
      <c r="N21" s="174" t="str">
        <f t="shared" si="13"/>
        <v/>
      </c>
      <c r="O21" s="174" t="str">
        <f t="shared" si="13"/>
        <v/>
      </c>
    </row>
    <row r="22" spans="1:15">
      <c r="B22" s="1"/>
      <c r="C22" s="173"/>
      <c r="D22" s="174"/>
      <c r="E22" s="175"/>
      <c r="F22" s="174"/>
      <c r="G22" s="174"/>
      <c r="H22" s="174"/>
      <c r="I22" s="174"/>
      <c r="J22" s="174"/>
      <c r="K22" s="174"/>
      <c r="L22" s="174"/>
      <c r="M22" s="174"/>
      <c r="N22" s="174"/>
      <c r="O22" s="174"/>
    </row>
    <row r="23" spans="1:15">
      <c r="B23" t="s">
        <v>54</v>
      </c>
      <c r="C23" s="165" t="s">
        <v>163</v>
      </c>
      <c r="D23" s="166">
        <f>-'Income Statement Historic'!D17</f>
        <v>-1132</v>
      </c>
      <c r="E23" s="167">
        <f>-'Income Statement Historic'!C17</f>
        <v>5001</v>
      </c>
      <c r="F23" s="6">
        <f t="shared" ref="F23:O23" ca="1" si="14">IF(F5="","",-F21*Tax_Rate)</f>
        <v>-6684.0023749733673</v>
      </c>
      <c r="G23" s="6">
        <f t="shared" ca="1" si="14"/>
        <v>-10182.529950207108</v>
      </c>
      <c r="H23" s="6">
        <f t="shared" ca="1" si="14"/>
        <v>-15450.992999719358</v>
      </c>
      <c r="I23" s="6" t="str">
        <f t="shared" si="14"/>
        <v/>
      </c>
      <c r="J23" s="6" t="str">
        <f t="shared" si="14"/>
        <v/>
      </c>
      <c r="K23" s="6" t="str">
        <f t="shared" si="14"/>
        <v/>
      </c>
      <c r="L23" s="6" t="str">
        <f t="shared" si="14"/>
        <v/>
      </c>
      <c r="M23" s="6" t="str">
        <f t="shared" si="14"/>
        <v/>
      </c>
      <c r="N23" s="6" t="str">
        <f t="shared" si="14"/>
        <v/>
      </c>
      <c r="O23" s="6" t="str">
        <f t="shared" si="14"/>
        <v/>
      </c>
    </row>
    <row r="24" spans="1:15" ht="17" thickBot="1">
      <c r="B24" s="39" t="s">
        <v>55</v>
      </c>
      <c r="C24" s="179" t="s">
        <v>163</v>
      </c>
      <c r="D24" s="180">
        <f ca="1">IF(D21="","",SUM(D21:D23))</f>
        <v>12587</v>
      </c>
      <c r="E24" s="181">
        <f t="shared" ref="E24:O24" ca="1" si="15">IF(E21="","",SUM(E21:E23))</f>
        <v>14974</v>
      </c>
      <c r="F24" s="180">
        <f t="shared" ca="1" si="15"/>
        <v>15596.005541604525</v>
      </c>
      <c r="G24" s="180">
        <f t="shared" ca="1" si="15"/>
        <v>23759.236550483256</v>
      </c>
      <c r="H24" s="180">
        <f t="shared" ca="1" si="15"/>
        <v>36052.316999345174</v>
      </c>
      <c r="I24" s="180" t="str">
        <f t="shared" si="15"/>
        <v/>
      </c>
      <c r="J24" s="180" t="str">
        <f t="shared" si="15"/>
        <v/>
      </c>
      <c r="K24" s="180" t="str">
        <f t="shared" si="15"/>
        <v/>
      </c>
      <c r="L24" s="180" t="str">
        <f t="shared" si="15"/>
        <v/>
      </c>
      <c r="M24" s="180" t="str">
        <f t="shared" si="15"/>
        <v/>
      </c>
      <c r="N24" s="180" t="str">
        <f t="shared" si="15"/>
        <v/>
      </c>
      <c r="O24" s="180" t="str">
        <f t="shared" si="15"/>
        <v/>
      </c>
    </row>
    <row r="25" spans="1:15" ht="17" thickTop="1">
      <c r="E25" s="35"/>
    </row>
    <row r="26" spans="1:15">
      <c r="E26" s="35"/>
    </row>
    <row r="27" spans="1:15">
      <c r="B27" s="52" t="s">
        <v>165</v>
      </c>
      <c r="C27" s="63" t="s">
        <v>151</v>
      </c>
      <c r="D27" s="25"/>
      <c r="E27" s="34"/>
      <c r="F27" s="25"/>
      <c r="G27" s="25"/>
      <c r="H27" s="25"/>
      <c r="I27" s="25"/>
      <c r="J27" s="25"/>
      <c r="K27" s="25"/>
      <c r="L27" s="25"/>
      <c r="M27" s="25"/>
      <c r="N27" s="25"/>
      <c r="O27" s="25"/>
    </row>
    <row r="28" spans="1:15">
      <c r="B28" s="23"/>
      <c r="C28" s="17"/>
      <c r="D28" s="23"/>
      <c r="E28" s="53"/>
      <c r="F28" s="23"/>
      <c r="G28" s="23"/>
      <c r="H28" s="23"/>
      <c r="I28" s="23"/>
      <c r="J28" s="23"/>
      <c r="K28" s="25"/>
      <c r="L28" s="25"/>
      <c r="M28" s="25"/>
      <c r="N28" s="25"/>
      <c r="O28" s="25"/>
    </row>
    <row r="29" spans="1:15">
      <c r="B29" s="54" t="s">
        <v>166</v>
      </c>
      <c r="C29" s="64" t="s">
        <v>155</v>
      </c>
      <c r="D29" s="55"/>
      <c r="E29" s="56">
        <f>(E6-D6)/D6</f>
        <v>0.18795266504627925</v>
      </c>
      <c r="F29" s="57">
        <f t="shared" ref="F29:O29" si="16">IF(F5&lt;&gt;"",Growth_Sales,"")</f>
        <v>0.4693951084601678</v>
      </c>
      <c r="G29" s="57">
        <f t="shared" si="16"/>
        <v>0.4693951084601678</v>
      </c>
      <c r="H29" s="57">
        <f t="shared" si="16"/>
        <v>0.4693951084601678</v>
      </c>
      <c r="I29" s="57" t="str">
        <f t="shared" si="16"/>
        <v/>
      </c>
      <c r="J29" s="57" t="str">
        <f t="shared" si="16"/>
        <v/>
      </c>
      <c r="K29" s="57" t="str">
        <f t="shared" si="16"/>
        <v/>
      </c>
      <c r="L29" s="57" t="str">
        <f t="shared" si="16"/>
        <v/>
      </c>
      <c r="M29" s="57" t="str">
        <f t="shared" si="16"/>
        <v/>
      </c>
      <c r="N29" s="57" t="str">
        <f t="shared" si="16"/>
        <v/>
      </c>
      <c r="O29" s="57" t="str">
        <f t="shared" si="16"/>
        <v/>
      </c>
    </row>
    <row r="30" spans="1:15">
      <c r="B30" s="54" t="s">
        <v>167</v>
      </c>
      <c r="C30" s="64" t="s">
        <v>155</v>
      </c>
      <c r="D30" s="55">
        <f>D7/D6</f>
        <v>0.69801870810930244</v>
      </c>
      <c r="E30" s="56">
        <f>E7/E6</f>
        <v>0.76928482117946118</v>
      </c>
      <c r="F30" s="55">
        <f t="shared" ref="F30:O30" si="17">IF(F5&lt;&gt;"",Gross_Margin,"")</f>
        <v>0.72014242893006786</v>
      </c>
      <c r="G30" s="55">
        <f t="shared" si="17"/>
        <v>0.72014242893006786</v>
      </c>
      <c r="H30" s="55">
        <f t="shared" si="17"/>
        <v>0.72014242893006786</v>
      </c>
      <c r="I30" s="55" t="str">
        <f t="shared" si="17"/>
        <v/>
      </c>
      <c r="J30" s="55" t="str">
        <f t="shared" si="17"/>
        <v/>
      </c>
      <c r="K30" s="55" t="str">
        <f t="shared" si="17"/>
        <v/>
      </c>
      <c r="L30" s="55" t="str">
        <f t="shared" si="17"/>
        <v/>
      </c>
      <c r="M30" s="55" t="str">
        <f t="shared" si="17"/>
        <v/>
      </c>
      <c r="N30" s="55" t="str">
        <f t="shared" si="17"/>
        <v/>
      </c>
      <c r="O30" s="55" t="str">
        <f t="shared" si="17"/>
        <v/>
      </c>
    </row>
    <row r="31" spans="1:15">
      <c r="B31" s="54" t="s">
        <v>168</v>
      </c>
      <c r="C31" s="64" t="s">
        <v>155</v>
      </c>
      <c r="D31" s="58"/>
      <c r="E31" s="56">
        <f>(E10-D10)/D10</f>
        <v>0.24896738356359494</v>
      </c>
      <c r="F31" s="58">
        <f t="shared" ref="F31:O31" si="18">IF(F5&lt;&gt;"",Growth_SGA,"")</f>
        <v>0.4693951084601678</v>
      </c>
      <c r="G31" s="58">
        <f t="shared" si="18"/>
        <v>0.4693951084601678</v>
      </c>
      <c r="H31" s="58">
        <f t="shared" si="18"/>
        <v>0.4693951084601678</v>
      </c>
      <c r="I31" s="58" t="str">
        <f>IF(I5&lt;&gt;"",Growth_SGA,"")</f>
        <v/>
      </c>
      <c r="J31" s="58" t="str">
        <f t="shared" si="18"/>
        <v/>
      </c>
      <c r="K31" s="58" t="str">
        <f>IF(K5&lt;&gt;"",Growth_SGA,"")</f>
        <v/>
      </c>
      <c r="L31" s="58" t="str">
        <f t="shared" si="18"/>
        <v/>
      </c>
      <c r="M31" s="58" t="str">
        <f t="shared" si="18"/>
        <v/>
      </c>
      <c r="N31" s="58" t="str">
        <f t="shared" si="18"/>
        <v/>
      </c>
      <c r="O31" s="58" t="str">
        <f t="shared" si="18"/>
        <v/>
      </c>
    </row>
    <row r="32" spans="1:15" s="6" customFormat="1">
      <c r="A32"/>
      <c r="B32" s="54" t="s">
        <v>169</v>
      </c>
      <c r="C32" s="64" t="s">
        <v>154</v>
      </c>
      <c r="D32" s="59">
        <f ca="1">IF(D5&lt;&gt;"",'PPE &amp; Depreciation Schedule'!D19, "")</f>
        <v>3747</v>
      </c>
      <c r="E32" s="60">
        <f ca="1">IF(E5&lt;&gt;"",'PPE &amp; Depreciation Schedule'!E19, "")</f>
        <v>4667</v>
      </c>
      <c r="F32" s="59">
        <f ca="1">IF(F5&lt;&gt;"",'PPE &amp; Depreciation Schedule'!F19, "")</f>
        <v>5632.9396725001388</v>
      </c>
      <c r="G32" s="59">
        <f ca="1">IF(G5&lt;&gt;"",'PPE &amp; Depreciation Schedule'!G19, "")</f>
        <v>6627.8575351752816</v>
      </c>
      <c r="H32" s="59">
        <f ca="1">IF(H5&lt;&gt;"",'PPE &amp; Depreciation Schedule'!H19, "")</f>
        <v>7652.6229337306795</v>
      </c>
      <c r="I32" s="59" t="str">
        <f>IF(I5&lt;&gt;"",'PPE &amp; Depreciation Schedule'!I19, "")</f>
        <v/>
      </c>
      <c r="J32" s="59" t="str">
        <f>IF(J5&lt;&gt;"",'PPE &amp; Depreciation Schedule'!J19, "")</f>
        <v/>
      </c>
      <c r="K32" s="59" t="str">
        <f>IF(K5&lt;&gt;"",'PPE &amp; Depreciation Schedule'!K19, "")</f>
        <v/>
      </c>
      <c r="L32" s="59" t="str">
        <f>IF(L5&lt;&gt;"",'PPE &amp; Depreciation Schedule'!L19, "")</f>
        <v/>
      </c>
      <c r="M32" s="59" t="str">
        <f>IF(M5&lt;&gt;"",'PPE &amp; Depreciation Schedule'!M19, "")</f>
        <v/>
      </c>
      <c r="N32" s="59" t="str">
        <f>IF(N5&lt;&gt;"",'PPE &amp; Depreciation Schedule'!N19, "")</f>
        <v/>
      </c>
      <c r="O32" s="59" t="str">
        <f>IF(O5&lt;&gt;"",'PPE &amp; Depreciation Schedule'!O19, "")</f>
        <v/>
      </c>
    </row>
    <row r="33" spans="1:16384">
      <c r="B33" s="54" t="s">
        <v>170</v>
      </c>
      <c r="C33" s="64" t="s">
        <v>155</v>
      </c>
      <c r="D33" s="58"/>
      <c r="E33" s="56">
        <f>(E13-D13)/D13</f>
        <v>9.8596491228070171</v>
      </c>
      <c r="F33" s="58">
        <f t="shared" ref="F33:O33" si="19">IF(F5&lt;&gt;"",Growth_Non_Operating,"")</f>
        <v>0.02</v>
      </c>
      <c r="G33" s="58">
        <f t="shared" si="19"/>
        <v>0.02</v>
      </c>
      <c r="H33" s="58">
        <f>IF(H5&lt;&gt;"",Growth_Non_Operating,"")</f>
        <v>0.02</v>
      </c>
      <c r="I33" s="58" t="str">
        <f t="shared" si="19"/>
        <v/>
      </c>
      <c r="J33" s="58" t="str">
        <f t="shared" si="19"/>
        <v/>
      </c>
      <c r="K33" s="58" t="str">
        <f t="shared" si="19"/>
        <v/>
      </c>
      <c r="L33" s="58" t="str">
        <f t="shared" si="19"/>
        <v/>
      </c>
      <c r="M33" s="58" t="str">
        <f t="shared" si="19"/>
        <v/>
      </c>
      <c r="N33" s="58" t="str">
        <f t="shared" si="19"/>
        <v/>
      </c>
      <c r="O33" s="58" t="str">
        <f t="shared" si="19"/>
        <v/>
      </c>
    </row>
    <row r="34" spans="1:16384">
      <c r="B34" s="54" t="s">
        <v>140</v>
      </c>
      <c r="C34" s="64" t="s">
        <v>155</v>
      </c>
      <c r="D34" s="61">
        <f ca="1">ABS(D23/D21)</f>
        <v>8.2513302718857054E-2</v>
      </c>
      <c r="E34" s="62">
        <f ca="1">ABS(E23/E21)</f>
        <v>0.50145392559911761</v>
      </c>
      <c r="F34" s="61">
        <f t="shared" ref="F34:O34" si="20">IF(F5&lt;&gt;"",Tax_Rate,"")</f>
        <v>0.3</v>
      </c>
      <c r="G34" s="61">
        <f t="shared" si="20"/>
        <v>0.3</v>
      </c>
      <c r="H34" s="61">
        <f t="shared" si="20"/>
        <v>0.3</v>
      </c>
      <c r="I34" s="61" t="str">
        <f t="shared" si="20"/>
        <v/>
      </c>
      <c r="J34" s="61" t="str">
        <f t="shared" si="20"/>
        <v/>
      </c>
      <c r="K34" s="61" t="str">
        <f t="shared" si="20"/>
        <v/>
      </c>
      <c r="L34" s="61" t="str">
        <f t="shared" si="20"/>
        <v/>
      </c>
      <c r="M34" s="61" t="str">
        <f t="shared" si="20"/>
        <v/>
      </c>
      <c r="N34" s="61" t="str">
        <f t="shared" si="20"/>
        <v/>
      </c>
      <c r="O34" s="61" t="str">
        <f t="shared" si="20"/>
        <v/>
      </c>
    </row>
    <row r="35" spans="1:16384" ht="17" customHeight="1">
      <c r="B35" s="54" t="s">
        <v>252</v>
      </c>
      <c r="C35" s="64" t="s">
        <v>155</v>
      </c>
      <c r="D35" s="13">
        <f>ABS(D20/'Balance Sheet Historic'!E62)</f>
        <v>2.1525977685112139E-2</v>
      </c>
      <c r="E35" s="130">
        <f>Interest_Rate</f>
        <v>2.7139874739039668E-2</v>
      </c>
      <c r="F35" s="277">
        <f t="shared" ref="F35:O35" si="21">IF(F5&lt;&gt;"",Interest_Rate,"")</f>
        <v>2.7139874739039668E-2</v>
      </c>
      <c r="G35" s="277">
        <f t="shared" si="21"/>
        <v>2.7139874739039668E-2</v>
      </c>
      <c r="H35" s="277">
        <f t="shared" si="21"/>
        <v>2.7139874739039668E-2</v>
      </c>
      <c r="I35" s="277" t="str">
        <f t="shared" si="21"/>
        <v/>
      </c>
      <c r="J35" s="277" t="str">
        <f>IF(J5&lt;&gt;"",Interest_Rate,"")</f>
        <v/>
      </c>
      <c r="K35" s="277" t="str">
        <f t="shared" si="21"/>
        <v/>
      </c>
      <c r="L35" s="277" t="str">
        <f t="shared" si="21"/>
        <v/>
      </c>
      <c r="M35" s="277" t="str">
        <f t="shared" si="21"/>
        <v/>
      </c>
      <c r="N35" s="277" t="str">
        <f t="shared" si="21"/>
        <v/>
      </c>
      <c r="O35" s="277" t="str">
        <f t="shared" si="21"/>
        <v/>
      </c>
    </row>
    <row r="36" spans="1:16384" ht="17" customHeight="1"/>
    <row r="37" spans="1:16384" ht="17" customHeight="1"/>
    <row r="38" spans="1:16384" s="18" customFormat="1" ht="21" thickBot="1">
      <c r="A38"/>
      <c r="B38" s="22" t="s">
        <v>156</v>
      </c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21"/>
      <c r="AI38" s="21"/>
      <c r="AJ38" s="21"/>
      <c r="AK38" s="21"/>
      <c r="AL38" s="21"/>
      <c r="AM38" s="21"/>
      <c r="AN38" s="21"/>
      <c r="AO38" s="21"/>
      <c r="AP38" s="21"/>
      <c r="AQ38" s="21"/>
      <c r="AR38" s="21"/>
      <c r="AS38" s="21"/>
      <c r="AT38" s="21"/>
      <c r="AU38" s="21"/>
      <c r="AV38" s="21"/>
      <c r="AW38" s="21"/>
      <c r="AX38" s="21"/>
      <c r="AY38" s="21"/>
      <c r="AZ38" s="21"/>
      <c r="BA38" s="21"/>
      <c r="BB38" s="21"/>
      <c r="BC38" s="21"/>
      <c r="BD38" s="21"/>
      <c r="BE38" s="21"/>
      <c r="BF38" s="21"/>
      <c r="BG38" s="21"/>
      <c r="BH38" s="21"/>
      <c r="BI38" s="21"/>
      <c r="BJ38" s="21"/>
      <c r="BK38" s="21"/>
      <c r="BL38" s="21"/>
      <c r="BM38" s="21"/>
      <c r="BN38" s="21"/>
      <c r="BO38" s="21"/>
      <c r="BP38" s="21"/>
      <c r="BQ38" s="21"/>
      <c r="BR38" s="21"/>
      <c r="BS38" s="21"/>
      <c r="BT38" s="21"/>
      <c r="BU38" s="21"/>
      <c r="BV38" s="21"/>
      <c r="BW38" s="21"/>
      <c r="BX38" s="21"/>
      <c r="BY38" s="21"/>
      <c r="BZ38" s="21"/>
      <c r="CA38" s="21"/>
      <c r="CB38" s="21"/>
      <c r="CC38" s="21"/>
      <c r="CD38" s="21"/>
      <c r="CE38" s="21"/>
      <c r="CF38" s="21"/>
      <c r="CG38" s="21"/>
      <c r="CH38" s="21"/>
      <c r="CI38" s="21"/>
      <c r="CJ38" s="21"/>
      <c r="CK38" s="21"/>
      <c r="CL38" s="21"/>
      <c r="CM38" s="21"/>
      <c r="CN38" s="21"/>
      <c r="CO38" s="21"/>
      <c r="CP38" s="21"/>
      <c r="CQ38" s="21"/>
      <c r="CR38" s="21"/>
      <c r="CS38" s="21"/>
      <c r="CT38" s="21"/>
      <c r="CU38" s="21"/>
      <c r="CV38" s="21"/>
      <c r="CW38" s="21"/>
      <c r="CX38" s="21"/>
      <c r="CY38" s="21"/>
      <c r="CZ38" s="21"/>
      <c r="DA38" s="21"/>
      <c r="DB38" s="21"/>
      <c r="DC38" s="21"/>
      <c r="DD38" s="21"/>
      <c r="DE38" s="21"/>
      <c r="DF38" s="21"/>
      <c r="DG38" s="21"/>
      <c r="DH38" s="21"/>
      <c r="DI38" s="21"/>
      <c r="DJ38" s="21"/>
      <c r="DK38" s="21"/>
      <c r="DL38" s="21"/>
      <c r="DM38" s="21"/>
      <c r="DN38" s="21"/>
      <c r="DO38" s="21"/>
      <c r="DP38" s="21"/>
      <c r="DQ38" s="21"/>
      <c r="DR38" s="21"/>
      <c r="DS38" s="21"/>
      <c r="DT38" s="21"/>
      <c r="DU38" s="21"/>
      <c r="DV38" s="21"/>
      <c r="DW38" s="21"/>
      <c r="DX38" s="21"/>
      <c r="DY38" s="21"/>
      <c r="DZ38" s="21"/>
      <c r="EA38" s="21"/>
      <c r="EB38" s="21"/>
      <c r="EC38" s="21"/>
      <c r="ED38" s="21"/>
      <c r="EE38" s="21"/>
      <c r="EF38" s="21"/>
      <c r="EG38" s="21"/>
      <c r="EH38" s="21"/>
      <c r="EI38" s="21"/>
      <c r="EJ38" s="21"/>
      <c r="EK38" s="21"/>
      <c r="EL38" s="21"/>
      <c r="EM38" s="21"/>
      <c r="EN38" s="21"/>
      <c r="EO38" s="21"/>
      <c r="EP38" s="21"/>
      <c r="EQ38" s="21"/>
      <c r="ER38" s="21"/>
      <c r="ES38" s="21"/>
      <c r="ET38" s="21"/>
      <c r="EU38" s="21"/>
      <c r="EV38" s="21"/>
      <c r="EW38" s="21"/>
      <c r="EX38" s="21"/>
      <c r="EY38" s="21"/>
      <c r="EZ38" s="21"/>
      <c r="FA38" s="21"/>
      <c r="FB38" s="21"/>
      <c r="FC38" s="21"/>
      <c r="FD38" s="21"/>
      <c r="FE38" s="21"/>
      <c r="FF38" s="21"/>
      <c r="FG38" s="21"/>
      <c r="FH38" s="21"/>
      <c r="FI38" s="21"/>
      <c r="FJ38" s="21"/>
      <c r="FK38" s="21"/>
      <c r="FL38" s="21"/>
      <c r="FM38" s="21"/>
      <c r="FN38" s="21"/>
      <c r="FO38" s="21"/>
      <c r="FP38" s="21"/>
      <c r="FQ38" s="21"/>
      <c r="FR38" s="21"/>
      <c r="FS38" s="21"/>
      <c r="FT38" s="21"/>
      <c r="FU38" s="21"/>
      <c r="FV38" s="21"/>
      <c r="FW38" s="21"/>
      <c r="FX38" s="21"/>
      <c r="FY38" s="21"/>
      <c r="FZ38" s="21"/>
      <c r="GA38" s="21"/>
      <c r="GB38" s="21"/>
      <c r="GC38" s="21"/>
      <c r="GD38" s="21"/>
      <c r="GE38" s="21"/>
      <c r="GF38" s="21"/>
      <c r="GG38" s="21"/>
      <c r="GH38" s="21"/>
      <c r="GI38" s="21"/>
      <c r="GJ38" s="21"/>
      <c r="GK38" s="21"/>
      <c r="GL38" s="21"/>
      <c r="GM38" s="21"/>
      <c r="GN38" s="21"/>
      <c r="GO38" s="21"/>
      <c r="GP38" s="21"/>
      <c r="GQ38" s="21"/>
      <c r="GR38" s="21"/>
      <c r="GS38" s="21"/>
      <c r="GT38" s="21"/>
      <c r="GU38" s="21"/>
      <c r="GV38" s="21"/>
      <c r="GW38" s="21"/>
      <c r="GX38" s="21"/>
      <c r="GY38" s="21"/>
      <c r="GZ38" s="21"/>
      <c r="HA38" s="21"/>
      <c r="HB38" s="21"/>
      <c r="HC38" s="21"/>
      <c r="HD38" s="21"/>
      <c r="HE38" s="21"/>
      <c r="HF38" s="21"/>
      <c r="HG38" s="21"/>
      <c r="HH38" s="21"/>
      <c r="HI38" s="21"/>
      <c r="HJ38" s="21"/>
      <c r="HK38" s="21"/>
      <c r="HL38" s="21"/>
      <c r="HM38" s="21"/>
      <c r="HN38" s="21"/>
      <c r="HO38" s="21"/>
      <c r="HP38" s="21"/>
      <c r="HQ38" s="21"/>
      <c r="HR38" s="21"/>
      <c r="HS38" s="21"/>
      <c r="HT38" s="21"/>
      <c r="HU38" s="21"/>
      <c r="HV38" s="21"/>
      <c r="HW38" s="21"/>
      <c r="HX38" s="21"/>
      <c r="HY38" s="21"/>
      <c r="HZ38" s="21"/>
      <c r="IA38" s="21"/>
      <c r="IB38" s="21"/>
      <c r="IC38" s="21"/>
      <c r="ID38" s="21"/>
      <c r="IE38" s="21"/>
      <c r="IF38" s="21"/>
      <c r="IG38" s="21"/>
      <c r="IH38" s="21"/>
      <c r="II38" s="21"/>
      <c r="IJ38" s="21"/>
      <c r="IK38" s="21"/>
      <c r="IL38" s="21"/>
      <c r="IM38" s="21"/>
      <c r="IN38" s="21"/>
      <c r="IO38" s="21"/>
      <c r="IP38" s="21"/>
      <c r="IQ38" s="21"/>
      <c r="IR38" s="21"/>
      <c r="IS38" s="21"/>
      <c r="IT38" s="21"/>
      <c r="IU38" s="21"/>
      <c r="IV38" s="21"/>
      <c r="IW38" s="21"/>
      <c r="IX38" s="21"/>
      <c r="IY38" s="21"/>
      <c r="IZ38" s="21"/>
      <c r="JA38" s="21"/>
      <c r="JB38" s="21"/>
      <c r="JC38" s="21"/>
      <c r="JD38" s="21"/>
      <c r="JE38" s="21"/>
      <c r="JF38" s="21"/>
      <c r="JG38" s="21"/>
      <c r="JH38" s="21"/>
      <c r="JI38" s="21"/>
      <c r="JJ38" s="21"/>
      <c r="JK38" s="21"/>
      <c r="JL38" s="21"/>
      <c r="JM38" s="21"/>
      <c r="JN38" s="21"/>
      <c r="JO38" s="21"/>
      <c r="JP38" s="21"/>
      <c r="JQ38" s="21"/>
      <c r="JR38" s="21"/>
      <c r="JS38" s="21"/>
      <c r="JT38" s="21"/>
      <c r="JU38" s="21"/>
      <c r="JV38" s="21"/>
      <c r="JW38" s="21"/>
      <c r="JX38" s="21"/>
      <c r="JY38" s="21"/>
      <c r="JZ38" s="21"/>
      <c r="KA38" s="21"/>
      <c r="KB38" s="21"/>
      <c r="KC38" s="21"/>
      <c r="KD38" s="21"/>
      <c r="KE38" s="21"/>
      <c r="KF38" s="21"/>
      <c r="KG38" s="21"/>
      <c r="KH38" s="21"/>
      <c r="KI38" s="21"/>
      <c r="KJ38" s="21"/>
      <c r="KK38" s="21"/>
      <c r="KL38" s="21"/>
      <c r="KM38" s="21"/>
      <c r="KN38" s="21"/>
      <c r="KO38" s="21"/>
      <c r="KP38" s="21"/>
      <c r="KQ38" s="21"/>
      <c r="KR38" s="21"/>
      <c r="KS38" s="21"/>
      <c r="KT38" s="21"/>
      <c r="KU38" s="21"/>
      <c r="KV38" s="21"/>
      <c r="KW38" s="21"/>
      <c r="KX38" s="21"/>
      <c r="KY38" s="21"/>
      <c r="KZ38" s="21"/>
      <c r="LA38" s="21"/>
      <c r="LB38" s="21"/>
      <c r="LC38" s="21"/>
      <c r="LD38" s="21"/>
      <c r="LE38" s="21"/>
      <c r="LF38" s="21"/>
      <c r="LG38" s="21"/>
      <c r="LH38" s="21"/>
      <c r="LI38" s="21"/>
      <c r="LJ38" s="21"/>
      <c r="LK38" s="21"/>
      <c r="LL38" s="21"/>
      <c r="LM38" s="21"/>
      <c r="LN38" s="21"/>
      <c r="LO38" s="21"/>
      <c r="LP38" s="21"/>
      <c r="LQ38" s="21"/>
      <c r="LR38" s="21"/>
      <c r="LS38" s="21"/>
      <c r="LT38" s="21"/>
      <c r="LU38" s="21"/>
      <c r="LV38" s="21"/>
      <c r="LW38" s="21"/>
      <c r="LX38" s="21"/>
      <c r="LY38" s="21"/>
      <c r="LZ38" s="21"/>
      <c r="MA38" s="21"/>
      <c r="MB38" s="21"/>
      <c r="MC38" s="21"/>
      <c r="MD38" s="21"/>
      <c r="ME38" s="21"/>
      <c r="MF38" s="21"/>
      <c r="MG38" s="21"/>
      <c r="MH38" s="21"/>
      <c r="MI38" s="21"/>
      <c r="MJ38" s="21"/>
      <c r="MK38" s="21"/>
      <c r="ML38" s="21"/>
      <c r="MM38" s="21"/>
      <c r="MN38" s="21"/>
      <c r="MO38" s="21"/>
      <c r="MP38" s="21"/>
      <c r="MQ38" s="21"/>
      <c r="MR38" s="21"/>
      <c r="MS38" s="21"/>
      <c r="MT38" s="21"/>
      <c r="MU38" s="21"/>
      <c r="MV38" s="21"/>
      <c r="MW38" s="21"/>
      <c r="MX38" s="21"/>
      <c r="MY38" s="21"/>
      <c r="MZ38" s="21"/>
      <c r="NA38" s="21"/>
      <c r="NB38" s="21"/>
      <c r="NC38" s="21"/>
      <c r="ND38" s="21"/>
      <c r="NE38" s="21"/>
      <c r="NF38" s="21"/>
      <c r="NG38" s="21"/>
      <c r="NH38" s="21"/>
      <c r="NI38" s="21"/>
      <c r="NJ38" s="21"/>
      <c r="NK38" s="21"/>
      <c r="NL38" s="21"/>
      <c r="NM38" s="21"/>
      <c r="NN38" s="21"/>
      <c r="NO38" s="21"/>
      <c r="NP38" s="21"/>
      <c r="NQ38" s="21"/>
      <c r="NR38" s="21"/>
      <c r="NS38" s="21"/>
      <c r="NT38" s="21"/>
      <c r="NU38" s="21"/>
      <c r="NV38" s="21"/>
      <c r="NW38" s="21"/>
      <c r="NX38" s="21"/>
      <c r="NY38" s="21"/>
      <c r="NZ38" s="21"/>
      <c r="OA38" s="21"/>
      <c r="OB38" s="21"/>
      <c r="OC38" s="21"/>
      <c r="OD38" s="21"/>
      <c r="OE38" s="21"/>
      <c r="OF38" s="21"/>
      <c r="OG38" s="21"/>
      <c r="OH38" s="21"/>
      <c r="OI38" s="21"/>
      <c r="OJ38" s="21"/>
      <c r="OK38" s="21"/>
      <c r="OL38" s="21"/>
      <c r="OM38" s="21"/>
      <c r="ON38" s="21"/>
      <c r="OO38" s="21"/>
      <c r="OP38" s="21"/>
      <c r="OQ38" s="21"/>
      <c r="OR38" s="21"/>
      <c r="OS38" s="21"/>
      <c r="OT38" s="21"/>
      <c r="OU38" s="21"/>
      <c r="OV38" s="21"/>
      <c r="OW38" s="21"/>
      <c r="OX38" s="21"/>
      <c r="OY38" s="21"/>
      <c r="OZ38" s="21"/>
      <c r="PA38" s="21"/>
      <c r="PB38" s="21"/>
      <c r="PC38" s="21"/>
      <c r="PD38" s="21"/>
      <c r="PE38" s="21"/>
      <c r="PF38" s="21"/>
      <c r="PG38" s="21"/>
      <c r="PH38" s="21"/>
      <c r="PI38" s="21"/>
      <c r="PJ38" s="21"/>
      <c r="PK38" s="21"/>
      <c r="PL38" s="21"/>
      <c r="PM38" s="21"/>
      <c r="PN38" s="21"/>
      <c r="PO38" s="21"/>
      <c r="PP38" s="21"/>
      <c r="PQ38" s="21"/>
      <c r="PR38" s="21"/>
      <c r="PS38" s="21"/>
      <c r="PT38" s="21"/>
      <c r="PU38" s="21"/>
      <c r="PV38" s="21"/>
      <c r="PW38" s="21"/>
      <c r="PX38" s="21"/>
      <c r="PY38" s="21"/>
      <c r="PZ38" s="21"/>
      <c r="QA38" s="21"/>
      <c r="QB38" s="21"/>
      <c r="QC38" s="21"/>
      <c r="QD38" s="21"/>
      <c r="QE38" s="21"/>
      <c r="QF38" s="21"/>
      <c r="QG38" s="21"/>
      <c r="QH38" s="21"/>
      <c r="QI38" s="21"/>
      <c r="QJ38" s="21"/>
      <c r="QK38" s="21"/>
      <c r="QL38" s="21"/>
      <c r="QM38" s="21"/>
      <c r="QN38" s="21"/>
      <c r="QO38" s="21"/>
      <c r="QP38" s="21"/>
      <c r="QQ38" s="21"/>
      <c r="QR38" s="21"/>
      <c r="QS38" s="21"/>
      <c r="QT38" s="21"/>
      <c r="QU38" s="21"/>
      <c r="QV38" s="21"/>
      <c r="QW38" s="21"/>
      <c r="QX38" s="21"/>
      <c r="QY38" s="21"/>
      <c r="QZ38" s="21"/>
      <c r="RA38" s="21"/>
      <c r="RB38" s="21"/>
      <c r="RC38" s="21"/>
      <c r="RD38" s="21"/>
      <c r="RE38" s="21"/>
      <c r="RF38" s="21"/>
      <c r="RG38" s="21"/>
      <c r="RH38" s="21"/>
      <c r="RI38" s="21"/>
      <c r="RJ38" s="21"/>
      <c r="RK38" s="21"/>
      <c r="RL38" s="21"/>
      <c r="RM38" s="21"/>
      <c r="RN38" s="21"/>
      <c r="RO38" s="21"/>
      <c r="RP38" s="21"/>
      <c r="RQ38" s="21"/>
      <c r="RR38" s="21"/>
      <c r="RS38" s="21"/>
      <c r="RT38" s="21"/>
      <c r="RU38" s="21"/>
      <c r="RV38" s="21"/>
      <c r="RW38" s="21"/>
      <c r="RX38" s="21"/>
      <c r="RY38" s="21"/>
      <c r="RZ38" s="21"/>
      <c r="SA38" s="21"/>
      <c r="SB38" s="21"/>
      <c r="SC38" s="21"/>
      <c r="SD38" s="21"/>
      <c r="SE38" s="21"/>
      <c r="SF38" s="21"/>
      <c r="SG38" s="21"/>
      <c r="SH38" s="21"/>
      <c r="SI38" s="21"/>
      <c r="SJ38" s="21"/>
      <c r="SK38" s="21"/>
      <c r="SL38" s="21"/>
      <c r="SM38" s="21"/>
      <c r="SN38" s="21"/>
      <c r="SO38" s="21"/>
      <c r="SP38" s="21"/>
      <c r="SQ38" s="21"/>
      <c r="SR38" s="21"/>
      <c r="SS38" s="21"/>
      <c r="ST38" s="21"/>
      <c r="SU38" s="21"/>
      <c r="SV38" s="21"/>
      <c r="SW38" s="21"/>
      <c r="SX38" s="21"/>
      <c r="SY38" s="21"/>
      <c r="SZ38" s="21"/>
      <c r="TA38" s="21"/>
      <c r="TB38" s="21"/>
      <c r="TC38" s="21"/>
      <c r="TD38" s="21"/>
      <c r="TE38" s="21"/>
      <c r="TF38" s="21"/>
      <c r="TG38" s="21"/>
      <c r="TH38" s="21"/>
      <c r="TI38" s="21"/>
      <c r="TJ38" s="21"/>
      <c r="TK38" s="21"/>
      <c r="TL38" s="21"/>
      <c r="TM38" s="21"/>
      <c r="TN38" s="21"/>
      <c r="TO38" s="21"/>
      <c r="TP38" s="21"/>
      <c r="TQ38" s="21"/>
      <c r="TR38" s="21"/>
      <c r="TS38" s="21"/>
      <c r="TT38" s="21"/>
      <c r="TU38" s="21"/>
      <c r="TV38" s="21"/>
      <c r="TW38" s="21"/>
      <c r="TX38" s="21"/>
      <c r="TY38" s="21"/>
      <c r="TZ38" s="21"/>
      <c r="UA38" s="21"/>
      <c r="UB38" s="21"/>
      <c r="UC38" s="21"/>
      <c r="UD38" s="21"/>
      <c r="UE38" s="21"/>
      <c r="UF38" s="21"/>
      <c r="UG38" s="21"/>
      <c r="UH38" s="21"/>
      <c r="UI38" s="21"/>
      <c r="UJ38" s="21"/>
      <c r="UK38" s="21"/>
      <c r="UL38" s="21"/>
      <c r="UM38" s="21"/>
      <c r="UN38" s="21"/>
      <c r="UO38" s="21"/>
      <c r="UP38" s="21"/>
      <c r="UQ38" s="21"/>
      <c r="UR38" s="21"/>
      <c r="US38" s="21"/>
      <c r="UT38" s="21"/>
      <c r="UU38" s="21"/>
      <c r="UV38" s="21"/>
      <c r="UW38" s="21"/>
      <c r="UX38" s="21"/>
      <c r="UY38" s="21"/>
      <c r="UZ38" s="21"/>
      <c r="VA38" s="21"/>
      <c r="VB38" s="21"/>
      <c r="VC38" s="21"/>
      <c r="VD38" s="21"/>
      <c r="VE38" s="21"/>
      <c r="VF38" s="21"/>
      <c r="VG38" s="21"/>
      <c r="VH38" s="21"/>
      <c r="VI38" s="21"/>
      <c r="VJ38" s="21"/>
      <c r="VK38" s="21"/>
      <c r="VL38" s="21"/>
      <c r="VM38" s="21"/>
      <c r="VN38" s="21"/>
      <c r="VO38" s="21"/>
      <c r="VP38" s="21"/>
      <c r="VQ38" s="21"/>
      <c r="VR38" s="21"/>
      <c r="VS38" s="21"/>
      <c r="VT38" s="21"/>
      <c r="VU38" s="21"/>
      <c r="VV38" s="21"/>
      <c r="VW38" s="21"/>
      <c r="VX38" s="21"/>
      <c r="VY38" s="21"/>
      <c r="VZ38" s="21"/>
      <c r="WA38" s="21"/>
      <c r="WB38" s="21"/>
      <c r="WC38" s="21"/>
      <c r="WD38" s="21"/>
      <c r="WE38" s="21"/>
      <c r="WF38" s="21"/>
      <c r="WG38" s="21"/>
      <c r="WH38" s="21"/>
      <c r="WI38" s="21"/>
      <c r="WJ38" s="21"/>
      <c r="WK38" s="21"/>
      <c r="WL38" s="21"/>
      <c r="WM38" s="21"/>
      <c r="WN38" s="21"/>
      <c r="WO38" s="21"/>
      <c r="WP38" s="21"/>
      <c r="WQ38" s="21"/>
      <c r="WR38" s="21"/>
      <c r="WS38" s="21"/>
      <c r="WT38" s="21"/>
      <c r="WU38" s="21"/>
      <c r="WV38" s="21"/>
      <c r="WW38" s="21"/>
      <c r="WX38" s="21"/>
      <c r="WY38" s="21"/>
      <c r="WZ38" s="21"/>
      <c r="XA38" s="21"/>
      <c r="XB38" s="21"/>
      <c r="XC38" s="21"/>
      <c r="XD38" s="21"/>
      <c r="XE38" s="21"/>
      <c r="XF38" s="21"/>
      <c r="XG38" s="21"/>
      <c r="XH38" s="21"/>
      <c r="XI38" s="21"/>
      <c r="XJ38" s="21"/>
      <c r="XK38" s="21"/>
      <c r="XL38" s="21"/>
      <c r="XM38" s="21"/>
      <c r="XN38" s="21"/>
      <c r="XO38" s="21"/>
      <c r="XP38" s="21"/>
      <c r="XQ38" s="21"/>
      <c r="XR38" s="21"/>
      <c r="XS38" s="21"/>
      <c r="XT38" s="21"/>
      <c r="XU38" s="21"/>
      <c r="XV38" s="21"/>
      <c r="XW38" s="21"/>
      <c r="XX38" s="21"/>
      <c r="XY38" s="21"/>
      <c r="XZ38" s="21"/>
      <c r="YA38" s="21"/>
      <c r="YB38" s="21"/>
      <c r="YC38" s="21"/>
      <c r="YD38" s="21"/>
      <c r="YE38" s="21"/>
      <c r="YF38" s="21"/>
      <c r="YG38" s="21"/>
      <c r="YH38" s="21"/>
      <c r="YI38" s="21"/>
      <c r="YJ38" s="21"/>
      <c r="YK38" s="21"/>
      <c r="YL38" s="21"/>
      <c r="YM38" s="21"/>
      <c r="YN38" s="21"/>
      <c r="YO38" s="21"/>
      <c r="YP38" s="21"/>
      <c r="YQ38" s="21"/>
      <c r="YR38" s="21"/>
      <c r="YS38" s="21"/>
      <c r="YT38" s="21"/>
      <c r="YU38" s="21"/>
      <c r="YV38" s="21"/>
      <c r="YW38" s="21"/>
      <c r="YX38" s="21"/>
      <c r="YY38" s="21"/>
      <c r="YZ38" s="21"/>
      <c r="ZA38" s="21"/>
      <c r="ZB38" s="21"/>
      <c r="ZC38" s="21"/>
      <c r="ZD38" s="21"/>
      <c r="ZE38" s="21"/>
      <c r="ZF38" s="21"/>
      <c r="ZG38" s="21"/>
      <c r="ZH38" s="21"/>
      <c r="ZI38" s="21"/>
      <c r="ZJ38" s="21"/>
      <c r="ZK38" s="21"/>
      <c r="ZL38" s="21"/>
      <c r="ZM38" s="21"/>
      <c r="ZN38" s="21"/>
      <c r="ZO38" s="21"/>
      <c r="ZP38" s="21"/>
      <c r="ZQ38" s="21"/>
      <c r="ZR38" s="21"/>
      <c r="ZS38" s="21"/>
      <c r="ZT38" s="21"/>
      <c r="ZU38" s="21"/>
      <c r="ZV38" s="21"/>
      <c r="ZW38" s="21"/>
      <c r="ZX38" s="21"/>
      <c r="ZY38" s="21"/>
      <c r="ZZ38" s="21"/>
      <c r="AAA38" s="21"/>
      <c r="AAB38" s="21"/>
      <c r="AAC38" s="21"/>
      <c r="AAD38" s="21"/>
      <c r="AAE38" s="21"/>
      <c r="AAF38" s="21"/>
      <c r="AAG38" s="21"/>
      <c r="AAH38" s="21"/>
      <c r="AAI38" s="21"/>
      <c r="AAJ38" s="21"/>
      <c r="AAK38" s="21"/>
      <c r="AAL38" s="21"/>
      <c r="AAM38" s="21"/>
      <c r="AAN38" s="21"/>
      <c r="AAO38" s="21"/>
      <c r="AAP38" s="21"/>
      <c r="AAQ38" s="21"/>
      <c r="AAR38" s="21"/>
      <c r="AAS38" s="21"/>
      <c r="AAT38" s="21"/>
      <c r="AAU38" s="21"/>
      <c r="AAV38" s="21"/>
      <c r="AAW38" s="21"/>
      <c r="AAX38" s="21"/>
      <c r="AAY38" s="21"/>
      <c r="AAZ38" s="21"/>
      <c r="ABA38" s="21"/>
      <c r="ABB38" s="21"/>
      <c r="ABC38" s="21"/>
      <c r="ABD38" s="21"/>
      <c r="ABE38" s="21"/>
      <c r="ABF38" s="21"/>
      <c r="ABG38" s="21"/>
      <c r="ABH38" s="21"/>
      <c r="ABI38" s="21"/>
      <c r="ABJ38" s="21"/>
      <c r="ABK38" s="21"/>
      <c r="ABL38" s="21"/>
      <c r="ABM38" s="21"/>
      <c r="ABN38" s="21"/>
      <c r="ABO38" s="21"/>
      <c r="ABP38" s="21"/>
      <c r="ABQ38" s="21"/>
      <c r="ABR38" s="21"/>
      <c r="ABS38" s="21"/>
      <c r="ABT38" s="21"/>
      <c r="ABU38" s="21"/>
      <c r="ABV38" s="21"/>
      <c r="ABW38" s="21"/>
      <c r="ABX38" s="21"/>
      <c r="ABY38" s="21"/>
      <c r="ABZ38" s="21"/>
      <c r="ACA38" s="21"/>
      <c r="ACB38" s="21"/>
      <c r="ACC38" s="21"/>
      <c r="ACD38" s="21"/>
      <c r="ACE38" s="21"/>
      <c r="ACF38" s="21"/>
      <c r="ACG38" s="21"/>
      <c r="ACH38" s="21"/>
      <c r="ACI38" s="21"/>
      <c r="ACJ38" s="21"/>
      <c r="ACK38" s="21"/>
      <c r="ACL38" s="21"/>
      <c r="ACM38" s="21"/>
      <c r="ACN38" s="21"/>
      <c r="ACO38" s="21"/>
      <c r="ACP38" s="21"/>
      <c r="ACQ38" s="21"/>
      <c r="ACR38" s="21"/>
      <c r="ACS38" s="21"/>
      <c r="ACT38" s="21"/>
      <c r="ACU38" s="21"/>
      <c r="ACV38" s="21"/>
      <c r="ACW38" s="21"/>
      <c r="ACX38" s="21"/>
      <c r="ACY38" s="21"/>
      <c r="ACZ38" s="21"/>
      <c r="ADA38" s="21"/>
      <c r="ADB38" s="21"/>
      <c r="ADC38" s="21"/>
      <c r="ADD38" s="21"/>
      <c r="ADE38" s="21"/>
      <c r="ADF38" s="21"/>
      <c r="ADG38" s="21"/>
      <c r="ADH38" s="21"/>
      <c r="ADI38" s="21"/>
      <c r="ADJ38" s="21"/>
      <c r="ADK38" s="21"/>
      <c r="ADL38" s="21"/>
      <c r="ADM38" s="21"/>
      <c r="ADN38" s="21"/>
      <c r="ADO38" s="21"/>
      <c r="ADP38" s="21"/>
      <c r="ADQ38" s="21"/>
      <c r="ADR38" s="21"/>
      <c r="ADS38" s="21"/>
      <c r="ADT38" s="21"/>
      <c r="ADU38" s="21"/>
      <c r="ADV38" s="21"/>
      <c r="ADW38" s="21"/>
      <c r="ADX38" s="21"/>
      <c r="ADY38" s="21"/>
      <c r="ADZ38" s="21"/>
      <c r="AEA38" s="21"/>
      <c r="AEB38" s="21"/>
      <c r="AEC38" s="21"/>
      <c r="AED38" s="21"/>
      <c r="AEE38" s="21"/>
      <c r="AEF38" s="21"/>
      <c r="AEG38" s="21"/>
      <c r="AEH38" s="21"/>
      <c r="AEI38" s="21"/>
      <c r="AEJ38" s="21"/>
      <c r="AEK38" s="21"/>
      <c r="AEL38" s="21"/>
      <c r="AEM38" s="21"/>
      <c r="AEN38" s="21"/>
      <c r="AEO38" s="21"/>
      <c r="AEP38" s="21"/>
      <c r="AEQ38" s="21"/>
      <c r="AER38" s="21"/>
      <c r="AES38" s="21"/>
      <c r="AET38" s="21"/>
      <c r="AEU38" s="21"/>
      <c r="AEV38" s="21"/>
      <c r="AEW38" s="21"/>
      <c r="AEX38" s="21"/>
      <c r="AEY38" s="21"/>
      <c r="AEZ38" s="21"/>
      <c r="AFA38" s="21"/>
      <c r="AFB38" s="21"/>
      <c r="AFC38" s="21"/>
      <c r="AFD38" s="21"/>
      <c r="AFE38" s="21"/>
      <c r="AFF38" s="21"/>
      <c r="AFG38" s="21"/>
      <c r="AFH38" s="21"/>
      <c r="AFI38" s="21"/>
      <c r="AFJ38" s="21"/>
      <c r="AFK38" s="21"/>
      <c r="AFL38" s="21"/>
      <c r="AFM38" s="21"/>
      <c r="AFN38" s="21"/>
      <c r="AFO38" s="21"/>
      <c r="AFP38" s="21"/>
      <c r="AFQ38" s="21"/>
      <c r="AFR38" s="21"/>
      <c r="AFS38" s="21"/>
      <c r="AFT38" s="21"/>
      <c r="AFU38" s="21"/>
      <c r="AFV38" s="21"/>
      <c r="AFW38" s="21"/>
      <c r="AFX38" s="21"/>
      <c r="AFY38" s="21"/>
      <c r="AFZ38" s="21"/>
      <c r="AGA38" s="21"/>
      <c r="AGB38" s="21"/>
      <c r="AGC38" s="21"/>
      <c r="AGD38" s="21"/>
      <c r="AGE38" s="21"/>
      <c r="AGF38" s="21"/>
      <c r="AGG38" s="21"/>
      <c r="AGH38" s="21"/>
      <c r="AGI38" s="21"/>
      <c r="AGJ38" s="21"/>
      <c r="AGK38" s="21"/>
      <c r="AGL38" s="21"/>
      <c r="AGM38" s="21"/>
      <c r="AGN38" s="21"/>
      <c r="AGO38" s="21"/>
      <c r="AGP38" s="21"/>
      <c r="AGQ38" s="21"/>
      <c r="AGR38" s="21"/>
      <c r="AGS38" s="21"/>
      <c r="AGT38" s="21"/>
      <c r="AGU38" s="21"/>
      <c r="AGV38" s="21"/>
      <c r="AGW38" s="21"/>
      <c r="AGX38" s="21"/>
      <c r="AGY38" s="21"/>
      <c r="AGZ38" s="21"/>
      <c r="AHA38" s="21"/>
      <c r="AHB38" s="21"/>
      <c r="AHC38" s="21"/>
      <c r="AHD38" s="21"/>
      <c r="AHE38" s="21"/>
      <c r="AHF38" s="21"/>
      <c r="AHG38" s="21"/>
      <c r="AHH38" s="21"/>
      <c r="AHI38" s="21"/>
      <c r="AHJ38" s="21"/>
      <c r="AHK38" s="21"/>
      <c r="AHL38" s="21"/>
      <c r="AHM38" s="21"/>
      <c r="AHN38" s="21"/>
      <c r="AHO38" s="21"/>
      <c r="AHP38" s="21"/>
      <c r="AHQ38" s="21"/>
      <c r="AHR38" s="21"/>
      <c r="AHS38" s="21"/>
      <c r="AHT38" s="21"/>
      <c r="AHU38" s="21"/>
      <c r="AHV38" s="21"/>
      <c r="AHW38" s="21"/>
      <c r="AHX38" s="21"/>
      <c r="AHY38" s="21"/>
      <c r="AHZ38" s="21"/>
      <c r="AIA38" s="21"/>
      <c r="AIB38" s="21"/>
      <c r="AIC38" s="21"/>
      <c r="AID38" s="21"/>
      <c r="AIE38" s="21"/>
      <c r="AIF38" s="21"/>
      <c r="AIG38" s="21"/>
      <c r="AIH38" s="21"/>
      <c r="AII38" s="21"/>
      <c r="AIJ38" s="21"/>
      <c r="AIK38" s="21"/>
      <c r="AIL38" s="21"/>
      <c r="AIM38" s="21"/>
      <c r="AIN38" s="21"/>
      <c r="AIO38" s="21"/>
      <c r="AIP38" s="21"/>
      <c r="AIQ38" s="21"/>
      <c r="AIR38" s="21"/>
      <c r="AIS38" s="21"/>
      <c r="AIT38" s="21"/>
      <c r="AIU38" s="21"/>
      <c r="AIV38" s="21"/>
      <c r="AIW38" s="21"/>
      <c r="AIX38" s="21"/>
      <c r="AIY38" s="21"/>
      <c r="AIZ38" s="21"/>
      <c r="AJA38" s="21"/>
      <c r="AJB38" s="21"/>
      <c r="AJC38" s="21"/>
      <c r="AJD38" s="21"/>
      <c r="AJE38" s="21"/>
      <c r="AJF38" s="21"/>
      <c r="AJG38" s="21"/>
      <c r="AJH38" s="21"/>
      <c r="AJI38" s="21"/>
      <c r="AJJ38" s="21"/>
      <c r="AJK38" s="21"/>
      <c r="AJL38" s="21"/>
      <c r="AJM38" s="21"/>
      <c r="AJN38" s="21"/>
      <c r="AJO38" s="21"/>
      <c r="AJP38" s="21"/>
      <c r="AJQ38" s="21"/>
      <c r="AJR38" s="21"/>
      <c r="AJS38" s="21"/>
      <c r="AJT38" s="21"/>
      <c r="AJU38" s="21"/>
      <c r="AJV38" s="21"/>
      <c r="AJW38" s="21"/>
      <c r="AJX38" s="21"/>
      <c r="AJY38" s="21"/>
      <c r="AJZ38" s="21"/>
      <c r="AKA38" s="21"/>
      <c r="AKB38" s="21"/>
      <c r="AKC38" s="21"/>
      <c r="AKD38" s="21"/>
      <c r="AKE38" s="21"/>
      <c r="AKF38" s="21"/>
      <c r="AKG38" s="21"/>
      <c r="AKH38" s="21"/>
      <c r="AKI38" s="21"/>
      <c r="AKJ38" s="21"/>
      <c r="AKK38" s="21"/>
      <c r="AKL38" s="21"/>
      <c r="AKM38" s="21"/>
      <c r="AKN38" s="21"/>
      <c r="AKO38" s="21"/>
      <c r="AKP38" s="21"/>
      <c r="AKQ38" s="21"/>
      <c r="AKR38" s="21"/>
      <c r="AKS38" s="21"/>
      <c r="AKT38" s="21"/>
      <c r="AKU38" s="21"/>
      <c r="AKV38" s="21"/>
      <c r="AKW38" s="21"/>
      <c r="AKX38" s="21"/>
      <c r="AKY38" s="21"/>
      <c r="AKZ38" s="21"/>
      <c r="ALA38" s="21"/>
      <c r="ALB38" s="21"/>
      <c r="ALC38" s="21"/>
      <c r="ALD38" s="21"/>
      <c r="ALE38" s="21"/>
      <c r="ALF38" s="21"/>
      <c r="ALG38" s="21"/>
      <c r="ALH38" s="21"/>
      <c r="ALI38" s="21"/>
      <c r="ALJ38" s="21"/>
      <c r="ALK38" s="21"/>
      <c r="ALL38" s="21"/>
      <c r="ALM38" s="21"/>
      <c r="ALN38" s="21"/>
      <c r="ALO38" s="21"/>
      <c r="ALP38" s="21"/>
      <c r="ALQ38" s="21"/>
      <c r="ALR38" s="21"/>
      <c r="ALS38" s="21"/>
      <c r="ALT38" s="21"/>
      <c r="ALU38" s="21"/>
      <c r="ALV38" s="21"/>
      <c r="ALW38" s="21"/>
      <c r="ALX38" s="21"/>
      <c r="ALY38" s="21"/>
      <c r="ALZ38" s="21"/>
      <c r="AMA38" s="21"/>
      <c r="AMB38" s="21"/>
      <c r="AMC38" s="21"/>
      <c r="AMD38" s="21"/>
      <c r="AME38" s="21"/>
      <c r="AMF38" s="21"/>
      <c r="AMG38" s="21"/>
      <c r="AMH38" s="21"/>
      <c r="AMI38" s="21"/>
      <c r="AMJ38" s="21"/>
      <c r="AMK38" s="21"/>
      <c r="AML38" s="21"/>
      <c r="AMM38" s="21"/>
      <c r="AMN38" s="21"/>
      <c r="AMO38" s="21"/>
      <c r="AMP38" s="21"/>
      <c r="AMQ38" s="21"/>
      <c r="AMR38" s="21"/>
      <c r="AMS38" s="21"/>
      <c r="AMT38" s="21"/>
      <c r="AMU38" s="21"/>
      <c r="AMV38" s="21"/>
      <c r="AMW38" s="21"/>
      <c r="AMX38" s="21"/>
      <c r="AMY38" s="21"/>
      <c r="AMZ38" s="21"/>
      <c r="ANA38" s="21"/>
      <c r="ANB38" s="21"/>
      <c r="ANC38" s="21"/>
      <c r="AND38" s="21"/>
      <c r="ANE38" s="21"/>
      <c r="ANF38" s="21"/>
      <c r="ANG38" s="21"/>
      <c r="ANH38" s="21"/>
      <c r="ANI38" s="21"/>
      <c r="ANJ38" s="21"/>
      <c r="ANK38" s="21"/>
      <c r="ANL38" s="21"/>
      <c r="ANM38" s="21"/>
      <c r="ANN38" s="21"/>
      <c r="ANO38" s="21"/>
      <c r="ANP38" s="21"/>
      <c r="ANQ38" s="21"/>
      <c r="ANR38" s="21"/>
      <c r="ANS38" s="21"/>
      <c r="ANT38" s="21"/>
      <c r="ANU38" s="21"/>
      <c r="ANV38" s="21"/>
      <c r="ANW38" s="21"/>
      <c r="ANX38" s="21"/>
      <c r="ANY38" s="21"/>
      <c r="ANZ38" s="21"/>
      <c r="AOA38" s="21"/>
      <c r="AOB38" s="21"/>
      <c r="AOC38" s="21"/>
      <c r="AOD38" s="21"/>
      <c r="AOE38" s="21"/>
      <c r="AOF38" s="21"/>
      <c r="AOG38" s="21"/>
      <c r="AOH38" s="21"/>
      <c r="AOI38" s="21"/>
      <c r="AOJ38" s="21"/>
      <c r="AOK38" s="21"/>
      <c r="AOL38" s="21"/>
      <c r="AOM38" s="21"/>
      <c r="AON38" s="21"/>
      <c r="AOO38" s="21"/>
      <c r="AOP38" s="21"/>
      <c r="AOQ38" s="21"/>
      <c r="AOR38" s="21"/>
      <c r="AOS38" s="21"/>
      <c r="AOT38" s="21"/>
      <c r="AOU38" s="21"/>
      <c r="AOV38" s="21"/>
      <c r="AOW38" s="21"/>
      <c r="AOX38" s="21"/>
      <c r="AOY38" s="21"/>
      <c r="AOZ38" s="21"/>
      <c r="APA38" s="21"/>
      <c r="APB38" s="21"/>
      <c r="APC38" s="21"/>
      <c r="APD38" s="21"/>
      <c r="APE38" s="21"/>
      <c r="APF38" s="21"/>
      <c r="APG38" s="21"/>
      <c r="APH38" s="21"/>
      <c r="API38" s="21"/>
      <c r="APJ38" s="21"/>
      <c r="APK38" s="21"/>
      <c r="APL38" s="21"/>
      <c r="APM38" s="21"/>
      <c r="APN38" s="21"/>
      <c r="APO38" s="21"/>
      <c r="APP38" s="21"/>
      <c r="APQ38" s="21"/>
      <c r="APR38" s="21"/>
      <c r="APS38" s="21"/>
      <c r="APT38" s="21"/>
      <c r="APU38" s="21"/>
      <c r="APV38" s="21"/>
      <c r="APW38" s="21"/>
      <c r="APX38" s="21"/>
      <c r="APY38" s="21"/>
      <c r="APZ38" s="21"/>
      <c r="AQA38" s="21"/>
      <c r="AQB38" s="21"/>
      <c r="AQC38" s="21"/>
      <c r="AQD38" s="21"/>
      <c r="AQE38" s="21"/>
      <c r="AQF38" s="21"/>
      <c r="AQG38" s="21"/>
      <c r="AQH38" s="21"/>
      <c r="AQI38" s="21"/>
      <c r="AQJ38" s="21"/>
      <c r="AQK38" s="21"/>
      <c r="AQL38" s="21"/>
      <c r="AQM38" s="21"/>
      <c r="AQN38" s="21"/>
      <c r="AQO38" s="21"/>
      <c r="AQP38" s="21"/>
      <c r="AQQ38" s="21"/>
      <c r="AQR38" s="21"/>
      <c r="AQS38" s="21"/>
      <c r="AQT38" s="21"/>
      <c r="AQU38" s="21"/>
      <c r="AQV38" s="21"/>
      <c r="AQW38" s="21"/>
      <c r="AQX38" s="21"/>
      <c r="AQY38" s="21"/>
      <c r="AQZ38" s="21"/>
      <c r="ARA38" s="21"/>
      <c r="ARB38" s="21"/>
      <c r="ARC38" s="21"/>
      <c r="ARD38" s="21"/>
      <c r="ARE38" s="21"/>
      <c r="ARF38" s="21"/>
      <c r="ARG38" s="21"/>
      <c r="ARH38" s="21"/>
      <c r="ARI38" s="21"/>
      <c r="ARJ38" s="21"/>
      <c r="ARK38" s="21"/>
      <c r="ARL38" s="21"/>
      <c r="ARM38" s="21"/>
      <c r="ARN38" s="21"/>
      <c r="ARO38" s="21"/>
      <c r="ARP38" s="21"/>
      <c r="ARQ38" s="21"/>
      <c r="ARR38" s="21"/>
      <c r="ARS38" s="21"/>
      <c r="ART38" s="21"/>
      <c r="ARU38" s="21"/>
      <c r="ARV38" s="21"/>
      <c r="ARW38" s="21"/>
      <c r="ARX38" s="21"/>
      <c r="ARY38" s="21"/>
      <c r="ARZ38" s="21"/>
      <c r="ASA38" s="21"/>
      <c r="ASB38" s="21"/>
      <c r="ASC38" s="21"/>
      <c r="ASD38" s="21"/>
      <c r="ASE38" s="21"/>
      <c r="ASF38" s="21"/>
      <c r="ASG38" s="21"/>
      <c r="ASH38" s="21"/>
      <c r="ASI38" s="21"/>
      <c r="ASJ38" s="21"/>
      <c r="ASK38" s="21"/>
      <c r="ASL38" s="21"/>
      <c r="ASM38" s="21"/>
      <c r="ASN38" s="21"/>
      <c r="ASO38" s="21"/>
      <c r="ASP38" s="21"/>
      <c r="ASQ38" s="21"/>
      <c r="ASR38" s="21"/>
      <c r="ASS38" s="21"/>
      <c r="AST38" s="21"/>
      <c r="ASU38" s="21"/>
      <c r="ASV38" s="21"/>
      <c r="ASW38" s="21"/>
      <c r="ASX38" s="21"/>
      <c r="ASY38" s="21"/>
      <c r="ASZ38" s="21"/>
      <c r="ATA38" s="21"/>
      <c r="ATB38" s="21"/>
      <c r="ATC38" s="21"/>
      <c r="ATD38" s="21"/>
      <c r="ATE38" s="21"/>
      <c r="ATF38" s="21"/>
      <c r="ATG38" s="21"/>
      <c r="ATH38" s="21"/>
      <c r="ATI38" s="21"/>
      <c r="ATJ38" s="21"/>
      <c r="ATK38" s="21"/>
      <c r="ATL38" s="21"/>
      <c r="ATM38" s="21"/>
      <c r="ATN38" s="21"/>
      <c r="ATO38" s="21"/>
      <c r="ATP38" s="21"/>
      <c r="ATQ38" s="21"/>
      <c r="ATR38" s="21"/>
      <c r="ATS38" s="21"/>
      <c r="ATT38" s="21"/>
      <c r="ATU38" s="21"/>
      <c r="ATV38" s="21"/>
      <c r="ATW38" s="21"/>
      <c r="ATX38" s="21"/>
      <c r="ATY38" s="21"/>
      <c r="ATZ38" s="21"/>
      <c r="AUA38" s="21"/>
      <c r="AUB38" s="21"/>
      <c r="AUC38" s="21"/>
      <c r="AUD38" s="21"/>
      <c r="AUE38" s="21"/>
      <c r="AUF38" s="21"/>
      <c r="AUG38" s="21"/>
      <c r="AUH38" s="21"/>
      <c r="AUI38" s="21"/>
      <c r="AUJ38" s="21"/>
      <c r="AUK38" s="21"/>
      <c r="AUL38" s="21"/>
      <c r="AUM38" s="21"/>
      <c r="AUN38" s="21"/>
      <c r="AUO38" s="21"/>
      <c r="AUP38" s="21"/>
      <c r="AUQ38" s="21"/>
      <c r="AUR38" s="21"/>
      <c r="AUS38" s="21"/>
      <c r="AUT38" s="21"/>
      <c r="AUU38" s="21"/>
      <c r="AUV38" s="21"/>
      <c r="AUW38" s="21"/>
      <c r="AUX38" s="21"/>
      <c r="AUY38" s="21"/>
      <c r="AUZ38" s="21"/>
      <c r="AVA38" s="21"/>
      <c r="AVB38" s="21"/>
      <c r="AVC38" s="21"/>
      <c r="AVD38" s="21"/>
      <c r="AVE38" s="21"/>
      <c r="AVF38" s="21"/>
      <c r="AVG38" s="21"/>
      <c r="AVH38" s="21"/>
      <c r="AVI38" s="21"/>
      <c r="AVJ38" s="21"/>
      <c r="AVK38" s="21"/>
      <c r="AVL38" s="21"/>
      <c r="AVM38" s="21"/>
      <c r="AVN38" s="21"/>
      <c r="AVO38" s="21"/>
      <c r="AVP38" s="21"/>
      <c r="AVQ38" s="21"/>
      <c r="AVR38" s="21"/>
      <c r="AVS38" s="21"/>
      <c r="AVT38" s="21"/>
      <c r="AVU38" s="21"/>
      <c r="AVV38" s="21"/>
      <c r="AVW38" s="21"/>
      <c r="AVX38" s="21"/>
      <c r="AVY38" s="21"/>
      <c r="AVZ38" s="21"/>
      <c r="AWA38" s="21"/>
      <c r="AWB38" s="21"/>
      <c r="AWC38" s="21"/>
      <c r="AWD38" s="21"/>
      <c r="AWE38" s="21"/>
      <c r="AWF38" s="21"/>
      <c r="AWG38" s="21"/>
      <c r="AWH38" s="21"/>
      <c r="AWI38" s="21"/>
      <c r="AWJ38" s="21"/>
      <c r="AWK38" s="21"/>
      <c r="AWL38" s="21"/>
      <c r="AWM38" s="21"/>
      <c r="AWN38" s="21"/>
      <c r="AWO38" s="21"/>
      <c r="AWP38" s="21"/>
      <c r="AWQ38" s="21"/>
      <c r="AWR38" s="21"/>
      <c r="AWS38" s="21"/>
      <c r="AWT38" s="21"/>
      <c r="AWU38" s="21"/>
      <c r="AWV38" s="21"/>
      <c r="AWW38" s="21"/>
      <c r="AWX38" s="21"/>
      <c r="AWY38" s="21"/>
      <c r="AWZ38" s="21"/>
      <c r="AXA38" s="21"/>
      <c r="AXB38" s="21"/>
      <c r="AXC38" s="21"/>
      <c r="AXD38" s="21"/>
      <c r="AXE38" s="21"/>
      <c r="AXF38" s="21"/>
      <c r="AXG38" s="21"/>
      <c r="AXH38" s="21"/>
      <c r="AXI38" s="21"/>
      <c r="AXJ38" s="21"/>
      <c r="AXK38" s="21"/>
      <c r="AXL38" s="21"/>
      <c r="AXM38" s="21"/>
      <c r="AXN38" s="21"/>
      <c r="AXO38" s="21"/>
      <c r="AXP38" s="21"/>
      <c r="AXQ38" s="21"/>
      <c r="AXR38" s="21"/>
      <c r="AXS38" s="21"/>
      <c r="AXT38" s="21"/>
      <c r="AXU38" s="21"/>
      <c r="AXV38" s="21"/>
      <c r="AXW38" s="21"/>
      <c r="AXX38" s="21"/>
      <c r="AXY38" s="21"/>
      <c r="AXZ38" s="21"/>
      <c r="AYA38" s="21"/>
      <c r="AYB38" s="21"/>
      <c r="AYC38" s="21"/>
      <c r="AYD38" s="21"/>
      <c r="AYE38" s="21"/>
      <c r="AYF38" s="21"/>
      <c r="AYG38" s="21"/>
      <c r="AYH38" s="21"/>
      <c r="AYI38" s="21"/>
      <c r="AYJ38" s="21"/>
      <c r="AYK38" s="21"/>
      <c r="AYL38" s="21"/>
      <c r="AYM38" s="21"/>
      <c r="AYN38" s="21"/>
      <c r="AYO38" s="21"/>
      <c r="AYP38" s="21"/>
      <c r="AYQ38" s="21"/>
      <c r="AYR38" s="21"/>
      <c r="AYS38" s="21"/>
      <c r="AYT38" s="21"/>
      <c r="AYU38" s="21"/>
      <c r="AYV38" s="21"/>
      <c r="AYW38" s="21"/>
      <c r="AYX38" s="21"/>
      <c r="AYY38" s="21"/>
      <c r="AYZ38" s="21"/>
      <c r="AZA38" s="21"/>
      <c r="AZB38" s="21"/>
      <c r="AZC38" s="21"/>
      <c r="AZD38" s="21"/>
      <c r="AZE38" s="21"/>
      <c r="AZF38" s="21"/>
      <c r="AZG38" s="21"/>
      <c r="AZH38" s="21"/>
      <c r="AZI38" s="21"/>
      <c r="AZJ38" s="21"/>
      <c r="AZK38" s="21"/>
      <c r="AZL38" s="21"/>
      <c r="AZM38" s="21"/>
      <c r="AZN38" s="21"/>
      <c r="AZO38" s="21"/>
      <c r="AZP38" s="21"/>
      <c r="AZQ38" s="21"/>
      <c r="AZR38" s="21"/>
      <c r="AZS38" s="21"/>
      <c r="AZT38" s="21"/>
      <c r="AZU38" s="21"/>
      <c r="AZV38" s="21"/>
      <c r="AZW38" s="21"/>
      <c r="AZX38" s="21"/>
      <c r="AZY38" s="21"/>
      <c r="AZZ38" s="21"/>
      <c r="BAA38" s="21"/>
      <c r="BAB38" s="21"/>
      <c r="BAC38" s="21"/>
      <c r="BAD38" s="21"/>
      <c r="BAE38" s="21"/>
      <c r="BAF38" s="21"/>
      <c r="BAG38" s="21"/>
      <c r="BAH38" s="21"/>
      <c r="BAI38" s="21"/>
      <c r="BAJ38" s="21"/>
      <c r="BAK38" s="21"/>
      <c r="BAL38" s="21"/>
      <c r="BAM38" s="21"/>
      <c r="BAN38" s="21"/>
      <c r="BAO38" s="21"/>
      <c r="BAP38" s="21"/>
      <c r="BAQ38" s="21"/>
      <c r="BAR38" s="21"/>
      <c r="BAS38" s="21"/>
      <c r="BAT38" s="21"/>
      <c r="BAU38" s="21"/>
      <c r="BAV38" s="21"/>
      <c r="BAW38" s="21"/>
      <c r="BAX38" s="21"/>
      <c r="BAY38" s="21"/>
      <c r="BAZ38" s="21"/>
      <c r="BBA38" s="21"/>
      <c r="BBB38" s="21"/>
      <c r="BBC38" s="21"/>
      <c r="BBD38" s="21"/>
      <c r="BBE38" s="21"/>
      <c r="BBF38" s="21"/>
      <c r="BBG38" s="21"/>
      <c r="BBH38" s="21"/>
      <c r="BBI38" s="21"/>
      <c r="BBJ38" s="21"/>
      <c r="BBK38" s="21"/>
      <c r="BBL38" s="21"/>
      <c r="BBM38" s="21"/>
      <c r="BBN38" s="21"/>
      <c r="BBO38" s="21"/>
      <c r="BBP38" s="21"/>
      <c r="BBQ38" s="21"/>
      <c r="BBR38" s="21"/>
      <c r="BBS38" s="21"/>
      <c r="BBT38" s="21"/>
      <c r="BBU38" s="21"/>
      <c r="BBV38" s="21"/>
      <c r="BBW38" s="21"/>
      <c r="BBX38" s="21"/>
      <c r="BBY38" s="21"/>
      <c r="BBZ38" s="21"/>
      <c r="BCA38" s="21"/>
      <c r="BCB38" s="21"/>
      <c r="BCC38" s="21"/>
      <c r="BCD38" s="21"/>
      <c r="BCE38" s="21"/>
      <c r="BCF38" s="21"/>
      <c r="BCG38" s="21"/>
      <c r="BCH38" s="21"/>
      <c r="BCI38" s="21"/>
      <c r="BCJ38" s="21"/>
      <c r="BCK38" s="21"/>
      <c r="BCL38" s="21"/>
      <c r="BCM38" s="21"/>
      <c r="BCN38" s="21"/>
      <c r="BCO38" s="21"/>
      <c r="BCP38" s="21"/>
      <c r="BCQ38" s="21"/>
      <c r="BCR38" s="21"/>
      <c r="BCS38" s="21"/>
      <c r="BCT38" s="21"/>
      <c r="BCU38" s="21"/>
      <c r="BCV38" s="21"/>
      <c r="BCW38" s="21"/>
      <c r="BCX38" s="21"/>
      <c r="BCY38" s="21"/>
      <c r="BCZ38" s="21"/>
      <c r="BDA38" s="21"/>
      <c r="BDB38" s="21"/>
      <c r="BDC38" s="21"/>
      <c r="BDD38" s="21"/>
      <c r="BDE38" s="21"/>
      <c r="BDF38" s="21"/>
      <c r="BDG38" s="21"/>
      <c r="BDH38" s="21"/>
      <c r="BDI38" s="21"/>
      <c r="BDJ38" s="21"/>
      <c r="BDK38" s="21"/>
      <c r="BDL38" s="21"/>
      <c r="BDM38" s="21"/>
      <c r="BDN38" s="21"/>
      <c r="BDO38" s="21"/>
      <c r="BDP38" s="21"/>
      <c r="BDQ38" s="21"/>
      <c r="BDR38" s="21"/>
      <c r="BDS38" s="21"/>
      <c r="BDT38" s="21"/>
      <c r="BDU38" s="21"/>
      <c r="BDV38" s="21"/>
      <c r="BDW38" s="21"/>
      <c r="BDX38" s="21"/>
      <c r="BDY38" s="21"/>
      <c r="BDZ38" s="21"/>
      <c r="BEA38" s="21"/>
      <c r="BEB38" s="21"/>
      <c r="BEC38" s="21"/>
      <c r="BED38" s="21"/>
      <c r="BEE38" s="21"/>
      <c r="BEF38" s="21"/>
      <c r="BEG38" s="21"/>
      <c r="BEH38" s="21"/>
      <c r="BEI38" s="21"/>
      <c r="BEJ38" s="21"/>
      <c r="BEK38" s="21"/>
      <c r="BEL38" s="21"/>
      <c r="BEM38" s="21"/>
      <c r="BEN38" s="21"/>
      <c r="BEO38" s="21"/>
      <c r="BEP38" s="21"/>
      <c r="BEQ38" s="21"/>
      <c r="BER38" s="21"/>
      <c r="BES38" s="21"/>
      <c r="BET38" s="21"/>
      <c r="BEU38" s="21"/>
      <c r="BEV38" s="21"/>
      <c r="BEW38" s="21"/>
      <c r="BEX38" s="21"/>
      <c r="BEY38" s="21"/>
      <c r="BEZ38" s="21"/>
      <c r="BFA38" s="21"/>
      <c r="BFB38" s="21"/>
      <c r="BFC38" s="21"/>
      <c r="BFD38" s="21"/>
      <c r="BFE38" s="21"/>
      <c r="BFF38" s="21"/>
      <c r="BFG38" s="21"/>
      <c r="BFH38" s="21"/>
      <c r="BFI38" s="21"/>
      <c r="BFJ38" s="21"/>
      <c r="BFK38" s="21"/>
      <c r="BFL38" s="21"/>
      <c r="BFM38" s="21"/>
      <c r="BFN38" s="21"/>
      <c r="BFO38" s="21"/>
      <c r="BFP38" s="21"/>
      <c r="BFQ38" s="21"/>
      <c r="BFR38" s="21"/>
      <c r="BFS38" s="21"/>
      <c r="BFT38" s="21"/>
      <c r="BFU38" s="21"/>
      <c r="BFV38" s="21"/>
      <c r="BFW38" s="21"/>
      <c r="BFX38" s="21"/>
      <c r="BFY38" s="21"/>
      <c r="BFZ38" s="21"/>
      <c r="BGA38" s="21"/>
      <c r="BGB38" s="21"/>
      <c r="BGC38" s="21"/>
      <c r="BGD38" s="21"/>
      <c r="BGE38" s="21"/>
      <c r="BGF38" s="21"/>
      <c r="BGG38" s="21"/>
      <c r="BGH38" s="21"/>
      <c r="BGI38" s="21"/>
      <c r="BGJ38" s="21"/>
      <c r="BGK38" s="21"/>
      <c r="BGL38" s="21"/>
      <c r="BGM38" s="21"/>
      <c r="BGN38" s="21"/>
      <c r="BGO38" s="21"/>
      <c r="BGP38" s="21"/>
      <c r="BGQ38" s="21"/>
      <c r="BGR38" s="21"/>
      <c r="BGS38" s="21"/>
      <c r="BGT38" s="21"/>
      <c r="BGU38" s="21"/>
      <c r="BGV38" s="21"/>
      <c r="BGW38" s="21"/>
      <c r="BGX38" s="21"/>
      <c r="BGY38" s="21"/>
      <c r="BGZ38" s="21"/>
      <c r="BHA38" s="21"/>
      <c r="BHB38" s="21"/>
      <c r="BHC38" s="21"/>
      <c r="BHD38" s="21"/>
      <c r="BHE38" s="21"/>
      <c r="BHF38" s="21"/>
      <c r="BHG38" s="21"/>
      <c r="BHH38" s="21"/>
      <c r="BHI38" s="21"/>
      <c r="BHJ38" s="21"/>
      <c r="BHK38" s="21"/>
      <c r="BHL38" s="21"/>
      <c r="BHM38" s="21"/>
      <c r="BHN38" s="21"/>
      <c r="BHO38" s="21"/>
      <c r="BHP38" s="21"/>
      <c r="BHQ38" s="21"/>
      <c r="BHR38" s="21"/>
      <c r="BHS38" s="21"/>
      <c r="BHT38" s="21"/>
      <c r="BHU38" s="21"/>
      <c r="BHV38" s="21"/>
      <c r="BHW38" s="21"/>
      <c r="BHX38" s="21"/>
      <c r="BHY38" s="21"/>
      <c r="BHZ38" s="21"/>
      <c r="BIA38" s="21"/>
      <c r="BIB38" s="21"/>
      <c r="BIC38" s="21"/>
      <c r="BID38" s="21"/>
      <c r="BIE38" s="21"/>
      <c r="BIF38" s="21"/>
      <c r="BIG38" s="21"/>
      <c r="BIH38" s="21"/>
      <c r="BII38" s="21"/>
      <c r="BIJ38" s="21"/>
      <c r="BIK38" s="21"/>
      <c r="BIL38" s="21"/>
      <c r="BIM38" s="21"/>
      <c r="BIN38" s="21"/>
      <c r="BIO38" s="21"/>
      <c r="BIP38" s="21"/>
      <c r="BIQ38" s="21"/>
      <c r="BIR38" s="21"/>
      <c r="BIS38" s="21"/>
      <c r="BIT38" s="21"/>
      <c r="BIU38" s="21"/>
      <c r="BIV38" s="21"/>
      <c r="BIW38" s="21"/>
      <c r="BIX38" s="21"/>
      <c r="BIY38" s="21"/>
      <c r="BIZ38" s="21"/>
      <c r="BJA38" s="21"/>
      <c r="BJB38" s="21"/>
      <c r="BJC38" s="21"/>
      <c r="BJD38" s="21"/>
      <c r="BJE38" s="21"/>
      <c r="BJF38" s="21"/>
      <c r="BJG38" s="21"/>
      <c r="BJH38" s="21"/>
      <c r="BJI38" s="21"/>
      <c r="BJJ38" s="21"/>
      <c r="BJK38" s="21"/>
      <c r="BJL38" s="21"/>
      <c r="BJM38" s="21"/>
      <c r="BJN38" s="21"/>
      <c r="BJO38" s="21"/>
      <c r="BJP38" s="21"/>
      <c r="BJQ38" s="21"/>
      <c r="BJR38" s="21"/>
      <c r="BJS38" s="21"/>
      <c r="BJT38" s="21"/>
      <c r="BJU38" s="21"/>
      <c r="BJV38" s="21"/>
      <c r="BJW38" s="21"/>
      <c r="BJX38" s="21"/>
      <c r="BJY38" s="21"/>
      <c r="BJZ38" s="21"/>
      <c r="BKA38" s="21"/>
      <c r="BKB38" s="21"/>
      <c r="BKC38" s="21"/>
      <c r="BKD38" s="21"/>
      <c r="BKE38" s="21"/>
      <c r="BKF38" s="21"/>
      <c r="BKG38" s="21"/>
      <c r="BKH38" s="21"/>
      <c r="BKI38" s="21"/>
      <c r="BKJ38" s="21"/>
      <c r="BKK38" s="21"/>
      <c r="BKL38" s="21"/>
      <c r="BKM38" s="21"/>
      <c r="BKN38" s="21"/>
      <c r="BKO38" s="21"/>
      <c r="BKP38" s="21"/>
      <c r="BKQ38" s="21"/>
      <c r="BKR38" s="21"/>
      <c r="BKS38" s="21"/>
      <c r="BKT38" s="21"/>
      <c r="BKU38" s="21"/>
      <c r="BKV38" s="21"/>
      <c r="BKW38" s="21"/>
      <c r="BKX38" s="21"/>
      <c r="BKY38" s="21"/>
      <c r="BKZ38" s="21"/>
      <c r="BLA38" s="21"/>
      <c r="BLB38" s="21"/>
      <c r="BLC38" s="21"/>
      <c r="BLD38" s="21"/>
      <c r="BLE38" s="21"/>
      <c r="BLF38" s="21"/>
      <c r="BLG38" s="21"/>
      <c r="BLH38" s="21"/>
      <c r="BLI38" s="21"/>
      <c r="BLJ38" s="21"/>
      <c r="BLK38" s="21"/>
      <c r="BLL38" s="21"/>
      <c r="BLM38" s="21"/>
      <c r="BLN38" s="21"/>
      <c r="BLO38" s="21"/>
      <c r="BLP38" s="21"/>
      <c r="BLQ38" s="21"/>
      <c r="BLR38" s="21"/>
      <c r="BLS38" s="21"/>
      <c r="BLT38" s="21"/>
      <c r="BLU38" s="21"/>
      <c r="BLV38" s="21"/>
      <c r="BLW38" s="21"/>
      <c r="BLX38" s="21"/>
      <c r="BLY38" s="21"/>
      <c r="BLZ38" s="21"/>
      <c r="BMA38" s="21"/>
      <c r="BMB38" s="21"/>
      <c r="BMC38" s="21"/>
      <c r="BMD38" s="21"/>
      <c r="BME38" s="21"/>
      <c r="BMF38" s="21"/>
      <c r="BMG38" s="21"/>
      <c r="BMH38" s="21"/>
      <c r="BMI38" s="21"/>
      <c r="BMJ38" s="21"/>
      <c r="BMK38" s="21"/>
      <c r="BML38" s="21"/>
      <c r="BMM38" s="21"/>
      <c r="BMN38" s="21"/>
      <c r="BMO38" s="21"/>
      <c r="BMP38" s="21"/>
      <c r="BMQ38" s="21"/>
      <c r="BMR38" s="21"/>
      <c r="BMS38" s="21"/>
      <c r="BMT38" s="21"/>
      <c r="BMU38" s="21"/>
      <c r="BMV38" s="21"/>
      <c r="BMW38" s="21"/>
      <c r="BMX38" s="21"/>
      <c r="BMY38" s="21"/>
      <c r="BMZ38" s="21"/>
      <c r="BNA38" s="21"/>
      <c r="BNB38" s="21"/>
      <c r="BNC38" s="21"/>
      <c r="BND38" s="21"/>
      <c r="BNE38" s="21"/>
      <c r="BNF38" s="21"/>
      <c r="BNG38" s="21"/>
      <c r="BNH38" s="21"/>
      <c r="BNI38" s="21"/>
      <c r="BNJ38" s="21"/>
      <c r="BNK38" s="21"/>
      <c r="BNL38" s="21"/>
      <c r="BNM38" s="21"/>
      <c r="BNN38" s="21"/>
      <c r="BNO38" s="21"/>
      <c r="BNP38" s="21"/>
      <c r="BNQ38" s="21"/>
      <c r="BNR38" s="21"/>
      <c r="BNS38" s="21"/>
      <c r="BNT38" s="21"/>
      <c r="BNU38" s="21"/>
      <c r="BNV38" s="21"/>
      <c r="BNW38" s="21"/>
      <c r="BNX38" s="21"/>
      <c r="BNY38" s="21"/>
      <c r="BNZ38" s="21"/>
      <c r="BOA38" s="21"/>
      <c r="BOB38" s="21"/>
      <c r="BOC38" s="21"/>
      <c r="BOD38" s="21"/>
      <c r="BOE38" s="21"/>
      <c r="BOF38" s="21"/>
      <c r="BOG38" s="21"/>
      <c r="BOH38" s="21"/>
      <c r="BOI38" s="21"/>
      <c r="BOJ38" s="21"/>
      <c r="BOK38" s="21"/>
      <c r="BOL38" s="21"/>
      <c r="BOM38" s="21"/>
      <c r="BON38" s="21"/>
      <c r="BOO38" s="21"/>
      <c r="BOP38" s="21"/>
      <c r="BOQ38" s="21"/>
      <c r="BOR38" s="21"/>
      <c r="BOS38" s="21"/>
      <c r="BOT38" s="21"/>
      <c r="BOU38" s="21"/>
      <c r="BOV38" s="21"/>
      <c r="BOW38" s="21"/>
      <c r="BOX38" s="21"/>
      <c r="BOY38" s="21"/>
      <c r="BOZ38" s="21"/>
      <c r="BPA38" s="21"/>
      <c r="BPB38" s="21"/>
      <c r="BPC38" s="21"/>
      <c r="BPD38" s="21"/>
      <c r="BPE38" s="21"/>
      <c r="BPF38" s="21"/>
      <c r="BPG38" s="21"/>
      <c r="BPH38" s="21"/>
      <c r="BPI38" s="21"/>
      <c r="BPJ38" s="21"/>
      <c r="BPK38" s="21"/>
      <c r="BPL38" s="21"/>
      <c r="BPM38" s="21"/>
      <c r="BPN38" s="21"/>
      <c r="BPO38" s="21"/>
      <c r="BPP38" s="21"/>
      <c r="BPQ38" s="21"/>
      <c r="BPR38" s="21"/>
      <c r="BPS38" s="21"/>
      <c r="BPT38" s="21"/>
      <c r="BPU38" s="21"/>
      <c r="BPV38" s="21"/>
      <c r="BPW38" s="21"/>
      <c r="BPX38" s="21"/>
      <c r="BPY38" s="21"/>
      <c r="BPZ38" s="21"/>
      <c r="BQA38" s="21"/>
      <c r="BQB38" s="21"/>
      <c r="BQC38" s="21"/>
      <c r="BQD38" s="21"/>
      <c r="BQE38" s="21"/>
      <c r="BQF38" s="21"/>
      <c r="BQG38" s="21"/>
      <c r="BQH38" s="21"/>
      <c r="BQI38" s="21"/>
      <c r="BQJ38" s="21"/>
      <c r="BQK38" s="21"/>
      <c r="BQL38" s="21"/>
      <c r="BQM38" s="21"/>
      <c r="BQN38" s="21"/>
      <c r="BQO38" s="21"/>
      <c r="BQP38" s="21"/>
      <c r="BQQ38" s="21"/>
      <c r="BQR38" s="21"/>
      <c r="BQS38" s="21"/>
      <c r="BQT38" s="21"/>
      <c r="BQU38" s="21"/>
      <c r="BQV38" s="21"/>
      <c r="BQW38" s="21"/>
      <c r="BQX38" s="21"/>
      <c r="BQY38" s="21"/>
      <c r="BQZ38" s="21"/>
      <c r="BRA38" s="21"/>
      <c r="BRB38" s="21"/>
      <c r="BRC38" s="21"/>
      <c r="BRD38" s="21"/>
      <c r="BRE38" s="21"/>
      <c r="BRF38" s="21"/>
      <c r="BRG38" s="21"/>
      <c r="BRH38" s="21"/>
      <c r="BRI38" s="21"/>
      <c r="BRJ38" s="21"/>
      <c r="BRK38" s="21"/>
      <c r="BRL38" s="21"/>
      <c r="BRM38" s="21"/>
      <c r="BRN38" s="21"/>
      <c r="BRO38" s="21"/>
      <c r="BRP38" s="21"/>
      <c r="BRQ38" s="21"/>
      <c r="BRR38" s="21"/>
      <c r="BRS38" s="21"/>
      <c r="BRT38" s="21"/>
      <c r="BRU38" s="21"/>
      <c r="BRV38" s="21"/>
      <c r="BRW38" s="21"/>
      <c r="BRX38" s="21"/>
      <c r="BRY38" s="21"/>
      <c r="BRZ38" s="21"/>
      <c r="BSA38" s="21"/>
      <c r="BSB38" s="21"/>
      <c r="BSC38" s="21"/>
      <c r="BSD38" s="21"/>
      <c r="BSE38" s="21"/>
      <c r="BSF38" s="21"/>
      <c r="BSG38" s="21"/>
      <c r="BSH38" s="21"/>
      <c r="BSI38" s="21"/>
      <c r="BSJ38" s="21"/>
      <c r="BSK38" s="21"/>
      <c r="BSL38" s="21"/>
      <c r="BSM38" s="21"/>
      <c r="BSN38" s="21"/>
      <c r="BSO38" s="21"/>
      <c r="BSP38" s="21"/>
      <c r="BSQ38" s="21"/>
      <c r="BSR38" s="21"/>
      <c r="BSS38" s="21"/>
      <c r="BST38" s="21"/>
      <c r="BSU38" s="21"/>
      <c r="BSV38" s="21"/>
      <c r="BSW38" s="21"/>
      <c r="BSX38" s="21"/>
      <c r="BSY38" s="21"/>
      <c r="BSZ38" s="21"/>
      <c r="BTA38" s="21"/>
      <c r="BTB38" s="21"/>
      <c r="BTC38" s="21"/>
      <c r="BTD38" s="21"/>
      <c r="BTE38" s="21"/>
      <c r="BTF38" s="21"/>
      <c r="BTG38" s="21"/>
      <c r="BTH38" s="21"/>
      <c r="BTI38" s="21"/>
      <c r="BTJ38" s="21"/>
      <c r="BTK38" s="21"/>
      <c r="BTL38" s="21"/>
      <c r="BTM38" s="21"/>
      <c r="BTN38" s="21"/>
      <c r="BTO38" s="21"/>
      <c r="BTP38" s="21"/>
      <c r="BTQ38" s="21"/>
      <c r="BTR38" s="21"/>
      <c r="BTS38" s="21"/>
      <c r="BTT38" s="21"/>
      <c r="BTU38" s="21"/>
      <c r="BTV38" s="21"/>
      <c r="BTW38" s="21"/>
      <c r="BTX38" s="21"/>
      <c r="BTY38" s="21"/>
      <c r="BTZ38" s="21"/>
      <c r="BUA38" s="21"/>
      <c r="BUB38" s="21"/>
      <c r="BUC38" s="21"/>
      <c r="BUD38" s="21"/>
      <c r="BUE38" s="21"/>
      <c r="BUF38" s="21"/>
      <c r="BUG38" s="21"/>
      <c r="BUH38" s="21"/>
      <c r="BUI38" s="21"/>
      <c r="BUJ38" s="21"/>
      <c r="BUK38" s="21"/>
      <c r="BUL38" s="21"/>
      <c r="BUM38" s="21"/>
      <c r="BUN38" s="21"/>
      <c r="BUO38" s="21"/>
      <c r="BUP38" s="21"/>
      <c r="BUQ38" s="21"/>
      <c r="BUR38" s="21"/>
      <c r="BUS38" s="21"/>
      <c r="BUT38" s="21"/>
      <c r="BUU38" s="21"/>
      <c r="BUV38" s="21"/>
      <c r="BUW38" s="21"/>
      <c r="BUX38" s="21"/>
      <c r="BUY38" s="21"/>
      <c r="BUZ38" s="21"/>
      <c r="BVA38" s="21"/>
      <c r="BVB38" s="21"/>
      <c r="BVC38" s="21"/>
      <c r="BVD38" s="21"/>
      <c r="BVE38" s="21"/>
      <c r="BVF38" s="21"/>
      <c r="BVG38" s="21"/>
      <c r="BVH38" s="21"/>
      <c r="BVI38" s="21"/>
      <c r="BVJ38" s="21"/>
      <c r="BVK38" s="21"/>
      <c r="BVL38" s="21"/>
      <c r="BVM38" s="21"/>
      <c r="BVN38" s="21"/>
      <c r="BVO38" s="21"/>
      <c r="BVP38" s="21"/>
      <c r="BVQ38" s="21"/>
      <c r="BVR38" s="21"/>
      <c r="BVS38" s="21"/>
      <c r="BVT38" s="21"/>
      <c r="BVU38" s="21"/>
      <c r="BVV38" s="21"/>
      <c r="BVW38" s="21"/>
      <c r="BVX38" s="21"/>
      <c r="BVY38" s="21"/>
      <c r="BVZ38" s="21"/>
      <c r="BWA38" s="21"/>
      <c r="BWB38" s="21"/>
      <c r="BWC38" s="21"/>
      <c r="BWD38" s="21"/>
      <c r="BWE38" s="21"/>
      <c r="BWF38" s="21"/>
      <c r="BWG38" s="21"/>
      <c r="BWH38" s="21"/>
      <c r="BWI38" s="21"/>
      <c r="BWJ38" s="21"/>
      <c r="BWK38" s="21"/>
      <c r="BWL38" s="21"/>
      <c r="BWM38" s="21"/>
      <c r="BWN38" s="21"/>
      <c r="BWO38" s="21"/>
      <c r="BWP38" s="21"/>
      <c r="BWQ38" s="21"/>
      <c r="BWR38" s="21"/>
      <c r="BWS38" s="21"/>
      <c r="BWT38" s="21"/>
      <c r="BWU38" s="21"/>
      <c r="BWV38" s="21"/>
      <c r="BWW38" s="21"/>
      <c r="BWX38" s="21"/>
      <c r="BWY38" s="21"/>
      <c r="BWZ38" s="21"/>
      <c r="BXA38" s="21"/>
      <c r="BXB38" s="21"/>
      <c r="BXC38" s="21"/>
      <c r="BXD38" s="21"/>
      <c r="BXE38" s="21"/>
      <c r="BXF38" s="21"/>
      <c r="BXG38" s="21"/>
      <c r="BXH38" s="21"/>
      <c r="BXI38" s="21"/>
      <c r="BXJ38" s="21"/>
      <c r="BXK38" s="21"/>
      <c r="BXL38" s="21"/>
      <c r="BXM38" s="21"/>
      <c r="BXN38" s="21"/>
      <c r="BXO38" s="21"/>
      <c r="BXP38" s="21"/>
      <c r="BXQ38" s="21"/>
      <c r="BXR38" s="21"/>
      <c r="BXS38" s="21"/>
      <c r="BXT38" s="21"/>
      <c r="BXU38" s="21"/>
      <c r="BXV38" s="21"/>
      <c r="BXW38" s="21"/>
      <c r="BXX38" s="21"/>
      <c r="BXY38" s="21"/>
      <c r="BXZ38" s="21"/>
      <c r="BYA38" s="21"/>
      <c r="BYB38" s="21"/>
      <c r="BYC38" s="21"/>
      <c r="BYD38" s="21"/>
      <c r="BYE38" s="21"/>
      <c r="BYF38" s="21"/>
      <c r="BYG38" s="21"/>
      <c r="BYH38" s="21"/>
      <c r="BYI38" s="21"/>
      <c r="BYJ38" s="21"/>
      <c r="BYK38" s="21"/>
      <c r="BYL38" s="21"/>
      <c r="BYM38" s="21"/>
      <c r="BYN38" s="21"/>
      <c r="BYO38" s="21"/>
      <c r="BYP38" s="21"/>
      <c r="BYQ38" s="21"/>
      <c r="BYR38" s="21"/>
      <c r="BYS38" s="21"/>
      <c r="BYT38" s="21"/>
      <c r="BYU38" s="21"/>
      <c r="BYV38" s="21"/>
      <c r="BYW38" s="21"/>
      <c r="BYX38" s="21"/>
      <c r="BYY38" s="21"/>
      <c r="BYZ38" s="21"/>
      <c r="BZA38" s="21"/>
      <c r="BZB38" s="21"/>
      <c r="BZC38" s="21"/>
      <c r="BZD38" s="21"/>
      <c r="BZE38" s="21"/>
      <c r="BZF38" s="21"/>
      <c r="BZG38" s="21"/>
      <c r="BZH38" s="21"/>
      <c r="BZI38" s="21"/>
      <c r="BZJ38" s="21"/>
      <c r="BZK38" s="21"/>
      <c r="BZL38" s="21"/>
      <c r="BZM38" s="21"/>
      <c r="BZN38" s="21"/>
      <c r="BZO38" s="21"/>
      <c r="BZP38" s="21"/>
      <c r="BZQ38" s="21"/>
      <c r="BZR38" s="21"/>
      <c r="BZS38" s="21"/>
      <c r="BZT38" s="21"/>
      <c r="BZU38" s="21"/>
      <c r="BZV38" s="21"/>
      <c r="BZW38" s="21"/>
      <c r="BZX38" s="21"/>
      <c r="BZY38" s="21"/>
      <c r="BZZ38" s="21"/>
      <c r="CAA38" s="21"/>
      <c r="CAB38" s="21"/>
      <c r="CAC38" s="21"/>
      <c r="CAD38" s="21"/>
      <c r="CAE38" s="21"/>
      <c r="CAF38" s="21"/>
      <c r="CAG38" s="21"/>
      <c r="CAH38" s="21"/>
      <c r="CAI38" s="21"/>
      <c r="CAJ38" s="21"/>
      <c r="CAK38" s="21"/>
      <c r="CAL38" s="21"/>
      <c r="CAM38" s="21"/>
      <c r="CAN38" s="21"/>
      <c r="CAO38" s="21"/>
      <c r="CAP38" s="21"/>
      <c r="CAQ38" s="21"/>
      <c r="CAR38" s="21"/>
      <c r="CAS38" s="21"/>
      <c r="CAT38" s="21"/>
      <c r="CAU38" s="21"/>
      <c r="CAV38" s="21"/>
      <c r="CAW38" s="21"/>
      <c r="CAX38" s="21"/>
      <c r="CAY38" s="21"/>
      <c r="CAZ38" s="21"/>
      <c r="CBA38" s="21"/>
      <c r="CBB38" s="21"/>
      <c r="CBC38" s="21"/>
      <c r="CBD38" s="21"/>
      <c r="CBE38" s="21"/>
      <c r="CBF38" s="21"/>
      <c r="CBG38" s="21"/>
      <c r="CBH38" s="21"/>
      <c r="CBI38" s="21"/>
      <c r="CBJ38" s="21"/>
      <c r="CBK38" s="21"/>
      <c r="CBL38" s="21"/>
      <c r="CBM38" s="21"/>
      <c r="CBN38" s="21"/>
      <c r="CBO38" s="21"/>
      <c r="CBP38" s="21"/>
      <c r="CBQ38" s="21"/>
      <c r="CBR38" s="21"/>
      <c r="CBS38" s="21"/>
      <c r="CBT38" s="21"/>
      <c r="CBU38" s="21"/>
      <c r="CBV38" s="21"/>
      <c r="CBW38" s="21"/>
      <c r="CBX38" s="21"/>
      <c r="CBY38" s="21"/>
      <c r="CBZ38" s="21"/>
      <c r="CCA38" s="21"/>
      <c r="CCB38" s="21"/>
      <c r="CCC38" s="21"/>
      <c r="CCD38" s="21"/>
      <c r="CCE38" s="21"/>
      <c r="CCF38" s="21"/>
      <c r="CCG38" s="21"/>
      <c r="CCH38" s="21"/>
      <c r="CCI38" s="21"/>
      <c r="CCJ38" s="21"/>
      <c r="CCK38" s="21"/>
      <c r="CCL38" s="21"/>
      <c r="CCM38" s="21"/>
      <c r="CCN38" s="21"/>
      <c r="CCO38" s="21"/>
      <c r="CCP38" s="21"/>
      <c r="CCQ38" s="21"/>
      <c r="CCR38" s="21"/>
      <c r="CCS38" s="21"/>
      <c r="CCT38" s="21"/>
      <c r="CCU38" s="21"/>
      <c r="CCV38" s="21"/>
      <c r="CCW38" s="21"/>
      <c r="CCX38" s="21"/>
      <c r="CCY38" s="21"/>
      <c r="CCZ38" s="21"/>
      <c r="CDA38" s="21"/>
      <c r="CDB38" s="21"/>
      <c r="CDC38" s="21"/>
      <c r="CDD38" s="21"/>
      <c r="CDE38" s="21"/>
      <c r="CDF38" s="21"/>
      <c r="CDG38" s="21"/>
      <c r="CDH38" s="21"/>
      <c r="CDI38" s="21"/>
      <c r="CDJ38" s="21"/>
      <c r="CDK38" s="21"/>
      <c r="CDL38" s="21"/>
      <c r="CDM38" s="21"/>
      <c r="CDN38" s="21"/>
      <c r="CDO38" s="21"/>
      <c r="CDP38" s="21"/>
      <c r="CDQ38" s="21"/>
      <c r="CDR38" s="21"/>
      <c r="CDS38" s="21"/>
      <c r="CDT38" s="21"/>
      <c r="CDU38" s="21"/>
      <c r="CDV38" s="21"/>
      <c r="CDW38" s="21"/>
      <c r="CDX38" s="21"/>
      <c r="CDY38" s="21"/>
      <c r="CDZ38" s="21"/>
      <c r="CEA38" s="21"/>
      <c r="CEB38" s="21"/>
      <c r="CEC38" s="21"/>
      <c r="CED38" s="21"/>
      <c r="CEE38" s="21"/>
      <c r="CEF38" s="21"/>
      <c r="CEG38" s="21"/>
      <c r="CEH38" s="21"/>
      <c r="CEI38" s="21"/>
      <c r="CEJ38" s="21"/>
      <c r="CEK38" s="21"/>
      <c r="CEL38" s="21"/>
      <c r="CEM38" s="21"/>
      <c r="CEN38" s="21"/>
      <c r="CEO38" s="21"/>
      <c r="CEP38" s="21"/>
      <c r="CEQ38" s="21"/>
      <c r="CER38" s="21"/>
      <c r="CES38" s="21"/>
      <c r="CET38" s="21"/>
      <c r="CEU38" s="21"/>
      <c r="CEV38" s="21"/>
      <c r="CEW38" s="21"/>
      <c r="CEX38" s="21"/>
      <c r="CEY38" s="21"/>
      <c r="CEZ38" s="21"/>
      <c r="CFA38" s="21"/>
      <c r="CFB38" s="21"/>
      <c r="CFC38" s="21"/>
      <c r="CFD38" s="21"/>
      <c r="CFE38" s="21"/>
      <c r="CFF38" s="21"/>
      <c r="CFG38" s="21"/>
      <c r="CFH38" s="21"/>
      <c r="CFI38" s="21"/>
      <c r="CFJ38" s="21"/>
      <c r="CFK38" s="21"/>
      <c r="CFL38" s="21"/>
      <c r="CFM38" s="21"/>
      <c r="CFN38" s="21"/>
      <c r="CFO38" s="21"/>
      <c r="CFP38" s="21"/>
      <c r="CFQ38" s="21"/>
      <c r="CFR38" s="21"/>
      <c r="CFS38" s="21"/>
      <c r="CFT38" s="21"/>
      <c r="CFU38" s="21"/>
      <c r="CFV38" s="21"/>
      <c r="CFW38" s="21"/>
      <c r="CFX38" s="21"/>
      <c r="CFY38" s="21"/>
      <c r="CFZ38" s="21"/>
      <c r="CGA38" s="21"/>
      <c r="CGB38" s="21"/>
      <c r="CGC38" s="21"/>
      <c r="CGD38" s="21"/>
      <c r="CGE38" s="21"/>
      <c r="CGF38" s="21"/>
      <c r="CGG38" s="21"/>
      <c r="CGH38" s="21"/>
      <c r="CGI38" s="21"/>
      <c r="CGJ38" s="21"/>
      <c r="CGK38" s="21"/>
      <c r="CGL38" s="21"/>
      <c r="CGM38" s="21"/>
      <c r="CGN38" s="21"/>
      <c r="CGO38" s="21"/>
      <c r="CGP38" s="21"/>
      <c r="CGQ38" s="21"/>
      <c r="CGR38" s="21"/>
      <c r="CGS38" s="21"/>
      <c r="CGT38" s="21"/>
      <c r="CGU38" s="21"/>
      <c r="CGV38" s="21"/>
      <c r="CGW38" s="21"/>
      <c r="CGX38" s="21"/>
      <c r="CGY38" s="21"/>
      <c r="CGZ38" s="21"/>
      <c r="CHA38" s="21"/>
      <c r="CHB38" s="21"/>
      <c r="CHC38" s="21"/>
      <c r="CHD38" s="21"/>
      <c r="CHE38" s="21"/>
      <c r="CHF38" s="21"/>
      <c r="CHG38" s="21"/>
      <c r="CHH38" s="21"/>
      <c r="CHI38" s="21"/>
      <c r="CHJ38" s="21"/>
      <c r="CHK38" s="21"/>
      <c r="CHL38" s="21"/>
      <c r="CHM38" s="21"/>
      <c r="CHN38" s="21"/>
      <c r="CHO38" s="21"/>
      <c r="CHP38" s="21"/>
      <c r="CHQ38" s="21"/>
      <c r="CHR38" s="21"/>
      <c r="CHS38" s="21"/>
      <c r="CHT38" s="21"/>
      <c r="CHU38" s="21"/>
      <c r="CHV38" s="21"/>
      <c r="CHW38" s="21"/>
      <c r="CHX38" s="21"/>
      <c r="CHY38" s="21"/>
      <c r="CHZ38" s="21"/>
      <c r="CIA38" s="21"/>
      <c r="CIB38" s="21"/>
      <c r="CIC38" s="21"/>
      <c r="CID38" s="21"/>
      <c r="CIE38" s="21"/>
      <c r="CIF38" s="21"/>
      <c r="CIG38" s="21"/>
      <c r="CIH38" s="21"/>
      <c r="CII38" s="21"/>
      <c r="CIJ38" s="21"/>
      <c r="CIK38" s="21"/>
      <c r="CIL38" s="21"/>
      <c r="CIM38" s="21"/>
      <c r="CIN38" s="21"/>
      <c r="CIO38" s="21"/>
      <c r="CIP38" s="21"/>
      <c r="CIQ38" s="21"/>
      <c r="CIR38" s="21"/>
      <c r="CIS38" s="21"/>
      <c r="CIT38" s="21"/>
      <c r="CIU38" s="21"/>
      <c r="CIV38" s="21"/>
      <c r="CIW38" s="21"/>
      <c r="CIX38" s="21"/>
      <c r="CIY38" s="21"/>
      <c r="CIZ38" s="21"/>
      <c r="CJA38" s="21"/>
      <c r="CJB38" s="21"/>
      <c r="CJC38" s="21"/>
      <c r="CJD38" s="21"/>
      <c r="CJE38" s="21"/>
      <c r="CJF38" s="21"/>
      <c r="CJG38" s="21"/>
      <c r="CJH38" s="21"/>
      <c r="CJI38" s="21"/>
      <c r="CJJ38" s="21"/>
      <c r="CJK38" s="21"/>
      <c r="CJL38" s="21"/>
      <c r="CJM38" s="21"/>
      <c r="CJN38" s="21"/>
      <c r="CJO38" s="21"/>
      <c r="CJP38" s="21"/>
      <c r="CJQ38" s="21"/>
      <c r="CJR38" s="21"/>
      <c r="CJS38" s="21"/>
      <c r="CJT38" s="21"/>
      <c r="CJU38" s="21"/>
      <c r="CJV38" s="21"/>
      <c r="CJW38" s="21"/>
      <c r="CJX38" s="21"/>
      <c r="CJY38" s="21"/>
      <c r="CJZ38" s="21"/>
      <c r="CKA38" s="21"/>
      <c r="CKB38" s="21"/>
      <c r="CKC38" s="21"/>
      <c r="CKD38" s="21"/>
      <c r="CKE38" s="21"/>
      <c r="CKF38" s="21"/>
      <c r="CKG38" s="21"/>
      <c r="CKH38" s="21"/>
      <c r="CKI38" s="21"/>
      <c r="CKJ38" s="21"/>
      <c r="CKK38" s="21"/>
      <c r="CKL38" s="21"/>
      <c r="CKM38" s="21"/>
      <c r="CKN38" s="21"/>
      <c r="CKO38" s="21"/>
      <c r="CKP38" s="21"/>
      <c r="CKQ38" s="21"/>
      <c r="CKR38" s="21"/>
      <c r="CKS38" s="21"/>
      <c r="CKT38" s="21"/>
      <c r="CKU38" s="21"/>
      <c r="CKV38" s="21"/>
      <c r="CKW38" s="21"/>
      <c r="CKX38" s="21"/>
      <c r="CKY38" s="21"/>
      <c r="CKZ38" s="21"/>
      <c r="CLA38" s="21"/>
      <c r="CLB38" s="21"/>
      <c r="CLC38" s="21"/>
      <c r="CLD38" s="21"/>
      <c r="CLE38" s="21"/>
      <c r="CLF38" s="21"/>
      <c r="CLG38" s="21"/>
      <c r="CLH38" s="21"/>
      <c r="CLI38" s="21"/>
      <c r="CLJ38" s="21"/>
      <c r="CLK38" s="21"/>
      <c r="CLL38" s="21"/>
      <c r="CLM38" s="21"/>
      <c r="CLN38" s="21"/>
      <c r="CLO38" s="21"/>
      <c r="CLP38" s="21"/>
      <c r="CLQ38" s="21"/>
      <c r="CLR38" s="21"/>
      <c r="CLS38" s="21"/>
      <c r="CLT38" s="21"/>
      <c r="CLU38" s="21"/>
      <c r="CLV38" s="21"/>
      <c r="CLW38" s="21"/>
      <c r="CLX38" s="21"/>
      <c r="CLY38" s="21"/>
      <c r="CLZ38" s="21"/>
      <c r="CMA38" s="21"/>
      <c r="CMB38" s="21"/>
      <c r="CMC38" s="21"/>
      <c r="CMD38" s="21"/>
      <c r="CME38" s="21"/>
      <c r="CMF38" s="21"/>
      <c r="CMG38" s="21"/>
      <c r="CMH38" s="21"/>
      <c r="CMI38" s="21"/>
      <c r="CMJ38" s="21"/>
      <c r="CMK38" s="21"/>
      <c r="CML38" s="21"/>
      <c r="CMM38" s="21"/>
      <c r="CMN38" s="21"/>
      <c r="CMO38" s="21"/>
      <c r="CMP38" s="21"/>
      <c r="CMQ38" s="21"/>
      <c r="CMR38" s="21"/>
      <c r="CMS38" s="21"/>
      <c r="CMT38" s="21"/>
      <c r="CMU38" s="21"/>
      <c r="CMV38" s="21"/>
      <c r="CMW38" s="21"/>
      <c r="CMX38" s="21"/>
      <c r="CMY38" s="21"/>
      <c r="CMZ38" s="21"/>
      <c r="CNA38" s="21"/>
      <c r="CNB38" s="21"/>
      <c r="CNC38" s="21"/>
      <c r="CND38" s="21"/>
      <c r="CNE38" s="21"/>
      <c r="CNF38" s="21"/>
      <c r="CNG38" s="21"/>
      <c r="CNH38" s="21"/>
      <c r="CNI38" s="21"/>
      <c r="CNJ38" s="21"/>
      <c r="CNK38" s="21"/>
      <c r="CNL38" s="21"/>
      <c r="CNM38" s="21"/>
      <c r="CNN38" s="21"/>
      <c r="CNO38" s="21"/>
      <c r="CNP38" s="21"/>
      <c r="CNQ38" s="21"/>
      <c r="CNR38" s="21"/>
      <c r="CNS38" s="21"/>
      <c r="CNT38" s="21"/>
      <c r="CNU38" s="21"/>
      <c r="CNV38" s="21"/>
      <c r="CNW38" s="21"/>
      <c r="CNX38" s="21"/>
      <c r="CNY38" s="21"/>
      <c r="CNZ38" s="21"/>
      <c r="COA38" s="21"/>
      <c r="COB38" s="21"/>
      <c r="COC38" s="21"/>
      <c r="COD38" s="21"/>
      <c r="COE38" s="21"/>
      <c r="COF38" s="21"/>
      <c r="COG38" s="21"/>
      <c r="COH38" s="21"/>
      <c r="COI38" s="21"/>
      <c r="COJ38" s="21"/>
      <c r="COK38" s="21"/>
      <c r="COL38" s="21"/>
      <c r="COM38" s="21"/>
      <c r="CON38" s="21"/>
      <c r="COO38" s="21"/>
      <c r="COP38" s="21"/>
      <c r="COQ38" s="21"/>
      <c r="COR38" s="21"/>
      <c r="COS38" s="21"/>
      <c r="COT38" s="21"/>
      <c r="COU38" s="21"/>
      <c r="COV38" s="21"/>
      <c r="COW38" s="21"/>
      <c r="COX38" s="21"/>
      <c r="COY38" s="21"/>
      <c r="COZ38" s="21"/>
      <c r="CPA38" s="21"/>
      <c r="CPB38" s="21"/>
      <c r="CPC38" s="21"/>
      <c r="CPD38" s="21"/>
      <c r="CPE38" s="21"/>
      <c r="CPF38" s="21"/>
      <c r="CPG38" s="21"/>
      <c r="CPH38" s="21"/>
      <c r="CPI38" s="21"/>
      <c r="CPJ38" s="21"/>
      <c r="CPK38" s="21"/>
      <c r="CPL38" s="21"/>
      <c r="CPM38" s="21"/>
      <c r="CPN38" s="21"/>
      <c r="CPO38" s="21"/>
      <c r="CPP38" s="21"/>
      <c r="CPQ38" s="21"/>
      <c r="CPR38" s="21"/>
      <c r="CPS38" s="21"/>
      <c r="CPT38" s="21"/>
      <c r="CPU38" s="21"/>
      <c r="CPV38" s="21"/>
      <c r="CPW38" s="21"/>
      <c r="CPX38" s="21"/>
      <c r="CPY38" s="21"/>
      <c r="CPZ38" s="21"/>
      <c r="CQA38" s="21"/>
      <c r="CQB38" s="21"/>
      <c r="CQC38" s="21"/>
      <c r="CQD38" s="21"/>
      <c r="CQE38" s="21"/>
      <c r="CQF38" s="21"/>
      <c r="CQG38" s="21"/>
      <c r="CQH38" s="21"/>
      <c r="CQI38" s="21"/>
      <c r="CQJ38" s="21"/>
      <c r="CQK38" s="21"/>
      <c r="CQL38" s="21"/>
      <c r="CQM38" s="21"/>
      <c r="CQN38" s="21"/>
      <c r="CQO38" s="21"/>
      <c r="CQP38" s="21"/>
      <c r="CQQ38" s="21"/>
      <c r="CQR38" s="21"/>
      <c r="CQS38" s="21"/>
      <c r="CQT38" s="21"/>
      <c r="CQU38" s="21"/>
      <c r="CQV38" s="21"/>
      <c r="CQW38" s="21"/>
      <c r="CQX38" s="21"/>
      <c r="CQY38" s="21"/>
      <c r="CQZ38" s="21"/>
      <c r="CRA38" s="21"/>
      <c r="CRB38" s="21"/>
      <c r="CRC38" s="21"/>
      <c r="CRD38" s="21"/>
      <c r="CRE38" s="21"/>
      <c r="CRF38" s="21"/>
      <c r="CRG38" s="21"/>
      <c r="CRH38" s="21"/>
      <c r="CRI38" s="21"/>
      <c r="CRJ38" s="21"/>
      <c r="CRK38" s="21"/>
      <c r="CRL38" s="21"/>
      <c r="CRM38" s="21"/>
      <c r="CRN38" s="21"/>
      <c r="CRO38" s="21"/>
      <c r="CRP38" s="21"/>
      <c r="CRQ38" s="21"/>
      <c r="CRR38" s="21"/>
      <c r="CRS38" s="21"/>
      <c r="CRT38" s="21"/>
      <c r="CRU38" s="21"/>
      <c r="CRV38" s="21"/>
      <c r="CRW38" s="21"/>
      <c r="CRX38" s="21"/>
      <c r="CRY38" s="21"/>
      <c r="CRZ38" s="21"/>
      <c r="CSA38" s="21"/>
      <c r="CSB38" s="21"/>
      <c r="CSC38" s="21"/>
      <c r="CSD38" s="21"/>
      <c r="CSE38" s="21"/>
      <c r="CSF38" s="21"/>
      <c r="CSG38" s="21"/>
      <c r="CSH38" s="21"/>
      <c r="CSI38" s="21"/>
      <c r="CSJ38" s="21"/>
      <c r="CSK38" s="21"/>
      <c r="CSL38" s="21"/>
      <c r="CSM38" s="21"/>
      <c r="CSN38" s="21"/>
      <c r="CSO38" s="21"/>
      <c r="CSP38" s="21"/>
      <c r="CSQ38" s="21"/>
      <c r="CSR38" s="21"/>
      <c r="CSS38" s="21"/>
      <c r="CST38" s="21"/>
      <c r="CSU38" s="21"/>
      <c r="CSV38" s="21"/>
      <c r="CSW38" s="21"/>
      <c r="CSX38" s="21"/>
      <c r="CSY38" s="21"/>
      <c r="CSZ38" s="21"/>
      <c r="CTA38" s="21"/>
      <c r="CTB38" s="21"/>
      <c r="CTC38" s="21"/>
      <c r="CTD38" s="21"/>
      <c r="CTE38" s="21"/>
      <c r="CTF38" s="21"/>
      <c r="CTG38" s="21"/>
      <c r="CTH38" s="21"/>
      <c r="CTI38" s="21"/>
      <c r="CTJ38" s="21"/>
      <c r="CTK38" s="21"/>
      <c r="CTL38" s="21"/>
      <c r="CTM38" s="21"/>
      <c r="CTN38" s="21"/>
      <c r="CTO38" s="21"/>
      <c r="CTP38" s="21"/>
      <c r="CTQ38" s="21"/>
      <c r="CTR38" s="21"/>
      <c r="CTS38" s="21"/>
      <c r="CTT38" s="21"/>
      <c r="CTU38" s="21"/>
      <c r="CTV38" s="21"/>
      <c r="CTW38" s="21"/>
      <c r="CTX38" s="21"/>
      <c r="CTY38" s="21"/>
      <c r="CTZ38" s="21"/>
      <c r="CUA38" s="21"/>
      <c r="CUB38" s="21"/>
      <c r="CUC38" s="21"/>
      <c r="CUD38" s="21"/>
      <c r="CUE38" s="21"/>
      <c r="CUF38" s="21"/>
      <c r="CUG38" s="21"/>
      <c r="CUH38" s="21"/>
      <c r="CUI38" s="21"/>
      <c r="CUJ38" s="21"/>
      <c r="CUK38" s="21"/>
      <c r="CUL38" s="21"/>
      <c r="CUM38" s="21"/>
      <c r="CUN38" s="21"/>
      <c r="CUO38" s="21"/>
      <c r="CUP38" s="21"/>
      <c r="CUQ38" s="21"/>
      <c r="CUR38" s="21"/>
      <c r="CUS38" s="21"/>
      <c r="CUT38" s="21"/>
      <c r="CUU38" s="21"/>
      <c r="CUV38" s="21"/>
      <c r="CUW38" s="21"/>
      <c r="CUX38" s="21"/>
      <c r="CUY38" s="21"/>
      <c r="CUZ38" s="21"/>
      <c r="CVA38" s="21"/>
      <c r="CVB38" s="21"/>
      <c r="CVC38" s="21"/>
      <c r="CVD38" s="21"/>
      <c r="CVE38" s="21"/>
      <c r="CVF38" s="21"/>
      <c r="CVG38" s="21"/>
      <c r="CVH38" s="21"/>
      <c r="CVI38" s="21"/>
      <c r="CVJ38" s="21"/>
      <c r="CVK38" s="21"/>
      <c r="CVL38" s="21"/>
      <c r="CVM38" s="21"/>
      <c r="CVN38" s="21"/>
      <c r="CVO38" s="21"/>
      <c r="CVP38" s="21"/>
      <c r="CVQ38" s="21"/>
      <c r="CVR38" s="21"/>
      <c r="CVS38" s="21"/>
      <c r="CVT38" s="21"/>
      <c r="CVU38" s="21"/>
      <c r="CVV38" s="21"/>
      <c r="CVW38" s="21"/>
      <c r="CVX38" s="21"/>
      <c r="CVY38" s="21"/>
      <c r="CVZ38" s="21"/>
      <c r="CWA38" s="21"/>
      <c r="CWB38" s="21"/>
      <c r="CWC38" s="21"/>
      <c r="CWD38" s="21"/>
      <c r="CWE38" s="21"/>
      <c r="CWF38" s="21"/>
      <c r="CWG38" s="21"/>
      <c r="CWH38" s="21"/>
      <c r="CWI38" s="21"/>
      <c r="CWJ38" s="21"/>
      <c r="CWK38" s="21"/>
      <c r="CWL38" s="21"/>
      <c r="CWM38" s="21"/>
      <c r="CWN38" s="21"/>
      <c r="CWO38" s="21"/>
      <c r="CWP38" s="21"/>
      <c r="CWQ38" s="21"/>
      <c r="CWR38" s="21"/>
      <c r="CWS38" s="21"/>
      <c r="CWT38" s="21"/>
      <c r="CWU38" s="21"/>
      <c r="CWV38" s="21"/>
      <c r="CWW38" s="21"/>
      <c r="CWX38" s="21"/>
      <c r="CWY38" s="21"/>
      <c r="CWZ38" s="21"/>
      <c r="CXA38" s="21"/>
      <c r="CXB38" s="21"/>
      <c r="CXC38" s="21"/>
      <c r="CXD38" s="21"/>
      <c r="CXE38" s="21"/>
      <c r="CXF38" s="21"/>
      <c r="CXG38" s="21"/>
      <c r="CXH38" s="21"/>
      <c r="CXI38" s="21"/>
      <c r="CXJ38" s="21"/>
      <c r="CXK38" s="21"/>
      <c r="CXL38" s="21"/>
      <c r="CXM38" s="21"/>
      <c r="CXN38" s="21"/>
      <c r="CXO38" s="21"/>
      <c r="CXP38" s="21"/>
      <c r="CXQ38" s="21"/>
      <c r="CXR38" s="21"/>
      <c r="CXS38" s="21"/>
      <c r="CXT38" s="21"/>
      <c r="CXU38" s="21"/>
      <c r="CXV38" s="21"/>
      <c r="CXW38" s="21"/>
      <c r="CXX38" s="21"/>
      <c r="CXY38" s="21"/>
      <c r="CXZ38" s="21"/>
      <c r="CYA38" s="21"/>
      <c r="CYB38" s="21"/>
      <c r="CYC38" s="21"/>
      <c r="CYD38" s="21"/>
      <c r="CYE38" s="21"/>
      <c r="CYF38" s="21"/>
      <c r="CYG38" s="21"/>
      <c r="CYH38" s="21"/>
      <c r="CYI38" s="21"/>
      <c r="CYJ38" s="21"/>
      <c r="CYK38" s="21"/>
      <c r="CYL38" s="21"/>
      <c r="CYM38" s="21"/>
      <c r="CYN38" s="21"/>
      <c r="CYO38" s="21"/>
      <c r="CYP38" s="21"/>
      <c r="CYQ38" s="21"/>
      <c r="CYR38" s="21"/>
      <c r="CYS38" s="21"/>
      <c r="CYT38" s="21"/>
      <c r="CYU38" s="21"/>
      <c r="CYV38" s="21"/>
      <c r="CYW38" s="21"/>
      <c r="CYX38" s="21"/>
      <c r="CYY38" s="21"/>
      <c r="CYZ38" s="21"/>
      <c r="CZA38" s="21"/>
      <c r="CZB38" s="21"/>
      <c r="CZC38" s="21"/>
      <c r="CZD38" s="21"/>
      <c r="CZE38" s="21"/>
      <c r="CZF38" s="21"/>
      <c r="CZG38" s="21"/>
      <c r="CZH38" s="21"/>
      <c r="CZI38" s="21"/>
      <c r="CZJ38" s="21"/>
      <c r="CZK38" s="21"/>
      <c r="CZL38" s="21"/>
      <c r="CZM38" s="21"/>
      <c r="CZN38" s="21"/>
      <c r="CZO38" s="21"/>
      <c r="CZP38" s="21"/>
      <c r="CZQ38" s="21"/>
      <c r="CZR38" s="21"/>
      <c r="CZS38" s="21"/>
      <c r="CZT38" s="21"/>
      <c r="CZU38" s="21"/>
      <c r="CZV38" s="21"/>
      <c r="CZW38" s="21"/>
      <c r="CZX38" s="21"/>
      <c r="CZY38" s="21"/>
      <c r="CZZ38" s="21"/>
      <c r="DAA38" s="21"/>
      <c r="DAB38" s="21"/>
      <c r="DAC38" s="21"/>
      <c r="DAD38" s="21"/>
      <c r="DAE38" s="21"/>
      <c r="DAF38" s="21"/>
      <c r="DAG38" s="21"/>
      <c r="DAH38" s="21"/>
      <c r="DAI38" s="21"/>
      <c r="DAJ38" s="21"/>
      <c r="DAK38" s="21"/>
      <c r="DAL38" s="21"/>
      <c r="DAM38" s="21"/>
      <c r="DAN38" s="21"/>
      <c r="DAO38" s="21"/>
      <c r="DAP38" s="21"/>
      <c r="DAQ38" s="21"/>
      <c r="DAR38" s="21"/>
      <c r="DAS38" s="21"/>
      <c r="DAT38" s="21"/>
      <c r="DAU38" s="21"/>
      <c r="DAV38" s="21"/>
      <c r="DAW38" s="21"/>
      <c r="DAX38" s="21"/>
      <c r="DAY38" s="21"/>
      <c r="DAZ38" s="21"/>
      <c r="DBA38" s="21"/>
      <c r="DBB38" s="21"/>
      <c r="DBC38" s="21"/>
      <c r="DBD38" s="21"/>
      <c r="DBE38" s="21"/>
      <c r="DBF38" s="21"/>
      <c r="DBG38" s="21"/>
      <c r="DBH38" s="21"/>
      <c r="DBI38" s="21"/>
      <c r="DBJ38" s="21"/>
      <c r="DBK38" s="21"/>
      <c r="DBL38" s="21"/>
      <c r="DBM38" s="21"/>
      <c r="DBN38" s="21"/>
      <c r="DBO38" s="21"/>
      <c r="DBP38" s="21"/>
      <c r="DBQ38" s="21"/>
      <c r="DBR38" s="21"/>
      <c r="DBS38" s="21"/>
      <c r="DBT38" s="21"/>
      <c r="DBU38" s="21"/>
      <c r="DBV38" s="21"/>
      <c r="DBW38" s="21"/>
      <c r="DBX38" s="21"/>
      <c r="DBY38" s="21"/>
      <c r="DBZ38" s="21"/>
      <c r="DCA38" s="21"/>
      <c r="DCB38" s="21"/>
      <c r="DCC38" s="21"/>
      <c r="DCD38" s="21"/>
      <c r="DCE38" s="21"/>
      <c r="DCF38" s="21"/>
      <c r="DCG38" s="21"/>
      <c r="DCH38" s="21"/>
      <c r="DCI38" s="21"/>
      <c r="DCJ38" s="21"/>
      <c r="DCK38" s="21"/>
      <c r="DCL38" s="21"/>
      <c r="DCM38" s="21"/>
      <c r="DCN38" s="21"/>
      <c r="DCO38" s="21"/>
      <c r="DCP38" s="21"/>
      <c r="DCQ38" s="21"/>
      <c r="DCR38" s="21"/>
      <c r="DCS38" s="21"/>
      <c r="DCT38" s="21"/>
      <c r="DCU38" s="21"/>
      <c r="DCV38" s="21"/>
      <c r="DCW38" s="21"/>
      <c r="DCX38" s="21"/>
      <c r="DCY38" s="21"/>
      <c r="DCZ38" s="21"/>
      <c r="DDA38" s="21"/>
      <c r="DDB38" s="21"/>
      <c r="DDC38" s="21"/>
      <c r="DDD38" s="21"/>
      <c r="DDE38" s="21"/>
      <c r="DDF38" s="21"/>
      <c r="DDG38" s="21"/>
      <c r="DDH38" s="21"/>
      <c r="DDI38" s="21"/>
      <c r="DDJ38" s="21"/>
      <c r="DDK38" s="21"/>
      <c r="DDL38" s="21"/>
      <c r="DDM38" s="21"/>
      <c r="DDN38" s="21"/>
      <c r="DDO38" s="21"/>
      <c r="DDP38" s="21"/>
      <c r="DDQ38" s="21"/>
      <c r="DDR38" s="21"/>
      <c r="DDS38" s="21"/>
      <c r="DDT38" s="21"/>
      <c r="DDU38" s="21"/>
      <c r="DDV38" s="21"/>
      <c r="DDW38" s="21"/>
      <c r="DDX38" s="21"/>
      <c r="DDY38" s="21"/>
      <c r="DDZ38" s="21"/>
      <c r="DEA38" s="21"/>
      <c r="DEB38" s="21"/>
      <c r="DEC38" s="21"/>
      <c r="DED38" s="21"/>
      <c r="DEE38" s="21"/>
      <c r="DEF38" s="21"/>
      <c r="DEG38" s="21"/>
      <c r="DEH38" s="21"/>
      <c r="DEI38" s="21"/>
      <c r="DEJ38" s="21"/>
      <c r="DEK38" s="21"/>
      <c r="DEL38" s="21"/>
      <c r="DEM38" s="21"/>
      <c r="DEN38" s="21"/>
      <c r="DEO38" s="21"/>
      <c r="DEP38" s="21"/>
      <c r="DEQ38" s="21"/>
      <c r="DER38" s="21"/>
      <c r="DES38" s="21"/>
      <c r="DET38" s="21"/>
      <c r="DEU38" s="21"/>
      <c r="DEV38" s="21"/>
      <c r="DEW38" s="21"/>
      <c r="DEX38" s="21"/>
      <c r="DEY38" s="21"/>
      <c r="DEZ38" s="21"/>
      <c r="DFA38" s="21"/>
      <c r="DFB38" s="21"/>
      <c r="DFC38" s="21"/>
      <c r="DFD38" s="21"/>
      <c r="DFE38" s="21"/>
      <c r="DFF38" s="21"/>
      <c r="DFG38" s="21"/>
      <c r="DFH38" s="21"/>
      <c r="DFI38" s="21"/>
      <c r="DFJ38" s="21"/>
      <c r="DFK38" s="21"/>
      <c r="DFL38" s="21"/>
      <c r="DFM38" s="21"/>
      <c r="DFN38" s="21"/>
      <c r="DFO38" s="21"/>
      <c r="DFP38" s="21"/>
      <c r="DFQ38" s="21"/>
      <c r="DFR38" s="21"/>
      <c r="DFS38" s="21"/>
      <c r="DFT38" s="21"/>
      <c r="DFU38" s="21"/>
      <c r="DFV38" s="21"/>
      <c r="DFW38" s="21"/>
      <c r="DFX38" s="21"/>
      <c r="DFY38" s="21"/>
      <c r="DFZ38" s="21"/>
      <c r="DGA38" s="21"/>
      <c r="DGB38" s="21"/>
      <c r="DGC38" s="21"/>
      <c r="DGD38" s="21"/>
      <c r="DGE38" s="21"/>
      <c r="DGF38" s="21"/>
      <c r="DGG38" s="21"/>
      <c r="DGH38" s="21"/>
      <c r="DGI38" s="21"/>
      <c r="DGJ38" s="21"/>
      <c r="DGK38" s="21"/>
      <c r="DGL38" s="21"/>
      <c r="DGM38" s="21"/>
      <c r="DGN38" s="21"/>
      <c r="DGO38" s="21"/>
      <c r="DGP38" s="21"/>
      <c r="DGQ38" s="21"/>
      <c r="DGR38" s="21"/>
      <c r="DGS38" s="21"/>
      <c r="DGT38" s="21"/>
      <c r="DGU38" s="21"/>
      <c r="DGV38" s="21"/>
      <c r="DGW38" s="21"/>
      <c r="DGX38" s="21"/>
      <c r="DGY38" s="21"/>
      <c r="DGZ38" s="21"/>
      <c r="DHA38" s="21"/>
      <c r="DHB38" s="21"/>
      <c r="DHC38" s="21"/>
      <c r="DHD38" s="21"/>
      <c r="DHE38" s="21"/>
      <c r="DHF38" s="21"/>
      <c r="DHG38" s="21"/>
      <c r="DHH38" s="21"/>
      <c r="DHI38" s="21"/>
      <c r="DHJ38" s="21"/>
      <c r="DHK38" s="21"/>
      <c r="DHL38" s="21"/>
      <c r="DHM38" s="21"/>
      <c r="DHN38" s="21"/>
      <c r="DHO38" s="21"/>
      <c r="DHP38" s="21"/>
      <c r="DHQ38" s="21"/>
      <c r="DHR38" s="21"/>
      <c r="DHS38" s="21"/>
      <c r="DHT38" s="21"/>
      <c r="DHU38" s="21"/>
      <c r="DHV38" s="21"/>
      <c r="DHW38" s="21"/>
      <c r="DHX38" s="21"/>
      <c r="DHY38" s="21"/>
      <c r="DHZ38" s="21"/>
      <c r="DIA38" s="21"/>
      <c r="DIB38" s="21"/>
      <c r="DIC38" s="21"/>
      <c r="DID38" s="21"/>
      <c r="DIE38" s="21"/>
      <c r="DIF38" s="21"/>
      <c r="DIG38" s="21"/>
      <c r="DIH38" s="21"/>
      <c r="DII38" s="21"/>
      <c r="DIJ38" s="21"/>
      <c r="DIK38" s="21"/>
      <c r="DIL38" s="21"/>
      <c r="DIM38" s="21"/>
      <c r="DIN38" s="21"/>
      <c r="DIO38" s="21"/>
      <c r="DIP38" s="21"/>
      <c r="DIQ38" s="21"/>
      <c r="DIR38" s="21"/>
      <c r="DIS38" s="21"/>
      <c r="DIT38" s="21"/>
      <c r="DIU38" s="21"/>
      <c r="DIV38" s="21"/>
      <c r="DIW38" s="21"/>
      <c r="DIX38" s="21"/>
      <c r="DIY38" s="21"/>
      <c r="DIZ38" s="21"/>
      <c r="DJA38" s="21"/>
      <c r="DJB38" s="21"/>
      <c r="DJC38" s="21"/>
      <c r="DJD38" s="21"/>
      <c r="DJE38" s="21"/>
      <c r="DJF38" s="21"/>
      <c r="DJG38" s="21"/>
      <c r="DJH38" s="21"/>
      <c r="DJI38" s="21"/>
      <c r="DJJ38" s="21"/>
      <c r="DJK38" s="21"/>
      <c r="DJL38" s="21"/>
      <c r="DJM38" s="21"/>
      <c r="DJN38" s="21"/>
      <c r="DJO38" s="21"/>
      <c r="DJP38" s="21"/>
      <c r="DJQ38" s="21"/>
      <c r="DJR38" s="21"/>
      <c r="DJS38" s="21"/>
      <c r="DJT38" s="21"/>
      <c r="DJU38" s="21"/>
      <c r="DJV38" s="21"/>
      <c r="DJW38" s="21"/>
      <c r="DJX38" s="21"/>
      <c r="DJY38" s="21"/>
      <c r="DJZ38" s="21"/>
      <c r="DKA38" s="21"/>
      <c r="DKB38" s="21"/>
      <c r="DKC38" s="21"/>
      <c r="DKD38" s="21"/>
      <c r="DKE38" s="21"/>
      <c r="DKF38" s="21"/>
      <c r="DKG38" s="21"/>
      <c r="DKH38" s="21"/>
      <c r="DKI38" s="21"/>
      <c r="DKJ38" s="21"/>
      <c r="DKK38" s="21"/>
      <c r="DKL38" s="21"/>
      <c r="DKM38" s="21"/>
      <c r="DKN38" s="21"/>
      <c r="DKO38" s="21"/>
      <c r="DKP38" s="21"/>
      <c r="DKQ38" s="21"/>
      <c r="DKR38" s="21"/>
      <c r="DKS38" s="21"/>
      <c r="DKT38" s="21"/>
      <c r="DKU38" s="21"/>
      <c r="DKV38" s="21"/>
      <c r="DKW38" s="21"/>
      <c r="DKX38" s="21"/>
      <c r="DKY38" s="21"/>
      <c r="DKZ38" s="21"/>
      <c r="DLA38" s="21"/>
      <c r="DLB38" s="21"/>
      <c r="DLC38" s="21"/>
      <c r="DLD38" s="21"/>
      <c r="DLE38" s="21"/>
      <c r="DLF38" s="21"/>
      <c r="DLG38" s="21"/>
      <c r="DLH38" s="21"/>
      <c r="DLI38" s="21"/>
      <c r="DLJ38" s="21"/>
      <c r="DLK38" s="21"/>
      <c r="DLL38" s="21"/>
      <c r="DLM38" s="21"/>
      <c r="DLN38" s="21"/>
      <c r="DLO38" s="21"/>
      <c r="DLP38" s="21"/>
      <c r="DLQ38" s="21"/>
      <c r="DLR38" s="21"/>
      <c r="DLS38" s="21"/>
      <c r="DLT38" s="21"/>
      <c r="DLU38" s="21"/>
      <c r="DLV38" s="21"/>
      <c r="DLW38" s="21"/>
      <c r="DLX38" s="21"/>
      <c r="DLY38" s="21"/>
      <c r="DLZ38" s="21"/>
      <c r="DMA38" s="21"/>
      <c r="DMB38" s="21"/>
      <c r="DMC38" s="21"/>
      <c r="DMD38" s="21"/>
      <c r="DME38" s="21"/>
      <c r="DMF38" s="21"/>
      <c r="DMG38" s="21"/>
      <c r="DMH38" s="21"/>
      <c r="DMI38" s="21"/>
      <c r="DMJ38" s="21"/>
      <c r="DMK38" s="21"/>
      <c r="DML38" s="21"/>
      <c r="DMM38" s="21"/>
      <c r="DMN38" s="21"/>
      <c r="DMO38" s="21"/>
      <c r="DMP38" s="21"/>
      <c r="DMQ38" s="21"/>
      <c r="DMR38" s="21"/>
      <c r="DMS38" s="21"/>
      <c r="DMT38" s="21"/>
      <c r="DMU38" s="21"/>
      <c r="DMV38" s="21"/>
      <c r="DMW38" s="21"/>
      <c r="DMX38" s="21"/>
      <c r="DMY38" s="21"/>
      <c r="DMZ38" s="21"/>
      <c r="DNA38" s="21"/>
      <c r="DNB38" s="21"/>
      <c r="DNC38" s="21"/>
      <c r="DND38" s="21"/>
      <c r="DNE38" s="21"/>
      <c r="DNF38" s="21"/>
      <c r="DNG38" s="21"/>
      <c r="DNH38" s="21"/>
      <c r="DNI38" s="21"/>
      <c r="DNJ38" s="21"/>
      <c r="DNK38" s="21"/>
      <c r="DNL38" s="21"/>
      <c r="DNM38" s="21"/>
      <c r="DNN38" s="21"/>
      <c r="DNO38" s="21"/>
      <c r="DNP38" s="21"/>
      <c r="DNQ38" s="21"/>
      <c r="DNR38" s="21"/>
      <c r="DNS38" s="21"/>
      <c r="DNT38" s="21"/>
      <c r="DNU38" s="21"/>
      <c r="DNV38" s="21"/>
      <c r="DNW38" s="21"/>
      <c r="DNX38" s="21"/>
      <c r="DNY38" s="21"/>
      <c r="DNZ38" s="21"/>
      <c r="DOA38" s="21"/>
      <c r="DOB38" s="21"/>
      <c r="DOC38" s="21"/>
      <c r="DOD38" s="21"/>
      <c r="DOE38" s="21"/>
      <c r="DOF38" s="21"/>
      <c r="DOG38" s="21"/>
      <c r="DOH38" s="21"/>
      <c r="DOI38" s="21"/>
      <c r="DOJ38" s="21"/>
      <c r="DOK38" s="21"/>
      <c r="DOL38" s="21"/>
      <c r="DOM38" s="21"/>
      <c r="DON38" s="21"/>
      <c r="DOO38" s="21"/>
      <c r="DOP38" s="21"/>
      <c r="DOQ38" s="21"/>
      <c r="DOR38" s="21"/>
      <c r="DOS38" s="21"/>
      <c r="DOT38" s="21"/>
      <c r="DOU38" s="21"/>
      <c r="DOV38" s="21"/>
      <c r="DOW38" s="21"/>
      <c r="DOX38" s="21"/>
      <c r="DOY38" s="21"/>
      <c r="DOZ38" s="21"/>
      <c r="DPA38" s="21"/>
      <c r="DPB38" s="21"/>
      <c r="DPC38" s="21"/>
      <c r="DPD38" s="21"/>
      <c r="DPE38" s="21"/>
      <c r="DPF38" s="21"/>
      <c r="DPG38" s="21"/>
      <c r="DPH38" s="21"/>
      <c r="DPI38" s="21"/>
      <c r="DPJ38" s="21"/>
      <c r="DPK38" s="21"/>
      <c r="DPL38" s="21"/>
      <c r="DPM38" s="21"/>
      <c r="DPN38" s="21"/>
      <c r="DPO38" s="21"/>
      <c r="DPP38" s="21"/>
      <c r="DPQ38" s="21"/>
      <c r="DPR38" s="21"/>
      <c r="DPS38" s="21"/>
      <c r="DPT38" s="21"/>
      <c r="DPU38" s="21"/>
      <c r="DPV38" s="21"/>
      <c r="DPW38" s="21"/>
      <c r="DPX38" s="21"/>
      <c r="DPY38" s="21"/>
      <c r="DPZ38" s="21"/>
      <c r="DQA38" s="21"/>
      <c r="DQB38" s="21"/>
      <c r="DQC38" s="21"/>
      <c r="DQD38" s="21"/>
      <c r="DQE38" s="21"/>
      <c r="DQF38" s="21"/>
      <c r="DQG38" s="21"/>
      <c r="DQH38" s="21"/>
      <c r="DQI38" s="21"/>
      <c r="DQJ38" s="21"/>
      <c r="DQK38" s="21"/>
      <c r="DQL38" s="21"/>
      <c r="DQM38" s="21"/>
      <c r="DQN38" s="21"/>
      <c r="DQO38" s="21"/>
      <c r="DQP38" s="21"/>
      <c r="DQQ38" s="21"/>
      <c r="DQR38" s="21"/>
      <c r="DQS38" s="21"/>
      <c r="DQT38" s="21"/>
      <c r="DQU38" s="21"/>
      <c r="DQV38" s="21"/>
      <c r="DQW38" s="21"/>
      <c r="DQX38" s="21"/>
      <c r="DQY38" s="21"/>
      <c r="DQZ38" s="21"/>
      <c r="DRA38" s="21"/>
      <c r="DRB38" s="21"/>
      <c r="DRC38" s="21"/>
      <c r="DRD38" s="21"/>
      <c r="DRE38" s="21"/>
      <c r="DRF38" s="21"/>
      <c r="DRG38" s="21"/>
      <c r="DRH38" s="21"/>
      <c r="DRI38" s="21"/>
      <c r="DRJ38" s="21"/>
      <c r="DRK38" s="21"/>
      <c r="DRL38" s="21"/>
      <c r="DRM38" s="21"/>
      <c r="DRN38" s="21"/>
      <c r="DRO38" s="21"/>
      <c r="DRP38" s="21"/>
      <c r="DRQ38" s="21"/>
      <c r="DRR38" s="21"/>
      <c r="DRS38" s="21"/>
      <c r="DRT38" s="21"/>
      <c r="DRU38" s="21"/>
      <c r="DRV38" s="21"/>
      <c r="DRW38" s="21"/>
      <c r="DRX38" s="21"/>
      <c r="DRY38" s="21"/>
      <c r="DRZ38" s="21"/>
      <c r="DSA38" s="21"/>
      <c r="DSB38" s="21"/>
      <c r="DSC38" s="21"/>
      <c r="DSD38" s="21"/>
      <c r="DSE38" s="21"/>
      <c r="DSF38" s="21"/>
      <c r="DSG38" s="21"/>
      <c r="DSH38" s="21"/>
      <c r="DSI38" s="21"/>
      <c r="DSJ38" s="21"/>
      <c r="DSK38" s="21"/>
      <c r="DSL38" s="21"/>
      <c r="DSM38" s="21"/>
      <c r="DSN38" s="21"/>
      <c r="DSO38" s="21"/>
      <c r="DSP38" s="21"/>
      <c r="DSQ38" s="21"/>
      <c r="DSR38" s="21"/>
      <c r="DSS38" s="21"/>
      <c r="DST38" s="21"/>
      <c r="DSU38" s="21"/>
      <c r="DSV38" s="21"/>
      <c r="DSW38" s="21"/>
      <c r="DSX38" s="21"/>
      <c r="DSY38" s="21"/>
      <c r="DSZ38" s="21"/>
      <c r="DTA38" s="21"/>
      <c r="DTB38" s="21"/>
      <c r="DTC38" s="21"/>
      <c r="DTD38" s="21"/>
      <c r="DTE38" s="21"/>
      <c r="DTF38" s="21"/>
      <c r="DTG38" s="21"/>
      <c r="DTH38" s="21"/>
      <c r="DTI38" s="21"/>
      <c r="DTJ38" s="21"/>
      <c r="DTK38" s="21"/>
      <c r="DTL38" s="21"/>
      <c r="DTM38" s="21"/>
      <c r="DTN38" s="21"/>
      <c r="DTO38" s="21"/>
      <c r="DTP38" s="21"/>
      <c r="DTQ38" s="21"/>
      <c r="DTR38" s="21"/>
      <c r="DTS38" s="21"/>
      <c r="DTT38" s="21"/>
      <c r="DTU38" s="21"/>
      <c r="DTV38" s="21"/>
      <c r="DTW38" s="21"/>
      <c r="DTX38" s="21"/>
      <c r="DTY38" s="21"/>
      <c r="DTZ38" s="21"/>
      <c r="DUA38" s="21"/>
      <c r="DUB38" s="21"/>
      <c r="DUC38" s="21"/>
      <c r="DUD38" s="21"/>
      <c r="DUE38" s="21"/>
      <c r="DUF38" s="21"/>
      <c r="DUG38" s="21"/>
      <c r="DUH38" s="21"/>
      <c r="DUI38" s="21"/>
      <c r="DUJ38" s="21"/>
      <c r="DUK38" s="21"/>
      <c r="DUL38" s="21"/>
      <c r="DUM38" s="21"/>
      <c r="DUN38" s="21"/>
      <c r="DUO38" s="21"/>
      <c r="DUP38" s="21"/>
      <c r="DUQ38" s="21"/>
      <c r="DUR38" s="21"/>
      <c r="DUS38" s="21"/>
      <c r="DUT38" s="21"/>
      <c r="DUU38" s="21"/>
      <c r="DUV38" s="21"/>
      <c r="DUW38" s="21"/>
      <c r="DUX38" s="21"/>
      <c r="DUY38" s="21"/>
      <c r="DUZ38" s="21"/>
      <c r="DVA38" s="21"/>
      <c r="DVB38" s="21"/>
      <c r="DVC38" s="21"/>
      <c r="DVD38" s="21"/>
      <c r="DVE38" s="21"/>
      <c r="DVF38" s="21"/>
      <c r="DVG38" s="21"/>
      <c r="DVH38" s="21"/>
      <c r="DVI38" s="21"/>
      <c r="DVJ38" s="21"/>
      <c r="DVK38" s="21"/>
      <c r="DVL38" s="21"/>
      <c r="DVM38" s="21"/>
      <c r="DVN38" s="21"/>
      <c r="DVO38" s="21"/>
      <c r="DVP38" s="21"/>
      <c r="DVQ38" s="21"/>
      <c r="DVR38" s="21"/>
      <c r="DVS38" s="21"/>
      <c r="DVT38" s="21"/>
      <c r="DVU38" s="21"/>
      <c r="DVV38" s="21"/>
      <c r="DVW38" s="21"/>
      <c r="DVX38" s="21"/>
      <c r="DVY38" s="21"/>
      <c r="DVZ38" s="21"/>
      <c r="DWA38" s="21"/>
      <c r="DWB38" s="21"/>
      <c r="DWC38" s="21"/>
      <c r="DWD38" s="21"/>
      <c r="DWE38" s="21"/>
      <c r="DWF38" s="21"/>
      <c r="DWG38" s="21"/>
      <c r="DWH38" s="21"/>
      <c r="DWI38" s="21"/>
      <c r="DWJ38" s="21"/>
      <c r="DWK38" s="21"/>
      <c r="DWL38" s="21"/>
      <c r="DWM38" s="21"/>
      <c r="DWN38" s="21"/>
      <c r="DWO38" s="21"/>
      <c r="DWP38" s="21"/>
      <c r="DWQ38" s="21"/>
      <c r="DWR38" s="21"/>
      <c r="DWS38" s="21"/>
      <c r="DWT38" s="21"/>
      <c r="DWU38" s="21"/>
      <c r="DWV38" s="21"/>
      <c r="DWW38" s="21"/>
      <c r="DWX38" s="21"/>
      <c r="DWY38" s="21"/>
      <c r="DWZ38" s="21"/>
      <c r="DXA38" s="21"/>
      <c r="DXB38" s="21"/>
      <c r="DXC38" s="21"/>
      <c r="DXD38" s="21"/>
      <c r="DXE38" s="21"/>
      <c r="DXF38" s="21"/>
      <c r="DXG38" s="21"/>
      <c r="DXH38" s="21"/>
      <c r="DXI38" s="21"/>
      <c r="DXJ38" s="21"/>
      <c r="DXK38" s="21"/>
      <c r="DXL38" s="21"/>
      <c r="DXM38" s="21"/>
      <c r="DXN38" s="21"/>
      <c r="DXO38" s="21"/>
      <c r="DXP38" s="21"/>
      <c r="DXQ38" s="21"/>
      <c r="DXR38" s="21"/>
      <c r="DXS38" s="21"/>
      <c r="DXT38" s="21"/>
      <c r="DXU38" s="21"/>
      <c r="DXV38" s="21"/>
      <c r="DXW38" s="21"/>
      <c r="DXX38" s="21"/>
      <c r="DXY38" s="21"/>
      <c r="DXZ38" s="21"/>
      <c r="DYA38" s="21"/>
      <c r="DYB38" s="21"/>
      <c r="DYC38" s="21"/>
      <c r="DYD38" s="21"/>
      <c r="DYE38" s="21"/>
      <c r="DYF38" s="21"/>
      <c r="DYG38" s="21"/>
      <c r="DYH38" s="21"/>
      <c r="DYI38" s="21"/>
      <c r="DYJ38" s="21"/>
      <c r="DYK38" s="21"/>
      <c r="DYL38" s="21"/>
      <c r="DYM38" s="21"/>
      <c r="DYN38" s="21"/>
      <c r="DYO38" s="21"/>
      <c r="DYP38" s="21"/>
      <c r="DYQ38" s="21"/>
      <c r="DYR38" s="21"/>
      <c r="DYS38" s="21"/>
      <c r="DYT38" s="21"/>
      <c r="DYU38" s="21"/>
      <c r="DYV38" s="21"/>
      <c r="DYW38" s="21"/>
      <c r="DYX38" s="21"/>
      <c r="DYY38" s="21"/>
      <c r="DYZ38" s="21"/>
      <c r="DZA38" s="21"/>
      <c r="DZB38" s="21"/>
      <c r="DZC38" s="21"/>
      <c r="DZD38" s="21"/>
      <c r="DZE38" s="21"/>
      <c r="DZF38" s="21"/>
      <c r="DZG38" s="21"/>
      <c r="DZH38" s="21"/>
      <c r="DZI38" s="21"/>
      <c r="DZJ38" s="21"/>
      <c r="DZK38" s="21"/>
      <c r="DZL38" s="21"/>
      <c r="DZM38" s="21"/>
      <c r="DZN38" s="21"/>
      <c r="DZO38" s="21"/>
      <c r="DZP38" s="21"/>
      <c r="DZQ38" s="21"/>
      <c r="DZR38" s="21"/>
      <c r="DZS38" s="21"/>
      <c r="DZT38" s="21"/>
      <c r="DZU38" s="21"/>
      <c r="DZV38" s="21"/>
      <c r="DZW38" s="21"/>
      <c r="DZX38" s="21"/>
      <c r="DZY38" s="21"/>
      <c r="DZZ38" s="21"/>
      <c r="EAA38" s="21"/>
      <c r="EAB38" s="21"/>
      <c r="EAC38" s="21"/>
      <c r="EAD38" s="21"/>
      <c r="EAE38" s="21"/>
      <c r="EAF38" s="21"/>
      <c r="EAG38" s="21"/>
      <c r="EAH38" s="21"/>
      <c r="EAI38" s="21"/>
      <c r="EAJ38" s="21"/>
      <c r="EAK38" s="21"/>
      <c r="EAL38" s="21"/>
      <c r="EAM38" s="21"/>
      <c r="EAN38" s="21"/>
      <c r="EAO38" s="21"/>
      <c r="EAP38" s="21"/>
      <c r="EAQ38" s="21"/>
      <c r="EAR38" s="21"/>
      <c r="EAS38" s="21"/>
      <c r="EAT38" s="21"/>
      <c r="EAU38" s="21"/>
      <c r="EAV38" s="21"/>
      <c r="EAW38" s="21"/>
      <c r="EAX38" s="21"/>
      <c r="EAY38" s="21"/>
      <c r="EAZ38" s="21"/>
      <c r="EBA38" s="21"/>
      <c r="EBB38" s="21"/>
      <c r="EBC38" s="21"/>
      <c r="EBD38" s="21"/>
      <c r="EBE38" s="21"/>
      <c r="EBF38" s="21"/>
      <c r="EBG38" s="21"/>
      <c r="EBH38" s="21"/>
      <c r="EBI38" s="21"/>
      <c r="EBJ38" s="21"/>
      <c r="EBK38" s="21"/>
      <c r="EBL38" s="21"/>
      <c r="EBM38" s="21"/>
      <c r="EBN38" s="21"/>
      <c r="EBO38" s="21"/>
      <c r="EBP38" s="21"/>
      <c r="EBQ38" s="21"/>
      <c r="EBR38" s="21"/>
      <c r="EBS38" s="21"/>
      <c r="EBT38" s="21"/>
      <c r="EBU38" s="21"/>
      <c r="EBV38" s="21"/>
      <c r="EBW38" s="21"/>
      <c r="EBX38" s="21"/>
      <c r="EBY38" s="21"/>
      <c r="EBZ38" s="21"/>
      <c r="ECA38" s="21"/>
      <c r="ECB38" s="21"/>
      <c r="ECC38" s="21"/>
      <c r="ECD38" s="21"/>
      <c r="ECE38" s="21"/>
      <c r="ECF38" s="21"/>
      <c r="ECG38" s="21"/>
      <c r="ECH38" s="21"/>
      <c r="ECI38" s="21"/>
      <c r="ECJ38" s="21"/>
      <c r="ECK38" s="21"/>
      <c r="ECL38" s="21"/>
      <c r="ECM38" s="21"/>
      <c r="ECN38" s="21"/>
      <c r="ECO38" s="21"/>
      <c r="ECP38" s="21"/>
      <c r="ECQ38" s="21"/>
      <c r="ECR38" s="21"/>
      <c r="ECS38" s="21"/>
      <c r="ECT38" s="21"/>
      <c r="ECU38" s="21"/>
      <c r="ECV38" s="21"/>
      <c r="ECW38" s="21"/>
      <c r="ECX38" s="21"/>
      <c r="ECY38" s="21"/>
      <c r="ECZ38" s="21"/>
      <c r="EDA38" s="21"/>
      <c r="EDB38" s="21"/>
      <c r="EDC38" s="21"/>
      <c r="EDD38" s="21"/>
      <c r="EDE38" s="21"/>
      <c r="EDF38" s="21"/>
      <c r="EDG38" s="21"/>
      <c r="EDH38" s="21"/>
      <c r="EDI38" s="21"/>
      <c r="EDJ38" s="21"/>
      <c r="EDK38" s="21"/>
      <c r="EDL38" s="21"/>
      <c r="EDM38" s="21"/>
      <c r="EDN38" s="21"/>
      <c r="EDO38" s="21"/>
      <c r="EDP38" s="21"/>
      <c r="EDQ38" s="21"/>
      <c r="EDR38" s="21"/>
      <c r="EDS38" s="21"/>
      <c r="EDT38" s="21"/>
      <c r="EDU38" s="21"/>
      <c r="EDV38" s="21"/>
      <c r="EDW38" s="21"/>
      <c r="EDX38" s="21"/>
      <c r="EDY38" s="21"/>
      <c r="EDZ38" s="21"/>
      <c r="EEA38" s="21"/>
      <c r="EEB38" s="21"/>
      <c r="EEC38" s="21"/>
      <c r="EED38" s="21"/>
      <c r="EEE38" s="21"/>
      <c r="EEF38" s="21"/>
      <c r="EEG38" s="21"/>
      <c r="EEH38" s="21"/>
      <c r="EEI38" s="21"/>
      <c r="EEJ38" s="21"/>
      <c r="EEK38" s="21"/>
      <c r="EEL38" s="21"/>
      <c r="EEM38" s="21"/>
      <c r="EEN38" s="21"/>
      <c r="EEO38" s="21"/>
      <c r="EEP38" s="21"/>
      <c r="EEQ38" s="21"/>
      <c r="EER38" s="21"/>
      <c r="EES38" s="21"/>
      <c r="EET38" s="21"/>
      <c r="EEU38" s="21"/>
      <c r="EEV38" s="21"/>
      <c r="EEW38" s="21"/>
      <c r="EEX38" s="21"/>
      <c r="EEY38" s="21"/>
      <c r="EEZ38" s="21"/>
      <c r="EFA38" s="21"/>
      <c r="EFB38" s="21"/>
      <c r="EFC38" s="21"/>
      <c r="EFD38" s="21"/>
      <c r="EFE38" s="21"/>
      <c r="EFF38" s="21"/>
      <c r="EFG38" s="21"/>
      <c r="EFH38" s="21"/>
      <c r="EFI38" s="21"/>
      <c r="EFJ38" s="21"/>
      <c r="EFK38" s="21"/>
      <c r="EFL38" s="21"/>
      <c r="EFM38" s="21"/>
      <c r="EFN38" s="21"/>
      <c r="EFO38" s="21"/>
      <c r="EFP38" s="21"/>
      <c r="EFQ38" s="21"/>
      <c r="EFR38" s="21"/>
      <c r="EFS38" s="21"/>
      <c r="EFT38" s="21"/>
      <c r="EFU38" s="21"/>
      <c r="EFV38" s="21"/>
      <c r="EFW38" s="21"/>
      <c r="EFX38" s="21"/>
      <c r="EFY38" s="21"/>
      <c r="EFZ38" s="21"/>
      <c r="EGA38" s="21"/>
      <c r="EGB38" s="21"/>
      <c r="EGC38" s="21"/>
      <c r="EGD38" s="21"/>
      <c r="EGE38" s="21"/>
      <c r="EGF38" s="21"/>
      <c r="EGG38" s="21"/>
      <c r="EGH38" s="21"/>
      <c r="EGI38" s="21"/>
      <c r="EGJ38" s="21"/>
      <c r="EGK38" s="21"/>
      <c r="EGL38" s="21"/>
      <c r="EGM38" s="21"/>
      <c r="EGN38" s="21"/>
      <c r="EGO38" s="21"/>
      <c r="EGP38" s="21"/>
      <c r="EGQ38" s="21"/>
      <c r="EGR38" s="21"/>
      <c r="EGS38" s="21"/>
      <c r="EGT38" s="21"/>
      <c r="EGU38" s="21"/>
      <c r="EGV38" s="21"/>
      <c r="EGW38" s="21"/>
      <c r="EGX38" s="21"/>
      <c r="EGY38" s="21"/>
      <c r="EGZ38" s="21"/>
      <c r="EHA38" s="21"/>
      <c r="EHB38" s="21"/>
      <c r="EHC38" s="21"/>
      <c r="EHD38" s="21"/>
      <c r="EHE38" s="21"/>
      <c r="EHF38" s="21"/>
      <c r="EHG38" s="21"/>
      <c r="EHH38" s="21"/>
      <c r="EHI38" s="21"/>
      <c r="EHJ38" s="21"/>
      <c r="EHK38" s="21"/>
      <c r="EHL38" s="21"/>
      <c r="EHM38" s="21"/>
      <c r="EHN38" s="21"/>
      <c r="EHO38" s="21"/>
      <c r="EHP38" s="21"/>
      <c r="EHQ38" s="21"/>
      <c r="EHR38" s="21"/>
      <c r="EHS38" s="21"/>
      <c r="EHT38" s="21"/>
      <c r="EHU38" s="21"/>
      <c r="EHV38" s="21"/>
      <c r="EHW38" s="21"/>
      <c r="EHX38" s="21"/>
      <c r="EHY38" s="21"/>
      <c r="EHZ38" s="21"/>
      <c r="EIA38" s="21"/>
      <c r="EIB38" s="21"/>
      <c r="EIC38" s="21"/>
      <c r="EID38" s="21"/>
      <c r="EIE38" s="21"/>
      <c r="EIF38" s="21"/>
      <c r="EIG38" s="21"/>
      <c r="EIH38" s="21"/>
      <c r="EII38" s="21"/>
      <c r="EIJ38" s="21"/>
      <c r="EIK38" s="21"/>
      <c r="EIL38" s="21"/>
      <c r="EIM38" s="21"/>
      <c r="EIN38" s="21"/>
      <c r="EIO38" s="21"/>
      <c r="EIP38" s="21"/>
      <c r="EIQ38" s="21"/>
      <c r="EIR38" s="21"/>
      <c r="EIS38" s="21"/>
      <c r="EIT38" s="21"/>
      <c r="EIU38" s="21"/>
      <c r="EIV38" s="21"/>
      <c r="EIW38" s="21"/>
      <c r="EIX38" s="21"/>
      <c r="EIY38" s="21"/>
      <c r="EIZ38" s="21"/>
      <c r="EJA38" s="21"/>
      <c r="EJB38" s="21"/>
      <c r="EJC38" s="21"/>
      <c r="EJD38" s="21"/>
      <c r="EJE38" s="21"/>
      <c r="EJF38" s="21"/>
      <c r="EJG38" s="21"/>
      <c r="EJH38" s="21"/>
      <c r="EJI38" s="21"/>
      <c r="EJJ38" s="21"/>
      <c r="EJK38" s="21"/>
      <c r="EJL38" s="21"/>
      <c r="EJM38" s="21"/>
      <c r="EJN38" s="21"/>
      <c r="EJO38" s="21"/>
      <c r="EJP38" s="21"/>
      <c r="EJQ38" s="21"/>
      <c r="EJR38" s="21"/>
      <c r="EJS38" s="21"/>
      <c r="EJT38" s="21"/>
      <c r="EJU38" s="21"/>
      <c r="EJV38" s="21"/>
      <c r="EJW38" s="21"/>
      <c r="EJX38" s="21"/>
      <c r="EJY38" s="21"/>
      <c r="EJZ38" s="21"/>
      <c r="EKA38" s="21"/>
      <c r="EKB38" s="21"/>
      <c r="EKC38" s="21"/>
      <c r="EKD38" s="21"/>
      <c r="EKE38" s="21"/>
      <c r="EKF38" s="21"/>
      <c r="EKG38" s="21"/>
      <c r="EKH38" s="21"/>
      <c r="EKI38" s="21"/>
      <c r="EKJ38" s="21"/>
      <c r="EKK38" s="21"/>
      <c r="EKL38" s="21"/>
      <c r="EKM38" s="21"/>
      <c r="EKN38" s="21"/>
      <c r="EKO38" s="21"/>
      <c r="EKP38" s="21"/>
      <c r="EKQ38" s="21"/>
      <c r="EKR38" s="21"/>
      <c r="EKS38" s="21"/>
      <c r="EKT38" s="21"/>
      <c r="EKU38" s="21"/>
      <c r="EKV38" s="21"/>
      <c r="EKW38" s="21"/>
      <c r="EKX38" s="21"/>
      <c r="EKY38" s="21"/>
      <c r="EKZ38" s="21"/>
      <c r="ELA38" s="21"/>
      <c r="ELB38" s="21"/>
      <c r="ELC38" s="21"/>
      <c r="ELD38" s="21"/>
      <c r="ELE38" s="21"/>
      <c r="ELF38" s="21"/>
      <c r="ELG38" s="21"/>
      <c r="ELH38" s="21"/>
      <c r="ELI38" s="21"/>
      <c r="ELJ38" s="21"/>
      <c r="ELK38" s="21"/>
      <c r="ELL38" s="21"/>
      <c r="ELM38" s="21"/>
      <c r="ELN38" s="21"/>
      <c r="ELO38" s="21"/>
      <c r="ELP38" s="21"/>
      <c r="ELQ38" s="21"/>
      <c r="ELR38" s="21"/>
      <c r="ELS38" s="21"/>
      <c r="ELT38" s="21"/>
      <c r="ELU38" s="21"/>
      <c r="ELV38" s="21"/>
      <c r="ELW38" s="21"/>
      <c r="ELX38" s="21"/>
      <c r="ELY38" s="21"/>
      <c r="ELZ38" s="21"/>
      <c r="EMA38" s="21"/>
      <c r="EMB38" s="21"/>
      <c r="EMC38" s="21"/>
      <c r="EMD38" s="21"/>
      <c r="EME38" s="21"/>
      <c r="EMF38" s="21"/>
      <c r="EMG38" s="21"/>
      <c r="EMH38" s="21"/>
      <c r="EMI38" s="21"/>
      <c r="EMJ38" s="21"/>
      <c r="EMK38" s="21"/>
      <c r="EML38" s="21"/>
      <c r="EMM38" s="21"/>
      <c r="EMN38" s="21"/>
      <c r="EMO38" s="21"/>
      <c r="EMP38" s="21"/>
      <c r="EMQ38" s="21"/>
      <c r="EMR38" s="21"/>
      <c r="EMS38" s="21"/>
      <c r="EMT38" s="21"/>
      <c r="EMU38" s="21"/>
      <c r="EMV38" s="21"/>
      <c r="EMW38" s="21"/>
      <c r="EMX38" s="21"/>
      <c r="EMY38" s="21"/>
      <c r="EMZ38" s="21"/>
      <c r="ENA38" s="21"/>
      <c r="ENB38" s="21"/>
      <c r="ENC38" s="21"/>
      <c r="END38" s="21"/>
      <c r="ENE38" s="21"/>
      <c r="ENF38" s="21"/>
      <c r="ENG38" s="21"/>
      <c r="ENH38" s="21"/>
      <c r="ENI38" s="21"/>
      <c r="ENJ38" s="21"/>
      <c r="ENK38" s="21"/>
      <c r="ENL38" s="21"/>
      <c r="ENM38" s="21"/>
      <c r="ENN38" s="21"/>
      <c r="ENO38" s="21"/>
      <c r="ENP38" s="21"/>
      <c r="ENQ38" s="21"/>
      <c r="ENR38" s="21"/>
      <c r="ENS38" s="21"/>
      <c r="ENT38" s="21"/>
      <c r="ENU38" s="21"/>
      <c r="ENV38" s="21"/>
      <c r="ENW38" s="21"/>
      <c r="ENX38" s="21"/>
      <c r="ENY38" s="21"/>
      <c r="ENZ38" s="21"/>
      <c r="EOA38" s="21"/>
      <c r="EOB38" s="21"/>
      <c r="EOC38" s="21"/>
      <c r="EOD38" s="21"/>
      <c r="EOE38" s="21"/>
      <c r="EOF38" s="21"/>
      <c r="EOG38" s="21"/>
      <c r="EOH38" s="21"/>
      <c r="EOI38" s="21"/>
      <c r="EOJ38" s="21"/>
      <c r="EOK38" s="21"/>
      <c r="EOL38" s="21"/>
      <c r="EOM38" s="21"/>
      <c r="EON38" s="21"/>
      <c r="EOO38" s="21"/>
      <c r="EOP38" s="21"/>
      <c r="EOQ38" s="21"/>
      <c r="EOR38" s="21"/>
      <c r="EOS38" s="21"/>
      <c r="EOT38" s="21"/>
      <c r="EOU38" s="21"/>
      <c r="EOV38" s="21"/>
      <c r="EOW38" s="21"/>
      <c r="EOX38" s="21"/>
      <c r="EOY38" s="21"/>
      <c r="EOZ38" s="21"/>
      <c r="EPA38" s="21"/>
      <c r="EPB38" s="21"/>
      <c r="EPC38" s="21"/>
      <c r="EPD38" s="21"/>
      <c r="EPE38" s="21"/>
      <c r="EPF38" s="21"/>
      <c r="EPG38" s="21"/>
      <c r="EPH38" s="21"/>
      <c r="EPI38" s="21"/>
      <c r="EPJ38" s="21"/>
      <c r="EPK38" s="21"/>
      <c r="EPL38" s="21"/>
      <c r="EPM38" s="21"/>
      <c r="EPN38" s="21"/>
      <c r="EPO38" s="21"/>
      <c r="EPP38" s="21"/>
      <c r="EPQ38" s="21"/>
      <c r="EPR38" s="21"/>
      <c r="EPS38" s="21"/>
      <c r="EPT38" s="21"/>
      <c r="EPU38" s="21"/>
      <c r="EPV38" s="21"/>
      <c r="EPW38" s="21"/>
      <c r="EPX38" s="21"/>
      <c r="EPY38" s="21"/>
      <c r="EPZ38" s="21"/>
      <c r="EQA38" s="21"/>
      <c r="EQB38" s="21"/>
      <c r="EQC38" s="21"/>
      <c r="EQD38" s="21"/>
      <c r="EQE38" s="21"/>
      <c r="EQF38" s="21"/>
      <c r="EQG38" s="21"/>
      <c r="EQH38" s="21"/>
      <c r="EQI38" s="21"/>
      <c r="EQJ38" s="21"/>
      <c r="EQK38" s="21"/>
      <c r="EQL38" s="21"/>
      <c r="EQM38" s="21"/>
      <c r="EQN38" s="21"/>
      <c r="EQO38" s="21"/>
      <c r="EQP38" s="21"/>
      <c r="EQQ38" s="21"/>
      <c r="EQR38" s="21"/>
      <c r="EQS38" s="21"/>
      <c r="EQT38" s="21"/>
      <c r="EQU38" s="21"/>
      <c r="EQV38" s="21"/>
      <c r="EQW38" s="21"/>
      <c r="EQX38" s="21"/>
      <c r="EQY38" s="21"/>
      <c r="EQZ38" s="21"/>
      <c r="ERA38" s="21"/>
      <c r="ERB38" s="21"/>
      <c r="ERC38" s="21"/>
      <c r="ERD38" s="21"/>
      <c r="ERE38" s="21"/>
      <c r="ERF38" s="21"/>
      <c r="ERG38" s="21"/>
      <c r="ERH38" s="21"/>
      <c r="ERI38" s="21"/>
      <c r="ERJ38" s="21"/>
      <c r="ERK38" s="21"/>
      <c r="ERL38" s="21"/>
      <c r="ERM38" s="21"/>
      <c r="ERN38" s="21"/>
      <c r="ERO38" s="21"/>
      <c r="ERP38" s="21"/>
      <c r="ERQ38" s="21"/>
      <c r="ERR38" s="21"/>
      <c r="ERS38" s="21"/>
      <c r="ERT38" s="21"/>
      <c r="ERU38" s="21"/>
      <c r="ERV38" s="21"/>
      <c r="ERW38" s="21"/>
      <c r="ERX38" s="21"/>
      <c r="ERY38" s="21"/>
      <c r="ERZ38" s="21"/>
      <c r="ESA38" s="21"/>
      <c r="ESB38" s="21"/>
      <c r="ESC38" s="21"/>
      <c r="ESD38" s="21"/>
      <c r="ESE38" s="21"/>
      <c r="ESF38" s="21"/>
      <c r="ESG38" s="21"/>
      <c r="ESH38" s="21"/>
      <c r="ESI38" s="21"/>
      <c r="ESJ38" s="21"/>
      <c r="ESK38" s="21"/>
      <c r="ESL38" s="21"/>
      <c r="ESM38" s="21"/>
      <c r="ESN38" s="21"/>
      <c r="ESO38" s="21"/>
      <c r="ESP38" s="21"/>
      <c r="ESQ38" s="21"/>
      <c r="ESR38" s="21"/>
      <c r="ESS38" s="21"/>
      <c r="EST38" s="21"/>
      <c r="ESU38" s="21"/>
      <c r="ESV38" s="21"/>
      <c r="ESW38" s="21"/>
      <c r="ESX38" s="21"/>
      <c r="ESY38" s="21"/>
      <c r="ESZ38" s="21"/>
      <c r="ETA38" s="21"/>
      <c r="ETB38" s="21"/>
      <c r="ETC38" s="21"/>
      <c r="ETD38" s="21"/>
      <c r="ETE38" s="21"/>
      <c r="ETF38" s="21"/>
      <c r="ETG38" s="21"/>
      <c r="ETH38" s="21"/>
      <c r="ETI38" s="21"/>
      <c r="ETJ38" s="21"/>
      <c r="ETK38" s="21"/>
      <c r="ETL38" s="21"/>
      <c r="ETM38" s="21"/>
      <c r="ETN38" s="21"/>
      <c r="ETO38" s="21"/>
      <c r="ETP38" s="21"/>
      <c r="ETQ38" s="21"/>
      <c r="ETR38" s="21"/>
      <c r="ETS38" s="21"/>
      <c r="ETT38" s="21"/>
      <c r="ETU38" s="21"/>
      <c r="ETV38" s="21"/>
      <c r="ETW38" s="21"/>
      <c r="ETX38" s="21"/>
      <c r="ETY38" s="21"/>
      <c r="ETZ38" s="21"/>
      <c r="EUA38" s="21"/>
      <c r="EUB38" s="21"/>
      <c r="EUC38" s="21"/>
      <c r="EUD38" s="21"/>
      <c r="EUE38" s="21"/>
      <c r="EUF38" s="21"/>
      <c r="EUG38" s="21"/>
      <c r="EUH38" s="21"/>
      <c r="EUI38" s="21"/>
      <c r="EUJ38" s="21"/>
      <c r="EUK38" s="21"/>
      <c r="EUL38" s="21"/>
      <c r="EUM38" s="21"/>
      <c r="EUN38" s="21"/>
      <c r="EUO38" s="21"/>
      <c r="EUP38" s="21"/>
      <c r="EUQ38" s="21"/>
      <c r="EUR38" s="21"/>
      <c r="EUS38" s="21"/>
      <c r="EUT38" s="21"/>
      <c r="EUU38" s="21"/>
      <c r="EUV38" s="21"/>
      <c r="EUW38" s="21"/>
      <c r="EUX38" s="21"/>
      <c r="EUY38" s="21"/>
      <c r="EUZ38" s="21"/>
      <c r="EVA38" s="21"/>
      <c r="EVB38" s="21"/>
      <c r="EVC38" s="21"/>
      <c r="EVD38" s="21"/>
      <c r="EVE38" s="21"/>
      <c r="EVF38" s="21"/>
      <c r="EVG38" s="21"/>
      <c r="EVH38" s="21"/>
      <c r="EVI38" s="21"/>
      <c r="EVJ38" s="21"/>
      <c r="EVK38" s="21"/>
      <c r="EVL38" s="21"/>
      <c r="EVM38" s="21"/>
      <c r="EVN38" s="21"/>
      <c r="EVO38" s="21"/>
      <c r="EVP38" s="21"/>
      <c r="EVQ38" s="21"/>
      <c r="EVR38" s="21"/>
      <c r="EVS38" s="21"/>
      <c r="EVT38" s="21"/>
      <c r="EVU38" s="21"/>
      <c r="EVV38" s="21"/>
      <c r="EVW38" s="21"/>
      <c r="EVX38" s="21"/>
      <c r="EVY38" s="21"/>
      <c r="EVZ38" s="21"/>
      <c r="EWA38" s="21"/>
      <c r="EWB38" s="21"/>
      <c r="EWC38" s="21"/>
      <c r="EWD38" s="21"/>
      <c r="EWE38" s="21"/>
      <c r="EWF38" s="21"/>
      <c r="EWG38" s="21"/>
      <c r="EWH38" s="21"/>
      <c r="EWI38" s="21"/>
      <c r="EWJ38" s="21"/>
      <c r="EWK38" s="21"/>
      <c r="EWL38" s="21"/>
      <c r="EWM38" s="21"/>
      <c r="EWN38" s="21"/>
      <c r="EWO38" s="21"/>
      <c r="EWP38" s="21"/>
      <c r="EWQ38" s="21"/>
      <c r="EWR38" s="21"/>
      <c r="EWS38" s="21"/>
      <c r="EWT38" s="21"/>
      <c r="EWU38" s="21"/>
      <c r="EWV38" s="21"/>
      <c r="EWW38" s="21"/>
      <c r="EWX38" s="21"/>
      <c r="EWY38" s="21"/>
      <c r="EWZ38" s="21"/>
      <c r="EXA38" s="21"/>
      <c r="EXB38" s="21"/>
      <c r="EXC38" s="21"/>
      <c r="EXD38" s="21"/>
      <c r="EXE38" s="21"/>
      <c r="EXF38" s="21"/>
      <c r="EXG38" s="21"/>
      <c r="EXH38" s="21"/>
      <c r="EXI38" s="21"/>
      <c r="EXJ38" s="21"/>
      <c r="EXK38" s="21"/>
      <c r="EXL38" s="21"/>
      <c r="EXM38" s="21"/>
      <c r="EXN38" s="21"/>
      <c r="EXO38" s="21"/>
      <c r="EXP38" s="21"/>
      <c r="EXQ38" s="21"/>
      <c r="EXR38" s="21"/>
      <c r="EXS38" s="21"/>
      <c r="EXT38" s="21"/>
      <c r="EXU38" s="21"/>
      <c r="EXV38" s="21"/>
      <c r="EXW38" s="21"/>
      <c r="EXX38" s="21"/>
      <c r="EXY38" s="21"/>
      <c r="EXZ38" s="21"/>
      <c r="EYA38" s="21"/>
      <c r="EYB38" s="21"/>
      <c r="EYC38" s="21"/>
      <c r="EYD38" s="21"/>
      <c r="EYE38" s="21"/>
      <c r="EYF38" s="21"/>
      <c r="EYG38" s="21"/>
      <c r="EYH38" s="21"/>
      <c r="EYI38" s="21"/>
      <c r="EYJ38" s="21"/>
      <c r="EYK38" s="21"/>
      <c r="EYL38" s="21"/>
      <c r="EYM38" s="21"/>
      <c r="EYN38" s="21"/>
      <c r="EYO38" s="21"/>
      <c r="EYP38" s="21"/>
      <c r="EYQ38" s="21"/>
      <c r="EYR38" s="21"/>
      <c r="EYS38" s="21"/>
      <c r="EYT38" s="21"/>
      <c r="EYU38" s="21"/>
      <c r="EYV38" s="21"/>
      <c r="EYW38" s="21"/>
      <c r="EYX38" s="21"/>
      <c r="EYY38" s="21"/>
      <c r="EYZ38" s="21"/>
      <c r="EZA38" s="21"/>
      <c r="EZB38" s="21"/>
      <c r="EZC38" s="21"/>
      <c r="EZD38" s="21"/>
      <c r="EZE38" s="21"/>
      <c r="EZF38" s="21"/>
      <c r="EZG38" s="21"/>
      <c r="EZH38" s="21"/>
      <c r="EZI38" s="21"/>
      <c r="EZJ38" s="21"/>
      <c r="EZK38" s="21"/>
      <c r="EZL38" s="21"/>
      <c r="EZM38" s="21"/>
      <c r="EZN38" s="21"/>
      <c r="EZO38" s="21"/>
      <c r="EZP38" s="21"/>
      <c r="EZQ38" s="21"/>
      <c r="EZR38" s="21"/>
      <c r="EZS38" s="21"/>
      <c r="EZT38" s="21"/>
      <c r="EZU38" s="21"/>
      <c r="EZV38" s="21"/>
      <c r="EZW38" s="21"/>
      <c r="EZX38" s="21"/>
      <c r="EZY38" s="21"/>
      <c r="EZZ38" s="21"/>
      <c r="FAA38" s="21"/>
      <c r="FAB38" s="21"/>
      <c r="FAC38" s="21"/>
      <c r="FAD38" s="21"/>
      <c r="FAE38" s="21"/>
      <c r="FAF38" s="21"/>
      <c r="FAG38" s="21"/>
      <c r="FAH38" s="21"/>
      <c r="FAI38" s="21"/>
      <c r="FAJ38" s="21"/>
      <c r="FAK38" s="21"/>
      <c r="FAL38" s="21"/>
      <c r="FAM38" s="21"/>
      <c r="FAN38" s="21"/>
      <c r="FAO38" s="21"/>
      <c r="FAP38" s="21"/>
      <c r="FAQ38" s="21"/>
      <c r="FAR38" s="21"/>
      <c r="FAS38" s="21"/>
      <c r="FAT38" s="21"/>
      <c r="FAU38" s="21"/>
      <c r="FAV38" s="21"/>
      <c r="FAW38" s="21"/>
      <c r="FAX38" s="21"/>
      <c r="FAY38" s="21"/>
      <c r="FAZ38" s="21"/>
      <c r="FBA38" s="21"/>
      <c r="FBB38" s="21"/>
      <c r="FBC38" s="21"/>
      <c r="FBD38" s="21"/>
      <c r="FBE38" s="21"/>
      <c r="FBF38" s="21"/>
      <c r="FBG38" s="21"/>
      <c r="FBH38" s="21"/>
      <c r="FBI38" s="21"/>
      <c r="FBJ38" s="21"/>
      <c r="FBK38" s="21"/>
      <c r="FBL38" s="21"/>
      <c r="FBM38" s="21"/>
      <c r="FBN38" s="21"/>
      <c r="FBO38" s="21"/>
      <c r="FBP38" s="21"/>
      <c r="FBQ38" s="21"/>
      <c r="FBR38" s="21"/>
      <c r="FBS38" s="21"/>
      <c r="FBT38" s="21"/>
      <c r="FBU38" s="21"/>
      <c r="FBV38" s="21"/>
      <c r="FBW38" s="21"/>
      <c r="FBX38" s="21"/>
      <c r="FBY38" s="21"/>
      <c r="FBZ38" s="21"/>
      <c r="FCA38" s="21"/>
      <c r="FCB38" s="21"/>
      <c r="FCC38" s="21"/>
      <c r="FCD38" s="21"/>
      <c r="FCE38" s="21"/>
      <c r="FCF38" s="21"/>
      <c r="FCG38" s="21"/>
      <c r="FCH38" s="21"/>
      <c r="FCI38" s="21"/>
      <c r="FCJ38" s="21"/>
      <c r="FCK38" s="21"/>
      <c r="FCL38" s="21"/>
      <c r="FCM38" s="21"/>
      <c r="FCN38" s="21"/>
      <c r="FCO38" s="21"/>
      <c r="FCP38" s="21"/>
      <c r="FCQ38" s="21"/>
      <c r="FCR38" s="21"/>
      <c r="FCS38" s="21"/>
      <c r="FCT38" s="21"/>
      <c r="FCU38" s="21"/>
      <c r="FCV38" s="21"/>
      <c r="FCW38" s="21"/>
      <c r="FCX38" s="21"/>
      <c r="FCY38" s="21"/>
      <c r="FCZ38" s="21"/>
      <c r="FDA38" s="21"/>
      <c r="FDB38" s="21"/>
      <c r="FDC38" s="21"/>
      <c r="FDD38" s="21"/>
      <c r="FDE38" s="21"/>
      <c r="FDF38" s="21"/>
      <c r="FDG38" s="21"/>
      <c r="FDH38" s="21"/>
      <c r="FDI38" s="21"/>
      <c r="FDJ38" s="21"/>
      <c r="FDK38" s="21"/>
      <c r="FDL38" s="21"/>
      <c r="FDM38" s="21"/>
      <c r="FDN38" s="21"/>
      <c r="FDO38" s="21"/>
      <c r="FDP38" s="21"/>
      <c r="FDQ38" s="21"/>
      <c r="FDR38" s="21"/>
      <c r="FDS38" s="21"/>
      <c r="FDT38" s="21"/>
      <c r="FDU38" s="21"/>
      <c r="FDV38" s="21"/>
      <c r="FDW38" s="21"/>
      <c r="FDX38" s="21"/>
      <c r="FDY38" s="21"/>
      <c r="FDZ38" s="21"/>
      <c r="FEA38" s="21"/>
      <c r="FEB38" s="21"/>
      <c r="FEC38" s="21"/>
      <c r="FED38" s="21"/>
      <c r="FEE38" s="21"/>
      <c r="FEF38" s="21"/>
      <c r="FEG38" s="21"/>
      <c r="FEH38" s="21"/>
      <c r="FEI38" s="21"/>
      <c r="FEJ38" s="21"/>
      <c r="FEK38" s="21"/>
      <c r="FEL38" s="21"/>
      <c r="FEM38" s="21"/>
      <c r="FEN38" s="21"/>
      <c r="FEO38" s="21"/>
      <c r="FEP38" s="21"/>
      <c r="FEQ38" s="21"/>
      <c r="FER38" s="21"/>
      <c r="FES38" s="21"/>
      <c r="FET38" s="21"/>
      <c r="FEU38" s="21"/>
      <c r="FEV38" s="21"/>
      <c r="FEW38" s="21"/>
      <c r="FEX38" s="21"/>
      <c r="FEY38" s="21"/>
      <c r="FEZ38" s="21"/>
      <c r="FFA38" s="21"/>
      <c r="FFB38" s="21"/>
      <c r="FFC38" s="21"/>
      <c r="FFD38" s="21"/>
      <c r="FFE38" s="21"/>
      <c r="FFF38" s="21"/>
      <c r="FFG38" s="21"/>
      <c r="FFH38" s="21"/>
      <c r="FFI38" s="21"/>
      <c r="FFJ38" s="21"/>
      <c r="FFK38" s="21"/>
      <c r="FFL38" s="21"/>
      <c r="FFM38" s="21"/>
      <c r="FFN38" s="21"/>
      <c r="FFO38" s="21"/>
      <c r="FFP38" s="21"/>
      <c r="FFQ38" s="21"/>
      <c r="FFR38" s="21"/>
      <c r="FFS38" s="21"/>
      <c r="FFT38" s="21"/>
      <c r="FFU38" s="21"/>
      <c r="FFV38" s="21"/>
      <c r="FFW38" s="21"/>
      <c r="FFX38" s="21"/>
      <c r="FFY38" s="21"/>
      <c r="FFZ38" s="21"/>
      <c r="FGA38" s="21"/>
      <c r="FGB38" s="21"/>
      <c r="FGC38" s="21"/>
      <c r="FGD38" s="21"/>
      <c r="FGE38" s="21"/>
      <c r="FGF38" s="21"/>
      <c r="FGG38" s="21"/>
      <c r="FGH38" s="21"/>
      <c r="FGI38" s="21"/>
      <c r="FGJ38" s="21"/>
      <c r="FGK38" s="21"/>
      <c r="FGL38" s="21"/>
      <c r="FGM38" s="21"/>
      <c r="FGN38" s="21"/>
      <c r="FGO38" s="21"/>
      <c r="FGP38" s="21"/>
      <c r="FGQ38" s="21"/>
      <c r="FGR38" s="21"/>
      <c r="FGS38" s="21"/>
      <c r="FGT38" s="21"/>
      <c r="FGU38" s="21"/>
      <c r="FGV38" s="21"/>
      <c r="FGW38" s="21"/>
      <c r="FGX38" s="21"/>
      <c r="FGY38" s="21"/>
      <c r="FGZ38" s="21"/>
      <c r="FHA38" s="21"/>
      <c r="FHB38" s="21"/>
      <c r="FHC38" s="21"/>
      <c r="FHD38" s="21"/>
      <c r="FHE38" s="21"/>
      <c r="FHF38" s="21"/>
      <c r="FHG38" s="21"/>
      <c r="FHH38" s="21"/>
      <c r="FHI38" s="21"/>
      <c r="FHJ38" s="21"/>
      <c r="FHK38" s="21"/>
      <c r="FHL38" s="21"/>
      <c r="FHM38" s="21"/>
      <c r="FHN38" s="21"/>
      <c r="FHO38" s="21"/>
      <c r="FHP38" s="21"/>
      <c r="FHQ38" s="21"/>
      <c r="FHR38" s="21"/>
      <c r="FHS38" s="21"/>
      <c r="FHT38" s="21"/>
      <c r="FHU38" s="21"/>
      <c r="FHV38" s="21"/>
      <c r="FHW38" s="21"/>
      <c r="FHX38" s="21"/>
      <c r="FHY38" s="21"/>
      <c r="FHZ38" s="21"/>
      <c r="FIA38" s="21"/>
      <c r="FIB38" s="21"/>
      <c r="FIC38" s="21"/>
      <c r="FID38" s="21"/>
      <c r="FIE38" s="21"/>
      <c r="FIF38" s="21"/>
      <c r="FIG38" s="21"/>
      <c r="FIH38" s="21"/>
      <c r="FII38" s="21"/>
      <c r="FIJ38" s="21"/>
      <c r="FIK38" s="21"/>
      <c r="FIL38" s="21"/>
      <c r="FIM38" s="21"/>
      <c r="FIN38" s="21"/>
      <c r="FIO38" s="21"/>
      <c r="FIP38" s="21"/>
      <c r="FIQ38" s="21"/>
      <c r="FIR38" s="21"/>
      <c r="FIS38" s="21"/>
      <c r="FIT38" s="21"/>
      <c r="FIU38" s="21"/>
      <c r="FIV38" s="21"/>
      <c r="FIW38" s="21"/>
      <c r="FIX38" s="21"/>
      <c r="FIY38" s="21"/>
      <c r="FIZ38" s="21"/>
      <c r="FJA38" s="21"/>
      <c r="FJB38" s="21"/>
      <c r="FJC38" s="21"/>
      <c r="FJD38" s="21"/>
      <c r="FJE38" s="21"/>
      <c r="FJF38" s="21"/>
      <c r="FJG38" s="21"/>
      <c r="FJH38" s="21"/>
      <c r="FJI38" s="21"/>
      <c r="FJJ38" s="21"/>
      <c r="FJK38" s="21"/>
      <c r="FJL38" s="21"/>
      <c r="FJM38" s="21"/>
      <c r="FJN38" s="21"/>
      <c r="FJO38" s="21"/>
      <c r="FJP38" s="21"/>
      <c r="FJQ38" s="21"/>
      <c r="FJR38" s="21"/>
      <c r="FJS38" s="21"/>
      <c r="FJT38" s="21"/>
      <c r="FJU38" s="21"/>
      <c r="FJV38" s="21"/>
      <c r="FJW38" s="21"/>
      <c r="FJX38" s="21"/>
      <c r="FJY38" s="21"/>
      <c r="FJZ38" s="21"/>
      <c r="FKA38" s="21"/>
      <c r="FKB38" s="21"/>
      <c r="FKC38" s="21"/>
      <c r="FKD38" s="21"/>
      <c r="FKE38" s="21"/>
      <c r="FKF38" s="21"/>
      <c r="FKG38" s="21"/>
      <c r="FKH38" s="21"/>
      <c r="FKI38" s="21"/>
      <c r="FKJ38" s="21"/>
      <c r="FKK38" s="21"/>
      <c r="FKL38" s="21"/>
      <c r="FKM38" s="21"/>
      <c r="FKN38" s="21"/>
      <c r="FKO38" s="21"/>
      <c r="FKP38" s="21"/>
      <c r="FKQ38" s="21"/>
      <c r="FKR38" s="21"/>
      <c r="FKS38" s="21"/>
      <c r="FKT38" s="21"/>
      <c r="FKU38" s="21"/>
      <c r="FKV38" s="21"/>
      <c r="FKW38" s="21"/>
      <c r="FKX38" s="21"/>
      <c r="FKY38" s="21"/>
      <c r="FKZ38" s="21"/>
      <c r="FLA38" s="21"/>
      <c r="FLB38" s="21"/>
      <c r="FLC38" s="21"/>
      <c r="FLD38" s="21"/>
      <c r="FLE38" s="21"/>
      <c r="FLF38" s="21"/>
      <c r="FLG38" s="21"/>
      <c r="FLH38" s="21"/>
      <c r="FLI38" s="21"/>
      <c r="FLJ38" s="21"/>
      <c r="FLK38" s="21"/>
      <c r="FLL38" s="21"/>
      <c r="FLM38" s="21"/>
      <c r="FLN38" s="21"/>
      <c r="FLO38" s="21"/>
      <c r="FLP38" s="21"/>
      <c r="FLQ38" s="21"/>
      <c r="FLR38" s="21"/>
      <c r="FLS38" s="21"/>
      <c r="FLT38" s="21"/>
      <c r="FLU38" s="21"/>
      <c r="FLV38" s="21"/>
      <c r="FLW38" s="21"/>
      <c r="FLX38" s="21"/>
      <c r="FLY38" s="21"/>
      <c r="FLZ38" s="21"/>
      <c r="FMA38" s="21"/>
      <c r="FMB38" s="21"/>
      <c r="FMC38" s="21"/>
      <c r="FMD38" s="21"/>
      <c r="FME38" s="21"/>
      <c r="FMF38" s="21"/>
      <c r="FMG38" s="21"/>
      <c r="FMH38" s="21"/>
      <c r="FMI38" s="21"/>
      <c r="FMJ38" s="21"/>
      <c r="FMK38" s="21"/>
      <c r="FML38" s="21"/>
      <c r="FMM38" s="21"/>
      <c r="FMN38" s="21"/>
      <c r="FMO38" s="21"/>
      <c r="FMP38" s="21"/>
      <c r="FMQ38" s="21"/>
      <c r="FMR38" s="21"/>
      <c r="FMS38" s="21"/>
      <c r="FMT38" s="21"/>
      <c r="FMU38" s="21"/>
      <c r="FMV38" s="21"/>
      <c r="FMW38" s="21"/>
      <c r="FMX38" s="21"/>
      <c r="FMY38" s="21"/>
      <c r="FMZ38" s="21"/>
      <c r="FNA38" s="21"/>
      <c r="FNB38" s="21"/>
      <c r="FNC38" s="21"/>
      <c r="FND38" s="21"/>
      <c r="FNE38" s="21"/>
      <c r="FNF38" s="21"/>
      <c r="FNG38" s="21"/>
      <c r="FNH38" s="21"/>
      <c r="FNI38" s="21"/>
      <c r="FNJ38" s="21"/>
      <c r="FNK38" s="21"/>
      <c r="FNL38" s="21"/>
      <c r="FNM38" s="21"/>
      <c r="FNN38" s="21"/>
      <c r="FNO38" s="21"/>
      <c r="FNP38" s="21"/>
      <c r="FNQ38" s="21"/>
      <c r="FNR38" s="21"/>
      <c r="FNS38" s="21"/>
      <c r="FNT38" s="21"/>
      <c r="FNU38" s="21"/>
      <c r="FNV38" s="21"/>
      <c r="FNW38" s="21"/>
      <c r="FNX38" s="21"/>
      <c r="FNY38" s="21"/>
      <c r="FNZ38" s="21"/>
      <c r="FOA38" s="21"/>
      <c r="FOB38" s="21"/>
      <c r="FOC38" s="21"/>
      <c r="FOD38" s="21"/>
      <c r="FOE38" s="21"/>
      <c r="FOF38" s="21"/>
      <c r="FOG38" s="21"/>
      <c r="FOH38" s="21"/>
      <c r="FOI38" s="21"/>
      <c r="FOJ38" s="21"/>
      <c r="FOK38" s="21"/>
      <c r="FOL38" s="21"/>
      <c r="FOM38" s="21"/>
      <c r="FON38" s="21"/>
      <c r="FOO38" s="21"/>
      <c r="FOP38" s="21"/>
      <c r="FOQ38" s="21"/>
      <c r="FOR38" s="21"/>
      <c r="FOS38" s="21"/>
      <c r="FOT38" s="21"/>
      <c r="FOU38" s="21"/>
      <c r="FOV38" s="21"/>
      <c r="FOW38" s="21"/>
      <c r="FOX38" s="21"/>
      <c r="FOY38" s="21"/>
      <c r="FOZ38" s="21"/>
      <c r="FPA38" s="21"/>
      <c r="FPB38" s="21"/>
      <c r="FPC38" s="21"/>
      <c r="FPD38" s="21"/>
      <c r="FPE38" s="21"/>
      <c r="FPF38" s="21"/>
      <c r="FPG38" s="21"/>
      <c r="FPH38" s="21"/>
      <c r="FPI38" s="21"/>
      <c r="FPJ38" s="21"/>
      <c r="FPK38" s="21"/>
      <c r="FPL38" s="21"/>
      <c r="FPM38" s="21"/>
      <c r="FPN38" s="21"/>
      <c r="FPO38" s="21"/>
      <c r="FPP38" s="21"/>
      <c r="FPQ38" s="21"/>
      <c r="FPR38" s="21"/>
      <c r="FPS38" s="21"/>
      <c r="FPT38" s="21"/>
      <c r="FPU38" s="21"/>
      <c r="FPV38" s="21"/>
      <c r="FPW38" s="21"/>
      <c r="FPX38" s="21"/>
      <c r="FPY38" s="21"/>
      <c r="FPZ38" s="21"/>
      <c r="FQA38" s="21"/>
      <c r="FQB38" s="21"/>
      <c r="FQC38" s="21"/>
      <c r="FQD38" s="21"/>
      <c r="FQE38" s="21"/>
      <c r="FQF38" s="21"/>
      <c r="FQG38" s="21"/>
      <c r="FQH38" s="21"/>
      <c r="FQI38" s="21"/>
      <c r="FQJ38" s="21"/>
      <c r="FQK38" s="21"/>
      <c r="FQL38" s="21"/>
      <c r="FQM38" s="21"/>
      <c r="FQN38" s="21"/>
      <c r="FQO38" s="21"/>
      <c r="FQP38" s="21"/>
      <c r="FQQ38" s="21"/>
      <c r="FQR38" s="21"/>
      <c r="FQS38" s="21"/>
      <c r="FQT38" s="21"/>
      <c r="FQU38" s="21"/>
      <c r="FQV38" s="21"/>
      <c r="FQW38" s="21"/>
      <c r="FQX38" s="21"/>
      <c r="FQY38" s="21"/>
      <c r="FQZ38" s="21"/>
      <c r="FRA38" s="21"/>
      <c r="FRB38" s="21"/>
      <c r="FRC38" s="21"/>
      <c r="FRD38" s="21"/>
      <c r="FRE38" s="21"/>
      <c r="FRF38" s="21"/>
      <c r="FRG38" s="21"/>
      <c r="FRH38" s="21"/>
      <c r="FRI38" s="21"/>
      <c r="FRJ38" s="21"/>
      <c r="FRK38" s="21"/>
      <c r="FRL38" s="21"/>
      <c r="FRM38" s="21"/>
      <c r="FRN38" s="21"/>
      <c r="FRO38" s="21"/>
      <c r="FRP38" s="21"/>
      <c r="FRQ38" s="21"/>
      <c r="FRR38" s="21"/>
      <c r="FRS38" s="21"/>
      <c r="FRT38" s="21"/>
      <c r="FRU38" s="21"/>
      <c r="FRV38" s="21"/>
      <c r="FRW38" s="21"/>
      <c r="FRX38" s="21"/>
      <c r="FRY38" s="21"/>
      <c r="FRZ38" s="21"/>
      <c r="FSA38" s="21"/>
      <c r="FSB38" s="21"/>
      <c r="FSC38" s="21"/>
      <c r="FSD38" s="21"/>
      <c r="FSE38" s="21"/>
      <c r="FSF38" s="21"/>
      <c r="FSG38" s="21"/>
      <c r="FSH38" s="21"/>
      <c r="FSI38" s="21"/>
      <c r="FSJ38" s="21"/>
      <c r="FSK38" s="21"/>
      <c r="FSL38" s="21"/>
      <c r="FSM38" s="21"/>
      <c r="FSN38" s="21"/>
      <c r="FSO38" s="21"/>
      <c r="FSP38" s="21"/>
      <c r="FSQ38" s="21"/>
      <c r="FSR38" s="21"/>
      <c r="FSS38" s="21"/>
      <c r="FST38" s="21"/>
      <c r="FSU38" s="21"/>
      <c r="FSV38" s="21"/>
      <c r="FSW38" s="21"/>
      <c r="FSX38" s="21"/>
      <c r="FSY38" s="21"/>
      <c r="FSZ38" s="21"/>
      <c r="FTA38" s="21"/>
      <c r="FTB38" s="21"/>
      <c r="FTC38" s="21"/>
      <c r="FTD38" s="21"/>
      <c r="FTE38" s="21"/>
      <c r="FTF38" s="21"/>
      <c r="FTG38" s="21"/>
      <c r="FTH38" s="21"/>
      <c r="FTI38" s="21"/>
      <c r="FTJ38" s="21"/>
      <c r="FTK38" s="21"/>
      <c r="FTL38" s="21"/>
      <c r="FTM38" s="21"/>
      <c r="FTN38" s="21"/>
      <c r="FTO38" s="21"/>
      <c r="FTP38" s="21"/>
      <c r="FTQ38" s="21"/>
      <c r="FTR38" s="21"/>
      <c r="FTS38" s="21"/>
      <c r="FTT38" s="21"/>
      <c r="FTU38" s="21"/>
      <c r="FTV38" s="21"/>
      <c r="FTW38" s="21"/>
      <c r="FTX38" s="21"/>
      <c r="FTY38" s="21"/>
      <c r="FTZ38" s="21"/>
      <c r="FUA38" s="21"/>
      <c r="FUB38" s="21"/>
      <c r="FUC38" s="21"/>
      <c r="FUD38" s="21"/>
      <c r="FUE38" s="21"/>
      <c r="FUF38" s="21"/>
      <c r="FUG38" s="21"/>
      <c r="FUH38" s="21"/>
      <c r="FUI38" s="21"/>
      <c r="FUJ38" s="21"/>
      <c r="FUK38" s="21"/>
      <c r="FUL38" s="21"/>
      <c r="FUM38" s="21"/>
      <c r="FUN38" s="21"/>
      <c r="FUO38" s="21"/>
      <c r="FUP38" s="21"/>
      <c r="FUQ38" s="21"/>
      <c r="FUR38" s="21"/>
      <c r="FUS38" s="21"/>
      <c r="FUT38" s="21"/>
      <c r="FUU38" s="21"/>
      <c r="FUV38" s="21"/>
      <c r="FUW38" s="21"/>
      <c r="FUX38" s="21"/>
      <c r="FUY38" s="21"/>
      <c r="FUZ38" s="21"/>
      <c r="FVA38" s="21"/>
      <c r="FVB38" s="21"/>
      <c r="FVC38" s="21"/>
      <c r="FVD38" s="21"/>
      <c r="FVE38" s="21"/>
      <c r="FVF38" s="21"/>
      <c r="FVG38" s="21"/>
      <c r="FVH38" s="21"/>
      <c r="FVI38" s="21"/>
      <c r="FVJ38" s="21"/>
      <c r="FVK38" s="21"/>
      <c r="FVL38" s="21"/>
      <c r="FVM38" s="21"/>
      <c r="FVN38" s="21"/>
      <c r="FVO38" s="21"/>
      <c r="FVP38" s="21"/>
      <c r="FVQ38" s="21"/>
      <c r="FVR38" s="21"/>
      <c r="FVS38" s="21"/>
      <c r="FVT38" s="21"/>
      <c r="FVU38" s="21"/>
      <c r="FVV38" s="21"/>
      <c r="FVW38" s="21"/>
      <c r="FVX38" s="21"/>
      <c r="FVY38" s="21"/>
      <c r="FVZ38" s="21"/>
      <c r="FWA38" s="21"/>
      <c r="FWB38" s="21"/>
      <c r="FWC38" s="21"/>
      <c r="FWD38" s="21"/>
      <c r="FWE38" s="21"/>
      <c r="FWF38" s="21"/>
      <c r="FWG38" s="21"/>
      <c r="FWH38" s="21"/>
      <c r="FWI38" s="21"/>
      <c r="FWJ38" s="21"/>
      <c r="FWK38" s="21"/>
      <c r="FWL38" s="21"/>
      <c r="FWM38" s="21"/>
      <c r="FWN38" s="21"/>
      <c r="FWO38" s="21"/>
      <c r="FWP38" s="21"/>
      <c r="FWQ38" s="21"/>
      <c r="FWR38" s="21"/>
      <c r="FWS38" s="21"/>
      <c r="FWT38" s="21"/>
      <c r="FWU38" s="21"/>
      <c r="FWV38" s="21"/>
      <c r="FWW38" s="21"/>
      <c r="FWX38" s="21"/>
      <c r="FWY38" s="21"/>
      <c r="FWZ38" s="21"/>
      <c r="FXA38" s="21"/>
      <c r="FXB38" s="21"/>
      <c r="FXC38" s="21"/>
      <c r="FXD38" s="21"/>
      <c r="FXE38" s="21"/>
      <c r="FXF38" s="21"/>
      <c r="FXG38" s="21"/>
      <c r="FXH38" s="21"/>
      <c r="FXI38" s="21"/>
      <c r="FXJ38" s="21"/>
      <c r="FXK38" s="21"/>
      <c r="FXL38" s="21"/>
      <c r="FXM38" s="21"/>
      <c r="FXN38" s="21"/>
      <c r="FXO38" s="21"/>
      <c r="FXP38" s="21"/>
      <c r="FXQ38" s="21"/>
      <c r="FXR38" s="21"/>
      <c r="FXS38" s="21"/>
      <c r="FXT38" s="21"/>
      <c r="FXU38" s="21"/>
      <c r="FXV38" s="21"/>
      <c r="FXW38" s="21"/>
      <c r="FXX38" s="21"/>
      <c r="FXY38" s="21"/>
      <c r="FXZ38" s="21"/>
      <c r="FYA38" s="21"/>
      <c r="FYB38" s="21"/>
      <c r="FYC38" s="21"/>
      <c r="FYD38" s="21"/>
      <c r="FYE38" s="21"/>
      <c r="FYF38" s="21"/>
      <c r="FYG38" s="21"/>
      <c r="FYH38" s="21"/>
      <c r="FYI38" s="21"/>
      <c r="FYJ38" s="21"/>
      <c r="FYK38" s="21"/>
      <c r="FYL38" s="21"/>
      <c r="FYM38" s="21"/>
      <c r="FYN38" s="21"/>
      <c r="FYO38" s="21"/>
      <c r="FYP38" s="21"/>
      <c r="FYQ38" s="21"/>
      <c r="FYR38" s="21"/>
      <c r="FYS38" s="21"/>
      <c r="FYT38" s="21"/>
      <c r="FYU38" s="21"/>
      <c r="FYV38" s="21"/>
      <c r="FYW38" s="21"/>
      <c r="FYX38" s="21"/>
      <c r="FYY38" s="21"/>
      <c r="FYZ38" s="21"/>
      <c r="FZA38" s="21"/>
      <c r="FZB38" s="21"/>
      <c r="FZC38" s="21"/>
      <c r="FZD38" s="21"/>
      <c r="FZE38" s="21"/>
      <c r="FZF38" s="21"/>
      <c r="FZG38" s="21"/>
      <c r="FZH38" s="21"/>
      <c r="FZI38" s="21"/>
      <c r="FZJ38" s="21"/>
      <c r="FZK38" s="21"/>
      <c r="FZL38" s="21"/>
      <c r="FZM38" s="21"/>
      <c r="FZN38" s="21"/>
      <c r="FZO38" s="21"/>
      <c r="FZP38" s="21"/>
      <c r="FZQ38" s="21"/>
      <c r="FZR38" s="21"/>
      <c r="FZS38" s="21"/>
      <c r="FZT38" s="21"/>
      <c r="FZU38" s="21"/>
      <c r="FZV38" s="21"/>
      <c r="FZW38" s="21"/>
      <c r="FZX38" s="21"/>
      <c r="FZY38" s="21"/>
      <c r="FZZ38" s="21"/>
      <c r="GAA38" s="21"/>
      <c r="GAB38" s="21"/>
      <c r="GAC38" s="21"/>
      <c r="GAD38" s="21"/>
      <c r="GAE38" s="21"/>
      <c r="GAF38" s="21"/>
      <c r="GAG38" s="21"/>
      <c r="GAH38" s="21"/>
      <c r="GAI38" s="21"/>
      <c r="GAJ38" s="21"/>
      <c r="GAK38" s="21"/>
      <c r="GAL38" s="21"/>
      <c r="GAM38" s="21"/>
      <c r="GAN38" s="21"/>
      <c r="GAO38" s="21"/>
      <c r="GAP38" s="21"/>
      <c r="GAQ38" s="21"/>
      <c r="GAR38" s="21"/>
      <c r="GAS38" s="21"/>
      <c r="GAT38" s="21"/>
      <c r="GAU38" s="21"/>
      <c r="GAV38" s="21"/>
      <c r="GAW38" s="21"/>
      <c r="GAX38" s="21"/>
      <c r="GAY38" s="21"/>
      <c r="GAZ38" s="21"/>
      <c r="GBA38" s="21"/>
      <c r="GBB38" s="21"/>
      <c r="GBC38" s="21"/>
      <c r="GBD38" s="21"/>
      <c r="GBE38" s="21"/>
      <c r="GBF38" s="21"/>
      <c r="GBG38" s="21"/>
      <c r="GBH38" s="21"/>
      <c r="GBI38" s="21"/>
      <c r="GBJ38" s="21"/>
      <c r="GBK38" s="21"/>
      <c r="GBL38" s="21"/>
      <c r="GBM38" s="21"/>
      <c r="GBN38" s="21"/>
      <c r="GBO38" s="21"/>
      <c r="GBP38" s="21"/>
      <c r="GBQ38" s="21"/>
      <c r="GBR38" s="21"/>
      <c r="GBS38" s="21"/>
      <c r="GBT38" s="21"/>
      <c r="GBU38" s="21"/>
      <c r="GBV38" s="21"/>
      <c r="GBW38" s="21"/>
      <c r="GBX38" s="21"/>
      <c r="GBY38" s="21"/>
      <c r="GBZ38" s="21"/>
      <c r="GCA38" s="21"/>
      <c r="GCB38" s="21"/>
      <c r="GCC38" s="21"/>
      <c r="GCD38" s="21"/>
      <c r="GCE38" s="21"/>
      <c r="GCF38" s="21"/>
      <c r="GCG38" s="21"/>
      <c r="GCH38" s="21"/>
      <c r="GCI38" s="21"/>
      <c r="GCJ38" s="21"/>
      <c r="GCK38" s="21"/>
      <c r="GCL38" s="21"/>
      <c r="GCM38" s="21"/>
      <c r="GCN38" s="21"/>
      <c r="GCO38" s="21"/>
      <c r="GCP38" s="21"/>
      <c r="GCQ38" s="21"/>
      <c r="GCR38" s="21"/>
      <c r="GCS38" s="21"/>
      <c r="GCT38" s="21"/>
      <c r="GCU38" s="21"/>
      <c r="GCV38" s="21"/>
      <c r="GCW38" s="21"/>
      <c r="GCX38" s="21"/>
      <c r="GCY38" s="21"/>
      <c r="GCZ38" s="21"/>
      <c r="GDA38" s="21"/>
      <c r="GDB38" s="21"/>
      <c r="GDC38" s="21"/>
      <c r="GDD38" s="21"/>
      <c r="GDE38" s="21"/>
      <c r="GDF38" s="21"/>
      <c r="GDG38" s="21"/>
      <c r="GDH38" s="21"/>
      <c r="GDI38" s="21"/>
      <c r="GDJ38" s="21"/>
      <c r="GDK38" s="21"/>
      <c r="GDL38" s="21"/>
      <c r="GDM38" s="21"/>
      <c r="GDN38" s="21"/>
      <c r="GDO38" s="21"/>
      <c r="GDP38" s="21"/>
      <c r="GDQ38" s="21"/>
      <c r="GDR38" s="21"/>
      <c r="GDS38" s="21"/>
      <c r="GDT38" s="21"/>
      <c r="GDU38" s="21"/>
      <c r="GDV38" s="21"/>
      <c r="GDW38" s="21"/>
      <c r="GDX38" s="21"/>
      <c r="GDY38" s="21"/>
      <c r="GDZ38" s="21"/>
      <c r="GEA38" s="21"/>
      <c r="GEB38" s="21"/>
      <c r="GEC38" s="21"/>
      <c r="GED38" s="21"/>
      <c r="GEE38" s="21"/>
      <c r="GEF38" s="21"/>
      <c r="GEG38" s="21"/>
      <c r="GEH38" s="21"/>
      <c r="GEI38" s="21"/>
      <c r="GEJ38" s="21"/>
      <c r="GEK38" s="21"/>
      <c r="GEL38" s="21"/>
      <c r="GEM38" s="21"/>
      <c r="GEN38" s="21"/>
      <c r="GEO38" s="21"/>
      <c r="GEP38" s="21"/>
      <c r="GEQ38" s="21"/>
      <c r="GER38" s="21"/>
      <c r="GES38" s="21"/>
      <c r="GET38" s="21"/>
      <c r="GEU38" s="21"/>
      <c r="GEV38" s="21"/>
      <c r="GEW38" s="21"/>
      <c r="GEX38" s="21"/>
      <c r="GEY38" s="21"/>
      <c r="GEZ38" s="21"/>
      <c r="GFA38" s="21"/>
      <c r="GFB38" s="21"/>
      <c r="GFC38" s="21"/>
      <c r="GFD38" s="21"/>
      <c r="GFE38" s="21"/>
      <c r="GFF38" s="21"/>
      <c r="GFG38" s="21"/>
      <c r="GFH38" s="21"/>
      <c r="GFI38" s="21"/>
      <c r="GFJ38" s="21"/>
      <c r="GFK38" s="21"/>
      <c r="GFL38" s="21"/>
      <c r="GFM38" s="21"/>
      <c r="GFN38" s="21"/>
      <c r="GFO38" s="21"/>
      <c r="GFP38" s="21"/>
      <c r="GFQ38" s="21"/>
      <c r="GFR38" s="21"/>
      <c r="GFS38" s="21"/>
      <c r="GFT38" s="21"/>
      <c r="GFU38" s="21"/>
      <c r="GFV38" s="21"/>
      <c r="GFW38" s="21"/>
      <c r="GFX38" s="21"/>
      <c r="GFY38" s="21"/>
      <c r="GFZ38" s="21"/>
      <c r="GGA38" s="21"/>
      <c r="GGB38" s="21"/>
      <c r="GGC38" s="21"/>
      <c r="GGD38" s="21"/>
      <c r="GGE38" s="21"/>
      <c r="GGF38" s="21"/>
      <c r="GGG38" s="21"/>
      <c r="GGH38" s="21"/>
      <c r="GGI38" s="21"/>
      <c r="GGJ38" s="21"/>
      <c r="GGK38" s="21"/>
      <c r="GGL38" s="21"/>
      <c r="GGM38" s="21"/>
      <c r="GGN38" s="21"/>
      <c r="GGO38" s="21"/>
      <c r="GGP38" s="21"/>
      <c r="GGQ38" s="21"/>
      <c r="GGR38" s="21"/>
      <c r="GGS38" s="21"/>
      <c r="GGT38" s="21"/>
      <c r="GGU38" s="21"/>
      <c r="GGV38" s="21"/>
      <c r="GGW38" s="21"/>
      <c r="GGX38" s="21"/>
      <c r="GGY38" s="21"/>
      <c r="GGZ38" s="21"/>
      <c r="GHA38" s="21"/>
      <c r="GHB38" s="21"/>
      <c r="GHC38" s="21"/>
      <c r="GHD38" s="21"/>
      <c r="GHE38" s="21"/>
      <c r="GHF38" s="21"/>
      <c r="GHG38" s="21"/>
      <c r="GHH38" s="21"/>
      <c r="GHI38" s="21"/>
      <c r="GHJ38" s="21"/>
      <c r="GHK38" s="21"/>
      <c r="GHL38" s="21"/>
      <c r="GHM38" s="21"/>
      <c r="GHN38" s="21"/>
      <c r="GHO38" s="21"/>
      <c r="GHP38" s="21"/>
      <c r="GHQ38" s="21"/>
      <c r="GHR38" s="21"/>
      <c r="GHS38" s="21"/>
      <c r="GHT38" s="21"/>
      <c r="GHU38" s="21"/>
      <c r="GHV38" s="21"/>
      <c r="GHW38" s="21"/>
      <c r="GHX38" s="21"/>
      <c r="GHY38" s="21"/>
      <c r="GHZ38" s="21"/>
      <c r="GIA38" s="21"/>
      <c r="GIB38" s="21"/>
      <c r="GIC38" s="21"/>
      <c r="GID38" s="21"/>
      <c r="GIE38" s="21"/>
      <c r="GIF38" s="21"/>
      <c r="GIG38" s="21"/>
      <c r="GIH38" s="21"/>
      <c r="GII38" s="21"/>
      <c r="GIJ38" s="21"/>
      <c r="GIK38" s="21"/>
      <c r="GIL38" s="21"/>
      <c r="GIM38" s="21"/>
      <c r="GIN38" s="21"/>
      <c r="GIO38" s="21"/>
      <c r="GIP38" s="21"/>
      <c r="GIQ38" s="21"/>
      <c r="GIR38" s="21"/>
      <c r="GIS38" s="21"/>
      <c r="GIT38" s="21"/>
      <c r="GIU38" s="21"/>
      <c r="GIV38" s="21"/>
      <c r="GIW38" s="21"/>
      <c r="GIX38" s="21"/>
      <c r="GIY38" s="21"/>
      <c r="GIZ38" s="21"/>
      <c r="GJA38" s="21"/>
      <c r="GJB38" s="21"/>
      <c r="GJC38" s="21"/>
      <c r="GJD38" s="21"/>
      <c r="GJE38" s="21"/>
      <c r="GJF38" s="21"/>
      <c r="GJG38" s="21"/>
      <c r="GJH38" s="21"/>
      <c r="GJI38" s="21"/>
      <c r="GJJ38" s="21"/>
      <c r="GJK38" s="21"/>
      <c r="GJL38" s="21"/>
      <c r="GJM38" s="21"/>
      <c r="GJN38" s="21"/>
      <c r="GJO38" s="21"/>
      <c r="GJP38" s="21"/>
      <c r="GJQ38" s="21"/>
      <c r="GJR38" s="21"/>
      <c r="GJS38" s="21"/>
      <c r="GJT38" s="21"/>
      <c r="GJU38" s="21"/>
      <c r="GJV38" s="21"/>
      <c r="GJW38" s="21"/>
      <c r="GJX38" s="21"/>
      <c r="GJY38" s="21"/>
      <c r="GJZ38" s="21"/>
      <c r="GKA38" s="21"/>
      <c r="GKB38" s="21"/>
      <c r="GKC38" s="21"/>
      <c r="GKD38" s="21"/>
      <c r="GKE38" s="21"/>
      <c r="GKF38" s="21"/>
      <c r="GKG38" s="21"/>
      <c r="GKH38" s="21"/>
      <c r="GKI38" s="21"/>
      <c r="GKJ38" s="21"/>
      <c r="GKK38" s="21"/>
      <c r="GKL38" s="21"/>
      <c r="GKM38" s="21"/>
      <c r="GKN38" s="21"/>
      <c r="GKO38" s="21"/>
      <c r="GKP38" s="21"/>
      <c r="GKQ38" s="21"/>
      <c r="GKR38" s="21"/>
      <c r="GKS38" s="21"/>
      <c r="GKT38" s="21"/>
      <c r="GKU38" s="21"/>
      <c r="GKV38" s="21"/>
      <c r="GKW38" s="21"/>
      <c r="GKX38" s="21"/>
      <c r="GKY38" s="21"/>
      <c r="GKZ38" s="21"/>
      <c r="GLA38" s="21"/>
      <c r="GLB38" s="21"/>
      <c r="GLC38" s="21"/>
      <c r="GLD38" s="21"/>
      <c r="GLE38" s="21"/>
      <c r="GLF38" s="21"/>
      <c r="GLG38" s="21"/>
      <c r="GLH38" s="21"/>
      <c r="GLI38" s="21"/>
      <c r="GLJ38" s="21"/>
      <c r="GLK38" s="21"/>
      <c r="GLL38" s="21"/>
      <c r="GLM38" s="21"/>
      <c r="GLN38" s="21"/>
      <c r="GLO38" s="21"/>
      <c r="GLP38" s="21"/>
      <c r="GLQ38" s="21"/>
      <c r="GLR38" s="21"/>
      <c r="GLS38" s="21"/>
      <c r="GLT38" s="21"/>
      <c r="GLU38" s="21"/>
      <c r="GLV38" s="21"/>
      <c r="GLW38" s="21"/>
      <c r="GLX38" s="21"/>
      <c r="GLY38" s="21"/>
      <c r="GLZ38" s="21"/>
      <c r="GMA38" s="21"/>
      <c r="GMB38" s="21"/>
      <c r="GMC38" s="21"/>
      <c r="GMD38" s="21"/>
      <c r="GME38" s="21"/>
      <c r="GMF38" s="21"/>
      <c r="GMG38" s="21"/>
      <c r="GMH38" s="21"/>
      <c r="GMI38" s="21"/>
      <c r="GMJ38" s="21"/>
      <c r="GMK38" s="21"/>
      <c r="GML38" s="21"/>
      <c r="GMM38" s="21"/>
      <c r="GMN38" s="21"/>
      <c r="GMO38" s="21"/>
      <c r="GMP38" s="21"/>
      <c r="GMQ38" s="21"/>
      <c r="GMR38" s="21"/>
      <c r="GMS38" s="21"/>
      <c r="GMT38" s="21"/>
      <c r="GMU38" s="21"/>
      <c r="GMV38" s="21"/>
      <c r="GMW38" s="21"/>
      <c r="GMX38" s="21"/>
      <c r="GMY38" s="21"/>
      <c r="GMZ38" s="21"/>
      <c r="GNA38" s="21"/>
      <c r="GNB38" s="21"/>
      <c r="GNC38" s="21"/>
      <c r="GND38" s="21"/>
      <c r="GNE38" s="21"/>
      <c r="GNF38" s="21"/>
      <c r="GNG38" s="21"/>
      <c r="GNH38" s="21"/>
      <c r="GNI38" s="21"/>
      <c r="GNJ38" s="21"/>
      <c r="GNK38" s="21"/>
      <c r="GNL38" s="21"/>
      <c r="GNM38" s="21"/>
      <c r="GNN38" s="21"/>
      <c r="GNO38" s="21"/>
      <c r="GNP38" s="21"/>
      <c r="GNQ38" s="21"/>
      <c r="GNR38" s="21"/>
      <c r="GNS38" s="21"/>
      <c r="GNT38" s="21"/>
      <c r="GNU38" s="21"/>
      <c r="GNV38" s="21"/>
      <c r="GNW38" s="21"/>
      <c r="GNX38" s="21"/>
      <c r="GNY38" s="21"/>
      <c r="GNZ38" s="21"/>
      <c r="GOA38" s="21"/>
      <c r="GOB38" s="21"/>
      <c r="GOC38" s="21"/>
      <c r="GOD38" s="21"/>
      <c r="GOE38" s="21"/>
      <c r="GOF38" s="21"/>
      <c r="GOG38" s="21"/>
      <c r="GOH38" s="21"/>
      <c r="GOI38" s="21"/>
      <c r="GOJ38" s="21"/>
      <c r="GOK38" s="21"/>
      <c r="GOL38" s="21"/>
      <c r="GOM38" s="21"/>
      <c r="GON38" s="21"/>
      <c r="GOO38" s="21"/>
      <c r="GOP38" s="21"/>
      <c r="GOQ38" s="21"/>
      <c r="GOR38" s="21"/>
      <c r="GOS38" s="21"/>
      <c r="GOT38" s="21"/>
      <c r="GOU38" s="21"/>
      <c r="GOV38" s="21"/>
      <c r="GOW38" s="21"/>
      <c r="GOX38" s="21"/>
      <c r="GOY38" s="21"/>
      <c r="GOZ38" s="21"/>
      <c r="GPA38" s="21"/>
      <c r="GPB38" s="21"/>
      <c r="GPC38" s="21"/>
      <c r="GPD38" s="21"/>
      <c r="GPE38" s="21"/>
      <c r="GPF38" s="21"/>
      <c r="GPG38" s="21"/>
      <c r="GPH38" s="21"/>
      <c r="GPI38" s="21"/>
      <c r="GPJ38" s="21"/>
      <c r="GPK38" s="21"/>
      <c r="GPL38" s="21"/>
      <c r="GPM38" s="21"/>
      <c r="GPN38" s="21"/>
      <c r="GPO38" s="21"/>
      <c r="GPP38" s="21"/>
      <c r="GPQ38" s="21"/>
      <c r="GPR38" s="21"/>
      <c r="GPS38" s="21"/>
      <c r="GPT38" s="21"/>
      <c r="GPU38" s="21"/>
      <c r="GPV38" s="21"/>
      <c r="GPW38" s="21"/>
      <c r="GPX38" s="21"/>
      <c r="GPY38" s="21"/>
      <c r="GPZ38" s="21"/>
      <c r="GQA38" s="21"/>
      <c r="GQB38" s="21"/>
      <c r="GQC38" s="21"/>
      <c r="GQD38" s="21"/>
      <c r="GQE38" s="21"/>
      <c r="GQF38" s="21"/>
      <c r="GQG38" s="21"/>
      <c r="GQH38" s="21"/>
      <c r="GQI38" s="21"/>
      <c r="GQJ38" s="21"/>
      <c r="GQK38" s="21"/>
      <c r="GQL38" s="21"/>
      <c r="GQM38" s="21"/>
      <c r="GQN38" s="21"/>
      <c r="GQO38" s="21"/>
      <c r="GQP38" s="21"/>
      <c r="GQQ38" s="21"/>
      <c r="GQR38" s="21"/>
      <c r="GQS38" s="21"/>
      <c r="GQT38" s="21"/>
      <c r="GQU38" s="21"/>
      <c r="GQV38" s="21"/>
      <c r="GQW38" s="21"/>
      <c r="GQX38" s="21"/>
      <c r="GQY38" s="21"/>
      <c r="GQZ38" s="21"/>
      <c r="GRA38" s="21"/>
      <c r="GRB38" s="21"/>
      <c r="GRC38" s="21"/>
      <c r="GRD38" s="21"/>
      <c r="GRE38" s="21"/>
      <c r="GRF38" s="21"/>
      <c r="GRG38" s="21"/>
      <c r="GRH38" s="21"/>
      <c r="GRI38" s="21"/>
      <c r="GRJ38" s="21"/>
      <c r="GRK38" s="21"/>
      <c r="GRL38" s="21"/>
      <c r="GRM38" s="21"/>
      <c r="GRN38" s="21"/>
      <c r="GRO38" s="21"/>
      <c r="GRP38" s="21"/>
      <c r="GRQ38" s="21"/>
      <c r="GRR38" s="21"/>
      <c r="GRS38" s="21"/>
      <c r="GRT38" s="21"/>
      <c r="GRU38" s="21"/>
      <c r="GRV38" s="21"/>
      <c r="GRW38" s="21"/>
      <c r="GRX38" s="21"/>
      <c r="GRY38" s="21"/>
      <c r="GRZ38" s="21"/>
      <c r="GSA38" s="21"/>
      <c r="GSB38" s="21"/>
      <c r="GSC38" s="21"/>
      <c r="GSD38" s="21"/>
      <c r="GSE38" s="21"/>
      <c r="GSF38" s="21"/>
      <c r="GSG38" s="21"/>
      <c r="GSH38" s="21"/>
      <c r="GSI38" s="21"/>
      <c r="GSJ38" s="21"/>
      <c r="GSK38" s="21"/>
      <c r="GSL38" s="21"/>
      <c r="GSM38" s="21"/>
      <c r="GSN38" s="21"/>
      <c r="GSO38" s="21"/>
      <c r="GSP38" s="21"/>
      <c r="GSQ38" s="21"/>
      <c r="GSR38" s="21"/>
      <c r="GSS38" s="21"/>
      <c r="GST38" s="21"/>
      <c r="GSU38" s="21"/>
      <c r="GSV38" s="21"/>
      <c r="GSW38" s="21"/>
      <c r="GSX38" s="21"/>
      <c r="GSY38" s="21"/>
      <c r="GSZ38" s="21"/>
      <c r="GTA38" s="21"/>
      <c r="GTB38" s="21"/>
      <c r="GTC38" s="21"/>
      <c r="GTD38" s="21"/>
      <c r="GTE38" s="21"/>
      <c r="GTF38" s="21"/>
      <c r="GTG38" s="21"/>
      <c r="GTH38" s="21"/>
      <c r="GTI38" s="21"/>
      <c r="GTJ38" s="21"/>
      <c r="GTK38" s="21"/>
      <c r="GTL38" s="21"/>
      <c r="GTM38" s="21"/>
      <c r="GTN38" s="21"/>
      <c r="GTO38" s="21"/>
      <c r="GTP38" s="21"/>
      <c r="GTQ38" s="21"/>
      <c r="GTR38" s="21"/>
      <c r="GTS38" s="21"/>
      <c r="GTT38" s="21"/>
      <c r="GTU38" s="21"/>
      <c r="GTV38" s="21"/>
      <c r="GTW38" s="21"/>
      <c r="GTX38" s="21"/>
      <c r="GTY38" s="21"/>
      <c r="GTZ38" s="21"/>
      <c r="GUA38" s="21"/>
      <c r="GUB38" s="21"/>
      <c r="GUC38" s="21"/>
      <c r="GUD38" s="21"/>
      <c r="GUE38" s="21"/>
      <c r="GUF38" s="21"/>
      <c r="GUG38" s="21"/>
      <c r="GUH38" s="21"/>
      <c r="GUI38" s="21"/>
      <c r="GUJ38" s="21"/>
      <c r="GUK38" s="21"/>
      <c r="GUL38" s="21"/>
      <c r="GUM38" s="21"/>
      <c r="GUN38" s="21"/>
      <c r="GUO38" s="21"/>
      <c r="GUP38" s="21"/>
      <c r="GUQ38" s="21"/>
      <c r="GUR38" s="21"/>
      <c r="GUS38" s="21"/>
      <c r="GUT38" s="21"/>
      <c r="GUU38" s="21"/>
      <c r="GUV38" s="21"/>
      <c r="GUW38" s="21"/>
      <c r="GUX38" s="21"/>
      <c r="GUY38" s="21"/>
      <c r="GUZ38" s="21"/>
      <c r="GVA38" s="21"/>
      <c r="GVB38" s="21"/>
      <c r="GVC38" s="21"/>
      <c r="GVD38" s="21"/>
      <c r="GVE38" s="21"/>
      <c r="GVF38" s="21"/>
      <c r="GVG38" s="21"/>
      <c r="GVH38" s="21"/>
      <c r="GVI38" s="21"/>
      <c r="GVJ38" s="21"/>
      <c r="GVK38" s="21"/>
      <c r="GVL38" s="21"/>
      <c r="GVM38" s="21"/>
      <c r="GVN38" s="21"/>
      <c r="GVO38" s="21"/>
      <c r="GVP38" s="21"/>
      <c r="GVQ38" s="21"/>
      <c r="GVR38" s="21"/>
      <c r="GVS38" s="21"/>
      <c r="GVT38" s="21"/>
      <c r="GVU38" s="21"/>
      <c r="GVV38" s="21"/>
      <c r="GVW38" s="21"/>
      <c r="GVX38" s="21"/>
      <c r="GVY38" s="21"/>
      <c r="GVZ38" s="21"/>
      <c r="GWA38" s="21"/>
      <c r="GWB38" s="21"/>
      <c r="GWC38" s="21"/>
      <c r="GWD38" s="21"/>
      <c r="GWE38" s="21"/>
      <c r="GWF38" s="21"/>
      <c r="GWG38" s="21"/>
      <c r="GWH38" s="21"/>
      <c r="GWI38" s="21"/>
      <c r="GWJ38" s="21"/>
      <c r="GWK38" s="21"/>
      <c r="GWL38" s="21"/>
      <c r="GWM38" s="21"/>
      <c r="GWN38" s="21"/>
      <c r="GWO38" s="21"/>
      <c r="GWP38" s="21"/>
      <c r="GWQ38" s="21"/>
      <c r="GWR38" s="21"/>
      <c r="GWS38" s="21"/>
      <c r="GWT38" s="21"/>
      <c r="GWU38" s="21"/>
      <c r="GWV38" s="21"/>
      <c r="GWW38" s="21"/>
      <c r="GWX38" s="21"/>
      <c r="GWY38" s="21"/>
      <c r="GWZ38" s="21"/>
      <c r="GXA38" s="21"/>
      <c r="GXB38" s="21"/>
      <c r="GXC38" s="21"/>
      <c r="GXD38" s="21"/>
      <c r="GXE38" s="21"/>
      <c r="GXF38" s="21"/>
      <c r="GXG38" s="21"/>
      <c r="GXH38" s="21"/>
      <c r="GXI38" s="21"/>
      <c r="GXJ38" s="21"/>
      <c r="GXK38" s="21"/>
      <c r="GXL38" s="21"/>
      <c r="GXM38" s="21"/>
      <c r="GXN38" s="21"/>
      <c r="GXO38" s="21"/>
      <c r="GXP38" s="21"/>
      <c r="GXQ38" s="21"/>
      <c r="GXR38" s="21"/>
      <c r="GXS38" s="21"/>
      <c r="GXT38" s="21"/>
      <c r="GXU38" s="21"/>
      <c r="GXV38" s="21"/>
      <c r="GXW38" s="21"/>
      <c r="GXX38" s="21"/>
      <c r="GXY38" s="21"/>
      <c r="GXZ38" s="21"/>
      <c r="GYA38" s="21"/>
      <c r="GYB38" s="21"/>
      <c r="GYC38" s="21"/>
      <c r="GYD38" s="21"/>
      <c r="GYE38" s="21"/>
      <c r="GYF38" s="21"/>
      <c r="GYG38" s="21"/>
      <c r="GYH38" s="21"/>
      <c r="GYI38" s="21"/>
      <c r="GYJ38" s="21"/>
      <c r="GYK38" s="21"/>
      <c r="GYL38" s="21"/>
      <c r="GYM38" s="21"/>
      <c r="GYN38" s="21"/>
      <c r="GYO38" s="21"/>
      <c r="GYP38" s="21"/>
      <c r="GYQ38" s="21"/>
      <c r="GYR38" s="21"/>
      <c r="GYS38" s="21"/>
      <c r="GYT38" s="21"/>
      <c r="GYU38" s="21"/>
      <c r="GYV38" s="21"/>
      <c r="GYW38" s="21"/>
      <c r="GYX38" s="21"/>
      <c r="GYY38" s="21"/>
      <c r="GYZ38" s="21"/>
      <c r="GZA38" s="21"/>
      <c r="GZB38" s="21"/>
      <c r="GZC38" s="21"/>
      <c r="GZD38" s="21"/>
      <c r="GZE38" s="21"/>
      <c r="GZF38" s="21"/>
      <c r="GZG38" s="21"/>
      <c r="GZH38" s="21"/>
      <c r="GZI38" s="21"/>
      <c r="GZJ38" s="21"/>
      <c r="GZK38" s="21"/>
      <c r="GZL38" s="21"/>
      <c r="GZM38" s="21"/>
      <c r="GZN38" s="21"/>
      <c r="GZO38" s="21"/>
      <c r="GZP38" s="21"/>
      <c r="GZQ38" s="21"/>
      <c r="GZR38" s="21"/>
      <c r="GZS38" s="21"/>
      <c r="GZT38" s="21"/>
      <c r="GZU38" s="21"/>
      <c r="GZV38" s="21"/>
      <c r="GZW38" s="21"/>
      <c r="GZX38" s="21"/>
      <c r="GZY38" s="21"/>
      <c r="GZZ38" s="21"/>
      <c r="HAA38" s="21"/>
      <c r="HAB38" s="21"/>
      <c r="HAC38" s="21"/>
      <c r="HAD38" s="21"/>
      <c r="HAE38" s="21"/>
      <c r="HAF38" s="21"/>
      <c r="HAG38" s="21"/>
      <c r="HAH38" s="21"/>
      <c r="HAI38" s="21"/>
      <c r="HAJ38" s="21"/>
      <c r="HAK38" s="21"/>
      <c r="HAL38" s="21"/>
      <c r="HAM38" s="21"/>
      <c r="HAN38" s="21"/>
      <c r="HAO38" s="21"/>
      <c r="HAP38" s="21"/>
      <c r="HAQ38" s="21"/>
      <c r="HAR38" s="21"/>
      <c r="HAS38" s="21"/>
      <c r="HAT38" s="21"/>
      <c r="HAU38" s="21"/>
      <c r="HAV38" s="21"/>
      <c r="HAW38" s="21"/>
      <c r="HAX38" s="21"/>
      <c r="HAY38" s="21"/>
      <c r="HAZ38" s="21"/>
      <c r="HBA38" s="21"/>
      <c r="HBB38" s="21"/>
      <c r="HBC38" s="21"/>
      <c r="HBD38" s="21"/>
      <c r="HBE38" s="21"/>
      <c r="HBF38" s="21"/>
      <c r="HBG38" s="21"/>
      <c r="HBH38" s="21"/>
      <c r="HBI38" s="21"/>
      <c r="HBJ38" s="21"/>
      <c r="HBK38" s="21"/>
      <c r="HBL38" s="21"/>
      <c r="HBM38" s="21"/>
      <c r="HBN38" s="21"/>
      <c r="HBO38" s="21"/>
      <c r="HBP38" s="21"/>
      <c r="HBQ38" s="21"/>
      <c r="HBR38" s="21"/>
      <c r="HBS38" s="21"/>
      <c r="HBT38" s="21"/>
      <c r="HBU38" s="21"/>
      <c r="HBV38" s="21"/>
      <c r="HBW38" s="21"/>
      <c r="HBX38" s="21"/>
      <c r="HBY38" s="21"/>
      <c r="HBZ38" s="21"/>
      <c r="HCA38" s="21"/>
      <c r="HCB38" s="21"/>
      <c r="HCC38" s="21"/>
      <c r="HCD38" s="21"/>
      <c r="HCE38" s="21"/>
      <c r="HCF38" s="21"/>
      <c r="HCG38" s="21"/>
      <c r="HCH38" s="21"/>
      <c r="HCI38" s="21"/>
      <c r="HCJ38" s="21"/>
      <c r="HCK38" s="21"/>
      <c r="HCL38" s="21"/>
      <c r="HCM38" s="21"/>
      <c r="HCN38" s="21"/>
      <c r="HCO38" s="21"/>
      <c r="HCP38" s="21"/>
      <c r="HCQ38" s="21"/>
      <c r="HCR38" s="21"/>
      <c r="HCS38" s="21"/>
      <c r="HCT38" s="21"/>
      <c r="HCU38" s="21"/>
      <c r="HCV38" s="21"/>
      <c r="HCW38" s="21"/>
      <c r="HCX38" s="21"/>
      <c r="HCY38" s="21"/>
      <c r="HCZ38" s="21"/>
      <c r="HDA38" s="21"/>
      <c r="HDB38" s="21"/>
      <c r="HDC38" s="21"/>
      <c r="HDD38" s="21"/>
      <c r="HDE38" s="21"/>
      <c r="HDF38" s="21"/>
      <c r="HDG38" s="21"/>
      <c r="HDH38" s="21"/>
      <c r="HDI38" s="21"/>
      <c r="HDJ38" s="21"/>
      <c r="HDK38" s="21"/>
      <c r="HDL38" s="21"/>
      <c r="HDM38" s="21"/>
      <c r="HDN38" s="21"/>
      <c r="HDO38" s="21"/>
      <c r="HDP38" s="21"/>
      <c r="HDQ38" s="21"/>
      <c r="HDR38" s="21"/>
      <c r="HDS38" s="21"/>
      <c r="HDT38" s="21"/>
      <c r="HDU38" s="21"/>
      <c r="HDV38" s="21"/>
      <c r="HDW38" s="21"/>
      <c r="HDX38" s="21"/>
      <c r="HDY38" s="21"/>
      <c r="HDZ38" s="21"/>
      <c r="HEA38" s="21"/>
      <c r="HEB38" s="21"/>
      <c r="HEC38" s="21"/>
      <c r="HED38" s="21"/>
      <c r="HEE38" s="21"/>
      <c r="HEF38" s="21"/>
      <c r="HEG38" s="21"/>
      <c r="HEH38" s="21"/>
      <c r="HEI38" s="21"/>
      <c r="HEJ38" s="21"/>
      <c r="HEK38" s="21"/>
      <c r="HEL38" s="21"/>
      <c r="HEM38" s="21"/>
      <c r="HEN38" s="21"/>
      <c r="HEO38" s="21"/>
      <c r="HEP38" s="21"/>
      <c r="HEQ38" s="21"/>
      <c r="HER38" s="21"/>
      <c r="HES38" s="21"/>
      <c r="HET38" s="21"/>
      <c r="HEU38" s="21"/>
      <c r="HEV38" s="21"/>
      <c r="HEW38" s="21"/>
      <c r="HEX38" s="21"/>
      <c r="HEY38" s="21"/>
      <c r="HEZ38" s="21"/>
      <c r="HFA38" s="21"/>
      <c r="HFB38" s="21"/>
      <c r="HFC38" s="21"/>
      <c r="HFD38" s="21"/>
      <c r="HFE38" s="21"/>
      <c r="HFF38" s="21"/>
      <c r="HFG38" s="21"/>
      <c r="HFH38" s="21"/>
      <c r="HFI38" s="21"/>
      <c r="HFJ38" s="21"/>
      <c r="HFK38" s="21"/>
      <c r="HFL38" s="21"/>
      <c r="HFM38" s="21"/>
      <c r="HFN38" s="21"/>
      <c r="HFO38" s="21"/>
      <c r="HFP38" s="21"/>
      <c r="HFQ38" s="21"/>
      <c r="HFR38" s="21"/>
      <c r="HFS38" s="21"/>
      <c r="HFT38" s="21"/>
      <c r="HFU38" s="21"/>
      <c r="HFV38" s="21"/>
      <c r="HFW38" s="21"/>
      <c r="HFX38" s="21"/>
      <c r="HFY38" s="21"/>
      <c r="HFZ38" s="21"/>
      <c r="HGA38" s="21"/>
      <c r="HGB38" s="21"/>
      <c r="HGC38" s="21"/>
      <c r="HGD38" s="21"/>
      <c r="HGE38" s="21"/>
      <c r="HGF38" s="21"/>
      <c r="HGG38" s="21"/>
      <c r="HGH38" s="21"/>
      <c r="HGI38" s="21"/>
      <c r="HGJ38" s="21"/>
      <c r="HGK38" s="21"/>
      <c r="HGL38" s="21"/>
      <c r="HGM38" s="21"/>
      <c r="HGN38" s="21"/>
      <c r="HGO38" s="21"/>
      <c r="HGP38" s="21"/>
      <c r="HGQ38" s="21"/>
      <c r="HGR38" s="21"/>
      <c r="HGS38" s="21"/>
      <c r="HGT38" s="21"/>
      <c r="HGU38" s="21"/>
      <c r="HGV38" s="21"/>
      <c r="HGW38" s="21"/>
      <c r="HGX38" s="21"/>
      <c r="HGY38" s="21"/>
      <c r="HGZ38" s="21"/>
      <c r="HHA38" s="21"/>
      <c r="HHB38" s="21"/>
      <c r="HHC38" s="21"/>
      <c r="HHD38" s="21"/>
      <c r="HHE38" s="21"/>
      <c r="HHF38" s="21"/>
      <c r="HHG38" s="21"/>
      <c r="HHH38" s="21"/>
      <c r="HHI38" s="21"/>
      <c r="HHJ38" s="21"/>
      <c r="HHK38" s="21"/>
      <c r="HHL38" s="21"/>
      <c r="HHM38" s="21"/>
      <c r="HHN38" s="21"/>
      <c r="HHO38" s="21"/>
      <c r="HHP38" s="21"/>
      <c r="HHQ38" s="21"/>
      <c r="HHR38" s="21"/>
      <c r="HHS38" s="21"/>
      <c r="HHT38" s="21"/>
      <c r="HHU38" s="21"/>
      <c r="HHV38" s="21"/>
      <c r="HHW38" s="21"/>
      <c r="HHX38" s="21"/>
      <c r="HHY38" s="21"/>
      <c r="HHZ38" s="21"/>
      <c r="HIA38" s="21"/>
      <c r="HIB38" s="21"/>
      <c r="HIC38" s="21"/>
      <c r="HID38" s="21"/>
      <c r="HIE38" s="21"/>
      <c r="HIF38" s="21"/>
      <c r="HIG38" s="21"/>
      <c r="HIH38" s="21"/>
      <c r="HII38" s="21"/>
      <c r="HIJ38" s="21"/>
      <c r="HIK38" s="21"/>
      <c r="HIL38" s="21"/>
      <c r="HIM38" s="21"/>
      <c r="HIN38" s="21"/>
      <c r="HIO38" s="21"/>
      <c r="HIP38" s="21"/>
      <c r="HIQ38" s="21"/>
      <c r="HIR38" s="21"/>
      <c r="HIS38" s="21"/>
      <c r="HIT38" s="21"/>
      <c r="HIU38" s="21"/>
      <c r="HIV38" s="21"/>
      <c r="HIW38" s="21"/>
      <c r="HIX38" s="21"/>
      <c r="HIY38" s="21"/>
      <c r="HIZ38" s="21"/>
      <c r="HJA38" s="21"/>
      <c r="HJB38" s="21"/>
      <c r="HJC38" s="21"/>
      <c r="HJD38" s="21"/>
      <c r="HJE38" s="21"/>
      <c r="HJF38" s="21"/>
      <c r="HJG38" s="21"/>
      <c r="HJH38" s="21"/>
      <c r="HJI38" s="21"/>
      <c r="HJJ38" s="21"/>
      <c r="HJK38" s="21"/>
      <c r="HJL38" s="21"/>
      <c r="HJM38" s="21"/>
      <c r="HJN38" s="21"/>
      <c r="HJO38" s="21"/>
      <c r="HJP38" s="21"/>
      <c r="HJQ38" s="21"/>
      <c r="HJR38" s="21"/>
      <c r="HJS38" s="21"/>
      <c r="HJT38" s="21"/>
      <c r="HJU38" s="21"/>
      <c r="HJV38" s="21"/>
      <c r="HJW38" s="21"/>
      <c r="HJX38" s="21"/>
      <c r="HJY38" s="21"/>
      <c r="HJZ38" s="21"/>
      <c r="HKA38" s="21"/>
      <c r="HKB38" s="21"/>
      <c r="HKC38" s="21"/>
      <c r="HKD38" s="21"/>
      <c r="HKE38" s="21"/>
      <c r="HKF38" s="21"/>
      <c r="HKG38" s="21"/>
      <c r="HKH38" s="21"/>
      <c r="HKI38" s="21"/>
      <c r="HKJ38" s="21"/>
      <c r="HKK38" s="21"/>
      <c r="HKL38" s="21"/>
      <c r="HKM38" s="21"/>
      <c r="HKN38" s="21"/>
      <c r="HKO38" s="21"/>
      <c r="HKP38" s="21"/>
      <c r="HKQ38" s="21"/>
      <c r="HKR38" s="21"/>
      <c r="HKS38" s="21"/>
      <c r="HKT38" s="21"/>
      <c r="HKU38" s="21"/>
      <c r="HKV38" s="21"/>
      <c r="HKW38" s="21"/>
      <c r="HKX38" s="21"/>
      <c r="HKY38" s="21"/>
      <c r="HKZ38" s="21"/>
      <c r="HLA38" s="21"/>
      <c r="HLB38" s="21"/>
      <c r="HLC38" s="21"/>
      <c r="HLD38" s="21"/>
      <c r="HLE38" s="21"/>
      <c r="HLF38" s="21"/>
      <c r="HLG38" s="21"/>
      <c r="HLH38" s="21"/>
      <c r="HLI38" s="21"/>
      <c r="HLJ38" s="21"/>
      <c r="HLK38" s="21"/>
      <c r="HLL38" s="21"/>
      <c r="HLM38" s="21"/>
      <c r="HLN38" s="21"/>
      <c r="HLO38" s="21"/>
      <c r="HLP38" s="21"/>
      <c r="HLQ38" s="21"/>
      <c r="HLR38" s="21"/>
      <c r="HLS38" s="21"/>
      <c r="HLT38" s="21"/>
      <c r="HLU38" s="21"/>
      <c r="HLV38" s="21"/>
      <c r="HLW38" s="21"/>
      <c r="HLX38" s="21"/>
      <c r="HLY38" s="21"/>
      <c r="HLZ38" s="21"/>
      <c r="HMA38" s="21"/>
      <c r="HMB38" s="21"/>
      <c r="HMC38" s="21"/>
      <c r="HMD38" s="21"/>
      <c r="HME38" s="21"/>
      <c r="HMF38" s="21"/>
      <c r="HMG38" s="21"/>
      <c r="HMH38" s="21"/>
      <c r="HMI38" s="21"/>
      <c r="HMJ38" s="21"/>
      <c r="HMK38" s="21"/>
      <c r="HML38" s="21"/>
      <c r="HMM38" s="21"/>
      <c r="HMN38" s="21"/>
      <c r="HMO38" s="21"/>
      <c r="HMP38" s="21"/>
      <c r="HMQ38" s="21"/>
      <c r="HMR38" s="21"/>
      <c r="HMS38" s="21"/>
      <c r="HMT38" s="21"/>
      <c r="HMU38" s="21"/>
      <c r="HMV38" s="21"/>
      <c r="HMW38" s="21"/>
      <c r="HMX38" s="21"/>
      <c r="HMY38" s="21"/>
      <c r="HMZ38" s="21"/>
      <c r="HNA38" s="21"/>
      <c r="HNB38" s="21"/>
      <c r="HNC38" s="21"/>
      <c r="HND38" s="21"/>
      <c r="HNE38" s="21"/>
      <c r="HNF38" s="21"/>
      <c r="HNG38" s="21"/>
      <c r="HNH38" s="21"/>
      <c r="HNI38" s="21"/>
      <c r="HNJ38" s="21"/>
      <c r="HNK38" s="21"/>
      <c r="HNL38" s="21"/>
      <c r="HNM38" s="21"/>
      <c r="HNN38" s="21"/>
      <c r="HNO38" s="21"/>
      <c r="HNP38" s="21"/>
      <c r="HNQ38" s="21"/>
      <c r="HNR38" s="21"/>
      <c r="HNS38" s="21"/>
      <c r="HNT38" s="21"/>
      <c r="HNU38" s="21"/>
      <c r="HNV38" s="21"/>
      <c r="HNW38" s="21"/>
      <c r="HNX38" s="21"/>
      <c r="HNY38" s="21"/>
      <c r="HNZ38" s="21"/>
      <c r="HOA38" s="21"/>
      <c r="HOB38" s="21"/>
      <c r="HOC38" s="21"/>
      <c r="HOD38" s="21"/>
      <c r="HOE38" s="21"/>
      <c r="HOF38" s="21"/>
      <c r="HOG38" s="21"/>
      <c r="HOH38" s="21"/>
      <c r="HOI38" s="21"/>
      <c r="HOJ38" s="21"/>
      <c r="HOK38" s="21"/>
      <c r="HOL38" s="21"/>
      <c r="HOM38" s="21"/>
      <c r="HON38" s="21"/>
      <c r="HOO38" s="21"/>
      <c r="HOP38" s="21"/>
      <c r="HOQ38" s="21"/>
      <c r="HOR38" s="21"/>
      <c r="HOS38" s="21"/>
      <c r="HOT38" s="21"/>
      <c r="HOU38" s="21"/>
      <c r="HOV38" s="21"/>
      <c r="HOW38" s="21"/>
      <c r="HOX38" s="21"/>
      <c r="HOY38" s="21"/>
      <c r="HOZ38" s="21"/>
      <c r="HPA38" s="21"/>
      <c r="HPB38" s="21"/>
      <c r="HPC38" s="21"/>
      <c r="HPD38" s="21"/>
      <c r="HPE38" s="21"/>
      <c r="HPF38" s="21"/>
      <c r="HPG38" s="21"/>
      <c r="HPH38" s="21"/>
      <c r="HPI38" s="21"/>
      <c r="HPJ38" s="21"/>
      <c r="HPK38" s="21"/>
      <c r="HPL38" s="21"/>
      <c r="HPM38" s="21"/>
      <c r="HPN38" s="21"/>
      <c r="HPO38" s="21"/>
      <c r="HPP38" s="21"/>
      <c r="HPQ38" s="21"/>
      <c r="HPR38" s="21"/>
      <c r="HPS38" s="21"/>
      <c r="HPT38" s="21"/>
      <c r="HPU38" s="21"/>
      <c r="HPV38" s="21"/>
      <c r="HPW38" s="21"/>
      <c r="HPX38" s="21"/>
      <c r="HPY38" s="21"/>
      <c r="HPZ38" s="21"/>
      <c r="HQA38" s="21"/>
      <c r="HQB38" s="21"/>
      <c r="HQC38" s="21"/>
      <c r="HQD38" s="21"/>
      <c r="HQE38" s="21"/>
      <c r="HQF38" s="21"/>
      <c r="HQG38" s="21"/>
      <c r="HQH38" s="21"/>
      <c r="HQI38" s="21"/>
      <c r="HQJ38" s="21"/>
      <c r="HQK38" s="21"/>
      <c r="HQL38" s="21"/>
      <c r="HQM38" s="21"/>
      <c r="HQN38" s="21"/>
      <c r="HQO38" s="21"/>
      <c r="HQP38" s="21"/>
      <c r="HQQ38" s="21"/>
      <c r="HQR38" s="21"/>
      <c r="HQS38" s="21"/>
      <c r="HQT38" s="21"/>
      <c r="HQU38" s="21"/>
      <c r="HQV38" s="21"/>
      <c r="HQW38" s="21"/>
      <c r="HQX38" s="21"/>
      <c r="HQY38" s="21"/>
      <c r="HQZ38" s="21"/>
      <c r="HRA38" s="21"/>
      <c r="HRB38" s="21"/>
      <c r="HRC38" s="21"/>
      <c r="HRD38" s="21"/>
      <c r="HRE38" s="21"/>
      <c r="HRF38" s="21"/>
      <c r="HRG38" s="21"/>
      <c r="HRH38" s="21"/>
      <c r="HRI38" s="21"/>
      <c r="HRJ38" s="21"/>
      <c r="HRK38" s="21"/>
      <c r="HRL38" s="21"/>
      <c r="HRM38" s="21"/>
      <c r="HRN38" s="21"/>
      <c r="HRO38" s="21"/>
      <c r="HRP38" s="21"/>
      <c r="HRQ38" s="21"/>
      <c r="HRR38" s="21"/>
      <c r="HRS38" s="21"/>
      <c r="HRT38" s="21"/>
      <c r="HRU38" s="21"/>
      <c r="HRV38" s="21"/>
      <c r="HRW38" s="21"/>
      <c r="HRX38" s="21"/>
      <c r="HRY38" s="21"/>
      <c r="HRZ38" s="21"/>
      <c r="HSA38" s="21"/>
      <c r="HSB38" s="21"/>
      <c r="HSC38" s="21"/>
      <c r="HSD38" s="21"/>
      <c r="HSE38" s="21"/>
      <c r="HSF38" s="21"/>
      <c r="HSG38" s="21"/>
      <c r="HSH38" s="21"/>
      <c r="HSI38" s="21"/>
      <c r="HSJ38" s="21"/>
      <c r="HSK38" s="21"/>
      <c r="HSL38" s="21"/>
      <c r="HSM38" s="21"/>
      <c r="HSN38" s="21"/>
      <c r="HSO38" s="21"/>
      <c r="HSP38" s="21"/>
      <c r="HSQ38" s="21"/>
      <c r="HSR38" s="21"/>
      <c r="HSS38" s="21"/>
      <c r="HST38" s="21"/>
      <c r="HSU38" s="21"/>
      <c r="HSV38" s="21"/>
      <c r="HSW38" s="21"/>
      <c r="HSX38" s="21"/>
      <c r="HSY38" s="21"/>
      <c r="HSZ38" s="21"/>
      <c r="HTA38" s="21"/>
      <c r="HTB38" s="21"/>
      <c r="HTC38" s="21"/>
      <c r="HTD38" s="21"/>
      <c r="HTE38" s="21"/>
      <c r="HTF38" s="21"/>
      <c r="HTG38" s="21"/>
      <c r="HTH38" s="21"/>
      <c r="HTI38" s="21"/>
      <c r="HTJ38" s="21"/>
      <c r="HTK38" s="21"/>
      <c r="HTL38" s="21"/>
      <c r="HTM38" s="21"/>
      <c r="HTN38" s="21"/>
      <c r="HTO38" s="21"/>
      <c r="HTP38" s="21"/>
      <c r="HTQ38" s="21"/>
      <c r="HTR38" s="21"/>
      <c r="HTS38" s="21"/>
      <c r="HTT38" s="21"/>
      <c r="HTU38" s="21"/>
      <c r="HTV38" s="21"/>
      <c r="HTW38" s="21"/>
      <c r="HTX38" s="21"/>
      <c r="HTY38" s="21"/>
      <c r="HTZ38" s="21"/>
      <c r="HUA38" s="21"/>
      <c r="HUB38" s="21"/>
      <c r="HUC38" s="21"/>
      <c r="HUD38" s="21"/>
      <c r="HUE38" s="21"/>
      <c r="HUF38" s="21"/>
      <c r="HUG38" s="21"/>
      <c r="HUH38" s="21"/>
      <c r="HUI38" s="21"/>
      <c r="HUJ38" s="21"/>
      <c r="HUK38" s="21"/>
      <c r="HUL38" s="21"/>
      <c r="HUM38" s="21"/>
      <c r="HUN38" s="21"/>
      <c r="HUO38" s="21"/>
      <c r="HUP38" s="21"/>
      <c r="HUQ38" s="21"/>
      <c r="HUR38" s="21"/>
      <c r="HUS38" s="21"/>
      <c r="HUT38" s="21"/>
      <c r="HUU38" s="21"/>
      <c r="HUV38" s="21"/>
      <c r="HUW38" s="21"/>
      <c r="HUX38" s="21"/>
      <c r="HUY38" s="21"/>
      <c r="HUZ38" s="21"/>
      <c r="HVA38" s="21"/>
      <c r="HVB38" s="21"/>
      <c r="HVC38" s="21"/>
      <c r="HVD38" s="21"/>
      <c r="HVE38" s="21"/>
      <c r="HVF38" s="21"/>
      <c r="HVG38" s="21"/>
      <c r="HVH38" s="21"/>
      <c r="HVI38" s="21"/>
      <c r="HVJ38" s="21"/>
      <c r="HVK38" s="21"/>
      <c r="HVL38" s="21"/>
      <c r="HVM38" s="21"/>
      <c r="HVN38" s="21"/>
      <c r="HVO38" s="21"/>
      <c r="HVP38" s="21"/>
      <c r="HVQ38" s="21"/>
      <c r="HVR38" s="21"/>
      <c r="HVS38" s="21"/>
      <c r="HVT38" s="21"/>
      <c r="HVU38" s="21"/>
      <c r="HVV38" s="21"/>
      <c r="HVW38" s="21"/>
      <c r="HVX38" s="21"/>
      <c r="HVY38" s="21"/>
      <c r="HVZ38" s="21"/>
      <c r="HWA38" s="21"/>
      <c r="HWB38" s="21"/>
      <c r="HWC38" s="21"/>
      <c r="HWD38" s="21"/>
      <c r="HWE38" s="21"/>
      <c r="HWF38" s="21"/>
      <c r="HWG38" s="21"/>
      <c r="HWH38" s="21"/>
      <c r="HWI38" s="21"/>
      <c r="HWJ38" s="21"/>
      <c r="HWK38" s="21"/>
      <c r="HWL38" s="21"/>
      <c r="HWM38" s="21"/>
      <c r="HWN38" s="21"/>
      <c r="HWO38" s="21"/>
      <c r="HWP38" s="21"/>
      <c r="HWQ38" s="21"/>
      <c r="HWR38" s="21"/>
      <c r="HWS38" s="21"/>
      <c r="HWT38" s="21"/>
      <c r="HWU38" s="21"/>
      <c r="HWV38" s="21"/>
      <c r="HWW38" s="21"/>
      <c r="HWX38" s="21"/>
      <c r="HWY38" s="21"/>
      <c r="HWZ38" s="21"/>
      <c r="HXA38" s="21"/>
      <c r="HXB38" s="21"/>
      <c r="HXC38" s="21"/>
      <c r="HXD38" s="21"/>
      <c r="HXE38" s="21"/>
      <c r="HXF38" s="21"/>
      <c r="HXG38" s="21"/>
      <c r="HXH38" s="21"/>
      <c r="HXI38" s="21"/>
      <c r="HXJ38" s="21"/>
      <c r="HXK38" s="21"/>
      <c r="HXL38" s="21"/>
      <c r="HXM38" s="21"/>
      <c r="HXN38" s="21"/>
      <c r="HXO38" s="21"/>
      <c r="HXP38" s="21"/>
      <c r="HXQ38" s="21"/>
      <c r="HXR38" s="21"/>
      <c r="HXS38" s="21"/>
      <c r="HXT38" s="21"/>
      <c r="HXU38" s="21"/>
      <c r="HXV38" s="21"/>
      <c r="HXW38" s="21"/>
      <c r="HXX38" s="21"/>
      <c r="HXY38" s="21"/>
      <c r="HXZ38" s="21"/>
      <c r="HYA38" s="21"/>
      <c r="HYB38" s="21"/>
      <c r="HYC38" s="21"/>
      <c r="HYD38" s="21"/>
      <c r="HYE38" s="21"/>
      <c r="HYF38" s="21"/>
      <c r="HYG38" s="21"/>
      <c r="HYH38" s="21"/>
      <c r="HYI38" s="21"/>
      <c r="HYJ38" s="21"/>
      <c r="HYK38" s="21"/>
      <c r="HYL38" s="21"/>
      <c r="HYM38" s="21"/>
      <c r="HYN38" s="21"/>
      <c r="HYO38" s="21"/>
      <c r="HYP38" s="21"/>
      <c r="HYQ38" s="21"/>
      <c r="HYR38" s="21"/>
      <c r="HYS38" s="21"/>
      <c r="HYT38" s="21"/>
      <c r="HYU38" s="21"/>
      <c r="HYV38" s="21"/>
      <c r="HYW38" s="21"/>
      <c r="HYX38" s="21"/>
      <c r="HYY38" s="21"/>
      <c r="HYZ38" s="21"/>
      <c r="HZA38" s="21"/>
      <c r="HZB38" s="21"/>
      <c r="HZC38" s="21"/>
      <c r="HZD38" s="21"/>
      <c r="HZE38" s="21"/>
      <c r="HZF38" s="21"/>
      <c r="HZG38" s="21"/>
      <c r="HZH38" s="21"/>
      <c r="HZI38" s="21"/>
      <c r="HZJ38" s="21"/>
      <c r="HZK38" s="21"/>
      <c r="HZL38" s="21"/>
      <c r="HZM38" s="21"/>
      <c r="HZN38" s="21"/>
      <c r="HZO38" s="21"/>
      <c r="HZP38" s="21"/>
      <c r="HZQ38" s="21"/>
      <c r="HZR38" s="21"/>
      <c r="HZS38" s="21"/>
      <c r="HZT38" s="21"/>
      <c r="HZU38" s="21"/>
      <c r="HZV38" s="21"/>
      <c r="HZW38" s="21"/>
      <c r="HZX38" s="21"/>
      <c r="HZY38" s="21"/>
      <c r="HZZ38" s="21"/>
      <c r="IAA38" s="21"/>
      <c r="IAB38" s="21"/>
      <c r="IAC38" s="21"/>
      <c r="IAD38" s="21"/>
      <c r="IAE38" s="21"/>
      <c r="IAF38" s="21"/>
      <c r="IAG38" s="21"/>
      <c r="IAH38" s="21"/>
      <c r="IAI38" s="21"/>
      <c r="IAJ38" s="21"/>
      <c r="IAK38" s="21"/>
      <c r="IAL38" s="21"/>
      <c r="IAM38" s="21"/>
      <c r="IAN38" s="21"/>
      <c r="IAO38" s="21"/>
      <c r="IAP38" s="21"/>
      <c r="IAQ38" s="21"/>
      <c r="IAR38" s="21"/>
      <c r="IAS38" s="21"/>
      <c r="IAT38" s="21"/>
      <c r="IAU38" s="21"/>
      <c r="IAV38" s="21"/>
      <c r="IAW38" s="21"/>
      <c r="IAX38" s="21"/>
      <c r="IAY38" s="21"/>
      <c r="IAZ38" s="21"/>
      <c r="IBA38" s="21"/>
      <c r="IBB38" s="21"/>
      <c r="IBC38" s="21"/>
      <c r="IBD38" s="21"/>
      <c r="IBE38" s="21"/>
      <c r="IBF38" s="21"/>
      <c r="IBG38" s="21"/>
      <c r="IBH38" s="21"/>
      <c r="IBI38" s="21"/>
      <c r="IBJ38" s="21"/>
      <c r="IBK38" s="21"/>
      <c r="IBL38" s="21"/>
      <c r="IBM38" s="21"/>
      <c r="IBN38" s="21"/>
      <c r="IBO38" s="21"/>
      <c r="IBP38" s="21"/>
      <c r="IBQ38" s="21"/>
      <c r="IBR38" s="21"/>
      <c r="IBS38" s="21"/>
      <c r="IBT38" s="21"/>
      <c r="IBU38" s="21"/>
      <c r="IBV38" s="21"/>
      <c r="IBW38" s="21"/>
      <c r="IBX38" s="21"/>
      <c r="IBY38" s="21"/>
      <c r="IBZ38" s="21"/>
      <c r="ICA38" s="21"/>
      <c r="ICB38" s="21"/>
      <c r="ICC38" s="21"/>
      <c r="ICD38" s="21"/>
      <c r="ICE38" s="21"/>
      <c r="ICF38" s="21"/>
      <c r="ICG38" s="21"/>
      <c r="ICH38" s="21"/>
      <c r="ICI38" s="21"/>
      <c r="ICJ38" s="21"/>
      <c r="ICK38" s="21"/>
      <c r="ICL38" s="21"/>
      <c r="ICM38" s="21"/>
      <c r="ICN38" s="21"/>
      <c r="ICO38" s="21"/>
      <c r="ICP38" s="21"/>
      <c r="ICQ38" s="21"/>
      <c r="ICR38" s="21"/>
      <c r="ICS38" s="21"/>
      <c r="ICT38" s="21"/>
      <c r="ICU38" s="21"/>
      <c r="ICV38" s="21"/>
      <c r="ICW38" s="21"/>
      <c r="ICX38" s="21"/>
      <c r="ICY38" s="21"/>
      <c r="ICZ38" s="21"/>
      <c r="IDA38" s="21"/>
      <c r="IDB38" s="21"/>
      <c r="IDC38" s="21"/>
      <c r="IDD38" s="21"/>
      <c r="IDE38" s="21"/>
      <c r="IDF38" s="21"/>
      <c r="IDG38" s="21"/>
      <c r="IDH38" s="21"/>
      <c r="IDI38" s="21"/>
      <c r="IDJ38" s="21"/>
      <c r="IDK38" s="21"/>
      <c r="IDL38" s="21"/>
      <c r="IDM38" s="21"/>
      <c r="IDN38" s="21"/>
      <c r="IDO38" s="21"/>
      <c r="IDP38" s="21"/>
      <c r="IDQ38" s="21"/>
      <c r="IDR38" s="21"/>
      <c r="IDS38" s="21"/>
      <c r="IDT38" s="21"/>
      <c r="IDU38" s="21"/>
      <c r="IDV38" s="21"/>
      <c r="IDW38" s="21"/>
      <c r="IDX38" s="21"/>
      <c r="IDY38" s="21"/>
      <c r="IDZ38" s="21"/>
      <c r="IEA38" s="21"/>
      <c r="IEB38" s="21"/>
      <c r="IEC38" s="21"/>
      <c r="IED38" s="21"/>
      <c r="IEE38" s="21"/>
      <c r="IEF38" s="21"/>
      <c r="IEG38" s="21"/>
      <c r="IEH38" s="21"/>
      <c r="IEI38" s="21"/>
      <c r="IEJ38" s="21"/>
      <c r="IEK38" s="21"/>
      <c r="IEL38" s="21"/>
      <c r="IEM38" s="21"/>
      <c r="IEN38" s="21"/>
      <c r="IEO38" s="21"/>
      <c r="IEP38" s="21"/>
      <c r="IEQ38" s="21"/>
      <c r="IER38" s="21"/>
      <c r="IES38" s="21"/>
      <c r="IET38" s="21"/>
      <c r="IEU38" s="21"/>
      <c r="IEV38" s="21"/>
      <c r="IEW38" s="21"/>
      <c r="IEX38" s="21"/>
      <c r="IEY38" s="21"/>
      <c r="IEZ38" s="21"/>
      <c r="IFA38" s="21"/>
      <c r="IFB38" s="21"/>
      <c r="IFC38" s="21"/>
      <c r="IFD38" s="21"/>
      <c r="IFE38" s="21"/>
      <c r="IFF38" s="21"/>
      <c r="IFG38" s="21"/>
      <c r="IFH38" s="21"/>
      <c r="IFI38" s="21"/>
      <c r="IFJ38" s="21"/>
      <c r="IFK38" s="21"/>
      <c r="IFL38" s="21"/>
      <c r="IFM38" s="21"/>
      <c r="IFN38" s="21"/>
      <c r="IFO38" s="21"/>
      <c r="IFP38" s="21"/>
      <c r="IFQ38" s="21"/>
      <c r="IFR38" s="21"/>
      <c r="IFS38" s="21"/>
      <c r="IFT38" s="21"/>
      <c r="IFU38" s="21"/>
      <c r="IFV38" s="21"/>
      <c r="IFW38" s="21"/>
      <c r="IFX38" s="21"/>
      <c r="IFY38" s="21"/>
      <c r="IFZ38" s="21"/>
      <c r="IGA38" s="21"/>
      <c r="IGB38" s="21"/>
      <c r="IGC38" s="21"/>
      <c r="IGD38" s="21"/>
      <c r="IGE38" s="21"/>
      <c r="IGF38" s="21"/>
      <c r="IGG38" s="21"/>
      <c r="IGH38" s="21"/>
      <c r="IGI38" s="21"/>
      <c r="IGJ38" s="21"/>
      <c r="IGK38" s="21"/>
      <c r="IGL38" s="21"/>
      <c r="IGM38" s="21"/>
      <c r="IGN38" s="21"/>
      <c r="IGO38" s="21"/>
      <c r="IGP38" s="21"/>
      <c r="IGQ38" s="21"/>
      <c r="IGR38" s="21"/>
      <c r="IGS38" s="21"/>
      <c r="IGT38" s="21"/>
      <c r="IGU38" s="21"/>
      <c r="IGV38" s="21"/>
      <c r="IGW38" s="21"/>
      <c r="IGX38" s="21"/>
      <c r="IGY38" s="21"/>
      <c r="IGZ38" s="21"/>
      <c r="IHA38" s="21"/>
      <c r="IHB38" s="21"/>
      <c r="IHC38" s="21"/>
      <c r="IHD38" s="21"/>
      <c r="IHE38" s="21"/>
      <c r="IHF38" s="21"/>
      <c r="IHG38" s="21"/>
      <c r="IHH38" s="21"/>
      <c r="IHI38" s="21"/>
      <c r="IHJ38" s="21"/>
      <c r="IHK38" s="21"/>
      <c r="IHL38" s="21"/>
      <c r="IHM38" s="21"/>
      <c r="IHN38" s="21"/>
      <c r="IHO38" s="21"/>
      <c r="IHP38" s="21"/>
      <c r="IHQ38" s="21"/>
      <c r="IHR38" s="21"/>
      <c r="IHS38" s="21"/>
      <c r="IHT38" s="21"/>
      <c r="IHU38" s="21"/>
      <c r="IHV38" s="21"/>
      <c r="IHW38" s="21"/>
      <c r="IHX38" s="21"/>
      <c r="IHY38" s="21"/>
      <c r="IHZ38" s="21"/>
      <c r="IIA38" s="21"/>
      <c r="IIB38" s="21"/>
      <c r="IIC38" s="21"/>
      <c r="IID38" s="21"/>
      <c r="IIE38" s="21"/>
      <c r="IIF38" s="21"/>
      <c r="IIG38" s="21"/>
      <c r="IIH38" s="21"/>
      <c r="III38" s="21"/>
      <c r="IIJ38" s="21"/>
      <c r="IIK38" s="21"/>
      <c r="IIL38" s="21"/>
      <c r="IIM38" s="21"/>
      <c r="IIN38" s="21"/>
      <c r="IIO38" s="21"/>
      <c r="IIP38" s="21"/>
      <c r="IIQ38" s="21"/>
      <c r="IIR38" s="21"/>
      <c r="IIS38" s="21"/>
      <c r="IIT38" s="21"/>
      <c r="IIU38" s="21"/>
      <c r="IIV38" s="21"/>
      <c r="IIW38" s="21"/>
      <c r="IIX38" s="21"/>
      <c r="IIY38" s="21"/>
      <c r="IIZ38" s="21"/>
      <c r="IJA38" s="21"/>
      <c r="IJB38" s="21"/>
      <c r="IJC38" s="21"/>
      <c r="IJD38" s="21"/>
      <c r="IJE38" s="21"/>
      <c r="IJF38" s="21"/>
      <c r="IJG38" s="21"/>
      <c r="IJH38" s="21"/>
      <c r="IJI38" s="21"/>
      <c r="IJJ38" s="21"/>
      <c r="IJK38" s="21"/>
      <c r="IJL38" s="21"/>
      <c r="IJM38" s="21"/>
      <c r="IJN38" s="21"/>
      <c r="IJO38" s="21"/>
      <c r="IJP38" s="21"/>
      <c r="IJQ38" s="21"/>
      <c r="IJR38" s="21"/>
      <c r="IJS38" s="21"/>
      <c r="IJT38" s="21"/>
      <c r="IJU38" s="21"/>
      <c r="IJV38" s="21"/>
      <c r="IJW38" s="21"/>
      <c r="IJX38" s="21"/>
      <c r="IJY38" s="21"/>
      <c r="IJZ38" s="21"/>
      <c r="IKA38" s="21"/>
      <c r="IKB38" s="21"/>
      <c r="IKC38" s="21"/>
      <c r="IKD38" s="21"/>
      <c r="IKE38" s="21"/>
      <c r="IKF38" s="21"/>
      <c r="IKG38" s="21"/>
      <c r="IKH38" s="21"/>
      <c r="IKI38" s="21"/>
      <c r="IKJ38" s="21"/>
      <c r="IKK38" s="21"/>
      <c r="IKL38" s="21"/>
      <c r="IKM38" s="21"/>
      <c r="IKN38" s="21"/>
      <c r="IKO38" s="21"/>
      <c r="IKP38" s="21"/>
      <c r="IKQ38" s="21"/>
      <c r="IKR38" s="21"/>
      <c r="IKS38" s="21"/>
      <c r="IKT38" s="21"/>
      <c r="IKU38" s="21"/>
      <c r="IKV38" s="21"/>
      <c r="IKW38" s="21"/>
      <c r="IKX38" s="21"/>
      <c r="IKY38" s="21"/>
      <c r="IKZ38" s="21"/>
      <c r="ILA38" s="21"/>
      <c r="ILB38" s="21"/>
      <c r="ILC38" s="21"/>
      <c r="ILD38" s="21"/>
      <c r="ILE38" s="21"/>
      <c r="ILF38" s="21"/>
      <c r="ILG38" s="21"/>
      <c r="ILH38" s="21"/>
      <c r="ILI38" s="21"/>
      <c r="ILJ38" s="21"/>
      <c r="ILK38" s="21"/>
      <c r="ILL38" s="21"/>
      <c r="ILM38" s="21"/>
      <c r="ILN38" s="21"/>
      <c r="ILO38" s="21"/>
      <c r="ILP38" s="21"/>
      <c r="ILQ38" s="21"/>
      <c r="ILR38" s="21"/>
      <c r="ILS38" s="21"/>
      <c r="ILT38" s="21"/>
      <c r="ILU38" s="21"/>
      <c r="ILV38" s="21"/>
      <c r="ILW38" s="21"/>
      <c r="ILX38" s="21"/>
      <c r="ILY38" s="21"/>
      <c r="ILZ38" s="21"/>
      <c r="IMA38" s="21"/>
      <c r="IMB38" s="21"/>
      <c r="IMC38" s="21"/>
      <c r="IMD38" s="21"/>
      <c r="IME38" s="21"/>
      <c r="IMF38" s="21"/>
      <c r="IMG38" s="21"/>
      <c r="IMH38" s="21"/>
      <c r="IMI38" s="21"/>
      <c r="IMJ38" s="21"/>
      <c r="IMK38" s="21"/>
      <c r="IML38" s="21"/>
      <c r="IMM38" s="21"/>
      <c r="IMN38" s="21"/>
      <c r="IMO38" s="21"/>
      <c r="IMP38" s="21"/>
      <c r="IMQ38" s="21"/>
      <c r="IMR38" s="21"/>
      <c r="IMS38" s="21"/>
      <c r="IMT38" s="21"/>
      <c r="IMU38" s="21"/>
      <c r="IMV38" s="21"/>
      <c r="IMW38" s="21"/>
      <c r="IMX38" s="21"/>
      <c r="IMY38" s="21"/>
      <c r="IMZ38" s="21"/>
      <c r="INA38" s="21"/>
      <c r="INB38" s="21"/>
      <c r="INC38" s="21"/>
      <c r="IND38" s="21"/>
      <c r="INE38" s="21"/>
      <c r="INF38" s="21"/>
      <c r="ING38" s="21"/>
      <c r="INH38" s="21"/>
      <c r="INI38" s="21"/>
      <c r="INJ38" s="21"/>
      <c r="INK38" s="21"/>
      <c r="INL38" s="21"/>
      <c r="INM38" s="21"/>
      <c r="INN38" s="21"/>
      <c r="INO38" s="21"/>
      <c r="INP38" s="21"/>
      <c r="INQ38" s="21"/>
      <c r="INR38" s="21"/>
      <c r="INS38" s="21"/>
      <c r="INT38" s="21"/>
      <c r="INU38" s="21"/>
      <c r="INV38" s="21"/>
      <c r="INW38" s="21"/>
      <c r="INX38" s="21"/>
      <c r="INY38" s="21"/>
      <c r="INZ38" s="21"/>
      <c r="IOA38" s="21"/>
      <c r="IOB38" s="21"/>
      <c r="IOC38" s="21"/>
      <c r="IOD38" s="21"/>
      <c r="IOE38" s="21"/>
      <c r="IOF38" s="21"/>
      <c r="IOG38" s="21"/>
      <c r="IOH38" s="21"/>
      <c r="IOI38" s="21"/>
      <c r="IOJ38" s="21"/>
      <c r="IOK38" s="21"/>
      <c r="IOL38" s="21"/>
      <c r="IOM38" s="21"/>
      <c r="ION38" s="21"/>
      <c r="IOO38" s="21"/>
      <c r="IOP38" s="21"/>
      <c r="IOQ38" s="21"/>
      <c r="IOR38" s="21"/>
      <c r="IOS38" s="21"/>
      <c r="IOT38" s="21"/>
      <c r="IOU38" s="21"/>
      <c r="IOV38" s="21"/>
      <c r="IOW38" s="21"/>
      <c r="IOX38" s="21"/>
      <c r="IOY38" s="21"/>
      <c r="IOZ38" s="21"/>
      <c r="IPA38" s="21"/>
      <c r="IPB38" s="21"/>
      <c r="IPC38" s="21"/>
      <c r="IPD38" s="21"/>
      <c r="IPE38" s="21"/>
      <c r="IPF38" s="21"/>
      <c r="IPG38" s="21"/>
      <c r="IPH38" s="21"/>
      <c r="IPI38" s="21"/>
      <c r="IPJ38" s="21"/>
      <c r="IPK38" s="21"/>
      <c r="IPL38" s="21"/>
      <c r="IPM38" s="21"/>
      <c r="IPN38" s="21"/>
      <c r="IPO38" s="21"/>
      <c r="IPP38" s="21"/>
      <c r="IPQ38" s="21"/>
      <c r="IPR38" s="21"/>
      <c r="IPS38" s="21"/>
      <c r="IPT38" s="21"/>
      <c r="IPU38" s="21"/>
      <c r="IPV38" s="21"/>
      <c r="IPW38" s="21"/>
      <c r="IPX38" s="21"/>
      <c r="IPY38" s="21"/>
      <c r="IPZ38" s="21"/>
      <c r="IQA38" s="21"/>
      <c r="IQB38" s="21"/>
      <c r="IQC38" s="21"/>
      <c r="IQD38" s="21"/>
      <c r="IQE38" s="21"/>
      <c r="IQF38" s="21"/>
      <c r="IQG38" s="21"/>
      <c r="IQH38" s="21"/>
      <c r="IQI38" s="21"/>
      <c r="IQJ38" s="21"/>
      <c r="IQK38" s="21"/>
      <c r="IQL38" s="21"/>
      <c r="IQM38" s="21"/>
      <c r="IQN38" s="21"/>
      <c r="IQO38" s="21"/>
      <c r="IQP38" s="21"/>
      <c r="IQQ38" s="21"/>
      <c r="IQR38" s="21"/>
      <c r="IQS38" s="21"/>
      <c r="IQT38" s="21"/>
      <c r="IQU38" s="21"/>
      <c r="IQV38" s="21"/>
      <c r="IQW38" s="21"/>
      <c r="IQX38" s="21"/>
      <c r="IQY38" s="21"/>
      <c r="IQZ38" s="21"/>
      <c r="IRA38" s="21"/>
      <c r="IRB38" s="21"/>
      <c r="IRC38" s="21"/>
      <c r="IRD38" s="21"/>
      <c r="IRE38" s="21"/>
      <c r="IRF38" s="21"/>
      <c r="IRG38" s="21"/>
      <c r="IRH38" s="21"/>
      <c r="IRI38" s="21"/>
      <c r="IRJ38" s="21"/>
      <c r="IRK38" s="21"/>
      <c r="IRL38" s="21"/>
      <c r="IRM38" s="21"/>
      <c r="IRN38" s="21"/>
      <c r="IRO38" s="21"/>
      <c r="IRP38" s="21"/>
      <c r="IRQ38" s="21"/>
      <c r="IRR38" s="21"/>
      <c r="IRS38" s="21"/>
      <c r="IRT38" s="21"/>
      <c r="IRU38" s="21"/>
      <c r="IRV38" s="21"/>
      <c r="IRW38" s="21"/>
      <c r="IRX38" s="21"/>
      <c r="IRY38" s="21"/>
      <c r="IRZ38" s="21"/>
      <c r="ISA38" s="21"/>
      <c r="ISB38" s="21"/>
      <c r="ISC38" s="21"/>
      <c r="ISD38" s="21"/>
      <c r="ISE38" s="21"/>
      <c r="ISF38" s="21"/>
      <c r="ISG38" s="21"/>
      <c r="ISH38" s="21"/>
      <c r="ISI38" s="21"/>
      <c r="ISJ38" s="21"/>
      <c r="ISK38" s="21"/>
      <c r="ISL38" s="21"/>
      <c r="ISM38" s="21"/>
      <c r="ISN38" s="21"/>
      <c r="ISO38" s="21"/>
      <c r="ISP38" s="21"/>
      <c r="ISQ38" s="21"/>
      <c r="ISR38" s="21"/>
      <c r="ISS38" s="21"/>
      <c r="IST38" s="21"/>
      <c r="ISU38" s="21"/>
      <c r="ISV38" s="21"/>
      <c r="ISW38" s="21"/>
      <c r="ISX38" s="21"/>
      <c r="ISY38" s="21"/>
      <c r="ISZ38" s="21"/>
      <c r="ITA38" s="21"/>
      <c r="ITB38" s="21"/>
      <c r="ITC38" s="21"/>
      <c r="ITD38" s="21"/>
      <c r="ITE38" s="21"/>
      <c r="ITF38" s="21"/>
      <c r="ITG38" s="21"/>
      <c r="ITH38" s="21"/>
      <c r="ITI38" s="21"/>
      <c r="ITJ38" s="21"/>
      <c r="ITK38" s="21"/>
      <c r="ITL38" s="21"/>
      <c r="ITM38" s="21"/>
      <c r="ITN38" s="21"/>
      <c r="ITO38" s="21"/>
      <c r="ITP38" s="21"/>
      <c r="ITQ38" s="21"/>
      <c r="ITR38" s="21"/>
      <c r="ITS38" s="21"/>
      <c r="ITT38" s="21"/>
      <c r="ITU38" s="21"/>
      <c r="ITV38" s="21"/>
      <c r="ITW38" s="21"/>
      <c r="ITX38" s="21"/>
      <c r="ITY38" s="21"/>
      <c r="ITZ38" s="21"/>
      <c r="IUA38" s="21"/>
      <c r="IUB38" s="21"/>
      <c r="IUC38" s="21"/>
      <c r="IUD38" s="21"/>
      <c r="IUE38" s="21"/>
      <c r="IUF38" s="21"/>
      <c r="IUG38" s="21"/>
      <c r="IUH38" s="21"/>
      <c r="IUI38" s="21"/>
      <c r="IUJ38" s="21"/>
      <c r="IUK38" s="21"/>
      <c r="IUL38" s="21"/>
      <c r="IUM38" s="21"/>
      <c r="IUN38" s="21"/>
      <c r="IUO38" s="21"/>
      <c r="IUP38" s="21"/>
      <c r="IUQ38" s="21"/>
      <c r="IUR38" s="21"/>
      <c r="IUS38" s="21"/>
      <c r="IUT38" s="21"/>
      <c r="IUU38" s="21"/>
      <c r="IUV38" s="21"/>
      <c r="IUW38" s="21"/>
      <c r="IUX38" s="21"/>
      <c r="IUY38" s="21"/>
      <c r="IUZ38" s="21"/>
      <c r="IVA38" s="21"/>
      <c r="IVB38" s="21"/>
      <c r="IVC38" s="21"/>
      <c r="IVD38" s="21"/>
      <c r="IVE38" s="21"/>
      <c r="IVF38" s="21"/>
      <c r="IVG38" s="21"/>
      <c r="IVH38" s="21"/>
      <c r="IVI38" s="21"/>
      <c r="IVJ38" s="21"/>
      <c r="IVK38" s="21"/>
      <c r="IVL38" s="21"/>
      <c r="IVM38" s="21"/>
      <c r="IVN38" s="21"/>
      <c r="IVO38" s="21"/>
      <c r="IVP38" s="21"/>
      <c r="IVQ38" s="21"/>
      <c r="IVR38" s="21"/>
      <c r="IVS38" s="21"/>
      <c r="IVT38" s="21"/>
      <c r="IVU38" s="21"/>
      <c r="IVV38" s="21"/>
      <c r="IVW38" s="21"/>
      <c r="IVX38" s="21"/>
      <c r="IVY38" s="21"/>
      <c r="IVZ38" s="21"/>
      <c r="IWA38" s="21"/>
      <c r="IWB38" s="21"/>
      <c r="IWC38" s="21"/>
      <c r="IWD38" s="21"/>
      <c r="IWE38" s="21"/>
      <c r="IWF38" s="21"/>
      <c r="IWG38" s="21"/>
      <c r="IWH38" s="21"/>
      <c r="IWI38" s="21"/>
      <c r="IWJ38" s="21"/>
      <c r="IWK38" s="21"/>
      <c r="IWL38" s="21"/>
      <c r="IWM38" s="21"/>
      <c r="IWN38" s="21"/>
      <c r="IWO38" s="21"/>
      <c r="IWP38" s="21"/>
      <c r="IWQ38" s="21"/>
      <c r="IWR38" s="21"/>
      <c r="IWS38" s="21"/>
      <c r="IWT38" s="21"/>
      <c r="IWU38" s="21"/>
      <c r="IWV38" s="21"/>
      <c r="IWW38" s="21"/>
      <c r="IWX38" s="21"/>
      <c r="IWY38" s="21"/>
      <c r="IWZ38" s="21"/>
      <c r="IXA38" s="21"/>
      <c r="IXB38" s="21"/>
      <c r="IXC38" s="21"/>
      <c r="IXD38" s="21"/>
      <c r="IXE38" s="21"/>
      <c r="IXF38" s="21"/>
      <c r="IXG38" s="21"/>
      <c r="IXH38" s="21"/>
      <c r="IXI38" s="21"/>
      <c r="IXJ38" s="21"/>
      <c r="IXK38" s="21"/>
      <c r="IXL38" s="21"/>
      <c r="IXM38" s="21"/>
      <c r="IXN38" s="21"/>
      <c r="IXO38" s="21"/>
      <c r="IXP38" s="21"/>
      <c r="IXQ38" s="21"/>
      <c r="IXR38" s="21"/>
      <c r="IXS38" s="21"/>
      <c r="IXT38" s="21"/>
      <c r="IXU38" s="21"/>
      <c r="IXV38" s="21"/>
      <c r="IXW38" s="21"/>
      <c r="IXX38" s="21"/>
      <c r="IXY38" s="21"/>
      <c r="IXZ38" s="21"/>
      <c r="IYA38" s="21"/>
      <c r="IYB38" s="21"/>
      <c r="IYC38" s="21"/>
      <c r="IYD38" s="21"/>
      <c r="IYE38" s="21"/>
      <c r="IYF38" s="21"/>
      <c r="IYG38" s="21"/>
      <c r="IYH38" s="21"/>
      <c r="IYI38" s="21"/>
      <c r="IYJ38" s="21"/>
      <c r="IYK38" s="21"/>
      <c r="IYL38" s="21"/>
      <c r="IYM38" s="21"/>
      <c r="IYN38" s="21"/>
      <c r="IYO38" s="21"/>
      <c r="IYP38" s="21"/>
      <c r="IYQ38" s="21"/>
      <c r="IYR38" s="21"/>
      <c r="IYS38" s="21"/>
      <c r="IYT38" s="21"/>
      <c r="IYU38" s="21"/>
      <c r="IYV38" s="21"/>
      <c r="IYW38" s="21"/>
      <c r="IYX38" s="21"/>
      <c r="IYY38" s="21"/>
      <c r="IYZ38" s="21"/>
      <c r="IZA38" s="21"/>
      <c r="IZB38" s="21"/>
      <c r="IZC38" s="21"/>
      <c r="IZD38" s="21"/>
      <c r="IZE38" s="21"/>
      <c r="IZF38" s="21"/>
      <c r="IZG38" s="21"/>
      <c r="IZH38" s="21"/>
      <c r="IZI38" s="21"/>
      <c r="IZJ38" s="21"/>
      <c r="IZK38" s="21"/>
      <c r="IZL38" s="21"/>
      <c r="IZM38" s="21"/>
      <c r="IZN38" s="21"/>
      <c r="IZO38" s="21"/>
      <c r="IZP38" s="21"/>
      <c r="IZQ38" s="21"/>
      <c r="IZR38" s="21"/>
      <c r="IZS38" s="21"/>
      <c r="IZT38" s="21"/>
      <c r="IZU38" s="21"/>
      <c r="IZV38" s="21"/>
      <c r="IZW38" s="21"/>
      <c r="IZX38" s="21"/>
      <c r="IZY38" s="21"/>
      <c r="IZZ38" s="21"/>
      <c r="JAA38" s="21"/>
      <c r="JAB38" s="21"/>
      <c r="JAC38" s="21"/>
      <c r="JAD38" s="21"/>
      <c r="JAE38" s="21"/>
      <c r="JAF38" s="21"/>
      <c r="JAG38" s="21"/>
      <c r="JAH38" s="21"/>
      <c r="JAI38" s="21"/>
      <c r="JAJ38" s="21"/>
      <c r="JAK38" s="21"/>
      <c r="JAL38" s="21"/>
      <c r="JAM38" s="21"/>
      <c r="JAN38" s="21"/>
      <c r="JAO38" s="21"/>
      <c r="JAP38" s="21"/>
      <c r="JAQ38" s="21"/>
      <c r="JAR38" s="21"/>
      <c r="JAS38" s="21"/>
      <c r="JAT38" s="21"/>
      <c r="JAU38" s="21"/>
      <c r="JAV38" s="21"/>
      <c r="JAW38" s="21"/>
      <c r="JAX38" s="21"/>
      <c r="JAY38" s="21"/>
      <c r="JAZ38" s="21"/>
      <c r="JBA38" s="21"/>
      <c r="JBB38" s="21"/>
      <c r="JBC38" s="21"/>
      <c r="JBD38" s="21"/>
      <c r="JBE38" s="21"/>
      <c r="JBF38" s="21"/>
      <c r="JBG38" s="21"/>
      <c r="JBH38" s="21"/>
      <c r="JBI38" s="21"/>
      <c r="JBJ38" s="21"/>
      <c r="JBK38" s="21"/>
      <c r="JBL38" s="21"/>
      <c r="JBM38" s="21"/>
      <c r="JBN38" s="21"/>
      <c r="JBO38" s="21"/>
      <c r="JBP38" s="21"/>
      <c r="JBQ38" s="21"/>
      <c r="JBR38" s="21"/>
      <c r="JBS38" s="21"/>
      <c r="JBT38" s="21"/>
      <c r="JBU38" s="21"/>
      <c r="JBV38" s="21"/>
      <c r="JBW38" s="21"/>
      <c r="JBX38" s="21"/>
      <c r="JBY38" s="21"/>
      <c r="JBZ38" s="21"/>
      <c r="JCA38" s="21"/>
      <c r="JCB38" s="21"/>
      <c r="JCC38" s="21"/>
      <c r="JCD38" s="21"/>
      <c r="JCE38" s="21"/>
      <c r="JCF38" s="21"/>
      <c r="JCG38" s="21"/>
      <c r="JCH38" s="21"/>
      <c r="JCI38" s="21"/>
      <c r="JCJ38" s="21"/>
      <c r="JCK38" s="21"/>
      <c r="JCL38" s="21"/>
      <c r="JCM38" s="21"/>
      <c r="JCN38" s="21"/>
      <c r="JCO38" s="21"/>
      <c r="JCP38" s="21"/>
      <c r="JCQ38" s="21"/>
      <c r="JCR38" s="21"/>
      <c r="JCS38" s="21"/>
      <c r="JCT38" s="21"/>
      <c r="JCU38" s="21"/>
      <c r="JCV38" s="21"/>
      <c r="JCW38" s="21"/>
      <c r="JCX38" s="21"/>
      <c r="JCY38" s="21"/>
      <c r="JCZ38" s="21"/>
      <c r="JDA38" s="21"/>
      <c r="JDB38" s="21"/>
      <c r="JDC38" s="21"/>
      <c r="JDD38" s="21"/>
      <c r="JDE38" s="21"/>
      <c r="JDF38" s="21"/>
      <c r="JDG38" s="21"/>
      <c r="JDH38" s="21"/>
      <c r="JDI38" s="21"/>
      <c r="JDJ38" s="21"/>
      <c r="JDK38" s="21"/>
      <c r="JDL38" s="21"/>
      <c r="JDM38" s="21"/>
      <c r="JDN38" s="21"/>
      <c r="JDO38" s="21"/>
      <c r="JDP38" s="21"/>
      <c r="JDQ38" s="21"/>
      <c r="JDR38" s="21"/>
      <c r="JDS38" s="21"/>
      <c r="JDT38" s="21"/>
      <c r="JDU38" s="21"/>
      <c r="JDV38" s="21"/>
      <c r="JDW38" s="21"/>
      <c r="JDX38" s="21"/>
      <c r="JDY38" s="21"/>
      <c r="JDZ38" s="21"/>
      <c r="JEA38" s="21"/>
      <c r="JEB38" s="21"/>
      <c r="JEC38" s="21"/>
      <c r="JED38" s="21"/>
      <c r="JEE38" s="21"/>
      <c r="JEF38" s="21"/>
      <c r="JEG38" s="21"/>
      <c r="JEH38" s="21"/>
      <c r="JEI38" s="21"/>
      <c r="JEJ38" s="21"/>
      <c r="JEK38" s="21"/>
      <c r="JEL38" s="21"/>
      <c r="JEM38" s="21"/>
      <c r="JEN38" s="21"/>
      <c r="JEO38" s="21"/>
      <c r="JEP38" s="21"/>
      <c r="JEQ38" s="21"/>
      <c r="JER38" s="21"/>
      <c r="JES38" s="21"/>
      <c r="JET38" s="21"/>
      <c r="JEU38" s="21"/>
      <c r="JEV38" s="21"/>
      <c r="JEW38" s="21"/>
      <c r="JEX38" s="21"/>
      <c r="JEY38" s="21"/>
      <c r="JEZ38" s="21"/>
      <c r="JFA38" s="21"/>
      <c r="JFB38" s="21"/>
      <c r="JFC38" s="21"/>
      <c r="JFD38" s="21"/>
      <c r="JFE38" s="21"/>
      <c r="JFF38" s="21"/>
      <c r="JFG38" s="21"/>
      <c r="JFH38" s="21"/>
      <c r="JFI38" s="21"/>
      <c r="JFJ38" s="21"/>
      <c r="JFK38" s="21"/>
      <c r="JFL38" s="21"/>
      <c r="JFM38" s="21"/>
      <c r="JFN38" s="21"/>
      <c r="JFO38" s="21"/>
      <c r="JFP38" s="21"/>
      <c r="JFQ38" s="21"/>
      <c r="JFR38" s="21"/>
      <c r="JFS38" s="21"/>
      <c r="JFT38" s="21"/>
      <c r="JFU38" s="21"/>
      <c r="JFV38" s="21"/>
      <c r="JFW38" s="21"/>
      <c r="JFX38" s="21"/>
      <c r="JFY38" s="21"/>
      <c r="JFZ38" s="21"/>
      <c r="JGA38" s="21"/>
      <c r="JGB38" s="21"/>
      <c r="JGC38" s="21"/>
      <c r="JGD38" s="21"/>
      <c r="JGE38" s="21"/>
      <c r="JGF38" s="21"/>
      <c r="JGG38" s="21"/>
      <c r="JGH38" s="21"/>
      <c r="JGI38" s="21"/>
      <c r="JGJ38" s="21"/>
      <c r="JGK38" s="21"/>
      <c r="JGL38" s="21"/>
      <c r="JGM38" s="21"/>
      <c r="JGN38" s="21"/>
      <c r="JGO38" s="21"/>
      <c r="JGP38" s="21"/>
      <c r="JGQ38" s="21"/>
      <c r="JGR38" s="21"/>
      <c r="JGS38" s="21"/>
      <c r="JGT38" s="21"/>
      <c r="JGU38" s="21"/>
      <c r="JGV38" s="21"/>
      <c r="JGW38" s="21"/>
      <c r="JGX38" s="21"/>
      <c r="JGY38" s="21"/>
      <c r="JGZ38" s="21"/>
      <c r="JHA38" s="21"/>
      <c r="JHB38" s="21"/>
      <c r="JHC38" s="21"/>
      <c r="JHD38" s="21"/>
      <c r="JHE38" s="21"/>
      <c r="JHF38" s="21"/>
      <c r="JHG38" s="21"/>
      <c r="JHH38" s="21"/>
      <c r="JHI38" s="21"/>
      <c r="JHJ38" s="21"/>
      <c r="JHK38" s="21"/>
      <c r="JHL38" s="21"/>
      <c r="JHM38" s="21"/>
      <c r="JHN38" s="21"/>
      <c r="JHO38" s="21"/>
      <c r="JHP38" s="21"/>
      <c r="JHQ38" s="21"/>
      <c r="JHR38" s="21"/>
      <c r="JHS38" s="21"/>
      <c r="JHT38" s="21"/>
      <c r="JHU38" s="21"/>
      <c r="JHV38" s="21"/>
      <c r="JHW38" s="21"/>
      <c r="JHX38" s="21"/>
      <c r="JHY38" s="21"/>
      <c r="JHZ38" s="21"/>
      <c r="JIA38" s="21"/>
      <c r="JIB38" s="21"/>
      <c r="JIC38" s="21"/>
      <c r="JID38" s="21"/>
      <c r="JIE38" s="21"/>
      <c r="JIF38" s="21"/>
      <c r="JIG38" s="21"/>
      <c r="JIH38" s="21"/>
      <c r="JII38" s="21"/>
      <c r="JIJ38" s="21"/>
      <c r="JIK38" s="21"/>
      <c r="JIL38" s="21"/>
      <c r="JIM38" s="21"/>
      <c r="JIN38" s="21"/>
      <c r="JIO38" s="21"/>
      <c r="JIP38" s="21"/>
      <c r="JIQ38" s="21"/>
      <c r="JIR38" s="21"/>
      <c r="JIS38" s="21"/>
      <c r="JIT38" s="21"/>
      <c r="JIU38" s="21"/>
      <c r="JIV38" s="21"/>
      <c r="JIW38" s="21"/>
      <c r="JIX38" s="21"/>
      <c r="JIY38" s="21"/>
      <c r="JIZ38" s="21"/>
      <c r="JJA38" s="21"/>
      <c r="JJB38" s="21"/>
      <c r="JJC38" s="21"/>
      <c r="JJD38" s="21"/>
      <c r="JJE38" s="21"/>
      <c r="JJF38" s="21"/>
      <c r="JJG38" s="21"/>
      <c r="JJH38" s="21"/>
      <c r="JJI38" s="21"/>
      <c r="JJJ38" s="21"/>
      <c r="JJK38" s="21"/>
      <c r="JJL38" s="21"/>
      <c r="JJM38" s="21"/>
      <c r="JJN38" s="21"/>
      <c r="JJO38" s="21"/>
      <c r="JJP38" s="21"/>
      <c r="JJQ38" s="21"/>
      <c r="JJR38" s="21"/>
      <c r="JJS38" s="21"/>
      <c r="JJT38" s="21"/>
      <c r="JJU38" s="21"/>
      <c r="JJV38" s="21"/>
      <c r="JJW38" s="21"/>
      <c r="JJX38" s="21"/>
      <c r="JJY38" s="21"/>
      <c r="JJZ38" s="21"/>
      <c r="JKA38" s="21"/>
      <c r="JKB38" s="21"/>
      <c r="JKC38" s="21"/>
      <c r="JKD38" s="21"/>
      <c r="JKE38" s="21"/>
      <c r="JKF38" s="21"/>
      <c r="JKG38" s="21"/>
      <c r="JKH38" s="21"/>
      <c r="JKI38" s="21"/>
      <c r="JKJ38" s="21"/>
      <c r="JKK38" s="21"/>
      <c r="JKL38" s="21"/>
      <c r="JKM38" s="21"/>
      <c r="JKN38" s="21"/>
      <c r="JKO38" s="21"/>
      <c r="JKP38" s="21"/>
      <c r="JKQ38" s="21"/>
      <c r="JKR38" s="21"/>
      <c r="JKS38" s="21"/>
      <c r="JKT38" s="21"/>
      <c r="JKU38" s="21"/>
      <c r="JKV38" s="21"/>
      <c r="JKW38" s="21"/>
      <c r="JKX38" s="21"/>
      <c r="JKY38" s="21"/>
      <c r="JKZ38" s="21"/>
      <c r="JLA38" s="21"/>
      <c r="JLB38" s="21"/>
      <c r="JLC38" s="21"/>
      <c r="JLD38" s="21"/>
      <c r="JLE38" s="21"/>
      <c r="JLF38" s="21"/>
      <c r="JLG38" s="21"/>
      <c r="JLH38" s="21"/>
      <c r="JLI38" s="21"/>
      <c r="JLJ38" s="21"/>
      <c r="JLK38" s="21"/>
      <c r="JLL38" s="21"/>
      <c r="JLM38" s="21"/>
      <c r="JLN38" s="21"/>
      <c r="JLO38" s="21"/>
      <c r="JLP38" s="21"/>
      <c r="JLQ38" s="21"/>
      <c r="JLR38" s="21"/>
      <c r="JLS38" s="21"/>
      <c r="JLT38" s="21"/>
      <c r="JLU38" s="21"/>
      <c r="JLV38" s="21"/>
      <c r="JLW38" s="21"/>
      <c r="JLX38" s="21"/>
      <c r="JLY38" s="21"/>
      <c r="JLZ38" s="21"/>
      <c r="JMA38" s="21"/>
      <c r="JMB38" s="21"/>
      <c r="JMC38" s="21"/>
      <c r="JMD38" s="21"/>
      <c r="JME38" s="21"/>
      <c r="JMF38" s="21"/>
      <c r="JMG38" s="21"/>
      <c r="JMH38" s="21"/>
      <c r="JMI38" s="21"/>
      <c r="JMJ38" s="21"/>
      <c r="JMK38" s="21"/>
      <c r="JML38" s="21"/>
      <c r="JMM38" s="21"/>
      <c r="JMN38" s="21"/>
      <c r="JMO38" s="21"/>
      <c r="JMP38" s="21"/>
      <c r="JMQ38" s="21"/>
      <c r="JMR38" s="21"/>
      <c r="JMS38" s="21"/>
      <c r="JMT38" s="21"/>
      <c r="JMU38" s="21"/>
      <c r="JMV38" s="21"/>
      <c r="JMW38" s="21"/>
      <c r="JMX38" s="21"/>
      <c r="JMY38" s="21"/>
      <c r="JMZ38" s="21"/>
      <c r="JNA38" s="21"/>
      <c r="JNB38" s="21"/>
      <c r="JNC38" s="21"/>
      <c r="JND38" s="21"/>
      <c r="JNE38" s="21"/>
      <c r="JNF38" s="21"/>
      <c r="JNG38" s="21"/>
      <c r="JNH38" s="21"/>
      <c r="JNI38" s="21"/>
      <c r="JNJ38" s="21"/>
      <c r="JNK38" s="21"/>
      <c r="JNL38" s="21"/>
      <c r="JNM38" s="21"/>
      <c r="JNN38" s="21"/>
      <c r="JNO38" s="21"/>
      <c r="JNP38" s="21"/>
      <c r="JNQ38" s="21"/>
      <c r="JNR38" s="21"/>
      <c r="JNS38" s="21"/>
      <c r="JNT38" s="21"/>
      <c r="JNU38" s="21"/>
      <c r="JNV38" s="21"/>
      <c r="JNW38" s="21"/>
      <c r="JNX38" s="21"/>
      <c r="JNY38" s="21"/>
      <c r="JNZ38" s="21"/>
      <c r="JOA38" s="21"/>
      <c r="JOB38" s="21"/>
      <c r="JOC38" s="21"/>
      <c r="JOD38" s="21"/>
      <c r="JOE38" s="21"/>
      <c r="JOF38" s="21"/>
      <c r="JOG38" s="21"/>
      <c r="JOH38" s="21"/>
      <c r="JOI38" s="21"/>
      <c r="JOJ38" s="21"/>
      <c r="JOK38" s="21"/>
      <c r="JOL38" s="21"/>
      <c r="JOM38" s="21"/>
      <c r="JON38" s="21"/>
      <c r="JOO38" s="21"/>
      <c r="JOP38" s="21"/>
      <c r="JOQ38" s="21"/>
      <c r="JOR38" s="21"/>
      <c r="JOS38" s="21"/>
      <c r="JOT38" s="21"/>
      <c r="JOU38" s="21"/>
      <c r="JOV38" s="21"/>
      <c r="JOW38" s="21"/>
      <c r="JOX38" s="21"/>
      <c r="JOY38" s="21"/>
      <c r="JOZ38" s="21"/>
      <c r="JPA38" s="21"/>
      <c r="JPB38" s="21"/>
      <c r="JPC38" s="21"/>
      <c r="JPD38" s="21"/>
      <c r="JPE38" s="21"/>
      <c r="JPF38" s="21"/>
      <c r="JPG38" s="21"/>
      <c r="JPH38" s="21"/>
      <c r="JPI38" s="21"/>
      <c r="JPJ38" s="21"/>
      <c r="JPK38" s="21"/>
      <c r="JPL38" s="21"/>
      <c r="JPM38" s="21"/>
      <c r="JPN38" s="21"/>
      <c r="JPO38" s="21"/>
      <c r="JPP38" s="21"/>
      <c r="JPQ38" s="21"/>
      <c r="JPR38" s="21"/>
      <c r="JPS38" s="21"/>
      <c r="JPT38" s="21"/>
      <c r="JPU38" s="21"/>
      <c r="JPV38" s="21"/>
      <c r="JPW38" s="21"/>
      <c r="JPX38" s="21"/>
      <c r="JPY38" s="21"/>
      <c r="JPZ38" s="21"/>
      <c r="JQA38" s="21"/>
      <c r="JQB38" s="21"/>
      <c r="JQC38" s="21"/>
      <c r="JQD38" s="21"/>
      <c r="JQE38" s="21"/>
      <c r="JQF38" s="21"/>
      <c r="JQG38" s="21"/>
      <c r="JQH38" s="21"/>
      <c r="JQI38" s="21"/>
      <c r="JQJ38" s="21"/>
      <c r="JQK38" s="21"/>
      <c r="JQL38" s="21"/>
      <c r="JQM38" s="21"/>
      <c r="JQN38" s="21"/>
      <c r="JQO38" s="21"/>
      <c r="JQP38" s="21"/>
      <c r="JQQ38" s="21"/>
      <c r="JQR38" s="21"/>
      <c r="JQS38" s="21"/>
      <c r="JQT38" s="21"/>
      <c r="JQU38" s="21"/>
      <c r="JQV38" s="21"/>
      <c r="JQW38" s="21"/>
      <c r="JQX38" s="21"/>
      <c r="JQY38" s="21"/>
      <c r="JQZ38" s="21"/>
      <c r="JRA38" s="21"/>
      <c r="JRB38" s="21"/>
      <c r="JRC38" s="21"/>
      <c r="JRD38" s="21"/>
      <c r="JRE38" s="21"/>
      <c r="JRF38" s="21"/>
      <c r="JRG38" s="21"/>
      <c r="JRH38" s="21"/>
      <c r="JRI38" s="21"/>
      <c r="JRJ38" s="21"/>
      <c r="JRK38" s="21"/>
      <c r="JRL38" s="21"/>
      <c r="JRM38" s="21"/>
      <c r="JRN38" s="21"/>
      <c r="JRO38" s="21"/>
      <c r="JRP38" s="21"/>
      <c r="JRQ38" s="21"/>
      <c r="JRR38" s="21"/>
      <c r="JRS38" s="21"/>
      <c r="JRT38" s="21"/>
      <c r="JRU38" s="21"/>
      <c r="JRV38" s="21"/>
      <c r="JRW38" s="21"/>
      <c r="JRX38" s="21"/>
      <c r="JRY38" s="21"/>
      <c r="JRZ38" s="21"/>
      <c r="JSA38" s="21"/>
      <c r="JSB38" s="21"/>
      <c r="JSC38" s="21"/>
      <c r="JSD38" s="21"/>
      <c r="JSE38" s="21"/>
      <c r="JSF38" s="21"/>
      <c r="JSG38" s="21"/>
      <c r="JSH38" s="21"/>
      <c r="JSI38" s="21"/>
      <c r="JSJ38" s="21"/>
      <c r="JSK38" s="21"/>
      <c r="JSL38" s="21"/>
      <c r="JSM38" s="21"/>
      <c r="JSN38" s="21"/>
      <c r="JSO38" s="21"/>
      <c r="JSP38" s="21"/>
      <c r="JSQ38" s="21"/>
      <c r="JSR38" s="21"/>
      <c r="JSS38" s="21"/>
      <c r="JST38" s="21"/>
      <c r="JSU38" s="21"/>
      <c r="JSV38" s="21"/>
      <c r="JSW38" s="21"/>
      <c r="JSX38" s="21"/>
      <c r="JSY38" s="21"/>
      <c r="JSZ38" s="21"/>
      <c r="JTA38" s="21"/>
      <c r="JTB38" s="21"/>
      <c r="JTC38" s="21"/>
      <c r="JTD38" s="21"/>
      <c r="JTE38" s="21"/>
      <c r="JTF38" s="21"/>
      <c r="JTG38" s="21"/>
      <c r="JTH38" s="21"/>
      <c r="JTI38" s="21"/>
      <c r="JTJ38" s="21"/>
      <c r="JTK38" s="21"/>
      <c r="JTL38" s="21"/>
      <c r="JTM38" s="21"/>
      <c r="JTN38" s="21"/>
      <c r="JTO38" s="21"/>
      <c r="JTP38" s="21"/>
      <c r="JTQ38" s="21"/>
      <c r="JTR38" s="21"/>
      <c r="JTS38" s="21"/>
      <c r="JTT38" s="21"/>
      <c r="JTU38" s="21"/>
      <c r="JTV38" s="21"/>
      <c r="JTW38" s="21"/>
      <c r="JTX38" s="21"/>
      <c r="JTY38" s="21"/>
      <c r="JTZ38" s="21"/>
      <c r="JUA38" s="21"/>
      <c r="JUB38" s="21"/>
      <c r="JUC38" s="21"/>
      <c r="JUD38" s="21"/>
      <c r="JUE38" s="21"/>
      <c r="JUF38" s="21"/>
      <c r="JUG38" s="21"/>
      <c r="JUH38" s="21"/>
      <c r="JUI38" s="21"/>
      <c r="JUJ38" s="21"/>
      <c r="JUK38" s="21"/>
      <c r="JUL38" s="21"/>
      <c r="JUM38" s="21"/>
      <c r="JUN38" s="21"/>
      <c r="JUO38" s="21"/>
      <c r="JUP38" s="21"/>
      <c r="JUQ38" s="21"/>
      <c r="JUR38" s="21"/>
      <c r="JUS38" s="21"/>
      <c r="JUT38" s="21"/>
      <c r="JUU38" s="21"/>
      <c r="JUV38" s="21"/>
      <c r="JUW38" s="21"/>
      <c r="JUX38" s="21"/>
      <c r="JUY38" s="21"/>
      <c r="JUZ38" s="21"/>
      <c r="JVA38" s="21"/>
      <c r="JVB38" s="21"/>
      <c r="JVC38" s="21"/>
      <c r="JVD38" s="21"/>
      <c r="JVE38" s="21"/>
      <c r="JVF38" s="21"/>
      <c r="JVG38" s="21"/>
      <c r="JVH38" s="21"/>
      <c r="JVI38" s="21"/>
      <c r="JVJ38" s="21"/>
      <c r="JVK38" s="21"/>
      <c r="JVL38" s="21"/>
      <c r="JVM38" s="21"/>
      <c r="JVN38" s="21"/>
      <c r="JVO38" s="21"/>
      <c r="JVP38" s="21"/>
      <c r="JVQ38" s="21"/>
      <c r="JVR38" s="21"/>
      <c r="JVS38" s="21"/>
      <c r="JVT38" s="21"/>
      <c r="JVU38" s="21"/>
      <c r="JVV38" s="21"/>
      <c r="JVW38" s="21"/>
      <c r="JVX38" s="21"/>
      <c r="JVY38" s="21"/>
      <c r="JVZ38" s="21"/>
      <c r="JWA38" s="21"/>
      <c r="JWB38" s="21"/>
      <c r="JWC38" s="21"/>
      <c r="JWD38" s="21"/>
      <c r="JWE38" s="21"/>
      <c r="JWF38" s="21"/>
      <c r="JWG38" s="21"/>
      <c r="JWH38" s="21"/>
      <c r="JWI38" s="21"/>
      <c r="JWJ38" s="21"/>
      <c r="JWK38" s="21"/>
      <c r="JWL38" s="21"/>
      <c r="JWM38" s="21"/>
      <c r="JWN38" s="21"/>
      <c r="JWO38" s="21"/>
      <c r="JWP38" s="21"/>
      <c r="JWQ38" s="21"/>
      <c r="JWR38" s="21"/>
      <c r="JWS38" s="21"/>
      <c r="JWT38" s="21"/>
      <c r="JWU38" s="21"/>
      <c r="JWV38" s="21"/>
      <c r="JWW38" s="21"/>
      <c r="JWX38" s="21"/>
      <c r="JWY38" s="21"/>
      <c r="JWZ38" s="21"/>
      <c r="JXA38" s="21"/>
      <c r="JXB38" s="21"/>
      <c r="JXC38" s="21"/>
      <c r="JXD38" s="21"/>
      <c r="JXE38" s="21"/>
      <c r="JXF38" s="21"/>
      <c r="JXG38" s="21"/>
      <c r="JXH38" s="21"/>
      <c r="JXI38" s="21"/>
      <c r="JXJ38" s="21"/>
      <c r="JXK38" s="21"/>
      <c r="JXL38" s="21"/>
      <c r="JXM38" s="21"/>
      <c r="JXN38" s="21"/>
      <c r="JXO38" s="21"/>
      <c r="JXP38" s="21"/>
      <c r="JXQ38" s="21"/>
      <c r="JXR38" s="21"/>
      <c r="JXS38" s="21"/>
      <c r="JXT38" s="21"/>
      <c r="JXU38" s="21"/>
      <c r="JXV38" s="21"/>
      <c r="JXW38" s="21"/>
      <c r="JXX38" s="21"/>
      <c r="JXY38" s="21"/>
      <c r="JXZ38" s="21"/>
      <c r="JYA38" s="21"/>
      <c r="JYB38" s="21"/>
      <c r="JYC38" s="21"/>
      <c r="JYD38" s="21"/>
      <c r="JYE38" s="21"/>
      <c r="JYF38" s="21"/>
      <c r="JYG38" s="21"/>
      <c r="JYH38" s="21"/>
      <c r="JYI38" s="21"/>
      <c r="JYJ38" s="21"/>
      <c r="JYK38" s="21"/>
      <c r="JYL38" s="21"/>
      <c r="JYM38" s="21"/>
      <c r="JYN38" s="21"/>
      <c r="JYO38" s="21"/>
      <c r="JYP38" s="21"/>
      <c r="JYQ38" s="21"/>
      <c r="JYR38" s="21"/>
      <c r="JYS38" s="21"/>
      <c r="JYT38" s="21"/>
      <c r="JYU38" s="21"/>
      <c r="JYV38" s="21"/>
      <c r="JYW38" s="21"/>
      <c r="JYX38" s="21"/>
      <c r="JYY38" s="21"/>
      <c r="JYZ38" s="21"/>
      <c r="JZA38" s="21"/>
      <c r="JZB38" s="21"/>
      <c r="JZC38" s="21"/>
      <c r="JZD38" s="21"/>
      <c r="JZE38" s="21"/>
      <c r="JZF38" s="21"/>
      <c r="JZG38" s="21"/>
      <c r="JZH38" s="21"/>
      <c r="JZI38" s="21"/>
      <c r="JZJ38" s="21"/>
      <c r="JZK38" s="21"/>
      <c r="JZL38" s="21"/>
      <c r="JZM38" s="21"/>
      <c r="JZN38" s="21"/>
      <c r="JZO38" s="21"/>
      <c r="JZP38" s="21"/>
      <c r="JZQ38" s="21"/>
      <c r="JZR38" s="21"/>
      <c r="JZS38" s="21"/>
      <c r="JZT38" s="21"/>
      <c r="JZU38" s="21"/>
      <c r="JZV38" s="21"/>
      <c r="JZW38" s="21"/>
      <c r="JZX38" s="21"/>
      <c r="JZY38" s="21"/>
      <c r="JZZ38" s="21"/>
      <c r="KAA38" s="21"/>
      <c r="KAB38" s="21"/>
      <c r="KAC38" s="21"/>
      <c r="KAD38" s="21"/>
      <c r="KAE38" s="21"/>
      <c r="KAF38" s="21"/>
      <c r="KAG38" s="21"/>
      <c r="KAH38" s="21"/>
      <c r="KAI38" s="21"/>
      <c r="KAJ38" s="21"/>
      <c r="KAK38" s="21"/>
      <c r="KAL38" s="21"/>
      <c r="KAM38" s="21"/>
      <c r="KAN38" s="21"/>
      <c r="KAO38" s="21"/>
      <c r="KAP38" s="21"/>
      <c r="KAQ38" s="21"/>
      <c r="KAR38" s="21"/>
      <c r="KAS38" s="21"/>
      <c r="KAT38" s="21"/>
      <c r="KAU38" s="21"/>
      <c r="KAV38" s="21"/>
      <c r="KAW38" s="21"/>
      <c r="KAX38" s="21"/>
      <c r="KAY38" s="21"/>
      <c r="KAZ38" s="21"/>
      <c r="KBA38" s="21"/>
      <c r="KBB38" s="21"/>
      <c r="KBC38" s="21"/>
      <c r="KBD38" s="21"/>
      <c r="KBE38" s="21"/>
      <c r="KBF38" s="21"/>
      <c r="KBG38" s="21"/>
      <c r="KBH38" s="21"/>
      <c r="KBI38" s="21"/>
      <c r="KBJ38" s="21"/>
      <c r="KBK38" s="21"/>
      <c r="KBL38" s="21"/>
      <c r="KBM38" s="21"/>
      <c r="KBN38" s="21"/>
      <c r="KBO38" s="21"/>
      <c r="KBP38" s="21"/>
      <c r="KBQ38" s="21"/>
      <c r="KBR38" s="21"/>
      <c r="KBS38" s="21"/>
      <c r="KBT38" s="21"/>
      <c r="KBU38" s="21"/>
      <c r="KBV38" s="21"/>
      <c r="KBW38" s="21"/>
      <c r="KBX38" s="21"/>
      <c r="KBY38" s="21"/>
      <c r="KBZ38" s="21"/>
      <c r="KCA38" s="21"/>
      <c r="KCB38" s="21"/>
      <c r="KCC38" s="21"/>
      <c r="KCD38" s="21"/>
      <c r="KCE38" s="21"/>
      <c r="KCF38" s="21"/>
      <c r="KCG38" s="21"/>
      <c r="KCH38" s="21"/>
      <c r="KCI38" s="21"/>
      <c r="KCJ38" s="21"/>
      <c r="KCK38" s="21"/>
      <c r="KCL38" s="21"/>
      <c r="KCM38" s="21"/>
      <c r="KCN38" s="21"/>
      <c r="KCO38" s="21"/>
      <c r="KCP38" s="21"/>
      <c r="KCQ38" s="21"/>
      <c r="KCR38" s="21"/>
      <c r="KCS38" s="21"/>
      <c r="KCT38" s="21"/>
      <c r="KCU38" s="21"/>
      <c r="KCV38" s="21"/>
      <c r="KCW38" s="21"/>
      <c r="KCX38" s="21"/>
      <c r="KCY38" s="21"/>
      <c r="KCZ38" s="21"/>
      <c r="KDA38" s="21"/>
      <c r="KDB38" s="21"/>
      <c r="KDC38" s="21"/>
      <c r="KDD38" s="21"/>
      <c r="KDE38" s="21"/>
      <c r="KDF38" s="21"/>
      <c r="KDG38" s="21"/>
      <c r="KDH38" s="21"/>
      <c r="KDI38" s="21"/>
      <c r="KDJ38" s="21"/>
      <c r="KDK38" s="21"/>
      <c r="KDL38" s="21"/>
      <c r="KDM38" s="21"/>
      <c r="KDN38" s="21"/>
      <c r="KDO38" s="21"/>
      <c r="KDP38" s="21"/>
      <c r="KDQ38" s="21"/>
      <c r="KDR38" s="21"/>
      <c r="KDS38" s="21"/>
      <c r="KDT38" s="21"/>
      <c r="KDU38" s="21"/>
      <c r="KDV38" s="21"/>
      <c r="KDW38" s="21"/>
      <c r="KDX38" s="21"/>
      <c r="KDY38" s="21"/>
      <c r="KDZ38" s="21"/>
      <c r="KEA38" s="21"/>
      <c r="KEB38" s="21"/>
      <c r="KEC38" s="21"/>
      <c r="KED38" s="21"/>
      <c r="KEE38" s="21"/>
      <c r="KEF38" s="21"/>
      <c r="KEG38" s="21"/>
      <c r="KEH38" s="21"/>
      <c r="KEI38" s="21"/>
      <c r="KEJ38" s="21"/>
      <c r="KEK38" s="21"/>
      <c r="KEL38" s="21"/>
      <c r="KEM38" s="21"/>
      <c r="KEN38" s="21"/>
      <c r="KEO38" s="21"/>
      <c r="KEP38" s="21"/>
      <c r="KEQ38" s="21"/>
      <c r="KER38" s="21"/>
      <c r="KES38" s="21"/>
      <c r="KET38" s="21"/>
      <c r="KEU38" s="21"/>
      <c r="KEV38" s="21"/>
      <c r="KEW38" s="21"/>
      <c r="KEX38" s="21"/>
      <c r="KEY38" s="21"/>
      <c r="KEZ38" s="21"/>
      <c r="KFA38" s="21"/>
      <c r="KFB38" s="21"/>
      <c r="KFC38" s="21"/>
      <c r="KFD38" s="21"/>
      <c r="KFE38" s="21"/>
      <c r="KFF38" s="21"/>
      <c r="KFG38" s="21"/>
      <c r="KFH38" s="21"/>
      <c r="KFI38" s="21"/>
      <c r="KFJ38" s="21"/>
      <c r="KFK38" s="21"/>
      <c r="KFL38" s="21"/>
      <c r="KFM38" s="21"/>
      <c r="KFN38" s="21"/>
      <c r="KFO38" s="21"/>
      <c r="KFP38" s="21"/>
      <c r="KFQ38" s="21"/>
      <c r="KFR38" s="21"/>
      <c r="KFS38" s="21"/>
      <c r="KFT38" s="21"/>
      <c r="KFU38" s="21"/>
      <c r="KFV38" s="21"/>
      <c r="KFW38" s="21"/>
      <c r="KFX38" s="21"/>
      <c r="KFY38" s="21"/>
      <c r="KFZ38" s="21"/>
      <c r="KGA38" s="21"/>
      <c r="KGB38" s="21"/>
      <c r="KGC38" s="21"/>
      <c r="KGD38" s="21"/>
      <c r="KGE38" s="21"/>
      <c r="KGF38" s="21"/>
      <c r="KGG38" s="21"/>
      <c r="KGH38" s="21"/>
      <c r="KGI38" s="21"/>
      <c r="KGJ38" s="21"/>
      <c r="KGK38" s="21"/>
      <c r="KGL38" s="21"/>
      <c r="KGM38" s="21"/>
      <c r="KGN38" s="21"/>
      <c r="KGO38" s="21"/>
      <c r="KGP38" s="21"/>
      <c r="KGQ38" s="21"/>
      <c r="KGR38" s="21"/>
      <c r="KGS38" s="21"/>
      <c r="KGT38" s="21"/>
      <c r="KGU38" s="21"/>
      <c r="KGV38" s="21"/>
      <c r="KGW38" s="21"/>
      <c r="KGX38" s="21"/>
      <c r="KGY38" s="21"/>
      <c r="KGZ38" s="21"/>
      <c r="KHA38" s="21"/>
      <c r="KHB38" s="21"/>
      <c r="KHC38" s="21"/>
      <c r="KHD38" s="21"/>
      <c r="KHE38" s="21"/>
      <c r="KHF38" s="21"/>
      <c r="KHG38" s="21"/>
      <c r="KHH38" s="21"/>
      <c r="KHI38" s="21"/>
      <c r="KHJ38" s="21"/>
      <c r="KHK38" s="21"/>
      <c r="KHL38" s="21"/>
      <c r="KHM38" s="21"/>
      <c r="KHN38" s="21"/>
      <c r="KHO38" s="21"/>
      <c r="KHP38" s="21"/>
      <c r="KHQ38" s="21"/>
      <c r="KHR38" s="21"/>
      <c r="KHS38" s="21"/>
      <c r="KHT38" s="21"/>
      <c r="KHU38" s="21"/>
      <c r="KHV38" s="21"/>
      <c r="KHW38" s="21"/>
      <c r="KHX38" s="21"/>
      <c r="KHY38" s="21"/>
      <c r="KHZ38" s="21"/>
      <c r="KIA38" s="21"/>
      <c r="KIB38" s="21"/>
      <c r="KIC38" s="21"/>
      <c r="KID38" s="21"/>
      <c r="KIE38" s="21"/>
      <c r="KIF38" s="21"/>
      <c r="KIG38" s="21"/>
      <c r="KIH38" s="21"/>
      <c r="KII38" s="21"/>
      <c r="KIJ38" s="21"/>
      <c r="KIK38" s="21"/>
      <c r="KIL38" s="21"/>
      <c r="KIM38" s="21"/>
      <c r="KIN38" s="21"/>
      <c r="KIO38" s="21"/>
      <c r="KIP38" s="21"/>
      <c r="KIQ38" s="21"/>
      <c r="KIR38" s="21"/>
      <c r="KIS38" s="21"/>
      <c r="KIT38" s="21"/>
      <c r="KIU38" s="21"/>
      <c r="KIV38" s="21"/>
      <c r="KIW38" s="21"/>
      <c r="KIX38" s="21"/>
      <c r="KIY38" s="21"/>
      <c r="KIZ38" s="21"/>
      <c r="KJA38" s="21"/>
      <c r="KJB38" s="21"/>
      <c r="KJC38" s="21"/>
      <c r="KJD38" s="21"/>
      <c r="KJE38" s="21"/>
      <c r="KJF38" s="21"/>
      <c r="KJG38" s="21"/>
      <c r="KJH38" s="21"/>
      <c r="KJI38" s="21"/>
      <c r="KJJ38" s="21"/>
      <c r="KJK38" s="21"/>
      <c r="KJL38" s="21"/>
      <c r="KJM38" s="21"/>
      <c r="KJN38" s="21"/>
      <c r="KJO38" s="21"/>
      <c r="KJP38" s="21"/>
      <c r="KJQ38" s="21"/>
      <c r="KJR38" s="21"/>
      <c r="KJS38" s="21"/>
      <c r="KJT38" s="21"/>
      <c r="KJU38" s="21"/>
      <c r="KJV38" s="21"/>
      <c r="KJW38" s="21"/>
      <c r="KJX38" s="21"/>
      <c r="KJY38" s="21"/>
      <c r="KJZ38" s="21"/>
      <c r="KKA38" s="21"/>
      <c r="KKB38" s="21"/>
      <c r="KKC38" s="21"/>
      <c r="KKD38" s="21"/>
      <c r="KKE38" s="21"/>
      <c r="KKF38" s="21"/>
      <c r="KKG38" s="21"/>
      <c r="KKH38" s="21"/>
      <c r="KKI38" s="21"/>
      <c r="KKJ38" s="21"/>
      <c r="KKK38" s="21"/>
      <c r="KKL38" s="21"/>
      <c r="KKM38" s="21"/>
      <c r="KKN38" s="21"/>
      <c r="KKO38" s="21"/>
      <c r="KKP38" s="21"/>
      <c r="KKQ38" s="21"/>
      <c r="KKR38" s="21"/>
      <c r="KKS38" s="21"/>
      <c r="KKT38" s="21"/>
      <c r="KKU38" s="21"/>
      <c r="KKV38" s="21"/>
      <c r="KKW38" s="21"/>
      <c r="KKX38" s="21"/>
      <c r="KKY38" s="21"/>
      <c r="KKZ38" s="21"/>
      <c r="KLA38" s="21"/>
      <c r="KLB38" s="21"/>
      <c r="KLC38" s="21"/>
      <c r="KLD38" s="21"/>
      <c r="KLE38" s="21"/>
      <c r="KLF38" s="21"/>
      <c r="KLG38" s="21"/>
      <c r="KLH38" s="21"/>
      <c r="KLI38" s="21"/>
      <c r="KLJ38" s="21"/>
      <c r="KLK38" s="21"/>
      <c r="KLL38" s="21"/>
      <c r="KLM38" s="21"/>
      <c r="KLN38" s="21"/>
      <c r="KLO38" s="21"/>
      <c r="KLP38" s="21"/>
      <c r="KLQ38" s="21"/>
      <c r="KLR38" s="21"/>
      <c r="KLS38" s="21"/>
      <c r="KLT38" s="21"/>
      <c r="KLU38" s="21"/>
      <c r="KLV38" s="21"/>
      <c r="KLW38" s="21"/>
      <c r="KLX38" s="21"/>
      <c r="KLY38" s="21"/>
      <c r="KLZ38" s="21"/>
      <c r="KMA38" s="21"/>
      <c r="KMB38" s="21"/>
      <c r="KMC38" s="21"/>
      <c r="KMD38" s="21"/>
      <c r="KME38" s="21"/>
      <c r="KMF38" s="21"/>
      <c r="KMG38" s="21"/>
      <c r="KMH38" s="21"/>
      <c r="KMI38" s="21"/>
      <c r="KMJ38" s="21"/>
      <c r="KMK38" s="21"/>
      <c r="KML38" s="21"/>
      <c r="KMM38" s="21"/>
      <c r="KMN38" s="21"/>
      <c r="KMO38" s="21"/>
      <c r="KMP38" s="21"/>
      <c r="KMQ38" s="21"/>
      <c r="KMR38" s="21"/>
      <c r="KMS38" s="21"/>
      <c r="KMT38" s="21"/>
      <c r="KMU38" s="21"/>
      <c r="KMV38" s="21"/>
      <c r="KMW38" s="21"/>
      <c r="KMX38" s="21"/>
      <c r="KMY38" s="21"/>
      <c r="KMZ38" s="21"/>
      <c r="KNA38" s="21"/>
      <c r="KNB38" s="21"/>
      <c r="KNC38" s="21"/>
      <c r="KND38" s="21"/>
      <c r="KNE38" s="21"/>
      <c r="KNF38" s="21"/>
      <c r="KNG38" s="21"/>
      <c r="KNH38" s="21"/>
      <c r="KNI38" s="21"/>
      <c r="KNJ38" s="21"/>
      <c r="KNK38" s="21"/>
      <c r="KNL38" s="21"/>
      <c r="KNM38" s="21"/>
      <c r="KNN38" s="21"/>
      <c r="KNO38" s="21"/>
      <c r="KNP38" s="21"/>
      <c r="KNQ38" s="21"/>
      <c r="KNR38" s="21"/>
      <c r="KNS38" s="21"/>
      <c r="KNT38" s="21"/>
      <c r="KNU38" s="21"/>
      <c r="KNV38" s="21"/>
      <c r="KNW38" s="21"/>
      <c r="KNX38" s="21"/>
      <c r="KNY38" s="21"/>
      <c r="KNZ38" s="21"/>
      <c r="KOA38" s="21"/>
      <c r="KOB38" s="21"/>
      <c r="KOC38" s="21"/>
      <c r="KOD38" s="21"/>
      <c r="KOE38" s="21"/>
      <c r="KOF38" s="21"/>
      <c r="KOG38" s="21"/>
      <c r="KOH38" s="21"/>
      <c r="KOI38" s="21"/>
      <c r="KOJ38" s="21"/>
      <c r="KOK38" s="21"/>
      <c r="KOL38" s="21"/>
      <c r="KOM38" s="21"/>
      <c r="KON38" s="21"/>
      <c r="KOO38" s="21"/>
      <c r="KOP38" s="21"/>
      <c r="KOQ38" s="21"/>
      <c r="KOR38" s="21"/>
      <c r="KOS38" s="21"/>
      <c r="KOT38" s="21"/>
      <c r="KOU38" s="21"/>
      <c r="KOV38" s="21"/>
      <c r="KOW38" s="21"/>
      <c r="KOX38" s="21"/>
      <c r="KOY38" s="21"/>
      <c r="KOZ38" s="21"/>
      <c r="KPA38" s="21"/>
      <c r="KPB38" s="21"/>
      <c r="KPC38" s="21"/>
      <c r="KPD38" s="21"/>
      <c r="KPE38" s="21"/>
      <c r="KPF38" s="21"/>
      <c r="KPG38" s="21"/>
      <c r="KPH38" s="21"/>
      <c r="KPI38" s="21"/>
      <c r="KPJ38" s="21"/>
      <c r="KPK38" s="21"/>
      <c r="KPL38" s="21"/>
      <c r="KPM38" s="21"/>
      <c r="KPN38" s="21"/>
      <c r="KPO38" s="21"/>
      <c r="KPP38" s="21"/>
      <c r="KPQ38" s="21"/>
      <c r="KPR38" s="21"/>
      <c r="KPS38" s="21"/>
      <c r="KPT38" s="21"/>
      <c r="KPU38" s="21"/>
      <c r="KPV38" s="21"/>
      <c r="KPW38" s="21"/>
      <c r="KPX38" s="21"/>
      <c r="KPY38" s="21"/>
      <c r="KPZ38" s="21"/>
      <c r="KQA38" s="21"/>
      <c r="KQB38" s="21"/>
      <c r="KQC38" s="21"/>
      <c r="KQD38" s="21"/>
      <c r="KQE38" s="21"/>
      <c r="KQF38" s="21"/>
      <c r="KQG38" s="21"/>
      <c r="KQH38" s="21"/>
      <c r="KQI38" s="21"/>
      <c r="KQJ38" s="21"/>
      <c r="KQK38" s="21"/>
      <c r="KQL38" s="21"/>
      <c r="KQM38" s="21"/>
      <c r="KQN38" s="21"/>
      <c r="KQO38" s="21"/>
      <c r="KQP38" s="21"/>
      <c r="KQQ38" s="21"/>
      <c r="KQR38" s="21"/>
      <c r="KQS38" s="21"/>
      <c r="KQT38" s="21"/>
      <c r="KQU38" s="21"/>
      <c r="KQV38" s="21"/>
      <c r="KQW38" s="21"/>
      <c r="KQX38" s="21"/>
      <c r="KQY38" s="21"/>
      <c r="KQZ38" s="21"/>
      <c r="KRA38" s="21"/>
      <c r="KRB38" s="21"/>
      <c r="KRC38" s="21"/>
      <c r="KRD38" s="21"/>
      <c r="KRE38" s="21"/>
      <c r="KRF38" s="21"/>
      <c r="KRG38" s="21"/>
      <c r="KRH38" s="21"/>
      <c r="KRI38" s="21"/>
      <c r="KRJ38" s="21"/>
      <c r="KRK38" s="21"/>
      <c r="KRL38" s="21"/>
      <c r="KRM38" s="21"/>
      <c r="KRN38" s="21"/>
      <c r="KRO38" s="21"/>
      <c r="KRP38" s="21"/>
      <c r="KRQ38" s="21"/>
      <c r="KRR38" s="21"/>
      <c r="KRS38" s="21"/>
      <c r="KRT38" s="21"/>
      <c r="KRU38" s="21"/>
      <c r="KRV38" s="21"/>
      <c r="KRW38" s="21"/>
      <c r="KRX38" s="21"/>
      <c r="KRY38" s="21"/>
      <c r="KRZ38" s="21"/>
      <c r="KSA38" s="21"/>
      <c r="KSB38" s="21"/>
      <c r="KSC38" s="21"/>
      <c r="KSD38" s="21"/>
      <c r="KSE38" s="21"/>
      <c r="KSF38" s="21"/>
      <c r="KSG38" s="21"/>
      <c r="KSH38" s="21"/>
      <c r="KSI38" s="21"/>
      <c r="KSJ38" s="21"/>
      <c r="KSK38" s="21"/>
      <c r="KSL38" s="21"/>
      <c r="KSM38" s="21"/>
      <c r="KSN38" s="21"/>
      <c r="KSO38" s="21"/>
      <c r="KSP38" s="21"/>
      <c r="KSQ38" s="21"/>
      <c r="KSR38" s="21"/>
      <c r="KSS38" s="21"/>
      <c r="KST38" s="21"/>
      <c r="KSU38" s="21"/>
      <c r="KSV38" s="21"/>
      <c r="KSW38" s="21"/>
      <c r="KSX38" s="21"/>
      <c r="KSY38" s="21"/>
      <c r="KSZ38" s="21"/>
      <c r="KTA38" s="21"/>
      <c r="KTB38" s="21"/>
      <c r="KTC38" s="21"/>
      <c r="KTD38" s="21"/>
      <c r="KTE38" s="21"/>
      <c r="KTF38" s="21"/>
      <c r="KTG38" s="21"/>
      <c r="KTH38" s="21"/>
      <c r="KTI38" s="21"/>
      <c r="KTJ38" s="21"/>
      <c r="KTK38" s="21"/>
      <c r="KTL38" s="21"/>
      <c r="KTM38" s="21"/>
      <c r="KTN38" s="21"/>
      <c r="KTO38" s="21"/>
      <c r="KTP38" s="21"/>
      <c r="KTQ38" s="21"/>
      <c r="KTR38" s="21"/>
      <c r="KTS38" s="21"/>
      <c r="KTT38" s="21"/>
      <c r="KTU38" s="21"/>
      <c r="KTV38" s="21"/>
      <c r="KTW38" s="21"/>
      <c r="KTX38" s="21"/>
      <c r="KTY38" s="21"/>
      <c r="KTZ38" s="21"/>
      <c r="KUA38" s="21"/>
      <c r="KUB38" s="21"/>
      <c r="KUC38" s="21"/>
      <c r="KUD38" s="21"/>
      <c r="KUE38" s="21"/>
      <c r="KUF38" s="21"/>
      <c r="KUG38" s="21"/>
      <c r="KUH38" s="21"/>
      <c r="KUI38" s="21"/>
      <c r="KUJ38" s="21"/>
      <c r="KUK38" s="21"/>
      <c r="KUL38" s="21"/>
      <c r="KUM38" s="21"/>
      <c r="KUN38" s="21"/>
      <c r="KUO38" s="21"/>
      <c r="KUP38" s="21"/>
      <c r="KUQ38" s="21"/>
      <c r="KUR38" s="21"/>
      <c r="KUS38" s="21"/>
      <c r="KUT38" s="21"/>
      <c r="KUU38" s="21"/>
      <c r="KUV38" s="21"/>
      <c r="KUW38" s="21"/>
      <c r="KUX38" s="21"/>
      <c r="KUY38" s="21"/>
      <c r="KUZ38" s="21"/>
      <c r="KVA38" s="21"/>
      <c r="KVB38" s="21"/>
      <c r="KVC38" s="21"/>
      <c r="KVD38" s="21"/>
      <c r="KVE38" s="21"/>
      <c r="KVF38" s="21"/>
      <c r="KVG38" s="21"/>
      <c r="KVH38" s="21"/>
      <c r="KVI38" s="21"/>
      <c r="KVJ38" s="21"/>
      <c r="KVK38" s="21"/>
      <c r="KVL38" s="21"/>
      <c r="KVM38" s="21"/>
      <c r="KVN38" s="21"/>
      <c r="KVO38" s="21"/>
      <c r="KVP38" s="21"/>
      <c r="KVQ38" s="21"/>
      <c r="KVR38" s="21"/>
      <c r="KVS38" s="21"/>
      <c r="KVT38" s="21"/>
      <c r="KVU38" s="21"/>
      <c r="KVV38" s="21"/>
      <c r="KVW38" s="21"/>
      <c r="KVX38" s="21"/>
      <c r="KVY38" s="21"/>
      <c r="KVZ38" s="21"/>
      <c r="KWA38" s="21"/>
      <c r="KWB38" s="21"/>
      <c r="KWC38" s="21"/>
      <c r="KWD38" s="21"/>
      <c r="KWE38" s="21"/>
      <c r="KWF38" s="21"/>
      <c r="KWG38" s="21"/>
      <c r="KWH38" s="21"/>
      <c r="KWI38" s="21"/>
      <c r="KWJ38" s="21"/>
      <c r="KWK38" s="21"/>
      <c r="KWL38" s="21"/>
      <c r="KWM38" s="21"/>
      <c r="KWN38" s="21"/>
      <c r="KWO38" s="21"/>
      <c r="KWP38" s="21"/>
      <c r="KWQ38" s="21"/>
      <c r="KWR38" s="21"/>
      <c r="KWS38" s="21"/>
      <c r="KWT38" s="21"/>
      <c r="KWU38" s="21"/>
      <c r="KWV38" s="21"/>
      <c r="KWW38" s="21"/>
      <c r="KWX38" s="21"/>
      <c r="KWY38" s="21"/>
      <c r="KWZ38" s="21"/>
      <c r="KXA38" s="21"/>
      <c r="KXB38" s="21"/>
      <c r="KXC38" s="21"/>
      <c r="KXD38" s="21"/>
      <c r="KXE38" s="21"/>
      <c r="KXF38" s="21"/>
      <c r="KXG38" s="21"/>
      <c r="KXH38" s="21"/>
      <c r="KXI38" s="21"/>
      <c r="KXJ38" s="21"/>
      <c r="KXK38" s="21"/>
      <c r="KXL38" s="21"/>
      <c r="KXM38" s="21"/>
      <c r="KXN38" s="21"/>
      <c r="KXO38" s="21"/>
      <c r="KXP38" s="21"/>
      <c r="KXQ38" s="21"/>
      <c r="KXR38" s="21"/>
      <c r="KXS38" s="21"/>
      <c r="KXT38" s="21"/>
      <c r="KXU38" s="21"/>
      <c r="KXV38" s="21"/>
      <c r="KXW38" s="21"/>
      <c r="KXX38" s="21"/>
      <c r="KXY38" s="21"/>
      <c r="KXZ38" s="21"/>
      <c r="KYA38" s="21"/>
      <c r="KYB38" s="21"/>
      <c r="KYC38" s="21"/>
      <c r="KYD38" s="21"/>
      <c r="KYE38" s="21"/>
      <c r="KYF38" s="21"/>
      <c r="KYG38" s="21"/>
      <c r="KYH38" s="21"/>
      <c r="KYI38" s="21"/>
      <c r="KYJ38" s="21"/>
      <c r="KYK38" s="21"/>
      <c r="KYL38" s="21"/>
      <c r="KYM38" s="21"/>
      <c r="KYN38" s="21"/>
      <c r="KYO38" s="21"/>
      <c r="KYP38" s="21"/>
      <c r="KYQ38" s="21"/>
      <c r="KYR38" s="21"/>
      <c r="KYS38" s="21"/>
      <c r="KYT38" s="21"/>
      <c r="KYU38" s="21"/>
      <c r="KYV38" s="21"/>
      <c r="KYW38" s="21"/>
      <c r="KYX38" s="21"/>
      <c r="KYY38" s="21"/>
      <c r="KYZ38" s="21"/>
      <c r="KZA38" s="21"/>
      <c r="KZB38" s="21"/>
      <c r="KZC38" s="21"/>
      <c r="KZD38" s="21"/>
      <c r="KZE38" s="21"/>
      <c r="KZF38" s="21"/>
      <c r="KZG38" s="21"/>
      <c r="KZH38" s="21"/>
      <c r="KZI38" s="21"/>
      <c r="KZJ38" s="21"/>
      <c r="KZK38" s="21"/>
      <c r="KZL38" s="21"/>
      <c r="KZM38" s="21"/>
      <c r="KZN38" s="21"/>
      <c r="KZO38" s="21"/>
      <c r="KZP38" s="21"/>
      <c r="KZQ38" s="21"/>
      <c r="KZR38" s="21"/>
      <c r="KZS38" s="21"/>
      <c r="KZT38" s="21"/>
      <c r="KZU38" s="21"/>
      <c r="KZV38" s="21"/>
      <c r="KZW38" s="21"/>
      <c r="KZX38" s="21"/>
      <c r="KZY38" s="21"/>
      <c r="KZZ38" s="21"/>
      <c r="LAA38" s="21"/>
      <c r="LAB38" s="21"/>
      <c r="LAC38" s="21"/>
      <c r="LAD38" s="21"/>
      <c r="LAE38" s="21"/>
      <c r="LAF38" s="21"/>
      <c r="LAG38" s="21"/>
      <c r="LAH38" s="21"/>
      <c r="LAI38" s="21"/>
      <c r="LAJ38" s="21"/>
      <c r="LAK38" s="21"/>
      <c r="LAL38" s="21"/>
      <c r="LAM38" s="21"/>
      <c r="LAN38" s="21"/>
      <c r="LAO38" s="21"/>
      <c r="LAP38" s="21"/>
      <c r="LAQ38" s="21"/>
      <c r="LAR38" s="21"/>
      <c r="LAS38" s="21"/>
      <c r="LAT38" s="21"/>
      <c r="LAU38" s="21"/>
      <c r="LAV38" s="21"/>
      <c r="LAW38" s="21"/>
      <c r="LAX38" s="21"/>
      <c r="LAY38" s="21"/>
      <c r="LAZ38" s="21"/>
      <c r="LBA38" s="21"/>
      <c r="LBB38" s="21"/>
      <c r="LBC38" s="21"/>
      <c r="LBD38" s="21"/>
      <c r="LBE38" s="21"/>
      <c r="LBF38" s="21"/>
      <c r="LBG38" s="21"/>
      <c r="LBH38" s="21"/>
      <c r="LBI38" s="21"/>
      <c r="LBJ38" s="21"/>
      <c r="LBK38" s="21"/>
      <c r="LBL38" s="21"/>
      <c r="LBM38" s="21"/>
      <c r="LBN38" s="21"/>
      <c r="LBO38" s="21"/>
      <c r="LBP38" s="21"/>
      <c r="LBQ38" s="21"/>
      <c r="LBR38" s="21"/>
      <c r="LBS38" s="21"/>
      <c r="LBT38" s="21"/>
      <c r="LBU38" s="21"/>
      <c r="LBV38" s="21"/>
      <c r="LBW38" s="21"/>
      <c r="LBX38" s="21"/>
      <c r="LBY38" s="21"/>
      <c r="LBZ38" s="21"/>
      <c r="LCA38" s="21"/>
      <c r="LCB38" s="21"/>
      <c r="LCC38" s="21"/>
      <c r="LCD38" s="21"/>
      <c r="LCE38" s="21"/>
      <c r="LCF38" s="21"/>
      <c r="LCG38" s="21"/>
      <c r="LCH38" s="21"/>
      <c r="LCI38" s="21"/>
      <c r="LCJ38" s="21"/>
      <c r="LCK38" s="21"/>
      <c r="LCL38" s="21"/>
      <c r="LCM38" s="21"/>
      <c r="LCN38" s="21"/>
      <c r="LCO38" s="21"/>
      <c r="LCP38" s="21"/>
      <c r="LCQ38" s="21"/>
      <c r="LCR38" s="21"/>
      <c r="LCS38" s="21"/>
      <c r="LCT38" s="21"/>
      <c r="LCU38" s="21"/>
      <c r="LCV38" s="21"/>
      <c r="LCW38" s="21"/>
      <c r="LCX38" s="21"/>
      <c r="LCY38" s="21"/>
      <c r="LCZ38" s="21"/>
      <c r="LDA38" s="21"/>
      <c r="LDB38" s="21"/>
      <c r="LDC38" s="21"/>
      <c r="LDD38" s="21"/>
      <c r="LDE38" s="21"/>
      <c r="LDF38" s="21"/>
      <c r="LDG38" s="21"/>
      <c r="LDH38" s="21"/>
      <c r="LDI38" s="21"/>
      <c r="LDJ38" s="21"/>
      <c r="LDK38" s="21"/>
      <c r="LDL38" s="21"/>
      <c r="LDM38" s="21"/>
      <c r="LDN38" s="21"/>
      <c r="LDO38" s="21"/>
      <c r="LDP38" s="21"/>
      <c r="LDQ38" s="21"/>
      <c r="LDR38" s="21"/>
      <c r="LDS38" s="21"/>
      <c r="LDT38" s="21"/>
      <c r="LDU38" s="21"/>
      <c r="LDV38" s="21"/>
      <c r="LDW38" s="21"/>
      <c r="LDX38" s="21"/>
      <c r="LDY38" s="21"/>
      <c r="LDZ38" s="21"/>
      <c r="LEA38" s="21"/>
      <c r="LEB38" s="21"/>
      <c r="LEC38" s="21"/>
      <c r="LED38" s="21"/>
      <c r="LEE38" s="21"/>
      <c r="LEF38" s="21"/>
      <c r="LEG38" s="21"/>
      <c r="LEH38" s="21"/>
      <c r="LEI38" s="21"/>
      <c r="LEJ38" s="21"/>
      <c r="LEK38" s="21"/>
      <c r="LEL38" s="21"/>
      <c r="LEM38" s="21"/>
      <c r="LEN38" s="21"/>
      <c r="LEO38" s="21"/>
      <c r="LEP38" s="21"/>
      <c r="LEQ38" s="21"/>
      <c r="LER38" s="21"/>
      <c r="LES38" s="21"/>
      <c r="LET38" s="21"/>
      <c r="LEU38" s="21"/>
      <c r="LEV38" s="21"/>
      <c r="LEW38" s="21"/>
      <c r="LEX38" s="21"/>
      <c r="LEY38" s="21"/>
      <c r="LEZ38" s="21"/>
      <c r="LFA38" s="21"/>
      <c r="LFB38" s="21"/>
      <c r="LFC38" s="21"/>
      <c r="LFD38" s="21"/>
      <c r="LFE38" s="21"/>
      <c r="LFF38" s="21"/>
      <c r="LFG38" s="21"/>
      <c r="LFH38" s="21"/>
      <c r="LFI38" s="21"/>
      <c r="LFJ38" s="21"/>
      <c r="LFK38" s="21"/>
      <c r="LFL38" s="21"/>
      <c r="LFM38" s="21"/>
      <c r="LFN38" s="21"/>
      <c r="LFO38" s="21"/>
      <c r="LFP38" s="21"/>
      <c r="LFQ38" s="21"/>
      <c r="LFR38" s="21"/>
      <c r="LFS38" s="21"/>
      <c r="LFT38" s="21"/>
      <c r="LFU38" s="21"/>
      <c r="LFV38" s="21"/>
      <c r="LFW38" s="21"/>
      <c r="LFX38" s="21"/>
      <c r="LFY38" s="21"/>
      <c r="LFZ38" s="21"/>
      <c r="LGA38" s="21"/>
      <c r="LGB38" s="21"/>
      <c r="LGC38" s="21"/>
      <c r="LGD38" s="21"/>
      <c r="LGE38" s="21"/>
      <c r="LGF38" s="21"/>
      <c r="LGG38" s="21"/>
      <c r="LGH38" s="21"/>
      <c r="LGI38" s="21"/>
      <c r="LGJ38" s="21"/>
      <c r="LGK38" s="21"/>
      <c r="LGL38" s="21"/>
      <c r="LGM38" s="21"/>
      <c r="LGN38" s="21"/>
      <c r="LGO38" s="21"/>
      <c r="LGP38" s="21"/>
      <c r="LGQ38" s="21"/>
      <c r="LGR38" s="21"/>
      <c r="LGS38" s="21"/>
      <c r="LGT38" s="21"/>
      <c r="LGU38" s="21"/>
      <c r="LGV38" s="21"/>
      <c r="LGW38" s="21"/>
      <c r="LGX38" s="21"/>
      <c r="LGY38" s="21"/>
      <c r="LGZ38" s="21"/>
      <c r="LHA38" s="21"/>
      <c r="LHB38" s="21"/>
      <c r="LHC38" s="21"/>
      <c r="LHD38" s="21"/>
      <c r="LHE38" s="21"/>
      <c r="LHF38" s="21"/>
      <c r="LHG38" s="21"/>
      <c r="LHH38" s="21"/>
      <c r="LHI38" s="21"/>
      <c r="LHJ38" s="21"/>
      <c r="LHK38" s="21"/>
      <c r="LHL38" s="21"/>
      <c r="LHM38" s="21"/>
      <c r="LHN38" s="21"/>
      <c r="LHO38" s="21"/>
      <c r="LHP38" s="21"/>
      <c r="LHQ38" s="21"/>
      <c r="LHR38" s="21"/>
      <c r="LHS38" s="21"/>
      <c r="LHT38" s="21"/>
      <c r="LHU38" s="21"/>
      <c r="LHV38" s="21"/>
      <c r="LHW38" s="21"/>
      <c r="LHX38" s="21"/>
      <c r="LHY38" s="21"/>
      <c r="LHZ38" s="21"/>
      <c r="LIA38" s="21"/>
      <c r="LIB38" s="21"/>
      <c r="LIC38" s="21"/>
      <c r="LID38" s="21"/>
      <c r="LIE38" s="21"/>
      <c r="LIF38" s="21"/>
      <c r="LIG38" s="21"/>
      <c r="LIH38" s="21"/>
      <c r="LII38" s="21"/>
      <c r="LIJ38" s="21"/>
      <c r="LIK38" s="21"/>
      <c r="LIL38" s="21"/>
      <c r="LIM38" s="21"/>
      <c r="LIN38" s="21"/>
      <c r="LIO38" s="21"/>
      <c r="LIP38" s="21"/>
      <c r="LIQ38" s="21"/>
      <c r="LIR38" s="21"/>
      <c r="LIS38" s="21"/>
      <c r="LIT38" s="21"/>
      <c r="LIU38" s="21"/>
      <c r="LIV38" s="21"/>
      <c r="LIW38" s="21"/>
      <c r="LIX38" s="21"/>
      <c r="LIY38" s="21"/>
      <c r="LIZ38" s="21"/>
      <c r="LJA38" s="21"/>
      <c r="LJB38" s="21"/>
      <c r="LJC38" s="21"/>
      <c r="LJD38" s="21"/>
      <c r="LJE38" s="21"/>
      <c r="LJF38" s="21"/>
      <c r="LJG38" s="21"/>
      <c r="LJH38" s="21"/>
      <c r="LJI38" s="21"/>
      <c r="LJJ38" s="21"/>
      <c r="LJK38" s="21"/>
      <c r="LJL38" s="21"/>
      <c r="LJM38" s="21"/>
      <c r="LJN38" s="21"/>
      <c r="LJO38" s="21"/>
      <c r="LJP38" s="21"/>
      <c r="LJQ38" s="21"/>
      <c r="LJR38" s="21"/>
      <c r="LJS38" s="21"/>
      <c r="LJT38" s="21"/>
      <c r="LJU38" s="21"/>
      <c r="LJV38" s="21"/>
      <c r="LJW38" s="21"/>
      <c r="LJX38" s="21"/>
      <c r="LJY38" s="21"/>
      <c r="LJZ38" s="21"/>
      <c r="LKA38" s="21"/>
      <c r="LKB38" s="21"/>
      <c r="LKC38" s="21"/>
      <c r="LKD38" s="21"/>
      <c r="LKE38" s="21"/>
      <c r="LKF38" s="21"/>
      <c r="LKG38" s="21"/>
      <c r="LKH38" s="21"/>
      <c r="LKI38" s="21"/>
      <c r="LKJ38" s="21"/>
      <c r="LKK38" s="21"/>
      <c r="LKL38" s="21"/>
      <c r="LKM38" s="21"/>
      <c r="LKN38" s="21"/>
      <c r="LKO38" s="21"/>
      <c r="LKP38" s="21"/>
      <c r="LKQ38" s="21"/>
      <c r="LKR38" s="21"/>
      <c r="LKS38" s="21"/>
      <c r="LKT38" s="21"/>
      <c r="LKU38" s="21"/>
      <c r="LKV38" s="21"/>
      <c r="LKW38" s="21"/>
      <c r="LKX38" s="21"/>
      <c r="LKY38" s="21"/>
      <c r="LKZ38" s="21"/>
      <c r="LLA38" s="21"/>
      <c r="LLB38" s="21"/>
      <c r="LLC38" s="21"/>
      <c r="LLD38" s="21"/>
      <c r="LLE38" s="21"/>
      <c r="LLF38" s="21"/>
      <c r="LLG38" s="21"/>
      <c r="LLH38" s="21"/>
      <c r="LLI38" s="21"/>
      <c r="LLJ38" s="21"/>
      <c r="LLK38" s="21"/>
      <c r="LLL38" s="21"/>
      <c r="LLM38" s="21"/>
      <c r="LLN38" s="21"/>
      <c r="LLO38" s="21"/>
      <c r="LLP38" s="21"/>
      <c r="LLQ38" s="21"/>
      <c r="LLR38" s="21"/>
      <c r="LLS38" s="21"/>
      <c r="LLT38" s="21"/>
      <c r="LLU38" s="21"/>
      <c r="LLV38" s="21"/>
      <c r="LLW38" s="21"/>
      <c r="LLX38" s="21"/>
      <c r="LLY38" s="21"/>
      <c r="LLZ38" s="21"/>
      <c r="LMA38" s="21"/>
      <c r="LMB38" s="21"/>
      <c r="LMC38" s="21"/>
      <c r="LMD38" s="21"/>
      <c r="LME38" s="21"/>
      <c r="LMF38" s="21"/>
      <c r="LMG38" s="21"/>
      <c r="LMH38" s="21"/>
      <c r="LMI38" s="21"/>
      <c r="LMJ38" s="21"/>
      <c r="LMK38" s="21"/>
      <c r="LML38" s="21"/>
      <c r="LMM38" s="21"/>
      <c r="LMN38" s="21"/>
      <c r="LMO38" s="21"/>
      <c r="LMP38" s="21"/>
      <c r="LMQ38" s="21"/>
      <c r="LMR38" s="21"/>
      <c r="LMS38" s="21"/>
      <c r="LMT38" s="21"/>
      <c r="LMU38" s="21"/>
      <c r="LMV38" s="21"/>
      <c r="LMW38" s="21"/>
      <c r="LMX38" s="21"/>
      <c r="LMY38" s="21"/>
      <c r="LMZ38" s="21"/>
      <c r="LNA38" s="21"/>
      <c r="LNB38" s="21"/>
      <c r="LNC38" s="21"/>
      <c r="LND38" s="21"/>
      <c r="LNE38" s="21"/>
      <c r="LNF38" s="21"/>
      <c r="LNG38" s="21"/>
      <c r="LNH38" s="21"/>
      <c r="LNI38" s="21"/>
      <c r="LNJ38" s="21"/>
      <c r="LNK38" s="21"/>
      <c r="LNL38" s="21"/>
      <c r="LNM38" s="21"/>
      <c r="LNN38" s="21"/>
      <c r="LNO38" s="21"/>
      <c r="LNP38" s="21"/>
      <c r="LNQ38" s="21"/>
      <c r="LNR38" s="21"/>
      <c r="LNS38" s="21"/>
      <c r="LNT38" s="21"/>
      <c r="LNU38" s="21"/>
      <c r="LNV38" s="21"/>
      <c r="LNW38" s="21"/>
      <c r="LNX38" s="21"/>
      <c r="LNY38" s="21"/>
      <c r="LNZ38" s="21"/>
      <c r="LOA38" s="21"/>
      <c r="LOB38" s="21"/>
      <c r="LOC38" s="21"/>
      <c r="LOD38" s="21"/>
      <c r="LOE38" s="21"/>
      <c r="LOF38" s="21"/>
      <c r="LOG38" s="21"/>
      <c r="LOH38" s="21"/>
      <c r="LOI38" s="21"/>
      <c r="LOJ38" s="21"/>
      <c r="LOK38" s="21"/>
      <c r="LOL38" s="21"/>
      <c r="LOM38" s="21"/>
      <c r="LON38" s="21"/>
      <c r="LOO38" s="21"/>
      <c r="LOP38" s="21"/>
      <c r="LOQ38" s="21"/>
      <c r="LOR38" s="21"/>
      <c r="LOS38" s="21"/>
      <c r="LOT38" s="21"/>
      <c r="LOU38" s="21"/>
      <c r="LOV38" s="21"/>
      <c r="LOW38" s="21"/>
      <c r="LOX38" s="21"/>
      <c r="LOY38" s="21"/>
      <c r="LOZ38" s="21"/>
      <c r="LPA38" s="21"/>
      <c r="LPB38" s="21"/>
      <c r="LPC38" s="21"/>
      <c r="LPD38" s="21"/>
      <c r="LPE38" s="21"/>
      <c r="LPF38" s="21"/>
      <c r="LPG38" s="21"/>
      <c r="LPH38" s="21"/>
      <c r="LPI38" s="21"/>
      <c r="LPJ38" s="21"/>
      <c r="LPK38" s="21"/>
      <c r="LPL38" s="21"/>
      <c r="LPM38" s="21"/>
      <c r="LPN38" s="21"/>
      <c r="LPO38" s="21"/>
      <c r="LPP38" s="21"/>
      <c r="LPQ38" s="21"/>
      <c r="LPR38" s="21"/>
      <c r="LPS38" s="21"/>
      <c r="LPT38" s="21"/>
      <c r="LPU38" s="21"/>
      <c r="LPV38" s="21"/>
      <c r="LPW38" s="21"/>
      <c r="LPX38" s="21"/>
      <c r="LPY38" s="21"/>
      <c r="LPZ38" s="21"/>
      <c r="LQA38" s="21"/>
      <c r="LQB38" s="21"/>
      <c r="LQC38" s="21"/>
      <c r="LQD38" s="21"/>
      <c r="LQE38" s="21"/>
      <c r="LQF38" s="21"/>
      <c r="LQG38" s="21"/>
      <c r="LQH38" s="21"/>
      <c r="LQI38" s="21"/>
      <c r="LQJ38" s="21"/>
      <c r="LQK38" s="21"/>
      <c r="LQL38" s="21"/>
      <c r="LQM38" s="21"/>
      <c r="LQN38" s="21"/>
      <c r="LQO38" s="21"/>
      <c r="LQP38" s="21"/>
      <c r="LQQ38" s="21"/>
      <c r="LQR38" s="21"/>
      <c r="LQS38" s="21"/>
      <c r="LQT38" s="21"/>
      <c r="LQU38" s="21"/>
      <c r="LQV38" s="21"/>
      <c r="LQW38" s="21"/>
      <c r="LQX38" s="21"/>
      <c r="LQY38" s="21"/>
      <c r="LQZ38" s="21"/>
      <c r="LRA38" s="21"/>
      <c r="LRB38" s="21"/>
      <c r="LRC38" s="21"/>
      <c r="LRD38" s="21"/>
      <c r="LRE38" s="21"/>
      <c r="LRF38" s="21"/>
      <c r="LRG38" s="21"/>
      <c r="LRH38" s="21"/>
      <c r="LRI38" s="21"/>
      <c r="LRJ38" s="21"/>
      <c r="LRK38" s="21"/>
      <c r="LRL38" s="21"/>
      <c r="LRM38" s="21"/>
      <c r="LRN38" s="21"/>
      <c r="LRO38" s="21"/>
      <c r="LRP38" s="21"/>
      <c r="LRQ38" s="21"/>
      <c r="LRR38" s="21"/>
      <c r="LRS38" s="21"/>
      <c r="LRT38" s="21"/>
      <c r="LRU38" s="21"/>
      <c r="LRV38" s="21"/>
      <c r="LRW38" s="21"/>
      <c r="LRX38" s="21"/>
      <c r="LRY38" s="21"/>
      <c r="LRZ38" s="21"/>
      <c r="LSA38" s="21"/>
      <c r="LSB38" s="21"/>
      <c r="LSC38" s="21"/>
      <c r="LSD38" s="21"/>
      <c r="LSE38" s="21"/>
      <c r="LSF38" s="21"/>
      <c r="LSG38" s="21"/>
      <c r="LSH38" s="21"/>
      <c r="LSI38" s="21"/>
      <c r="LSJ38" s="21"/>
      <c r="LSK38" s="21"/>
      <c r="LSL38" s="21"/>
      <c r="LSM38" s="21"/>
      <c r="LSN38" s="21"/>
      <c r="LSO38" s="21"/>
      <c r="LSP38" s="21"/>
      <c r="LSQ38" s="21"/>
      <c r="LSR38" s="21"/>
      <c r="LSS38" s="21"/>
      <c r="LST38" s="21"/>
      <c r="LSU38" s="21"/>
      <c r="LSV38" s="21"/>
      <c r="LSW38" s="21"/>
      <c r="LSX38" s="21"/>
      <c r="LSY38" s="21"/>
      <c r="LSZ38" s="21"/>
      <c r="LTA38" s="21"/>
      <c r="LTB38" s="21"/>
      <c r="LTC38" s="21"/>
      <c r="LTD38" s="21"/>
      <c r="LTE38" s="21"/>
      <c r="LTF38" s="21"/>
      <c r="LTG38" s="21"/>
      <c r="LTH38" s="21"/>
      <c r="LTI38" s="21"/>
      <c r="LTJ38" s="21"/>
      <c r="LTK38" s="21"/>
      <c r="LTL38" s="21"/>
      <c r="LTM38" s="21"/>
      <c r="LTN38" s="21"/>
      <c r="LTO38" s="21"/>
      <c r="LTP38" s="21"/>
      <c r="LTQ38" s="21"/>
      <c r="LTR38" s="21"/>
      <c r="LTS38" s="21"/>
      <c r="LTT38" s="21"/>
      <c r="LTU38" s="21"/>
      <c r="LTV38" s="21"/>
      <c r="LTW38" s="21"/>
      <c r="LTX38" s="21"/>
      <c r="LTY38" s="21"/>
      <c r="LTZ38" s="21"/>
      <c r="LUA38" s="21"/>
      <c r="LUB38" s="21"/>
      <c r="LUC38" s="21"/>
      <c r="LUD38" s="21"/>
      <c r="LUE38" s="21"/>
      <c r="LUF38" s="21"/>
      <c r="LUG38" s="21"/>
      <c r="LUH38" s="21"/>
      <c r="LUI38" s="21"/>
      <c r="LUJ38" s="21"/>
      <c r="LUK38" s="21"/>
      <c r="LUL38" s="21"/>
      <c r="LUM38" s="21"/>
      <c r="LUN38" s="21"/>
      <c r="LUO38" s="21"/>
      <c r="LUP38" s="21"/>
      <c r="LUQ38" s="21"/>
      <c r="LUR38" s="21"/>
      <c r="LUS38" s="21"/>
      <c r="LUT38" s="21"/>
      <c r="LUU38" s="21"/>
      <c r="LUV38" s="21"/>
      <c r="LUW38" s="21"/>
      <c r="LUX38" s="21"/>
      <c r="LUY38" s="21"/>
      <c r="LUZ38" s="21"/>
      <c r="LVA38" s="21"/>
      <c r="LVB38" s="21"/>
      <c r="LVC38" s="21"/>
      <c r="LVD38" s="21"/>
      <c r="LVE38" s="21"/>
      <c r="LVF38" s="21"/>
      <c r="LVG38" s="21"/>
      <c r="LVH38" s="21"/>
      <c r="LVI38" s="21"/>
      <c r="LVJ38" s="21"/>
      <c r="LVK38" s="21"/>
      <c r="LVL38" s="21"/>
      <c r="LVM38" s="21"/>
      <c r="LVN38" s="21"/>
      <c r="LVO38" s="21"/>
      <c r="LVP38" s="21"/>
      <c r="LVQ38" s="21"/>
      <c r="LVR38" s="21"/>
      <c r="LVS38" s="21"/>
      <c r="LVT38" s="21"/>
      <c r="LVU38" s="21"/>
      <c r="LVV38" s="21"/>
      <c r="LVW38" s="21"/>
      <c r="LVX38" s="21"/>
      <c r="LVY38" s="21"/>
      <c r="LVZ38" s="21"/>
      <c r="LWA38" s="21"/>
      <c r="LWB38" s="21"/>
      <c r="LWC38" s="21"/>
      <c r="LWD38" s="21"/>
      <c r="LWE38" s="21"/>
      <c r="LWF38" s="21"/>
      <c r="LWG38" s="21"/>
      <c r="LWH38" s="21"/>
      <c r="LWI38" s="21"/>
      <c r="LWJ38" s="21"/>
      <c r="LWK38" s="21"/>
      <c r="LWL38" s="21"/>
      <c r="LWM38" s="21"/>
      <c r="LWN38" s="21"/>
      <c r="LWO38" s="21"/>
      <c r="LWP38" s="21"/>
      <c r="LWQ38" s="21"/>
      <c r="LWR38" s="21"/>
      <c r="LWS38" s="21"/>
      <c r="LWT38" s="21"/>
      <c r="LWU38" s="21"/>
      <c r="LWV38" s="21"/>
      <c r="LWW38" s="21"/>
      <c r="LWX38" s="21"/>
      <c r="LWY38" s="21"/>
      <c r="LWZ38" s="21"/>
      <c r="LXA38" s="21"/>
      <c r="LXB38" s="21"/>
      <c r="LXC38" s="21"/>
      <c r="LXD38" s="21"/>
      <c r="LXE38" s="21"/>
      <c r="LXF38" s="21"/>
      <c r="LXG38" s="21"/>
      <c r="LXH38" s="21"/>
      <c r="LXI38" s="21"/>
      <c r="LXJ38" s="21"/>
      <c r="LXK38" s="21"/>
      <c r="LXL38" s="21"/>
      <c r="LXM38" s="21"/>
      <c r="LXN38" s="21"/>
      <c r="LXO38" s="21"/>
      <c r="LXP38" s="21"/>
      <c r="LXQ38" s="21"/>
      <c r="LXR38" s="21"/>
      <c r="LXS38" s="21"/>
      <c r="LXT38" s="21"/>
      <c r="LXU38" s="21"/>
      <c r="LXV38" s="21"/>
      <c r="LXW38" s="21"/>
      <c r="LXX38" s="21"/>
      <c r="LXY38" s="21"/>
      <c r="LXZ38" s="21"/>
      <c r="LYA38" s="21"/>
      <c r="LYB38" s="21"/>
      <c r="LYC38" s="21"/>
      <c r="LYD38" s="21"/>
      <c r="LYE38" s="21"/>
      <c r="LYF38" s="21"/>
      <c r="LYG38" s="21"/>
      <c r="LYH38" s="21"/>
      <c r="LYI38" s="21"/>
      <c r="LYJ38" s="21"/>
      <c r="LYK38" s="21"/>
      <c r="LYL38" s="21"/>
      <c r="LYM38" s="21"/>
      <c r="LYN38" s="21"/>
      <c r="LYO38" s="21"/>
      <c r="LYP38" s="21"/>
      <c r="LYQ38" s="21"/>
      <c r="LYR38" s="21"/>
      <c r="LYS38" s="21"/>
      <c r="LYT38" s="21"/>
      <c r="LYU38" s="21"/>
      <c r="LYV38" s="21"/>
      <c r="LYW38" s="21"/>
      <c r="LYX38" s="21"/>
      <c r="LYY38" s="21"/>
      <c r="LYZ38" s="21"/>
      <c r="LZA38" s="21"/>
      <c r="LZB38" s="21"/>
      <c r="LZC38" s="21"/>
      <c r="LZD38" s="21"/>
      <c r="LZE38" s="21"/>
      <c r="LZF38" s="21"/>
      <c r="LZG38" s="21"/>
      <c r="LZH38" s="21"/>
      <c r="LZI38" s="21"/>
      <c r="LZJ38" s="21"/>
      <c r="LZK38" s="21"/>
      <c r="LZL38" s="21"/>
      <c r="LZM38" s="21"/>
      <c r="LZN38" s="21"/>
      <c r="LZO38" s="21"/>
      <c r="LZP38" s="21"/>
      <c r="LZQ38" s="21"/>
      <c r="LZR38" s="21"/>
      <c r="LZS38" s="21"/>
      <c r="LZT38" s="21"/>
      <c r="LZU38" s="21"/>
      <c r="LZV38" s="21"/>
      <c r="LZW38" s="21"/>
      <c r="LZX38" s="21"/>
      <c r="LZY38" s="21"/>
      <c r="LZZ38" s="21"/>
      <c r="MAA38" s="21"/>
      <c r="MAB38" s="21"/>
      <c r="MAC38" s="21"/>
      <c r="MAD38" s="21"/>
      <c r="MAE38" s="21"/>
      <c r="MAF38" s="21"/>
      <c r="MAG38" s="21"/>
      <c r="MAH38" s="21"/>
      <c r="MAI38" s="21"/>
      <c r="MAJ38" s="21"/>
      <c r="MAK38" s="21"/>
      <c r="MAL38" s="21"/>
      <c r="MAM38" s="21"/>
      <c r="MAN38" s="21"/>
      <c r="MAO38" s="21"/>
      <c r="MAP38" s="21"/>
      <c r="MAQ38" s="21"/>
      <c r="MAR38" s="21"/>
      <c r="MAS38" s="21"/>
      <c r="MAT38" s="21"/>
      <c r="MAU38" s="21"/>
      <c r="MAV38" s="21"/>
      <c r="MAW38" s="21"/>
      <c r="MAX38" s="21"/>
      <c r="MAY38" s="21"/>
      <c r="MAZ38" s="21"/>
      <c r="MBA38" s="21"/>
      <c r="MBB38" s="21"/>
      <c r="MBC38" s="21"/>
      <c r="MBD38" s="21"/>
      <c r="MBE38" s="21"/>
      <c r="MBF38" s="21"/>
      <c r="MBG38" s="21"/>
      <c r="MBH38" s="21"/>
      <c r="MBI38" s="21"/>
      <c r="MBJ38" s="21"/>
      <c r="MBK38" s="21"/>
      <c r="MBL38" s="21"/>
      <c r="MBM38" s="21"/>
      <c r="MBN38" s="21"/>
      <c r="MBO38" s="21"/>
      <c r="MBP38" s="21"/>
      <c r="MBQ38" s="21"/>
      <c r="MBR38" s="21"/>
      <c r="MBS38" s="21"/>
      <c r="MBT38" s="21"/>
      <c r="MBU38" s="21"/>
      <c r="MBV38" s="21"/>
      <c r="MBW38" s="21"/>
      <c r="MBX38" s="21"/>
      <c r="MBY38" s="21"/>
      <c r="MBZ38" s="21"/>
      <c r="MCA38" s="21"/>
      <c r="MCB38" s="21"/>
      <c r="MCC38" s="21"/>
      <c r="MCD38" s="21"/>
      <c r="MCE38" s="21"/>
      <c r="MCF38" s="21"/>
      <c r="MCG38" s="21"/>
      <c r="MCH38" s="21"/>
      <c r="MCI38" s="21"/>
      <c r="MCJ38" s="21"/>
      <c r="MCK38" s="21"/>
      <c r="MCL38" s="21"/>
      <c r="MCM38" s="21"/>
      <c r="MCN38" s="21"/>
      <c r="MCO38" s="21"/>
      <c r="MCP38" s="21"/>
      <c r="MCQ38" s="21"/>
      <c r="MCR38" s="21"/>
      <c r="MCS38" s="21"/>
      <c r="MCT38" s="21"/>
      <c r="MCU38" s="21"/>
      <c r="MCV38" s="21"/>
      <c r="MCW38" s="21"/>
      <c r="MCX38" s="21"/>
      <c r="MCY38" s="21"/>
      <c r="MCZ38" s="21"/>
      <c r="MDA38" s="21"/>
      <c r="MDB38" s="21"/>
      <c r="MDC38" s="21"/>
      <c r="MDD38" s="21"/>
      <c r="MDE38" s="21"/>
      <c r="MDF38" s="21"/>
      <c r="MDG38" s="21"/>
      <c r="MDH38" s="21"/>
      <c r="MDI38" s="21"/>
      <c r="MDJ38" s="21"/>
      <c r="MDK38" s="21"/>
      <c r="MDL38" s="21"/>
      <c r="MDM38" s="21"/>
      <c r="MDN38" s="21"/>
      <c r="MDO38" s="21"/>
      <c r="MDP38" s="21"/>
      <c r="MDQ38" s="21"/>
      <c r="MDR38" s="21"/>
      <c r="MDS38" s="21"/>
      <c r="MDT38" s="21"/>
      <c r="MDU38" s="21"/>
      <c r="MDV38" s="21"/>
      <c r="MDW38" s="21"/>
      <c r="MDX38" s="21"/>
      <c r="MDY38" s="21"/>
      <c r="MDZ38" s="21"/>
      <c r="MEA38" s="21"/>
      <c r="MEB38" s="21"/>
      <c r="MEC38" s="21"/>
      <c r="MED38" s="21"/>
      <c r="MEE38" s="21"/>
      <c r="MEF38" s="21"/>
      <c r="MEG38" s="21"/>
      <c r="MEH38" s="21"/>
      <c r="MEI38" s="21"/>
      <c r="MEJ38" s="21"/>
      <c r="MEK38" s="21"/>
      <c r="MEL38" s="21"/>
      <c r="MEM38" s="21"/>
      <c r="MEN38" s="21"/>
      <c r="MEO38" s="21"/>
      <c r="MEP38" s="21"/>
      <c r="MEQ38" s="21"/>
      <c r="MER38" s="21"/>
      <c r="MES38" s="21"/>
      <c r="MET38" s="21"/>
      <c r="MEU38" s="21"/>
      <c r="MEV38" s="21"/>
      <c r="MEW38" s="21"/>
      <c r="MEX38" s="21"/>
      <c r="MEY38" s="21"/>
      <c r="MEZ38" s="21"/>
      <c r="MFA38" s="21"/>
      <c r="MFB38" s="21"/>
      <c r="MFC38" s="21"/>
      <c r="MFD38" s="21"/>
      <c r="MFE38" s="21"/>
      <c r="MFF38" s="21"/>
      <c r="MFG38" s="21"/>
      <c r="MFH38" s="21"/>
      <c r="MFI38" s="21"/>
      <c r="MFJ38" s="21"/>
      <c r="MFK38" s="21"/>
      <c r="MFL38" s="21"/>
      <c r="MFM38" s="21"/>
      <c r="MFN38" s="21"/>
      <c r="MFO38" s="21"/>
      <c r="MFP38" s="21"/>
      <c r="MFQ38" s="21"/>
      <c r="MFR38" s="21"/>
      <c r="MFS38" s="21"/>
      <c r="MFT38" s="21"/>
      <c r="MFU38" s="21"/>
      <c r="MFV38" s="21"/>
      <c r="MFW38" s="21"/>
      <c r="MFX38" s="21"/>
      <c r="MFY38" s="21"/>
      <c r="MFZ38" s="21"/>
      <c r="MGA38" s="21"/>
      <c r="MGB38" s="21"/>
      <c r="MGC38" s="21"/>
      <c r="MGD38" s="21"/>
      <c r="MGE38" s="21"/>
      <c r="MGF38" s="21"/>
      <c r="MGG38" s="21"/>
      <c r="MGH38" s="21"/>
      <c r="MGI38" s="21"/>
      <c r="MGJ38" s="21"/>
      <c r="MGK38" s="21"/>
      <c r="MGL38" s="21"/>
      <c r="MGM38" s="21"/>
      <c r="MGN38" s="21"/>
      <c r="MGO38" s="21"/>
      <c r="MGP38" s="21"/>
      <c r="MGQ38" s="21"/>
      <c r="MGR38" s="21"/>
      <c r="MGS38" s="21"/>
      <c r="MGT38" s="21"/>
      <c r="MGU38" s="21"/>
      <c r="MGV38" s="21"/>
      <c r="MGW38" s="21"/>
      <c r="MGX38" s="21"/>
      <c r="MGY38" s="21"/>
      <c r="MGZ38" s="21"/>
      <c r="MHA38" s="21"/>
      <c r="MHB38" s="21"/>
      <c r="MHC38" s="21"/>
      <c r="MHD38" s="21"/>
      <c r="MHE38" s="21"/>
      <c r="MHF38" s="21"/>
      <c r="MHG38" s="21"/>
      <c r="MHH38" s="21"/>
      <c r="MHI38" s="21"/>
      <c r="MHJ38" s="21"/>
      <c r="MHK38" s="21"/>
      <c r="MHL38" s="21"/>
      <c r="MHM38" s="21"/>
      <c r="MHN38" s="21"/>
      <c r="MHO38" s="21"/>
      <c r="MHP38" s="21"/>
      <c r="MHQ38" s="21"/>
      <c r="MHR38" s="21"/>
      <c r="MHS38" s="21"/>
      <c r="MHT38" s="21"/>
      <c r="MHU38" s="21"/>
      <c r="MHV38" s="21"/>
      <c r="MHW38" s="21"/>
      <c r="MHX38" s="21"/>
      <c r="MHY38" s="21"/>
      <c r="MHZ38" s="21"/>
      <c r="MIA38" s="21"/>
      <c r="MIB38" s="21"/>
      <c r="MIC38" s="21"/>
      <c r="MID38" s="21"/>
      <c r="MIE38" s="21"/>
      <c r="MIF38" s="21"/>
      <c r="MIG38" s="21"/>
      <c r="MIH38" s="21"/>
      <c r="MII38" s="21"/>
      <c r="MIJ38" s="21"/>
      <c r="MIK38" s="21"/>
      <c r="MIL38" s="21"/>
      <c r="MIM38" s="21"/>
      <c r="MIN38" s="21"/>
      <c r="MIO38" s="21"/>
      <c r="MIP38" s="21"/>
      <c r="MIQ38" s="21"/>
      <c r="MIR38" s="21"/>
      <c r="MIS38" s="21"/>
      <c r="MIT38" s="21"/>
      <c r="MIU38" s="21"/>
      <c r="MIV38" s="21"/>
      <c r="MIW38" s="21"/>
      <c r="MIX38" s="21"/>
      <c r="MIY38" s="21"/>
      <c r="MIZ38" s="21"/>
      <c r="MJA38" s="21"/>
      <c r="MJB38" s="21"/>
      <c r="MJC38" s="21"/>
      <c r="MJD38" s="21"/>
      <c r="MJE38" s="21"/>
      <c r="MJF38" s="21"/>
      <c r="MJG38" s="21"/>
      <c r="MJH38" s="21"/>
      <c r="MJI38" s="21"/>
      <c r="MJJ38" s="21"/>
      <c r="MJK38" s="21"/>
      <c r="MJL38" s="21"/>
      <c r="MJM38" s="21"/>
      <c r="MJN38" s="21"/>
      <c r="MJO38" s="21"/>
      <c r="MJP38" s="21"/>
      <c r="MJQ38" s="21"/>
      <c r="MJR38" s="21"/>
      <c r="MJS38" s="21"/>
      <c r="MJT38" s="21"/>
      <c r="MJU38" s="21"/>
      <c r="MJV38" s="21"/>
      <c r="MJW38" s="21"/>
      <c r="MJX38" s="21"/>
      <c r="MJY38" s="21"/>
      <c r="MJZ38" s="21"/>
      <c r="MKA38" s="21"/>
      <c r="MKB38" s="21"/>
      <c r="MKC38" s="21"/>
      <c r="MKD38" s="21"/>
      <c r="MKE38" s="21"/>
      <c r="MKF38" s="21"/>
      <c r="MKG38" s="21"/>
      <c r="MKH38" s="21"/>
      <c r="MKI38" s="21"/>
      <c r="MKJ38" s="21"/>
      <c r="MKK38" s="21"/>
      <c r="MKL38" s="21"/>
      <c r="MKM38" s="21"/>
      <c r="MKN38" s="21"/>
      <c r="MKO38" s="21"/>
      <c r="MKP38" s="21"/>
      <c r="MKQ38" s="21"/>
      <c r="MKR38" s="21"/>
      <c r="MKS38" s="21"/>
      <c r="MKT38" s="21"/>
      <c r="MKU38" s="21"/>
      <c r="MKV38" s="21"/>
      <c r="MKW38" s="21"/>
      <c r="MKX38" s="21"/>
      <c r="MKY38" s="21"/>
      <c r="MKZ38" s="21"/>
      <c r="MLA38" s="21"/>
      <c r="MLB38" s="21"/>
      <c r="MLC38" s="21"/>
      <c r="MLD38" s="21"/>
      <c r="MLE38" s="21"/>
      <c r="MLF38" s="21"/>
      <c r="MLG38" s="21"/>
      <c r="MLH38" s="21"/>
      <c r="MLI38" s="21"/>
      <c r="MLJ38" s="21"/>
      <c r="MLK38" s="21"/>
      <c r="MLL38" s="21"/>
      <c r="MLM38" s="21"/>
      <c r="MLN38" s="21"/>
      <c r="MLO38" s="21"/>
      <c r="MLP38" s="21"/>
      <c r="MLQ38" s="21"/>
      <c r="MLR38" s="21"/>
      <c r="MLS38" s="21"/>
      <c r="MLT38" s="21"/>
      <c r="MLU38" s="21"/>
      <c r="MLV38" s="21"/>
      <c r="MLW38" s="21"/>
      <c r="MLX38" s="21"/>
      <c r="MLY38" s="21"/>
      <c r="MLZ38" s="21"/>
      <c r="MMA38" s="21"/>
      <c r="MMB38" s="21"/>
      <c r="MMC38" s="21"/>
      <c r="MMD38" s="21"/>
      <c r="MME38" s="21"/>
      <c r="MMF38" s="21"/>
      <c r="MMG38" s="21"/>
      <c r="MMH38" s="21"/>
      <c r="MMI38" s="21"/>
      <c r="MMJ38" s="21"/>
      <c r="MMK38" s="21"/>
      <c r="MML38" s="21"/>
      <c r="MMM38" s="21"/>
      <c r="MMN38" s="21"/>
      <c r="MMO38" s="21"/>
      <c r="MMP38" s="21"/>
      <c r="MMQ38" s="21"/>
      <c r="MMR38" s="21"/>
      <c r="MMS38" s="21"/>
      <c r="MMT38" s="21"/>
      <c r="MMU38" s="21"/>
      <c r="MMV38" s="21"/>
      <c r="MMW38" s="21"/>
      <c r="MMX38" s="21"/>
      <c r="MMY38" s="21"/>
      <c r="MMZ38" s="21"/>
      <c r="MNA38" s="21"/>
      <c r="MNB38" s="21"/>
      <c r="MNC38" s="21"/>
      <c r="MND38" s="21"/>
      <c r="MNE38" s="21"/>
      <c r="MNF38" s="21"/>
      <c r="MNG38" s="21"/>
      <c r="MNH38" s="21"/>
      <c r="MNI38" s="21"/>
      <c r="MNJ38" s="21"/>
      <c r="MNK38" s="21"/>
      <c r="MNL38" s="21"/>
      <c r="MNM38" s="21"/>
      <c r="MNN38" s="21"/>
      <c r="MNO38" s="21"/>
      <c r="MNP38" s="21"/>
      <c r="MNQ38" s="21"/>
      <c r="MNR38" s="21"/>
      <c r="MNS38" s="21"/>
      <c r="MNT38" s="21"/>
      <c r="MNU38" s="21"/>
      <c r="MNV38" s="21"/>
      <c r="MNW38" s="21"/>
      <c r="MNX38" s="21"/>
      <c r="MNY38" s="21"/>
      <c r="MNZ38" s="21"/>
      <c r="MOA38" s="21"/>
      <c r="MOB38" s="21"/>
      <c r="MOC38" s="21"/>
      <c r="MOD38" s="21"/>
      <c r="MOE38" s="21"/>
      <c r="MOF38" s="21"/>
      <c r="MOG38" s="21"/>
      <c r="MOH38" s="21"/>
      <c r="MOI38" s="21"/>
      <c r="MOJ38" s="21"/>
      <c r="MOK38" s="21"/>
      <c r="MOL38" s="21"/>
      <c r="MOM38" s="21"/>
      <c r="MON38" s="21"/>
      <c r="MOO38" s="21"/>
      <c r="MOP38" s="21"/>
      <c r="MOQ38" s="21"/>
      <c r="MOR38" s="21"/>
      <c r="MOS38" s="21"/>
      <c r="MOT38" s="21"/>
      <c r="MOU38" s="21"/>
      <c r="MOV38" s="21"/>
      <c r="MOW38" s="21"/>
      <c r="MOX38" s="21"/>
      <c r="MOY38" s="21"/>
      <c r="MOZ38" s="21"/>
      <c r="MPA38" s="21"/>
      <c r="MPB38" s="21"/>
      <c r="MPC38" s="21"/>
      <c r="MPD38" s="21"/>
      <c r="MPE38" s="21"/>
      <c r="MPF38" s="21"/>
      <c r="MPG38" s="21"/>
      <c r="MPH38" s="21"/>
      <c r="MPI38" s="21"/>
      <c r="MPJ38" s="21"/>
      <c r="MPK38" s="21"/>
      <c r="MPL38" s="21"/>
      <c r="MPM38" s="21"/>
      <c r="MPN38" s="21"/>
      <c r="MPO38" s="21"/>
      <c r="MPP38" s="21"/>
      <c r="MPQ38" s="21"/>
      <c r="MPR38" s="21"/>
      <c r="MPS38" s="21"/>
      <c r="MPT38" s="21"/>
      <c r="MPU38" s="21"/>
      <c r="MPV38" s="21"/>
      <c r="MPW38" s="21"/>
      <c r="MPX38" s="21"/>
      <c r="MPY38" s="21"/>
      <c r="MPZ38" s="21"/>
      <c r="MQA38" s="21"/>
      <c r="MQB38" s="21"/>
      <c r="MQC38" s="21"/>
      <c r="MQD38" s="21"/>
      <c r="MQE38" s="21"/>
      <c r="MQF38" s="21"/>
      <c r="MQG38" s="21"/>
      <c r="MQH38" s="21"/>
      <c r="MQI38" s="21"/>
      <c r="MQJ38" s="21"/>
      <c r="MQK38" s="21"/>
      <c r="MQL38" s="21"/>
      <c r="MQM38" s="21"/>
      <c r="MQN38" s="21"/>
      <c r="MQO38" s="21"/>
      <c r="MQP38" s="21"/>
      <c r="MQQ38" s="21"/>
      <c r="MQR38" s="21"/>
      <c r="MQS38" s="21"/>
      <c r="MQT38" s="21"/>
      <c r="MQU38" s="21"/>
      <c r="MQV38" s="21"/>
      <c r="MQW38" s="21"/>
      <c r="MQX38" s="21"/>
      <c r="MQY38" s="21"/>
      <c r="MQZ38" s="21"/>
      <c r="MRA38" s="21"/>
      <c r="MRB38" s="21"/>
      <c r="MRC38" s="21"/>
      <c r="MRD38" s="21"/>
      <c r="MRE38" s="21"/>
      <c r="MRF38" s="21"/>
      <c r="MRG38" s="21"/>
      <c r="MRH38" s="21"/>
      <c r="MRI38" s="21"/>
      <c r="MRJ38" s="21"/>
      <c r="MRK38" s="21"/>
      <c r="MRL38" s="21"/>
      <c r="MRM38" s="21"/>
      <c r="MRN38" s="21"/>
      <c r="MRO38" s="21"/>
      <c r="MRP38" s="21"/>
      <c r="MRQ38" s="21"/>
      <c r="MRR38" s="21"/>
      <c r="MRS38" s="21"/>
      <c r="MRT38" s="21"/>
      <c r="MRU38" s="21"/>
      <c r="MRV38" s="21"/>
      <c r="MRW38" s="21"/>
      <c r="MRX38" s="21"/>
      <c r="MRY38" s="21"/>
      <c r="MRZ38" s="21"/>
      <c r="MSA38" s="21"/>
      <c r="MSB38" s="21"/>
      <c r="MSC38" s="21"/>
      <c r="MSD38" s="21"/>
      <c r="MSE38" s="21"/>
      <c r="MSF38" s="21"/>
      <c r="MSG38" s="21"/>
      <c r="MSH38" s="21"/>
      <c r="MSI38" s="21"/>
      <c r="MSJ38" s="21"/>
      <c r="MSK38" s="21"/>
      <c r="MSL38" s="21"/>
      <c r="MSM38" s="21"/>
      <c r="MSN38" s="21"/>
      <c r="MSO38" s="21"/>
      <c r="MSP38" s="21"/>
      <c r="MSQ38" s="21"/>
      <c r="MSR38" s="21"/>
      <c r="MSS38" s="21"/>
      <c r="MST38" s="21"/>
      <c r="MSU38" s="21"/>
      <c r="MSV38" s="21"/>
      <c r="MSW38" s="21"/>
      <c r="MSX38" s="21"/>
      <c r="MSY38" s="21"/>
      <c r="MSZ38" s="21"/>
      <c r="MTA38" s="21"/>
      <c r="MTB38" s="21"/>
      <c r="MTC38" s="21"/>
      <c r="MTD38" s="21"/>
      <c r="MTE38" s="21"/>
      <c r="MTF38" s="21"/>
      <c r="MTG38" s="21"/>
      <c r="MTH38" s="21"/>
      <c r="MTI38" s="21"/>
      <c r="MTJ38" s="21"/>
      <c r="MTK38" s="21"/>
      <c r="MTL38" s="21"/>
      <c r="MTM38" s="21"/>
      <c r="MTN38" s="21"/>
      <c r="MTO38" s="21"/>
      <c r="MTP38" s="21"/>
      <c r="MTQ38" s="21"/>
      <c r="MTR38" s="21"/>
      <c r="MTS38" s="21"/>
      <c r="MTT38" s="21"/>
      <c r="MTU38" s="21"/>
      <c r="MTV38" s="21"/>
      <c r="MTW38" s="21"/>
      <c r="MTX38" s="21"/>
      <c r="MTY38" s="21"/>
      <c r="MTZ38" s="21"/>
      <c r="MUA38" s="21"/>
      <c r="MUB38" s="21"/>
      <c r="MUC38" s="21"/>
      <c r="MUD38" s="21"/>
      <c r="MUE38" s="21"/>
      <c r="MUF38" s="21"/>
      <c r="MUG38" s="21"/>
      <c r="MUH38" s="21"/>
      <c r="MUI38" s="21"/>
      <c r="MUJ38" s="21"/>
      <c r="MUK38" s="21"/>
      <c r="MUL38" s="21"/>
      <c r="MUM38" s="21"/>
      <c r="MUN38" s="21"/>
      <c r="MUO38" s="21"/>
      <c r="MUP38" s="21"/>
      <c r="MUQ38" s="21"/>
      <c r="MUR38" s="21"/>
      <c r="MUS38" s="21"/>
      <c r="MUT38" s="21"/>
      <c r="MUU38" s="21"/>
      <c r="MUV38" s="21"/>
      <c r="MUW38" s="21"/>
      <c r="MUX38" s="21"/>
      <c r="MUY38" s="21"/>
      <c r="MUZ38" s="21"/>
      <c r="MVA38" s="21"/>
      <c r="MVB38" s="21"/>
      <c r="MVC38" s="21"/>
      <c r="MVD38" s="21"/>
      <c r="MVE38" s="21"/>
      <c r="MVF38" s="21"/>
      <c r="MVG38" s="21"/>
      <c r="MVH38" s="21"/>
      <c r="MVI38" s="21"/>
      <c r="MVJ38" s="21"/>
      <c r="MVK38" s="21"/>
      <c r="MVL38" s="21"/>
      <c r="MVM38" s="21"/>
      <c r="MVN38" s="21"/>
      <c r="MVO38" s="21"/>
      <c r="MVP38" s="21"/>
      <c r="MVQ38" s="21"/>
      <c r="MVR38" s="21"/>
      <c r="MVS38" s="21"/>
      <c r="MVT38" s="21"/>
      <c r="MVU38" s="21"/>
      <c r="MVV38" s="21"/>
      <c r="MVW38" s="21"/>
      <c r="MVX38" s="21"/>
      <c r="MVY38" s="21"/>
      <c r="MVZ38" s="21"/>
      <c r="MWA38" s="21"/>
      <c r="MWB38" s="21"/>
      <c r="MWC38" s="21"/>
      <c r="MWD38" s="21"/>
      <c r="MWE38" s="21"/>
      <c r="MWF38" s="21"/>
      <c r="MWG38" s="21"/>
      <c r="MWH38" s="21"/>
      <c r="MWI38" s="21"/>
      <c r="MWJ38" s="21"/>
      <c r="MWK38" s="21"/>
      <c r="MWL38" s="21"/>
      <c r="MWM38" s="21"/>
      <c r="MWN38" s="21"/>
      <c r="MWO38" s="21"/>
      <c r="MWP38" s="21"/>
      <c r="MWQ38" s="21"/>
      <c r="MWR38" s="21"/>
      <c r="MWS38" s="21"/>
      <c r="MWT38" s="21"/>
      <c r="MWU38" s="21"/>
      <c r="MWV38" s="21"/>
      <c r="MWW38" s="21"/>
      <c r="MWX38" s="21"/>
      <c r="MWY38" s="21"/>
      <c r="MWZ38" s="21"/>
      <c r="MXA38" s="21"/>
      <c r="MXB38" s="21"/>
      <c r="MXC38" s="21"/>
      <c r="MXD38" s="21"/>
      <c r="MXE38" s="21"/>
      <c r="MXF38" s="21"/>
      <c r="MXG38" s="21"/>
      <c r="MXH38" s="21"/>
      <c r="MXI38" s="21"/>
      <c r="MXJ38" s="21"/>
      <c r="MXK38" s="21"/>
      <c r="MXL38" s="21"/>
      <c r="MXM38" s="21"/>
      <c r="MXN38" s="21"/>
      <c r="MXO38" s="21"/>
      <c r="MXP38" s="21"/>
      <c r="MXQ38" s="21"/>
      <c r="MXR38" s="21"/>
      <c r="MXS38" s="21"/>
      <c r="MXT38" s="21"/>
      <c r="MXU38" s="21"/>
      <c r="MXV38" s="21"/>
      <c r="MXW38" s="21"/>
      <c r="MXX38" s="21"/>
      <c r="MXY38" s="21"/>
      <c r="MXZ38" s="21"/>
      <c r="MYA38" s="21"/>
      <c r="MYB38" s="21"/>
      <c r="MYC38" s="21"/>
      <c r="MYD38" s="21"/>
      <c r="MYE38" s="21"/>
      <c r="MYF38" s="21"/>
      <c r="MYG38" s="21"/>
      <c r="MYH38" s="21"/>
      <c r="MYI38" s="21"/>
      <c r="MYJ38" s="21"/>
      <c r="MYK38" s="21"/>
      <c r="MYL38" s="21"/>
      <c r="MYM38" s="21"/>
      <c r="MYN38" s="21"/>
      <c r="MYO38" s="21"/>
      <c r="MYP38" s="21"/>
      <c r="MYQ38" s="21"/>
      <c r="MYR38" s="21"/>
      <c r="MYS38" s="21"/>
      <c r="MYT38" s="21"/>
      <c r="MYU38" s="21"/>
      <c r="MYV38" s="21"/>
      <c r="MYW38" s="21"/>
      <c r="MYX38" s="21"/>
      <c r="MYY38" s="21"/>
      <c r="MYZ38" s="21"/>
      <c r="MZA38" s="21"/>
      <c r="MZB38" s="21"/>
      <c r="MZC38" s="21"/>
      <c r="MZD38" s="21"/>
      <c r="MZE38" s="21"/>
      <c r="MZF38" s="21"/>
      <c r="MZG38" s="21"/>
      <c r="MZH38" s="21"/>
      <c r="MZI38" s="21"/>
      <c r="MZJ38" s="21"/>
      <c r="MZK38" s="21"/>
      <c r="MZL38" s="21"/>
      <c r="MZM38" s="21"/>
      <c r="MZN38" s="21"/>
      <c r="MZO38" s="21"/>
      <c r="MZP38" s="21"/>
      <c r="MZQ38" s="21"/>
      <c r="MZR38" s="21"/>
      <c r="MZS38" s="21"/>
      <c r="MZT38" s="21"/>
      <c r="MZU38" s="21"/>
      <c r="MZV38" s="21"/>
      <c r="MZW38" s="21"/>
      <c r="MZX38" s="21"/>
      <c r="MZY38" s="21"/>
      <c r="MZZ38" s="21"/>
      <c r="NAA38" s="21"/>
      <c r="NAB38" s="21"/>
      <c r="NAC38" s="21"/>
      <c r="NAD38" s="21"/>
      <c r="NAE38" s="21"/>
      <c r="NAF38" s="21"/>
      <c r="NAG38" s="21"/>
      <c r="NAH38" s="21"/>
      <c r="NAI38" s="21"/>
      <c r="NAJ38" s="21"/>
      <c r="NAK38" s="21"/>
      <c r="NAL38" s="21"/>
      <c r="NAM38" s="21"/>
      <c r="NAN38" s="21"/>
      <c r="NAO38" s="21"/>
      <c r="NAP38" s="21"/>
      <c r="NAQ38" s="21"/>
      <c r="NAR38" s="21"/>
      <c r="NAS38" s="21"/>
      <c r="NAT38" s="21"/>
      <c r="NAU38" s="21"/>
      <c r="NAV38" s="21"/>
      <c r="NAW38" s="21"/>
      <c r="NAX38" s="21"/>
      <c r="NAY38" s="21"/>
      <c r="NAZ38" s="21"/>
      <c r="NBA38" s="21"/>
      <c r="NBB38" s="21"/>
      <c r="NBC38" s="21"/>
      <c r="NBD38" s="21"/>
      <c r="NBE38" s="21"/>
      <c r="NBF38" s="21"/>
      <c r="NBG38" s="21"/>
      <c r="NBH38" s="21"/>
      <c r="NBI38" s="21"/>
      <c r="NBJ38" s="21"/>
      <c r="NBK38" s="21"/>
      <c r="NBL38" s="21"/>
      <c r="NBM38" s="21"/>
      <c r="NBN38" s="21"/>
      <c r="NBO38" s="21"/>
      <c r="NBP38" s="21"/>
      <c r="NBQ38" s="21"/>
      <c r="NBR38" s="21"/>
      <c r="NBS38" s="21"/>
      <c r="NBT38" s="21"/>
      <c r="NBU38" s="21"/>
      <c r="NBV38" s="21"/>
      <c r="NBW38" s="21"/>
      <c r="NBX38" s="21"/>
      <c r="NBY38" s="21"/>
      <c r="NBZ38" s="21"/>
      <c r="NCA38" s="21"/>
      <c r="NCB38" s="21"/>
      <c r="NCC38" s="21"/>
      <c r="NCD38" s="21"/>
      <c r="NCE38" s="21"/>
      <c r="NCF38" s="21"/>
      <c r="NCG38" s="21"/>
      <c r="NCH38" s="21"/>
      <c r="NCI38" s="21"/>
      <c r="NCJ38" s="21"/>
      <c r="NCK38" s="21"/>
      <c r="NCL38" s="21"/>
      <c r="NCM38" s="21"/>
      <c r="NCN38" s="21"/>
      <c r="NCO38" s="21"/>
      <c r="NCP38" s="21"/>
      <c r="NCQ38" s="21"/>
      <c r="NCR38" s="21"/>
      <c r="NCS38" s="21"/>
      <c r="NCT38" s="21"/>
      <c r="NCU38" s="21"/>
      <c r="NCV38" s="21"/>
      <c r="NCW38" s="21"/>
      <c r="NCX38" s="21"/>
      <c r="NCY38" s="21"/>
      <c r="NCZ38" s="21"/>
      <c r="NDA38" s="21"/>
      <c r="NDB38" s="21"/>
      <c r="NDC38" s="21"/>
      <c r="NDD38" s="21"/>
      <c r="NDE38" s="21"/>
      <c r="NDF38" s="21"/>
      <c r="NDG38" s="21"/>
      <c r="NDH38" s="21"/>
      <c r="NDI38" s="21"/>
      <c r="NDJ38" s="21"/>
      <c r="NDK38" s="21"/>
      <c r="NDL38" s="21"/>
      <c r="NDM38" s="21"/>
      <c r="NDN38" s="21"/>
      <c r="NDO38" s="21"/>
      <c r="NDP38" s="21"/>
      <c r="NDQ38" s="21"/>
      <c r="NDR38" s="21"/>
      <c r="NDS38" s="21"/>
      <c r="NDT38" s="21"/>
      <c r="NDU38" s="21"/>
      <c r="NDV38" s="21"/>
      <c r="NDW38" s="21"/>
      <c r="NDX38" s="21"/>
      <c r="NDY38" s="21"/>
      <c r="NDZ38" s="21"/>
      <c r="NEA38" s="21"/>
      <c r="NEB38" s="21"/>
      <c r="NEC38" s="21"/>
      <c r="NED38" s="21"/>
      <c r="NEE38" s="21"/>
      <c r="NEF38" s="21"/>
      <c r="NEG38" s="21"/>
      <c r="NEH38" s="21"/>
      <c r="NEI38" s="21"/>
      <c r="NEJ38" s="21"/>
      <c r="NEK38" s="21"/>
      <c r="NEL38" s="21"/>
      <c r="NEM38" s="21"/>
      <c r="NEN38" s="21"/>
      <c r="NEO38" s="21"/>
      <c r="NEP38" s="21"/>
      <c r="NEQ38" s="21"/>
      <c r="NER38" s="21"/>
      <c r="NES38" s="21"/>
      <c r="NET38" s="21"/>
      <c r="NEU38" s="21"/>
      <c r="NEV38" s="21"/>
      <c r="NEW38" s="21"/>
      <c r="NEX38" s="21"/>
      <c r="NEY38" s="21"/>
      <c r="NEZ38" s="21"/>
      <c r="NFA38" s="21"/>
      <c r="NFB38" s="21"/>
      <c r="NFC38" s="21"/>
      <c r="NFD38" s="21"/>
      <c r="NFE38" s="21"/>
      <c r="NFF38" s="21"/>
      <c r="NFG38" s="21"/>
      <c r="NFH38" s="21"/>
      <c r="NFI38" s="21"/>
      <c r="NFJ38" s="21"/>
      <c r="NFK38" s="21"/>
      <c r="NFL38" s="21"/>
      <c r="NFM38" s="21"/>
      <c r="NFN38" s="21"/>
      <c r="NFO38" s="21"/>
      <c r="NFP38" s="21"/>
      <c r="NFQ38" s="21"/>
      <c r="NFR38" s="21"/>
      <c r="NFS38" s="21"/>
      <c r="NFT38" s="21"/>
      <c r="NFU38" s="21"/>
      <c r="NFV38" s="21"/>
      <c r="NFW38" s="21"/>
      <c r="NFX38" s="21"/>
      <c r="NFY38" s="21"/>
      <c r="NFZ38" s="21"/>
      <c r="NGA38" s="21"/>
      <c r="NGB38" s="21"/>
      <c r="NGC38" s="21"/>
      <c r="NGD38" s="21"/>
      <c r="NGE38" s="21"/>
      <c r="NGF38" s="21"/>
      <c r="NGG38" s="21"/>
      <c r="NGH38" s="21"/>
      <c r="NGI38" s="21"/>
      <c r="NGJ38" s="21"/>
      <c r="NGK38" s="21"/>
      <c r="NGL38" s="21"/>
      <c r="NGM38" s="21"/>
      <c r="NGN38" s="21"/>
      <c r="NGO38" s="21"/>
      <c r="NGP38" s="21"/>
      <c r="NGQ38" s="21"/>
      <c r="NGR38" s="21"/>
      <c r="NGS38" s="21"/>
      <c r="NGT38" s="21"/>
      <c r="NGU38" s="21"/>
      <c r="NGV38" s="21"/>
      <c r="NGW38" s="21"/>
      <c r="NGX38" s="21"/>
      <c r="NGY38" s="21"/>
      <c r="NGZ38" s="21"/>
      <c r="NHA38" s="21"/>
      <c r="NHB38" s="21"/>
      <c r="NHC38" s="21"/>
      <c r="NHD38" s="21"/>
      <c r="NHE38" s="21"/>
      <c r="NHF38" s="21"/>
      <c r="NHG38" s="21"/>
      <c r="NHH38" s="21"/>
      <c r="NHI38" s="21"/>
      <c r="NHJ38" s="21"/>
      <c r="NHK38" s="21"/>
      <c r="NHL38" s="21"/>
      <c r="NHM38" s="21"/>
      <c r="NHN38" s="21"/>
      <c r="NHO38" s="21"/>
      <c r="NHP38" s="21"/>
      <c r="NHQ38" s="21"/>
      <c r="NHR38" s="21"/>
      <c r="NHS38" s="21"/>
      <c r="NHT38" s="21"/>
      <c r="NHU38" s="21"/>
      <c r="NHV38" s="21"/>
      <c r="NHW38" s="21"/>
      <c r="NHX38" s="21"/>
      <c r="NHY38" s="21"/>
      <c r="NHZ38" s="21"/>
      <c r="NIA38" s="21"/>
      <c r="NIB38" s="21"/>
      <c r="NIC38" s="21"/>
      <c r="NID38" s="21"/>
      <c r="NIE38" s="21"/>
      <c r="NIF38" s="21"/>
      <c r="NIG38" s="21"/>
      <c r="NIH38" s="21"/>
      <c r="NII38" s="21"/>
      <c r="NIJ38" s="21"/>
      <c r="NIK38" s="21"/>
      <c r="NIL38" s="21"/>
      <c r="NIM38" s="21"/>
      <c r="NIN38" s="21"/>
      <c r="NIO38" s="21"/>
      <c r="NIP38" s="21"/>
      <c r="NIQ38" s="21"/>
      <c r="NIR38" s="21"/>
      <c r="NIS38" s="21"/>
      <c r="NIT38" s="21"/>
      <c r="NIU38" s="21"/>
      <c r="NIV38" s="21"/>
      <c r="NIW38" s="21"/>
      <c r="NIX38" s="21"/>
      <c r="NIY38" s="21"/>
      <c r="NIZ38" s="21"/>
      <c r="NJA38" s="21"/>
      <c r="NJB38" s="21"/>
      <c r="NJC38" s="21"/>
      <c r="NJD38" s="21"/>
      <c r="NJE38" s="21"/>
      <c r="NJF38" s="21"/>
      <c r="NJG38" s="21"/>
      <c r="NJH38" s="21"/>
      <c r="NJI38" s="21"/>
      <c r="NJJ38" s="21"/>
      <c r="NJK38" s="21"/>
      <c r="NJL38" s="21"/>
      <c r="NJM38" s="21"/>
      <c r="NJN38" s="21"/>
      <c r="NJO38" s="21"/>
      <c r="NJP38" s="21"/>
      <c r="NJQ38" s="21"/>
      <c r="NJR38" s="21"/>
      <c r="NJS38" s="21"/>
      <c r="NJT38" s="21"/>
      <c r="NJU38" s="21"/>
      <c r="NJV38" s="21"/>
      <c r="NJW38" s="21"/>
      <c r="NJX38" s="21"/>
      <c r="NJY38" s="21"/>
      <c r="NJZ38" s="21"/>
      <c r="NKA38" s="21"/>
      <c r="NKB38" s="21"/>
      <c r="NKC38" s="21"/>
      <c r="NKD38" s="21"/>
      <c r="NKE38" s="21"/>
      <c r="NKF38" s="21"/>
      <c r="NKG38" s="21"/>
      <c r="NKH38" s="21"/>
      <c r="NKI38" s="21"/>
      <c r="NKJ38" s="21"/>
      <c r="NKK38" s="21"/>
      <c r="NKL38" s="21"/>
      <c r="NKM38" s="21"/>
      <c r="NKN38" s="21"/>
      <c r="NKO38" s="21"/>
      <c r="NKP38" s="21"/>
      <c r="NKQ38" s="21"/>
      <c r="NKR38" s="21"/>
      <c r="NKS38" s="21"/>
      <c r="NKT38" s="21"/>
      <c r="NKU38" s="21"/>
      <c r="NKV38" s="21"/>
      <c r="NKW38" s="21"/>
      <c r="NKX38" s="21"/>
      <c r="NKY38" s="21"/>
      <c r="NKZ38" s="21"/>
      <c r="NLA38" s="21"/>
      <c r="NLB38" s="21"/>
      <c r="NLC38" s="21"/>
      <c r="NLD38" s="21"/>
      <c r="NLE38" s="21"/>
      <c r="NLF38" s="21"/>
      <c r="NLG38" s="21"/>
      <c r="NLH38" s="21"/>
      <c r="NLI38" s="21"/>
      <c r="NLJ38" s="21"/>
      <c r="NLK38" s="21"/>
      <c r="NLL38" s="21"/>
      <c r="NLM38" s="21"/>
      <c r="NLN38" s="21"/>
      <c r="NLO38" s="21"/>
      <c r="NLP38" s="21"/>
      <c r="NLQ38" s="21"/>
      <c r="NLR38" s="21"/>
      <c r="NLS38" s="21"/>
      <c r="NLT38" s="21"/>
      <c r="NLU38" s="21"/>
      <c r="NLV38" s="21"/>
      <c r="NLW38" s="21"/>
      <c r="NLX38" s="21"/>
      <c r="NLY38" s="21"/>
      <c r="NLZ38" s="21"/>
      <c r="NMA38" s="21"/>
      <c r="NMB38" s="21"/>
      <c r="NMC38" s="21"/>
      <c r="NMD38" s="21"/>
      <c r="NME38" s="21"/>
      <c r="NMF38" s="21"/>
      <c r="NMG38" s="21"/>
      <c r="NMH38" s="21"/>
      <c r="NMI38" s="21"/>
      <c r="NMJ38" s="21"/>
      <c r="NMK38" s="21"/>
      <c r="NML38" s="21"/>
      <c r="NMM38" s="21"/>
      <c r="NMN38" s="21"/>
      <c r="NMO38" s="21"/>
      <c r="NMP38" s="21"/>
      <c r="NMQ38" s="21"/>
      <c r="NMR38" s="21"/>
      <c r="NMS38" s="21"/>
      <c r="NMT38" s="21"/>
      <c r="NMU38" s="21"/>
      <c r="NMV38" s="21"/>
      <c r="NMW38" s="21"/>
      <c r="NMX38" s="21"/>
      <c r="NMY38" s="21"/>
      <c r="NMZ38" s="21"/>
      <c r="NNA38" s="21"/>
      <c r="NNB38" s="21"/>
      <c r="NNC38" s="21"/>
      <c r="NND38" s="21"/>
      <c r="NNE38" s="21"/>
      <c r="NNF38" s="21"/>
      <c r="NNG38" s="21"/>
      <c r="NNH38" s="21"/>
      <c r="NNI38" s="21"/>
      <c r="NNJ38" s="21"/>
      <c r="NNK38" s="21"/>
      <c r="NNL38" s="21"/>
      <c r="NNM38" s="21"/>
      <c r="NNN38" s="21"/>
      <c r="NNO38" s="21"/>
      <c r="NNP38" s="21"/>
      <c r="NNQ38" s="21"/>
      <c r="NNR38" s="21"/>
      <c r="NNS38" s="21"/>
      <c r="NNT38" s="21"/>
      <c r="NNU38" s="21"/>
      <c r="NNV38" s="21"/>
      <c r="NNW38" s="21"/>
      <c r="NNX38" s="21"/>
      <c r="NNY38" s="21"/>
      <c r="NNZ38" s="21"/>
      <c r="NOA38" s="21"/>
      <c r="NOB38" s="21"/>
      <c r="NOC38" s="21"/>
      <c r="NOD38" s="21"/>
      <c r="NOE38" s="21"/>
      <c r="NOF38" s="21"/>
      <c r="NOG38" s="21"/>
      <c r="NOH38" s="21"/>
      <c r="NOI38" s="21"/>
      <c r="NOJ38" s="21"/>
      <c r="NOK38" s="21"/>
      <c r="NOL38" s="21"/>
      <c r="NOM38" s="21"/>
      <c r="NON38" s="21"/>
      <c r="NOO38" s="21"/>
      <c r="NOP38" s="21"/>
      <c r="NOQ38" s="21"/>
      <c r="NOR38" s="21"/>
      <c r="NOS38" s="21"/>
      <c r="NOT38" s="21"/>
      <c r="NOU38" s="21"/>
      <c r="NOV38" s="21"/>
      <c r="NOW38" s="21"/>
      <c r="NOX38" s="21"/>
      <c r="NOY38" s="21"/>
      <c r="NOZ38" s="21"/>
      <c r="NPA38" s="21"/>
      <c r="NPB38" s="21"/>
      <c r="NPC38" s="21"/>
      <c r="NPD38" s="21"/>
      <c r="NPE38" s="21"/>
      <c r="NPF38" s="21"/>
      <c r="NPG38" s="21"/>
      <c r="NPH38" s="21"/>
      <c r="NPI38" s="21"/>
      <c r="NPJ38" s="21"/>
      <c r="NPK38" s="21"/>
      <c r="NPL38" s="21"/>
      <c r="NPM38" s="21"/>
      <c r="NPN38" s="21"/>
      <c r="NPO38" s="21"/>
      <c r="NPP38" s="21"/>
      <c r="NPQ38" s="21"/>
      <c r="NPR38" s="21"/>
      <c r="NPS38" s="21"/>
      <c r="NPT38" s="21"/>
      <c r="NPU38" s="21"/>
      <c r="NPV38" s="21"/>
      <c r="NPW38" s="21"/>
      <c r="NPX38" s="21"/>
      <c r="NPY38" s="21"/>
      <c r="NPZ38" s="21"/>
      <c r="NQA38" s="21"/>
      <c r="NQB38" s="21"/>
      <c r="NQC38" s="21"/>
      <c r="NQD38" s="21"/>
      <c r="NQE38" s="21"/>
      <c r="NQF38" s="21"/>
      <c r="NQG38" s="21"/>
      <c r="NQH38" s="21"/>
      <c r="NQI38" s="21"/>
      <c r="NQJ38" s="21"/>
      <c r="NQK38" s="21"/>
      <c r="NQL38" s="21"/>
      <c r="NQM38" s="21"/>
      <c r="NQN38" s="21"/>
      <c r="NQO38" s="21"/>
      <c r="NQP38" s="21"/>
      <c r="NQQ38" s="21"/>
      <c r="NQR38" s="21"/>
      <c r="NQS38" s="21"/>
      <c r="NQT38" s="21"/>
      <c r="NQU38" s="21"/>
      <c r="NQV38" s="21"/>
      <c r="NQW38" s="21"/>
      <c r="NQX38" s="21"/>
      <c r="NQY38" s="21"/>
      <c r="NQZ38" s="21"/>
      <c r="NRA38" s="21"/>
      <c r="NRB38" s="21"/>
      <c r="NRC38" s="21"/>
      <c r="NRD38" s="21"/>
      <c r="NRE38" s="21"/>
      <c r="NRF38" s="21"/>
      <c r="NRG38" s="21"/>
      <c r="NRH38" s="21"/>
      <c r="NRI38" s="21"/>
      <c r="NRJ38" s="21"/>
      <c r="NRK38" s="21"/>
      <c r="NRL38" s="21"/>
      <c r="NRM38" s="21"/>
      <c r="NRN38" s="21"/>
      <c r="NRO38" s="21"/>
      <c r="NRP38" s="21"/>
      <c r="NRQ38" s="21"/>
      <c r="NRR38" s="21"/>
      <c r="NRS38" s="21"/>
      <c r="NRT38" s="21"/>
      <c r="NRU38" s="21"/>
      <c r="NRV38" s="21"/>
      <c r="NRW38" s="21"/>
      <c r="NRX38" s="21"/>
      <c r="NRY38" s="21"/>
      <c r="NRZ38" s="21"/>
      <c r="NSA38" s="21"/>
      <c r="NSB38" s="21"/>
      <c r="NSC38" s="21"/>
      <c r="NSD38" s="21"/>
      <c r="NSE38" s="21"/>
      <c r="NSF38" s="21"/>
      <c r="NSG38" s="21"/>
      <c r="NSH38" s="21"/>
      <c r="NSI38" s="21"/>
      <c r="NSJ38" s="21"/>
      <c r="NSK38" s="21"/>
      <c r="NSL38" s="21"/>
      <c r="NSM38" s="21"/>
      <c r="NSN38" s="21"/>
      <c r="NSO38" s="21"/>
      <c r="NSP38" s="21"/>
      <c r="NSQ38" s="21"/>
      <c r="NSR38" s="21"/>
      <c r="NSS38" s="21"/>
      <c r="NST38" s="21"/>
      <c r="NSU38" s="21"/>
      <c r="NSV38" s="21"/>
      <c r="NSW38" s="21"/>
      <c r="NSX38" s="21"/>
      <c r="NSY38" s="21"/>
      <c r="NSZ38" s="21"/>
      <c r="NTA38" s="21"/>
      <c r="NTB38" s="21"/>
      <c r="NTC38" s="21"/>
      <c r="NTD38" s="21"/>
      <c r="NTE38" s="21"/>
      <c r="NTF38" s="21"/>
      <c r="NTG38" s="21"/>
      <c r="NTH38" s="21"/>
      <c r="NTI38" s="21"/>
      <c r="NTJ38" s="21"/>
      <c r="NTK38" s="21"/>
      <c r="NTL38" s="21"/>
      <c r="NTM38" s="21"/>
      <c r="NTN38" s="21"/>
      <c r="NTO38" s="21"/>
      <c r="NTP38" s="21"/>
      <c r="NTQ38" s="21"/>
      <c r="NTR38" s="21"/>
      <c r="NTS38" s="21"/>
      <c r="NTT38" s="21"/>
      <c r="NTU38" s="21"/>
      <c r="NTV38" s="21"/>
      <c r="NTW38" s="21"/>
      <c r="NTX38" s="21"/>
      <c r="NTY38" s="21"/>
      <c r="NTZ38" s="21"/>
      <c r="NUA38" s="21"/>
      <c r="NUB38" s="21"/>
      <c r="NUC38" s="21"/>
      <c r="NUD38" s="21"/>
      <c r="NUE38" s="21"/>
      <c r="NUF38" s="21"/>
      <c r="NUG38" s="21"/>
      <c r="NUH38" s="21"/>
      <c r="NUI38" s="21"/>
      <c r="NUJ38" s="21"/>
      <c r="NUK38" s="21"/>
      <c r="NUL38" s="21"/>
      <c r="NUM38" s="21"/>
      <c r="NUN38" s="21"/>
      <c r="NUO38" s="21"/>
      <c r="NUP38" s="21"/>
      <c r="NUQ38" s="21"/>
      <c r="NUR38" s="21"/>
      <c r="NUS38" s="21"/>
      <c r="NUT38" s="21"/>
      <c r="NUU38" s="21"/>
      <c r="NUV38" s="21"/>
      <c r="NUW38" s="21"/>
      <c r="NUX38" s="21"/>
      <c r="NUY38" s="21"/>
      <c r="NUZ38" s="21"/>
      <c r="NVA38" s="21"/>
      <c r="NVB38" s="21"/>
      <c r="NVC38" s="21"/>
      <c r="NVD38" s="21"/>
      <c r="NVE38" s="21"/>
      <c r="NVF38" s="21"/>
      <c r="NVG38" s="21"/>
      <c r="NVH38" s="21"/>
      <c r="NVI38" s="21"/>
      <c r="NVJ38" s="21"/>
      <c r="NVK38" s="21"/>
      <c r="NVL38" s="21"/>
      <c r="NVM38" s="21"/>
      <c r="NVN38" s="21"/>
      <c r="NVO38" s="21"/>
      <c r="NVP38" s="21"/>
      <c r="NVQ38" s="21"/>
      <c r="NVR38" s="21"/>
      <c r="NVS38" s="21"/>
      <c r="NVT38" s="21"/>
      <c r="NVU38" s="21"/>
      <c r="NVV38" s="21"/>
      <c r="NVW38" s="21"/>
      <c r="NVX38" s="21"/>
      <c r="NVY38" s="21"/>
      <c r="NVZ38" s="21"/>
      <c r="NWA38" s="21"/>
      <c r="NWB38" s="21"/>
      <c r="NWC38" s="21"/>
      <c r="NWD38" s="21"/>
      <c r="NWE38" s="21"/>
      <c r="NWF38" s="21"/>
      <c r="NWG38" s="21"/>
      <c r="NWH38" s="21"/>
      <c r="NWI38" s="21"/>
      <c r="NWJ38" s="21"/>
      <c r="NWK38" s="21"/>
      <c r="NWL38" s="21"/>
      <c r="NWM38" s="21"/>
      <c r="NWN38" s="21"/>
      <c r="NWO38" s="21"/>
      <c r="NWP38" s="21"/>
      <c r="NWQ38" s="21"/>
      <c r="NWR38" s="21"/>
      <c r="NWS38" s="21"/>
      <c r="NWT38" s="21"/>
      <c r="NWU38" s="21"/>
      <c r="NWV38" s="21"/>
      <c r="NWW38" s="21"/>
      <c r="NWX38" s="21"/>
      <c r="NWY38" s="21"/>
      <c r="NWZ38" s="21"/>
      <c r="NXA38" s="21"/>
      <c r="NXB38" s="21"/>
      <c r="NXC38" s="21"/>
      <c r="NXD38" s="21"/>
      <c r="NXE38" s="21"/>
      <c r="NXF38" s="21"/>
      <c r="NXG38" s="21"/>
      <c r="NXH38" s="21"/>
      <c r="NXI38" s="21"/>
      <c r="NXJ38" s="21"/>
      <c r="NXK38" s="21"/>
      <c r="NXL38" s="21"/>
      <c r="NXM38" s="21"/>
      <c r="NXN38" s="21"/>
      <c r="NXO38" s="21"/>
      <c r="NXP38" s="21"/>
      <c r="NXQ38" s="21"/>
      <c r="NXR38" s="21"/>
      <c r="NXS38" s="21"/>
      <c r="NXT38" s="21"/>
      <c r="NXU38" s="21"/>
      <c r="NXV38" s="21"/>
      <c r="NXW38" s="21"/>
      <c r="NXX38" s="21"/>
      <c r="NXY38" s="21"/>
      <c r="NXZ38" s="21"/>
      <c r="NYA38" s="21"/>
      <c r="NYB38" s="21"/>
      <c r="NYC38" s="21"/>
      <c r="NYD38" s="21"/>
      <c r="NYE38" s="21"/>
      <c r="NYF38" s="21"/>
      <c r="NYG38" s="21"/>
      <c r="NYH38" s="21"/>
      <c r="NYI38" s="21"/>
      <c r="NYJ38" s="21"/>
      <c r="NYK38" s="21"/>
      <c r="NYL38" s="21"/>
      <c r="NYM38" s="21"/>
      <c r="NYN38" s="21"/>
      <c r="NYO38" s="21"/>
      <c r="NYP38" s="21"/>
      <c r="NYQ38" s="21"/>
      <c r="NYR38" s="21"/>
      <c r="NYS38" s="21"/>
      <c r="NYT38" s="21"/>
      <c r="NYU38" s="21"/>
      <c r="NYV38" s="21"/>
      <c r="NYW38" s="21"/>
      <c r="NYX38" s="21"/>
      <c r="NYY38" s="21"/>
      <c r="NYZ38" s="21"/>
      <c r="NZA38" s="21"/>
      <c r="NZB38" s="21"/>
      <c r="NZC38" s="21"/>
      <c r="NZD38" s="21"/>
      <c r="NZE38" s="21"/>
      <c r="NZF38" s="21"/>
      <c r="NZG38" s="21"/>
      <c r="NZH38" s="21"/>
      <c r="NZI38" s="21"/>
      <c r="NZJ38" s="21"/>
      <c r="NZK38" s="21"/>
      <c r="NZL38" s="21"/>
      <c r="NZM38" s="21"/>
      <c r="NZN38" s="21"/>
      <c r="NZO38" s="21"/>
      <c r="NZP38" s="21"/>
      <c r="NZQ38" s="21"/>
      <c r="NZR38" s="21"/>
      <c r="NZS38" s="21"/>
      <c r="NZT38" s="21"/>
      <c r="NZU38" s="21"/>
      <c r="NZV38" s="21"/>
      <c r="NZW38" s="21"/>
      <c r="NZX38" s="21"/>
      <c r="NZY38" s="21"/>
      <c r="NZZ38" s="21"/>
      <c r="OAA38" s="21"/>
      <c r="OAB38" s="21"/>
      <c r="OAC38" s="21"/>
      <c r="OAD38" s="21"/>
      <c r="OAE38" s="21"/>
      <c r="OAF38" s="21"/>
      <c r="OAG38" s="21"/>
      <c r="OAH38" s="21"/>
      <c r="OAI38" s="21"/>
      <c r="OAJ38" s="21"/>
      <c r="OAK38" s="21"/>
      <c r="OAL38" s="21"/>
      <c r="OAM38" s="21"/>
      <c r="OAN38" s="21"/>
      <c r="OAO38" s="21"/>
      <c r="OAP38" s="21"/>
      <c r="OAQ38" s="21"/>
      <c r="OAR38" s="21"/>
      <c r="OAS38" s="21"/>
      <c r="OAT38" s="21"/>
      <c r="OAU38" s="21"/>
      <c r="OAV38" s="21"/>
      <c r="OAW38" s="21"/>
      <c r="OAX38" s="21"/>
      <c r="OAY38" s="21"/>
      <c r="OAZ38" s="21"/>
      <c r="OBA38" s="21"/>
      <c r="OBB38" s="21"/>
      <c r="OBC38" s="21"/>
      <c r="OBD38" s="21"/>
      <c r="OBE38" s="21"/>
      <c r="OBF38" s="21"/>
      <c r="OBG38" s="21"/>
      <c r="OBH38" s="21"/>
      <c r="OBI38" s="21"/>
      <c r="OBJ38" s="21"/>
      <c r="OBK38" s="21"/>
      <c r="OBL38" s="21"/>
      <c r="OBM38" s="21"/>
      <c r="OBN38" s="21"/>
      <c r="OBO38" s="21"/>
      <c r="OBP38" s="21"/>
      <c r="OBQ38" s="21"/>
      <c r="OBR38" s="21"/>
      <c r="OBS38" s="21"/>
      <c r="OBT38" s="21"/>
      <c r="OBU38" s="21"/>
      <c r="OBV38" s="21"/>
      <c r="OBW38" s="21"/>
      <c r="OBX38" s="21"/>
      <c r="OBY38" s="21"/>
      <c r="OBZ38" s="21"/>
      <c r="OCA38" s="21"/>
      <c r="OCB38" s="21"/>
      <c r="OCC38" s="21"/>
      <c r="OCD38" s="21"/>
      <c r="OCE38" s="21"/>
      <c r="OCF38" s="21"/>
      <c r="OCG38" s="21"/>
      <c r="OCH38" s="21"/>
      <c r="OCI38" s="21"/>
      <c r="OCJ38" s="21"/>
      <c r="OCK38" s="21"/>
      <c r="OCL38" s="21"/>
      <c r="OCM38" s="21"/>
      <c r="OCN38" s="21"/>
      <c r="OCO38" s="21"/>
      <c r="OCP38" s="21"/>
      <c r="OCQ38" s="21"/>
      <c r="OCR38" s="21"/>
      <c r="OCS38" s="21"/>
      <c r="OCT38" s="21"/>
      <c r="OCU38" s="21"/>
      <c r="OCV38" s="21"/>
      <c r="OCW38" s="21"/>
      <c r="OCX38" s="21"/>
      <c r="OCY38" s="21"/>
      <c r="OCZ38" s="21"/>
      <c r="ODA38" s="21"/>
      <c r="ODB38" s="21"/>
      <c r="ODC38" s="21"/>
      <c r="ODD38" s="21"/>
      <c r="ODE38" s="21"/>
      <c r="ODF38" s="21"/>
      <c r="ODG38" s="21"/>
      <c r="ODH38" s="21"/>
      <c r="ODI38" s="21"/>
      <c r="ODJ38" s="21"/>
      <c r="ODK38" s="21"/>
      <c r="ODL38" s="21"/>
      <c r="ODM38" s="21"/>
      <c r="ODN38" s="21"/>
      <c r="ODO38" s="21"/>
      <c r="ODP38" s="21"/>
      <c r="ODQ38" s="21"/>
      <c r="ODR38" s="21"/>
      <c r="ODS38" s="21"/>
      <c r="ODT38" s="21"/>
      <c r="ODU38" s="21"/>
      <c r="ODV38" s="21"/>
      <c r="ODW38" s="21"/>
      <c r="ODX38" s="21"/>
      <c r="ODY38" s="21"/>
      <c r="ODZ38" s="21"/>
      <c r="OEA38" s="21"/>
      <c r="OEB38" s="21"/>
      <c r="OEC38" s="21"/>
      <c r="OED38" s="21"/>
      <c r="OEE38" s="21"/>
      <c r="OEF38" s="21"/>
      <c r="OEG38" s="21"/>
      <c r="OEH38" s="21"/>
      <c r="OEI38" s="21"/>
      <c r="OEJ38" s="21"/>
      <c r="OEK38" s="21"/>
      <c r="OEL38" s="21"/>
      <c r="OEM38" s="21"/>
      <c r="OEN38" s="21"/>
      <c r="OEO38" s="21"/>
      <c r="OEP38" s="21"/>
      <c r="OEQ38" s="21"/>
      <c r="OER38" s="21"/>
      <c r="OES38" s="21"/>
      <c r="OET38" s="21"/>
      <c r="OEU38" s="21"/>
      <c r="OEV38" s="21"/>
      <c r="OEW38" s="21"/>
      <c r="OEX38" s="21"/>
      <c r="OEY38" s="21"/>
      <c r="OEZ38" s="21"/>
      <c r="OFA38" s="21"/>
      <c r="OFB38" s="21"/>
      <c r="OFC38" s="21"/>
      <c r="OFD38" s="21"/>
      <c r="OFE38" s="21"/>
      <c r="OFF38" s="21"/>
      <c r="OFG38" s="21"/>
      <c r="OFH38" s="21"/>
      <c r="OFI38" s="21"/>
      <c r="OFJ38" s="21"/>
      <c r="OFK38" s="21"/>
      <c r="OFL38" s="21"/>
      <c r="OFM38" s="21"/>
      <c r="OFN38" s="21"/>
      <c r="OFO38" s="21"/>
      <c r="OFP38" s="21"/>
      <c r="OFQ38" s="21"/>
      <c r="OFR38" s="21"/>
      <c r="OFS38" s="21"/>
      <c r="OFT38" s="21"/>
      <c r="OFU38" s="21"/>
      <c r="OFV38" s="21"/>
      <c r="OFW38" s="21"/>
      <c r="OFX38" s="21"/>
      <c r="OFY38" s="21"/>
      <c r="OFZ38" s="21"/>
      <c r="OGA38" s="21"/>
      <c r="OGB38" s="21"/>
      <c r="OGC38" s="21"/>
      <c r="OGD38" s="21"/>
      <c r="OGE38" s="21"/>
      <c r="OGF38" s="21"/>
      <c r="OGG38" s="21"/>
      <c r="OGH38" s="21"/>
      <c r="OGI38" s="21"/>
      <c r="OGJ38" s="21"/>
      <c r="OGK38" s="21"/>
      <c r="OGL38" s="21"/>
      <c r="OGM38" s="21"/>
      <c r="OGN38" s="21"/>
      <c r="OGO38" s="21"/>
      <c r="OGP38" s="21"/>
      <c r="OGQ38" s="21"/>
      <c r="OGR38" s="21"/>
      <c r="OGS38" s="21"/>
      <c r="OGT38" s="21"/>
      <c r="OGU38" s="21"/>
      <c r="OGV38" s="21"/>
      <c r="OGW38" s="21"/>
      <c r="OGX38" s="21"/>
      <c r="OGY38" s="21"/>
      <c r="OGZ38" s="21"/>
      <c r="OHA38" s="21"/>
      <c r="OHB38" s="21"/>
      <c r="OHC38" s="21"/>
      <c r="OHD38" s="21"/>
      <c r="OHE38" s="21"/>
      <c r="OHF38" s="21"/>
      <c r="OHG38" s="21"/>
      <c r="OHH38" s="21"/>
      <c r="OHI38" s="21"/>
      <c r="OHJ38" s="21"/>
      <c r="OHK38" s="21"/>
      <c r="OHL38" s="21"/>
      <c r="OHM38" s="21"/>
      <c r="OHN38" s="21"/>
      <c r="OHO38" s="21"/>
      <c r="OHP38" s="21"/>
      <c r="OHQ38" s="21"/>
      <c r="OHR38" s="21"/>
      <c r="OHS38" s="21"/>
      <c r="OHT38" s="21"/>
      <c r="OHU38" s="21"/>
      <c r="OHV38" s="21"/>
      <c r="OHW38" s="21"/>
      <c r="OHX38" s="21"/>
      <c r="OHY38" s="21"/>
      <c r="OHZ38" s="21"/>
      <c r="OIA38" s="21"/>
      <c r="OIB38" s="21"/>
      <c r="OIC38" s="21"/>
      <c r="OID38" s="21"/>
      <c r="OIE38" s="21"/>
      <c r="OIF38" s="21"/>
      <c r="OIG38" s="21"/>
      <c r="OIH38" s="21"/>
      <c r="OII38" s="21"/>
      <c r="OIJ38" s="21"/>
      <c r="OIK38" s="21"/>
      <c r="OIL38" s="21"/>
      <c r="OIM38" s="21"/>
      <c r="OIN38" s="21"/>
      <c r="OIO38" s="21"/>
      <c r="OIP38" s="21"/>
      <c r="OIQ38" s="21"/>
      <c r="OIR38" s="21"/>
      <c r="OIS38" s="21"/>
      <c r="OIT38" s="21"/>
      <c r="OIU38" s="21"/>
      <c r="OIV38" s="21"/>
      <c r="OIW38" s="21"/>
      <c r="OIX38" s="21"/>
      <c r="OIY38" s="21"/>
      <c r="OIZ38" s="21"/>
      <c r="OJA38" s="21"/>
      <c r="OJB38" s="21"/>
      <c r="OJC38" s="21"/>
      <c r="OJD38" s="21"/>
      <c r="OJE38" s="21"/>
      <c r="OJF38" s="21"/>
      <c r="OJG38" s="21"/>
      <c r="OJH38" s="21"/>
      <c r="OJI38" s="21"/>
      <c r="OJJ38" s="21"/>
      <c r="OJK38" s="21"/>
      <c r="OJL38" s="21"/>
      <c r="OJM38" s="21"/>
      <c r="OJN38" s="21"/>
      <c r="OJO38" s="21"/>
      <c r="OJP38" s="21"/>
      <c r="OJQ38" s="21"/>
      <c r="OJR38" s="21"/>
      <c r="OJS38" s="21"/>
      <c r="OJT38" s="21"/>
      <c r="OJU38" s="21"/>
      <c r="OJV38" s="21"/>
      <c r="OJW38" s="21"/>
      <c r="OJX38" s="21"/>
      <c r="OJY38" s="21"/>
      <c r="OJZ38" s="21"/>
      <c r="OKA38" s="21"/>
      <c r="OKB38" s="21"/>
      <c r="OKC38" s="21"/>
      <c r="OKD38" s="21"/>
      <c r="OKE38" s="21"/>
      <c r="OKF38" s="21"/>
      <c r="OKG38" s="21"/>
      <c r="OKH38" s="21"/>
      <c r="OKI38" s="21"/>
      <c r="OKJ38" s="21"/>
      <c r="OKK38" s="21"/>
      <c r="OKL38" s="21"/>
      <c r="OKM38" s="21"/>
      <c r="OKN38" s="21"/>
      <c r="OKO38" s="21"/>
      <c r="OKP38" s="21"/>
      <c r="OKQ38" s="21"/>
      <c r="OKR38" s="21"/>
      <c r="OKS38" s="21"/>
      <c r="OKT38" s="21"/>
      <c r="OKU38" s="21"/>
      <c r="OKV38" s="21"/>
      <c r="OKW38" s="21"/>
      <c r="OKX38" s="21"/>
      <c r="OKY38" s="21"/>
      <c r="OKZ38" s="21"/>
      <c r="OLA38" s="21"/>
      <c r="OLB38" s="21"/>
      <c r="OLC38" s="21"/>
      <c r="OLD38" s="21"/>
      <c r="OLE38" s="21"/>
      <c r="OLF38" s="21"/>
      <c r="OLG38" s="21"/>
      <c r="OLH38" s="21"/>
      <c r="OLI38" s="21"/>
      <c r="OLJ38" s="21"/>
      <c r="OLK38" s="21"/>
      <c r="OLL38" s="21"/>
      <c r="OLM38" s="21"/>
      <c r="OLN38" s="21"/>
      <c r="OLO38" s="21"/>
      <c r="OLP38" s="21"/>
      <c r="OLQ38" s="21"/>
      <c r="OLR38" s="21"/>
      <c r="OLS38" s="21"/>
      <c r="OLT38" s="21"/>
      <c r="OLU38" s="21"/>
      <c r="OLV38" s="21"/>
      <c r="OLW38" s="21"/>
      <c r="OLX38" s="21"/>
      <c r="OLY38" s="21"/>
      <c r="OLZ38" s="21"/>
      <c r="OMA38" s="21"/>
      <c r="OMB38" s="21"/>
      <c r="OMC38" s="21"/>
      <c r="OMD38" s="21"/>
      <c r="OME38" s="21"/>
      <c r="OMF38" s="21"/>
      <c r="OMG38" s="21"/>
      <c r="OMH38" s="21"/>
      <c r="OMI38" s="21"/>
      <c r="OMJ38" s="21"/>
      <c r="OMK38" s="21"/>
      <c r="OML38" s="21"/>
      <c r="OMM38" s="21"/>
      <c r="OMN38" s="21"/>
      <c r="OMO38" s="21"/>
      <c r="OMP38" s="21"/>
      <c r="OMQ38" s="21"/>
      <c r="OMR38" s="21"/>
      <c r="OMS38" s="21"/>
      <c r="OMT38" s="21"/>
      <c r="OMU38" s="21"/>
      <c r="OMV38" s="21"/>
      <c r="OMW38" s="21"/>
      <c r="OMX38" s="21"/>
      <c r="OMY38" s="21"/>
      <c r="OMZ38" s="21"/>
      <c r="ONA38" s="21"/>
      <c r="ONB38" s="21"/>
      <c r="ONC38" s="21"/>
      <c r="OND38" s="21"/>
      <c r="ONE38" s="21"/>
      <c r="ONF38" s="21"/>
      <c r="ONG38" s="21"/>
      <c r="ONH38" s="21"/>
      <c r="ONI38" s="21"/>
      <c r="ONJ38" s="21"/>
      <c r="ONK38" s="21"/>
      <c r="ONL38" s="21"/>
      <c r="ONM38" s="21"/>
      <c r="ONN38" s="21"/>
      <c r="ONO38" s="21"/>
      <c r="ONP38" s="21"/>
      <c r="ONQ38" s="21"/>
      <c r="ONR38" s="21"/>
      <c r="ONS38" s="21"/>
      <c r="ONT38" s="21"/>
      <c r="ONU38" s="21"/>
      <c r="ONV38" s="21"/>
      <c r="ONW38" s="21"/>
      <c r="ONX38" s="21"/>
      <c r="ONY38" s="21"/>
      <c r="ONZ38" s="21"/>
      <c r="OOA38" s="21"/>
      <c r="OOB38" s="21"/>
      <c r="OOC38" s="21"/>
      <c r="OOD38" s="21"/>
      <c r="OOE38" s="21"/>
      <c r="OOF38" s="21"/>
      <c r="OOG38" s="21"/>
      <c r="OOH38" s="21"/>
      <c r="OOI38" s="21"/>
      <c r="OOJ38" s="21"/>
      <c r="OOK38" s="21"/>
      <c r="OOL38" s="21"/>
      <c r="OOM38" s="21"/>
      <c r="OON38" s="21"/>
      <c r="OOO38" s="21"/>
      <c r="OOP38" s="21"/>
      <c r="OOQ38" s="21"/>
      <c r="OOR38" s="21"/>
      <c r="OOS38" s="21"/>
      <c r="OOT38" s="21"/>
      <c r="OOU38" s="21"/>
      <c r="OOV38" s="21"/>
      <c r="OOW38" s="21"/>
      <c r="OOX38" s="21"/>
      <c r="OOY38" s="21"/>
      <c r="OOZ38" s="21"/>
      <c r="OPA38" s="21"/>
      <c r="OPB38" s="21"/>
      <c r="OPC38" s="21"/>
      <c r="OPD38" s="21"/>
      <c r="OPE38" s="21"/>
      <c r="OPF38" s="21"/>
      <c r="OPG38" s="21"/>
      <c r="OPH38" s="21"/>
      <c r="OPI38" s="21"/>
      <c r="OPJ38" s="21"/>
      <c r="OPK38" s="21"/>
      <c r="OPL38" s="21"/>
      <c r="OPM38" s="21"/>
      <c r="OPN38" s="21"/>
      <c r="OPO38" s="21"/>
      <c r="OPP38" s="21"/>
      <c r="OPQ38" s="21"/>
      <c r="OPR38" s="21"/>
      <c r="OPS38" s="21"/>
      <c r="OPT38" s="21"/>
      <c r="OPU38" s="21"/>
      <c r="OPV38" s="21"/>
      <c r="OPW38" s="21"/>
      <c r="OPX38" s="21"/>
      <c r="OPY38" s="21"/>
      <c r="OPZ38" s="21"/>
      <c r="OQA38" s="21"/>
      <c r="OQB38" s="21"/>
      <c r="OQC38" s="21"/>
      <c r="OQD38" s="21"/>
      <c r="OQE38" s="21"/>
      <c r="OQF38" s="21"/>
      <c r="OQG38" s="21"/>
      <c r="OQH38" s="21"/>
      <c r="OQI38" s="21"/>
      <c r="OQJ38" s="21"/>
      <c r="OQK38" s="21"/>
      <c r="OQL38" s="21"/>
      <c r="OQM38" s="21"/>
      <c r="OQN38" s="21"/>
      <c r="OQO38" s="21"/>
      <c r="OQP38" s="21"/>
      <c r="OQQ38" s="21"/>
      <c r="OQR38" s="21"/>
      <c r="OQS38" s="21"/>
      <c r="OQT38" s="21"/>
      <c r="OQU38" s="21"/>
      <c r="OQV38" s="21"/>
      <c r="OQW38" s="21"/>
      <c r="OQX38" s="21"/>
      <c r="OQY38" s="21"/>
      <c r="OQZ38" s="21"/>
      <c r="ORA38" s="21"/>
      <c r="ORB38" s="21"/>
      <c r="ORC38" s="21"/>
      <c r="ORD38" s="21"/>
      <c r="ORE38" s="21"/>
      <c r="ORF38" s="21"/>
      <c r="ORG38" s="21"/>
      <c r="ORH38" s="21"/>
      <c r="ORI38" s="21"/>
      <c r="ORJ38" s="21"/>
      <c r="ORK38" s="21"/>
      <c r="ORL38" s="21"/>
      <c r="ORM38" s="21"/>
      <c r="ORN38" s="21"/>
      <c r="ORO38" s="21"/>
      <c r="ORP38" s="21"/>
      <c r="ORQ38" s="21"/>
      <c r="ORR38" s="21"/>
      <c r="ORS38" s="21"/>
      <c r="ORT38" s="21"/>
      <c r="ORU38" s="21"/>
      <c r="ORV38" s="21"/>
      <c r="ORW38" s="21"/>
      <c r="ORX38" s="21"/>
      <c r="ORY38" s="21"/>
      <c r="ORZ38" s="21"/>
      <c r="OSA38" s="21"/>
      <c r="OSB38" s="21"/>
      <c r="OSC38" s="21"/>
      <c r="OSD38" s="21"/>
      <c r="OSE38" s="21"/>
      <c r="OSF38" s="21"/>
      <c r="OSG38" s="21"/>
      <c r="OSH38" s="21"/>
      <c r="OSI38" s="21"/>
      <c r="OSJ38" s="21"/>
      <c r="OSK38" s="21"/>
      <c r="OSL38" s="21"/>
      <c r="OSM38" s="21"/>
      <c r="OSN38" s="21"/>
      <c r="OSO38" s="21"/>
      <c r="OSP38" s="21"/>
      <c r="OSQ38" s="21"/>
      <c r="OSR38" s="21"/>
      <c r="OSS38" s="21"/>
      <c r="OST38" s="21"/>
      <c r="OSU38" s="21"/>
      <c r="OSV38" s="21"/>
      <c r="OSW38" s="21"/>
      <c r="OSX38" s="21"/>
      <c r="OSY38" s="21"/>
      <c r="OSZ38" s="21"/>
      <c r="OTA38" s="21"/>
      <c r="OTB38" s="21"/>
      <c r="OTC38" s="21"/>
      <c r="OTD38" s="21"/>
      <c r="OTE38" s="21"/>
      <c r="OTF38" s="21"/>
      <c r="OTG38" s="21"/>
      <c r="OTH38" s="21"/>
      <c r="OTI38" s="21"/>
      <c r="OTJ38" s="21"/>
      <c r="OTK38" s="21"/>
      <c r="OTL38" s="21"/>
      <c r="OTM38" s="21"/>
      <c r="OTN38" s="21"/>
      <c r="OTO38" s="21"/>
      <c r="OTP38" s="21"/>
      <c r="OTQ38" s="21"/>
      <c r="OTR38" s="21"/>
      <c r="OTS38" s="21"/>
      <c r="OTT38" s="21"/>
      <c r="OTU38" s="21"/>
      <c r="OTV38" s="21"/>
      <c r="OTW38" s="21"/>
      <c r="OTX38" s="21"/>
      <c r="OTY38" s="21"/>
      <c r="OTZ38" s="21"/>
      <c r="OUA38" s="21"/>
      <c r="OUB38" s="21"/>
      <c r="OUC38" s="21"/>
      <c r="OUD38" s="21"/>
      <c r="OUE38" s="21"/>
      <c r="OUF38" s="21"/>
      <c r="OUG38" s="21"/>
      <c r="OUH38" s="21"/>
      <c r="OUI38" s="21"/>
      <c r="OUJ38" s="21"/>
      <c r="OUK38" s="21"/>
      <c r="OUL38" s="21"/>
      <c r="OUM38" s="21"/>
      <c r="OUN38" s="21"/>
      <c r="OUO38" s="21"/>
      <c r="OUP38" s="21"/>
      <c r="OUQ38" s="21"/>
      <c r="OUR38" s="21"/>
      <c r="OUS38" s="21"/>
      <c r="OUT38" s="21"/>
      <c r="OUU38" s="21"/>
      <c r="OUV38" s="21"/>
      <c r="OUW38" s="21"/>
      <c r="OUX38" s="21"/>
      <c r="OUY38" s="21"/>
      <c r="OUZ38" s="21"/>
      <c r="OVA38" s="21"/>
      <c r="OVB38" s="21"/>
      <c r="OVC38" s="21"/>
      <c r="OVD38" s="21"/>
      <c r="OVE38" s="21"/>
      <c r="OVF38" s="21"/>
      <c r="OVG38" s="21"/>
      <c r="OVH38" s="21"/>
      <c r="OVI38" s="21"/>
      <c r="OVJ38" s="21"/>
      <c r="OVK38" s="21"/>
      <c r="OVL38" s="21"/>
      <c r="OVM38" s="21"/>
      <c r="OVN38" s="21"/>
      <c r="OVO38" s="21"/>
      <c r="OVP38" s="21"/>
      <c r="OVQ38" s="21"/>
      <c r="OVR38" s="21"/>
      <c r="OVS38" s="21"/>
      <c r="OVT38" s="21"/>
      <c r="OVU38" s="21"/>
      <c r="OVV38" s="21"/>
      <c r="OVW38" s="21"/>
      <c r="OVX38" s="21"/>
      <c r="OVY38" s="21"/>
      <c r="OVZ38" s="21"/>
      <c r="OWA38" s="21"/>
      <c r="OWB38" s="21"/>
      <c r="OWC38" s="21"/>
      <c r="OWD38" s="21"/>
      <c r="OWE38" s="21"/>
      <c r="OWF38" s="21"/>
      <c r="OWG38" s="21"/>
      <c r="OWH38" s="21"/>
      <c r="OWI38" s="21"/>
      <c r="OWJ38" s="21"/>
      <c r="OWK38" s="21"/>
      <c r="OWL38" s="21"/>
      <c r="OWM38" s="21"/>
      <c r="OWN38" s="21"/>
      <c r="OWO38" s="21"/>
      <c r="OWP38" s="21"/>
      <c r="OWQ38" s="21"/>
      <c r="OWR38" s="21"/>
      <c r="OWS38" s="21"/>
      <c r="OWT38" s="21"/>
      <c r="OWU38" s="21"/>
      <c r="OWV38" s="21"/>
      <c r="OWW38" s="21"/>
      <c r="OWX38" s="21"/>
      <c r="OWY38" s="21"/>
      <c r="OWZ38" s="21"/>
      <c r="OXA38" s="21"/>
      <c r="OXB38" s="21"/>
      <c r="OXC38" s="21"/>
      <c r="OXD38" s="21"/>
      <c r="OXE38" s="21"/>
      <c r="OXF38" s="21"/>
      <c r="OXG38" s="21"/>
      <c r="OXH38" s="21"/>
      <c r="OXI38" s="21"/>
      <c r="OXJ38" s="21"/>
      <c r="OXK38" s="21"/>
      <c r="OXL38" s="21"/>
      <c r="OXM38" s="21"/>
      <c r="OXN38" s="21"/>
      <c r="OXO38" s="21"/>
      <c r="OXP38" s="21"/>
      <c r="OXQ38" s="21"/>
      <c r="OXR38" s="21"/>
      <c r="OXS38" s="21"/>
      <c r="OXT38" s="21"/>
      <c r="OXU38" s="21"/>
      <c r="OXV38" s="21"/>
      <c r="OXW38" s="21"/>
      <c r="OXX38" s="21"/>
      <c r="OXY38" s="21"/>
      <c r="OXZ38" s="21"/>
      <c r="OYA38" s="21"/>
      <c r="OYB38" s="21"/>
      <c r="OYC38" s="21"/>
      <c r="OYD38" s="21"/>
      <c r="OYE38" s="21"/>
      <c r="OYF38" s="21"/>
      <c r="OYG38" s="21"/>
      <c r="OYH38" s="21"/>
      <c r="OYI38" s="21"/>
      <c r="OYJ38" s="21"/>
      <c r="OYK38" s="21"/>
      <c r="OYL38" s="21"/>
      <c r="OYM38" s="21"/>
      <c r="OYN38" s="21"/>
      <c r="OYO38" s="21"/>
      <c r="OYP38" s="21"/>
      <c r="OYQ38" s="21"/>
      <c r="OYR38" s="21"/>
      <c r="OYS38" s="21"/>
      <c r="OYT38" s="21"/>
      <c r="OYU38" s="21"/>
      <c r="OYV38" s="21"/>
      <c r="OYW38" s="21"/>
      <c r="OYX38" s="21"/>
      <c r="OYY38" s="21"/>
      <c r="OYZ38" s="21"/>
      <c r="OZA38" s="21"/>
      <c r="OZB38" s="21"/>
      <c r="OZC38" s="21"/>
      <c r="OZD38" s="21"/>
      <c r="OZE38" s="21"/>
      <c r="OZF38" s="21"/>
      <c r="OZG38" s="21"/>
      <c r="OZH38" s="21"/>
      <c r="OZI38" s="21"/>
      <c r="OZJ38" s="21"/>
      <c r="OZK38" s="21"/>
      <c r="OZL38" s="21"/>
      <c r="OZM38" s="21"/>
      <c r="OZN38" s="21"/>
      <c r="OZO38" s="21"/>
      <c r="OZP38" s="21"/>
      <c r="OZQ38" s="21"/>
      <c r="OZR38" s="21"/>
      <c r="OZS38" s="21"/>
      <c r="OZT38" s="21"/>
      <c r="OZU38" s="21"/>
      <c r="OZV38" s="21"/>
      <c r="OZW38" s="21"/>
      <c r="OZX38" s="21"/>
      <c r="OZY38" s="21"/>
      <c r="OZZ38" s="21"/>
      <c r="PAA38" s="21"/>
      <c r="PAB38" s="21"/>
      <c r="PAC38" s="21"/>
      <c r="PAD38" s="21"/>
      <c r="PAE38" s="21"/>
      <c r="PAF38" s="21"/>
      <c r="PAG38" s="21"/>
      <c r="PAH38" s="21"/>
      <c r="PAI38" s="21"/>
      <c r="PAJ38" s="21"/>
      <c r="PAK38" s="21"/>
      <c r="PAL38" s="21"/>
      <c r="PAM38" s="21"/>
      <c r="PAN38" s="21"/>
      <c r="PAO38" s="21"/>
      <c r="PAP38" s="21"/>
      <c r="PAQ38" s="21"/>
      <c r="PAR38" s="21"/>
      <c r="PAS38" s="21"/>
      <c r="PAT38" s="21"/>
      <c r="PAU38" s="21"/>
      <c r="PAV38" s="21"/>
      <c r="PAW38" s="21"/>
      <c r="PAX38" s="21"/>
      <c r="PAY38" s="21"/>
      <c r="PAZ38" s="21"/>
      <c r="PBA38" s="21"/>
      <c r="PBB38" s="21"/>
      <c r="PBC38" s="21"/>
      <c r="PBD38" s="21"/>
      <c r="PBE38" s="21"/>
      <c r="PBF38" s="21"/>
      <c r="PBG38" s="21"/>
      <c r="PBH38" s="21"/>
      <c r="PBI38" s="21"/>
      <c r="PBJ38" s="21"/>
      <c r="PBK38" s="21"/>
      <c r="PBL38" s="21"/>
      <c r="PBM38" s="21"/>
      <c r="PBN38" s="21"/>
      <c r="PBO38" s="21"/>
      <c r="PBP38" s="21"/>
      <c r="PBQ38" s="21"/>
      <c r="PBR38" s="21"/>
      <c r="PBS38" s="21"/>
      <c r="PBT38" s="21"/>
      <c r="PBU38" s="21"/>
      <c r="PBV38" s="21"/>
      <c r="PBW38" s="21"/>
      <c r="PBX38" s="21"/>
      <c r="PBY38" s="21"/>
      <c r="PBZ38" s="21"/>
      <c r="PCA38" s="21"/>
      <c r="PCB38" s="21"/>
      <c r="PCC38" s="21"/>
      <c r="PCD38" s="21"/>
      <c r="PCE38" s="21"/>
      <c r="PCF38" s="21"/>
      <c r="PCG38" s="21"/>
      <c r="PCH38" s="21"/>
      <c r="PCI38" s="21"/>
      <c r="PCJ38" s="21"/>
      <c r="PCK38" s="21"/>
      <c r="PCL38" s="21"/>
      <c r="PCM38" s="21"/>
      <c r="PCN38" s="21"/>
      <c r="PCO38" s="21"/>
      <c r="PCP38" s="21"/>
      <c r="PCQ38" s="21"/>
      <c r="PCR38" s="21"/>
      <c r="PCS38" s="21"/>
      <c r="PCT38" s="21"/>
      <c r="PCU38" s="21"/>
      <c r="PCV38" s="21"/>
      <c r="PCW38" s="21"/>
      <c r="PCX38" s="21"/>
      <c r="PCY38" s="21"/>
      <c r="PCZ38" s="21"/>
      <c r="PDA38" s="21"/>
      <c r="PDB38" s="21"/>
      <c r="PDC38" s="21"/>
      <c r="PDD38" s="21"/>
      <c r="PDE38" s="21"/>
      <c r="PDF38" s="21"/>
      <c r="PDG38" s="21"/>
      <c r="PDH38" s="21"/>
      <c r="PDI38" s="21"/>
      <c r="PDJ38" s="21"/>
      <c r="PDK38" s="21"/>
      <c r="PDL38" s="21"/>
      <c r="PDM38" s="21"/>
      <c r="PDN38" s="21"/>
      <c r="PDO38" s="21"/>
      <c r="PDP38" s="21"/>
      <c r="PDQ38" s="21"/>
      <c r="PDR38" s="21"/>
      <c r="PDS38" s="21"/>
      <c r="PDT38" s="21"/>
      <c r="PDU38" s="21"/>
      <c r="PDV38" s="21"/>
      <c r="PDW38" s="21"/>
      <c r="PDX38" s="21"/>
      <c r="PDY38" s="21"/>
      <c r="PDZ38" s="21"/>
      <c r="PEA38" s="21"/>
      <c r="PEB38" s="21"/>
      <c r="PEC38" s="21"/>
      <c r="PED38" s="21"/>
      <c r="PEE38" s="21"/>
      <c r="PEF38" s="21"/>
      <c r="PEG38" s="21"/>
      <c r="PEH38" s="21"/>
      <c r="PEI38" s="21"/>
      <c r="PEJ38" s="21"/>
      <c r="PEK38" s="21"/>
      <c r="PEL38" s="21"/>
      <c r="PEM38" s="21"/>
      <c r="PEN38" s="21"/>
      <c r="PEO38" s="21"/>
      <c r="PEP38" s="21"/>
      <c r="PEQ38" s="21"/>
      <c r="PER38" s="21"/>
      <c r="PES38" s="21"/>
      <c r="PET38" s="21"/>
      <c r="PEU38" s="21"/>
      <c r="PEV38" s="21"/>
      <c r="PEW38" s="21"/>
      <c r="PEX38" s="21"/>
      <c r="PEY38" s="21"/>
      <c r="PEZ38" s="21"/>
      <c r="PFA38" s="21"/>
      <c r="PFB38" s="21"/>
      <c r="PFC38" s="21"/>
      <c r="PFD38" s="21"/>
      <c r="PFE38" s="21"/>
      <c r="PFF38" s="21"/>
      <c r="PFG38" s="21"/>
      <c r="PFH38" s="21"/>
      <c r="PFI38" s="21"/>
      <c r="PFJ38" s="21"/>
      <c r="PFK38" s="21"/>
      <c r="PFL38" s="21"/>
      <c r="PFM38" s="21"/>
      <c r="PFN38" s="21"/>
      <c r="PFO38" s="21"/>
      <c r="PFP38" s="21"/>
      <c r="PFQ38" s="21"/>
      <c r="PFR38" s="21"/>
      <c r="PFS38" s="21"/>
      <c r="PFT38" s="21"/>
      <c r="PFU38" s="21"/>
      <c r="PFV38" s="21"/>
      <c r="PFW38" s="21"/>
      <c r="PFX38" s="21"/>
      <c r="PFY38" s="21"/>
      <c r="PFZ38" s="21"/>
      <c r="PGA38" s="21"/>
      <c r="PGB38" s="21"/>
      <c r="PGC38" s="21"/>
      <c r="PGD38" s="21"/>
      <c r="PGE38" s="21"/>
      <c r="PGF38" s="21"/>
      <c r="PGG38" s="21"/>
      <c r="PGH38" s="21"/>
      <c r="PGI38" s="21"/>
      <c r="PGJ38" s="21"/>
      <c r="PGK38" s="21"/>
      <c r="PGL38" s="21"/>
      <c r="PGM38" s="21"/>
      <c r="PGN38" s="21"/>
      <c r="PGO38" s="21"/>
      <c r="PGP38" s="21"/>
      <c r="PGQ38" s="21"/>
      <c r="PGR38" s="21"/>
      <c r="PGS38" s="21"/>
      <c r="PGT38" s="21"/>
      <c r="PGU38" s="21"/>
      <c r="PGV38" s="21"/>
      <c r="PGW38" s="21"/>
      <c r="PGX38" s="21"/>
      <c r="PGY38" s="21"/>
      <c r="PGZ38" s="21"/>
      <c r="PHA38" s="21"/>
      <c r="PHB38" s="21"/>
      <c r="PHC38" s="21"/>
      <c r="PHD38" s="21"/>
      <c r="PHE38" s="21"/>
      <c r="PHF38" s="21"/>
      <c r="PHG38" s="21"/>
      <c r="PHH38" s="21"/>
      <c r="PHI38" s="21"/>
      <c r="PHJ38" s="21"/>
      <c r="PHK38" s="21"/>
      <c r="PHL38" s="21"/>
      <c r="PHM38" s="21"/>
      <c r="PHN38" s="21"/>
      <c r="PHO38" s="21"/>
      <c r="PHP38" s="21"/>
      <c r="PHQ38" s="21"/>
      <c r="PHR38" s="21"/>
      <c r="PHS38" s="21"/>
      <c r="PHT38" s="21"/>
      <c r="PHU38" s="21"/>
      <c r="PHV38" s="21"/>
      <c r="PHW38" s="21"/>
      <c r="PHX38" s="21"/>
      <c r="PHY38" s="21"/>
      <c r="PHZ38" s="21"/>
      <c r="PIA38" s="21"/>
      <c r="PIB38" s="21"/>
      <c r="PIC38" s="21"/>
      <c r="PID38" s="21"/>
      <c r="PIE38" s="21"/>
      <c r="PIF38" s="21"/>
      <c r="PIG38" s="21"/>
      <c r="PIH38" s="21"/>
      <c r="PII38" s="21"/>
      <c r="PIJ38" s="21"/>
      <c r="PIK38" s="21"/>
      <c r="PIL38" s="21"/>
      <c r="PIM38" s="21"/>
      <c r="PIN38" s="21"/>
      <c r="PIO38" s="21"/>
      <c r="PIP38" s="21"/>
      <c r="PIQ38" s="21"/>
      <c r="PIR38" s="21"/>
      <c r="PIS38" s="21"/>
      <c r="PIT38" s="21"/>
      <c r="PIU38" s="21"/>
      <c r="PIV38" s="21"/>
      <c r="PIW38" s="21"/>
      <c r="PIX38" s="21"/>
      <c r="PIY38" s="21"/>
      <c r="PIZ38" s="21"/>
      <c r="PJA38" s="21"/>
      <c r="PJB38" s="21"/>
      <c r="PJC38" s="21"/>
      <c r="PJD38" s="21"/>
      <c r="PJE38" s="21"/>
      <c r="PJF38" s="21"/>
      <c r="PJG38" s="21"/>
      <c r="PJH38" s="21"/>
      <c r="PJI38" s="21"/>
      <c r="PJJ38" s="21"/>
      <c r="PJK38" s="21"/>
      <c r="PJL38" s="21"/>
      <c r="PJM38" s="21"/>
      <c r="PJN38" s="21"/>
      <c r="PJO38" s="21"/>
      <c r="PJP38" s="21"/>
      <c r="PJQ38" s="21"/>
      <c r="PJR38" s="21"/>
      <c r="PJS38" s="21"/>
      <c r="PJT38" s="21"/>
      <c r="PJU38" s="21"/>
      <c r="PJV38" s="21"/>
      <c r="PJW38" s="21"/>
      <c r="PJX38" s="21"/>
      <c r="PJY38" s="21"/>
      <c r="PJZ38" s="21"/>
      <c r="PKA38" s="21"/>
      <c r="PKB38" s="21"/>
      <c r="PKC38" s="21"/>
      <c r="PKD38" s="21"/>
      <c r="PKE38" s="21"/>
      <c r="PKF38" s="21"/>
      <c r="PKG38" s="21"/>
      <c r="PKH38" s="21"/>
      <c r="PKI38" s="21"/>
      <c r="PKJ38" s="21"/>
      <c r="PKK38" s="21"/>
      <c r="PKL38" s="21"/>
      <c r="PKM38" s="21"/>
      <c r="PKN38" s="21"/>
      <c r="PKO38" s="21"/>
      <c r="PKP38" s="21"/>
      <c r="PKQ38" s="21"/>
      <c r="PKR38" s="21"/>
      <c r="PKS38" s="21"/>
      <c r="PKT38" s="21"/>
      <c r="PKU38" s="21"/>
      <c r="PKV38" s="21"/>
      <c r="PKW38" s="21"/>
      <c r="PKX38" s="21"/>
      <c r="PKY38" s="21"/>
      <c r="PKZ38" s="21"/>
      <c r="PLA38" s="21"/>
      <c r="PLB38" s="21"/>
      <c r="PLC38" s="21"/>
      <c r="PLD38" s="21"/>
      <c r="PLE38" s="21"/>
      <c r="PLF38" s="21"/>
      <c r="PLG38" s="21"/>
      <c r="PLH38" s="21"/>
      <c r="PLI38" s="21"/>
      <c r="PLJ38" s="21"/>
      <c r="PLK38" s="21"/>
      <c r="PLL38" s="21"/>
      <c r="PLM38" s="21"/>
      <c r="PLN38" s="21"/>
      <c r="PLO38" s="21"/>
      <c r="PLP38" s="21"/>
      <c r="PLQ38" s="21"/>
      <c r="PLR38" s="21"/>
      <c r="PLS38" s="21"/>
      <c r="PLT38" s="21"/>
      <c r="PLU38" s="21"/>
      <c r="PLV38" s="21"/>
      <c r="PLW38" s="21"/>
      <c r="PLX38" s="21"/>
      <c r="PLY38" s="21"/>
      <c r="PLZ38" s="21"/>
      <c r="PMA38" s="21"/>
      <c r="PMB38" s="21"/>
      <c r="PMC38" s="21"/>
      <c r="PMD38" s="21"/>
      <c r="PME38" s="21"/>
      <c r="PMF38" s="21"/>
      <c r="PMG38" s="21"/>
      <c r="PMH38" s="21"/>
      <c r="PMI38" s="21"/>
      <c r="PMJ38" s="21"/>
      <c r="PMK38" s="21"/>
      <c r="PML38" s="21"/>
      <c r="PMM38" s="21"/>
      <c r="PMN38" s="21"/>
      <c r="PMO38" s="21"/>
      <c r="PMP38" s="21"/>
      <c r="PMQ38" s="21"/>
      <c r="PMR38" s="21"/>
      <c r="PMS38" s="21"/>
      <c r="PMT38" s="21"/>
      <c r="PMU38" s="21"/>
      <c r="PMV38" s="21"/>
      <c r="PMW38" s="21"/>
      <c r="PMX38" s="21"/>
      <c r="PMY38" s="21"/>
      <c r="PMZ38" s="21"/>
      <c r="PNA38" s="21"/>
      <c r="PNB38" s="21"/>
      <c r="PNC38" s="21"/>
      <c r="PND38" s="21"/>
      <c r="PNE38" s="21"/>
      <c r="PNF38" s="21"/>
      <c r="PNG38" s="21"/>
      <c r="PNH38" s="21"/>
      <c r="PNI38" s="21"/>
      <c r="PNJ38" s="21"/>
      <c r="PNK38" s="21"/>
      <c r="PNL38" s="21"/>
      <c r="PNM38" s="21"/>
      <c r="PNN38" s="21"/>
      <c r="PNO38" s="21"/>
      <c r="PNP38" s="21"/>
      <c r="PNQ38" s="21"/>
      <c r="PNR38" s="21"/>
      <c r="PNS38" s="21"/>
      <c r="PNT38" s="21"/>
      <c r="PNU38" s="21"/>
      <c r="PNV38" s="21"/>
      <c r="PNW38" s="21"/>
      <c r="PNX38" s="21"/>
      <c r="PNY38" s="21"/>
      <c r="PNZ38" s="21"/>
      <c r="POA38" s="21"/>
      <c r="POB38" s="21"/>
      <c r="POC38" s="21"/>
      <c r="POD38" s="21"/>
      <c r="POE38" s="21"/>
      <c r="POF38" s="21"/>
      <c r="POG38" s="21"/>
      <c r="POH38" s="21"/>
      <c r="POI38" s="21"/>
      <c r="POJ38" s="21"/>
      <c r="POK38" s="21"/>
      <c r="POL38" s="21"/>
      <c r="POM38" s="21"/>
      <c r="PON38" s="21"/>
      <c r="POO38" s="21"/>
      <c r="POP38" s="21"/>
      <c r="POQ38" s="21"/>
      <c r="POR38" s="21"/>
      <c r="POS38" s="21"/>
      <c r="POT38" s="21"/>
      <c r="POU38" s="21"/>
      <c r="POV38" s="21"/>
      <c r="POW38" s="21"/>
      <c r="POX38" s="21"/>
      <c r="POY38" s="21"/>
      <c r="POZ38" s="21"/>
      <c r="PPA38" s="21"/>
      <c r="PPB38" s="21"/>
      <c r="PPC38" s="21"/>
      <c r="PPD38" s="21"/>
      <c r="PPE38" s="21"/>
      <c r="PPF38" s="21"/>
      <c r="PPG38" s="21"/>
      <c r="PPH38" s="21"/>
      <c r="PPI38" s="21"/>
      <c r="PPJ38" s="21"/>
      <c r="PPK38" s="21"/>
      <c r="PPL38" s="21"/>
      <c r="PPM38" s="21"/>
      <c r="PPN38" s="21"/>
      <c r="PPO38" s="21"/>
      <c r="PPP38" s="21"/>
      <c r="PPQ38" s="21"/>
      <c r="PPR38" s="21"/>
      <c r="PPS38" s="21"/>
      <c r="PPT38" s="21"/>
      <c r="PPU38" s="21"/>
      <c r="PPV38" s="21"/>
      <c r="PPW38" s="21"/>
      <c r="PPX38" s="21"/>
      <c r="PPY38" s="21"/>
      <c r="PPZ38" s="21"/>
      <c r="PQA38" s="21"/>
      <c r="PQB38" s="21"/>
      <c r="PQC38" s="21"/>
      <c r="PQD38" s="21"/>
      <c r="PQE38" s="21"/>
      <c r="PQF38" s="21"/>
      <c r="PQG38" s="21"/>
      <c r="PQH38" s="21"/>
      <c r="PQI38" s="21"/>
      <c r="PQJ38" s="21"/>
      <c r="PQK38" s="21"/>
      <c r="PQL38" s="21"/>
      <c r="PQM38" s="21"/>
      <c r="PQN38" s="21"/>
      <c r="PQO38" s="21"/>
      <c r="PQP38" s="21"/>
      <c r="PQQ38" s="21"/>
      <c r="PQR38" s="21"/>
      <c r="PQS38" s="21"/>
      <c r="PQT38" s="21"/>
      <c r="PQU38" s="21"/>
      <c r="PQV38" s="21"/>
      <c r="PQW38" s="21"/>
      <c r="PQX38" s="21"/>
      <c r="PQY38" s="21"/>
      <c r="PQZ38" s="21"/>
      <c r="PRA38" s="21"/>
      <c r="PRB38" s="21"/>
      <c r="PRC38" s="21"/>
      <c r="PRD38" s="21"/>
      <c r="PRE38" s="21"/>
      <c r="PRF38" s="21"/>
      <c r="PRG38" s="21"/>
      <c r="PRH38" s="21"/>
      <c r="PRI38" s="21"/>
      <c r="PRJ38" s="21"/>
      <c r="PRK38" s="21"/>
      <c r="PRL38" s="21"/>
      <c r="PRM38" s="21"/>
      <c r="PRN38" s="21"/>
      <c r="PRO38" s="21"/>
      <c r="PRP38" s="21"/>
      <c r="PRQ38" s="21"/>
      <c r="PRR38" s="21"/>
      <c r="PRS38" s="21"/>
      <c r="PRT38" s="21"/>
      <c r="PRU38" s="21"/>
      <c r="PRV38" s="21"/>
      <c r="PRW38" s="21"/>
      <c r="PRX38" s="21"/>
      <c r="PRY38" s="21"/>
      <c r="PRZ38" s="21"/>
      <c r="PSA38" s="21"/>
      <c r="PSB38" s="21"/>
      <c r="PSC38" s="21"/>
      <c r="PSD38" s="21"/>
      <c r="PSE38" s="21"/>
      <c r="PSF38" s="21"/>
      <c r="PSG38" s="21"/>
      <c r="PSH38" s="21"/>
      <c r="PSI38" s="21"/>
      <c r="PSJ38" s="21"/>
      <c r="PSK38" s="21"/>
      <c r="PSL38" s="21"/>
      <c r="PSM38" s="21"/>
      <c r="PSN38" s="21"/>
      <c r="PSO38" s="21"/>
      <c r="PSP38" s="21"/>
      <c r="PSQ38" s="21"/>
      <c r="PSR38" s="21"/>
      <c r="PSS38" s="21"/>
      <c r="PST38" s="21"/>
      <c r="PSU38" s="21"/>
      <c r="PSV38" s="21"/>
      <c r="PSW38" s="21"/>
      <c r="PSX38" s="21"/>
      <c r="PSY38" s="21"/>
      <c r="PSZ38" s="21"/>
      <c r="PTA38" s="21"/>
      <c r="PTB38" s="21"/>
      <c r="PTC38" s="21"/>
      <c r="PTD38" s="21"/>
      <c r="PTE38" s="21"/>
      <c r="PTF38" s="21"/>
      <c r="PTG38" s="21"/>
      <c r="PTH38" s="21"/>
      <c r="PTI38" s="21"/>
      <c r="PTJ38" s="21"/>
      <c r="PTK38" s="21"/>
      <c r="PTL38" s="21"/>
      <c r="PTM38" s="21"/>
      <c r="PTN38" s="21"/>
      <c r="PTO38" s="21"/>
      <c r="PTP38" s="21"/>
      <c r="PTQ38" s="21"/>
      <c r="PTR38" s="21"/>
      <c r="PTS38" s="21"/>
      <c r="PTT38" s="21"/>
      <c r="PTU38" s="21"/>
      <c r="PTV38" s="21"/>
      <c r="PTW38" s="21"/>
      <c r="PTX38" s="21"/>
      <c r="PTY38" s="21"/>
      <c r="PTZ38" s="21"/>
      <c r="PUA38" s="21"/>
      <c r="PUB38" s="21"/>
      <c r="PUC38" s="21"/>
      <c r="PUD38" s="21"/>
      <c r="PUE38" s="21"/>
      <c r="PUF38" s="21"/>
      <c r="PUG38" s="21"/>
      <c r="PUH38" s="21"/>
      <c r="PUI38" s="21"/>
      <c r="PUJ38" s="21"/>
      <c r="PUK38" s="21"/>
      <c r="PUL38" s="21"/>
      <c r="PUM38" s="21"/>
      <c r="PUN38" s="21"/>
      <c r="PUO38" s="21"/>
      <c r="PUP38" s="21"/>
      <c r="PUQ38" s="21"/>
      <c r="PUR38" s="21"/>
      <c r="PUS38" s="21"/>
      <c r="PUT38" s="21"/>
      <c r="PUU38" s="21"/>
      <c r="PUV38" s="21"/>
      <c r="PUW38" s="21"/>
      <c r="PUX38" s="21"/>
      <c r="PUY38" s="21"/>
      <c r="PUZ38" s="21"/>
      <c r="PVA38" s="21"/>
      <c r="PVB38" s="21"/>
      <c r="PVC38" s="21"/>
      <c r="PVD38" s="21"/>
      <c r="PVE38" s="21"/>
      <c r="PVF38" s="21"/>
      <c r="PVG38" s="21"/>
      <c r="PVH38" s="21"/>
      <c r="PVI38" s="21"/>
      <c r="PVJ38" s="21"/>
      <c r="PVK38" s="21"/>
      <c r="PVL38" s="21"/>
      <c r="PVM38" s="21"/>
      <c r="PVN38" s="21"/>
      <c r="PVO38" s="21"/>
      <c r="PVP38" s="21"/>
      <c r="PVQ38" s="21"/>
      <c r="PVR38" s="21"/>
      <c r="PVS38" s="21"/>
      <c r="PVT38" s="21"/>
      <c r="PVU38" s="21"/>
      <c r="PVV38" s="21"/>
      <c r="PVW38" s="21"/>
      <c r="PVX38" s="21"/>
      <c r="PVY38" s="21"/>
      <c r="PVZ38" s="21"/>
      <c r="PWA38" s="21"/>
      <c r="PWB38" s="21"/>
      <c r="PWC38" s="21"/>
      <c r="PWD38" s="21"/>
      <c r="PWE38" s="21"/>
      <c r="PWF38" s="21"/>
      <c r="PWG38" s="21"/>
      <c r="PWH38" s="21"/>
      <c r="PWI38" s="21"/>
      <c r="PWJ38" s="21"/>
      <c r="PWK38" s="21"/>
      <c r="PWL38" s="21"/>
      <c r="PWM38" s="21"/>
      <c r="PWN38" s="21"/>
      <c r="PWO38" s="21"/>
      <c r="PWP38" s="21"/>
      <c r="PWQ38" s="21"/>
      <c r="PWR38" s="21"/>
      <c r="PWS38" s="21"/>
      <c r="PWT38" s="21"/>
      <c r="PWU38" s="21"/>
      <c r="PWV38" s="21"/>
      <c r="PWW38" s="21"/>
      <c r="PWX38" s="21"/>
      <c r="PWY38" s="21"/>
      <c r="PWZ38" s="21"/>
      <c r="PXA38" s="21"/>
      <c r="PXB38" s="21"/>
      <c r="PXC38" s="21"/>
      <c r="PXD38" s="21"/>
      <c r="PXE38" s="21"/>
      <c r="PXF38" s="21"/>
      <c r="PXG38" s="21"/>
      <c r="PXH38" s="21"/>
      <c r="PXI38" s="21"/>
      <c r="PXJ38" s="21"/>
      <c r="PXK38" s="21"/>
      <c r="PXL38" s="21"/>
      <c r="PXM38" s="21"/>
      <c r="PXN38" s="21"/>
      <c r="PXO38" s="21"/>
      <c r="PXP38" s="21"/>
      <c r="PXQ38" s="21"/>
      <c r="PXR38" s="21"/>
      <c r="PXS38" s="21"/>
      <c r="PXT38" s="21"/>
      <c r="PXU38" s="21"/>
      <c r="PXV38" s="21"/>
      <c r="PXW38" s="21"/>
      <c r="PXX38" s="21"/>
      <c r="PXY38" s="21"/>
      <c r="PXZ38" s="21"/>
      <c r="PYA38" s="21"/>
      <c r="PYB38" s="21"/>
      <c r="PYC38" s="21"/>
      <c r="PYD38" s="21"/>
      <c r="PYE38" s="21"/>
      <c r="PYF38" s="21"/>
      <c r="PYG38" s="21"/>
      <c r="PYH38" s="21"/>
      <c r="PYI38" s="21"/>
      <c r="PYJ38" s="21"/>
      <c r="PYK38" s="21"/>
      <c r="PYL38" s="21"/>
      <c r="PYM38" s="21"/>
      <c r="PYN38" s="21"/>
      <c r="PYO38" s="21"/>
      <c r="PYP38" s="21"/>
      <c r="PYQ38" s="21"/>
      <c r="PYR38" s="21"/>
      <c r="PYS38" s="21"/>
      <c r="PYT38" s="21"/>
      <c r="PYU38" s="21"/>
      <c r="PYV38" s="21"/>
      <c r="PYW38" s="21"/>
      <c r="PYX38" s="21"/>
      <c r="PYY38" s="21"/>
      <c r="PYZ38" s="21"/>
      <c r="PZA38" s="21"/>
      <c r="PZB38" s="21"/>
      <c r="PZC38" s="21"/>
      <c r="PZD38" s="21"/>
      <c r="PZE38" s="21"/>
      <c r="PZF38" s="21"/>
      <c r="PZG38" s="21"/>
      <c r="PZH38" s="21"/>
      <c r="PZI38" s="21"/>
      <c r="PZJ38" s="21"/>
      <c r="PZK38" s="21"/>
      <c r="PZL38" s="21"/>
      <c r="PZM38" s="21"/>
      <c r="PZN38" s="21"/>
      <c r="PZO38" s="21"/>
      <c r="PZP38" s="21"/>
      <c r="PZQ38" s="21"/>
      <c r="PZR38" s="21"/>
      <c r="PZS38" s="21"/>
      <c r="PZT38" s="21"/>
      <c r="PZU38" s="21"/>
      <c r="PZV38" s="21"/>
      <c r="PZW38" s="21"/>
      <c r="PZX38" s="21"/>
      <c r="PZY38" s="21"/>
      <c r="PZZ38" s="21"/>
      <c r="QAA38" s="21"/>
      <c r="QAB38" s="21"/>
      <c r="QAC38" s="21"/>
      <c r="QAD38" s="21"/>
      <c r="QAE38" s="21"/>
      <c r="QAF38" s="21"/>
      <c r="QAG38" s="21"/>
      <c r="QAH38" s="21"/>
      <c r="QAI38" s="21"/>
      <c r="QAJ38" s="21"/>
      <c r="QAK38" s="21"/>
      <c r="QAL38" s="21"/>
      <c r="QAM38" s="21"/>
      <c r="QAN38" s="21"/>
      <c r="QAO38" s="21"/>
      <c r="QAP38" s="21"/>
      <c r="QAQ38" s="21"/>
      <c r="QAR38" s="21"/>
      <c r="QAS38" s="21"/>
      <c r="QAT38" s="21"/>
      <c r="QAU38" s="21"/>
      <c r="QAV38" s="21"/>
      <c r="QAW38" s="21"/>
      <c r="QAX38" s="21"/>
      <c r="QAY38" s="21"/>
      <c r="QAZ38" s="21"/>
      <c r="QBA38" s="21"/>
      <c r="QBB38" s="21"/>
      <c r="QBC38" s="21"/>
      <c r="QBD38" s="21"/>
      <c r="QBE38" s="21"/>
      <c r="QBF38" s="21"/>
      <c r="QBG38" s="21"/>
      <c r="QBH38" s="21"/>
      <c r="QBI38" s="21"/>
      <c r="QBJ38" s="21"/>
      <c r="QBK38" s="21"/>
      <c r="QBL38" s="21"/>
      <c r="QBM38" s="21"/>
      <c r="QBN38" s="21"/>
      <c r="QBO38" s="21"/>
      <c r="QBP38" s="21"/>
      <c r="QBQ38" s="21"/>
      <c r="QBR38" s="21"/>
      <c r="QBS38" s="21"/>
      <c r="QBT38" s="21"/>
      <c r="QBU38" s="21"/>
      <c r="QBV38" s="21"/>
      <c r="QBW38" s="21"/>
      <c r="QBX38" s="21"/>
      <c r="QBY38" s="21"/>
      <c r="QBZ38" s="21"/>
      <c r="QCA38" s="21"/>
      <c r="QCB38" s="21"/>
      <c r="QCC38" s="21"/>
      <c r="QCD38" s="21"/>
      <c r="QCE38" s="21"/>
      <c r="QCF38" s="21"/>
      <c r="QCG38" s="21"/>
      <c r="QCH38" s="21"/>
      <c r="QCI38" s="21"/>
      <c r="QCJ38" s="21"/>
      <c r="QCK38" s="21"/>
      <c r="QCL38" s="21"/>
      <c r="QCM38" s="21"/>
      <c r="QCN38" s="21"/>
      <c r="QCO38" s="21"/>
      <c r="QCP38" s="21"/>
      <c r="QCQ38" s="21"/>
      <c r="QCR38" s="21"/>
      <c r="QCS38" s="21"/>
      <c r="QCT38" s="21"/>
      <c r="QCU38" s="21"/>
      <c r="QCV38" s="21"/>
      <c r="QCW38" s="21"/>
      <c r="QCX38" s="21"/>
      <c r="QCY38" s="21"/>
      <c r="QCZ38" s="21"/>
      <c r="QDA38" s="21"/>
      <c r="QDB38" s="21"/>
      <c r="QDC38" s="21"/>
      <c r="QDD38" s="21"/>
      <c r="QDE38" s="21"/>
      <c r="QDF38" s="21"/>
      <c r="QDG38" s="21"/>
      <c r="QDH38" s="21"/>
      <c r="QDI38" s="21"/>
      <c r="QDJ38" s="21"/>
      <c r="QDK38" s="21"/>
      <c r="QDL38" s="21"/>
      <c r="QDM38" s="21"/>
      <c r="QDN38" s="21"/>
      <c r="QDO38" s="21"/>
      <c r="QDP38" s="21"/>
      <c r="QDQ38" s="21"/>
      <c r="QDR38" s="21"/>
      <c r="QDS38" s="21"/>
      <c r="QDT38" s="21"/>
      <c r="QDU38" s="21"/>
      <c r="QDV38" s="21"/>
      <c r="QDW38" s="21"/>
      <c r="QDX38" s="21"/>
      <c r="QDY38" s="21"/>
      <c r="QDZ38" s="21"/>
      <c r="QEA38" s="21"/>
      <c r="QEB38" s="21"/>
      <c r="QEC38" s="21"/>
      <c r="QED38" s="21"/>
      <c r="QEE38" s="21"/>
      <c r="QEF38" s="21"/>
      <c r="QEG38" s="21"/>
      <c r="QEH38" s="21"/>
      <c r="QEI38" s="21"/>
      <c r="QEJ38" s="21"/>
      <c r="QEK38" s="21"/>
      <c r="QEL38" s="21"/>
      <c r="QEM38" s="21"/>
      <c r="QEN38" s="21"/>
      <c r="QEO38" s="21"/>
      <c r="QEP38" s="21"/>
      <c r="QEQ38" s="21"/>
      <c r="QER38" s="21"/>
      <c r="QES38" s="21"/>
      <c r="QET38" s="21"/>
      <c r="QEU38" s="21"/>
      <c r="QEV38" s="21"/>
      <c r="QEW38" s="21"/>
      <c r="QEX38" s="21"/>
      <c r="QEY38" s="21"/>
      <c r="QEZ38" s="21"/>
      <c r="QFA38" s="21"/>
      <c r="QFB38" s="21"/>
      <c r="QFC38" s="21"/>
      <c r="QFD38" s="21"/>
      <c r="QFE38" s="21"/>
      <c r="QFF38" s="21"/>
      <c r="QFG38" s="21"/>
      <c r="QFH38" s="21"/>
      <c r="QFI38" s="21"/>
      <c r="QFJ38" s="21"/>
      <c r="QFK38" s="21"/>
      <c r="QFL38" s="21"/>
      <c r="QFM38" s="21"/>
      <c r="QFN38" s="21"/>
      <c r="QFO38" s="21"/>
      <c r="QFP38" s="21"/>
      <c r="QFQ38" s="21"/>
      <c r="QFR38" s="21"/>
      <c r="QFS38" s="21"/>
      <c r="QFT38" s="21"/>
      <c r="QFU38" s="21"/>
      <c r="QFV38" s="21"/>
      <c r="QFW38" s="21"/>
      <c r="QFX38" s="21"/>
      <c r="QFY38" s="21"/>
      <c r="QFZ38" s="21"/>
      <c r="QGA38" s="21"/>
      <c r="QGB38" s="21"/>
      <c r="QGC38" s="21"/>
      <c r="QGD38" s="21"/>
      <c r="QGE38" s="21"/>
      <c r="QGF38" s="21"/>
      <c r="QGG38" s="21"/>
      <c r="QGH38" s="21"/>
      <c r="QGI38" s="21"/>
      <c r="QGJ38" s="21"/>
      <c r="QGK38" s="21"/>
      <c r="QGL38" s="21"/>
      <c r="QGM38" s="21"/>
      <c r="QGN38" s="21"/>
      <c r="QGO38" s="21"/>
      <c r="QGP38" s="21"/>
      <c r="QGQ38" s="21"/>
      <c r="QGR38" s="21"/>
      <c r="QGS38" s="21"/>
      <c r="QGT38" s="21"/>
      <c r="QGU38" s="21"/>
      <c r="QGV38" s="21"/>
      <c r="QGW38" s="21"/>
      <c r="QGX38" s="21"/>
      <c r="QGY38" s="21"/>
      <c r="QGZ38" s="21"/>
      <c r="QHA38" s="21"/>
      <c r="QHB38" s="21"/>
      <c r="QHC38" s="21"/>
      <c r="QHD38" s="21"/>
      <c r="QHE38" s="21"/>
      <c r="QHF38" s="21"/>
      <c r="QHG38" s="21"/>
      <c r="QHH38" s="21"/>
      <c r="QHI38" s="21"/>
      <c r="QHJ38" s="21"/>
      <c r="QHK38" s="21"/>
      <c r="QHL38" s="21"/>
      <c r="QHM38" s="21"/>
      <c r="QHN38" s="21"/>
      <c r="QHO38" s="21"/>
      <c r="QHP38" s="21"/>
      <c r="QHQ38" s="21"/>
      <c r="QHR38" s="21"/>
      <c r="QHS38" s="21"/>
      <c r="QHT38" s="21"/>
      <c r="QHU38" s="21"/>
      <c r="QHV38" s="21"/>
      <c r="QHW38" s="21"/>
      <c r="QHX38" s="21"/>
      <c r="QHY38" s="21"/>
      <c r="QHZ38" s="21"/>
      <c r="QIA38" s="21"/>
      <c r="QIB38" s="21"/>
      <c r="QIC38" s="21"/>
      <c r="QID38" s="21"/>
      <c r="QIE38" s="21"/>
      <c r="QIF38" s="21"/>
      <c r="QIG38" s="21"/>
      <c r="QIH38" s="21"/>
      <c r="QII38" s="21"/>
      <c r="QIJ38" s="21"/>
      <c r="QIK38" s="21"/>
      <c r="QIL38" s="21"/>
      <c r="QIM38" s="21"/>
      <c r="QIN38" s="21"/>
      <c r="QIO38" s="21"/>
      <c r="QIP38" s="21"/>
      <c r="QIQ38" s="21"/>
      <c r="QIR38" s="21"/>
      <c r="QIS38" s="21"/>
      <c r="QIT38" s="21"/>
      <c r="QIU38" s="21"/>
      <c r="QIV38" s="21"/>
      <c r="QIW38" s="21"/>
      <c r="QIX38" s="21"/>
      <c r="QIY38" s="21"/>
      <c r="QIZ38" s="21"/>
      <c r="QJA38" s="21"/>
      <c r="QJB38" s="21"/>
      <c r="QJC38" s="21"/>
      <c r="QJD38" s="21"/>
      <c r="QJE38" s="21"/>
      <c r="QJF38" s="21"/>
      <c r="QJG38" s="21"/>
      <c r="QJH38" s="21"/>
      <c r="QJI38" s="21"/>
      <c r="QJJ38" s="21"/>
      <c r="QJK38" s="21"/>
      <c r="QJL38" s="21"/>
      <c r="QJM38" s="21"/>
      <c r="QJN38" s="21"/>
      <c r="QJO38" s="21"/>
      <c r="QJP38" s="21"/>
      <c r="QJQ38" s="21"/>
      <c r="QJR38" s="21"/>
      <c r="QJS38" s="21"/>
      <c r="QJT38" s="21"/>
      <c r="QJU38" s="21"/>
      <c r="QJV38" s="21"/>
      <c r="QJW38" s="21"/>
      <c r="QJX38" s="21"/>
      <c r="QJY38" s="21"/>
      <c r="QJZ38" s="21"/>
      <c r="QKA38" s="21"/>
      <c r="QKB38" s="21"/>
      <c r="QKC38" s="21"/>
      <c r="QKD38" s="21"/>
      <c r="QKE38" s="21"/>
      <c r="QKF38" s="21"/>
      <c r="QKG38" s="21"/>
      <c r="QKH38" s="21"/>
      <c r="QKI38" s="21"/>
      <c r="QKJ38" s="21"/>
      <c r="QKK38" s="21"/>
      <c r="QKL38" s="21"/>
      <c r="QKM38" s="21"/>
      <c r="QKN38" s="21"/>
      <c r="QKO38" s="21"/>
      <c r="QKP38" s="21"/>
      <c r="QKQ38" s="21"/>
      <c r="QKR38" s="21"/>
      <c r="QKS38" s="21"/>
      <c r="QKT38" s="21"/>
      <c r="QKU38" s="21"/>
      <c r="QKV38" s="21"/>
      <c r="QKW38" s="21"/>
      <c r="QKX38" s="21"/>
      <c r="QKY38" s="21"/>
      <c r="QKZ38" s="21"/>
      <c r="QLA38" s="21"/>
      <c r="QLB38" s="21"/>
      <c r="QLC38" s="21"/>
      <c r="QLD38" s="21"/>
      <c r="QLE38" s="21"/>
      <c r="QLF38" s="21"/>
      <c r="QLG38" s="21"/>
      <c r="QLH38" s="21"/>
      <c r="QLI38" s="21"/>
      <c r="QLJ38" s="21"/>
      <c r="QLK38" s="21"/>
      <c r="QLL38" s="21"/>
      <c r="QLM38" s="21"/>
      <c r="QLN38" s="21"/>
      <c r="QLO38" s="21"/>
      <c r="QLP38" s="21"/>
      <c r="QLQ38" s="21"/>
      <c r="QLR38" s="21"/>
      <c r="QLS38" s="21"/>
      <c r="QLT38" s="21"/>
      <c r="QLU38" s="21"/>
      <c r="QLV38" s="21"/>
      <c r="QLW38" s="21"/>
      <c r="QLX38" s="21"/>
      <c r="QLY38" s="21"/>
      <c r="QLZ38" s="21"/>
      <c r="QMA38" s="21"/>
      <c r="QMB38" s="21"/>
      <c r="QMC38" s="21"/>
      <c r="QMD38" s="21"/>
      <c r="QME38" s="21"/>
      <c r="QMF38" s="21"/>
      <c r="QMG38" s="21"/>
      <c r="QMH38" s="21"/>
      <c r="QMI38" s="21"/>
      <c r="QMJ38" s="21"/>
      <c r="QMK38" s="21"/>
      <c r="QML38" s="21"/>
      <c r="QMM38" s="21"/>
      <c r="QMN38" s="21"/>
      <c r="QMO38" s="21"/>
      <c r="QMP38" s="21"/>
      <c r="QMQ38" s="21"/>
      <c r="QMR38" s="21"/>
      <c r="QMS38" s="21"/>
      <c r="QMT38" s="21"/>
      <c r="QMU38" s="21"/>
      <c r="QMV38" s="21"/>
      <c r="QMW38" s="21"/>
      <c r="QMX38" s="21"/>
      <c r="QMY38" s="21"/>
      <c r="QMZ38" s="21"/>
      <c r="QNA38" s="21"/>
      <c r="QNB38" s="21"/>
      <c r="QNC38" s="21"/>
      <c r="QND38" s="21"/>
      <c r="QNE38" s="21"/>
      <c r="QNF38" s="21"/>
      <c r="QNG38" s="21"/>
      <c r="QNH38" s="21"/>
      <c r="QNI38" s="21"/>
      <c r="QNJ38" s="21"/>
      <c r="QNK38" s="21"/>
      <c r="QNL38" s="21"/>
      <c r="QNM38" s="21"/>
      <c r="QNN38" s="21"/>
      <c r="QNO38" s="21"/>
      <c r="QNP38" s="21"/>
      <c r="QNQ38" s="21"/>
      <c r="QNR38" s="21"/>
      <c r="QNS38" s="21"/>
      <c r="QNT38" s="21"/>
      <c r="QNU38" s="21"/>
      <c r="QNV38" s="21"/>
      <c r="QNW38" s="21"/>
      <c r="QNX38" s="21"/>
      <c r="QNY38" s="21"/>
      <c r="QNZ38" s="21"/>
      <c r="QOA38" s="21"/>
      <c r="QOB38" s="21"/>
      <c r="QOC38" s="21"/>
      <c r="QOD38" s="21"/>
      <c r="QOE38" s="21"/>
      <c r="QOF38" s="21"/>
      <c r="QOG38" s="21"/>
      <c r="QOH38" s="21"/>
      <c r="QOI38" s="21"/>
      <c r="QOJ38" s="21"/>
      <c r="QOK38" s="21"/>
      <c r="QOL38" s="21"/>
      <c r="QOM38" s="21"/>
      <c r="QON38" s="21"/>
      <c r="QOO38" s="21"/>
      <c r="QOP38" s="21"/>
      <c r="QOQ38" s="21"/>
      <c r="QOR38" s="21"/>
      <c r="QOS38" s="21"/>
      <c r="QOT38" s="21"/>
      <c r="QOU38" s="21"/>
      <c r="QOV38" s="21"/>
      <c r="QOW38" s="21"/>
      <c r="QOX38" s="21"/>
      <c r="QOY38" s="21"/>
      <c r="QOZ38" s="21"/>
      <c r="QPA38" s="21"/>
      <c r="QPB38" s="21"/>
      <c r="QPC38" s="21"/>
      <c r="QPD38" s="21"/>
      <c r="QPE38" s="21"/>
      <c r="QPF38" s="21"/>
      <c r="QPG38" s="21"/>
      <c r="QPH38" s="21"/>
      <c r="QPI38" s="21"/>
      <c r="QPJ38" s="21"/>
      <c r="QPK38" s="21"/>
      <c r="QPL38" s="21"/>
      <c r="QPM38" s="21"/>
      <c r="QPN38" s="21"/>
      <c r="QPO38" s="21"/>
      <c r="QPP38" s="21"/>
      <c r="QPQ38" s="21"/>
      <c r="QPR38" s="21"/>
      <c r="QPS38" s="21"/>
      <c r="QPT38" s="21"/>
      <c r="QPU38" s="21"/>
      <c r="QPV38" s="21"/>
      <c r="QPW38" s="21"/>
      <c r="QPX38" s="21"/>
      <c r="QPY38" s="21"/>
      <c r="QPZ38" s="21"/>
      <c r="QQA38" s="21"/>
      <c r="QQB38" s="21"/>
      <c r="QQC38" s="21"/>
      <c r="QQD38" s="21"/>
      <c r="QQE38" s="21"/>
      <c r="QQF38" s="21"/>
      <c r="QQG38" s="21"/>
      <c r="QQH38" s="21"/>
      <c r="QQI38" s="21"/>
      <c r="QQJ38" s="21"/>
      <c r="QQK38" s="21"/>
      <c r="QQL38" s="21"/>
      <c r="QQM38" s="21"/>
      <c r="QQN38" s="21"/>
      <c r="QQO38" s="21"/>
      <c r="QQP38" s="21"/>
      <c r="QQQ38" s="21"/>
      <c r="QQR38" s="21"/>
      <c r="QQS38" s="21"/>
      <c r="QQT38" s="21"/>
      <c r="QQU38" s="21"/>
      <c r="QQV38" s="21"/>
      <c r="QQW38" s="21"/>
      <c r="QQX38" s="21"/>
      <c r="QQY38" s="21"/>
      <c r="QQZ38" s="21"/>
      <c r="QRA38" s="21"/>
      <c r="QRB38" s="21"/>
      <c r="QRC38" s="21"/>
      <c r="QRD38" s="21"/>
      <c r="QRE38" s="21"/>
      <c r="QRF38" s="21"/>
      <c r="QRG38" s="21"/>
      <c r="QRH38" s="21"/>
      <c r="QRI38" s="21"/>
      <c r="QRJ38" s="21"/>
      <c r="QRK38" s="21"/>
      <c r="QRL38" s="21"/>
      <c r="QRM38" s="21"/>
      <c r="QRN38" s="21"/>
      <c r="QRO38" s="21"/>
      <c r="QRP38" s="21"/>
      <c r="QRQ38" s="21"/>
      <c r="QRR38" s="21"/>
      <c r="QRS38" s="21"/>
      <c r="QRT38" s="21"/>
      <c r="QRU38" s="21"/>
      <c r="QRV38" s="21"/>
      <c r="QRW38" s="21"/>
      <c r="QRX38" s="21"/>
      <c r="QRY38" s="21"/>
      <c r="QRZ38" s="21"/>
      <c r="QSA38" s="21"/>
      <c r="QSB38" s="21"/>
      <c r="QSC38" s="21"/>
      <c r="QSD38" s="21"/>
      <c r="QSE38" s="21"/>
      <c r="QSF38" s="21"/>
      <c r="QSG38" s="21"/>
      <c r="QSH38" s="21"/>
      <c r="QSI38" s="21"/>
      <c r="QSJ38" s="21"/>
      <c r="QSK38" s="21"/>
      <c r="QSL38" s="21"/>
      <c r="QSM38" s="21"/>
      <c r="QSN38" s="21"/>
      <c r="QSO38" s="21"/>
      <c r="QSP38" s="21"/>
      <c r="QSQ38" s="21"/>
      <c r="QSR38" s="21"/>
      <c r="QSS38" s="21"/>
      <c r="QST38" s="21"/>
      <c r="QSU38" s="21"/>
      <c r="QSV38" s="21"/>
      <c r="QSW38" s="21"/>
      <c r="QSX38" s="21"/>
      <c r="QSY38" s="21"/>
      <c r="QSZ38" s="21"/>
      <c r="QTA38" s="21"/>
      <c r="QTB38" s="21"/>
      <c r="QTC38" s="21"/>
      <c r="QTD38" s="21"/>
      <c r="QTE38" s="21"/>
      <c r="QTF38" s="21"/>
      <c r="QTG38" s="21"/>
      <c r="QTH38" s="21"/>
      <c r="QTI38" s="21"/>
      <c r="QTJ38" s="21"/>
      <c r="QTK38" s="21"/>
      <c r="QTL38" s="21"/>
      <c r="QTM38" s="21"/>
      <c r="QTN38" s="21"/>
      <c r="QTO38" s="21"/>
      <c r="QTP38" s="21"/>
      <c r="QTQ38" s="21"/>
      <c r="QTR38" s="21"/>
      <c r="QTS38" s="21"/>
      <c r="QTT38" s="21"/>
      <c r="QTU38" s="21"/>
      <c r="QTV38" s="21"/>
      <c r="QTW38" s="21"/>
      <c r="QTX38" s="21"/>
      <c r="QTY38" s="21"/>
      <c r="QTZ38" s="21"/>
      <c r="QUA38" s="21"/>
      <c r="QUB38" s="21"/>
      <c r="QUC38" s="21"/>
      <c r="QUD38" s="21"/>
      <c r="QUE38" s="21"/>
      <c r="QUF38" s="21"/>
      <c r="QUG38" s="21"/>
      <c r="QUH38" s="21"/>
      <c r="QUI38" s="21"/>
      <c r="QUJ38" s="21"/>
      <c r="QUK38" s="21"/>
      <c r="QUL38" s="21"/>
      <c r="QUM38" s="21"/>
      <c r="QUN38" s="21"/>
      <c r="QUO38" s="21"/>
      <c r="QUP38" s="21"/>
      <c r="QUQ38" s="21"/>
      <c r="QUR38" s="21"/>
      <c r="QUS38" s="21"/>
      <c r="QUT38" s="21"/>
      <c r="QUU38" s="21"/>
      <c r="QUV38" s="21"/>
      <c r="QUW38" s="21"/>
      <c r="QUX38" s="21"/>
      <c r="QUY38" s="21"/>
      <c r="QUZ38" s="21"/>
      <c r="QVA38" s="21"/>
      <c r="QVB38" s="21"/>
      <c r="QVC38" s="21"/>
      <c r="QVD38" s="21"/>
      <c r="QVE38" s="21"/>
      <c r="QVF38" s="21"/>
      <c r="QVG38" s="21"/>
      <c r="QVH38" s="21"/>
      <c r="QVI38" s="21"/>
      <c r="QVJ38" s="21"/>
      <c r="QVK38" s="21"/>
      <c r="QVL38" s="21"/>
      <c r="QVM38" s="21"/>
      <c r="QVN38" s="21"/>
      <c r="QVO38" s="21"/>
      <c r="QVP38" s="21"/>
      <c r="QVQ38" s="21"/>
      <c r="QVR38" s="21"/>
      <c r="QVS38" s="21"/>
      <c r="QVT38" s="21"/>
      <c r="QVU38" s="21"/>
      <c r="QVV38" s="21"/>
      <c r="QVW38" s="21"/>
      <c r="QVX38" s="21"/>
      <c r="QVY38" s="21"/>
      <c r="QVZ38" s="21"/>
      <c r="QWA38" s="21"/>
      <c r="QWB38" s="21"/>
      <c r="QWC38" s="21"/>
      <c r="QWD38" s="21"/>
      <c r="QWE38" s="21"/>
      <c r="QWF38" s="21"/>
      <c r="QWG38" s="21"/>
      <c r="QWH38" s="21"/>
      <c r="QWI38" s="21"/>
      <c r="QWJ38" s="21"/>
      <c r="QWK38" s="21"/>
      <c r="QWL38" s="21"/>
      <c r="QWM38" s="21"/>
      <c r="QWN38" s="21"/>
      <c r="QWO38" s="21"/>
      <c r="QWP38" s="21"/>
      <c r="QWQ38" s="21"/>
      <c r="QWR38" s="21"/>
      <c r="QWS38" s="21"/>
      <c r="QWT38" s="21"/>
      <c r="QWU38" s="21"/>
      <c r="QWV38" s="21"/>
      <c r="QWW38" s="21"/>
      <c r="QWX38" s="21"/>
      <c r="QWY38" s="21"/>
      <c r="QWZ38" s="21"/>
      <c r="QXA38" s="21"/>
      <c r="QXB38" s="21"/>
      <c r="QXC38" s="21"/>
      <c r="QXD38" s="21"/>
      <c r="QXE38" s="21"/>
      <c r="QXF38" s="21"/>
      <c r="QXG38" s="21"/>
      <c r="QXH38" s="21"/>
      <c r="QXI38" s="21"/>
      <c r="QXJ38" s="21"/>
      <c r="QXK38" s="21"/>
      <c r="QXL38" s="21"/>
      <c r="QXM38" s="21"/>
      <c r="QXN38" s="21"/>
      <c r="QXO38" s="21"/>
      <c r="QXP38" s="21"/>
      <c r="QXQ38" s="21"/>
      <c r="QXR38" s="21"/>
      <c r="QXS38" s="21"/>
      <c r="QXT38" s="21"/>
      <c r="QXU38" s="21"/>
      <c r="QXV38" s="21"/>
      <c r="QXW38" s="21"/>
      <c r="QXX38" s="21"/>
      <c r="QXY38" s="21"/>
      <c r="QXZ38" s="21"/>
      <c r="QYA38" s="21"/>
      <c r="QYB38" s="21"/>
      <c r="QYC38" s="21"/>
      <c r="QYD38" s="21"/>
      <c r="QYE38" s="21"/>
      <c r="QYF38" s="21"/>
      <c r="QYG38" s="21"/>
      <c r="QYH38" s="21"/>
      <c r="QYI38" s="21"/>
      <c r="QYJ38" s="21"/>
      <c r="QYK38" s="21"/>
      <c r="QYL38" s="21"/>
      <c r="QYM38" s="21"/>
      <c r="QYN38" s="21"/>
      <c r="QYO38" s="21"/>
      <c r="QYP38" s="21"/>
      <c r="QYQ38" s="21"/>
      <c r="QYR38" s="21"/>
      <c r="QYS38" s="21"/>
      <c r="QYT38" s="21"/>
      <c r="QYU38" s="21"/>
      <c r="QYV38" s="21"/>
      <c r="QYW38" s="21"/>
      <c r="QYX38" s="21"/>
      <c r="QYY38" s="21"/>
      <c r="QYZ38" s="21"/>
      <c r="QZA38" s="21"/>
      <c r="QZB38" s="21"/>
      <c r="QZC38" s="21"/>
      <c r="QZD38" s="21"/>
      <c r="QZE38" s="21"/>
      <c r="QZF38" s="21"/>
      <c r="QZG38" s="21"/>
      <c r="QZH38" s="21"/>
      <c r="QZI38" s="21"/>
      <c r="QZJ38" s="21"/>
      <c r="QZK38" s="21"/>
      <c r="QZL38" s="21"/>
      <c r="QZM38" s="21"/>
      <c r="QZN38" s="21"/>
      <c r="QZO38" s="21"/>
      <c r="QZP38" s="21"/>
      <c r="QZQ38" s="21"/>
      <c r="QZR38" s="21"/>
      <c r="QZS38" s="21"/>
      <c r="QZT38" s="21"/>
      <c r="QZU38" s="21"/>
      <c r="QZV38" s="21"/>
      <c r="QZW38" s="21"/>
      <c r="QZX38" s="21"/>
      <c r="QZY38" s="21"/>
      <c r="QZZ38" s="21"/>
      <c r="RAA38" s="21"/>
      <c r="RAB38" s="21"/>
      <c r="RAC38" s="21"/>
      <c r="RAD38" s="21"/>
      <c r="RAE38" s="21"/>
      <c r="RAF38" s="21"/>
      <c r="RAG38" s="21"/>
      <c r="RAH38" s="21"/>
      <c r="RAI38" s="21"/>
      <c r="RAJ38" s="21"/>
      <c r="RAK38" s="21"/>
      <c r="RAL38" s="21"/>
      <c r="RAM38" s="21"/>
      <c r="RAN38" s="21"/>
      <c r="RAO38" s="21"/>
      <c r="RAP38" s="21"/>
      <c r="RAQ38" s="21"/>
      <c r="RAR38" s="21"/>
      <c r="RAS38" s="21"/>
      <c r="RAT38" s="21"/>
      <c r="RAU38" s="21"/>
      <c r="RAV38" s="21"/>
      <c r="RAW38" s="21"/>
      <c r="RAX38" s="21"/>
      <c r="RAY38" s="21"/>
      <c r="RAZ38" s="21"/>
      <c r="RBA38" s="21"/>
      <c r="RBB38" s="21"/>
      <c r="RBC38" s="21"/>
      <c r="RBD38" s="21"/>
      <c r="RBE38" s="21"/>
      <c r="RBF38" s="21"/>
      <c r="RBG38" s="21"/>
      <c r="RBH38" s="21"/>
      <c r="RBI38" s="21"/>
      <c r="RBJ38" s="21"/>
      <c r="RBK38" s="21"/>
      <c r="RBL38" s="21"/>
      <c r="RBM38" s="21"/>
      <c r="RBN38" s="21"/>
      <c r="RBO38" s="21"/>
      <c r="RBP38" s="21"/>
      <c r="RBQ38" s="21"/>
      <c r="RBR38" s="21"/>
      <c r="RBS38" s="21"/>
      <c r="RBT38" s="21"/>
      <c r="RBU38" s="21"/>
      <c r="RBV38" s="21"/>
      <c r="RBW38" s="21"/>
      <c r="RBX38" s="21"/>
      <c r="RBY38" s="21"/>
      <c r="RBZ38" s="21"/>
      <c r="RCA38" s="21"/>
      <c r="RCB38" s="21"/>
      <c r="RCC38" s="21"/>
      <c r="RCD38" s="21"/>
      <c r="RCE38" s="21"/>
      <c r="RCF38" s="21"/>
      <c r="RCG38" s="21"/>
      <c r="RCH38" s="21"/>
      <c r="RCI38" s="21"/>
      <c r="RCJ38" s="21"/>
      <c r="RCK38" s="21"/>
      <c r="RCL38" s="21"/>
      <c r="RCM38" s="21"/>
      <c r="RCN38" s="21"/>
      <c r="RCO38" s="21"/>
      <c r="RCP38" s="21"/>
      <c r="RCQ38" s="21"/>
      <c r="RCR38" s="21"/>
      <c r="RCS38" s="21"/>
      <c r="RCT38" s="21"/>
      <c r="RCU38" s="21"/>
      <c r="RCV38" s="21"/>
      <c r="RCW38" s="21"/>
      <c r="RCX38" s="21"/>
      <c r="RCY38" s="21"/>
      <c r="RCZ38" s="21"/>
      <c r="RDA38" s="21"/>
      <c r="RDB38" s="21"/>
      <c r="RDC38" s="21"/>
      <c r="RDD38" s="21"/>
      <c r="RDE38" s="21"/>
      <c r="RDF38" s="21"/>
      <c r="RDG38" s="21"/>
      <c r="RDH38" s="21"/>
      <c r="RDI38" s="21"/>
      <c r="RDJ38" s="21"/>
      <c r="RDK38" s="21"/>
      <c r="RDL38" s="21"/>
      <c r="RDM38" s="21"/>
      <c r="RDN38" s="21"/>
      <c r="RDO38" s="21"/>
      <c r="RDP38" s="21"/>
      <c r="RDQ38" s="21"/>
      <c r="RDR38" s="21"/>
      <c r="RDS38" s="21"/>
      <c r="RDT38" s="21"/>
      <c r="RDU38" s="21"/>
      <c r="RDV38" s="21"/>
      <c r="RDW38" s="21"/>
      <c r="RDX38" s="21"/>
      <c r="RDY38" s="21"/>
      <c r="RDZ38" s="21"/>
      <c r="REA38" s="21"/>
      <c r="REB38" s="21"/>
      <c r="REC38" s="21"/>
      <c r="RED38" s="21"/>
      <c r="REE38" s="21"/>
      <c r="REF38" s="21"/>
      <c r="REG38" s="21"/>
      <c r="REH38" s="21"/>
      <c r="REI38" s="21"/>
      <c r="REJ38" s="21"/>
      <c r="REK38" s="21"/>
      <c r="REL38" s="21"/>
      <c r="REM38" s="21"/>
      <c r="REN38" s="21"/>
      <c r="REO38" s="21"/>
      <c r="REP38" s="21"/>
      <c r="REQ38" s="21"/>
      <c r="RER38" s="21"/>
      <c r="RES38" s="21"/>
      <c r="RET38" s="21"/>
      <c r="REU38" s="21"/>
      <c r="REV38" s="21"/>
      <c r="REW38" s="21"/>
      <c r="REX38" s="21"/>
      <c r="REY38" s="21"/>
      <c r="REZ38" s="21"/>
      <c r="RFA38" s="21"/>
      <c r="RFB38" s="21"/>
      <c r="RFC38" s="21"/>
      <c r="RFD38" s="21"/>
      <c r="RFE38" s="21"/>
      <c r="RFF38" s="21"/>
      <c r="RFG38" s="21"/>
      <c r="RFH38" s="21"/>
      <c r="RFI38" s="21"/>
      <c r="RFJ38" s="21"/>
      <c r="RFK38" s="21"/>
      <c r="RFL38" s="21"/>
      <c r="RFM38" s="21"/>
      <c r="RFN38" s="21"/>
      <c r="RFO38" s="21"/>
      <c r="RFP38" s="21"/>
      <c r="RFQ38" s="21"/>
      <c r="RFR38" s="21"/>
      <c r="RFS38" s="21"/>
      <c r="RFT38" s="21"/>
      <c r="RFU38" s="21"/>
      <c r="RFV38" s="21"/>
      <c r="RFW38" s="21"/>
      <c r="RFX38" s="21"/>
      <c r="RFY38" s="21"/>
      <c r="RFZ38" s="21"/>
      <c r="RGA38" s="21"/>
      <c r="RGB38" s="21"/>
      <c r="RGC38" s="21"/>
      <c r="RGD38" s="21"/>
      <c r="RGE38" s="21"/>
      <c r="RGF38" s="21"/>
      <c r="RGG38" s="21"/>
      <c r="RGH38" s="21"/>
      <c r="RGI38" s="21"/>
      <c r="RGJ38" s="21"/>
      <c r="RGK38" s="21"/>
      <c r="RGL38" s="21"/>
      <c r="RGM38" s="21"/>
      <c r="RGN38" s="21"/>
      <c r="RGO38" s="21"/>
      <c r="RGP38" s="21"/>
      <c r="RGQ38" s="21"/>
      <c r="RGR38" s="21"/>
      <c r="RGS38" s="21"/>
      <c r="RGT38" s="21"/>
      <c r="RGU38" s="21"/>
      <c r="RGV38" s="21"/>
      <c r="RGW38" s="21"/>
      <c r="RGX38" s="21"/>
      <c r="RGY38" s="21"/>
      <c r="RGZ38" s="21"/>
      <c r="RHA38" s="21"/>
      <c r="RHB38" s="21"/>
      <c r="RHC38" s="21"/>
      <c r="RHD38" s="21"/>
      <c r="RHE38" s="21"/>
      <c r="RHF38" s="21"/>
      <c r="RHG38" s="21"/>
      <c r="RHH38" s="21"/>
      <c r="RHI38" s="21"/>
      <c r="RHJ38" s="21"/>
      <c r="RHK38" s="21"/>
      <c r="RHL38" s="21"/>
      <c r="RHM38" s="21"/>
      <c r="RHN38" s="21"/>
      <c r="RHO38" s="21"/>
      <c r="RHP38" s="21"/>
      <c r="RHQ38" s="21"/>
      <c r="RHR38" s="21"/>
      <c r="RHS38" s="21"/>
      <c r="RHT38" s="21"/>
      <c r="RHU38" s="21"/>
      <c r="RHV38" s="21"/>
      <c r="RHW38" s="21"/>
      <c r="RHX38" s="21"/>
      <c r="RHY38" s="21"/>
      <c r="RHZ38" s="21"/>
      <c r="RIA38" s="21"/>
      <c r="RIB38" s="21"/>
      <c r="RIC38" s="21"/>
      <c r="RID38" s="21"/>
      <c r="RIE38" s="21"/>
      <c r="RIF38" s="21"/>
      <c r="RIG38" s="21"/>
      <c r="RIH38" s="21"/>
      <c r="RII38" s="21"/>
      <c r="RIJ38" s="21"/>
      <c r="RIK38" s="21"/>
      <c r="RIL38" s="21"/>
      <c r="RIM38" s="21"/>
      <c r="RIN38" s="21"/>
      <c r="RIO38" s="21"/>
      <c r="RIP38" s="21"/>
      <c r="RIQ38" s="21"/>
      <c r="RIR38" s="21"/>
      <c r="RIS38" s="21"/>
      <c r="RIT38" s="21"/>
      <c r="RIU38" s="21"/>
      <c r="RIV38" s="21"/>
      <c r="RIW38" s="21"/>
      <c r="RIX38" s="21"/>
      <c r="RIY38" s="21"/>
      <c r="RIZ38" s="21"/>
      <c r="RJA38" s="21"/>
      <c r="RJB38" s="21"/>
      <c r="RJC38" s="21"/>
      <c r="RJD38" s="21"/>
      <c r="RJE38" s="21"/>
      <c r="RJF38" s="21"/>
      <c r="RJG38" s="21"/>
      <c r="RJH38" s="21"/>
      <c r="RJI38" s="21"/>
      <c r="RJJ38" s="21"/>
      <c r="RJK38" s="21"/>
      <c r="RJL38" s="21"/>
      <c r="RJM38" s="21"/>
      <c r="RJN38" s="21"/>
      <c r="RJO38" s="21"/>
      <c r="RJP38" s="21"/>
      <c r="RJQ38" s="21"/>
      <c r="RJR38" s="21"/>
      <c r="RJS38" s="21"/>
      <c r="RJT38" s="21"/>
      <c r="RJU38" s="21"/>
      <c r="RJV38" s="21"/>
      <c r="RJW38" s="21"/>
      <c r="RJX38" s="21"/>
      <c r="RJY38" s="21"/>
      <c r="RJZ38" s="21"/>
      <c r="RKA38" s="21"/>
      <c r="RKB38" s="21"/>
      <c r="RKC38" s="21"/>
      <c r="RKD38" s="21"/>
      <c r="RKE38" s="21"/>
      <c r="RKF38" s="21"/>
      <c r="RKG38" s="21"/>
      <c r="RKH38" s="21"/>
      <c r="RKI38" s="21"/>
      <c r="RKJ38" s="21"/>
      <c r="RKK38" s="21"/>
      <c r="RKL38" s="21"/>
      <c r="RKM38" s="21"/>
      <c r="RKN38" s="21"/>
      <c r="RKO38" s="21"/>
      <c r="RKP38" s="21"/>
      <c r="RKQ38" s="21"/>
      <c r="RKR38" s="21"/>
      <c r="RKS38" s="21"/>
      <c r="RKT38" s="21"/>
      <c r="RKU38" s="21"/>
      <c r="RKV38" s="21"/>
      <c r="RKW38" s="21"/>
      <c r="RKX38" s="21"/>
      <c r="RKY38" s="21"/>
      <c r="RKZ38" s="21"/>
      <c r="RLA38" s="21"/>
      <c r="RLB38" s="21"/>
      <c r="RLC38" s="21"/>
      <c r="RLD38" s="21"/>
      <c r="RLE38" s="21"/>
      <c r="RLF38" s="21"/>
      <c r="RLG38" s="21"/>
      <c r="RLH38" s="21"/>
      <c r="RLI38" s="21"/>
      <c r="RLJ38" s="21"/>
      <c r="RLK38" s="21"/>
      <c r="RLL38" s="21"/>
      <c r="RLM38" s="21"/>
      <c r="RLN38" s="21"/>
      <c r="RLO38" s="21"/>
      <c r="RLP38" s="21"/>
      <c r="RLQ38" s="21"/>
      <c r="RLR38" s="21"/>
      <c r="RLS38" s="21"/>
      <c r="RLT38" s="21"/>
      <c r="RLU38" s="21"/>
      <c r="RLV38" s="21"/>
      <c r="RLW38" s="21"/>
      <c r="RLX38" s="21"/>
      <c r="RLY38" s="21"/>
      <c r="RLZ38" s="21"/>
      <c r="RMA38" s="21"/>
      <c r="RMB38" s="21"/>
      <c r="RMC38" s="21"/>
      <c r="RMD38" s="21"/>
      <c r="RME38" s="21"/>
      <c r="RMF38" s="21"/>
      <c r="RMG38" s="21"/>
      <c r="RMH38" s="21"/>
      <c r="RMI38" s="21"/>
      <c r="RMJ38" s="21"/>
      <c r="RMK38" s="21"/>
      <c r="RML38" s="21"/>
      <c r="RMM38" s="21"/>
      <c r="RMN38" s="21"/>
      <c r="RMO38" s="21"/>
      <c r="RMP38" s="21"/>
      <c r="RMQ38" s="21"/>
      <c r="RMR38" s="21"/>
      <c r="RMS38" s="21"/>
      <c r="RMT38" s="21"/>
      <c r="RMU38" s="21"/>
      <c r="RMV38" s="21"/>
      <c r="RMW38" s="21"/>
      <c r="RMX38" s="21"/>
      <c r="RMY38" s="21"/>
      <c r="RMZ38" s="21"/>
      <c r="RNA38" s="21"/>
      <c r="RNB38" s="21"/>
      <c r="RNC38" s="21"/>
      <c r="RND38" s="21"/>
      <c r="RNE38" s="21"/>
      <c r="RNF38" s="21"/>
      <c r="RNG38" s="21"/>
      <c r="RNH38" s="21"/>
      <c r="RNI38" s="21"/>
      <c r="RNJ38" s="21"/>
      <c r="RNK38" s="21"/>
      <c r="RNL38" s="21"/>
      <c r="RNM38" s="21"/>
      <c r="RNN38" s="21"/>
      <c r="RNO38" s="21"/>
      <c r="RNP38" s="21"/>
      <c r="RNQ38" s="21"/>
      <c r="RNR38" s="21"/>
      <c r="RNS38" s="21"/>
      <c r="RNT38" s="21"/>
      <c r="RNU38" s="21"/>
      <c r="RNV38" s="21"/>
      <c r="RNW38" s="21"/>
      <c r="RNX38" s="21"/>
      <c r="RNY38" s="21"/>
      <c r="RNZ38" s="21"/>
      <c r="ROA38" s="21"/>
      <c r="ROB38" s="21"/>
      <c r="ROC38" s="21"/>
      <c r="ROD38" s="21"/>
      <c r="ROE38" s="21"/>
      <c r="ROF38" s="21"/>
      <c r="ROG38" s="21"/>
      <c r="ROH38" s="21"/>
      <c r="ROI38" s="21"/>
      <c r="ROJ38" s="21"/>
      <c r="ROK38" s="21"/>
      <c r="ROL38" s="21"/>
      <c r="ROM38" s="21"/>
      <c r="RON38" s="21"/>
      <c r="ROO38" s="21"/>
      <c r="ROP38" s="21"/>
      <c r="ROQ38" s="21"/>
      <c r="ROR38" s="21"/>
      <c r="ROS38" s="21"/>
      <c r="ROT38" s="21"/>
      <c r="ROU38" s="21"/>
      <c r="ROV38" s="21"/>
      <c r="ROW38" s="21"/>
      <c r="ROX38" s="21"/>
      <c r="ROY38" s="21"/>
      <c r="ROZ38" s="21"/>
      <c r="RPA38" s="21"/>
      <c r="RPB38" s="21"/>
      <c r="RPC38" s="21"/>
      <c r="RPD38" s="21"/>
      <c r="RPE38" s="21"/>
      <c r="RPF38" s="21"/>
      <c r="RPG38" s="21"/>
      <c r="RPH38" s="21"/>
      <c r="RPI38" s="21"/>
      <c r="RPJ38" s="21"/>
      <c r="RPK38" s="21"/>
      <c r="RPL38" s="21"/>
      <c r="RPM38" s="21"/>
      <c r="RPN38" s="21"/>
      <c r="RPO38" s="21"/>
      <c r="RPP38" s="21"/>
      <c r="RPQ38" s="21"/>
      <c r="RPR38" s="21"/>
      <c r="RPS38" s="21"/>
      <c r="RPT38" s="21"/>
      <c r="RPU38" s="21"/>
      <c r="RPV38" s="21"/>
      <c r="RPW38" s="21"/>
      <c r="RPX38" s="21"/>
      <c r="RPY38" s="21"/>
      <c r="RPZ38" s="21"/>
      <c r="RQA38" s="21"/>
      <c r="RQB38" s="21"/>
      <c r="RQC38" s="21"/>
      <c r="RQD38" s="21"/>
      <c r="RQE38" s="21"/>
      <c r="RQF38" s="21"/>
      <c r="RQG38" s="21"/>
      <c r="RQH38" s="21"/>
      <c r="RQI38" s="21"/>
      <c r="RQJ38" s="21"/>
      <c r="RQK38" s="21"/>
      <c r="RQL38" s="21"/>
      <c r="RQM38" s="21"/>
      <c r="RQN38" s="21"/>
      <c r="RQO38" s="21"/>
      <c r="RQP38" s="21"/>
      <c r="RQQ38" s="21"/>
      <c r="RQR38" s="21"/>
      <c r="RQS38" s="21"/>
      <c r="RQT38" s="21"/>
      <c r="RQU38" s="21"/>
      <c r="RQV38" s="21"/>
      <c r="RQW38" s="21"/>
      <c r="RQX38" s="21"/>
      <c r="RQY38" s="21"/>
      <c r="RQZ38" s="21"/>
      <c r="RRA38" s="21"/>
      <c r="RRB38" s="21"/>
      <c r="RRC38" s="21"/>
      <c r="RRD38" s="21"/>
      <c r="RRE38" s="21"/>
      <c r="RRF38" s="21"/>
      <c r="RRG38" s="21"/>
      <c r="RRH38" s="21"/>
      <c r="RRI38" s="21"/>
      <c r="RRJ38" s="21"/>
      <c r="RRK38" s="21"/>
      <c r="RRL38" s="21"/>
      <c r="RRM38" s="21"/>
      <c r="RRN38" s="21"/>
      <c r="RRO38" s="21"/>
      <c r="RRP38" s="21"/>
      <c r="RRQ38" s="21"/>
      <c r="RRR38" s="21"/>
      <c r="RRS38" s="21"/>
      <c r="RRT38" s="21"/>
      <c r="RRU38" s="21"/>
      <c r="RRV38" s="21"/>
      <c r="RRW38" s="21"/>
      <c r="RRX38" s="21"/>
      <c r="RRY38" s="21"/>
      <c r="RRZ38" s="21"/>
      <c r="RSA38" s="21"/>
      <c r="RSB38" s="21"/>
      <c r="RSC38" s="21"/>
      <c r="RSD38" s="21"/>
      <c r="RSE38" s="21"/>
      <c r="RSF38" s="21"/>
      <c r="RSG38" s="21"/>
      <c r="RSH38" s="21"/>
      <c r="RSI38" s="21"/>
      <c r="RSJ38" s="21"/>
      <c r="RSK38" s="21"/>
      <c r="RSL38" s="21"/>
      <c r="RSM38" s="21"/>
      <c r="RSN38" s="21"/>
      <c r="RSO38" s="21"/>
      <c r="RSP38" s="21"/>
      <c r="RSQ38" s="21"/>
      <c r="RSR38" s="21"/>
      <c r="RSS38" s="21"/>
      <c r="RST38" s="21"/>
      <c r="RSU38" s="21"/>
      <c r="RSV38" s="21"/>
      <c r="RSW38" s="21"/>
      <c r="RSX38" s="21"/>
      <c r="RSY38" s="21"/>
      <c r="RSZ38" s="21"/>
      <c r="RTA38" s="21"/>
      <c r="RTB38" s="21"/>
      <c r="RTC38" s="21"/>
      <c r="RTD38" s="21"/>
      <c r="RTE38" s="21"/>
      <c r="RTF38" s="21"/>
      <c r="RTG38" s="21"/>
      <c r="RTH38" s="21"/>
      <c r="RTI38" s="21"/>
      <c r="RTJ38" s="21"/>
      <c r="RTK38" s="21"/>
      <c r="RTL38" s="21"/>
      <c r="RTM38" s="21"/>
      <c r="RTN38" s="21"/>
      <c r="RTO38" s="21"/>
      <c r="RTP38" s="21"/>
      <c r="RTQ38" s="21"/>
      <c r="RTR38" s="21"/>
      <c r="RTS38" s="21"/>
      <c r="RTT38" s="21"/>
      <c r="RTU38" s="21"/>
      <c r="RTV38" s="21"/>
      <c r="RTW38" s="21"/>
      <c r="RTX38" s="21"/>
      <c r="RTY38" s="21"/>
      <c r="RTZ38" s="21"/>
      <c r="RUA38" s="21"/>
      <c r="RUB38" s="21"/>
      <c r="RUC38" s="21"/>
      <c r="RUD38" s="21"/>
      <c r="RUE38" s="21"/>
      <c r="RUF38" s="21"/>
      <c r="RUG38" s="21"/>
      <c r="RUH38" s="21"/>
      <c r="RUI38" s="21"/>
      <c r="RUJ38" s="21"/>
      <c r="RUK38" s="21"/>
      <c r="RUL38" s="21"/>
      <c r="RUM38" s="21"/>
      <c r="RUN38" s="21"/>
      <c r="RUO38" s="21"/>
      <c r="RUP38" s="21"/>
      <c r="RUQ38" s="21"/>
      <c r="RUR38" s="21"/>
      <c r="RUS38" s="21"/>
      <c r="RUT38" s="21"/>
      <c r="RUU38" s="21"/>
      <c r="RUV38" s="21"/>
      <c r="RUW38" s="21"/>
      <c r="RUX38" s="21"/>
      <c r="RUY38" s="21"/>
      <c r="RUZ38" s="21"/>
      <c r="RVA38" s="21"/>
      <c r="RVB38" s="21"/>
      <c r="RVC38" s="21"/>
      <c r="RVD38" s="21"/>
      <c r="RVE38" s="21"/>
      <c r="RVF38" s="21"/>
      <c r="RVG38" s="21"/>
      <c r="RVH38" s="21"/>
      <c r="RVI38" s="21"/>
      <c r="RVJ38" s="21"/>
      <c r="RVK38" s="21"/>
      <c r="RVL38" s="21"/>
      <c r="RVM38" s="21"/>
      <c r="RVN38" s="21"/>
      <c r="RVO38" s="21"/>
      <c r="RVP38" s="21"/>
      <c r="RVQ38" s="21"/>
      <c r="RVR38" s="21"/>
      <c r="RVS38" s="21"/>
      <c r="RVT38" s="21"/>
      <c r="RVU38" s="21"/>
      <c r="RVV38" s="21"/>
      <c r="RVW38" s="21"/>
      <c r="RVX38" s="21"/>
      <c r="RVY38" s="21"/>
      <c r="RVZ38" s="21"/>
      <c r="RWA38" s="21"/>
      <c r="RWB38" s="21"/>
      <c r="RWC38" s="21"/>
      <c r="RWD38" s="21"/>
      <c r="RWE38" s="21"/>
      <c r="RWF38" s="21"/>
      <c r="RWG38" s="21"/>
      <c r="RWH38" s="21"/>
      <c r="RWI38" s="21"/>
      <c r="RWJ38" s="21"/>
      <c r="RWK38" s="21"/>
      <c r="RWL38" s="21"/>
      <c r="RWM38" s="21"/>
      <c r="RWN38" s="21"/>
      <c r="RWO38" s="21"/>
      <c r="RWP38" s="21"/>
      <c r="RWQ38" s="21"/>
      <c r="RWR38" s="21"/>
      <c r="RWS38" s="21"/>
      <c r="RWT38" s="21"/>
      <c r="RWU38" s="21"/>
      <c r="RWV38" s="21"/>
      <c r="RWW38" s="21"/>
      <c r="RWX38" s="21"/>
      <c r="RWY38" s="21"/>
      <c r="RWZ38" s="21"/>
      <c r="RXA38" s="21"/>
      <c r="RXB38" s="21"/>
      <c r="RXC38" s="21"/>
      <c r="RXD38" s="21"/>
      <c r="RXE38" s="21"/>
      <c r="RXF38" s="21"/>
      <c r="RXG38" s="21"/>
      <c r="RXH38" s="21"/>
      <c r="RXI38" s="21"/>
      <c r="RXJ38" s="21"/>
      <c r="RXK38" s="21"/>
      <c r="RXL38" s="21"/>
      <c r="RXM38" s="21"/>
      <c r="RXN38" s="21"/>
      <c r="RXO38" s="21"/>
      <c r="RXP38" s="21"/>
      <c r="RXQ38" s="21"/>
      <c r="RXR38" s="21"/>
      <c r="RXS38" s="21"/>
      <c r="RXT38" s="21"/>
      <c r="RXU38" s="21"/>
      <c r="RXV38" s="21"/>
      <c r="RXW38" s="21"/>
      <c r="RXX38" s="21"/>
      <c r="RXY38" s="21"/>
      <c r="RXZ38" s="21"/>
      <c r="RYA38" s="21"/>
      <c r="RYB38" s="21"/>
      <c r="RYC38" s="21"/>
      <c r="RYD38" s="21"/>
      <c r="RYE38" s="21"/>
      <c r="RYF38" s="21"/>
      <c r="RYG38" s="21"/>
      <c r="RYH38" s="21"/>
      <c r="RYI38" s="21"/>
      <c r="RYJ38" s="21"/>
      <c r="RYK38" s="21"/>
      <c r="RYL38" s="21"/>
      <c r="RYM38" s="21"/>
      <c r="RYN38" s="21"/>
      <c r="RYO38" s="21"/>
      <c r="RYP38" s="21"/>
      <c r="RYQ38" s="21"/>
      <c r="RYR38" s="21"/>
      <c r="RYS38" s="21"/>
      <c r="RYT38" s="21"/>
      <c r="RYU38" s="21"/>
      <c r="RYV38" s="21"/>
      <c r="RYW38" s="21"/>
      <c r="RYX38" s="21"/>
      <c r="RYY38" s="21"/>
      <c r="RYZ38" s="21"/>
      <c r="RZA38" s="21"/>
      <c r="RZB38" s="21"/>
      <c r="RZC38" s="21"/>
      <c r="RZD38" s="21"/>
      <c r="RZE38" s="21"/>
      <c r="RZF38" s="21"/>
      <c r="RZG38" s="21"/>
      <c r="RZH38" s="21"/>
      <c r="RZI38" s="21"/>
      <c r="RZJ38" s="21"/>
      <c r="RZK38" s="21"/>
      <c r="RZL38" s="21"/>
      <c r="RZM38" s="21"/>
      <c r="RZN38" s="21"/>
      <c r="RZO38" s="21"/>
      <c r="RZP38" s="21"/>
      <c r="RZQ38" s="21"/>
      <c r="RZR38" s="21"/>
      <c r="RZS38" s="21"/>
      <c r="RZT38" s="21"/>
      <c r="RZU38" s="21"/>
      <c r="RZV38" s="21"/>
      <c r="RZW38" s="21"/>
      <c r="RZX38" s="21"/>
      <c r="RZY38" s="21"/>
      <c r="RZZ38" s="21"/>
      <c r="SAA38" s="21"/>
      <c r="SAB38" s="21"/>
      <c r="SAC38" s="21"/>
      <c r="SAD38" s="21"/>
      <c r="SAE38" s="21"/>
      <c r="SAF38" s="21"/>
      <c r="SAG38" s="21"/>
      <c r="SAH38" s="21"/>
      <c r="SAI38" s="21"/>
      <c r="SAJ38" s="21"/>
      <c r="SAK38" s="21"/>
      <c r="SAL38" s="21"/>
      <c r="SAM38" s="21"/>
      <c r="SAN38" s="21"/>
      <c r="SAO38" s="21"/>
      <c r="SAP38" s="21"/>
      <c r="SAQ38" s="21"/>
      <c r="SAR38" s="21"/>
      <c r="SAS38" s="21"/>
      <c r="SAT38" s="21"/>
      <c r="SAU38" s="21"/>
      <c r="SAV38" s="21"/>
      <c r="SAW38" s="21"/>
      <c r="SAX38" s="21"/>
      <c r="SAY38" s="21"/>
      <c r="SAZ38" s="21"/>
      <c r="SBA38" s="21"/>
      <c r="SBB38" s="21"/>
      <c r="SBC38" s="21"/>
      <c r="SBD38" s="21"/>
      <c r="SBE38" s="21"/>
      <c r="SBF38" s="21"/>
      <c r="SBG38" s="21"/>
      <c r="SBH38" s="21"/>
      <c r="SBI38" s="21"/>
      <c r="SBJ38" s="21"/>
      <c r="SBK38" s="21"/>
      <c r="SBL38" s="21"/>
      <c r="SBM38" s="21"/>
      <c r="SBN38" s="21"/>
      <c r="SBO38" s="21"/>
      <c r="SBP38" s="21"/>
      <c r="SBQ38" s="21"/>
      <c r="SBR38" s="21"/>
      <c r="SBS38" s="21"/>
      <c r="SBT38" s="21"/>
      <c r="SBU38" s="21"/>
      <c r="SBV38" s="21"/>
      <c r="SBW38" s="21"/>
      <c r="SBX38" s="21"/>
      <c r="SBY38" s="21"/>
      <c r="SBZ38" s="21"/>
      <c r="SCA38" s="21"/>
      <c r="SCB38" s="21"/>
      <c r="SCC38" s="21"/>
      <c r="SCD38" s="21"/>
      <c r="SCE38" s="21"/>
      <c r="SCF38" s="21"/>
      <c r="SCG38" s="21"/>
      <c r="SCH38" s="21"/>
      <c r="SCI38" s="21"/>
      <c r="SCJ38" s="21"/>
      <c r="SCK38" s="21"/>
      <c r="SCL38" s="21"/>
      <c r="SCM38" s="21"/>
      <c r="SCN38" s="21"/>
      <c r="SCO38" s="21"/>
      <c r="SCP38" s="21"/>
      <c r="SCQ38" s="21"/>
      <c r="SCR38" s="21"/>
      <c r="SCS38" s="21"/>
      <c r="SCT38" s="21"/>
      <c r="SCU38" s="21"/>
      <c r="SCV38" s="21"/>
      <c r="SCW38" s="21"/>
      <c r="SCX38" s="21"/>
      <c r="SCY38" s="21"/>
      <c r="SCZ38" s="21"/>
      <c r="SDA38" s="21"/>
      <c r="SDB38" s="21"/>
      <c r="SDC38" s="21"/>
      <c r="SDD38" s="21"/>
      <c r="SDE38" s="21"/>
      <c r="SDF38" s="21"/>
      <c r="SDG38" s="21"/>
      <c r="SDH38" s="21"/>
      <c r="SDI38" s="21"/>
      <c r="SDJ38" s="21"/>
      <c r="SDK38" s="21"/>
      <c r="SDL38" s="21"/>
      <c r="SDM38" s="21"/>
      <c r="SDN38" s="21"/>
      <c r="SDO38" s="21"/>
      <c r="SDP38" s="21"/>
      <c r="SDQ38" s="21"/>
      <c r="SDR38" s="21"/>
      <c r="SDS38" s="21"/>
      <c r="SDT38" s="21"/>
      <c r="SDU38" s="21"/>
      <c r="SDV38" s="21"/>
      <c r="SDW38" s="21"/>
      <c r="SDX38" s="21"/>
      <c r="SDY38" s="21"/>
      <c r="SDZ38" s="21"/>
      <c r="SEA38" s="21"/>
      <c r="SEB38" s="21"/>
      <c r="SEC38" s="21"/>
      <c r="SED38" s="21"/>
      <c r="SEE38" s="21"/>
      <c r="SEF38" s="21"/>
      <c r="SEG38" s="21"/>
      <c r="SEH38" s="21"/>
      <c r="SEI38" s="21"/>
      <c r="SEJ38" s="21"/>
      <c r="SEK38" s="21"/>
      <c r="SEL38" s="21"/>
      <c r="SEM38" s="21"/>
      <c r="SEN38" s="21"/>
      <c r="SEO38" s="21"/>
      <c r="SEP38" s="21"/>
      <c r="SEQ38" s="21"/>
      <c r="SER38" s="21"/>
      <c r="SES38" s="21"/>
      <c r="SET38" s="21"/>
      <c r="SEU38" s="21"/>
      <c r="SEV38" s="21"/>
      <c r="SEW38" s="21"/>
      <c r="SEX38" s="21"/>
      <c r="SEY38" s="21"/>
      <c r="SEZ38" s="21"/>
      <c r="SFA38" s="21"/>
      <c r="SFB38" s="21"/>
      <c r="SFC38" s="21"/>
      <c r="SFD38" s="21"/>
      <c r="SFE38" s="21"/>
      <c r="SFF38" s="21"/>
      <c r="SFG38" s="21"/>
      <c r="SFH38" s="21"/>
      <c r="SFI38" s="21"/>
      <c r="SFJ38" s="21"/>
      <c r="SFK38" s="21"/>
      <c r="SFL38" s="21"/>
      <c r="SFM38" s="21"/>
      <c r="SFN38" s="21"/>
      <c r="SFO38" s="21"/>
      <c r="SFP38" s="21"/>
      <c r="SFQ38" s="21"/>
      <c r="SFR38" s="21"/>
      <c r="SFS38" s="21"/>
      <c r="SFT38" s="21"/>
      <c r="SFU38" s="21"/>
      <c r="SFV38" s="21"/>
      <c r="SFW38" s="21"/>
      <c r="SFX38" s="21"/>
      <c r="SFY38" s="21"/>
      <c r="SFZ38" s="21"/>
      <c r="SGA38" s="21"/>
      <c r="SGB38" s="21"/>
      <c r="SGC38" s="21"/>
      <c r="SGD38" s="21"/>
      <c r="SGE38" s="21"/>
      <c r="SGF38" s="21"/>
      <c r="SGG38" s="21"/>
      <c r="SGH38" s="21"/>
      <c r="SGI38" s="21"/>
      <c r="SGJ38" s="21"/>
      <c r="SGK38" s="21"/>
      <c r="SGL38" s="21"/>
      <c r="SGM38" s="21"/>
      <c r="SGN38" s="21"/>
      <c r="SGO38" s="21"/>
      <c r="SGP38" s="21"/>
      <c r="SGQ38" s="21"/>
      <c r="SGR38" s="21"/>
      <c r="SGS38" s="21"/>
      <c r="SGT38" s="21"/>
      <c r="SGU38" s="21"/>
      <c r="SGV38" s="21"/>
      <c r="SGW38" s="21"/>
      <c r="SGX38" s="21"/>
      <c r="SGY38" s="21"/>
      <c r="SGZ38" s="21"/>
      <c r="SHA38" s="21"/>
      <c r="SHB38" s="21"/>
      <c r="SHC38" s="21"/>
      <c r="SHD38" s="21"/>
      <c r="SHE38" s="21"/>
      <c r="SHF38" s="21"/>
      <c r="SHG38" s="21"/>
      <c r="SHH38" s="21"/>
      <c r="SHI38" s="21"/>
      <c r="SHJ38" s="21"/>
      <c r="SHK38" s="21"/>
      <c r="SHL38" s="21"/>
      <c r="SHM38" s="21"/>
      <c r="SHN38" s="21"/>
      <c r="SHO38" s="21"/>
      <c r="SHP38" s="21"/>
      <c r="SHQ38" s="21"/>
      <c r="SHR38" s="21"/>
      <c r="SHS38" s="21"/>
      <c r="SHT38" s="21"/>
      <c r="SHU38" s="21"/>
      <c r="SHV38" s="21"/>
      <c r="SHW38" s="21"/>
      <c r="SHX38" s="21"/>
      <c r="SHY38" s="21"/>
      <c r="SHZ38" s="21"/>
      <c r="SIA38" s="21"/>
      <c r="SIB38" s="21"/>
      <c r="SIC38" s="21"/>
      <c r="SID38" s="21"/>
      <c r="SIE38" s="21"/>
      <c r="SIF38" s="21"/>
      <c r="SIG38" s="21"/>
      <c r="SIH38" s="21"/>
      <c r="SII38" s="21"/>
      <c r="SIJ38" s="21"/>
      <c r="SIK38" s="21"/>
      <c r="SIL38" s="21"/>
      <c r="SIM38" s="21"/>
      <c r="SIN38" s="21"/>
      <c r="SIO38" s="21"/>
      <c r="SIP38" s="21"/>
      <c r="SIQ38" s="21"/>
      <c r="SIR38" s="21"/>
      <c r="SIS38" s="21"/>
      <c r="SIT38" s="21"/>
      <c r="SIU38" s="21"/>
      <c r="SIV38" s="21"/>
      <c r="SIW38" s="21"/>
      <c r="SIX38" s="21"/>
      <c r="SIY38" s="21"/>
      <c r="SIZ38" s="21"/>
      <c r="SJA38" s="21"/>
      <c r="SJB38" s="21"/>
      <c r="SJC38" s="21"/>
      <c r="SJD38" s="21"/>
      <c r="SJE38" s="21"/>
      <c r="SJF38" s="21"/>
      <c r="SJG38" s="21"/>
      <c r="SJH38" s="21"/>
      <c r="SJI38" s="21"/>
      <c r="SJJ38" s="21"/>
      <c r="SJK38" s="21"/>
      <c r="SJL38" s="21"/>
      <c r="SJM38" s="21"/>
      <c r="SJN38" s="21"/>
      <c r="SJO38" s="21"/>
      <c r="SJP38" s="21"/>
      <c r="SJQ38" s="21"/>
      <c r="SJR38" s="21"/>
      <c r="SJS38" s="21"/>
      <c r="SJT38" s="21"/>
      <c r="SJU38" s="21"/>
      <c r="SJV38" s="21"/>
      <c r="SJW38" s="21"/>
      <c r="SJX38" s="21"/>
      <c r="SJY38" s="21"/>
      <c r="SJZ38" s="21"/>
      <c r="SKA38" s="21"/>
      <c r="SKB38" s="21"/>
      <c r="SKC38" s="21"/>
      <c r="SKD38" s="21"/>
      <c r="SKE38" s="21"/>
      <c r="SKF38" s="21"/>
      <c r="SKG38" s="21"/>
      <c r="SKH38" s="21"/>
      <c r="SKI38" s="21"/>
      <c r="SKJ38" s="21"/>
      <c r="SKK38" s="21"/>
      <c r="SKL38" s="21"/>
      <c r="SKM38" s="21"/>
      <c r="SKN38" s="21"/>
      <c r="SKO38" s="21"/>
      <c r="SKP38" s="21"/>
      <c r="SKQ38" s="21"/>
      <c r="SKR38" s="21"/>
      <c r="SKS38" s="21"/>
      <c r="SKT38" s="21"/>
      <c r="SKU38" s="21"/>
      <c r="SKV38" s="21"/>
      <c r="SKW38" s="21"/>
      <c r="SKX38" s="21"/>
      <c r="SKY38" s="21"/>
      <c r="SKZ38" s="21"/>
      <c r="SLA38" s="21"/>
      <c r="SLB38" s="21"/>
      <c r="SLC38" s="21"/>
      <c r="SLD38" s="21"/>
      <c r="SLE38" s="21"/>
      <c r="SLF38" s="21"/>
      <c r="SLG38" s="21"/>
      <c r="SLH38" s="21"/>
      <c r="SLI38" s="21"/>
      <c r="SLJ38" s="21"/>
      <c r="SLK38" s="21"/>
      <c r="SLL38" s="21"/>
      <c r="SLM38" s="21"/>
      <c r="SLN38" s="21"/>
      <c r="SLO38" s="21"/>
      <c r="SLP38" s="21"/>
      <c r="SLQ38" s="21"/>
      <c r="SLR38" s="21"/>
      <c r="SLS38" s="21"/>
      <c r="SLT38" s="21"/>
      <c r="SLU38" s="21"/>
      <c r="SLV38" s="21"/>
      <c r="SLW38" s="21"/>
      <c r="SLX38" s="21"/>
      <c r="SLY38" s="21"/>
      <c r="SLZ38" s="21"/>
      <c r="SMA38" s="21"/>
      <c r="SMB38" s="21"/>
      <c r="SMC38" s="21"/>
      <c r="SMD38" s="21"/>
      <c r="SME38" s="21"/>
      <c r="SMF38" s="21"/>
      <c r="SMG38" s="21"/>
      <c r="SMH38" s="21"/>
      <c r="SMI38" s="21"/>
      <c r="SMJ38" s="21"/>
      <c r="SMK38" s="21"/>
      <c r="SML38" s="21"/>
      <c r="SMM38" s="21"/>
      <c r="SMN38" s="21"/>
      <c r="SMO38" s="21"/>
      <c r="SMP38" s="21"/>
      <c r="SMQ38" s="21"/>
      <c r="SMR38" s="21"/>
      <c r="SMS38" s="21"/>
      <c r="SMT38" s="21"/>
      <c r="SMU38" s="21"/>
      <c r="SMV38" s="21"/>
      <c r="SMW38" s="21"/>
      <c r="SMX38" s="21"/>
      <c r="SMY38" s="21"/>
      <c r="SMZ38" s="21"/>
      <c r="SNA38" s="21"/>
      <c r="SNB38" s="21"/>
      <c r="SNC38" s="21"/>
      <c r="SND38" s="21"/>
      <c r="SNE38" s="21"/>
      <c r="SNF38" s="21"/>
      <c r="SNG38" s="21"/>
      <c r="SNH38" s="21"/>
      <c r="SNI38" s="21"/>
      <c r="SNJ38" s="21"/>
      <c r="SNK38" s="21"/>
      <c r="SNL38" s="21"/>
      <c r="SNM38" s="21"/>
      <c r="SNN38" s="21"/>
      <c r="SNO38" s="21"/>
      <c r="SNP38" s="21"/>
      <c r="SNQ38" s="21"/>
      <c r="SNR38" s="21"/>
      <c r="SNS38" s="21"/>
      <c r="SNT38" s="21"/>
      <c r="SNU38" s="21"/>
      <c r="SNV38" s="21"/>
      <c r="SNW38" s="21"/>
      <c r="SNX38" s="21"/>
      <c r="SNY38" s="21"/>
      <c r="SNZ38" s="21"/>
      <c r="SOA38" s="21"/>
      <c r="SOB38" s="21"/>
      <c r="SOC38" s="21"/>
      <c r="SOD38" s="21"/>
      <c r="SOE38" s="21"/>
      <c r="SOF38" s="21"/>
      <c r="SOG38" s="21"/>
      <c r="SOH38" s="21"/>
      <c r="SOI38" s="21"/>
      <c r="SOJ38" s="21"/>
      <c r="SOK38" s="21"/>
      <c r="SOL38" s="21"/>
      <c r="SOM38" s="21"/>
      <c r="SON38" s="21"/>
      <c r="SOO38" s="21"/>
      <c r="SOP38" s="21"/>
      <c r="SOQ38" s="21"/>
      <c r="SOR38" s="21"/>
      <c r="SOS38" s="21"/>
      <c r="SOT38" s="21"/>
      <c r="SOU38" s="21"/>
      <c r="SOV38" s="21"/>
      <c r="SOW38" s="21"/>
      <c r="SOX38" s="21"/>
      <c r="SOY38" s="21"/>
      <c r="SOZ38" s="21"/>
      <c r="SPA38" s="21"/>
      <c r="SPB38" s="21"/>
      <c r="SPC38" s="21"/>
      <c r="SPD38" s="21"/>
      <c r="SPE38" s="21"/>
      <c r="SPF38" s="21"/>
      <c r="SPG38" s="21"/>
      <c r="SPH38" s="21"/>
      <c r="SPI38" s="21"/>
      <c r="SPJ38" s="21"/>
      <c r="SPK38" s="21"/>
      <c r="SPL38" s="21"/>
      <c r="SPM38" s="21"/>
      <c r="SPN38" s="21"/>
      <c r="SPO38" s="21"/>
      <c r="SPP38" s="21"/>
      <c r="SPQ38" s="21"/>
      <c r="SPR38" s="21"/>
      <c r="SPS38" s="21"/>
      <c r="SPT38" s="21"/>
      <c r="SPU38" s="21"/>
      <c r="SPV38" s="21"/>
      <c r="SPW38" s="21"/>
      <c r="SPX38" s="21"/>
      <c r="SPY38" s="21"/>
      <c r="SPZ38" s="21"/>
      <c r="SQA38" s="21"/>
      <c r="SQB38" s="21"/>
      <c r="SQC38" s="21"/>
      <c r="SQD38" s="21"/>
      <c r="SQE38" s="21"/>
      <c r="SQF38" s="21"/>
      <c r="SQG38" s="21"/>
      <c r="SQH38" s="21"/>
      <c r="SQI38" s="21"/>
      <c r="SQJ38" s="21"/>
      <c r="SQK38" s="21"/>
      <c r="SQL38" s="21"/>
      <c r="SQM38" s="21"/>
      <c r="SQN38" s="21"/>
      <c r="SQO38" s="21"/>
      <c r="SQP38" s="21"/>
      <c r="SQQ38" s="21"/>
      <c r="SQR38" s="21"/>
      <c r="SQS38" s="21"/>
      <c r="SQT38" s="21"/>
      <c r="SQU38" s="21"/>
      <c r="SQV38" s="21"/>
      <c r="SQW38" s="21"/>
      <c r="SQX38" s="21"/>
      <c r="SQY38" s="21"/>
      <c r="SQZ38" s="21"/>
      <c r="SRA38" s="21"/>
      <c r="SRB38" s="21"/>
      <c r="SRC38" s="21"/>
      <c r="SRD38" s="21"/>
      <c r="SRE38" s="21"/>
      <c r="SRF38" s="21"/>
      <c r="SRG38" s="21"/>
      <c r="SRH38" s="21"/>
      <c r="SRI38" s="21"/>
      <c r="SRJ38" s="21"/>
      <c r="SRK38" s="21"/>
      <c r="SRL38" s="21"/>
      <c r="SRM38" s="21"/>
      <c r="SRN38" s="21"/>
      <c r="SRO38" s="21"/>
      <c r="SRP38" s="21"/>
      <c r="SRQ38" s="21"/>
      <c r="SRR38" s="21"/>
      <c r="SRS38" s="21"/>
      <c r="SRT38" s="21"/>
      <c r="SRU38" s="21"/>
      <c r="SRV38" s="21"/>
      <c r="SRW38" s="21"/>
      <c r="SRX38" s="21"/>
      <c r="SRY38" s="21"/>
      <c r="SRZ38" s="21"/>
      <c r="SSA38" s="21"/>
      <c r="SSB38" s="21"/>
      <c r="SSC38" s="21"/>
      <c r="SSD38" s="21"/>
      <c r="SSE38" s="21"/>
      <c r="SSF38" s="21"/>
      <c r="SSG38" s="21"/>
      <c r="SSH38" s="21"/>
      <c r="SSI38" s="21"/>
      <c r="SSJ38" s="21"/>
      <c r="SSK38" s="21"/>
      <c r="SSL38" s="21"/>
      <c r="SSM38" s="21"/>
      <c r="SSN38" s="21"/>
      <c r="SSO38" s="21"/>
      <c r="SSP38" s="21"/>
      <c r="SSQ38" s="21"/>
      <c r="SSR38" s="21"/>
      <c r="SSS38" s="21"/>
      <c r="SST38" s="21"/>
      <c r="SSU38" s="21"/>
      <c r="SSV38" s="21"/>
      <c r="SSW38" s="21"/>
      <c r="SSX38" s="21"/>
      <c r="SSY38" s="21"/>
      <c r="SSZ38" s="21"/>
      <c r="STA38" s="21"/>
      <c r="STB38" s="21"/>
      <c r="STC38" s="21"/>
      <c r="STD38" s="21"/>
      <c r="STE38" s="21"/>
      <c r="STF38" s="21"/>
      <c r="STG38" s="21"/>
      <c r="STH38" s="21"/>
      <c r="STI38" s="21"/>
      <c r="STJ38" s="21"/>
      <c r="STK38" s="21"/>
      <c r="STL38" s="21"/>
      <c r="STM38" s="21"/>
      <c r="STN38" s="21"/>
      <c r="STO38" s="21"/>
      <c r="STP38" s="21"/>
      <c r="STQ38" s="21"/>
      <c r="STR38" s="21"/>
      <c r="STS38" s="21"/>
      <c r="STT38" s="21"/>
      <c r="STU38" s="21"/>
      <c r="STV38" s="21"/>
      <c r="STW38" s="21"/>
      <c r="STX38" s="21"/>
      <c r="STY38" s="21"/>
      <c r="STZ38" s="21"/>
      <c r="SUA38" s="21"/>
      <c r="SUB38" s="21"/>
      <c r="SUC38" s="21"/>
      <c r="SUD38" s="21"/>
      <c r="SUE38" s="21"/>
      <c r="SUF38" s="21"/>
      <c r="SUG38" s="21"/>
      <c r="SUH38" s="21"/>
      <c r="SUI38" s="21"/>
      <c r="SUJ38" s="21"/>
      <c r="SUK38" s="21"/>
      <c r="SUL38" s="21"/>
      <c r="SUM38" s="21"/>
      <c r="SUN38" s="21"/>
      <c r="SUO38" s="21"/>
      <c r="SUP38" s="21"/>
      <c r="SUQ38" s="21"/>
      <c r="SUR38" s="21"/>
      <c r="SUS38" s="21"/>
      <c r="SUT38" s="21"/>
      <c r="SUU38" s="21"/>
      <c r="SUV38" s="21"/>
      <c r="SUW38" s="21"/>
      <c r="SUX38" s="21"/>
      <c r="SUY38" s="21"/>
      <c r="SUZ38" s="21"/>
      <c r="SVA38" s="21"/>
      <c r="SVB38" s="21"/>
      <c r="SVC38" s="21"/>
      <c r="SVD38" s="21"/>
      <c r="SVE38" s="21"/>
      <c r="SVF38" s="21"/>
      <c r="SVG38" s="21"/>
      <c r="SVH38" s="21"/>
      <c r="SVI38" s="21"/>
      <c r="SVJ38" s="21"/>
      <c r="SVK38" s="21"/>
      <c r="SVL38" s="21"/>
      <c r="SVM38" s="21"/>
      <c r="SVN38" s="21"/>
      <c r="SVO38" s="21"/>
      <c r="SVP38" s="21"/>
      <c r="SVQ38" s="21"/>
      <c r="SVR38" s="21"/>
      <c r="SVS38" s="21"/>
      <c r="SVT38" s="21"/>
      <c r="SVU38" s="21"/>
      <c r="SVV38" s="21"/>
      <c r="SVW38" s="21"/>
      <c r="SVX38" s="21"/>
      <c r="SVY38" s="21"/>
      <c r="SVZ38" s="21"/>
      <c r="SWA38" s="21"/>
      <c r="SWB38" s="21"/>
      <c r="SWC38" s="21"/>
      <c r="SWD38" s="21"/>
      <c r="SWE38" s="21"/>
      <c r="SWF38" s="21"/>
      <c r="SWG38" s="21"/>
      <c r="SWH38" s="21"/>
      <c r="SWI38" s="21"/>
      <c r="SWJ38" s="21"/>
      <c r="SWK38" s="21"/>
      <c r="SWL38" s="21"/>
      <c r="SWM38" s="21"/>
      <c r="SWN38" s="21"/>
      <c r="SWO38" s="21"/>
      <c r="SWP38" s="21"/>
      <c r="SWQ38" s="21"/>
      <c r="SWR38" s="21"/>
      <c r="SWS38" s="21"/>
      <c r="SWT38" s="21"/>
      <c r="SWU38" s="21"/>
      <c r="SWV38" s="21"/>
      <c r="SWW38" s="21"/>
      <c r="SWX38" s="21"/>
      <c r="SWY38" s="21"/>
      <c r="SWZ38" s="21"/>
      <c r="SXA38" s="21"/>
      <c r="SXB38" s="21"/>
      <c r="SXC38" s="21"/>
      <c r="SXD38" s="21"/>
      <c r="SXE38" s="21"/>
      <c r="SXF38" s="21"/>
      <c r="SXG38" s="21"/>
      <c r="SXH38" s="21"/>
      <c r="SXI38" s="21"/>
      <c r="SXJ38" s="21"/>
      <c r="SXK38" s="21"/>
      <c r="SXL38" s="21"/>
      <c r="SXM38" s="21"/>
      <c r="SXN38" s="21"/>
      <c r="SXO38" s="21"/>
      <c r="SXP38" s="21"/>
      <c r="SXQ38" s="21"/>
      <c r="SXR38" s="21"/>
      <c r="SXS38" s="21"/>
      <c r="SXT38" s="21"/>
      <c r="SXU38" s="21"/>
      <c r="SXV38" s="21"/>
      <c r="SXW38" s="21"/>
      <c r="SXX38" s="21"/>
      <c r="SXY38" s="21"/>
      <c r="SXZ38" s="21"/>
      <c r="SYA38" s="21"/>
      <c r="SYB38" s="21"/>
      <c r="SYC38" s="21"/>
      <c r="SYD38" s="21"/>
      <c r="SYE38" s="21"/>
      <c r="SYF38" s="21"/>
      <c r="SYG38" s="21"/>
      <c r="SYH38" s="21"/>
      <c r="SYI38" s="21"/>
      <c r="SYJ38" s="21"/>
      <c r="SYK38" s="21"/>
      <c r="SYL38" s="21"/>
      <c r="SYM38" s="21"/>
      <c r="SYN38" s="21"/>
      <c r="SYO38" s="21"/>
      <c r="SYP38" s="21"/>
      <c r="SYQ38" s="21"/>
      <c r="SYR38" s="21"/>
      <c r="SYS38" s="21"/>
      <c r="SYT38" s="21"/>
      <c r="SYU38" s="21"/>
      <c r="SYV38" s="21"/>
      <c r="SYW38" s="21"/>
      <c r="SYX38" s="21"/>
      <c r="SYY38" s="21"/>
      <c r="SYZ38" s="21"/>
      <c r="SZA38" s="21"/>
      <c r="SZB38" s="21"/>
      <c r="SZC38" s="21"/>
      <c r="SZD38" s="21"/>
      <c r="SZE38" s="21"/>
      <c r="SZF38" s="21"/>
      <c r="SZG38" s="21"/>
      <c r="SZH38" s="21"/>
      <c r="SZI38" s="21"/>
      <c r="SZJ38" s="21"/>
      <c r="SZK38" s="21"/>
      <c r="SZL38" s="21"/>
      <c r="SZM38" s="21"/>
      <c r="SZN38" s="21"/>
      <c r="SZO38" s="21"/>
      <c r="SZP38" s="21"/>
      <c r="SZQ38" s="21"/>
      <c r="SZR38" s="21"/>
      <c r="SZS38" s="21"/>
      <c r="SZT38" s="21"/>
      <c r="SZU38" s="21"/>
      <c r="SZV38" s="21"/>
      <c r="SZW38" s="21"/>
      <c r="SZX38" s="21"/>
      <c r="SZY38" s="21"/>
      <c r="SZZ38" s="21"/>
      <c r="TAA38" s="21"/>
      <c r="TAB38" s="21"/>
      <c r="TAC38" s="21"/>
      <c r="TAD38" s="21"/>
      <c r="TAE38" s="21"/>
      <c r="TAF38" s="21"/>
      <c r="TAG38" s="21"/>
      <c r="TAH38" s="21"/>
      <c r="TAI38" s="21"/>
      <c r="TAJ38" s="21"/>
      <c r="TAK38" s="21"/>
      <c r="TAL38" s="21"/>
      <c r="TAM38" s="21"/>
      <c r="TAN38" s="21"/>
      <c r="TAO38" s="21"/>
      <c r="TAP38" s="21"/>
      <c r="TAQ38" s="21"/>
      <c r="TAR38" s="21"/>
      <c r="TAS38" s="21"/>
      <c r="TAT38" s="21"/>
      <c r="TAU38" s="21"/>
      <c r="TAV38" s="21"/>
      <c r="TAW38" s="21"/>
      <c r="TAX38" s="21"/>
      <c r="TAY38" s="21"/>
      <c r="TAZ38" s="21"/>
      <c r="TBA38" s="21"/>
      <c r="TBB38" s="21"/>
      <c r="TBC38" s="21"/>
      <c r="TBD38" s="21"/>
      <c r="TBE38" s="21"/>
      <c r="TBF38" s="21"/>
      <c r="TBG38" s="21"/>
      <c r="TBH38" s="21"/>
      <c r="TBI38" s="21"/>
      <c r="TBJ38" s="21"/>
      <c r="TBK38" s="21"/>
      <c r="TBL38" s="21"/>
      <c r="TBM38" s="21"/>
      <c r="TBN38" s="21"/>
      <c r="TBO38" s="21"/>
      <c r="TBP38" s="21"/>
      <c r="TBQ38" s="21"/>
      <c r="TBR38" s="21"/>
      <c r="TBS38" s="21"/>
      <c r="TBT38" s="21"/>
      <c r="TBU38" s="21"/>
      <c r="TBV38" s="21"/>
      <c r="TBW38" s="21"/>
      <c r="TBX38" s="21"/>
      <c r="TBY38" s="21"/>
      <c r="TBZ38" s="21"/>
      <c r="TCA38" s="21"/>
      <c r="TCB38" s="21"/>
      <c r="TCC38" s="21"/>
      <c r="TCD38" s="21"/>
      <c r="TCE38" s="21"/>
      <c r="TCF38" s="21"/>
      <c r="TCG38" s="21"/>
      <c r="TCH38" s="21"/>
      <c r="TCI38" s="21"/>
      <c r="TCJ38" s="21"/>
      <c r="TCK38" s="21"/>
      <c r="TCL38" s="21"/>
      <c r="TCM38" s="21"/>
      <c r="TCN38" s="21"/>
      <c r="TCO38" s="21"/>
      <c r="TCP38" s="21"/>
      <c r="TCQ38" s="21"/>
      <c r="TCR38" s="21"/>
      <c r="TCS38" s="21"/>
      <c r="TCT38" s="21"/>
      <c r="TCU38" s="21"/>
      <c r="TCV38" s="21"/>
      <c r="TCW38" s="21"/>
      <c r="TCX38" s="21"/>
      <c r="TCY38" s="21"/>
      <c r="TCZ38" s="21"/>
      <c r="TDA38" s="21"/>
      <c r="TDB38" s="21"/>
      <c r="TDC38" s="21"/>
      <c r="TDD38" s="21"/>
      <c r="TDE38" s="21"/>
      <c r="TDF38" s="21"/>
      <c r="TDG38" s="21"/>
      <c r="TDH38" s="21"/>
      <c r="TDI38" s="21"/>
      <c r="TDJ38" s="21"/>
      <c r="TDK38" s="21"/>
      <c r="TDL38" s="21"/>
      <c r="TDM38" s="21"/>
      <c r="TDN38" s="21"/>
      <c r="TDO38" s="21"/>
      <c r="TDP38" s="21"/>
      <c r="TDQ38" s="21"/>
      <c r="TDR38" s="21"/>
      <c r="TDS38" s="21"/>
      <c r="TDT38" s="21"/>
      <c r="TDU38" s="21"/>
      <c r="TDV38" s="21"/>
      <c r="TDW38" s="21"/>
      <c r="TDX38" s="21"/>
      <c r="TDY38" s="21"/>
      <c r="TDZ38" s="21"/>
      <c r="TEA38" s="21"/>
      <c r="TEB38" s="21"/>
      <c r="TEC38" s="21"/>
      <c r="TED38" s="21"/>
      <c r="TEE38" s="21"/>
      <c r="TEF38" s="21"/>
      <c r="TEG38" s="21"/>
      <c r="TEH38" s="21"/>
      <c r="TEI38" s="21"/>
      <c r="TEJ38" s="21"/>
      <c r="TEK38" s="21"/>
      <c r="TEL38" s="21"/>
      <c r="TEM38" s="21"/>
      <c r="TEN38" s="21"/>
      <c r="TEO38" s="21"/>
      <c r="TEP38" s="21"/>
      <c r="TEQ38" s="21"/>
      <c r="TER38" s="21"/>
      <c r="TES38" s="21"/>
      <c r="TET38" s="21"/>
      <c r="TEU38" s="21"/>
      <c r="TEV38" s="21"/>
      <c r="TEW38" s="21"/>
      <c r="TEX38" s="21"/>
      <c r="TEY38" s="21"/>
      <c r="TEZ38" s="21"/>
      <c r="TFA38" s="21"/>
      <c r="TFB38" s="21"/>
      <c r="TFC38" s="21"/>
      <c r="TFD38" s="21"/>
      <c r="TFE38" s="21"/>
      <c r="TFF38" s="21"/>
      <c r="TFG38" s="21"/>
      <c r="TFH38" s="21"/>
      <c r="TFI38" s="21"/>
      <c r="TFJ38" s="21"/>
      <c r="TFK38" s="21"/>
      <c r="TFL38" s="21"/>
      <c r="TFM38" s="21"/>
      <c r="TFN38" s="21"/>
      <c r="TFO38" s="21"/>
      <c r="TFP38" s="21"/>
      <c r="TFQ38" s="21"/>
      <c r="TFR38" s="21"/>
      <c r="TFS38" s="21"/>
      <c r="TFT38" s="21"/>
      <c r="TFU38" s="21"/>
      <c r="TFV38" s="21"/>
      <c r="TFW38" s="21"/>
      <c r="TFX38" s="21"/>
      <c r="TFY38" s="21"/>
      <c r="TFZ38" s="21"/>
      <c r="TGA38" s="21"/>
      <c r="TGB38" s="21"/>
      <c r="TGC38" s="21"/>
      <c r="TGD38" s="21"/>
      <c r="TGE38" s="21"/>
      <c r="TGF38" s="21"/>
      <c r="TGG38" s="21"/>
      <c r="TGH38" s="21"/>
      <c r="TGI38" s="21"/>
      <c r="TGJ38" s="21"/>
      <c r="TGK38" s="21"/>
      <c r="TGL38" s="21"/>
      <c r="TGM38" s="21"/>
      <c r="TGN38" s="21"/>
      <c r="TGO38" s="21"/>
      <c r="TGP38" s="21"/>
      <c r="TGQ38" s="21"/>
      <c r="TGR38" s="21"/>
      <c r="TGS38" s="21"/>
      <c r="TGT38" s="21"/>
      <c r="TGU38" s="21"/>
      <c r="TGV38" s="21"/>
      <c r="TGW38" s="21"/>
      <c r="TGX38" s="21"/>
      <c r="TGY38" s="21"/>
      <c r="TGZ38" s="21"/>
      <c r="THA38" s="21"/>
      <c r="THB38" s="21"/>
      <c r="THC38" s="21"/>
      <c r="THD38" s="21"/>
      <c r="THE38" s="21"/>
      <c r="THF38" s="21"/>
      <c r="THG38" s="21"/>
      <c r="THH38" s="21"/>
      <c r="THI38" s="21"/>
      <c r="THJ38" s="21"/>
      <c r="THK38" s="21"/>
      <c r="THL38" s="21"/>
      <c r="THM38" s="21"/>
      <c r="THN38" s="21"/>
      <c r="THO38" s="21"/>
      <c r="THP38" s="21"/>
      <c r="THQ38" s="21"/>
      <c r="THR38" s="21"/>
      <c r="THS38" s="21"/>
      <c r="THT38" s="21"/>
      <c r="THU38" s="21"/>
      <c r="THV38" s="21"/>
      <c r="THW38" s="21"/>
      <c r="THX38" s="21"/>
      <c r="THY38" s="21"/>
      <c r="THZ38" s="21"/>
      <c r="TIA38" s="21"/>
      <c r="TIB38" s="21"/>
      <c r="TIC38" s="21"/>
      <c r="TID38" s="21"/>
      <c r="TIE38" s="21"/>
      <c r="TIF38" s="21"/>
      <c r="TIG38" s="21"/>
      <c r="TIH38" s="21"/>
      <c r="TII38" s="21"/>
      <c r="TIJ38" s="21"/>
      <c r="TIK38" s="21"/>
      <c r="TIL38" s="21"/>
      <c r="TIM38" s="21"/>
      <c r="TIN38" s="21"/>
      <c r="TIO38" s="21"/>
      <c r="TIP38" s="21"/>
      <c r="TIQ38" s="21"/>
      <c r="TIR38" s="21"/>
      <c r="TIS38" s="21"/>
      <c r="TIT38" s="21"/>
      <c r="TIU38" s="21"/>
      <c r="TIV38" s="21"/>
      <c r="TIW38" s="21"/>
      <c r="TIX38" s="21"/>
      <c r="TIY38" s="21"/>
      <c r="TIZ38" s="21"/>
      <c r="TJA38" s="21"/>
      <c r="TJB38" s="21"/>
      <c r="TJC38" s="21"/>
      <c r="TJD38" s="21"/>
      <c r="TJE38" s="21"/>
      <c r="TJF38" s="21"/>
      <c r="TJG38" s="21"/>
      <c r="TJH38" s="21"/>
      <c r="TJI38" s="21"/>
      <c r="TJJ38" s="21"/>
      <c r="TJK38" s="21"/>
      <c r="TJL38" s="21"/>
      <c r="TJM38" s="21"/>
      <c r="TJN38" s="21"/>
      <c r="TJO38" s="21"/>
      <c r="TJP38" s="21"/>
      <c r="TJQ38" s="21"/>
      <c r="TJR38" s="21"/>
      <c r="TJS38" s="21"/>
      <c r="TJT38" s="21"/>
      <c r="TJU38" s="21"/>
      <c r="TJV38" s="21"/>
      <c r="TJW38" s="21"/>
      <c r="TJX38" s="21"/>
      <c r="TJY38" s="21"/>
      <c r="TJZ38" s="21"/>
      <c r="TKA38" s="21"/>
      <c r="TKB38" s="21"/>
      <c r="TKC38" s="21"/>
      <c r="TKD38" s="21"/>
      <c r="TKE38" s="21"/>
      <c r="TKF38" s="21"/>
      <c r="TKG38" s="21"/>
      <c r="TKH38" s="21"/>
      <c r="TKI38" s="21"/>
      <c r="TKJ38" s="21"/>
      <c r="TKK38" s="21"/>
      <c r="TKL38" s="21"/>
      <c r="TKM38" s="21"/>
      <c r="TKN38" s="21"/>
      <c r="TKO38" s="21"/>
      <c r="TKP38" s="21"/>
      <c r="TKQ38" s="21"/>
      <c r="TKR38" s="21"/>
      <c r="TKS38" s="21"/>
      <c r="TKT38" s="21"/>
      <c r="TKU38" s="21"/>
      <c r="TKV38" s="21"/>
      <c r="TKW38" s="21"/>
      <c r="TKX38" s="21"/>
      <c r="TKY38" s="21"/>
      <c r="TKZ38" s="21"/>
      <c r="TLA38" s="21"/>
      <c r="TLB38" s="21"/>
      <c r="TLC38" s="21"/>
      <c r="TLD38" s="21"/>
      <c r="TLE38" s="21"/>
      <c r="TLF38" s="21"/>
      <c r="TLG38" s="21"/>
      <c r="TLH38" s="21"/>
      <c r="TLI38" s="21"/>
      <c r="TLJ38" s="21"/>
      <c r="TLK38" s="21"/>
      <c r="TLL38" s="21"/>
      <c r="TLM38" s="21"/>
      <c r="TLN38" s="21"/>
      <c r="TLO38" s="21"/>
      <c r="TLP38" s="21"/>
      <c r="TLQ38" s="21"/>
      <c r="TLR38" s="21"/>
      <c r="TLS38" s="21"/>
      <c r="TLT38" s="21"/>
      <c r="TLU38" s="21"/>
      <c r="TLV38" s="21"/>
      <c r="TLW38" s="21"/>
      <c r="TLX38" s="21"/>
      <c r="TLY38" s="21"/>
      <c r="TLZ38" s="21"/>
      <c r="TMA38" s="21"/>
      <c r="TMB38" s="21"/>
      <c r="TMC38" s="21"/>
      <c r="TMD38" s="21"/>
      <c r="TME38" s="21"/>
      <c r="TMF38" s="21"/>
      <c r="TMG38" s="21"/>
      <c r="TMH38" s="21"/>
      <c r="TMI38" s="21"/>
      <c r="TMJ38" s="21"/>
      <c r="TMK38" s="21"/>
      <c r="TML38" s="21"/>
      <c r="TMM38" s="21"/>
      <c r="TMN38" s="21"/>
      <c r="TMO38" s="21"/>
      <c r="TMP38" s="21"/>
      <c r="TMQ38" s="21"/>
      <c r="TMR38" s="21"/>
      <c r="TMS38" s="21"/>
      <c r="TMT38" s="21"/>
      <c r="TMU38" s="21"/>
      <c r="TMV38" s="21"/>
      <c r="TMW38" s="21"/>
      <c r="TMX38" s="21"/>
      <c r="TMY38" s="21"/>
      <c r="TMZ38" s="21"/>
      <c r="TNA38" s="21"/>
      <c r="TNB38" s="21"/>
      <c r="TNC38" s="21"/>
      <c r="TND38" s="21"/>
      <c r="TNE38" s="21"/>
      <c r="TNF38" s="21"/>
      <c r="TNG38" s="21"/>
      <c r="TNH38" s="21"/>
      <c r="TNI38" s="21"/>
      <c r="TNJ38" s="21"/>
      <c r="TNK38" s="21"/>
      <c r="TNL38" s="21"/>
      <c r="TNM38" s="21"/>
      <c r="TNN38" s="21"/>
      <c r="TNO38" s="21"/>
      <c r="TNP38" s="21"/>
      <c r="TNQ38" s="21"/>
      <c r="TNR38" s="21"/>
      <c r="TNS38" s="21"/>
      <c r="TNT38" s="21"/>
      <c r="TNU38" s="21"/>
      <c r="TNV38" s="21"/>
      <c r="TNW38" s="21"/>
      <c r="TNX38" s="21"/>
      <c r="TNY38" s="21"/>
      <c r="TNZ38" s="21"/>
      <c r="TOA38" s="21"/>
      <c r="TOB38" s="21"/>
      <c r="TOC38" s="21"/>
      <c r="TOD38" s="21"/>
      <c r="TOE38" s="21"/>
      <c r="TOF38" s="21"/>
      <c r="TOG38" s="21"/>
      <c r="TOH38" s="21"/>
      <c r="TOI38" s="21"/>
      <c r="TOJ38" s="21"/>
      <c r="TOK38" s="21"/>
      <c r="TOL38" s="21"/>
      <c r="TOM38" s="21"/>
      <c r="TON38" s="21"/>
      <c r="TOO38" s="21"/>
      <c r="TOP38" s="21"/>
      <c r="TOQ38" s="21"/>
      <c r="TOR38" s="21"/>
      <c r="TOS38" s="21"/>
      <c r="TOT38" s="21"/>
      <c r="TOU38" s="21"/>
      <c r="TOV38" s="21"/>
      <c r="TOW38" s="21"/>
      <c r="TOX38" s="21"/>
      <c r="TOY38" s="21"/>
      <c r="TOZ38" s="21"/>
      <c r="TPA38" s="21"/>
      <c r="TPB38" s="21"/>
      <c r="TPC38" s="21"/>
      <c r="TPD38" s="21"/>
      <c r="TPE38" s="21"/>
      <c r="TPF38" s="21"/>
      <c r="TPG38" s="21"/>
      <c r="TPH38" s="21"/>
      <c r="TPI38" s="21"/>
      <c r="TPJ38" s="21"/>
      <c r="TPK38" s="21"/>
      <c r="TPL38" s="21"/>
      <c r="TPM38" s="21"/>
      <c r="TPN38" s="21"/>
      <c r="TPO38" s="21"/>
      <c r="TPP38" s="21"/>
      <c r="TPQ38" s="21"/>
      <c r="TPR38" s="21"/>
      <c r="TPS38" s="21"/>
      <c r="TPT38" s="21"/>
      <c r="TPU38" s="21"/>
      <c r="TPV38" s="21"/>
      <c r="TPW38" s="21"/>
      <c r="TPX38" s="21"/>
      <c r="TPY38" s="21"/>
      <c r="TPZ38" s="21"/>
      <c r="TQA38" s="21"/>
      <c r="TQB38" s="21"/>
      <c r="TQC38" s="21"/>
      <c r="TQD38" s="21"/>
      <c r="TQE38" s="21"/>
      <c r="TQF38" s="21"/>
      <c r="TQG38" s="21"/>
      <c r="TQH38" s="21"/>
      <c r="TQI38" s="21"/>
      <c r="TQJ38" s="21"/>
      <c r="TQK38" s="21"/>
      <c r="TQL38" s="21"/>
      <c r="TQM38" s="21"/>
      <c r="TQN38" s="21"/>
      <c r="TQO38" s="21"/>
      <c r="TQP38" s="21"/>
      <c r="TQQ38" s="21"/>
      <c r="TQR38" s="21"/>
      <c r="TQS38" s="21"/>
      <c r="TQT38" s="21"/>
      <c r="TQU38" s="21"/>
      <c r="TQV38" s="21"/>
      <c r="TQW38" s="21"/>
      <c r="TQX38" s="21"/>
      <c r="TQY38" s="21"/>
      <c r="TQZ38" s="21"/>
      <c r="TRA38" s="21"/>
      <c r="TRB38" s="21"/>
      <c r="TRC38" s="21"/>
      <c r="TRD38" s="21"/>
      <c r="TRE38" s="21"/>
      <c r="TRF38" s="21"/>
      <c r="TRG38" s="21"/>
      <c r="TRH38" s="21"/>
      <c r="TRI38" s="21"/>
      <c r="TRJ38" s="21"/>
      <c r="TRK38" s="21"/>
      <c r="TRL38" s="21"/>
      <c r="TRM38" s="21"/>
      <c r="TRN38" s="21"/>
      <c r="TRO38" s="21"/>
      <c r="TRP38" s="21"/>
      <c r="TRQ38" s="21"/>
      <c r="TRR38" s="21"/>
      <c r="TRS38" s="21"/>
      <c r="TRT38" s="21"/>
      <c r="TRU38" s="21"/>
      <c r="TRV38" s="21"/>
      <c r="TRW38" s="21"/>
      <c r="TRX38" s="21"/>
      <c r="TRY38" s="21"/>
      <c r="TRZ38" s="21"/>
      <c r="TSA38" s="21"/>
      <c r="TSB38" s="21"/>
      <c r="TSC38" s="21"/>
      <c r="TSD38" s="21"/>
      <c r="TSE38" s="21"/>
      <c r="TSF38" s="21"/>
      <c r="TSG38" s="21"/>
      <c r="TSH38" s="21"/>
      <c r="TSI38" s="21"/>
      <c r="TSJ38" s="21"/>
      <c r="TSK38" s="21"/>
      <c r="TSL38" s="21"/>
      <c r="TSM38" s="21"/>
      <c r="TSN38" s="21"/>
      <c r="TSO38" s="21"/>
      <c r="TSP38" s="21"/>
      <c r="TSQ38" s="21"/>
      <c r="TSR38" s="21"/>
      <c r="TSS38" s="21"/>
      <c r="TST38" s="21"/>
      <c r="TSU38" s="21"/>
      <c r="TSV38" s="21"/>
      <c r="TSW38" s="21"/>
      <c r="TSX38" s="21"/>
      <c r="TSY38" s="21"/>
      <c r="TSZ38" s="21"/>
      <c r="TTA38" s="21"/>
      <c r="TTB38" s="21"/>
      <c r="TTC38" s="21"/>
      <c r="TTD38" s="21"/>
      <c r="TTE38" s="21"/>
      <c r="TTF38" s="21"/>
      <c r="TTG38" s="21"/>
      <c r="TTH38" s="21"/>
      <c r="TTI38" s="21"/>
      <c r="TTJ38" s="21"/>
      <c r="TTK38" s="21"/>
      <c r="TTL38" s="21"/>
      <c r="TTM38" s="21"/>
      <c r="TTN38" s="21"/>
      <c r="TTO38" s="21"/>
      <c r="TTP38" s="21"/>
      <c r="TTQ38" s="21"/>
      <c r="TTR38" s="21"/>
      <c r="TTS38" s="21"/>
      <c r="TTT38" s="21"/>
      <c r="TTU38" s="21"/>
      <c r="TTV38" s="21"/>
      <c r="TTW38" s="21"/>
      <c r="TTX38" s="21"/>
      <c r="TTY38" s="21"/>
      <c r="TTZ38" s="21"/>
      <c r="TUA38" s="21"/>
      <c r="TUB38" s="21"/>
      <c r="TUC38" s="21"/>
      <c r="TUD38" s="21"/>
      <c r="TUE38" s="21"/>
      <c r="TUF38" s="21"/>
      <c r="TUG38" s="21"/>
      <c r="TUH38" s="21"/>
      <c r="TUI38" s="21"/>
      <c r="TUJ38" s="21"/>
      <c r="TUK38" s="21"/>
      <c r="TUL38" s="21"/>
      <c r="TUM38" s="21"/>
      <c r="TUN38" s="21"/>
      <c r="TUO38" s="21"/>
      <c r="TUP38" s="21"/>
      <c r="TUQ38" s="21"/>
      <c r="TUR38" s="21"/>
      <c r="TUS38" s="21"/>
      <c r="TUT38" s="21"/>
      <c r="TUU38" s="21"/>
      <c r="TUV38" s="21"/>
      <c r="TUW38" s="21"/>
      <c r="TUX38" s="21"/>
      <c r="TUY38" s="21"/>
      <c r="TUZ38" s="21"/>
      <c r="TVA38" s="21"/>
      <c r="TVB38" s="21"/>
      <c r="TVC38" s="21"/>
      <c r="TVD38" s="21"/>
      <c r="TVE38" s="21"/>
      <c r="TVF38" s="21"/>
      <c r="TVG38" s="21"/>
      <c r="TVH38" s="21"/>
      <c r="TVI38" s="21"/>
      <c r="TVJ38" s="21"/>
      <c r="TVK38" s="21"/>
      <c r="TVL38" s="21"/>
      <c r="TVM38" s="21"/>
      <c r="TVN38" s="21"/>
      <c r="TVO38" s="21"/>
      <c r="TVP38" s="21"/>
      <c r="TVQ38" s="21"/>
      <c r="TVR38" s="21"/>
      <c r="TVS38" s="21"/>
      <c r="TVT38" s="21"/>
      <c r="TVU38" s="21"/>
      <c r="TVV38" s="21"/>
      <c r="TVW38" s="21"/>
      <c r="TVX38" s="21"/>
      <c r="TVY38" s="21"/>
      <c r="TVZ38" s="21"/>
      <c r="TWA38" s="21"/>
      <c r="TWB38" s="21"/>
      <c r="TWC38" s="21"/>
      <c r="TWD38" s="21"/>
      <c r="TWE38" s="21"/>
      <c r="TWF38" s="21"/>
      <c r="TWG38" s="21"/>
      <c r="TWH38" s="21"/>
      <c r="TWI38" s="21"/>
      <c r="TWJ38" s="21"/>
      <c r="TWK38" s="21"/>
      <c r="TWL38" s="21"/>
      <c r="TWM38" s="21"/>
      <c r="TWN38" s="21"/>
      <c r="TWO38" s="21"/>
      <c r="TWP38" s="21"/>
      <c r="TWQ38" s="21"/>
      <c r="TWR38" s="21"/>
      <c r="TWS38" s="21"/>
      <c r="TWT38" s="21"/>
      <c r="TWU38" s="21"/>
      <c r="TWV38" s="21"/>
      <c r="TWW38" s="21"/>
      <c r="TWX38" s="21"/>
      <c r="TWY38" s="21"/>
      <c r="TWZ38" s="21"/>
      <c r="TXA38" s="21"/>
      <c r="TXB38" s="21"/>
      <c r="TXC38" s="21"/>
      <c r="TXD38" s="21"/>
      <c r="TXE38" s="21"/>
      <c r="TXF38" s="21"/>
      <c r="TXG38" s="21"/>
      <c r="TXH38" s="21"/>
      <c r="TXI38" s="21"/>
      <c r="TXJ38" s="21"/>
      <c r="TXK38" s="21"/>
      <c r="TXL38" s="21"/>
      <c r="TXM38" s="21"/>
      <c r="TXN38" s="21"/>
      <c r="TXO38" s="21"/>
      <c r="TXP38" s="21"/>
      <c r="TXQ38" s="21"/>
      <c r="TXR38" s="21"/>
      <c r="TXS38" s="21"/>
      <c r="TXT38" s="21"/>
      <c r="TXU38" s="21"/>
      <c r="TXV38" s="21"/>
      <c r="TXW38" s="21"/>
      <c r="TXX38" s="21"/>
      <c r="TXY38" s="21"/>
      <c r="TXZ38" s="21"/>
      <c r="TYA38" s="21"/>
      <c r="TYB38" s="21"/>
      <c r="TYC38" s="21"/>
      <c r="TYD38" s="21"/>
      <c r="TYE38" s="21"/>
      <c r="TYF38" s="21"/>
      <c r="TYG38" s="21"/>
      <c r="TYH38" s="21"/>
      <c r="TYI38" s="21"/>
      <c r="TYJ38" s="21"/>
      <c r="TYK38" s="21"/>
      <c r="TYL38" s="21"/>
      <c r="TYM38" s="21"/>
      <c r="TYN38" s="21"/>
      <c r="TYO38" s="21"/>
      <c r="TYP38" s="21"/>
      <c r="TYQ38" s="21"/>
      <c r="TYR38" s="21"/>
      <c r="TYS38" s="21"/>
      <c r="TYT38" s="21"/>
      <c r="TYU38" s="21"/>
      <c r="TYV38" s="21"/>
      <c r="TYW38" s="21"/>
      <c r="TYX38" s="21"/>
      <c r="TYY38" s="21"/>
      <c r="TYZ38" s="21"/>
      <c r="TZA38" s="21"/>
      <c r="TZB38" s="21"/>
      <c r="TZC38" s="21"/>
      <c r="TZD38" s="21"/>
      <c r="TZE38" s="21"/>
      <c r="TZF38" s="21"/>
      <c r="TZG38" s="21"/>
      <c r="TZH38" s="21"/>
      <c r="TZI38" s="21"/>
      <c r="TZJ38" s="21"/>
      <c r="TZK38" s="21"/>
      <c r="TZL38" s="21"/>
      <c r="TZM38" s="21"/>
      <c r="TZN38" s="21"/>
      <c r="TZO38" s="21"/>
      <c r="TZP38" s="21"/>
      <c r="TZQ38" s="21"/>
      <c r="TZR38" s="21"/>
      <c r="TZS38" s="21"/>
      <c r="TZT38" s="21"/>
      <c r="TZU38" s="21"/>
      <c r="TZV38" s="21"/>
      <c r="TZW38" s="21"/>
      <c r="TZX38" s="21"/>
      <c r="TZY38" s="21"/>
      <c r="TZZ38" s="21"/>
      <c r="UAA38" s="21"/>
      <c r="UAB38" s="21"/>
      <c r="UAC38" s="21"/>
      <c r="UAD38" s="21"/>
      <c r="UAE38" s="21"/>
      <c r="UAF38" s="21"/>
      <c r="UAG38" s="21"/>
      <c r="UAH38" s="21"/>
      <c r="UAI38" s="21"/>
      <c r="UAJ38" s="21"/>
      <c r="UAK38" s="21"/>
      <c r="UAL38" s="21"/>
      <c r="UAM38" s="21"/>
      <c r="UAN38" s="21"/>
      <c r="UAO38" s="21"/>
      <c r="UAP38" s="21"/>
      <c r="UAQ38" s="21"/>
      <c r="UAR38" s="21"/>
      <c r="UAS38" s="21"/>
      <c r="UAT38" s="21"/>
      <c r="UAU38" s="21"/>
      <c r="UAV38" s="21"/>
      <c r="UAW38" s="21"/>
      <c r="UAX38" s="21"/>
      <c r="UAY38" s="21"/>
      <c r="UAZ38" s="21"/>
      <c r="UBA38" s="21"/>
      <c r="UBB38" s="21"/>
      <c r="UBC38" s="21"/>
      <c r="UBD38" s="21"/>
      <c r="UBE38" s="21"/>
      <c r="UBF38" s="21"/>
      <c r="UBG38" s="21"/>
      <c r="UBH38" s="21"/>
      <c r="UBI38" s="21"/>
      <c r="UBJ38" s="21"/>
      <c r="UBK38" s="21"/>
      <c r="UBL38" s="21"/>
      <c r="UBM38" s="21"/>
      <c r="UBN38" s="21"/>
      <c r="UBO38" s="21"/>
      <c r="UBP38" s="21"/>
      <c r="UBQ38" s="21"/>
      <c r="UBR38" s="21"/>
      <c r="UBS38" s="21"/>
      <c r="UBT38" s="21"/>
      <c r="UBU38" s="21"/>
      <c r="UBV38" s="21"/>
      <c r="UBW38" s="21"/>
      <c r="UBX38" s="21"/>
      <c r="UBY38" s="21"/>
      <c r="UBZ38" s="21"/>
      <c r="UCA38" s="21"/>
      <c r="UCB38" s="21"/>
      <c r="UCC38" s="21"/>
      <c r="UCD38" s="21"/>
      <c r="UCE38" s="21"/>
      <c r="UCF38" s="21"/>
      <c r="UCG38" s="21"/>
      <c r="UCH38" s="21"/>
      <c r="UCI38" s="21"/>
      <c r="UCJ38" s="21"/>
      <c r="UCK38" s="21"/>
      <c r="UCL38" s="21"/>
      <c r="UCM38" s="21"/>
      <c r="UCN38" s="21"/>
      <c r="UCO38" s="21"/>
      <c r="UCP38" s="21"/>
      <c r="UCQ38" s="21"/>
      <c r="UCR38" s="21"/>
      <c r="UCS38" s="21"/>
      <c r="UCT38" s="21"/>
      <c r="UCU38" s="21"/>
      <c r="UCV38" s="21"/>
      <c r="UCW38" s="21"/>
      <c r="UCX38" s="21"/>
      <c r="UCY38" s="21"/>
      <c r="UCZ38" s="21"/>
      <c r="UDA38" s="21"/>
      <c r="UDB38" s="21"/>
      <c r="UDC38" s="21"/>
      <c r="UDD38" s="21"/>
      <c r="UDE38" s="21"/>
      <c r="UDF38" s="21"/>
      <c r="UDG38" s="21"/>
      <c r="UDH38" s="21"/>
      <c r="UDI38" s="21"/>
      <c r="UDJ38" s="21"/>
      <c r="UDK38" s="21"/>
      <c r="UDL38" s="21"/>
      <c r="UDM38" s="21"/>
      <c r="UDN38" s="21"/>
      <c r="UDO38" s="21"/>
      <c r="UDP38" s="21"/>
      <c r="UDQ38" s="21"/>
      <c r="UDR38" s="21"/>
      <c r="UDS38" s="21"/>
      <c r="UDT38" s="21"/>
      <c r="UDU38" s="21"/>
      <c r="UDV38" s="21"/>
      <c r="UDW38" s="21"/>
      <c r="UDX38" s="21"/>
      <c r="UDY38" s="21"/>
      <c r="UDZ38" s="21"/>
      <c r="UEA38" s="21"/>
      <c r="UEB38" s="21"/>
      <c r="UEC38" s="21"/>
      <c r="UED38" s="21"/>
      <c r="UEE38" s="21"/>
      <c r="UEF38" s="21"/>
      <c r="UEG38" s="21"/>
      <c r="UEH38" s="21"/>
      <c r="UEI38" s="21"/>
      <c r="UEJ38" s="21"/>
      <c r="UEK38" s="21"/>
      <c r="UEL38" s="21"/>
      <c r="UEM38" s="21"/>
      <c r="UEN38" s="21"/>
      <c r="UEO38" s="21"/>
      <c r="UEP38" s="21"/>
      <c r="UEQ38" s="21"/>
      <c r="UER38" s="21"/>
      <c r="UES38" s="21"/>
      <c r="UET38" s="21"/>
      <c r="UEU38" s="21"/>
      <c r="UEV38" s="21"/>
      <c r="UEW38" s="21"/>
      <c r="UEX38" s="21"/>
      <c r="UEY38" s="21"/>
      <c r="UEZ38" s="21"/>
      <c r="UFA38" s="21"/>
      <c r="UFB38" s="21"/>
      <c r="UFC38" s="21"/>
      <c r="UFD38" s="21"/>
      <c r="UFE38" s="21"/>
      <c r="UFF38" s="21"/>
      <c r="UFG38" s="21"/>
      <c r="UFH38" s="21"/>
      <c r="UFI38" s="21"/>
      <c r="UFJ38" s="21"/>
      <c r="UFK38" s="21"/>
      <c r="UFL38" s="21"/>
      <c r="UFM38" s="21"/>
      <c r="UFN38" s="21"/>
      <c r="UFO38" s="21"/>
      <c r="UFP38" s="21"/>
      <c r="UFQ38" s="21"/>
      <c r="UFR38" s="21"/>
      <c r="UFS38" s="21"/>
      <c r="UFT38" s="21"/>
      <c r="UFU38" s="21"/>
      <c r="UFV38" s="21"/>
      <c r="UFW38" s="21"/>
      <c r="UFX38" s="21"/>
      <c r="UFY38" s="21"/>
      <c r="UFZ38" s="21"/>
      <c r="UGA38" s="21"/>
      <c r="UGB38" s="21"/>
      <c r="UGC38" s="21"/>
      <c r="UGD38" s="21"/>
      <c r="UGE38" s="21"/>
      <c r="UGF38" s="21"/>
      <c r="UGG38" s="21"/>
      <c r="UGH38" s="21"/>
      <c r="UGI38" s="21"/>
      <c r="UGJ38" s="21"/>
      <c r="UGK38" s="21"/>
      <c r="UGL38" s="21"/>
      <c r="UGM38" s="21"/>
      <c r="UGN38" s="21"/>
      <c r="UGO38" s="21"/>
      <c r="UGP38" s="21"/>
      <c r="UGQ38" s="21"/>
      <c r="UGR38" s="21"/>
      <c r="UGS38" s="21"/>
      <c r="UGT38" s="21"/>
      <c r="UGU38" s="21"/>
      <c r="UGV38" s="21"/>
      <c r="UGW38" s="21"/>
      <c r="UGX38" s="21"/>
      <c r="UGY38" s="21"/>
      <c r="UGZ38" s="21"/>
      <c r="UHA38" s="21"/>
      <c r="UHB38" s="21"/>
      <c r="UHC38" s="21"/>
      <c r="UHD38" s="21"/>
      <c r="UHE38" s="21"/>
      <c r="UHF38" s="21"/>
      <c r="UHG38" s="21"/>
      <c r="UHH38" s="21"/>
      <c r="UHI38" s="21"/>
      <c r="UHJ38" s="21"/>
      <c r="UHK38" s="21"/>
      <c r="UHL38" s="21"/>
      <c r="UHM38" s="21"/>
      <c r="UHN38" s="21"/>
      <c r="UHO38" s="21"/>
      <c r="UHP38" s="21"/>
      <c r="UHQ38" s="21"/>
      <c r="UHR38" s="21"/>
      <c r="UHS38" s="21"/>
      <c r="UHT38" s="21"/>
      <c r="UHU38" s="21"/>
      <c r="UHV38" s="21"/>
      <c r="UHW38" s="21"/>
      <c r="UHX38" s="21"/>
      <c r="UHY38" s="21"/>
      <c r="UHZ38" s="21"/>
      <c r="UIA38" s="21"/>
      <c r="UIB38" s="21"/>
      <c r="UIC38" s="21"/>
      <c r="UID38" s="21"/>
      <c r="UIE38" s="21"/>
      <c r="UIF38" s="21"/>
      <c r="UIG38" s="21"/>
      <c r="UIH38" s="21"/>
      <c r="UII38" s="21"/>
      <c r="UIJ38" s="21"/>
      <c r="UIK38" s="21"/>
      <c r="UIL38" s="21"/>
      <c r="UIM38" s="21"/>
      <c r="UIN38" s="21"/>
      <c r="UIO38" s="21"/>
      <c r="UIP38" s="21"/>
      <c r="UIQ38" s="21"/>
      <c r="UIR38" s="21"/>
      <c r="UIS38" s="21"/>
      <c r="UIT38" s="21"/>
      <c r="UIU38" s="21"/>
      <c r="UIV38" s="21"/>
      <c r="UIW38" s="21"/>
      <c r="UIX38" s="21"/>
      <c r="UIY38" s="21"/>
      <c r="UIZ38" s="21"/>
      <c r="UJA38" s="21"/>
      <c r="UJB38" s="21"/>
      <c r="UJC38" s="21"/>
      <c r="UJD38" s="21"/>
      <c r="UJE38" s="21"/>
      <c r="UJF38" s="21"/>
      <c r="UJG38" s="21"/>
      <c r="UJH38" s="21"/>
      <c r="UJI38" s="21"/>
      <c r="UJJ38" s="21"/>
      <c r="UJK38" s="21"/>
      <c r="UJL38" s="21"/>
      <c r="UJM38" s="21"/>
      <c r="UJN38" s="21"/>
      <c r="UJO38" s="21"/>
      <c r="UJP38" s="21"/>
      <c r="UJQ38" s="21"/>
      <c r="UJR38" s="21"/>
      <c r="UJS38" s="21"/>
      <c r="UJT38" s="21"/>
      <c r="UJU38" s="21"/>
      <c r="UJV38" s="21"/>
      <c r="UJW38" s="21"/>
      <c r="UJX38" s="21"/>
      <c r="UJY38" s="21"/>
      <c r="UJZ38" s="21"/>
      <c r="UKA38" s="21"/>
      <c r="UKB38" s="21"/>
      <c r="UKC38" s="21"/>
      <c r="UKD38" s="21"/>
      <c r="UKE38" s="21"/>
      <c r="UKF38" s="21"/>
      <c r="UKG38" s="21"/>
      <c r="UKH38" s="21"/>
      <c r="UKI38" s="21"/>
      <c r="UKJ38" s="21"/>
      <c r="UKK38" s="21"/>
      <c r="UKL38" s="21"/>
      <c r="UKM38" s="21"/>
      <c r="UKN38" s="21"/>
      <c r="UKO38" s="21"/>
      <c r="UKP38" s="21"/>
      <c r="UKQ38" s="21"/>
      <c r="UKR38" s="21"/>
      <c r="UKS38" s="21"/>
      <c r="UKT38" s="21"/>
      <c r="UKU38" s="21"/>
      <c r="UKV38" s="21"/>
      <c r="UKW38" s="21"/>
      <c r="UKX38" s="21"/>
      <c r="UKY38" s="21"/>
      <c r="UKZ38" s="21"/>
      <c r="ULA38" s="21"/>
      <c r="ULB38" s="21"/>
      <c r="ULC38" s="21"/>
      <c r="ULD38" s="21"/>
      <c r="ULE38" s="21"/>
      <c r="ULF38" s="21"/>
      <c r="ULG38" s="21"/>
      <c r="ULH38" s="21"/>
      <c r="ULI38" s="21"/>
      <c r="ULJ38" s="21"/>
      <c r="ULK38" s="21"/>
      <c r="ULL38" s="21"/>
      <c r="ULM38" s="21"/>
      <c r="ULN38" s="21"/>
      <c r="ULO38" s="21"/>
      <c r="ULP38" s="21"/>
      <c r="ULQ38" s="21"/>
      <c r="ULR38" s="21"/>
      <c r="ULS38" s="21"/>
      <c r="ULT38" s="21"/>
      <c r="ULU38" s="21"/>
      <c r="ULV38" s="21"/>
      <c r="ULW38" s="21"/>
      <c r="ULX38" s="21"/>
      <c r="ULY38" s="21"/>
      <c r="ULZ38" s="21"/>
      <c r="UMA38" s="21"/>
      <c r="UMB38" s="21"/>
      <c r="UMC38" s="21"/>
      <c r="UMD38" s="21"/>
      <c r="UME38" s="21"/>
      <c r="UMF38" s="21"/>
      <c r="UMG38" s="21"/>
      <c r="UMH38" s="21"/>
      <c r="UMI38" s="21"/>
      <c r="UMJ38" s="21"/>
      <c r="UMK38" s="21"/>
      <c r="UML38" s="21"/>
      <c r="UMM38" s="21"/>
      <c r="UMN38" s="21"/>
      <c r="UMO38" s="21"/>
      <c r="UMP38" s="21"/>
      <c r="UMQ38" s="21"/>
      <c r="UMR38" s="21"/>
      <c r="UMS38" s="21"/>
      <c r="UMT38" s="21"/>
      <c r="UMU38" s="21"/>
      <c r="UMV38" s="21"/>
      <c r="UMW38" s="21"/>
      <c r="UMX38" s="21"/>
      <c r="UMY38" s="21"/>
      <c r="UMZ38" s="21"/>
      <c r="UNA38" s="21"/>
      <c r="UNB38" s="21"/>
      <c r="UNC38" s="21"/>
      <c r="UND38" s="21"/>
      <c r="UNE38" s="21"/>
      <c r="UNF38" s="21"/>
      <c r="UNG38" s="21"/>
      <c r="UNH38" s="21"/>
      <c r="UNI38" s="21"/>
      <c r="UNJ38" s="21"/>
      <c r="UNK38" s="21"/>
      <c r="UNL38" s="21"/>
      <c r="UNM38" s="21"/>
      <c r="UNN38" s="21"/>
      <c r="UNO38" s="21"/>
      <c r="UNP38" s="21"/>
      <c r="UNQ38" s="21"/>
      <c r="UNR38" s="21"/>
      <c r="UNS38" s="21"/>
      <c r="UNT38" s="21"/>
      <c r="UNU38" s="21"/>
      <c r="UNV38" s="21"/>
      <c r="UNW38" s="21"/>
      <c r="UNX38" s="21"/>
      <c r="UNY38" s="21"/>
      <c r="UNZ38" s="21"/>
      <c r="UOA38" s="21"/>
      <c r="UOB38" s="21"/>
      <c r="UOC38" s="21"/>
      <c r="UOD38" s="21"/>
      <c r="UOE38" s="21"/>
      <c r="UOF38" s="21"/>
      <c r="UOG38" s="21"/>
      <c r="UOH38" s="21"/>
      <c r="UOI38" s="21"/>
      <c r="UOJ38" s="21"/>
      <c r="UOK38" s="21"/>
      <c r="UOL38" s="21"/>
      <c r="UOM38" s="21"/>
      <c r="UON38" s="21"/>
      <c r="UOO38" s="21"/>
      <c r="UOP38" s="21"/>
      <c r="UOQ38" s="21"/>
      <c r="UOR38" s="21"/>
      <c r="UOS38" s="21"/>
      <c r="UOT38" s="21"/>
      <c r="UOU38" s="21"/>
      <c r="UOV38" s="21"/>
      <c r="UOW38" s="21"/>
      <c r="UOX38" s="21"/>
      <c r="UOY38" s="21"/>
      <c r="UOZ38" s="21"/>
      <c r="UPA38" s="21"/>
      <c r="UPB38" s="21"/>
      <c r="UPC38" s="21"/>
      <c r="UPD38" s="21"/>
      <c r="UPE38" s="21"/>
      <c r="UPF38" s="21"/>
      <c r="UPG38" s="21"/>
      <c r="UPH38" s="21"/>
      <c r="UPI38" s="21"/>
      <c r="UPJ38" s="21"/>
      <c r="UPK38" s="21"/>
      <c r="UPL38" s="21"/>
      <c r="UPM38" s="21"/>
      <c r="UPN38" s="21"/>
      <c r="UPO38" s="21"/>
      <c r="UPP38" s="21"/>
      <c r="UPQ38" s="21"/>
      <c r="UPR38" s="21"/>
      <c r="UPS38" s="21"/>
      <c r="UPT38" s="21"/>
      <c r="UPU38" s="21"/>
      <c r="UPV38" s="21"/>
      <c r="UPW38" s="21"/>
      <c r="UPX38" s="21"/>
      <c r="UPY38" s="21"/>
      <c r="UPZ38" s="21"/>
      <c r="UQA38" s="21"/>
      <c r="UQB38" s="21"/>
      <c r="UQC38" s="21"/>
      <c r="UQD38" s="21"/>
      <c r="UQE38" s="21"/>
      <c r="UQF38" s="21"/>
      <c r="UQG38" s="21"/>
      <c r="UQH38" s="21"/>
      <c r="UQI38" s="21"/>
      <c r="UQJ38" s="21"/>
      <c r="UQK38" s="21"/>
      <c r="UQL38" s="21"/>
      <c r="UQM38" s="21"/>
      <c r="UQN38" s="21"/>
      <c r="UQO38" s="21"/>
      <c r="UQP38" s="21"/>
      <c r="UQQ38" s="21"/>
      <c r="UQR38" s="21"/>
      <c r="UQS38" s="21"/>
      <c r="UQT38" s="21"/>
      <c r="UQU38" s="21"/>
      <c r="UQV38" s="21"/>
      <c r="UQW38" s="21"/>
      <c r="UQX38" s="21"/>
      <c r="UQY38" s="21"/>
      <c r="UQZ38" s="21"/>
      <c r="URA38" s="21"/>
      <c r="URB38" s="21"/>
      <c r="URC38" s="21"/>
      <c r="URD38" s="21"/>
      <c r="URE38" s="21"/>
      <c r="URF38" s="21"/>
      <c r="URG38" s="21"/>
      <c r="URH38" s="21"/>
      <c r="URI38" s="21"/>
      <c r="URJ38" s="21"/>
      <c r="URK38" s="21"/>
      <c r="URL38" s="21"/>
      <c r="URM38" s="21"/>
      <c r="URN38" s="21"/>
      <c r="URO38" s="21"/>
      <c r="URP38" s="21"/>
      <c r="URQ38" s="21"/>
      <c r="URR38" s="21"/>
      <c r="URS38" s="21"/>
      <c r="URT38" s="21"/>
      <c r="URU38" s="21"/>
      <c r="URV38" s="21"/>
      <c r="URW38" s="21"/>
      <c r="URX38" s="21"/>
      <c r="URY38" s="21"/>
      <c r="URZ38" s="21"/>
      <c r="USA38" s="21"/>
      <c r="USB38" s="21"/>
      <c r="USC38" s="21"/>
      <c r="USD38" s="21"/>
      <c r="USE38" s="21"/>
      <c r="USF38" s="21"/>
      <c r="USG38" s="21"/>
      <c r="USH38" s="21"/>
      <c r="USI38" s="21"/>
      <c r="USJ38" s="21"/>
      <c r="USK38" s="21"/>
      <c r="USL38" s="21"/>
      <c r="USM38" s="21"/>
      <c r="USN38" s="21"/>
      <c r="USO38" s="21"/>
      <c r="USP38" s="21"/>
      <c r="USQ38" s="21"/>
      <c r="USR38" s="21"/>
      <c r="USS38" s="21"/>
      <c r="UST38" s="21"/>
      <c r="USU38" s="21"/>
      <c r="USV38" s="21"/>
      <c r="USW38" s="21"/>
      <c r="USX38" s="21"/>
      <c r="USY38" s="21"/>
      <c r="USZ38" s="21"/>
      <c r="UTA38" s="21"/>
      <c r="UTB38" s="21"/>
      <c r="UTC38" s="21"/>
      <c r="UTD38" s="21"/>
      <c r="UTE38" s="21"/>
      <c r="UTF38" s="21"/>
      <c r="UTG38" s="21"/>
      <c r="UTH38" s="21"/>
      <c r="UTI38" s="21"/>
      <c r="UTJ38" s="21"/>
      <c r="UTK38" s="21"/>
      <c r="UTL38" s="21"/>
      <c r="UTM38" s="21"/>
      <c r="UTN38" s="21"/>
      <c r="UTO38" s="21"/>
      <c r="UTP38" s="21"/>
      <c r="UTQ38" s="21"/>
      <c r="UTR38" s="21"/>
      <c r="UTS38" s="21"/>
      <c r="UTT38" s="21"/>
      <c r="UTU38" s="21"/>
      <c r="UTV38" s="21"/>
      <c r="UTW38" s="21"/>
      <c r="UTX38" s="21"/>
      <c r="UTY38" s="21"/>
      <c r="UTZ38" s="21"/>
      <c r="UUA38" s="21"/>
      <c r="UUB38" s="21"/>
      <c r="UUC38" s="21"/>
      <c r="UUD38" s="21"/>
      <c r="UUE38" s="21"/>
      <c r="UUF38" s="21"/>
      <c r="UUG38" s="21"/>
      <c r="UUH38" s="21"/>
      <c r="UUI38" s="21"/>
      <c r="UUJ38" s="21"/>
      <c r="UUK38" s="21"/>
      <c r="UUL38" s="21"/>
      <c r="UUM38" s="21"/>
      <c r="UUN38" s="21"/>
      <c r="UUO38" s="21"/>
      <c r="UUP38" s="21"/>
      <c r="UUQ38" s="21"/>
      <c r="UUR38" s="21"/>
      <c r="UUS38" s="21"/>
      <c r="UUT38" s="21"/>
      <c r="UUU38" s="21"/>
      <c r="UUV38" s="21"/>
      <c r="UUW38" s="21"/>
      <c r="UUX38" s="21"/>
      <c r="UUY38" s="21"/>
      <c r="UUZ38" s="21"/>
      <c r="UVA38" s="21"/>
      <c r="UVB38" s="21"/>
      <c r="UVC38" s="21"/>
      <c r="UVD38" s="21"/>
      <c r="UVE38" s="21"/>
      <c r="UVF38" s="21"/>
      <c r="UVG38" s="21"/>
      <c r="UVH38" s="21"/>
      <c r="UVI38" s="21"/>
      <c r="UVJ38" s="21"/>
      <c r="UVK38" s="21"/>
      <c r="UVL38" s="21"/>
      <c r="UVM38" s="21"/>
      <c r="UVN38" s="21"/>
      <c r="UVO38" s="21"/>
      <c r="UVP38" s="21"/>
      <c r="UVQ38" s="21"/>
      <c r="UVR38" s="21"/>
      <c r="UVS38" s="21"/>
      <c r="UVT38" s="21"/>
      <c r="UVU38" s="21"/>
      <c r="UVV38" s="21"/>
      <c r="UVW38" s="21"/>
      <c r="UVX38" s="21"/>
      <c r="UVY38" s="21"/>
      <c r="UVZ38" s="21"/>
      <c r="UWA38" s="21"/>
      <c r="UWB38" s="21"/>
      <c r="UWC38" s="21"/>
      <c r="UWD38" s="21"/>
      <c r="UWE38" s="21"/>
      <c r="UWF38" s="21"/>
      <c r="UWG38" s="21"/>
      <c r="UWH38" s="21"/>
      <c r="UWI38" s="21"/>
      <c r="UWJ38" s="21"/>
      <c r="UWK38" s="21"/>
      <c r="UWL38" s="21"/>
      <c r="UWM38" s="21"/>
      <c r="UWN38" s="21"/>
      <c r="UWO38" s="21"/>
      <c r="UWP38" s="21"/>
      <c r="UWQ38" s="21"/>
      <c r="UWR38" s="21"/>
      <c r="UWS38" s="21"/>
      <c r="UWT38" s="21"/>
      <c r="UWU38" s="21"/>
      <c r="UWV38" s="21"/>
      <c r="UWW38" s="21"/>
      <c r="UWX38" s="21"/>
      <c r="UWY38" s="21"/>
      <c r="UWZ38" s="21"/>
      <c r="UXA38" s="21"/>
      <c r="UXB38" s="21"/>
      <c r="UXC38" s="21"/>
      <c r="UXD38" s="21"/>
      <c r="UXE38" s="21"/>
      <c r="UXF38" s="21"/>
      <c r="UXG38" s="21"/>
      <c r="UXH38" s="21"/>
      <c r="UXI38" s="21"/>
      <c r="UXJ38" s="21"/>
      <c r="UXK38" s="21"/>
      <c r="UXL38" s="21"/>
      <c r="UXM38" s="21"/>
      <c r="UXN38" s="21"/>
      <c r="UXO38" s="21"/>
      <c r="UXP38" s="21"/>
      <c r="UXQ38" s="21"/>
      <c r="UXR38" s="21"/>
      <c r="UXS38" s="21"/>
      <c r="UXT38" s="21"/>
      <c r="UXU38" s="21"/>
      <c r="UXV38" s="21"/>
      <c r="UXW38" s="21"/>
      <c r="UXX38" s="21"/>
      <c r="UXY38" s="21"/>
      <c r="UXZ38" s="21"/>
      <c r="UYA38" s="21"/>
      <c r="UYB38" s="21"/>
      <c r="UYC38" s="21"/>
      <c r="UYD38" s="21"/>
      <c r="UYE38" s="21"/>
      <c r="UYF38" s="21"/>
      <c r="UYG38" s="21"/>
      <c r="UYH38" s="21"/>
      <c r="UYI38" s="21"/>
      <c r="UYJ38" s="21"/>
      <c r="UYK38" s="21"/>
      <c r="UYL38" s="21"/>
      <c r="UYM38" s="21"/>
      <c r="UYN38" s="21"/>
      <c r="UYO38" s="21"/>
      <c r="UYP38" s="21"/>
      <c r="UYQ38" s="21"/>
      <c r="UYR38" s="21"/>
      <c r="UYS38" s="21"/>
      <c r="UYT38" s="21"/>
      <c r="UYU38" s="21"/>
      <c r="UYV38" s="21"/>
      <c r="UYW38" s="21"/>
      <c r="UYX38" s="21"/>
      <c r="UYY38" s="21"/>
      <c r="UYZ38" s="21"/>
      <c r="UZA38" s="21"/>
      <c r="UZB38" s="21"/>
      <c r="UZC38" s="21"/>
      <c r="UZD38" s="21"/>
      <c r="UZE38" s="21"/>
      <c r="UZF38" s="21"/>
      <c r="UZG38" s="21"/>
      <c r="UZH38" s="21"/>
      <c r="UZI38" s="21"/>
      <c r="UZJ38" s="21"/>
      <c r="UZK38" s="21"/>
      <c r="UZL38" s="21"/>
      <c r="UZM38" s="21"/>
      <c r="UZN38" s="21"/>
      <c r="UZO38" s="21"/>
      <c r="UZP38" s="21"/>
      <c r="UZQ38" s="21"/>
      <c r="UZR38" s="21"/>
      <c r="UZS38" s="21"/>
      <c r="UZT38" s="21"/>
      <c r="UZU38" s="21"/>
      <c r="UZV38" s="21"/>
      <c r="UZW38" s="21"/>
      <c r="UZX38" s="21"/>
      <c r="UZY38" s="21"/>
      <c r="UZZ38" s="21"/>
      <c r="VAA38" s="21"/>
      <c r="VAB38" s="21"/>
      <c r="VAC38" s="21"/>
      <c r="VAD38" s="21"/>
      <c r="VAE38" s="21"/>
      <c r="VAF38" s="21"/>
      <c r="VAG38" s="21"/>
      <c r="VAH38" s="21"/>
      <c r="VAI38" s="21"/>
      <c r="VAJ38" s="21"/>
      <c r="VAK38" s="21"/>
      <c r="VAL38" s="21"/>
      <c r="VAM38" s="21"/>
      <c r="VAN38" s="21"/>
      <c r="VAO38" s="21"/>
      <c r="VAP38" s="21"/>
      <c r="VAQ38" s="21"/>
      <c r="VAR38" s="21"/>
      <c r="VAS38" s="21"/>
      <c r="VAT38" s="21"/>
      <c r="VAU38" s="21"/>
      <c r="VAV38" s="21"/>
      <c r="VAW38" s="21"/>
      <c r="VAX38" s="21"/>
      <c r="VAY38" s="21"/>
      <c r="VAZ38" s="21"/>
      <c r="VBA38" s="21"/>
      <c r="VBB38" s="21"/>
      <c r="VBC38" s="21"/>
      <c r="VBD38" s="21"/>
      <c r="VBE38" s="21"/>
      <c r="VBF38" s="21"/>
      <c r="VBG38" s="21"/>
      <c r="VBH38" s="21"/>
      <c r="VBI38" s="21"/>
      <c r="VBJ38" s="21"/>
      <c r="VBK38" s="21"/>
      <c r="VBL38" s="21"/>
      <c r="VBM38" s="21"/>
      <c r="VBN38" s="21"/>
      <c r="VBO38" s="21"/>
      <c r="VBP38" s="21"/>
      <c r="VBQ38" s="21"/>
      <c r="VBR38" s="21"/>
      <c r="VBS38" s="21"/>
      <c r="VBT38" s="21"/>
      <c r="VBU38" s="21"/>
      <c r="VBV38" s="21"/>
      <c r="VBW38" s="21"/>
      <c r="VBX38" s="21"/>
      <c r="VBY38" s="21"/>
      <c r="VBZ38" s="21"/>
      <c r="VCA38" s="21"/>
      <c r="VCB38" s="21"/>
      <c r="VCC38" s="21"/>
      <c r="VCD38" s="21"/>
      <c r="VCE38" s="21"/>
      <c r="VCF38" s="21"/>
      <c r="VCG38" s="21"/>
      <c r="VCH38" s="21"/>
      <c r="VCI38" s="21"/>
      <c r="VCJ38" s="21"/>
      <c r="VCK38" s="21"/>
      <c r="VCL38" s="21"/>
      <c r="VCM38" s="21"/>
      <c r="VCN38" s="21"/>
      <c r="VCO38" s="21"/>
      <c r="VCP38" s="21"/>
      <c r="VCQ38" s="21"/>
      <c r="VCR38" s="21"/>
      <c r="VCS38" s="21"/>
      <c r="VCT38" s="21"/>
      <c r="VCU38" s="21"/>
      <c r="VCV38" s="21"/>
      <c r="VCW38" s="21"/>
      <c r="VCX38" s="21"/>
      <c r="VCY38" s="21"/>
      <c r="VCZ38" s="21"/>
      <c r="VDA38" s="21"/>
      <c r="VDB38" s="21"/>
      <c r="VDC38" s="21"/>
      <c r="VDD38" s="21"/>
      <c r="VDE38" s="21"/>
      <c r="VDF38" s="21"/>
      <c r="VDG38" s="21"/>
      <c r="VDH38" s="21"/>
      <c r="VDI38" s="21"/>
      <c r="VDJ38" s="21"/>
      <c r="VDK38" s="21"/>
      <c r="VDL38" s="21"/>
      <c r="VDM38" s="21"/>
      <c r="VDN38" s="21"/>
      <c r="VDO38" s="21"/>
      <c r="VDP38" s="21"/>
      <c r="VDQ38" s="21"/>
      <c r="VDR38" s="21"/>
      <c r="VDS38" s="21"/>
      <c r="VDT38" s="21"/>
      <c r="VDU38" s="21"/>
      <c r="VDV38" s="21"/>
      <c r="VDW38" s="21"/>
      <c r="VDX38" s="21"/>
      <c r="VDY38" s="21"/>
      <c r="VDZ38" s="21"/>
      <c r="VEA38" s="21"/>
      <c r="VEB38" s="21"/>
      <c r="VEC38" s="21"/>
      <c r="VED38" s="21"/>
      <c r="VEE38" s="21"/>
      <c r="VEF38" s="21"/>
      <c r="VEG38" s="21"/>
      <c r="VEH38" s="21"/>
      <c r="VEI38" s="21"/>
      <c r="VEJ38" s="21"/>
      <c r="VEK38" s="21"/>
      <c r="VEL38" s="21"/>
      <c r="VEM38" s="21"/>
      <c r="VEN38" s="21"/>
      <c r="VEO38" s="21"/>
      <c r="VEP38" s="21"/>
      <c r="VEQ38" s="21"/>
      <c r="VER38" s="21"/>
      <c r="VES38" s="21"/>
      <c r="VET38" s="21"/>
      <c r="VEU38" s="21"/>
      <c r="VEV38" s="21"/>
      <c r="VEW38" s="21"/>
      <c r="VEX38" s="21"/>
      <c r="VEY38" s="21"/>
      <c r="VEZ38" s="21"/>
      <c r="VFA38" s="21"/>
      <c r="VFB38" s="21"/>
      <c r="VFC38" s="21"/>
      <c r="VFD38" s="21"/>
      <c r="VFE38" s="21"/>
      <c r="VFF38" s="21"/>
      <c r="VFG38" s="21"/>
      <c r="VFH38" s="21"/>
      <c r="VFI38" s="21"/>
      <c r="VFJ38" s="21"/>
      <c r="VFK38" s="21"/>
      <c r="VFL38" s="21"/>
      <c r="VFM38" s="21"/>
      <c r="VFN38" s="21"/>
      <c r="VFO38" s="21"/>
      <c r="VFP38" s="21"/>
      <c r="VFQ38" s="21"/>
      <c r="VFR38" s="21"/>
      <c r="VFS38" s="21"/>
      <c r="VFT38" s="21"/>
      <c r="VFU38" s="21"/>
      <c r="VFV38" s="21"/>
      <c r="VFW38" s="21"/>
      <c r="VFX38" s="21"/>
      <c r="VFY38" s="21"/>
      <c r="VFZ38" s="21"/>
      <c r="VGA38" s="21"/>
      <c r="VGB38" s="21"/>
      <c r="VGC38" s="21"/>
      <c r="VGD38" s="21"/>
      <c r="VGE38" s="21"/>
      <c r="VGF38" s="21"/>
      <c r="VGG38" s="21"/>
      <c r="VGH38" s="21"/>
      <c r="VGI38" s="21"/>
      <c r="VGJ38" s="21"/>
      <c r="VGK38" s="21"/>
      <c r="VGL38" s="21"/>
      <c r="VGM38" s="21"/>
      <c r="VGN38" s="21"/>
      <c r="VGO38" s="21"/>
      <c r="VGP38" s="21"/>
      <c r="VGQ38" s="21"/>
      <c r="VGR38" s="21"/>
      <c r="VGS38" s="21"/>
      <c r="VGT38" s="21"/>
      <c r="VGU38" s="21"/>
      <c r="VGV38" s="21"/>
      <c r="VGW38" s="21"/>
      <c r="VGX38" s="21"/>
      <c r="VGY38" s="21"/>
      <c r="VGZ38" s="21"/>
      <c r="VHA38" s="21"/>
      <c r="VHB38" s="21"/>
      <c r="VHC38" s="21"/>
      <c r="VHD38" s="21"/>
      <c r="VHE38" s="21"/>
      <c r="VHF38" s="21"/>
      <c r="VHG38" s="21"/>
      <c r="VHH38" s="21"/>
      <c r="VHI38" s="21"/>
      <c r="VHJ38" s="21"/>
      <c r="VHK38" s="21"/>
      <c r="VHL38" s="21"/>
      <c r="VHM38" s="21"/>
      <c r="VHN38" s="21"/>
      <c r="VHO38" s="21"/>
      <c r="VHP38" s="21"/>
      <c r="VHQ38" s="21"/>
      <c r="VHR38" s="21"/>
      <c r="VHS38" s="21"/>
      <c r="VHT38" s="21"/>
      <c r="VHU38" s="21"/>
      <c r="VHV38" s="21"/>
      <c r="VHW38" s="21"/>
      <c r="VHX38" s="21"/>
      <c r="VHY38" s="21"/>
      <c r="VHZ38" s="21"/>
      <c r="VIA38" s="21"/>
      <c r="VIB38" s="21"/>
      <c r="VIC38" s="21"/>
      <c r="VID38" s="21"/>
      <c r="VIE38" s="21"/>
      <c r="VIF38" s="21"/>
      <c r="VIG38" s="21"/>
      <c r="VIH38" s="21"/>
      <c r="VII38" s="21"/>
      <c r="VIJ38" s="21"/>
      <c r="VIK38" s="21"/>
      <c r="VIL38" s="21"/>
      <c r="VIM38" s="21"/>
      <c r="VIN38" s="21"/>
      <c r="VIO38" s="21"/>
      <c r="VIP38" s="21"/>
      <c r="VIQ38" s="21"/>
      <c r="VIR38" s="21"/>
      <c r="VIS38" s="21"/>
      <c r="VIT38" s="21"/>
      <c r="VIU38" s="21"/>
      <c r="VIV38" s="21"/>
      <c r="VIW38" s="21"/>
      <c r="VIX38" s="21"/>
      <c r="VIY38" s="21"/>
      <c r="VIZ38" s="21"/>
      <c r="VJA38" s="21"/>
      <c r="VJB38" s="21"/>
      <c r="VJC38" s="21"/>
      <c r="VJD38" s="21"/>
      <c r="VJE38" s="21"/>
      <c r="VJF38" s="21"/>
      <c r="VJG38" s="21"/>
      <c r="VJH38" s="21"/>
      <c r="VJI38" s="21"/>
      <c r="VJJ38" s="21"/>
      <c r="VJK38" s="21"/>
      <c r="VJL38" s="21"/>
      <c r="VJM38" s="21"/>
      <c r="VJN38" s="21"/>
      <c r="VJO38" s="21"/>
      <c r="VJP38" s="21"/>
      <c r="VJQ38" s="21"/>
      <c r="VJR38" s="21"/>
      <c r="VJS38" s="21"/>
      <c r="VJT38" s="21"/>
      <c r="VJU38" s="21"/>
      <c r="VJV38" s="21"/>
      <c r="VJW38" s="21"/>
      <c r="VJX38" s="21"/>
      <c r="VJY38" s="21"/>
      <c r="VJZ38" s="21"/>
      <c r="VKA38" s="21"/>
      <c r="VKB38" s="21"/>
      <c r="VKC38" s="21"/>
      <c r="VKD38" s="21"/>
      <c r="VKE38" s="21"/>
      <c r="VKF38" s="21"/>
      <c r="VKG38" s="21"/>
      <c r="VKH38" s="21"/>
      <c r="VKI38" s="21"/>
      <c r="VKJ38" s="21"/>
      <c r="VKK38" s="21"/>
      <c r="VKL38" s="21"/>
      <c r="VKM38" s="21"/>
      <c r="VKN38" s="21"/>
      <c r="VKO38" s="21"/>
      <c r="VKP38" s="21"/>
      <c r="VKQ38" s="21"/>
      <c r="VKR38" s="21"/>
      <c r="VKS38" s="21"/>
      <c r="VKT38" s="21"/>
      <c r="VKU38" s="21"/>
      <c r="VKV38" s="21"/>
      <c r="VKW38" s="21"/>
      <c r="VKX38" s="21"/>
      <c r="VKY38" s="21"/>
      <c r="VKZ38" s="21"/>
      <c r="VLA38" s="21"/>
      <c r="VLB38" s="21"/>
      <c r="VLC38" s="21"/>
      <c r="VLD38" s="21"/>
      <c r="VLE38" s="21"/>
      <c r="VLF38" s="21"/>
      <c r="VLG38" s="21"/>
      <c r="VLH38" s="21"/>
      <c r="VLI38" s="21"/>
      <c r="VLJ38" s="21"/>
      <c r="VLK38" s="21"/>
      <c r="VLL38" s="21"/>
      <c r="VLM38" s="21"/>
      <c r="VLN38" s="21"/>
      <c r="VLO38" s="21"/>
      <c r="VLP38" s="21"/>
      <c r="VLQ38" s="21"/>
      <c r="VLR38" s="21"/>
      <c r="VLS38" s="21"/>
      <c r="VLT38" s="21"/>
      <c r="VLU38" s="21"/>
      <c r="VLV38" s="21"/>
      <c r="VLW38" s="21"/>
      <c r="VLX38" s="21"/>
      <c r="VLY38" s="21"/>
      <c r="VLZ38" s="21"/>
      <c r="VMA38" s="21"/>
      <c r="VMB38" s="21"/>
      <c r="VMC38" s="21"/>
      <c r="VMD38" s="21"/>
      <c r="VME38" s="21"/>
      <c r="VMF38" s="21"/>
      <c r="VMG38" s="21"/>
      <c r="VMH38" s="21"/>
      <c r="VMI38" s="21"/>
      <c r="VMJ38" s="21"/>
      <c r="VMK38" s="21"/>
      <c r="VML38" s="21"/>
      <c r="VMM38" s="21"/>
      <c r="VMN38" s="21"/>
      <c r="VMO38" s="21"/>
      <c r="VMP38" s="21"/>
      <c r="VMQ38" s="21"/>
      <c r="VMR38" s="21"/>
      <c r="VMS38" s="21"/>
      <c r="VMT38" s="21"/>
      <c r="VMU38" s="21"/>
      <c r="VMV38" s="21"/>
      <c r="VMW38" s="21"/>
      <c r="VMX38" s="21"/>
      <c r="VMY38" s="21"/>
      <c r="VMZ38" s="21"/>
      <c r="VNA38" s="21"/>
      <c r="VNB38" s="21"/>
      <c r="VNC38" s="21"/>
      <c r="VND38" s="21"/>
      <c r="VNE38" s="21"/>
      <c r="VNF38" s="21"/>
      <c r="VNG38" s="21"/>
      <c r="VNH38" s="21"/>
      <c r="VNI38" s="21"/>
      <c r="VNJ38" s="21"/>
      <c r="VNK38" s="21"/>
      <c r="VNL38" s="21"/>
      <c r="VNM38" s="21"/>
      <c r="VNN38" s="21"/>
      <c r="VNO38" s="21"/>
      <c r="VNP38" s="21"/>
      <c r="VNQ38" s="21"/>
      <c r="VNR38" s="21"/>
      <c r="VNS38" s="21"/>
      <c r="VNT38" s="21"/>
      <c r="VNU38" s="21"/>
      <c r="VNV38" s="21"/>
      <c r="VNW38" s="21"/>
      <c r="VNX38" s="21"/>
      <c r="VNY38" s="21"/>
      <c r="VNZ38" s="21"/>
      <c r="VOA38" s="21"/>
      <c r="VOB38" s="21"/>
      <c r="VOC38" s="21"/>
      <c r="VOD38" s="21"/>
      <c r="VOE38" s="21"/>
      <c r="VOF38" s="21"/>
      <c r="VOG38" s="21"/>
      <c r="VOH38" s="21"/>
      <c r="VOI38" s="21"/>
      <c r="VOJ38" s="21"/>
      <c r="VOK38" s="21"/>
      <c r="VOL38" s="21"/>
      <c r="VOM38" s="21"/>
      <c r="VON38" s="21"/>
      <c r="VOO38" s="21"/>
      <c r="VOP38" s="21"/>
      <c r="VOQ38" s="21"/>
      <c r="VOR38" s="21"/>
      <c r="VOS38" s="21"/>
      <c r="VOT38" s="21"/>
      <c r="VOU38" s="21"/>
      <c r="VOV38" s="21"/>
      <c r="VOW38" s="21"/>
      <c r="VOX38" s="21"/>
      <c r="VOY38" s="21"/>
      <c r="VOZ38" s="21"/>
      <c r="VPA38" s="21"/>
      <c r="VPB38" s="21"/>
      <c r="VPC38" s="21"/>
      <c r="VPD38" s="21"/>
      <c r="VPE38" s="21"/>
      <c r="VPF38" s="21"/>
      <c r="VPG38" s="21"/>
      <c r="VPH38" s="21"/>
      <c r="VPI38" s="21"/>
      <c r="VPJ38" s="21"/>
      <c r="VPK38" s="21"/>
      <c r="VPL38" s="21"/>
      <c r="VPM38" s="21"/>
      <c r="VPN38" s="21"/>
      <c r="VPO38" s="21"/>
      <c r="VPP38" s="21"/>
      <c r="VPQ38" s="21"/>
      <c r="VPR38" s="21"/>
      <c r="VPS38" s="21"/>
      <c r="VPT38" s="21"/>
      <c r="VPU38" s="21"/>
      <c r="VPV38" s="21"/>
      <c r="VPW38" s="21"/>
      <c r="VPX38" s="21"/>
      <c r="VPY38" s="21"/>
      <c r="VPZ38" s="21"/>
      <c r="VQA38" s="21"/>
      <c r="VQB38" s="21"/>
      <c r="VQC38" s="21"/>
      <c r="VQD38" s="21"/>
      <c r="VQE38" s="21"/>
      <c r="VQF38" s="21"/>
      <c r="VQG38" s="21"/>
      <c r="VQH38" s="21"/>
      <c r="VQI38" s="21"/>
      <c r="VQJ38" s="21"/>
      <c r="VQK38" s="21"/>
      <c r="VQL38" s="21"/>
      <c r="VQM38" s="21"/>
      <c r="VQN38" s="21"/>
      <c r="VQO38" s="21"/>
      <c r="VQP38" s="21"/>
      <c r="VQQ38" s="21"/>
      <c r="VQR38" s="21"/>
      <c r="VQS38" s="21"/>
      <c r="VQT38" s="21"/>
      <c r="VQU38" s="21"/>
      <c r="VQV38" s="21"/>
      <c r="VQW38" s="21"/>
      <c r="VQX38" s="21"/>
      <c r="VQY38" s="21"/>
      <c r="VQZ38" s="21"/>
      <c r="VRA38" s="21"/>
      <c r="VRB38" s="21"/>
      <c r="VRC38" s="21"/>
      <c r="VRD38" s="21"/>
      <c r="VRE38" s="21"/>
      <c r="VRF38" s="21"/>
      <c r="VRG38" s="21"/>
      <c r="VRH38" s="21"/>
      <c r="VRI38" s="21"/>
      <c r="VRJ38" s="21"/>
      <c r="VRK38" s="21"/>
      <c r="VRL38" s="21"/>
      <c r="VRM38" s="21"/>
      <c r="VRN38" s="21"/>
      <c r="VRO38" s="21"/>
      <c r="VRP38" s="21"/>
      <c r="VRQ38" s="21"/>
      <c r="VRR38" s="21"/>
      <c r="VRS38" s="21"/>
      <c r="VRT38" s="21"/>
      <c r="VRU38" s="21"/>
      <c r="VRV38" s="21"/>
      <c r="VRW38" s="21"/>
      <c r="VRX38" s="21"/>
      <c r="VRY38" s="21"/>
      <c r="VRZ38" s="21"/>
      <c r="VSA38" s="21"/>
      <c r="VSB38" s="21"/>
      <c r="VSC38" s="21"/>
      <c r="VSD38" s="21"/>
      <c r="VSE38" s="21"/>
      <c r="VSF38" s="21"/>
      <c r="VSG38" s="21"/>
      <c r="VSH38" s="21"/>
      <c r="VSI38" s="21"/>
      <c r="VSJ38" s="21"/>
      <c r="VSK38" s="21"/>
      <c r="VSL38" s="21"/>
      <c r="VSM38" s="21"/>
      <c r="VSN38" s="21"/>
      <c r="VSO38" s="21"/>
      <c r="VSP38" s="21"/>
      <c r="VSQ38" s="21"/>
      <c r="VSR38" s="21"/>
      <c r="VSS38" s="21"/>
      <c r="VST38" s="21"/>
      <c r="VSU38" s="21"/>
      <c r="VSV38" s="21"/>
      <c r="VSW38" s="21"/>
      <c r="VSX38" s="21"/>
      <c r="VSY38" s="21"/>
      <c r="VSZ38" s="21"/>
      <c r="VTA38" s="21"/>
      <c r="VTB38" s="21"/>
      <c r="VTC38" s="21"/>
      <c r="VTD38" s="21"/>
      <c r="VTE38" s="21"/>
      <c r="VTF38" s="21"/>
      <c r="VTG38" s="21"/>
      <c r="VTH38" s="21"/>
      <c r="VTI38" s="21"/>
      <c r="VTJ38" s="21"/>
      <c r="VTK38" s="21"/>
      <c r="VTL38" s="21"/>
      <c r="VTM38" s="21"/>
      <c r="VTN38" s="21"/>
      <c r="VTO38" s="21"/>
      <c r="VTP38" s="21"/>
      <c r="VTQ38" s="21"/>
      <c r="VTR38" s="21"/>
      <c r="VTS38" s="21"/>
      <c r="VTT38" s="21"/>
      <c r="VTU38" s="21"/>
      <c r="VTV38" s="21"/>
      <c r="VTW38" s="21"/>
      <c r="VTX38" s="21"/>
      <c r="VTY38" s="21"/>
      <c r="VTZ38" s="21"/>
      <c r="VUA38" s="21"/>
      <c r="VUB38" s="21"/>
      <c r="VUC38" s="21"/>
      <c r="VUD38" s="21"/>
      <c r="VUE38" s="21"/>
      <c r="VUF38" s="21"/>
      <c r="VUG38" s="21"/>
      <c r="VUH38" s="21"/>
      <c r="VUI38" s="21"/>
      <c r="VUJ38" s="21"/>
      <c r="VUK38" s="21"/>
      <c r="VUL38" s="21"/>
      <c r="VUM38" s="21"/>
      <c r="VUN38" s="21"/>
      <c r="VUO38" s="21"/>
      <c r="VUP38" s="21"/>
      <c r="VUQ38" s="21"/>
      <c r="VUR38" s="21"/>
      <c r="VUS38" s="21"/>
      <c r="VUT38" s="21"/>
      <c r="VUU38" s="21"/>
      <c r="VUV38" s="21"/>
      <c r="VUW38" s="21"/>
      <c r="VUX38" s="21"/>
      <c r="VUY38" s="21"/>
      <c r="VUZ38" s="21"/>
      <c r="VVA38" s="21"/>
      <c r="VVB38" s="21"/>
      <c r="VVC38" s="21"/>
      <c r="VVD38" s="21"/>
      <c r="VVE38" s="21"/>
      <c r="VVF38" s="21"/>
      <c r="VVG38" s="21"/>
      <c r="VVH38" s="21"/>
      <c r="VVI38" s="21"/>
      <c r="VVJ38" s="21"/>
      <c r="VVK38" s="21"/>
      <c r="VVL38" s="21"/>
      <c r="VVM38" s="21"/>
      <c r="VVN38" s="21"/>
      <c r="VVO38" s="21"/>
      <c r="VVP38" s="21"/>
      <c r="VVQ38" s="21"/>
      <c r="VVR38" s="21"/>
      <c r="VVS38" s="21"/>
      <c r="VVT38" s="21"/>
      <c r="VVU38" s="21"/>
      <c r="VVV38" s="21"/>
      <c r="VVW38" s="21"/>
      <c r="VVX38" s="21"/>
      <c r="VVY38" s="21"/>
      <c r="VVZ38" s="21"/>
      <c r="VWA38" s="21"/>
      <c r="VWB38" s="21"/>
      <c r="VWC38" s="21"/>
      <c r="VWD38" s="21"/>
      <c r="VWE38" s="21"/>
      <c r="VWF38" s="21"/>
      <c r="VWG38" s="21"/>
      <c r="VWH38" s="21"/>
      <c r="VWI38" s="21"/>
      <c r="VWJ38" s="21"/>
      <c r="VWK38" s="21"/>
      <c r="VWL38" s="21"/>
      <c r="VWM38" s="21"/>
      <c r="VWN38" s="21"/>
      <c r="VWO38" s="21"/>
      <c r="VWP38" s="21"/>
      <c r="VWQ38" s="21"/>
      <c r="VWR38" s="21"/>
      <c r="VWS38" s="21"/>
      <c r="VWT38" s="21"/>
      <c r="VWU38" s="21"/>
      <c r="VWV38" s="21"/>
      <c r="VWW38" s="21"/>
      <c r="VWX38" s="21"/>
      <c r="VWY38" s="21"/>
      <c r="VWZ38" s="21"/>
      <c r="VXA38" s="21"/>
      <c r="VXB38" s="21"/>
      <c r="VXC38" s="21"/>
      <c r="VXD38" s="21"/>
      <c r="VXE38" s="21"/>
      <c r="VXF38" s="21"/>
      <c r="VXG38" s="21"/>
      <c r="VXH38" s="21"/>
      <c r="VXI38" s="21"/>
      <c r="VXJ38" s="21"/>
      <c r="VXK38" s="21"/>
      <c r="VXL38" s="21"/>
      <c r="VXM38" s="21"/>
      <c r="VXN38" s="21"/>
      <c r="VXO38" s="21"/>
      <c r="VXP38" s="21"/>
      <c r="VXQ38" s="21"/>
      <c r="VXR38" s="21"/>
      <c r="VXS38" s="21"/>
      <c r="VXT38" s="21"/>
      <c r="VXU38" s="21"/>
      <c r="VXV38" s="21"/>
      <c r="VXW38" s="21"/>
      <c r="VXX38" s="21"/>
      <c r="VXY38" s="21"/>
      <c r="VXZ38" s="21"/>
      <c r="VYA38" s="21"/>
      <c r="VYB38" s="21"/>
      <c r="VYC38" s="21"/>
      <c r="VYD38" s="21"/>
      <c r="VYE38" s="21"/>
      <c r="VYF38" s="21"/>
      <c r="VYG38" s="21"/>
      <c r="VYH38" s="21"/>
      <c r="VYI38" s="21"/>
      <c r="VYJ38" s="21"/>
      <c r="VYK38" s="21"/>
      <c r="VYL38" s="21"/>
      <c r="VYM38" s="21"/>
      <c r="VYN38" s="21"/>
      <c r="VYO38" s="21"/>
      <c r="VYP38" s="21"/>
      <c r="VYQ38" s="21"/>
      <c r="VYR38" s="21"/>
      <c r="VYS38" s="21"/>
      <c r="VYT38" s="21"/>
      <c r="VYU38" s="21"/>
      <c r="VYV38" s="21"/>
      <c r="VYW38" s="21"/>
      <c r="VYX38" s="21"/>
      <c r="VYY38" s="21"/>
      <c r="VYZ38" s="21"/>
      <c r="VZA38" s="21"/>
      <c r="VZB38" s="21"/>
      <c r="VZC38" s="21"/>
      <c r="VZD38" s="21"/>
      <c r="VZE38" s="21"/>
      <c r="VZF38" s="21"/>
      <c r="VZG38" s="21"/>
      <c r="VZH38" s="21"/>
      <c r="VZI38" s="21"/>
      <c r="VZJ38" s="21"/>
      <c r="VZK38" s="21"/>
      <c r="VZL38" s="21"/>
      <c r="VZM38" s="21"/>
      <c r="VZN38" s="21"/>
      <c r="VZO38" s="21"/>
      <c r="VZP38" s="21"/>
      <c r="VZQ38" s="21"/>
      <c r="VZR38" s="21"/>
      <c r="VZS38" s="21"/>
      <c r="VZT38" s="21"/>
      <c r="VZU38" s="21"/>
      <c r="VZV38" s="21"/>
      <c r="VZW38" s="21"/>
      <c r="VZX38" s="21"/>
      <c r="VZY38" s="21"/>
      <c r="VZZ38" s="21"/>
      <c r="WAA38" s="21"/>
      <c r="WAB38" s="21"/>
      <c r="WAC38" s="21"/>
      <c r="WAD38" s="21"/>
      <c r="WAE38" s="21"/>
      <c r="WAF38" s="21"/>
      <c r="WAG38" s="21"/>
      <c r="WAH38" s="21"/>
      <c r="WAI38" s="21"/>
      <c r="WAJ38" s="21"/>
      <c r="WAK38" s="21"/>
      <c r="WAL38" s="21"/>
      <c r="WAM38" s="21"/>
      <c r="WAN38" s="21"/>
      <c r="WAO38" s="21"/>
      <c r="WAP38" s="21"/>
      <c r="WAQ38" s="21"/>
      <c r="WAR38" s="21"/>
      <c r="WAS38" s="21"/>
      <c r="WAT38" s="21"/>
      <c r="WAU38" s="21"/>
      <c r="WAV38" s="21"/>
      <c r="WAW38" s="21"/>
      <c r="WAX38" s="21"/>
      <c r="WAY38" s="21"/>
      <c r="WAZ38" s="21"/>
      <c r="WBA38" s="21"/>
      <c r="WBB38" s="21"/>
      <c r="WBC38" s="21"/>
      <c r="WBD38" s="21"/>
      <c r="WBE38" s="21"/>
      <c r="WBF38" s="21"/>
      <c r="WBG38" s="21"/>
      <c r="WBH38" s="21"/>
      <c r="WBI38" s="21"/>
      <c r="WBJ38" s="21"/>
      <c r="WBK38" s="21"/>
      <c r="WBL38" s="21"/>
      <c r="WBM38" s="21"/>
      <c r="WBN38" s="21"/>
      <c r="WBO38" s="21"/>
      <c r="WBP38" s="21"/>
      <c r="WBQ38" s="21"/>
      <c r="WBR38" s="21"/>
      <c r="WBS38" s="21"/>
      <c r="WBT38" s="21"/>
      <c r="WBU38" s="21"/>
      <c r="WBV38" s="21"/>
      <c r="WBW38" s="21"/>
      <c r="WBX38" s="21"/>
      <c r="WBY38" s="21"/>
      <c r="WBZ38" s="21"/>
      <c r="WCA38" s="21"/>
      <c r="WCB38" s="21"/>
      <c r="WCC38" s="21"/>
      <c r="WCD38" s="21"/>
      <c r="WCE38" s="21"/>
      <c r="WCF38" s="21"/>
      <c r="WCG38" s="21"/>
      <c r="WCH38" s="21"/>
      <c r="WCI38" s="21"/>
      <c r="WCJ38" s="21"/>
      <c r="WCK38" s="21"/>
      <c r="WCL38" s="21"/>
      <c r="WCM38" s="21"/>
      <c r="WCN38" s="21"/>
      <c r="WCO38" s="21"/>
      <c r="WCP38" s="21"/>
      <c r="WCQ38" s="21"/>
      <c r="WCR38" s="21"/>
      <c r="WCS38" s="21"/>
      <c r="WCT38" s="21"/>
      <c r="WCU38" s="21"/>
      <c r="WCV38" s="21"/>
      <c r="WCW38" s="21"/>
      <c r="WCX38" s="21"/>
      <c r="WCY38" s="21"/>
      <c r="WCZ38" s="21"/>
      <c r="WDA38" s="21"/>
      <c r="WDB38" s="21"/>
      <c r="WDC38" s="21"/>
      <c r="WDD38" s="21"/>
      <c r="WDE38" s="21"/>
      <c r="WDF38" s="21"/>
      <c r="WDG38" s="21"/>
      <c r="WDH38" s="21"/>
      <c r="WDI38" s="21"/>
      <c r="WDJ38" s="21"/>
      <c r="WDK38" s="21"/>
      <c r="WDL38" s="21"/>
      <c r="WDM38" s="21"/>
      <c r="WDN38" s="21"/>
      <c r="WDO38" s="21"/>
      <c r="WDP38" s="21"/>
      <c r="WDQ38" s="21"/>
      <c r="WDR38" s="21"/>
      <c r="WDS38" s="21"/>
      <c r="WDT38" s="21"/>
      <c r="WDU38" s="21"/>
      <c r="WDV38" s="21"/>
      <c r="WDW38" s="21"/>
      <c r="WDX38" s="21"/>
      <c r="WDY38" s="21"/>
      <c r="WDZ38" s="21"/>
      <c r="WEA38" s="21"/>
      <c r="WEB38" s="21"/>
      <c r="WEC38" s="21"/>
      <c r="WED38" s="21"/>
      <c r="WEE38" s="21"/>
      <c r="WEF38" s="21"/>
      <c r="WEG38" s="21"/>
      <c r="WEH38" s="21"/>
      <c r="WEI38" s="21"/>
      <c r="WEJ38" s="21"/>
      <c r="WEK38" s="21"/>
      <c r="WEL38" s="21"/>
      <c r="WEM38" s="21"/>
      <c r="WEN38" s="21"/>
      <c r="WEO38" s="21"/>
      <c r="WEP38" s="21"/>
      <c r="WEQ38" s="21"/>
      <c r="WER38" s="21"/>
      <c r="WES38" s="21"/>
      <c r="WET38" s="21"/>
      <c r="WEU38" s="21"/>
      <c r="WEV38" s="21"/>
      <c r="WEW38" s="21"/>
      <c r="WEX38" s="21"/>
      <c r="WEY38" s="21"/>
      <c r="WEZ38" s="21"/>
      <c r="WFA38" s="21"/>
      <c r="WFB38" s="21"/>
      <c r="WFC38" s="21"/>
      <c r="WFD38" s="21"/>
      <c r="WFE38" s="21"/>
      <c r="WFF38" s="21"/>
      <c r="WFG38" s="21"/>
      <c r="WFH38" s="21"/>
      <c r="WFI38" s="21"/>
      <c r="WFJ38" s="21"/>
      <c r="WFK38" s="21"/>
      <c r="WFL38" s="21"/>
      <c r="WFM38" s="21"/>
      <c r="WFN38" s="21"/>
      <c r="WFO38" s="21"/>
      <c r="WFP38" s="21"/>
      <c r="WFQ38" s="21"/>
      <c r="WFR38" s="21"/>
      <c r="WFS38" s="21"/>
      <c r="WFT38" s="21"/>
      <c r="WFU38" s="21"/>
      <c r="WFV38" s="21"/>
      <c r="WFW38" s="21"/>
      <c r="WFX38" s="21"/>
      <c r="WFY38" s="21"/>
      <c r="WFZ38" s="21"/>
      <c r="WGA38" s="21"/>
      <c r="WGB38" s="21"/>
      <c r="WGC38" s="21"/>
      <c r="WGD38" s="21"/>
      <c r="WGE38" s="21"/>
      <c r="WGF38" s="21"/>
      <c r="WGG38" s="21"/>
      <c r="WGH38" s="21"/>
      <c r="WGI38" s="21"/>
      <c r="WGJ38" s="21"/>
      <c r="WGK38" s="21"/>
      <c r="WGL38" s="21"/>
      <c r="WGM38" s="21"/>
      <c r="WGN38" s="21"/>
      <c r="WGO38" s="21"/>
      <c r="WGP38" s="21"/>
      <c r="WGQ38" s="21"/>
      <c r="WGR38" s="21"/>
      <c r="WGS38" s="21"/>
      <c r="WGT38" s="21"/>
      <c r="WGU38" s="21"/>
      <c r="WGV38" s="21"/>
      <c r="WGW38" s="21"/>
      <c r="WGX38" s="21"/>
      <c r="WGY38" s="21"/>
      <c r="WGZ38" s="21"/>
      <c r="WHA38" s="21"/>
      <c r="WHB38" s="21"/>
      <c r="WHC38" s="21"/>
      <c r="WHD38" s="21"/>
      <c r="WHE38" s="21"/>
      <c r="WHF38" s="21"/>
      <c r="WHG38" s="21"/>
      <c r="WHH38" s="21"/>
      <c r="WHI38" s="21"/>
      <c r="WHJ38" s="21"/>
      <c r="WHK38" s="21"/>
      <c r="WHL38" s="21"/>
      <c r="WHM38" s="21"/>
      <c r="WHN38" s="21"/>
      <c r="WHO38" s="21"/>
      <c r="WHP38" s="21"/>
      <c r="WHQ38" s="21"/>
      <c r="WHR38" s="21"/>
      <c r="WHS38" s="21"/>
      <c r="WHT38" s="21"/>
      <c r="WHU38" s="21"/>
      <c r="WHV38" s="21"/>
      <c r="WHW38" s="21"/>
      <c r="WHX38" s="21"/>
      <c r="WHY38" s="21"/>
      <c r="WHZ38" s="21"/>
      <c r="WIA38" s="21"/>
      <c r="WIB38" s="21"/>
      <c r="WIC38" s="21"/>
      <c r="WID38" s="21"/>
      <c r="WIE38" s="21"/>
      <c r="WIF38" s="21"/>
      <c r="WIG38" s="21"/>
      <c r="WIH38" s="21"/>
      <c r="WII38" s="21"/>
      <c r="WIJ38" s="21"/>
      <c r="WIK38" s="21"/>
      <c r="WIL38" s="21"/>
      <c r="WIM38" s="21"/>
      <c r="WIN38" s="21"/>
      <c r="WIO38" s="21"/>
      <c r="WIP38" s="21"/>
      <c r="WIQ38" s="21"/>
      <c r="WIR38" s="21"/>
      <c r="WIS38" s="21"/>
      <c r="WIT38" s="21"/>
      <c r="WIU38" s="21"/>
      <c r="WIV38" s="21"/>
      <c r="WIW38" s="21"/>
      <c r="WIX38" s="21"/>
      <c r="WIY38" s="21"/>
      <c r="WIZ38" s="21"/>
      <c r="WJA38" s="21"/>
      <c r="WJB38" s="21"/>
      <c r="WJC38" s="21"/>
      <c r="WJD38" s="21"/>
      <c r="WJE38" s="21"/>
      <c r="WJF38" s="21"/>
      <c r="WJG38" s="21"/>
      <c r="WJH38" s="21"/>
      <c r="WJI38" s="21"/>
      <c r="WJJ38" s="21"/>
      <c r="WJK38" s="21"/>
      <c r="WJL38" s="21"/>
      <c r="WJM38" s="21"/>
      <c r="WJN38" s="21"/>
      <c r="WJO38" s="21"/>
      <c r="WJP38" s="21"/>
      <c r="WJQ38" s="21"/>
      <c r="WJR38" s="21"/>
      <c r="WJS38" s="21"/>
      <c r="WJT38" s="21"/>
      <c r="WJU38" s="21"/>
      <c r="WJV38" s="21"/>
      <c r="WJW38" s="21"/>
      <c r="WJX38" s="21"/>
      <c r="WJY38" s="21"/>
      <c r="WJZ38" s="21"/>
      <c r="WKA38" s="21"/>
      <c r="WKB38" s="21"/>
      <c r="WKC38" s="21"/>
      <c r="WKD38" s="21"/>
      <c r="WKE38" s="21"/>
      <c r="WKF38" s="21"/>
      <c r="WKG38" s="21"/>
      <c r="WKH38" s="21"/>
      <c r="WKI38" s="21"/>
      <c r="WKJ38" s="21"/>
      <c r="WKK38" s="21"/>
      <c r="WKL38" s="21"/>
      <c r="WKM38" s="21"/>
      <c r="WKN38" s="21"/>
      <c r="WKO38" s="21"/>
      <c r="WKP38" s="21"/>
      <c r="WKQ38" s="21"/>
      <c r="WKR38" s="21"/>
      <c r="WKS38" s="21"/>
      <c r="WKT38" s="21"/>
      <c r="WKU38" s="21"/>
      <c r="WKV38" s="21"/>
      <c r="WKW38" s="21"/>
      <c r="WKX38" s="21"/>
      <c r="WKY38" s="21"/>
      <c r="WKZ38" s="21"/>
      <c r="WLA38" s="21"/>
      <c r="WLB38" s="21"/>
      <c r="WLC38" s="21"/>
      <c r="WLD38" s="21"/>
      <c r="WLE38" s="21"/>
      <c r="WLF38" s="21"/>
      <c r="WLG38" s="21"/>
      <c r="WLH38" s="21"/>
      <c r="WLI38" s="21"/>
      <c r="WLJ38" s="21"/>
      <c r="WLK38" s="21"/>
      <c r="WLL38" s="21"/>
      <c r="WLM38" s="21"/>
      <c r="WLN38" s="21"/>
      <c r="WLO38" s="21"/>
      <c r="WLP38" s="21"/>
      <c r="WLQ38" s="21"/>
      <c r="WLR38" s="21"/>
      <c r="WLS38" s="21"/>
      <c r="WLT38" s="21"/>
      <c r="WLU38" s="21"/>
      <c r="WLV38" s="21"/>
      <c r="WLW38" s="21"/>
      <c r="WLX38" s="21"/>
      <c r="WLY38" s="21"/>
      <c r="WLZ38" s="21"/>
      <c r="WMA38" s="21"/>
      <c r="WMB38" s="21"/>
      <c r="WMC38" s="21"/>
      <c r="WMD38" s="21"/>
      <c r="WME38" s="21"/>
      <c r="WMF38" s="21"/>
      <c r="WMG38" s="21"/>
      <c r="WMH38" s="21"/>
      <c r="WMI38" s="21"/>
      <c r="WMJ38" s="21"/>
      <c r="WMK38" s="21"/>
      <c r="WML38" s="21"/>
      <c r="WMM38" s="21"/>
      <c r="WMN38" s="21"/>
      <c r="WMO38" s="21"/>
      <c r="WMP38" s="21"/>
      <c r="WMQ38" s="21"/>
      <c r="WMR38" s="21"/>
      <c r="WMS38" s="21"/>
      <c r="WMT38" s="21"/>
      <c r="WMU38" s="21"/>
      <c r="WMV38" s="21"/>
      <c r="WMW38" s="21"/>
      <c r="WMX38" s="21"/>
      <c r="WMY38" s="21"/>
      <c r="WMZ38" s="21"/>
      <c r="WNA38" s="21"/>
      <c r="WNB38" s="21"/>
      <c r="WNC38" s="21"/>
      <c r="WND38" s="21"/>
      <c r="WNE38" s="21"/>
      <c r="WNF38" s="21"/>
      <c r="WNG38" s="21"/>
      <c r="WNH38" s="21"/>
      <c r="WNI38" s="21"/>
      <c r="WNJ38" s="21"/>
      <c r="WNK38" s="21"/>
      <c r="WNL38" s="21"/>
      <c r="WNM38" s="21"/>
      <c r="WNN38" s="21"/>
      <c r="WNO38" s="21"/>
      <c r="WNP38" s="21"/>
      <c r="WNQ38" s="21"/>
      <c r="WNR38" s="21"/>
      <c r="WNS38" s="21"/>
      <c r="WNT38" s="21"/>
      <c r="WNU38" s="21"/>
      <c r="WNV38" s="21"/>
      <c r="WNW38" s="21"/>
      <c r="WNX38" s="21"/>
      <c r="WNY38" s="21"/>
      <c r="WNZ38" s="21"/>
      <c r="WOA38" s="21"/>
      <c r="WOB38" s="21"/>
      <c r="WOC38" s="21"/>
      <c r="WOD38" s="21"/>
      <c r="WOE38" s="21"/>
      <c r="WOF38" s="21"/>
      <c r="WOG38" s="21"/>
      <c r="WOH38" s="21"/>
      <c r="WOI38" s="21"/>
      <c r="WOJ38" s="21"/>
      <c r="WOK38" s="21"/>
      <c r="WOL38" s="21"/>
      <c r="WOM38" s="21"/>
      <c r="WON38" s="21"/>
      <c r="WOO38" s="21"/>
      <c r="WOP38" s="21"/>
      <c r="WOQ38" s="21"/>
      <c r="WOR38" s="21"/>
      <c r="WOS38" s="21"/>
      <c r="WOT38" s="21"/>
      <c r="WOU38" s="21"/>
      <c r="WOV38" s="21"/>
      <c r="WOW38" s="21"/>
      <c r="WOX38" s="21"/>
      <c r="WOY38" s="21"/>
      <c r="WOZ38" s="21"/>
      <c r="WPA38" s="21"/>
      <c r="WPB38" s="21"/>
      <c r="WPC38" s="21"/>
      <c r="WPD38" s="21"/>
      <c r="WPE38" s="21"/>
      <c r="WPF38" s="21"/>
      <c r="WPG38" s="21"/>
      <c r="WPH38" s="21"/>
      <c r="WPI38" s="21"/>
      <c r="WPJ38" s="21"/>
      <c r="WPK38" s="21"/>
      <c r="WPL38" s="21"/>
      <c r="WPM38" s="21"/>
      <c r="WPN38" s="21"/>
      <c r="WPO38" s="21"/>
      <c r="WPP38" s="21"/>
      <c r="WPQ38" s="21"/>
      <c r="WPR38" s="21"/>
      <c r="WPS38" s="21"/>
      <c r="WPT38" s="21"/>
      <c r="WPU38" s="21"/>
      <c r="WPV38" s="21"/>
      <c r="WPW38" s="21"/>
      <c r="WPX38" s="21"/>
      <c r="WPY38" s="21"/>
      <c r="WPZ38" s="21"/>
      <c r="WQA38" s="21"/>
      <c r="WQB38" s="21"/>
      <c r="WQC38" s="21"/>
      <c r="WQD38" s="21"/>
      <c r="WQE38" s="21"/>
      <c r="WQF38" s="21"/>
      <c r="WQG38" s="21"/>
      <c r="WQH38" s="21"/>
      <c r="WQI38" s="21"/>
      <c r="WQJ38" s="21"/>
      <c r="WQK38" s="21"/>
      <c r="WQL38" s="21"/>
      <c r="WQM38" s="21"/>
      <c r="WQN38" s="21"/>
      <c r="WQO38" s="21"/>
      <c r="WQP38" s="21"/>
      <c r="WQQ38" s="21"/>
      <c r="WQR38" s="21"/>
      <c r="WQS38" s="21"/>
      <c r="WQT38" s="21"/>
      <c r="WQU38" s="21"/>
      <c r="WQV38" s="21"/>
      <c r="WQW38" s="21"/>
      <c r="WQX38" s="21"/>
      <c r="WQY38" s="21"/>
      <c r="WQZ38" s="21"/>
      <c r="WRA38" s="21"/>
      <c r="WRB38" s="21"/>
      <c r="WRC38" s="21"/>
      <c r="WRD38" s="21"/>
      <c r="WRE38" s="21"/>
      <c r="WRF38" s="21"/>
      <c r="WRG38" s="21"/>
      <c r="WRH38" s="21"/>
      <c r="WRI38" s="21"/>
      <c r="WRJ38" s="21"/>
      <c r="WRK38" s="21"/>
      <c r="WRL38" s="21"/>
      <c r="WRM38" s="21"/>
      <c r="WRN38" s="21"/>
      <c r="WRO38" s="21"/>
      <c r="WRP38" s="21"/>
      <c r="WRQ38" s="21"/>
      <c r="WRR38" s="21"/>
      <c r="WRS38" s="21"/>
      <c r="WRT38" s="21"/>
      <c r="WRU38" s="21"/>
      <c r="WRV38" s="21"/>
      <c r="WRW38" s="21"/>
      <c r="WRX38" s="21"/>
      <c r="WRY38" s="21"/>
      <c r="WRZ38" s="21"/>
      <c r="WSA38" s="21"/>
      <c r="WSB38" s="21"/>
      <c r="WSC38" s="21"/>
      <c r="WSD38" s="21"/>
      <c r="WSE38" s="21"/>
      <c r="WSF38" s="21"/>
      <c r="WSG38" s="21"/>
      <c r="WSH38" s="21"/>
      <c r="WSI38" s="21"/>
      <c r="WSJ38" s="21"/>
      <c r="WSK38" s="21"/>
      <c r="WSL38" s="21"/>
      <c r="WSM38" s="21"/>
      <c r="WSN38" s="21"/>
      <c r="WSO38" s="21"/>
      <c r="WSP38" s="21"/>
      <c r="WSQ38" s="21"/>
      <c r="WSR38" s="21"/>
      <c r="WSS38" s="21"/>
      <c r="WST38" s="21"/>
      <c r="WSU38" s="21"/>
      <c r="WSV38" s="21"/>
      <c r="WSW38" s="21"/>
      <c r="WSX38" s="21"/>
      <c r="WSY38" s="21"/>
      <c r="WSZ38" s="21"/>
      <c r="WTA38" s="21"/>
      <c r="WTB38" s="21"/>
      <c r="WTC38" s="21"/>
      <c r="WTD38" s="21"/>
      <c r="WTE38" s="21"/>
      <c r="WTF38" s="21"/>
      <c r="WTG38" s="21"/>
      <c r="WTH38" s="21"/>
      <c r="WTI38" s="21"/>
      <c r="WTJ38" s="21"/>
      <c r="WTK38" s="21"/>
      <c r="WTL38" s="21"/>
      <c r="WTM38" s="21"/>
      <c r="WTN38" s="21"/>
      <c r="WTO38" s="21"/>
      <c r="WTP38" s="21"/>
      <c r="WTQ38" s="21"/>
      <c r="WTR38" s="21"/>
      <c r="WTS38" s="21"/>
      <c r="WTT38" s="21"/>
      <c r="WTU38" s="21"/>
      <c r="WTV38" s="21"/>
      <c r="WTW38" s="21"/>
      <c r="WTX38" s="21"/>
      <c r="WTY38" s="21"/>
      <c r="WTZ38" s="21"/>
      <c r="WUA38" s="21"/>
      <c r="WUB38" s="21"/>
      <c r="WUC38" s="21"/>
      <c r="WUD38" s="21"/>
      <c r="WUE38" s="21"/>
      <c r="WUF38" s="21"/>
      <c r="WUG38" s="21"/>
      <c r="WUH38" s="21"/>
      <c r="WUI38" s="21"/>
      <c r="WUJ38" s="21"/>
      <c r="WUK38" s="21"/>
      <c r="WUL38" s="21"/>
      <c r="WUM38" s="21"/>
      <c r="WUN38" s="21"/>
      <c r="WUO38" s="21"/>
      <c r="WUP38" s="21"/>
      <c r="WUQ38" s="21"/>
      <c r="WUR38" s="21"/>
      <c r="WUS38" s="21"/>
      <c r="WUT38" s="21"/>
      <c r="WUU38" s="21"/>
      <c r="WUV38" s="21"/>
      <c r="WUW38" s="21"/>
      <c r="WUX38" s="21"/>
      <c r="WUY38" s="21"/>
      <c r="WUZ38" s="21"/>
      <c r="WVA38" s="21"/>
      <c r="WVB38" s="21"/>
      <c r="WVC38" s="21"/>
      <c r="WVD38" s="21"/>
      <c r="WVE38" s="21"/>
      <c r="WVF38" s="21"/>
      <c r="WVG38" s="21"/>
      <c r="WVH38" s="21"/>
      <c r="WVI38" s="21"/>
      <c r="WVJ38" s="21"/>
      <c r="WVK38" s="21"/>
      <c r="WVL38" s="21"/>
      <c r="WVM38" s="21"/>
      <c r="WVN38" s="21"/>
      <c r="WVO38" s="21"/>
      <c r="WVP38" s="21"/>
      <c r="WVQ38" s="21"/>
      <c r="WVR38" s="21"/>
      <c r="WVS38" s="21"/>
      <c r="WVT38" s="21"/>
      <c r="WVU38" s="21"/>
      <c r="WVV38" s="21"/>
      <c r="WVW38" s="21"/>
      <c r="WVX38" s="21"/>
      <c r="WVY38" s="21"/>
      <c r="WVZ38" s="21"/>
      <c r="WWA38" s="21"/>
      <c r="WWB38" s="21"/>
      <c r="WWC38" s="21"/>
      <c r="WWD38" s="21"/>
      <c r="WWE38" s="21"/>
      <c r="WWF38" s="21"/>
      <c r="WWG38" s="21"/>
      <c r="WWH38" s="21"/>
      <c r="WWI38" s="21"/>
      <c r="WWJ38" s="21"/>
      <c r="WWK38" s="21"/>
      <c r="WWL38" s="21"/>
      <c r="WWM38" s="21"/>
      <c r="WWN38" s="21"/>
      <c r="WWO38" s="21"/>
      <c r="WWP38" s="21"/>
      <c r="WWQ38" s="21"/>
      <c r="WWR38" s="21"/>
      <c r="WWS38" s="21"/>
      <c r="WWT38" s="21"/>
      <c r="WWU38" s="21"/>
      <c r="WWV38" s="21"/>
      <c r="WWW38" s="21"/>
      <c r="WWX38" s="21"/>
      <c r="WWY38" s="21"/>
      <c r="WWZ38" s="21"/>
      <c r="WXA38" s="21"/>
      <c r="WXB38" s="21"/>
      <c r="WXC38" s="21"/>
      <c r="WXD38" s="21"/>
      <c r="WXE38" s="21"/>
      <c r="WXF38" s="21"/>
      <c r="WXG38" s="21"/>
      <c r="WXH38" s="21"/>
      <c r="WXI38" s="21"/>
      <c r="WXJ38" s="21"/>
      <c r="WXK38" s="21"/>
      <c r="WXL38" s="21"/>
      <c r="WXM38" s="21"/>
      <c r="WXN38" s="21"/>
      <c r="WXO38" s="21"/>
      <c r="WXP38" s="21"/>
      <c r="WXQ38" s="21"/>
      <c r="WXR38" s="21"/>
      <c r="WXS38" s="21"/>
      <c r="WXT38" s="21"/>
      <c r="WXU38" s="21"/>
      <c r="WXV38" s="21"/>
      <c r="WXW38" s="21"/>
      <c r="WXX38" s="21"/>
      <c r="WXY38" s="21"/>
      <c r="WXZ38" s="21"/>
      <c r="WYA38" s="21"/>
      <c r="WYB38" s="21"/>
      <c r="WYC38" s="21"/>
      <c r="WYD38" s="21"/>
      <c r="WYE38" s="21"/>
      <c r="WYF38" s="21"/>
      <c r="WYG38" s="21"/>
      <c r="WYH38" s="21"/>
      <c r="WYI38" s="21"/>
      <c r="WYJ38" s="21"/>
      <c r="WYK38" s="21"/>
      <c r="WYL38" s="21"/>
      <c r="WYM38" s="21"/>
      <c r="WYN38" s="21"/>
      <c r="WYO38" s="21"/>
      <c r="WYP38" s="21"/>
      <c r="WYQ38" s="21"/>
      <c r="WYR38" s="21"/>
      <c r="WYS38" s="21"/>
      <c r="WYT38" s="21"/>
      <c r="WYU38" s="21"/>
      <c r="WYV38" s="21"/>
      <c r="WYW38" s="21"/>
      <c r="WYX38" s="21"/>
      <c r="WYY38" s="21"/>
      <c r="WYZ38" s="21"/>
      <c r="WZA38" s="21"/>
      <c r="WZB38" s="21"/>
      <c r="WZC38" s="21"/>
      <c r="WZD38" s="21"/>
      <c r="WZE38" s="21"/>
      <c r="WZF38" s="21"/>
      <c r="WZG38" s="21"/>
      <c r="WZH38" s="21"/>
      <c r="WZI38" s="21"/>
      <c r="WZJ38" s="21"/>
      <c r="WZK38" s="21"/>
      <c r="WZL38" s="21"/>
      <c r="WZM38" s="21"/>
      <c r="WZN38" s="21"/>
      <c r="WZO38" s="21"/>
      <c r="WZP38" s="21"/>
      <c r="WZQ38" s="21"/>
      <c r="WZR38" s="21"/>
      <c r="WZS38" s="21"/>
      <c r="WZT38" s="21"/>
      <c r="WZU38" s="21"/>
      <c r="WZV38" s="21"/>
      <c r="WZW38" s="21"/>
      <c r="WZX38" s="21"/>
      <c r="WZY38" s="21"/>
      <c r="WZZ38" s="21"/>
      <c r="XAA38" s="21"/>
      <c r="XAB38" s="21"/>
      <c r="XAC38" s="21"/>
      <c r="XAD38" s="21"/>
      <c r="XAE38" s="21"/>
      <c r="XAF38" s="21"/>
      <c r="XAG38" s="21"/>
      <c r="XAH38" s="21"/>
      <c r="XAI38" s="21"/>
      <c r="XAJ38" s="21"/>
      <c r="XAK38" s="21"/>
      <c r="XAL38" s="21"/>
      <c r="XAM38" s="21"/>
      <c r="XAN38" s="21"/>
      <c r="XAO38" s="21"/>
      <c r="XAP38" s="21"/>
      <c r="XAQ38" s="21"/>
      <c r="XAR38" s="21"/>
      <c r="XAS38" s="21"/>
      <c r="XAT38" s="21"/>
      <c r="XAU38" s="21"/>
      <c r="XAV38" s="21"/>
      <c r="XAW38" s="21"/>
      <c r="XAX38" s="21"/>
      <c r="XAY38" s="21"/>
      <c r="XAZ38" s="21"/>
      <c r="XBA38" s="21"/>
      <c r="XBB38" s="21"/>
      <c r="XBC38" s="21"/>
      <c r="XBD38" s="21"/>
      <c r="XBE38" s="21"/>
      <c r="XBF38" s="21"/>
      <c r="XBG38" s="21"/>
      <c r="XBH38" s="21"/>
      <c r="XBI38" s="21"/>
      <c r="XBJ38" s="21"/>
      <c r="XBK38" s="21"/>
      <c r="XBL38" s="21"/>
      <c r="XBM38" s="21"/>
      <c r="XBN38" s="21"/>
      <c r="XBO38" s="21"/>
      <c r="XBP38" s="21"/>
      <c r="XBQ38" s="21"/>
      <c r="XBR38" s="21"/>
      <c r="XBS38" s="21"/>
      <c r="XBT38" s="21"/>
      <c r="XBU38" s="21"/>
      <c r="XBV38" s="21"/>
      <c r="XBW38" s="21"/>
      <c r="XBX38" s="21"/>
      <c r="XBY38" s="21"/>
      <c r="XBZ38" s="21"/>
      <c r="XCA38" s="21"/>
      <c r="XCB38" s="21"/>
      <c r="XCC38" s="21"/>
      <c r="XCD38" s="21"/>
      <c r="XCE38" s="21"/>
      <c r="XCF38" s="21"/>
      <c r="XCG38" s="21"/>
      <c r="XCH38" s="21"/>
      <c r="XCI38" s="21"/>
      <c r="XCJ38" s="21"/>
      <c r="XCK38" s="21"/>
      <c r="XCL38" s="21"/>
      <c r="XCM38" s="21"/>
      <c r="XCN38" s="21"/>
      <c r="XCO38" s="21"/>
      <c r="XCP38" s="21"/>
      <c r="XCQ38" s="21"/>
      <c r="XCR38" s="21"/>
      <c r="XCS38" s="21"/>
      <c r="XCT38" s="21"/>
      <c r="XCU38" s="21"/>
      <c r="XCV38" s="21"/>
      <c r="XCW38" s="21"/>
      <c r="XCX38" s="21"/>
      <c r="XCY38" s="21"/>
      <c r="XCZ38" s="21"/>
      <c r="XDA38" s="21"/>
      <c r="XDB38" s="21"/>
      <c r="XDC38" s="21"/>
      <c r="XDD38" s="21"/>
      <c r="XDE38" s="21"/>
      <c r="XDF38" s="21"/>
      <c r="XDG38" s="21"/>
      <c r="XDH38" s="21"/>
      <c r="XDI38" s="21"/>
      <c r="XDJ38" s="21"/>
      <c r="XDK38" s="21"/>
      <c r="XDL38" s="21"/>
      <c r="XDM38" s="21"/>
      <c r="XDN38" s="21"/>
      <c r="XDO38" s="21"/>
      <c r="XDP38" s="21"/>
      <c r="XDQ38" s="21"/>
      <c r="XDR38" s="21"/>
      <c r="XDS38" s="21"/>
      <c r="XDT38" s="21"/>
      <c r="XDU38" s="21"/>
      <c r="XDV38" s="21"/>
      <c r="XDW38" s="21"/>
      <c r="XDX38" s="21"/>
      <c r="XDY38" s="21"/>
      <c r="XDZ38" s="21"/>
      <c r="XEA38" s="21"/>
      <c r="XEB38" s="21"/>
      <c r="XEC38" s="21"/>
      <c r="XED38" s="21"/>
      <c r="XEE38" s="21"/>
      <c r="XEF38" s="21"/>
      <c r="XEG38" s="21"/>
      <c r="XEH38" s="21"/>
      <c r="XEI38" s="21"/>
      <c r="XEJ38" s="21"/>
      <c r="XEK38" s="21"/>
      <c r="XEL38" s="21"/>
      <c r="XEM38" s="21"/>
      <c r="XEN38" s="21"/>
      <c r="XEO38" s="21"/>
      <c r="XEP38" s="21"/>
      <c r="XEQ38" s="21"/>
      <c r="XER38" s="21"/>
      <c r="XES38" s="21"/>
      <c r="XET38" s="21"/>
      <c r="XEU38" s="21"/>
      <c r="XEV38" s="21"/>
      <c r="XEW38" s="21"/>
      <c r="XEX38" s="21"/>
      <c r="XEY38" s="21"/>
      <c r="XEZ38" s="21"/>
      <c r="XFA38" s="21"/>
      <c r="XFB38" s="21"/>
      <c r="XFC38" s="21"/>
      <c r="XFD38" s="21"/>
    </row>
    <row r="39" spans="1:16384" ht="17" thickTop="1">
      <c r="XEJ39" s="19"/>
    </row>
    <row r="40" spans="1:16384">
      <c r="B40" s="182" t="s">
        <v>137</v>
      </c>
      <c r="C40" s="182"/>
      <c r="D40" s="182"/>
      <c r="E40" s="182"/>
      <c r="F40" s="182"/>
    </row>
    <row r="41" spans="1:16384">
      <c r="B41" s="25"/>
      <c r="C41" s="25"/>
      <c r="D41" s="25"/>
      <c r="E41" s="25"/>
      <c r="F41" s="25"/>
    </row>
    <row r="42" spans="1:16384" ht="19">
      <c r="B42" s="25" t="s">
        <v>157</v>
      </c>
      <c r="C42" s="25"/>
      <c r="D42" s="25"/>
      <c r="E42" s="183">
        <f>Riskfree_Return</f>
        <v>0.04</v>
      </c>
      <c r="F42" s="184">
        <v>1</v>
      </c>
    </row>
    <row r="43" spans="1:16384" ht="18">
      <c r="B43" s="25" t="s">
        <v>138</v>
      </c>
      <c r="C43" s="25"/>
      <c r="D43" s="25"/>
      <c r="E43" s="185">
        <f>Beta_Equity</f>
        <v>1</v>
      </c>
      <c r="F43" s="184">
        <v>2</v>
      </c>
    </row>
    <row r="44" spans="1:16384" ht="19">
      <c r="B44" s="25" t="s">
        <v>158</v>
      </c>
      <c r="C44" s="25"/>
      <c r="D44" s="25"/>
      <c r="E44" s="183">
        <f>Risk_Premium</f>
        <v>3.0000000000000006E-2</v>
      </c>
      <c r="F44" s="184">
        <v>3</v>
      </c>
    </row>
    <row r="45" spans="1:16384" ht="17" customHeight="1">
      <c r="B45" s="186" t="s">
        <v>159</v>
      </c>
      <c r="C45" s="187"/>
      <c r="D45" s="188"/>
      <c r="E45" s="189">
        <f>E42+E43*E44</f>
        <v>7.0000000000000007E-2</v>
      </c>
      <c r="F45" s="190"/>
    </row>
    <row r="46" spans="1:16384" ht="17" customHeight="1">
      <c r="B46" s="25"/>
      <c r="C46" s="25"/>
      <c r="D46" s="25"/>
      <c r="E46" s="25"/>
      <c r="F46" s="184"/>
    </row>
    <row r="47" spans="1:16384" ht="18">
      <c r="B47" s="25" t="s">
        <v>139</v>
      </c>
      <c r="C47" s="25"/>
      <c r="D47" s="25"/>
      <c r="E47" s="191">
        <f>Interest_Rate</f>
        <v>2.7139874739039668E-2</v>
      </c>
      <c r="F47" s="184">
        <v>4</v>
      </c>
    </row>
    <row r="48" spans="1:16384" ht="18">
      <c r="B48" s="25" t="s">
        <v>140</v>
      </c>
      <c r="C48" s="25"/>
      <c r="D48" s="25"/>
      <c r="E48" s="183">
        <f>Tax_Rate</f>
        <v>0.3</v>
      </c>
      <c r="F48" s="192"/>
    </row>
    <row r="49" spans="2:15" ht="19">
      <c r="B49" s="186" t="s">
        <v>160</v>
      </c>
      <c r="C49" s="187"/>
      <c r="D49" s="187"/>
      <c r="E49" s="189">
        <f>(1-E48)*E47</f>
        <v>1.8997912317327767E-2</v>
      </c>
      <c r="F49" s="190"/>
    </row>
    <row r="50" spans="2:15" ht="17" customHeight="1">
      <c r="B50" s="25"/>
      <c r="C50" s="25"/>
      <c r="D50" s="25"/>
      <c r="E50" s="25"/>
      <c r="F50" s="184"/>
    </row>
    <row r="51" spans="2:15" ht="17" customHeight="1">
      <c r="B51" s="193" t="s">
        <v>141</v>
      </c>
      <c r="C51" s="25"/>
      <c r="D51" s="25"/>
      <c r="E51" s="25"/>
      <c r="F51" s="184"/>
    </row>
    <row r="52" spans="2:15" ht="18">
      <c r="B52" s="194" t="s">
        <v>142</v>
      </c>
      <c r="C52" s="25"/>
      <c r="D52" s="195">
        <f>'Balance Sheet Historic'!C62</f>
        <v>9573</v>
      </c>
      <c r="E52" s="196">
        <f>D52/D54</f>
        <v>0.13257717395820351</v>
      </c>
      <c r="F52" s="184"/>
    </row>
    <row r="53" spans="2:15" ht="18">
      <c r="B53" s="194" t="s">
        <v>143</v>
      </c>
      <c r="C53" s="25"/>
      <c r="D53" s="195">
        <f>'Balance Sheet Historic'!C64</f>
        <v>62634</v>
      </c>
      <c r="E53" s="196">
        <f>D53/D54</f>
        <v>0.86742282604179655</v>
      </c>
      <c r="F53" s="184"/>
    </row>
    <row r="54" spans="2:15" ht="18">
      <c r="B54" s="197" t="s">
        <v>144</v>
      </c>
      <c r="C54" s="187"/>
      <c r="D54" s="198">
        <f>SUM(D52:D53)</f>
        <v>72207</v>
      </c>
      <c r="E54" s="199">
        <v>1</v>
      </c>
      <c r="F54" s="200"/>
    </row>
    <row r="55" spans="2:15" ht="18">
      <c r="B55" s="25"/>
      <c r="C55" s="25"/>
      <c r="D55" s="25"/>
      <c r="E55" s="25"/>
      <c r="F55" s="201"/>
    </row>
    <row r="56" spans="2:15" ht="17" thickBot="1">
      <c r="B56" s="202" t="s">
        <v>137</v>
      </c>
      <c r="C56" s="202"/>
      <c r="D56" s="202"/>
      <c r="E56" s="203">
        <f>E45*E53+E52*E49</f>
        <v>6.3238287349062824E-2</v>
      </c>
      <c r="F56" s="202"/>
    </row>
    <row r="57" spans="2:15" ht="17" thickTop="1">
      <c r="B57" s="17" t="s">
        <v>145</v>
      </c>
      <c r="C57" s="9"/>
      <c r="D57" s="9"/>
      <c r="E57" s="9"/>
      <c r="F57" s="9"/>
    </row>
    <row r="58" spans="2:15">
      <c r="B58" s="17" t="s">
        <v>146</v>
      </c>
      <c r="C58" s="9"/>
      <c r="D58" s="9"/>
      <c r="E58" s="9"/>
      <c r="F58" s="9"/>
    </row>
    <row r="59" spans="2:15">
      <c r="B59" s="17" t="s">
        <v>147</v>
      </c>
      <c r="C59" s="9"/>
      <c r="D59" s="9"/>
      <c r="E59" s="9"/>
      <c r="F59" s="9"/>
    </row>
    <row r="60" spans="2:15">
      <c r="B60" s="17" t="s">
        <v>173</v>
      </c>
      <c r="C60" s="9"/>
      <c r="D60" s="9"/>
      <c r="E60" s="9"/>
      <c r="F60" s="9"/>
    </row>
    <row r="62" spans="2:15" ht="16" customHeight="1">
      <c r="B62" s="204" t="s">
        <v>148</v>
      </c>
      <c r="C62" s="204"/>
      <c r="D62" s="205"/>
      <c r="E62" s="206"/>
      <c r="F62" s="283" t="s">
        <v>149</v>
      </c>
      <c r="G62" s="283"/>
      <c r="H62" s="283"/>
      <c r="I62" s="283"/>
      <c r="J62" s="283"/>
      <c r="K62" s="283"/>
      <c r="L62" s="283"/>
      <c r="M62" s="283"/>
      <c r="N62" s="283"/>
      <c r="O62" s="283"/>
    </row>
    <row r="63" spans="2:15">
      <c r="B63" s="159" t="s">
        <v>150</v>
      </c>
      <c r="C63" s="159" t="s">
        <v>151</v>
      </c>
      <c r="D63" s="207">
        <f>E63-1</f>
        <v>2022</v>
      </c>
      <c r="E63" s="208">
        <f>Start_Year</f>
        <v>2023</v>
      </c>
      <c r="F63" s="209">
        <f t="shared" ref="F63:O63" si="22">IF(COLUMN()-COLUMN($E$63)&lt;=Years_Forecasted, E63+1, "")</f>
        <v>2024</v>
      </c>
      <c r="G63" s="209">
        <f t="shared" si="22"/>
        <v>2025</v>
      </c>
      <c r="H63" s="209">
        <f t="shared" si="22"/>
        <v>2026</v>
      </c>
      <c r="I63" s="209" t="str">
        <f t="shared" si="22"/>
        <v/>
      </c>
      <c r="J63" s="209" t="str">
        <f t="shared" si="22"/>
        <v/>
      </c>
      <c r="K63" s="209" t="str">
        <f t="shared" si="22"/>
        <v/>
      </c>
      <c r="L63" s="209" t="str">
        <f t="shared" si="22"/>
        <v/>
      </c>
      <c r="M63" s="209" t="str">
        <f t="shared" si="22"/>
        <v/>
      </c>
      <c r="N63" s="209" t="str">
        <f t="shared" si="22"/>
        <v/>
      </c>
      <c r="O63" s="209" t="str">
        <f t="shared" si="22"/>
        <v/>
      </c>
    </row>
    <row r="64" spans="2:15">
      <c r="B64" s="25"/>
      <c r="C64" s="25"/>
      <c r="D64" s="25"/>
      <c r="E64" s="34"/>
      <c r="F64" s="25"/>
      <c r="G64" s="25"/>
      <c r="H64" s="25"/>
      <c r="I64" s="25"/>
      <c r="J64" s="25"/>
      <c r="K64" s="25"/>
      <c r="L64" s="25"/>
      <c r="M64" s="25"/>
      <c r="N64" s="25"/>
      <c r="O64" s="25"/>
    </row>
    <row r="65" spans="2:16 16368:16368">
      <c r="B65" s="25" t="s">
        <v>1</v>
      </c>
      <c r="C65" s="159" t="s">
        <v>153</v>
      </c>
      <c r="D65" s="210">
        <f>IF('Income Statement Historic'!D14&lt;&gt;"",'Income Statement Historic'!D14, "")</f>
        <v>13910</v>
      </c>
      <c r="E65" s="211">
        <f>IF('Income Statement Historic'!C14&lt;&gt;"",'Income Statement Historic'!C14, "")</f>
        <v>10129</v>
      </c>
      <c r="F65" s="210">
        <f ca="1">IF(F63="","",F18)</f>
        <v>22539.817937454718</v>
      </c>
      <c r="G65" s="210">
        <f t="shared" ref="G65:O65" ca="1" si="23">IF(G63="","",G18)</f>
        <v>34201.576521567193</v>
      </c>
      <c r="H65" s="210">
        <f t="shared" ca="1" si="23"/>
        <v>51763.120019941358</v>
      </c>
      <c r="I65" s="210" t="str">
        <f t="shared" si="23"/>
        <v/>
      </c>
      <c r="J65" s="210" t="str">
        <f t="shared" si="23"/>
        <v/>
      </c>
      <c r="K65" s="210" t="str">
        <f t="shared" si="23"/>
        <v/>
      </c>
      <c r="L65" s="210" t="str">
        <f t="shared" si="23"/>
        <v/>
      </c>
      <c r="M65" s="210" t="str">
        <f t="shared" si="23"/>
        <v/>
      </c>
      <c r="N65" s="210" t="str">
        <f t="shared" si="23"/>
        <v/>
      </c>
      <c r="O65" s="210" t="str">
        <f t="shared" si="23"/>
        <v/>
      </c>
    </row>
    <row r="66" spans="2:16 16368:16368">
      <c r="B66" s="25" t="str">
        <f>"Taxes @ "&amp;TEXT(Tax_Rate,"0.0%")</f>
        <v>Taxes @ 30%</v>
      </c>
      <c r="C66" s="159" t="s">
        <v>153</v>
      </c>
      <c r="D66" s="210">
        <f>IF(D63="","",-D65*Tax_Rate)</f>
        <v>-4173</v>
      </c>
      <c r="E66" s="211">
        <f>IF(E63="","",-E65*Tax_Rate)</f>
        <v>-3038.7</v>
      </c>
      <c r="F66" s="210">
        <f t="shared" ref="F66:O66" ca="1" si="24">IF(F63="","",-F65*Tax_Rate)</f>
        <v>-6761.9453812364154</v>
      </c>
      <c r="G66" s="210">
        <f t="shared" ca="1" si="24"/>
        <v>-10260.472956470157</v>
      </c>
      <c r="H66" s="210">
        <f ca="1">IF(H63="","",-H65*Tax_Rate)</f>
        <v>-15528.936005982407</v>
      </c>
      <c r="I66" s="210" t="str">
        <f t="shared" si="24"/>
        <v/>
      </c>
      <c r="J66" s="210" t="str">
        <f t="shared" si="24"/>
        <v/>
      </c>
      <c r="K66" s="210" t="str">
        <f t="shared" si="24"/>
        <v/>
      </c>
      <c r="L66" s="210" t="str">
        <f t="shared" si="24"/>
        <v/>
      </c>
      <c r="M66" s="210" t="str">
        <f t="shared" si="24"/>
        <v/>
      </c>
      <c r="N66" s="210" t="str">
        <f t="shared" si="24"/>
        <v/>
      </c>
      <c r="O66" s="210" t="str">
        <f t="shared" si="24"/>
        <v/>
      </c>
    </row>
    <row r="67" spans="2:16 16368:16368">
      <c r="B67" s="212" t="s">
        <v>2</v>
      </c>
      <c r="C67" s="213" t="s">
        <v>153</v>
      </c>
      <c r="D67" s="214">
        <f>IF(SUM(D65:D66)=0,"",SUM(D65:D66))</f>
        <v>9737</v>
      </c>
      <c r="E67" s="215">
        <f>IF(SUM(E65:E66)=0,"",SUM(E65:E66))</f>
        <v>7090.3</v>
      </c>
      <c r="F67" s="214">
        <f ca="1">IF(SUM(F65:F66)=0,"",SUM(F65:F66))</f>
        <v>15777.872556218303</v>
      </c>
      <c r="G67" s="214">
        <f ca="1">IF(SUM(G65:G66)=0,"",SUM(G65:G66))</f>
        <v>23941.103565097037</v>
      </c>
      <c r="H67" s="214">
        <f ca="1">IF(SUM(H65:H66)=0,"",SUM(H65:H66))</f>
        <v>36234.184013958948</v>
      </c>
      <c r="I67" s="214" t="str">
        <f t="shared" ref="I67:P67" si="25">IF(SUM(I65:I66)=0,"",SUM(I65:I66))</f>
        <v/>
      </c>
      <c r="J67" s="214" t="str">
        <f t="shared" si="25"/>
        <v/>
      </c>
      <c r="K67" s="214" t="str">
        <f t="shared" si="25"/>
        <v/>
      </c>
      <c r="L67" s="214" t="str">
        <f t="shared" si="25"/>
        <v/>
      </c>
      <c r="M67" s="214" t="str">
        <f t="shared" si="25"/>
        <v/>
      </c>
      <c r="N67" s="214" t="str">
        <f t="shared" si="25"/>
        <v/>
      </c>
      <c r="O67" s="214" t="str">
        <f t="shared" si="25"/>
        <v/>
      </c>
      <c r="P67" s="2" t="str">
        <f t="shared" si="25"/>
        <v/>
      </c>
    </row>
    <row r="68" spans="2:16 16368:16368">
      <c r="B68" s="25"/>
      <c r="C68" s="159"/>
      <c r="D68" s="210"/>
      <c r="E68" s="211"/>
      <c r="F68" s="210"/>
      <c r="G68" s="210"/>
      <c r="H68" s="210"/>
      <c r="I68" s="210"/>
      <c r="J68" s="210"/>
      <c r="K68" s="210"/>
      <c r="L68" s="210"/>
      <c r="M68" s="210"/>
      <c r="N68" s="210"/>
      <c r="O68" s="210"/>
    </row>
    <row r="69" spans="2:16 16368:16368">
      <c r="B69" s="25" t="s">
        <v>3</v>
      </c>
      <c r="C69" s="159" t="s">
        <v>153</v>
      </c>
      <c r="D69" s="210">
        <f ca="1">D82</f>
        <v>-7163</v>
      </c>
      <c r="E69" s="211">
        <f t="shared" ref="E69:O69" ca="1" si="26">E82</f>
        <v>-8899</v>
      </c>
      <c r="F69" s="210">
        <f t="shared" ca="1" si="26"/>
        <v>-9165.9699999999993</v>
      </c>
      <c r="G69" s="210">
        <f t="shared" ca="1" si="26"/>
        <v>-9440.9490999999998</v>
      </c>
      <c r="H69" s="210">
        <f t="shared" ca="1" si="26"/>
        <v>-9724.1775730000008</v>
      </c>
      <c r="I69" s="210" t="str">
        <f t="shared" ca="1" si="26"/>
        <v/>
      </c>
      <c r="J69" s="210" t="str">
        <f t="shared" ca="1" si="26"/>
        <v/>
      </c>
      <c r="K69" s="210" t="str">
        <f t="shared" ca="1" si="26"/>
        <v/>
      </c>
      <c r="L69" s="210" t="str">
        <f t="shared" ca="1" si="26"/>
        <v/>
      </c>
      <c r="M69" s="210" t="str">
        <f t="shared" ca="1" si="26"/>
        <v/>
      </c>
      <c r="N69" s="210" t="str">
        <f t="shared" ca="1" si="26"/>
        <v/>
      </c>
      <c r="O69" s="210" t="str">
        <f t="shared" ca="1" si="26"/>
        <v/>
      </c>
    </row>
    <row r="70" spans="2:16 16368:16368">
      <c r="B70" s="25" t="s">
        <v>4</v>
      </c>
      <c r="C70" s="159" t="s">
        <v>153</v>
      </c>
      <c r="D70" s="210">
        <f ca="1">D32</f>
        <v>3747</v>
      </c>
      <c r="E70" s="211">
        <f t="shared" ref="E70:O70" ca="1" si="27">E32</f>
        <v>4667</v>
      </c>
      <c r="F70" s="210">
        <f t="shared" ca="1" si="27"/>
        <v>5632.9396725001388</v>
      </c>
      <c r="G70" s="210">
        <f t="shared" ca="1" si="27"/>
        <v>6627.8575351752816</v>
      </c>
      <c r="H70" s="210">
        <f t="shared" ca="1" si="27"/>
        <v>7652.6229337306795</v>
      </c>
      <c r="I70" s="210" t="str">
        <f t="shared" si="27"/>
        <v/>
      </c>
      <c r="J70" s="210" t="str">
        <f t="shared" si="27"/>
        <v/>
      </c>
      <c r="K70" s="210" t="str">
        <f t="shared" si="27"/>
        <v/>
      </c>
      <c r="L70" s="210" t="str">
        <f t="shared" si="27"/>
        <v/>
      </c>
      <c r="M70" s="210" t="str">
        <f t="shared" si="27"/>
        <v/>
      </c>
      <c r="N70" s="210" t="str">
        <f t="shared" si="27"/>
        <v/>
      </c>
      <c r="O70" s="210" t="str">
        <f t="shared" si="27"/>
        <v/>
      </c>
    </row>
    <row r="71" spans="2:16 16368:16368">
      <c r="B71" s="25" t="s">
        <v>152</v>
      </c>
      <c r="C71" s="159" t="s">
        <v>153</v>
      </c>
      <c r="D71" s="210">
        <f>IF(D83&lt;&gt;"",-D83,"")</f>
        <v>-2978</v>
      </c>
      <c r="E71" s="211">
        <f t="shared" ref="E71:O71" si="28">IF(E83&lt;&gt;"",-E83,"")</f>
        <v>-2190</v>
      </c>
      <c r="F71" s="210">
        <f t="shared" si="28"/>
        <v>-2233.8000000000002</v>
      </c>
      <c r="G71" s="210">
        <f t="shared" si="28"/>
        <v>-2278.4760000000001</v>
      </c>
      <c r="H71" s="210">
        <f t="shared" si="28"/>
        <v>-2324.0455200000001</v>
      </c>
      <c r="I71" s="210" t="str">
        <f t="shared" si="28"/>
        <v/>
      </c>
      <c r="J71" s="210" t="str">
        <f t="shared" si="28"/>
        <v/>
      </c>
      <c r="K71" s="210" t="str">
        <f t="shared" si="28"/>
        <v/>
      </c>
      <c r="L71" s="210" t="str">
        <f t="shared" si="28"/>
        <v/>
      </c>
      <c r="M71" s="210" t="str">
        <f t="shared" si="28"/>
        <v/>
      </c>
      <c r="N71" s="210" t="str">
        <f t="shared" si="28"/>
        <v/>
      </c>
      <c r="O71" s="210" t="str">
        <f t="shared" si="28"/>
        <v/>
      </c>
    </row>
    <row r="72" spans="2:16 16368:16368">
      <c r="B72" s="25"/>
      <c r="C72" s="159"/>
      <c r="D72" s="210"/>
      <c r="E72" s="211"/>
      <c r="F72" s="210"/>
      <c r="G72" s="216"/>
      <c r="H72" s="210"/>
      <c r="I72" s="210"/>
      <c r="J72" s="210"/>
      <c r="K72" s="210"/>
      <c r="L72" s="210"/>
      <c r="M72" s="210"/>
      <c r="N72" s="210"/>
      <c r="O72" s="210"/>
    </row>
    <row r="73" spans="2:16 16368:16368" ht="17" thickBot="1">
      <c r="B73" s="217" t="s">
        <v>5</v>
      </c>
      <c r="C73" s="218" t="s">
        <v>153</v>
      </c>
      <c r="D73" s="219">
        <f ca="1">IF(SUM(D67:D71)=0,"",SUM(D67:D71))</f>
        <v>3343</v>
      </c>
      <c r="E73" s="220">
        <f t="shared" ref="E73:O73" ca="1" si="29">IF(SUM(E67:E71)=0,"",SUM(E67:E71))</f>
        <v>668.30000000000018</v>
      </c>
      <c r="F73" s="219">
        <f t="shared" ca="1" si="29"/>
        <v>10011.042228718441</v>
      </c>
      <c r="G73" s="221">
        <f t="shared" ca="1" si="29"/>
        <v>18849.536000272321</v>
      </c>
      <c r="H73" s="219">
        <f ca="1">IF(SUM(H67:H71)=0,"",SUM(H67:H71))</f>
        <v>31838.583854689627</v>
      </c>
      <c r="I73" s="219" t="str">
        <f t="shared" ca="1" si="29"/>
        <v/>
      </c>
      <c r="J73" s="219" t="str">
        <f t="shared" ca="1" si="29"/>
        <v/>
      </c>
      <c r="K73" s="219" t="str">
        <f t="shared" ca="1" si="29"/>
        <v/>
      </c>
      <c r="L73" s="219" t="str">
        <f t="shared" ca="1" si="29"/>
        <v/>
      </c>
      <c r="M73" s="219" t="str">
        <f t="shared" ca="1" si="29"/>
        <v/>
      </c>
      <c r="N73" s="219" t="str">
        <f t="shared" ca="1" si="29"/>
        <v/>
      </c>
      <c r="O73" s="219" t="str">
        <f t="shared" ca="1" si="29"/>
        <v/>
      </c>
    </row>
    <row r="74" spans="2:16 16368:16368" ht="17" thickTop="1">
      <c r="B74" s="25"/>
      <c r="C74" s="159"/>
      <c r="D74" s="210"/>
      <c r="E74" s="211"/>
      <c r="F74" s="210"/>
      <c r="G74" s="210"/>
      <c r="H74" s="210"/>
      <c r="I74" s="210"/>
      <c r="J74" s="210"/>
      <c r="K74" s="210"/>
      <c r="L74" s="210"/>
      <c r="M74" s="210"/>
      <c r="N74" s="210"/>
      <c r="O74" s="210"/>
    </row>
    <row r="75" spans="2:16 16368:16368">
      <c r="B75" s="25" t="s">
        <v>6</v>
      </c>
      <c r="C75" s="159" t="s">
        <v>154</v>
      </c>
      <c r="D75" s="210"/>
      <c r="E75" s="211"/>
      <c r="F75" s="210">
        <f t="shared" ref="F75:O75" ca="1" si="30">IF(F73&lt;&gt;"",E75+1, "")</f>
        <v>1</v>
      </c>
      <c r="G75" s="210">
        <f t="shared" ca="1" si="30"/>
        <v>2</v>
      </c>
      <c r="H75" s="210">
        <f ca="1">IF(H73&lt;&gt;"",G75+1, "")</f>
        <v>3</v>
      </c>
      <c r="I75" s="210" t="str">
        <f t="shared" ca="1" si="30"/>
        <v/>
      </c>
      <c r="J75" s="210" t="str">
        <f t="shared" ca="1" si="30"/>
        <v/>
      </c>
      <c r="K75" s="210" t="str">
        <f t="shared" ca="1" si="30"/>
        <v/>
      </c>
      <c r="L75" s="210" t="str">
        <f t="shared" ca="1" si="30"/>
        <v/>
      </c>
      <c r="M75" s="210" t="str">
        <f t="shared" ca="1" si="30"/>
        <v/>
      </c>
      <c r="N75" s="210" t="str">
        <f t="shared" ca="1" si="30"/>
        <v/>
      </c>
      <c r="O75" s="210" t="str">
        <f t="shared" ca="1" si="30"/>
        <v/>
      </c>
      <c r="XEN75" s="20"/>
    </row>
    <row r="76" spans="2:16 16368:16368">
      <c r="B76" s="25" t="s">
        <v>7</v>
      </c>
      <c r="C76" s="159" t="s">
        <v>155</v>
      </c>
      <c r="D76" s="210"/>
      <c r="E76" s="211"/>
      <c r="F76" s="222">
        <f>IF(F63&lt;&gt;"",WACC,"")</f>
        <v>6.3238287349062824E-2</v>
      </c>
      <c r="G76" s="222">
        <f t="shared" ref="G76:O76" si="31">IF(G63&lt;&gt;"",WACC,"")</f>
        <v>6.3238287349062824E-2</v>
      </c>
      <c r="H76" s="222">
        <f t="shared" si="31"/>
        <v>6.3238287349062824E-2</v>
      </c>
      <c r="I76" s="222" t="str">
        <f t="shared" si="31"/>
        <v/>
      </c>
      <c r="J76" s="222" t="str">
        <f t="shared" si="31"/>
        <v/>
      </c>
      <c r="K76" s="222" t="str">
        <f t="shared" si="31"/>
        <v/>
      </c>
      <c r="L76" s="222" t="str">
        <f t="shared" si="31"/>
        <v/>
      </c>
      <c r="M76" s="222" t="str">
        <f t="shared" si="31"/>
        <v/>
      </c>
      <c r="N76" s="222" t="str">
        <f t="shared" si="31"/>
        <v/>
      </c>
      <c r="O76" s="222" t="str">
        <f t="shared" si="31"/>
        <v/>
      </c>
    </row>
    <row r="77" spans="2:16 16368:16368">
      <c r="B77" s="25"/>
      <c r="C77" s="159"/>
      <c r="D77" s="210"/>
      <c r="E77" s="211"/>
      <c r="F77" s="210"/>
      <c r="G77" s="210"/>
      <c r="H77" s="210"/>
      <c r="I77" s="210"/>
      <c r="J77" s="210"/>
      <c r="K77" s="210"/>
      <c r="L77" s="210"/>
      <c r="M77" s="210"/>
      <c r="N77" s="210"/>
      <c r="O77" s="210"/>
    </row>
    <row r="78" spans="2:16 16368:16368" ht="17" thickBot="1">
      <c r="B78" s="223" t="s">
        <v>8</v>
      </c>
      <c r="C78" s="224" t="s">
        <v>153</v>
      </c>
      <c r="D78" s="225"/>
      <c r="E78" s="226"/>
      <c r="F78" s="225">
        <f ca="1">IF(F63&lt;&gt;"",F73/(1+F76)^F75,"")</f>
        <v>9415.6148700011963</v>
      </c>
      <c r="G78" s="225">
        <f t="shared" ref="G78:O78" ca="1" si="32">IF(G63&lt;&gt;"",G73/(1+G76)^G75,"")</f>
        <v>16673.98665816573</v>
      </c>
      <c r="H78" s="225">
        <f t="shared" ca="1" si="32"/>
        <v>26488.777837642749</v>
      </c>
      <c r="I78" s="225" t="str">
        <f t="shared" si="32"/>
        <v/>
      </c>
      <c r="J78" s="225" t="str">
        <f t="shared" si="32"/>
        <v/>
      </c>
      <c r="K78" s="225" t="str">
        <f t="shared" si="32"/>
        <v/>
      </c>
      <c r="L78" s="225" t="str">
        <f t="shared" si="32"/>
        <v/>
      </c>
      <c r="M78" s="225" t="str">
        <f t="shared" si="32"/>
        <v/>
      </c>
      <c r="N78" s="225" t="str">
        <f t="shared" si="32"/>
        <v/>
      </c>
      <c r="O78" s="225" t="str">
        <f t="shared" si="32"/>
        <v/>
      </c>
    </row>
    <row r="79" spans="2:16 16368:16368" ht="17" thickTop="1">
      <c r="E79" s="35"/>
    </row>
    <row r="80" spans="2:16 16368:16368">
      <c r="E80" s="35"/>
    </row>
    <row r="81" spans="2:15">
      <c r="B81" s="75" t="s">
        <v>161</v>
      </c>
      <c r="C81" s="28" t="s">
        <v>151</v>
      </c>
      <c r="D81" s="29"/>
      <c r="E81" s="36"/>
      <c r="F81" s="25"/>
      <c r="G81" s="25"/>
      <c r="H81" s="25"/>
      <c r="I81" s="25"/>
      <c r="J81" s="25"/>
      <c r="K81" s="25"/>
      <c r="L81" s="25"/>
    </row>
    <row r="82" spans="2:15">
      <c r="B82" s="43" t="s">
        <v>72</v>
      </c>
      <c r="C82" s="44" t="s">
        <v>154</v>
      </c>
      <c r="D82" s="45">
        <f ca="1">IF(D63&lt;&gt;"",-OFFSET('PPE &amp; Depreciation Schedule'!D7,COLUMN()-COLUMN($D$82),0), "")</f>
        <v>-7163</v>
      </c>
      <c r="E82" s="46">
        <f ca="1">IF(E63&lt;&gt;"",-OFFSET('PPE &amp; Depreciation Schedule'!E7,COLUMN()-COLUMN($D$82),0), "")</f>
        <v>-8899</v>
      </c>
      <c r="F82" s="45">
        <f ca="1">IF(F63&lt;&gt;"",-OFFSET('PPE &amp; Depreciation Schedule'!F7,COLUMN()-COLUMN($D$82),0), "")</f>
        <v>-9165.9699999999993</v>
      </c>
      <c r="G82" s="45">
        <f ca="1">IF(G63&lt;&gt;"",-OFFSET('PPE &amp; Depreciation Schedule'!G7,COLUMN()-COLUMN($D$82),0), "")</f>
        <v>-9440.9490999999998</v>
      </c>
      <c r="H82" s="45">
        <f ca="1">IF(H63&lt;&gt;"",-OFFSET('PPE &amp; Depreciation Schedule'!H7,COLUMN()-COLUMN($D$82),0), "")</f>
        <v>-9724.1775730000008</v>
      </c>
      <c r="I82" s="45" t="str">
        <f ca="1">IF(I63&lt;&gt;"",-OFFSET('PPE &amp; Depreciation Schedule'!I7,COLUMN()-COLUMN($D$82),0), "")</f>
        <v/>
      </c>
      <c r="J82" s="45" t="str">
        <f ca="1">IF(J63&lt;&gt;"",-OFFSET('PPE &amp; Depreciation Schedule'!J7,COLUMN()-COLUMN($D$82),0), "")</f>
        <v/>
      </c>
      <c r="K82" s="45" t="str">
        <f ca="1">IF(K63&lt;&gt;"",-OFFSET('PPE &amp; Depreciation Schedule'!K7,COLUMN()-COLUMN($D$82),0), "")</f>
        <v/>
      </c>
      <c r="L82" s="45" t="str">
        <f ca="1">IF(L63&lt;&gt;"",-OFFSET('PPE &amp; Depreciation Schedule'!L7,COLUMN()-COLUMN($D$82),0), "")</f>
        <v/>
      </c>
      <c r="M82" s="45" t="str">
        <f ca="1">IF(M63&lt;&gt;"",-OFFSET('PPE &amp; Depreciation Schedule'!M7,COLUMN()-COLUMN($D$82),0), "")</f>
        <v/>
      </c>
      <c r="N82" s="45" t="str">
        <f ca="1">IF(N63&lt;&gt;"",-OFFSET('PPE &amp; Depreciation Schedule'!N7,COLUMN()-COLUMN($D$82),0), "")</f>
        <v/>
      </c>
      <c r="O82" s="45" t="str">
        <f ca="1">IF(O63&lt;&gt;"",-OFFSET('PPE &amp; Depreciation Schedule'!O7,COLUMN()-COLUMN($D$82),0), "")</f>
        <v/>
      </c>
    </row>
    <row r="83" spans="2:15">
      <c r="B83" s="43" t="s">
        <v>171</v>
      </c>
      <c r="C83" s="44" t="s">
        <v>153</v>
      </c>
      <c r="D83" s="47">
        <f>IF('Balance Sheet Historic'!D44&lt;&gt;"",'Balance Sheet Historic'!D44, "")</f>
        <v>2978</v>
      </c>
      <c r="E83" s="48">
        <f>IF('Balance Sheet Historic'!C44&lt;&gt;"",'Balance Sheet Historic'!C44,"""")</f>
        <v>2190</v>
      </c>
      <c r="F83" s="278">
        <f>IF(F63&lt;&gt;"",E83*(1+F84),"")</f>
        <v>2233.8000000000002</v>
      </c>
      <c r="G83" s="278">
        <f t="shared" ref="G83:O83" si="33">IF(G63&lt;&gt;"",F83*(1+G84),"")</f>
        <v>2278.4760000000001</v>
      </c>
      <c r="H83" s="278">
        <f t="shared" si="33"/>
        <v>2324.0455200000001</v>
      </c>
      <c r="I83" s="278" t="str">
        <f t="shared" si="33"/>
        <v/>
      </c>
      <c r="J83" s="278" t="str">
        <f t="shared" si="33"/>
        <v/>
      </c>
      <c r="K83" s="278" t="str">
        <f t="shared" si="33"/>
        <v/>
      </c>
      <c r="L83" s="278" t="str">
        <f t="shared" si="33"/>
        <v/>
      </c>
      <c r="M83" s="278" t="str">
        <f t="shared" si="33"/>
        <v/>
      </c>
      <c r="N83" s="278" t="str">
        <f t="shared" si="33"/>
        <v/>
      </c>
      <c r="O83" s="278" t="str">
        <f t="shared" si="33"/>
        <v/>
      </c>
    </row>
    <row r="84" spans="2:15">
      <c r="B84" s="43" t="s">
        <v>119</v>
      </c>
      <c r="C84" s="44" t="s">
        <v>155</v>
      </c>
      <c r="D84" s="49"/>
      <c r="E84" s="50"/>
      <c r="F84" s="51">
        <f t="shared" ref="F84:O84" si="34">IF(F63&lt;&gt;"",Growth_RATE_ONWC,"")</f>
        <v>0.02</v>
      </c>
      <c r="G84" s="51">
        <f t="shared" si="34"/>
        <v>0.02</v>
      </c>
      <c r="H84" s="51">
        <f t="shared" si="34"/>
        <v>0.02</v>
      </c>
      <c r="I84" s="51" t="str">
        <f t="shared" si="34"/>
        <v/>
      </c>
      <c r="J84" s="51" t="str">
        <f t="shared" si="34"/>
        <v/>
      </c>
      <c r="K84" s="51" t="str">
        <f t="shared" si="34"/>
        <v/>
      </c>
      <c r="L84" s="51" t="str">
        <f t="shared" si="34"/>
        <v/>
      </c>
      <c r="M84" s="51" t="str">
        <f t="shared" si="34"/>
        <v/>
      </c>
      <c r="N84" s="51" t="str">
        <f t="shared" si="34"/>
        <v/>
      </c>
      <c r="O84" s="51" t="str">
        <f t="shared" si="34"/>
        <v/>
      </c>
    </row>
    <row r="85" spans="2:15">
      <c r="B85" s="30"/>
      <c r="C85" s="28"/>
      <c r="D85" s="29"/>
      <c r="E85" s="29"/>
      <c r="F85" s="32"/>
      <c r="G85" s="32"/>
      <c r="H85" s="32"/>
      <c r="I85" s="32"/>
      <c r="J85" s="32"/>
      <c r="K85" s="25"/>
      <c r="L85" s="25"/>
    </row>
    <row r="86" spans="2:15">
      <c r="B86" s="30"/>
      <c r="C86" s="28"/>
      <c r="D86" s="31"/>
      <c r="E86" s="31"/>
      <c r="F86" s="24"/>
      <c r="G86" s="24"/>
      <c r="H86" s="24"/>
      <c r="I86" s="24"/>
      <c r="J86" s="24"/>
      <c r="K86" s="25"/>
      <c r="L86" s="25"/>
    </row>
    <row r="87" spans="2:15">
      <c r="B87" s="30"/>
      <c r="C87" s="28"/>
      <c r="D87" s="29"/>
      <c r="E87" s="29"/>
      <c r="F87" s="32"/>
      <c r="G87" s="32"/>
      <c r="H87" s="32"/>
      <c r="I87" s="32"/>
      <c r="J87" s="32"/>
      <c r="K87" s="25"/>
      <c r="L87" s="25"/>
    </row>
    <row r="88" spans="2:15">
      <c r="B88" s="30"/>
      <c r="C88" s="28"/>
      <c r="D88" s="31"/>
      <c r="E88" s="31"/>
      <c r="F88" s="24"/>
      <c r="G88" s="24"/>
      <c r="H88" s="24"/>
      <c r="I88" s="24"/>
      <c r="J88" s="24"/>
      <c r="K88" s="25"/>
      <c r="L88" s="25"/>
    </row>
    <row r="90" spans="2:15">
      <c r="B90" s="237" t="s">
        <v>172</v>
      </c>
      <c r="C90" s="238"/>
      <c r="H90" s="1" t="s">
        <v>124</v>
      </c>
      <c r="I90" s="1"/>
    </row>
    <row r="91" spans="2:15">
      <c r="H91" t="s">
        <v>125</v>
      </c>
      <c r="I91" s="6">
        <f ca="1">OFFSET($E$73,0,Years_Forecasted)</f>
        <v>31838.583854689627</v>
      </c>
    </row>
    <row r="92" spans="2:15">
      <c r="B92" t="s">
        <v>9</v>
      </c>
      <c r="C92" s="6">
        <f ca="1">SUM(F78:O78)</f>
        <v>52578.379365809669</v>
      </c>
      <c r="H92" t="s">
        <v>126</v>
      </c>
      <c r="I92" s="13">
        <f>Perpetuity_Growth_Rate</f>
        <v>1.4999999999999999E-2</v>
      </c>
    </row>
    <row r="93" spans="2:15" ht="16" customHeight="1">
      <c r="B93" t="s">
        <v>135</v>
      </c>
      <c r="C93" s="6">
        <f ca="1">I94</f>
        <v>557360.36627199478</v>
      </c>
      <c r="H93" t="s">
        <v>127</v>
      </c>
      <c r="I93" s="6">
        <f ca="1">I91*(1+I92)/(WACC-I92)</f>
        <v>669927.65266857692</v>
      </c>
    </row>
    <row r="94" spans="2:15">
      <c r="B94" s="14" t="s">
        <v>129</v>
      </c>
      <c r="C94" s="15">
        <f ca="1">SUM(C92:C93)</f>
        <v>609938.7456378045</v>
      </c>
      <c r="H94" s="14" t="s">
        <v>136</v>
      </c>
      <c r="I94" s="15">
        <f ca="1">I93/((1+WACC)^Years_Forecasted)</f>
        <v>557360.36627199478</v>
      </c>
    </row>
    <row r="95" spans="2:15">
      <c r="B95" t="s">
        <v>130</v>
      </c>
      <c r="C95" s="6">
        <f>-'Balance Sheet Historic'!C62</f>
        <v>-9573</v>
      </c>
    </row>
    <row r="96" spans="2:15">
      <c r="B96" t="s">
        <v>131</v>
      </c>
      <c r="C96" s="6">
        <f>'Balance Sheet Historic'!C53</f>
        <v>28352</v>
      </c>
    </row>
    <row r="97" spans="2:17">
      <c r="B97" t="s">
        <v>132</v>
      </c>
      <c r="C97" s="6">
        <f>'Balance Sheet Historic'!C58</f>
        <v>-3805</v>
      </c>
    </row>
    <row r="98" spans="2:17">
      <c r="B98" s="14" t="s">
        <v>133</v>
      </c>
      <c r="C98" s="15">
        <f ca="1">SUM(C94:C97)</f>
        <v>624912.7456378045</v>
      </c>
      <c r="L98" s="3"/>
    </row>
    <row r="99" spans="2:17" ht="24" customHeight="1">
      <c r="B99" t="s">
        <v>203</v>
      </c>
      <c r="C99" s="6">
        <f>Shares_Outstanding / 1000000</f>
        <v>15171.99</v>
      </c>
      <c r="H99" s="227" t="s">
        <v>120</v>
      </c>
      <c r="I99" s="227"/>
      <c r="J99" s="227"/>
      <c r="K99" s="227"/>
      <c r="L99" s="227"/>
      <c r="M99" s="227"/>
      <c r="N99" s="227"/>
      <c r="O99" s="8"/>
      <c r="P99" s="9"/>
      <c r="Q99" s="10" t="s">
        <v>121</v>
      </c>
    </row>
    <row r="100" spans="2:17">
      <c r="B100" s="14" t="s">
        <v>134</v>
      </c>
      <c r="C100" s="15">
        <f ca="1">C98/C99</f>
        <v>41.188581434459458</v>
      </c>
      <c r="H100" s="284" t="s">
        <v>110</v>
      </c>
      <c r="I100" s="285" t="s">
        <v>122</v>
      </c>
      <c r="J100" s="285"/>
      <c r="K100" s="285"/>
      <c r="L100" s="285"/>
      <c r="M100" s="285"/>
      <c r="N100" s="285"/>
      <c r="O100" s="8"/>
      <c r="P100" s="11" t="s">
        <v>123</v>
      </c>
      <c r="Q100" s="16">
        <v>2.5000000000000001E-3</v>
      </c>
    </row>
    <row r="101" spans="2:17" ht="17" thickBot="1">
      <c r="H101" s="284"/>
      <c r="I101" s="228">
        <f ca="1">C100</f>
        <v>41.188581434459458</v>
      </c>
      <c r="J101" s="229">
        <f>K101-$Q$100</f>
        <v>9.9999999999999985E-3</v>
      </c>
      <c r="K101" s="229">
        <f>L101-$Q$100</f>
        <v>1.2499999999999999E-2</v>
      </c>
      <c r="L101" s="230">
        <f>Perpetuity_Growth_Rate</f>
        <v>1.4999999999999999E-2</v>
      </c>
      <c r="M101" s="229">
        <f>L101+$Q$100</f>
        <v>1.7499999999999998E-2</v>
      </c>
      <c r="N101" s="229">
        <f>M101+$Q$100</f>
        <v>1.9999999999999997E-2</v>
      </c>
      <c r="O101" s="8"/>
    </row>
    <row r="102" spans="2:17">
      <c r="H102" s="284"/>
      <c r="I102" s="229">
        <f>I103-$Q$102</f>
        <v>5.823828734906282E-2</v>
      </c>
      <c r="J102" s="231">
        <f t="dataTable" ref="J102:N106" dt2D="1" dtr="1" r1="I92" r2="E56" ca="1"/>
        <v>41.566424898997631</v>
      </c>
      <c r="K102" s="232">
        <v>43.689730394901886</v>
      </c>
      <c r="L102" s="233">
        <v>46.058571228360428</v>
      </c>
      <c r="M102" s="232">
        <v>48.718150945017641</v>
      </c>
      <c r="N102" s="232">
        <v>51.725494630858243</v>
      </c>
      <c r="O102" s="8"/>
      <c r="P102" s="11" t="s">
        <v>110</v>
      </c>
      <c r="Q102" s="16">
        <v>2.5000000000000001E-3</v>
      </c>
    </row>
    <row r="103" spans="2:17">
      <c r="H103" s="284"/>
      <c r="I103" s="229">
        <f>I104-$Q$102</f>
        <v>6.0738287349062822E-2</v>
      </c>
      <c r="J103" s="234">
        <v>39.471784150584426</v>
      </c>
      <c r="K103" s="235">
        <v>41.376837005638947</v>
      </c>
      <c r="L103" s="235">
        <v>43.490145674965184</v>
      </c>
      <c r="M103" s="235">
        <v>45.8478336662874</v>
      </c>
      <c r="N103" s="233">
        <v>48.494891700478682</v>
      </c>
      <c r="O103" s="8"/>
      <c r="P103" s="8"/>
      <c r="Q103" s="8"/>
    </row>
    <row r="104" spans="2:17">
      <c r="H104" s="284"/>
      <c r="I104" s="236">
        <f>E45*E53+E52*E49</f>
        <v>6.3238287349062824E-2</v>
      </c>
      <c r="J104" s="233">
        <v>37.574449283909324</v>
      </c>
      <c r="K104" s="235">
        <v>39.292476776602612</v>
      </c>
      <c r="L104" s="235">
        <v>41.188581434459458</v>
      </c>
      <c r="M104" s="235">
        <v>43.29196371110713</v>
      </c>
      <c r="N104" s="233">
        <v>45.63857743904552</v>
      </c>
      <c r="O104" s="8"/>
      <c r="P104" s="12"/>
      <c r="Q104" s="8"/>
    </row>
    <row r="105" spans="2:17">
      <c r="H105" s="284"/>
      <c r="I105" s="229">
        <f>I104+$Q$102</f>
        <v>6.5738287349062827E-2</v>
      </c>
      <c r="J105" s="234">
        <v>35.847866365286826</v>
      </c>
      <c r="K105" s="235">
        <v>37.404449678900349</v>
      </c>
      <c r="L105" s="235">
        <v>39.114426356277285</v>
      </c>
      <c r="M105" s="235">
        <v>41.001645714867522</v>
      </c>
      <c r="N105" s="233">
        <v>43.095171372618815</v>
      </c>
      <c r="O105" s="8"/>
      <c r="P105" s="8"/>
      <c r="Q105" s="8"/>
    </row>
    <row r="106" spans="2:17">
      <c r="H106" s="284"/>
      <c r="I106" s="229">
        <f>I105+$Q$102</f>
        <v>6.8238287349062829E-2</v>
      </c>
      <c r="J106" s="234">
        <v>34.270041046896146</v>
      </c>
      <c r="K106" s="233">
        <v>35.686332743322538</v>
      </c>
      <c r="L106" s="233">
        <v>37.235638832862314</v>
      </c>
      <c r="M106" s="233">
        <v>38.937621152768443</v>
      </c>
      <c r="N106" s="233">
        <v>40.816017521912059</v>
      </c>
      <c r="O106" s="8"/>
      <c r="P106" s="8"/>
      <c r="Q106" s="8"/>
    </row>
  </sheetData>
  <sheetProtection sheet="1" formatCells="0" formatColumns="0" formatRows="0" insertColumns="0" insertRows="0" insertHyperlinks="0" selectLockedCells="1" sort="0" autoFilter="0" pivotTables="0"/>
  <mergeCells count="3">
    <mergeCell ref="F62:O62"/>
    <mergeCell ref="H100:H106"/>
    <mergeCell ref="I100:N100"/>
  </mergeCells>
  <phoneticPr fontId="4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XFD40"/>
  <sheetViews>
    <sheetView zoomScale="50" workbookViewId="0">
      <selection activeCell="H21" sqref="H21"/>
    </sheetView>
  </sheetViews>
  <sheetFormatPr baseColWidth="10" defaultRowHeight="16"/>
  <cols>
    <col min="2" max="2" width="40.28515625" bestFit="1" customWidth="1"/>
    <col min="5" max="5" width="10.7109375" bestFit="1" customWidth="1"/>
    <col min="6" max="6" width="16.28515625" customWidth="1"/>
    <col min="7" max="7" width="12.42578125" customWidth="1"/>
    <col min="8" max="8" width="12.140625" customWidth="1"/>
    <col min="13" max="13" width="26.7109375" bestFit="1" customWidth="1"/>
  </cols>
  <sheetData>
    <row r="2" spans="2:16384" ht="21" thickBot="1">
      <c r="B2" s="38" t="s">
        <v>175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5" spans="2:16384">
      <c r="B5" s="239" t="s">
        <v>176</v>
      </c>
      <c r="C5" s="240"/>
      <c r="D5" s="240"/>
      <c r="E5" s="240"/>
      <c r="F5" s="25"/>
      <c r="G5" s="239" t="s">
        <v>177</v>
      </c>
      <c r="H5" s="240"/>
      <c r="I5" s="240"/>
      <c r="J5" s="240"/>
      <c r="K5" s="240"/>
      <c r="L5" s="25"/>
      <c r="M5" s="239" t="s">
        <v>176</v>
      </c>
      <c r="N5" s="240"/>
      <c r="O5" s="240"/>
      <c r="P5" s="240"/>
    </row>
    <row r="6" spans="2:16384">
      <c r="B6" s="241" t="s">
        <v>178</v>
      </c>
      <c r="C6" s="25"/>
      <c r="D6" s="25"/>
      <c r="E6" s="25"/>
      <c r="F6" s="25"/>
      <c r="G6" s="242"/>
      <c r="H6" s="243">
        <f>DCF!E5</f>
        <v>2023</v>
      </c>
      <c r="I6" s="244">
        <f>DCF!F5</f>
        <v>2024</v>
      </c>
      <c r="J6" s="25"/>
      <c r="K6" s="25"/>
      <c r="L6" s="25"/>
      <c r="M6" s="241" t="s">
        <v>178</v>
      </c>
      <c r="N6" s="25"/>
      <c r="O6" s="25"/>
      <c r="P6" s="25"/>
    </row>
    <row r="7" spans="2:16384">
      <c r="B7" s="245"/>
      <c r="C7" s="246"/>
      <c r="D7" s="246"/>
      <c r="E7" s="246"/>
      <c r="F7" s="246"/>
      <c r="G7" s="246"/>
      <c r="H7" s="25"/>
      <c r="I7" s="25"/>
      <c r="J7" s="25"/>
      <c r="K7" s="25"/>
      <c r="L7" s="25"/>
      <c r="M7" s="245"/>
      <c r="N7" s="246"/>
      <c r="O7" s="246"/>
      <c r="P7" s="246"/>
    </row>
    <row r="8" spans="2:16384">
      <c r="B8" s="245" t="s">
        <v>179</v>
      </c>
      <c r="C8" s="25"/>
      <c r="D8" s="25"/>
      <c r="E8" s="247" vm="1">
        <f ca="1">'Information from Python'!F5</f>
        <v>258.2</v>
      </c>
      <c r="F8" s="246"/>
      <c r="G8" s="246" t="s">
        <v>180</v>
      </c>
      <c r="H8" s="248">
        <f>DCF!E6</f>
        <v>96773</v>
      </c>
      <c r="I8" s="248">
        <f>DCF!F6</f>
        <v>142197.77283101581</v>
      </c>
      <c r="J8" s="25"/>
      <c r="K8" s="25"/>
      <c r="L8" s="25"/>
      <c r="M8" s="25" t="s">
        <v>181</v>
      </c>
      <c r="N8" s="249">
        <f>High_Share_Price</f>
        <v>280</v>
      </c>
      <c r="O8" s="25" t="s">
        <v>182</v>
      </c>
      <c r="P8" s="25"/>
    </row>
    <row r="9" spans="2:16384">
      <c r="B9" s="245" t="s">
        <v>183</v>
      </c>
      <c r="C9" s="25"/>
      <c r="D9" s="25"/>
      <c r="E9" s="250">
        <f>Shares_Outstanding / 1000000</f>
        <v>15171.99</v>
      </c>
      <c r="F9" s="246"/>
      <c r="G9" s="246" t="s">
        <v>184</v>
      </c>
      <c r="H9" s="248">
        <f>DCF!E15</f>
        <v>14796</v>
      </c>
      <c r="I9" s="248">
        <f>DCF!F15</f>
        <v>28172.757609954857</v>
      </c>
      <c r="J9" s="25"/>
      <c r="K9" s="25"/>
      <c r="L9" s="25"/>
      <c r="M9" s="25" t="s">
        <v>185</v>
      </c>
      <c r="N9" s="249">
        <f>Low_Share_Price</f>
        <v>120</v>
      </c>
      <c r="O9" s="25" t="s">
        <v>186</v>
      </c>
      <c r="P9" s="25"/>
    </row>
    <row r="10" spans="2:16384">
      <c r="B10" s="245" t="s">
        <v>187</v>
      </c>
      <c r="C10" s="245"/>
      <c r="D10" s="245"/>
      <c r="E10" s="251">
        <f ca="1">E8 * E9</f>
        <v>3917407.818</v>
      </c>
      <c r="F10" s="246"/>
      <c r="G10" s="252" t="s">
        <v>188</v>
      </c>
      <c r="H10" s="253">
        <f ca="1">$E$13/H8</f>
        <v>40.286327984045137</v>
      </c>
      <c r="I10" s="253">
        <f ca="1">$E$13/I8</f>
        <v>27.416947117962462</v>
      </c>
      <c r="J10" s="25"/>
      <c r="K10" s="25"/>
      <c r="L10" s="25"/>
      <c r="M10" s="25"/>
      <c r="N10" s="25"/>
      <c r="O10" s="25"/>
      <c r="P10" s="25"/>
    </row>
    <row r="11" spans="2:16384">
      <c r="B11" s="245" t="s">
        <v>189</v>
      </c>
      <c r="C11" s="245"/>
      <c r="D11" s="245"/>
      <c r="E11" s="254">
        <f>'Balance Sheet Historic'!C62</f>
        <v>9573</v>
      </c>
      <c r="F11" s="246"/>
      <c r="G11" s="246" t="s">
        <v>190</v>
      </c>
      <c r="H11" s="253">
        <f ca="1">$E$13/H9</f>
        <v>263.49208015679915</v>
      </c>
      <c r="I11" s="253">
        <f ca="1">$E$13/I9</f>
        <v>138.38293261794215</v>
      </c>
      <c r="J11" s="25"/>
      <c r="K11" s="25"/>
      <c r="L11" s="25"/>
      <c r="M11" s="25"/>
      <c r="N11" s="25"/>
      <c r="O11" s="25"/>
      <c r="P11" s="25"/>
    </row>
    <row r="12" spans="2:16384">
      <c r="B12" s="245" t="s">
        <v>191</v>
      </c>
      <c r="C12" s="245"/>
      <c r="D12" s="245"/>
      <c r="E12" s="254">
        <f>'Balance Sheet Historic'!C53</f>
        <v>28352</v>
      </c>
      <c r="F12" s="246"/>
      <c r="G12" s="245"/>
      <c r="H12" s="246"/>
      <c r="I12" s="246"/>
      <c r="J12" s="25"/>
      <c r="K12" s="25"/>
      <c r="L12" s="25"/>
      <c r="M12" s="25"/>
      <c r="N12" s="25"/>
      <c r="O12" s="25"/>
      <c r="P12" s="25"/>
    </row>
    <row r="13" spans="2:16384">
      <c r="B13" s="255" t="s">
        <v>176</v>
      </c>
      <c r="C13" s="255"/>
      <c r="D13" s="255"/>
      <c r="E13" s="256">
        <f ca="1">E10+E11-E12</f>
        <v>3898628.818</v>
      </c>
      <c r="F13" s="246"/>
      <c r="G13" s="246"/>
      <c r="H13" s="246"/>
      <c r="I13" s="246"/>
      <c r="J13" s="25"/>
      <c r="K13" s="25"/>
      <c r="L13" s="25"/>
      <c r="M13" s="25"/>
      <c r="N13" s="25"/>
      <c r="O13" s="25"/>
      <c r="P13" s="25"/>
    </row>
    <row r="14" spans="2:16384">
      <c r="B14" s="23"/>
      <c r="C14" s="23"/>
      <c r="D14" s="23"/>
      <c r="E14" s="23"/>
      <c r="F14" s="87"/>
      <c r="G14" s="87"/>
      <c r="H14" s="87"/>
      <c r="I14" s="87"/>
      <c r="J14" s="23"/>
      <c r="K14" s="23"/>
      <c r="L14" s="23"/>
      <c r="M14" s="23"/>
      <c r="N14" s="23"/>
      <c r="O14" s="23"/>
      <c r="P14" s="23"/>
    </row>
    <row r="15" spans="2:16384"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</row>
    <row r="17" spans="2:16384" ht="21" thickBot="1">
      <c r="B17" s="38" t="s">
        <v>204</v>
      </c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7"/>
      <c r="AD17" s="37"/>
      <c r="AE17" s="37"/>
      <c r="AF17" s="37"/>
      <c r="AG17" s="37"/>
      <c r="AH17" s="37"/>
      <c r="AI17" s="37"/>
      <c r="AJ17" s="37"/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7"/>
      <c r="AZ17" s="37"/>
      <c r="BA17" s="37"/>
      <c r="BB17" s="37"/>
      <c r="BC17" s="37"/>
      <c r="BD17" s="37"/>
      <c r="BE17" s="37"/>
      <c r="BF17" s="37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7"/>
      <c r="BU17" s="37"/>
      <c r="BV17" s="37"/>
      <c r="BW17" s="37"/>
      <c r="BX17" s="37"/>
      <c r="BY17" s="37"/>
      <c r="BZ17" s="37"/>
      <c r="CA17" s="37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7"/>
      <c r="CP17" s="37"/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7"/>
      <c r="DK17" s="37"/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37"/>
      <c r="EB17" s="37"/>
      <c r="EC17" s="37"/>
      <c r="ED17" s="37"/>
      <c r="EE17" s="37"/>
      <c r="EF17" s="37"/>
      <c r="EG17" s="37"/>
      <c r="EH17" s="37"/>
      <c r="EI17" s="37"/>
      <c r="EJ17" s="37"/>
      <c r="EK17" s="37"/>
      <c r="EL17" s="37"/>
      <c r="EM17" s="37"/>
      <c r="EN17" s="37"/>
      <c r="EO17" s="37"/>
      <c r="EP17" s="37"/>
      <c r="EQ17" s="37"/>
      <c r="ER17" s="37"/>
      <c r="ES17" s="37"/>
      <c r="ET17" s="37"/>
      <c r="EU17" s="37"/>
      <c r="EV17" s="37"/>
      <c r="EW17" s="37"/>
      <c r="EX17" s="37"/>
      <c r="EY17" s="37"/>
      <c r="EZ17" s="37"/>
      <c r="FA17" s="37"/>
      <c r="FB17" s="37"/>
      <c r="FC17" s="37"/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37"/>
      <c r="FT17" s="37"/>
      <c r="FU17" s="37"/>
      <c r="FV17" s="37"/>
      <c r="FW17" s="37"/>
      <c r="FX17" s="37"/>
      <c r="FY17" s="37"/>
      <c r="FZ17" s="37"/>
      <c r="GA17" s="37"/>
      <c r="GB17" s="37"/>
      <c r="GC17" s="37"/>
      <c r="GD17" s="37"/>
      <c r="GE17" s="37"/>
      <c r="GF17" s="37"/>
      <c r="GG17" s="37"/>
      <c r="GH17" s="37"/>
      <c r="GI17" s="37"/>
      <c r="GJ17" s="37"/>
      <c r="GK17" s="37"/>
      <c r="GL17" s="37"/>
      <c r="GM17" s="37"/>
      <c r="GN17" s="37"/>
      <c r="GO17" s="37"/>
      <c r="GP17" s="37"/>
      <c r="GQ17" s="37"/>
      <c r="GR17" s="37"/>
      <c r="GS17" s="37"/>
      <c r="GT17" s="37"/>
      <c r="GU17" s="37"/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37"/>
      <c r="HL17" s="37"/>
      <c r="HM17" s="37"/>
      <c r="HN17" s="37"/>
      <c r="HO17" s="37"/>
      <c r="HP17" s="37"/>
      <c r="HQ17" s="37"/>
      <c r="HR17" s="37"/>
      <c r="HS17" s="37"/>
      <c r="HT17" s="37"/>
      <c r="HU17" s="37"/>
      <c r="HV17" s="37"/>
      <c r="HW17" s="37"/>
      <c r="HX17" s="37"/>
      <c r="HY17" s="37"/>
      <c r="HZ17" s="37"/>
      <c r="IA17" s="37"/>
      <c r="IB17" s="37"/>
      <c r="IC17" s="37"/>
      <c r="ID17" s="37"/>
      <c r="IE17" s="37"/>
      <c r="IF17" s="37"/>
      <c r="IG17" s="37"/>
      <c r="IH17" s="37"/>
      <c r="II17" s="37"/>
      <c r="IJ17" s="37"/>
      <c r="IK17" s="37"/>
      <c r="IL17" s="37"/>
      <c r="IM17" s="37"/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37"/>
      <c r="JD17" s="37"/>
      <c r="JE17" s="37"/>
      <c r="JF17" s="37"/>
      <c r="JG17" s="37"/>
      <c r="JH17" s="37"/>
      <c r="JI17" s="37"/>
      <c r="JJ17" s="37"/>
      <c r="JK17" s="37"/>
      <c r="JL17" s="37"/>
      <c r="JM17" s="37"/>
      <c r="JN17" s="37"/>
      <c r="JO17" s="37"/>
      <c r="JP17" s="37"/>
      <c r="JQ17" s="37"/>
      <c r="JR17" s="37"/>
      <c r="JS17" s="37"/>
      <c r="JT17" s="37"/>
      <c r="JU17" s="37"/>
      <c r="JV17" s="37"/>
      <c r="JW17" s="37"/>
      <c r="JX17" s="37"/>
      <c r="JY17" s="37"/>
      <c r="JZ17" s="37"/>
      <c r="KA17" s="37"/>
      <c r="KB17" s="37"/>
      <c r="KC17" s="37"/>
      <c r="KD17" s="37"/>
      <c r="KE17" s="37"/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37"/>
      <c r="KV17" s="37"/>
      <c r="KW17" s="37"/>
      <c r="KX17" s="37"/>
      <c r="KY17" s="37"/>
      <c r="KZ17" s="37"/>
      <c r="LA17" s="37"/>
      <c r="LB17" s="37"/>
      <c r="LC17" s="37"/>
      <c r="LD17" s="37"/>
      <c r="LE17" s="37"/>
      <c r="LF17" s="37"/>
      <c r="LG17" s="37"/>
      <c r="LH17" s="37"/>
      <c r="LI17" s="37"/>
      <c r="LJ17" s="37"/>
      <c r="LK17" s="37"/>
      <c r="LL17" s="37"/>
      <c r="LM17" s="37"/>
      <c r="LN17" s="37"/>
      <c r="LO17" s="37"/>
      <c r="LP17" s="37"/>
      <c r="LQ17" s="37"/>
      <c r="LR17" s="37"/>
      <c r="LS17" s="37"/>
      <c r="LT17" s="37"/>
      <c r="LU17" s="37"/>
      <c r="LV17" s="37"/>
      <c r="LW17" s="37"/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37"/>
      <c r="MN17" s="37"/>
      <c r="MO17" s="37"/>
      <c r="MP17" s="37"/>
      <c r="MQ17" s="37"/>
      <c r="MR17" s="37"/>
      <c r="MS17" s="37"/>
      <c r="MT17" s="37"/>
      <c r="MU17" s="37"/>
      <c r="MV17" s="37"/>
      <c r="MW17" s="37"/>
      <c r="MX17" s="37"/>
      <c r="MY17" s="37"/>
      <c r="MZ17" s="37"/>
      <c r="NA17" s="37"/>
      <c r="NB17" s="37"/>
      <c r="NC17" s="37"/>
      <c r="ND17" s="37"/>
      <c r="NE17" s="37"/>
      <c r="NF17" s="37"/>
      <c r="NG17" s="37"/>
      <c r="NH17" s="37"/>
      <c r="NI17" s="37"/>
      <c r="NJ17" s="37"/>
      <c r="NK17" s="37"/>
      <c r="NL17" s="37"/>
      <c r="NM17" s="37"/>
      <c r="NN17" s="37"/>
      <c r="NO17" s="37"/>
      <c r="NP17" s="37"/>
      <c r="NQ17" s="37"/>
      <c r="NR17" s="37"/>
      <c r="NS17" s="37"/>
      <c r="NT17" s="37"/>
      <c r="NU17" s="37"/>
      <c r="NV17" s="37"/>
      <c r="NW17" s="37"/>
      <c r="NX17" s="37"/>
      <c r="NY17" s="37"/>
      <c r="NZ17" s="37"/>
      <c r="OA17" s="37"/>
      <c r="OB17" s="37"/>
      <c r="OC17" s="37"/>
      <c r="OD17" s="37"/>
      <c r="OE17" s="37"/>
      <c r="OF17" s="37"/>
      <c r="OG17" s="37"/>
      <c r="OH17" s="37"/>
      <c r="OI17" s="37"/>
      <c r="OJ17" s="37"/>
      <c r="OK17" s="37"/>
      <c r="OL17" s="37"/>
      <c r="OM17" s="37"/>
      <c r="ON17" s="37"/>
      <c r="OO17" s="37"/>
      <c r="OP17" s="37"/>
      <c r="OQ17" s="37"/>
      <c r="OR17" s="37"/>
      <c r="OS17" s="37"/>
      <c r="OT17" s="37"/>
      <c r="OU17" s="37"/>
      <c r="OV17" s="37"/>
      <c r="OW17" s="37"/>
      <c r="OX17" s="37"/>
      <c r="OY17" s="37"/>
      <c r="OZ17" s="37"/>
      <c r="PA17" s="37"/>
      <c r="PB17" s="37"/>
      <c r="PC17" s="37"/>
      <c r="PD17" s="37"/>
      <c r="PE17" s="37"/>
      <c r="PF17" s="37"/>
      <c r="PG17" s="37"/>
      <c r="PH17" s="37"/>
      <c r="PI17" s="37"/>
      <c r="PJ17" s="37"/>
      <c r="PK17" s="37"/>
      <c r="PL17" s="37"/>
      <c r="PM17" s="37"/>
      <c r="PN17" s="37"/>
      <c r="PO17" s="37"/>
      <c r="PP17" s="37"/>
      <c r="PQ17" s="37"/>
      <c r="PR17" s="37"/>
      <c r="PS17" s="37"/>
      <c r="PT17" s="37"/>
      <c r="PU17" s="37"/>
      <c r="PV17" s="37"/>
      <c r="PW17" s="37"/>
      <c r="PX17" s="37"/>
      <c r="PY17" s="37"/>
      <c r="PZ17" s="37"/>
      <c r="QA17" s="37"/>
      <c r="QB17" s="37"/>
      <c r="QC17" s="37"/>
      <c r="QD17" s="37"/>
      <c r="QE17" s="37"/>
      <c r="QF17" s="37"/>
      <c r="QG17" s="37"/>
      <c r="QH17" s="37"/>
      <c r="QI17" s="37"/>
      <c r="QJ17" s="37"/>
      <c r="QK17" s="37"/>
      <c r="QL17" s="37"/>
      <c r="QM17" s="37"/>
      <c r="QN17" s="37"/>
      <c r="QO17" s="37"/>
      <c r="QP17" s="37"/>
      <c r="QQ17" s="37"/>
      <c r="QR17" s="37"/>
      <c r="QS17" s="37"/>
      <c r="QT17" s="37"/>
      <c r="QU17" s="37"/>
      <c r="QV17" s="37"/>
      <c r="QW17" s="37"/>
      <c r="QX17" s="37"/>
      <c r="QY17" s="37"/>
      <c r="QZ17" s="37"/>
      <c r="RA17" s="37"/>
      <c r="RB17" s="37"/>
      <c r="RC17" s="37"/>
      <c r="RD17" s="37"/>
      <c r="RE17" s="37"/>
      <c r="RF17" s="37"/>
      <c r="RG17" s="37"/>
      <c r="RH17" s="37"/>
      <c r="RI17" s="37"/>
      <c r="RJ17" s="37"/>
      <c r="RK17" s="37"/>
      <c r="RL17" s="37"/>
      <c r="RM17" s="37"/>
      <c r="RN17" s="37"/>
      <c r="RO17" s="37"/>
      <c r="RP17" s="37"/>
      <c r="RQ17" s="37"/>
      <c r="RR17" s="37"/>
      <c r="RS17" s="37"/>
      <c r="RT17" s="37"/>
      <c r="RU17" s="37"/>
      <c r="RV17" s="37"/>
      <c r="RW17" s="37"/>
      <c r="RX17" s="37"/>
      <c r="RY17" s="37"/>
      <c r="RZ17" s="37"/>
      <c r="SA17" s="37"/>
      <c r="SB17" s="37"/>
      <c r="SC17" s="37"/>
      <c r="SD17" s="37"/>
      <c r="SE17" s="37"/>
      <c r="SF17" s="37"/>
      <c r="SG17" s="37"/>
      <c r="SH17" s="37"/>
      <c r="SI17" s="37"/>
      <c r="SJ17" s="37"/>
      <c r="SK17" s="37"/>
      <c r="SL17" s="37"/>
      <c r="SM17" s="37"/>
      <c r="SN17" s="37"/>
      <c r="SO17" s="37"/>
      <c r="SP17" s="37"/>
      <c r="SQ17" s="37"/>
      <c r="SR17" s="37"/>
      <c r="SS17" s="37"/>
      <c r="ST17" s="37"/>
      <c r="SU17" s="37"/>
      <c r="SV17" s="37"/>
      <c r="SW17" s="37"/>
      <c r="SX17" s="37"/>
      <c r="SY17" s="37"/>
      <c r="SZ17" s="37"/>
      <c r="TA17" s="37"/>
      <c r="TB17" s="37"/>
      <c r="TC17" s="37"/>
      <c r="TD17" s="37"/>
      <c r="TE17" s="37"/>
      <c r="TF17" s="37"/>
      <c r="TG17" s="37"/>
      <c r="TH17" s="37"/>
      <c r="TI17" s="37"/>
      <c r="TJ17" s="37"/>
      <c r="TK17" s="37"/>
      <c r="TL17" s="37"/>
      <c r="TM17" s="37"/>
      <c r="TN17" s="37"/>
      <c r="TO17" s="37"/>
      <c r="TP17" s="37"/>
      <c r="TQ17" s="37"/>
      <c r="TR17" s="37"/>
      <c r="TS17" s="37"/>
      <c r="TT17" s="37"/>
      <c r="TU17" s="37"/>
      <c r="TV17" s="37"/>
      <c r="TW17" s="37"/>
      <c r="TX17" s="37"/>
      <c r="TY17" s="37"/>
      <c r="TZ17" s="37"/>
      <c r="UA17" s="37"/>
      <c r="UB17" s="37"/>
      <c r="UC17" s="37"/>
      <c r="UD17" s="37"/>
      <c r="UE17" s="37"/>
      <c r="UF17" s="37"/>
      <c r="UG17" s="37"/>
      <c r="UH17" s="37"/>
      <c r="UI17" s="37"/>
      <c r="UJ17" s="37"/>
      <c r="UK17" s="37"/>
      <c r="UL17" s="37"/>
      <c r="UM17" s="37"/>
      <c r="UN17" s="37"/>
      <c r="UO17" s="37"/>
      <c r="UP17" s="37"/>
      <c r="UQ17" s="37"/>
      <c r="UR17" s="37"/>
      <c r="US17" s="37"/>
      <c r="UT17" s="37"/>
      <c r="UU17" s="37"/>
      <c r="UV17" s="37"/>
      <c r="UW17" s="37"/>
      <c r="UX17" s="37"/>
      <c r="UY17" s="37"/>
      <c r="UZ17" s="37"/>
      <c r="VA17" s="37"/>
      <c r="VB17" s="37"/>
      <c r="VC17" s="37"/>
      <c r="VD17" s="37"/>
      <c r="VE17" s="37"/>
      <c r="VF17" s="37"/>
      <c r="VG17" s="37"/>
      <c r="VH17" s="37"/>
      <c r="VI17" s="37"/>
      <c r="VJ17" s="37"/>
      <c r="VK17" s="37"/>
      <c r="VL17" s="37"/>
      <c r="VM17" s="37"/>
      <c r="VN17" s="37"/>
      <c r="VO17" s="37"/>
      <c r="VP17" s="37"/>
      <c r="VQ17" s="37"/>
      <c r="VR17" s="37"/>
      <c r="VS17" s="37"/>
      <c r="VT17" s="37"/>
      <c r="VU17" s="37"/>
      <c r="VV17" s="37"/>
      <c r="VW17" s="37"/>
      <c r="VX17" s="37"/>
      <c r="VY17" s="37"/>
      <c r="VZ17" s="37"/>
      <c r="WA17" s="37"/>
      <c r="WB17" s="37"/>
      <c r="WC17" s="37"/>
      <c r="WD17" s="37"/>
      <c r="WE17" s="37"/>
      <c r="WF17" s="37"/>
      <c r="WG17" s="37"/>
      <c r="WH17" s="37"/>
      <c r="WI17" s="37"/>
      <c r="WJ17" s="37"/>
      <c r="WK17" s="37"/>
      <c r="WL17" s="37"/>
      <c r="WM17" s="37"/>
      <c r="WN17" s="37"/>
      <c r="WO17" s="37"/>
      <c r="WP17" s="37"/>
      <c r="WQ17" s="37"/>
      <c r="WR17" s="37"/>
      <c r="WS17" s="37"/>
      <c r="WT17" s="37"/>
      <c r="WU17" s="37"/>
      <c r="WV17" s="37"/>
      <c r="WW17" s="37"/>
      <c r="WX17" s="37"/>
      <c r="WY17" s="37"/>
      <c r="WZ17" s="37"/>
      <c r="XA17" s="37"/>
      <c r="XB17" s="37"/>
      <c r="XC17" s="37"/>
      <c r="XD17" s="37"/>
      <c r="XE17" s="37"/>
      <c r="XF17" s="37"/>
      <c r="XG17" s="37"/>
      <c r="XH17" s="37"/>
      <c r="XI17" s="37"/>
      <c r="XJ17" s="37"/>
      <c r="XK17" s="37"/>
      <c r="XL17" s="37"/>
      <c r="XM17" s="37"/>
      <c r="XN17" s="37"/>
      <c r="XO17" s="37"/>
      <c r="XP17" s="37"/>
      <c r="XQ17" s="37"/>
      <c r="XR17" s="37"/>
      <c r="XS17" s="37"/>
      <c r="XT17" s="37"/>
      <c r="XU17" s="37"/>
      <c r="XV17" s="37"/>
      <c r="XW17" s="37"/>
      <c r="XX17" s="37"/>
      <c r="XY17" s="37"/>
      <c r="XZ17" s="37"/>
      <c r="YA17" s="37"/>
      <c r="YB17" s="37"/>
      <c r="YC17" s="37"/>
      <c r="YD17" s="37"/>
      <c r="YE17" s="37"/>
      <c r="YF17" s="37"/>
      <c r="YG17" s="37"/>
      <c r="YH17" s="37"/>
      <c r="YI17" s="37"/>
      <c r="YJ17" s="37"/>
      <c r="YK17" s="37"/>
      <c r="YL17" s="37"/>
      <c r="YM17" s="37"/>
      <c r="YN17" s="37"/>
      <c r="YO17" s="37"/>
      <c r="YP17" s="37"/>
      <c r="YQ17" s="37"/>
      <c r="YR17" s="37"/>
      <c r="YS17" s="37"/>
      <c r="YT17" s="37"/>
      <c r="YU17" s="37"/>
      <c r="YV17" s="37"/>
      <c r="YW17" s="37"/>
      <c r="YX17" s="37"/>
      <c r="YY17" s="37"/>
      <c r="YZ17" s="37"/>
      <c r="ZA17" s="37"/>
      <c r="ZB17" s="37"/>
      <c r="ZC17" s="37"/>
      <c r="ZD17" s="37"/>
      <c r="ZE17" s="37"/>
      <c r="ZF17" s="37"/>
      <c r="ZG17" s="37"/>
      <c r="ZH17" s="37"/>
      <c r="ZI17" s="37"/>
      <c r="ZJ17" s="37"/>
      <c r="ZK17" s="37"/>
      <c r="ZL17" s="37"/>
      <c r="ZM17" s="37"/>
      <c r="ZN17" s="37"/>
      <c r="ZO17" s="37"/>
      <c r="ZP17" s="37"/>
      <c r="ZQ17" s="37"/>
      <c r="ZR17" s="37"/>
      <c r="ZS17" s="37"/>
      <c r="ZT17" s="37"/>
      <c r="ZU17" s="37"/>
      <c r="ZV17" s="37"/>
      <c r="ZW17" s="37"/>
      <c r="ZX17" s="37"/>
      <c r="ZY17" s="37"/>
      <c r="ZZ17" s="37"/>
      <c r="AAA17" s="37"/>
      <c r="AAB17" s="37"/>
      <c r="AAC17" s="37"/>
      <c r="AAD17" s="37"/>
      <c r="AAE17" s="37"/>
      <c r="AAF17" s="37"/>
      <c r="AAG17" s="37"/>
      <c r="AAH17" s="37"/>
      <c r="AAI17" s="37"/>
      <c r="AAJ17" s="37"/>
      <c r="AAK17" s="37"/>
      <c r="AAL17" s="37"/>
      <c r="AAM17" s="37"/>
      <c r="AAN17" s="37"/>
      <c r="AAO17" s="37"/>
      <c r="AAP17" s="37"/>
      <c r="AAQ17" s="37"/>
      <c r="AAR17" s="37"/>
      <c r="AAS17" s="37"/>
      <c r="AAT17" s="37"/>
      <c r="AAU17" s="37"/>
      <c r="AAV17" s="37"/>
      <c r="AAW17" s="37"/>
      <c r="AAX17" s="37"/>
      <c r="AAY17" s="37"/>
      <c r="AAZ17" s="37"/>
      <c r="ABA17" s="37"/>
      <c r="ABB17" s="37"/>
      <c r="ABC17" s="37"/>
      <c r="ABD17" s="37"/>
      <c r="ABE17" s="37"/>
      <c r="ABF17" s="37"/>
      <c r="ABG17" s="37"/>
      <c r="ABH17" s="37"/>
      <c r="ABI17" s="37"/>
      <c r="ABJ17" s="37"/>
      <c r="ABK17" s="37"/>
      <c r="ABL17" s="37"/>
      <c r="ABM17" s="37"/>
      <c r="ABN17" s="37"/>
      <c r="ABO17" s="37"/>
      <c r="ABP17" s="37"/>
      <c r="ABQ17" s="37"/>
      <c r="ABR17" s="37"/>
      <c r="ABS17" s="37"/>
      <c r="ABT17" s="37"/>
      <c r="ABU17" s="37"/>
      <c r="ABV17" s="37"/>
      <c r="ABW17" s="37"/>
      <c r="ABX17" s="37"/>
      <c r="ABY17" s="37"/>
      <c r="ABZ17" s="37"/>
      <c r="ACA17" s="37"/>
      <c r="ACB17" s="37"/>
      <c r="ACC17" s="37"/>
      <c r="ACD17" s="37"/>
      <c r="ACE17" s="37"/>
      <c r="ACF17" s="37"/>
      <c r="ACG17" s="37"/>
      <c r="ACH17" s="37"/>
      <c r="ACI17" s="37"/>
      <c r="ACJ17" s="37"/>
      <c r="ACK17" s="37"/>
      <c r="ACL17" s="37"/>
      <c r="ACM17" s="37"/>
      <c r="ACN17" s="37"/>
      <c r="ACO17" s="37"/>
      <c r="ACP17" s="37"/>
      <c r="ACQ17" s="37"/>
      <c r="ACR17" s="37"/>
      <c r="ACS17" s="37"/>
      <c r="ACT17" s="37"/>
      <c r="ACU17" s="37"/>
      <c r="ACV17" s="37"/>
      <c r="ACW17" s="37"/>
      <c r="ACX17" s="37"/>
      <c r="ACY17" s="37"/>
      <c r="ACZ17" s="37"/>
      <c r="ADA17" s="37"/>
      <c r="ADB17" s="37"/>
      <c r="ADC17" s="37"/>
      <c r="ADD17" s="37"/>
      <c r="ADE17" s="37"/>
      <c r="ADF17" s="37"/>
      <c r="ADG17" s="37"/>
      <c r="ADH17" s="37"/>
      <c r="ADI17" s="37"/>
      <c r="ADJ17" s="37"/>
      <c r="ADK17" s="37"/>
      <c r="ADL17" s="37"/>
      <c r="ADM17" s="37"/>
      <c r="ADN17" s="37"/>
      <c r="ADO17" s="37"/>
      <c r="ADP17" s="37"/>
      <c r="ADQ17" s="37"/>
      <c r="ADR17" s="37"/>
      <c r="ADS17" s="37"/>
      <c r="ADT17" s="37"/>
      <c r="ADU17" s="37"/>
      <c r="ADV17" s="37"/>
      <c r="ADW17" s="37"/>
      <c r="ADX17" s="37"/>
      <c r="ADY17" s="37"/>
      <c r="ADZ17" s="37"/>
      <c r="AEA17" s="37"/>
      <c r="AEB17" s="37"/>
      <c r="AEC17" s="37"/>
      <c r="AED17" s="37"/>
      <c r="AEE17" s="37"/>
      <c r="AEF17" s="37"/>
      <c r="AEG17" s="37"/>
      <c r="AEH17" s="37"/>
      <c r="AEI17" s="37"/>
      <c r="AEJ17" s="37"/>
      <c r="AEK17" s="37"/>
      <c r="AEL17" s="37"/>
      <c r="AEM17" s="37"/>
      <c r="AEN17" s="37"/>
      <c r="AEO17" s="37"/>
      <c r="AEP17" s="37"/>
      <c r="AEQ17" s="37"/>
      <c r="AER17" s="37"/>
      <c r="AES17" s="37"/>
      <c r="AET17" s="37"/>
      <c r="AEU17" s="37"/>
      <c r="AEV17" s="37"/>
      <c r="AEW17" s="37"/>
      <c r="AEX17" s="37"/>
      <c r="AEY17" s="37"/>
      <c r="AEZ17" s="37"/>
      <c r="AFA17" s="37"/>
      <c r="AFB17" s="37"/>
      <c r="AFC17" s="37"/>
      <c r="AFD17" s="37"/>
      <c r="AFE17" s="37"/>
      <c r="AFF17" s="37"/>
      <c r="AFG17" s="37"/>
      <c r="AFH17" s="37"/>
      <c r="AFI17" s="37"/>
      <c r="AFJ17" s="37"/>
      <c r="AFK17" s="37"/>
      <c r="AFL17" s="37"/>
      <c r="AFM17" s="37"/>
      <c r="AFN17" s="37"/>
      <c r="AFO17" s="37"/>
      <c r="AFP17" s="37"/>
      <c r="AFQ17" s="37"/>
      <c r="AFR17" s="37"/>
      <c r="AFS17" s="37"/>
      <c r="AFT17" s="37"/>
      <c r="AFU17" s="37"/>
      <c r="AFV17" s="37"/>
      <c r="AFW17" s="37"/>
      <c r="AFX17" s="37"/>
      <c r="AFY17" s="37"/>
      <c r="AFZ17" s="37"/>
      <c r="AGA17" s="37"/>
      <c r="AGB17" s="37"/>
      <c r="AGC17" s="37"/>
      <c r="AGD17" s="37"/>
      <c r="AGE17" s="37"/>
      <c r="AGF17" s="37"/>
      <c r="AGG17" s="37"/>
      <c r="AGH17" s="37"/>
      <c r="AGI17" s="37"/>
      <c r="AGJ17" s="37"/>
      <c r="AGK17" s="37"/>
      <c r="AGL17" s="37"/>
      <c r="AGM17" s="37"/>
      <c r="AGN17" s="37"/>
      <c r="AGO17" s="37"/>
      <c r="AGP17" s="37"/>
      <c r="AGQ17" s="37"/>
      <c r="AGR17" s="37"/>
      <c r="AGS17" s="37"/>
      <c r="AGT17" s="37"/>
      <c r="AGU17" s="37"/>
      <c r="AGV17" s="37"/>
      <c r="AGW17" s="37"/>
      <c r="AGX17" s="37"/>
      <c r="AGY17" s="37"/>
      <c r="AGZ17" s="37"/>
      <c r="AHA17" s="37"/>
      <c r="AHB17" s="37"/>
      <c r="AHC17" s="37"/>
      <c r="AHD17" s="37"/>
      <c r="AHE17" s="37"/>
      <c r="AHF17" s="37"/>
      <c r="AHG17" s="37"/>
      <c r="AHH17" s="37"/>
      <c r="AHI17" s="37"/>
      <c r="AHJ17" s="37"/>
      <c r="AHK17" s="37"/>
      <c r="AHL17" s="37"/>
      <c r="AHM17" s="37"/>
      <c r="AHN17" s="37"/>
      <c r="AHO17" s="37"/>
      <c r="AHP17" s="37"/>
      <c r="AHQ17" s="37"/>
      <c r="AHR17" s="37"/>
      <c r="AHS17" s="37"/>
      <c r="AHT17" s="37"/>
      <c r="AHU17" s="37"/>
      <c r="AHV17" s="37"/>
      <c r="AHW17" s="37"/>
      <c r="AHX17" s="37"/>
      <c r="AHY17" s="37"/>
      <c r="AHZ17" s="37"/>
      <c r="AIA17" s="37"/>
      <c r="AIB17" s="37"/>
      <c r="AIC17" s="37"/>
      <c r="AID17" s="37"/>
      <c r="AIE17" s="37"/>
      <c r="AIF17" s="37"/>
      <c r="AIG17" s="37"/>
      <c r="AIH17" s="37"/>
      <c r="AII17" s="37"/>
      <c r="AIJ17" s="37"/>
      <c r="AIK17" s="37"/>
      <c r="AIL17" s="37"/>
      <c r="AIM17" s="37"/>
      <c r="AIN17" s="37"/>
      <c r="AIO17" s="37"/>
      <c r="AIP17" s="37"/>
      <c r="AIQ17" s="37"/>
      <c r="AIR17" s="37"/>
      <c r="AIS17" s="37"/>
      <c r="AIT17" s="37"/>
      <c r="AIU17" s="37"/>
      <c r="AIV17" s="37"/>
      <c r="AIW17" s="37"/>
      <c r="AIX17" s="37"/>
      <c r="AIY17" s="37"/>
      <c r="AIZ17" s="37"/>
      <c r="AJA17" s="37"/>
      <c r="AJB17" s="37"/>
      <c r="AJC17" s="37"/>
      <c r="AJD17" s="37"/>
      <c r="AJE17" s="37"/>
      <c r="AJF17" s="37"/>
      <c r="AJG17" s="37"/>
      <c r="AJH17" s="37"/>
      <c r="AJI17" s="37"/>
      <c r="AJJ17" s="37"/>
      <c r="AJK17" s="37"/>
      <c r="AJL17" s="37"/>
      <c r="AJM17" s="37"/>
      <c r="AJN17" s="37"/>
      <c r="AJO17" s="37"/>
      <c r="AJP17" s="37"/>
      <c r="AJQ17" s="37"/>
      <c r="AJR17" s="37"/>
      <c r="AJS17" s="37"/>
      <c r="AJT17" s="37"/>
      <c r="AJU17" s="37"/>
      <c r="AJV17" s="37"/>
      <c r="AJW17" s="37"/>
      <c r="AJX17" s="37"/>
      <c r="AJY17" s="37"/>
      <c r="AJZ17" s="37"/>
      <c r="AKA17" s="37"/>
      <c r="AKB17" s="37"/>
      <c r="AKC17" s="37"/>
      <c r="AKD17" s="37"/>
      <c r="AKE17" s="37"/>
      <c r="AKF17" s="37"/>
      <c r="AKG17" s="37"/>
      <c r="AKH17" s="37"/>
      <c r="AKI17" s="37"/>
      <c r="AKJ17" s="37"/>
      <c r="AKK17" s="37"/>
      <c r="AKL17" s="37"/>
      <c r="AKM17" s="37"/>
      <c r="AKN17" s="37"/>
      <c r="AKO17" s="37"/>
      <c r="AKP17" s="37"/>
      <c r="AKQ17" s="37"/>
      <c r="AKR17" s="37"/>
      <c r="AKS17" s="37"/>
      <c r="AKT17" s="37"/>
      <c r="AKU17" s="37"/>
      <c r="AKV17" s="37"/>
      <c r="AKW17" s="37"/>
      <c r="AKX17" s="37"/>
      <c r="AKY17" s="37"/>
      <c r="AKZ17" s="37"/>
      <c r="ALA17" s="37"/>
      <c r="ALB17" s="37"/>
      <c r="ALC17" s="37"/>
      <c r="ALD17" s="37"/>
      <c r="ALE17" s="37"/>
      <c r="ALF17" s="37"/>
      <c r="ALG17" s="37"/>
      <c r="ALH17" s="37"/>
      <c r="ALI17" s="37"/>
      <c r="ALJ17" s="37"/>
      <c r="ALK17" s="37"/>
      <c r="ALL17" s="37"/>
      <c r="ALM17" s="37"/>
      <c r="ALN17" s="37"/>
      <c r="ALO17" s="37"/>
      <c r="ALP17" s="37"/>
      <c r="ALQ17" s="37"/>
      <c r="ALR17" s="37"/>
      <c r="ALS17" s="37"/>
      <c r="ALT17" s="37"/>
      <c r="ALU17" s="37"/>
      <c r="ALV17" s="37"/>
      <c r="ALW17" s="37"/>
      <c r="ALX17" s="37"/>
      <c r="ALY17" s="37"/>
      <c r="ALZ17" s="37"/>
      <c r="AMA17" s="37"/>
      <c r="AMB17" s="37"/>
      <c r="AMC17" s="37"/>
      <c r="AMD17" s="37"/>
      <c r="AME17" s="37"/>
      <c r="AMF17" s="37"/>
      <c r="AMG17" s="37"/>
      <c r="AMH17" s="37"/>
      <c r="AMI17" s="37"/>
      <c r="AMJ17" s="37"/>
      <c r="AMK17" s="37"/>
      <c r="AML17" s="37"/>
      <c r="AMM17" s="37"/>
      <c r="AMN17" s="37"/>
      <c r="AMO17" s="37"/>
      <c r="AMP17" s="37"/>
      <c r="AMQ17" s="37"/>
      <c r="AMR17" s="37"/>
      <c r="AMS17" s="37"/>
      <c r="AMT17" s="37"/>
      <c r="AMU17" s="37"/>
      <c r="AMV17" s="37"/>
      <c r="AMW17" s="37"/>
      <c r="AMX17" s="37"/>
      <c r="AMY17" s="37"/>
      <c r="AMZ17" s="37"/>
      <c r="ANA17" s="37"/>
      <c r="ANB17" s="37"/>
      <c r="ANC17" s="37"/>
      <c r="AND17" s="37"/>
      <c r="ANE17" s="37"/>
      <c r="ANF17" s="37"/>
      <c r="ANG17" s="37"/>
      <c r="ANH17" s="37"/>
      <c r="ANI17" s="37"/>
      <c r="ANJ17" s="37"/>
      <c r="ANK17" s="37"/>
      <c r="ANL17" s="37"/>
      <c r="ANM17" s="37"/>
      <c r="ANN17" s="37"/>
      <c r="ANO17" s="37"/>
      <c r="ANP17" s="37"/>
      <c r="ANQ17" s="37"/>
      <c r="ANR17" s="37"/>
      <c r="ANS17" s="37"/>
      <c r="ANT17" s="37"/>
      <c r="ANU17" s="37"/>
      <c r="ANV17" s="37"/>
      <c r="ANW17" s="37"/>
      <c r="ANX17" s="37"/>
      <c r="ANY17" s="37"/>
      <c r="ANZ17" s="37"/>
      <c r="AOA17" s="37"/>
      <c r="AOB17" s="37"/>
      <c r="AOC17" s="37"/>
      <c r="AOD17" s="37"/>
      <c r="AOE17" s="37"/>
      <c r="AOF17" s="37"/>
      <c r="AOG17" s="37"/>
      <c r="AOH17" s="37"/>
      <c r="AOI17" s="37"/>
      <c r="AOJ17" s="37"/>
      <c r="AOK17" s="37"/>
      <c r="AOL17" s="37"/>
      <c r="AOM17" s="37"/>
      <c r="AON17" s="37"/>
      <c r="AOO17" s="37"/>
      <c r="AOP17" s="37"/>
      <c r="AOQ17" s="37"/>
      <c r="AOR17" s="37"/>
      <c r="AOS17" s="37"/>
      <c r="AOT17" s="37"/>
      <c r="AOU17" s="37"/>
      <c r="AOV17" s="37"/>
      <c r="AOW17" s="37"/>
      <c r="AOX17" s="37"/>
      <c r="AOY17" s="37"/>
      <c r="AOZ17" s="37"/>
      <c r="APA17" s="37"/>
      <c r="APB17" s="37"/>
      <c r="APC17" s="37"/>
      <c r="APD17" s="37"/>
      <c r="APE17" s="37"/>
      <c r="APF17" s="37"/>
      <c r="APG17" s="37"/>
      <c r="APH17" s="37"/>
      <c r="API17" s="37"/>
      <c r="APJ17" s="37"/>
      <c r="APK17" s="37"/>
      <c r="APL17" s="37"/>
      <c r="APM17" s="37"/>
      <c r="APN17" s="37"/>
      <c r="APO17" s="37"/>
      <c r="APP17" s="37"/>
      <c r="APQ17" s="37"/>
      <c r="APR17" s="37"/>
      <c r="APS17" s="37"/>
      <c r="APT17" s="37"/>
      <c r="APU17" s="37"/>
      <c r="APV17" s="37"/>
      <c r="APW17" s="37"/>
      <c r="APX17" s="37"/>
      <c r="APY17" s="37"/>
      <c r="APZ17" s="37"/>
      <c r="AQA17" s="37"/>
      <c r="AQB17" s="37"/>
      <c r="AQC17" s="37"/>
      <c r="AQD17" s="37"/>
      <c r="AQE17" s="37"/>
      <c r="AQF17" s="37"/>
      <c r="AQG17" s="37"/>
      <c r="AQH17" s="37"/>
      <c r="AQI17" s="37"/>
      <c r="AQJ17" s="37"/>
      <c r="AQK17" s="37"/>
      <c r="AQL17" s="37"/>
      <c r="AQM17" s="37"/>
      <c r="AQN17" s="37"/>
      <c r="AQO17" s="37"/>
      <c r="AQP17" s="37"/>
      <c r="AQQ17" s="37"/>
      <c r="AQR17" s="37"/>
      <c r="AQS17" s="37"/>
      <c r="AQT17" s="37"/>
      <c r="AQU17" s="37"/>
      <c r="AQV17" s="37"/>
      <c r="AQW17" s="37"/>
      <c r="AQX17" s="37"/>
      <c r="AQY17" s="37"/>
      <c r="AQZ17" s="37"/>
      <c r="ARA17" s="37"/>
      <c r="ARB17" s="37"/>
      <c r="ARC17" s="37"/>
      <c r="ARD17" s="37"/>
      <c r="ARE17" s="37"/>
      <c r="ARF17" s="37"/>
      <c r="ARG17" s="37"/>
      <c r="ARH17" s="37"/>
      <c r="ARI17" s="37"/>
      <c r="ARJ17" s="37"/>
      <c r="ARK17" s="37"/>
      <c r="ARL17" s="37"/>
      <c r="ARM17" s="37"/>
      <c r="ARN17" s="37"/>
      <c r="ARO17" s="37"/>
      <c r="ARP17" s="37"/>
      <c r="ARQ17" s="37"/>
      <c r="ARR17" s="37"/>
      <c r="ARS17" s="37"/>
      <c r="ART17" s="37"/>
      <c r="ARU17" s="37"/>
      <c r="ARV17" s="37"/>
      <c r="ARW17" s="37"/>
      <c r="ARX17" s="37"/>
      <c r="ARY17" s="37"/>
      <c r="ARZ17" s="37"/>
      <c r="ASA17" s="37"/>
      <c r="ASB17" s="37"/>
      <c r="ASC17" s="37"/>
      <c r="ASD17" s="37"/>
      <c r="ASE17" s="37"/>
      <c r="ASF17" s="37"/>
      <c r="ASG17" s="37"/>
      <c r="ASH17" s="37"/>
      <c r="ASI17" s="37"/>
      <c r="ASJ17" s="37"/>
      <c r="ASK17" s="37"/>
      <c r="ASL17" s="37"/>
      <c r="ASM17" s="37"/>
      <c r="ASN17" s="37"/>
      <c r="ASO17" s="37"/>
      <c r="ASP17" s="37"/>
      <c r="ASQ17" s="37"/>
      <c r="ASR17" s="37"/>
      <c r="ASS17" s="37"/>
      <c r="AST17" s="37"/>
      <c r="ASU17" s="37"/>
      <c r="ASV17" s="37"/>
      <c r="ASW17" s="37"/>
      <c r="ASX17" s="37"/>
      <c r="ASY17" s="37"/>
      <c r="ASZ17" s="37"/>
      <c r="ATA17" s="37"/>
      <c r="ATB17" s="37"/>
      <c r="ATC17" s="37"/>
      <c r="ATD17" s="37"/>
      <c r="ATE17" s="37"/>
      <c r="ATF17" s="37"/>
      <c r="ATG17" s="37"/>
      <c r="ATH17" s="37"/>
      <c r="ATI17" s="37"/>
      <c r="ATJ17" s="37"/>
      <c r="ATK17" s="37"/>
      <c r="ATL17" s="37"/>
      <c r="ATM17" s="37"/>
      <c r="ATN17" s="37"/>
      <c r="ATO17" s="37"/>
      <c r="ATP17" s="37"/>
      <c r="ATQ17" s="37"/>
      <c r="ATR17" s="37"/>
      <c r="ATS17" s="37"/>
      <c r="ATT17" s="37"/>
      <c r="ATU17" s="37"/>
      <c r="ATV17" s="37"/>
      <c r="ATW17" s="37"/>
      <c r="ATX17" s="37"/>
      <c r="ATY17" s="37"/>
      <c r="ATZ17" s="37"/>
      <c r="AUA17" s="37"/>
      <c r="AUB17" s="37"/>
      <c r="AUC17" s="37"/>
      <c r="AUD17" s="37"/>
      <c r="AUE17" s="37"/>
      <c r="AUF17" s="37"/>
      <c r="AUG17" s="37"/>
      <c r="AUH17" s="37"/>
      <c r="AUI17" s="37"/>
      <c r="AUJ17" s="37"/>
      <c r="AUK17" s="37"/>
      <c r="AUL17" s="37"/>
      <c r="AUM17" s="37"/>
      <c r="AUN17" s="37"/>
      <c r="AUO17" s="37"/>
      <c r="AUP17" s="37"/>
      <c r="AUQ17" s="37"/>
      <c r="AUR17" s="37"/>
      <c r="AUS17" s="37"/>
      <c r="AUT17" s="37"/>
      <c r="AUU17" s="37"/>
      <c r="AUV17" s="37"/>
      <c r="AUW17" s="37"/>
      <c r="AUX17" s="37"/>
      <c r="AUY17" s="37"/>
      <c r="AUZ17" s="37"/>
      <c r="AVA17" s="37"/>
      <c r="AVB17" s="37"/>
      <c r="AVC17" s="37"/>
      <c r="AVD17" s="37"/>
      <c r="AVE17" s="37"/>
      <c r="AVF17" s="37"/>
      <c r="AVG17" s="37"/>
      <c r="AVH17" s="37"/>
      <c r="AVI17" s="37"/>
      <c r="AVJ17" s="37"/>
      <c r="AVK17" s="37"/>
      <c r="AVL17" s="37"/>
      <c r="AVM17" s="37"/>
      <c r="AVN17" s="37"/>
      <c r="AVO17" s="37"/>
      <c r="AVP17" s="37"/>
      <c r="AVQ17" s="37"/>
      <c r="AVR17" s="37"/>
      <c r="AVS17" s="37"/>
      <c r="AVT17" s="37"/>
      <c r="AVU17" s="37"/>
      <c r="AVV17" s="37"/>
      <c r="AVW17" s="37"/>
      <c r="AVX17" s="37"/>
      <c r="AVY17" s="37"/>
      <c r="AVZ17" s="37"/>
      <c r="AWA17" s="37"/>
      <c r="AWB17" s="37"/>
      <c r="AWC17" s="37"/>
      <c r="AWD17" s="37"/>
      <c r="AWE17" s="37"/>
      <c r="AWF17" s="37"/>
      <c r="AWG17" s="37"/>
      <c r="AWH17" s="37"/>
      <c r="AWI17" s="37"/>
      <c r="AWJ17" s="37"/>
      <c r="AWK17" s="37"/>
      <c r="AWL17" s="37"/>
      <c r="AWM17" s="37"/>
      <c r="AWN17" s="37"/>
      <c r="AWO17" s="37"/>
      <c r="AWP17" s="37"/>
      <c r="AWQ17" s="37"/>
      <c r="AWR17" s="37"/>
      <c r="AWS17" s="37"/>
      <c r="AWT17" s="37"/>
      <c r="AWU17" s="37"/>
      <c r="AWV17" s="37"/>
      <c r="AWW17" s="37"/>
      <c r="AWX17" s="37"/>
      <c r="AWY17" s="37"/>
      <c r="AWZ17" s="37"/>
      <c r="AXA17" s="37"/>
      <c r="AXB17" s="37"/>
      <c r="AXC17" s="37"/>
      <c r="AXD17" s="37"/>
      <c r="AXE17" s="37"/>
      <c r="AXF17" s="37"/>
      <c r="AXG17" s="37"/>
      <c r="AXH17" s="37"/>
      <c r="AXI17" s="37"/>
      <c r="AXJ17" s="37"/>
      <c r="AXK17" s="37"/>
      <c r="AXL17" s="37"/>
      <c r="AXM17" s="37"/>
      <c r="AXN17" s="37"/>
      <c r="AXO17" s="37"/>
      <c r="AXP17" s="37"/>
      <c r="AXQ17" s="37"/>
      <c r="AXR17" s="37"/>
      <c r="AXS17" s="37"/>
      <c r="AXT17" s="37"/>
      <c r="AXU17" s="37"/>
      <c r="AXV17" s="37"/>
      <c r="AXW17" s="37"/>
      <c r="AXX17" s="37"/>
      <c r="AXY17" s="37"/>
      <c r="AXZ17" s="37"/>
      <c r="AYA17" s="37"/>
      <c r="AYB17" s="37"/>
      <c r="AYC17" s="37"/>
      <c r="AYD17" s="37"/>
      <c r="AYE17" s="37"/>
      <c r="AYF17" s="37"/>
      <c r="AYG17" s="37"/>
      <c r="AYH17" s="37"/>
      <c r="AYI17" s="37"/>
      <c r="AYJ17" s="37"/>
      <c r="AYK17" s="37"/>
      <c r="AYL17" s="37"/>
      <c r="AYM17" s="37"/>
      <c r="AYN17" s="37"/>
      <c r="AYO17" s="37"/>
      <c r="AYP17" s="37"/>
      <c r="AYQ17" s="37"/>
      <c r="AYR17" s="37"/>
      <c r="AYS17" s="37"/>
      <c r="AYT17" s="37"/>
      <c r="AYU17" s="37"/>
      <c r="AYV17" s="37"/>
      <c r="AYW17" s="37"/>
      <c r="AYX17" s="37"/>
      <c r="AYY17" s="37"/>
      <c r="AYZ17" s="37"/>
      <c r="AZA17" s="37"/>
      <c r="AZB17" s="37"/>
      <c r="AZC17" s="37"/>
      <c r="AZD17" s="37"/>
      <c r="AZE17" s="37"/>
      <c r="AZF17" s="37"/>
      <c r="AZG17" s="37"/>
      <c r="AZH17" s="37"/>
      <c r="AZI17" s="37"/>
      <c r="AZJ17" s="37"/>
      <c r="AZK17" s="37"/>
      <c r="AZL17" s="37"/>
      <c r="AZM17" s="37"/>
      <c r="AZN17" s="37"/>
      <c r="AZO17" s="37"/>
      <c r="AZP17" s="37"/>
      <c r="AZQ17" s="37"/>
      <c r="AZR17" s="37"/>
      <c r="AZS17" s="37"/>
      <c r="AZT17" s="37"/>
      <c r="AZU17" s="37"/>
      <c r="AZV17" s="37"/>
      <c r="AZW17" s="37"/>
      <c r="AZX17" s="37"/>
      <c r="AZY17" s="37"/>
      <c r="AZZ17" s="37"/>
      <c r="BAA17" s="37"/>
      <c r="BAB17" s="37"/>
      <c r="BAC17" s="37"/>
      <c r="BAD17" s="37"/>
      <c r="BAE17" s="37"/>
      <c r="BAF17" s="37"/>
      <c r="BAG17" s="37"/>
      <c r="BAH17" s="37"/>
      <c r="BAI17" s="37"/>
      <c r="BAJ17" s="37"/>
      <c r="BAK17" s="37"/>
      <c r="BAL17" s="37"/>
      <c r="BAM17" s="37"/>
      <c r="BAN17" s="37"/>
      <c r="BAO17" s="37"/>
      <c r="BAP17" s="37"/>
      <c r="BAQ17" s="37"/>
      <c r="BAR17" s="37"/>
      <c r="BAS17" s="37"/>
      <c r="BAT17" s="37"/>
      <c r="BAU17" s="37"/>
      <c r="BAV17" s="37"/>
      <c r="BAW17" s="37"/>
      <c r="BAX17" s="37"/>
      <c r="BAY17" s="37"/>
      <c r="BAZ17" s="37"/>
      <c r="BBA17" s="37"/>
      <c r="BBB17" s="37"/>
      <c r="BBC17" s="37"/>
      <c r="BBD17" s="37"/>
      <c r="BBE17" s="37"/>
      <c r="BBF17" s="37"/>
      <c r="BBG17" s="37"/>
      <c r="BBH17" s="37"/>
      <c r="BBI17" s="37"/>
      <c r="BBJ17" s="37"/>
      <c r="BBK17" s="37"/>
      <c r="BBL17" s="37"/>
      <c r="BBM17" s="37"/>
      <c r="BBN17" s="37"/>
      <c r="BBO17" s="37"/>
      <c r="BBP17" s="37"/>
      <c r="BBQ17" s="37"/>
      <c r="BBR17" s="37"/>
      <c r="BBS17" s="37"/>
      <c r="BBT17" s="37"/>
      <c r="BBU17" s="37"/>
      <c r="BBV17" s="37"/>
      <c r="BBW17" s="37"/>
      <c r="BBX17" s="37"/>
      <c r="BBY17" s="37"/>
      <c r="BBZ17" s="37"/>
      <c r="BCA17" s="37"/>
      <c r="BCB17" s="37"/>
      <c r="BCC17" s="37"/>
      <c r="BCD17" s="37"/>
      <c r="BCE17" s="37"/>
      <c r="BCF17" s="37"/>
      <c r="BCG17" s="37"/>
      <c r="BCH17" s="37"/>
      <c r="BCI17" s="37"/>
      <c r="BCJ17" s="37"/>
      <c r="BCK17" s="37"/>
      <c r="BCL17" s="37"/>
      <c r="BCM17" s="37"/>
      <c r="BCN17" s="37"/>
      <c r="BCO17" s="37"/>
      <c r="BCP17" s="37"/>
      <c r="BCQ17" s="37"/>
      <c r="BCR17" s="37"/>
      <c r="BCS17" s="37"/>
      <c r="BCT17" s="37"/>
      <c r="BCU17" s="37"/>
      <c r="BCV17" s="37"/>
      <c r="BCW17" s="37"/>
      <c r="BCX17" s="37"/>
      <c r="BCY17" s="37"/>
      <c r="BCZ17" s="37"/>
      <c r="BDA17" s="37"/>
      <c r="BDB17" s="37"/>
      <c r="BDC17" s="37"/>
      <c r="BDD17" s="37"/>
      <c r="BDE17" s="37"/>
      <c r="BDF17" s="37"/>
      <c r="BDG17" s="37"/>
      <c r="BDH17" s="37"/>
      <c r="BDI17" s="37"/>
      <c r="BDJ17" s="37"/>
      <c r="BDK17" s="37"/>
      <c r="BDL17" s="37"/>
      <c r="BDM17" s="37"/>
      <c r="BDN17" s="37"/>
      <c r="BDO17" s="37"/>
      <c r="BDP17" s="37"/>
      <c r="BDQ17" s="37"/>
      <c r="BDR17" s="37"/>
      <c r="BDS17" s="37"/>
      <c r="BDT17" s="37"/>
      <c r="BDU17" s="37"/>
      <c r="BDV17" s="37"/>
      <c r="BDW17" s="37"/>
      <c r="BDX17" s="37"/>
      <c r="BDY17" s="37"/>
      <c r="BDZ17" s="37"/>
      <c r="BEA17" s="37"/>
      <c r="BEB17" s="37"/>
      <c r="BEC17" s="37"/>
      <c r="BED17" s="37"/>
      <c r="BEE17" s="37"/>
      <c r="BEF17" s="37"/>
      <c r="BEG17" s="37"/>
      <c r="BEH17" s="37"/>
      <c r="BEI17" s="37"/>
      <c r="BEJ17" s="37"/>
      <c r="BEK17" s="37"/>
      <c r="BEL17" s="37"/>
      <c r="BEM17" s="37"/>
      <c r="BEN17" s="37"/>
      <c r="BEO17" s="37"/>
      <c r="BEP17" s="37"/>
      <c r="BEQ17" s="37"/>
      <c r="BER17" s="37"/>
      <c r="BES17" s="37"/>
      <c r="BET17" s="37"/>
      <c r="BEU17" s="37"/>
      <c r="BEV17" s="37"/>
      <c r="BEW17" s="37"/>
      <c r="BEX17" s="37"/>
      <c r="BEY17" s="37"/>
      <c r="BEZ17" s="37"/>
      <c r="BFA17" s="37"/>
      <c r="BFB17" s="37"/>
      <c r="BFC17" s="37"/>
      <c r="BFD17" s="37"/>
      <c r="BFE17" s="37"/>
      <c r="BFF17" s="37"/>
      <c r="BFG17" s="37"/>
      <c r="BFH17" s="37"/>
      <c r="BFI17" s="37"/>
      <c r="BFJ17" s="37"/>
      <c r="BFK17" s="37"/>
      <c r="BFL17" s="37"/>
      <c r="BFM17" s="37"/>
      <c r="BFN17" s="37"/>
      <c r="BFO17" s="37"/>
      <c r="BFP17" s="37"/>
      <c r="BFQ17" s="37"/>
      <c r="BFR17" s="37"/>
      <c r="BFS17" s="37"/>
      <c r="BFT17" s="37"/>
      <c r="BFU17" s="37"/>
      <c r="BFV17" s="37"/>
      <c r="BFW17" s="37"/>
      <c r="BFX17" s="37"/>
      <c r="BFY17" s="37"/>
      <c r="BFZ17" s="37"/>
      <c r="BGA17" s="37"/>
      <c r="BGB17" s="37"/>
      <c r="BGC17" s="37"/>
      <c r="BGD17" s="37"/>
      <c r="BGE17" s="37"/>
      <c r="BGF17" s="37"/>
      <c r="BGG17" s="37"/>
      <c r="BGH17" s="37"/>
      <c r="BGI17" s="37"/>
      <c r="BGJ17" s="37"/>
      <c r="BGK17" s="37"/>
      <c r="BGL17" s="37"/>
      <c r="BGM17" s="37"/>
      <c r="BGN17" s="37"/>
      <c r="BGO17" s="37"/>
      <c r="BGP17" s="37"/>
      <c r="BGQ17" s="37"/>
      <c r="BGR17" s="37"/>
      <c r="BGS17" s="37"/>
      <c r="BGT17" s="37"/>
      <c r="BGU17" s="37"/>
      <c r="BGV17" s="37"/>
      <c r="BGW17" s="37"/>
      <c r="BGX17" s="37"/>
      <c r="BGY17" s="37"/>
      <c r="BGZ17" s="37"/>
      <c r="BHA17" s="37"/>
      <c r="BHB17" s="37"/>
      <c r="BHC17" s="37"/>
      <c r="BHD17" s="37"/>
      <c r="BHE17" s="37"/>
      <c r="BHF17" s="37"/>
      <c r="BHG17" s="37"/>
      <c r="BHH17" s="37"/>
      <c r="BHI17" s="37"/>
      <c r="BHJ17" s="37"/>
      <c r="BHK17" s="37"/>
      <c r="BHL17" s="37"/>
      <c r="BHM17" s="37"/>
      <c r="BHN17" s="37"/>
      <c r="BHO17" s="37"/>
      <c r="BHP17" s="37"/>
      <c r="BHQ17" s="37"/>
      <c r="BHR17" s="37"/>
      <c r="BHS17" s="37"/>
      <c r="BHT17" s="37"/>
      <c r="BHU17" s="37"/>
      <c r="BHV17" s="37"/>
      <c r="BHW17" s="37"/>
      <c r="BHX17" s="37"/>
      <c r="BHY17" s="37"/>
      <c r="BHZ17" s="37"/>
      <c r="BIA17" s="37"/>
      <c r="BIB17" s="37"/>
      <c r="BIC17" s="37"/>
      <c r="BID17" s="37"/>
      <c r="BIE17" s="37"/>
      <c r="BIF17" s="37"/>
      <c r="BIG17" s="37"/>
      <c r="BIH17" s="37"/>
      <c r="BII17" s="37"/>
      <c r="BIJ17" s="37"/>
      <c r="BIK17" s="37"/>
      <c r="BIL17" s="37"/>
      <c r="BIM17" s="37"/>
      <c r="BIN17" s="37"/>
      <c r="BIO17" s="37"/>
      <c r="BIP17" s="37"/>
      <c r="BIQ17" s="37"/>
      <c r="BIR17" s="37"/>
      <c r="BIS17" s="37"/>
      <c r="BIT17" s="37"/>
      <c r="BIU17" s="37"/>
      <c r="BIV17" s="37"/>
      <c r="BIW17" s="37"/>
      <c r="BIX17" s="37"/>
      <c r="BIY17" s="37"/>
      <c r="BIZ17" s="37"/>
      <c r="BJA17" s="37"/>
      <c r="BJB17" s="37"/>
      <c r="BJC17" s="37"/>
      <c r="BJD17" s="37"/>
      <c r="BJE17" s="37"/>
      <c r="BJF17" s="37"/>
      <c r="BJG17" s="37"/>
      <c r="BJH17" s="37"/>
      <c r="BJI17" s="37"/>
      <c r="BJJ17" s="37"/>
      <c r="BJK17" s="37"/>
      <c r="BJL17" s="37"/>
      <c r="BJM17" s="37"/>
      <c r="BJN17" s="37"/>
      <c r="BJO17" s="37"/>
      <c r="BJP17" s="37"/>
      <c r="BJQ17" s="37"/>
      <c r="BJR17" s="37"/>
      <c r="BJS17" s="37"/>
      <c r="BJT17" s="37"/>
      <c r="BJU17" s="37"/>
      <c r="BJV17" s="37"/>
      <c r="BJW17" s="37"/>
      <c r="BJX17" s="37"/>
      <c r="BJY17" s="37"/>
      <c r="BJZ17" s="37"/>
      <c r="BKA17" s="37"/>
      <c r="BKB17" s="37"/>
      <c r="BKC17" s="37"/>
      <c r="BKD17" s="37"/>
      <c r="BKE17" s="37"/>
      <c r="BKF17" s="37"/>
      <c r="BKG17" s="37"/>
      <c r="BKH17" s="37"/>
      <c r="BKI17" s="37"/>
      <c r="BKJ17" s="37"/>
      <c r="BKK17" s="37"/>
      <c r="BKL17" s="37"/>
      <c r="BKM17" s="37"/>
      <c r="BKN17" s="37"/>
      <c r="BKO17" s="37"/>
      <c r="BKP17" s="37"/>
      <c r="BKQ17" s="37"/>
      <c r="BKR17" s="37"/>
      <c r="BKS17" s="37"/>
      <c r="BKT17" s="37"/>
      <c r="BKU17" s="37"/>
      <c r="BKV17" s="37"/>
      <c r="BKW17" s="37"/>
      <c r="BKX17" s="37"/>
      <c r="BKY17" s="37"/>
      <c r="BKZ17" s="37"/>
      <c r="BLA17" s="37"/>
      <c r="BLB17" s="37"/>
      <c r="BLC17" s="37"/>
      <c r="BLD17" s="37"/>
      <c r="BLE17" s="37"/>
      <c r="BLF17" s="37"/>
      <c r="BLG17" s="37"/>
      <c r="BLH17" s="37"/>
      <c r="BLI17" s="37"/>
      <c r="BLJ17" s="37"/>
      <c r="BLK17" s="37"/>
      <c r="BLL17" s="37"/>
      <c r="BLM17" s="37"/>
      <c r="BLN17" s="37"/>
      <c r="BLO17" s="37"/>
      <c r="BLP17" s="37"/>
      <c r="BLQ17" s="37"/>
      <c r="BLR17" s="37"/>
      <c r="BLS17" s="37"/>
      <c r="BLT17" s="37"/>
      <c r="BLU17" s="37"/>
      <c r="BLV17" s="37"/>
      <c r="BLW17" s="37"/>
      <c r="BLX17" s="37"/>
      <c r="BLY17" s="37"/>
      <c r="BLZ17" s="37"/>
      <c r="BMA17" s="37"/>
      <c r="BMB17" s="37"/>
      <c r="BMC17" s="37"/>
      <c r="BMD17" s="37"/>
      <c r="BME17" s="37"/>
      <c r="BMF17" s="37"/>
      <c r="BMG17" s="37"/>
      <c r="BMH17" s="37"/>
      <c r="BMI17" s="37"/>
      <c r="BMJ17" s="37"/>
      <c r="BMK17" s="37"/>
      <c r="BML17" s="37"/>
      <c r="BMM17" s="37"/>
      <c r="BMN17" s="37"/>
      <c r="BMO17" s="37"/>
      <c r="BMP17" s="37"/>
      <c r="BMQ17" s="37"/>
      <c r="BMR17" s="37"/>
      <c r="BMS17" s="37"/>
      <c r="BMT17" s="37"/>
      <c r="BMU17" s="37"/>
      <c r="BMV17" s="37"/>
      <c r="BMW17" s="37"/>
      <c r="BMX17" s="37"/>
      <c r="BMY17" s="37"/>
      <c r="BMZ17" s="37"/>
      <c r="BNA17" s="37"/>
      <c r="BNB17" s="37"/>
      <c r="BNC17" s="37"/>
      <c r="BND17" s="37"/>
      <c r="BNE17" s="37"/>
      <c r="BNF17" s="37"/>
      <c r="BNG17" s="37"/>
      <c r="BNH17" s="37"/>
      <c r="BNI17" s="37"/>
      <c r="BNJ17" s="37"/>
      <c r="BNK17" s="37"/>
      <c r="BNL17" s="37"/>
      <c r="BNM17" s="37"/>
      <c r="BNN17" s="37"/>
      <c r="BNO17" s="37"/>
      <c r="BNP17" s="37"/>
      <c r="BNQ17" s="37"/>
      <c r="BNR17" s="37"/>
      <c r="BNS17" s="37"/>
      <c r="BNT17" s="37"/>
      <c r="BNU17" s="37"/>
      <c r="BNV17" s="37"/>
      <c r="BNW17" s="37"/>
      <c r="BNX17" s="37"/>
      <c r="BNY17" s="37"/>
      <c r="BNZ17" s="37"/>
      <c r="BOA17" s="37"/>
      <c r="BOB17" s="37"/>
      <c r="BOC17" s="37"/>
      <c r="BOD17" s="37"/>
      <c r="BOE17" s="37"/>
      <c r="BOF17" s="37"/>
      <c r="BOG17" s="37"/>
      <c r="BOH17" s="37"/>
      <c r="BOI17" s="37"/>
      <c r="BOJ17" s="37"/>
      <c r="BOK17" s="37"/>
      <c r="BOL17" s="37"/>
      <c r="BOM17" s="37"/>
      <c r="BON17" s="37"/>
      <c r="BOO17" s="37"/>
      <c r="BOP17" s="37"/>
      <c r="BOQ17" s="37"/>
      <c r="BOR17" s="37"/>
      <c r="BOS17" s="37"/>
      <c r="BOT17" s="37"/>
      <c r="BOU17" s="37"/>
      <c r="BOV17" s="37"/>
      <c r="BOW17" s="37"/>
      <c r="BOX17" s="37"/>
      <c r="BOY17" s="37"/>
      <c r="BOZ17" s="37"/>
      <c r="BPA17" s="37"/>
      <c r="BPB17" s="37"/>
      <c r="BPC17" s="37"/>
      <c r="BPD17" s="37"/>
      <c r="BPE17" s="37"/>
      <c r="BPF17" s="37"/>
      <c r="BPG17" s="37"/>
      <c r="BPH17" s="37"/>
      <c r="BPI17" s="37"/>
      <c r="BPJ17" s="37"/>
      <c r="BPK17" s="37"/>
      <c r="BPL17" s="37"/>
      <c r="BPM17" s="37"/>
      <c r="BPN17" s="37"/>
      <c r="BPO17" s="37"/>
      <c r="BPP17" s="37"/>
      <c r="BPQ17" s="37"/>
      <c r="BPR17" s="37"/>
      <c r="BPS17" s="37"/>
      <c r="BPT17" s="37"/>
      <c r="BPU17" s="37"/>
      <c r="BPV17" s="37"/>
      <c r="BPW17" s="37"/>
      <c r="BPX17" s="37"/>
      <c r="BPY17" s="37"/>
      <c r="BPZ17" s="37"/>
      <c r="BQA17" s="37"/>
      <c r="BQB17" s="37"/>
      <c r="BQC17" s="37"/>
      <c r="BQD17" s="37"/>
      <c r="BQE17" s="37"/>
      <c r="BQF17" s="37"/>
      <c r="BQG17" s="37"/>
      <c r="BQH17" s="37"/>
      <c r="BQI17" s="37"/>
      <c r="BQJ17" s="37"/>
      <c r="BQK17" s="37"/>
      <c r="BQL17" s="37"/>
      <c r="BQM17" s="37"/>
      <c r="BQN17" s="37"/>
      <c r="BQO17" s="37"/>
      <c r="BQP17" s="37"/>
      <c r="BQQ17" s="37"/>
      <c r="BQR17" s="37"/>
      <c r="BQS17" s="37"/>
      <c r="BQT17" s="37"/>
      <c r="BQU17" s="37"/>
      <c r="BQV17" s="37"/>
      <c r="BQW17" s="37"/>
      <c r="BQX17" s="37"/>
      <c r="BQY17" s="37"/>
      <c r="BQZ17" s="37"/>
      <c r="BRA17" s="37"/>
      <c r="BRB17" s="37"/>
      <c r="BRC17" s="37"/>
      <c r="BRD17" s="37"/>
      <c r="BRE17" s="37"/>
      <c r="BRF17" s="37"/>
      <c r="BRG17" s="37"/>
      <c r="BRH17" s="37"/>
      <c r="BRI17" s="37"/>
      <c r="BRJ17" s="37"/>
      <c r="BRK17" s="37"/>
      <c r="BRL17" s="37"/>
      <c r="BRM17" s="37"/>
      <c r="BRN17" s="37"/>
      <c r="BRO17" s="37"/>
      <c r="BRP17" s="37"/>
      <c r="BRQ17" s="37"/>
      <c r="BRR17" s="37"/>
      <c r="BRS17" s="37"/>
      <c r="BRT17" s="37"/>
      <c r="BRU17" s="37"/>
      <c r="BRV17" s="37"/>
      <c r="BRW17" s="37"/>
      <c r="BRX17" s="37"/>
      <c r="BRY17" s="37"/>
      <c r="BRZ17" s="37"/>
      <c r="BSA17" s="37"/>
      <c r="BSB17" s="37"/>
      <c r="BSC17" s="37"/>
      <c r="BSD17" s="37"/>
      <c r="BSE17" s="37"/>
      <c r="BSF17" s="37"/>
      <c r="BSG17" s="37"/>
      <c r="BSH17" s="37"/>
      <c r="BSI17" s="37"/>
      <c r="BSJ17" s="37"/>
      <c r="BSK17" s="37"/>
      <c r="BSL17" s="37"/>
      <c r="BSM17" s="37"/>
      <c r="BSN17" s="37"/>
      <c r="BSO17" s="37"/>
      <c r="BSP17" s="37"/>
      <c r="BSQ17" s="37"/>
      <c r="BSR17" s="37"/>
      <c r="BSS17" s="37"/>
      <c r="BST17" s="37"/>
      <c r="BSU17" s="37"/>
      <c r="BSV17" s="37"/>
      <c r="BSW17" s="37"/>
      <c r="BSX17" s="37"/>
      <c r="BSY17" s="37"/>
      <c r="BSZ17" s="37"/>
      <c r="BTA17" s="37"/>
      <c r="BTB17" s="37"/>
      <c r="BTC17" s="37"/>
      <c r="BTD17" s="37"/>
      <c r="BTE17" s="37"/>
      <c r="BTF17" s="37"/>
      <c r="BTG17" s="37"/>
      <c r="BTH17" s="37"/>
      <c r="BTI17" s="37"/>
      <c r="BTJ17" s="37"/>
      <c r="BTK17" s="37"/>
      <c r="BTL17" s="37"/>
      <c r="BTM17" s="37"/>
      <c r="BTN17" s="37"/>
      <c r="BTO17" s="37"/>
      <c r="BTP17" s="37"/>
      <c r="BTQ17" s="37"/>
      <c r="BTR17" s="37"/>
      <c r="BTS17" s="37"/>
      <c r="BTT17" s="37"/>
      <c r="BTU17" s="37"/>
      <c r="BTV17" s="37"/>
      <c r="BTW17" s="37"/>
      <c r="BTX17" s="37"/>
      <c r="BTY17" s="37"/>
      <c r="BTZ17" s="37"/>
      <c r="BUA17" s="37"/>
      <c r="BUB17" s="37"/>
      <c r="BUC17" s="37"/>
      <c r="BUD17" s="37"/>
      <c r="BUE17" s="37"/>
      <c r="BUF17" s="37"/>
      <c r="BUG17" s="37"/>
      <c r="BUH17" s="37"/>
      <c r="BUI17" s="37"/>
      <c r="BUJ17" s="37"/>
      <c r="BUK17" s="37"/>
      <c r="BUL17" s="37"/>
      <c r="BUM17" s="37"/>
      <c r="BUN17" s="37"/>
      <c r="BUO17" s="37"/>
      <c r="BUP17" s="37"/>
      <c r="BUQ17" s="37"/>
      <c r="BUR17" s="37"/>
      <c r="BUS17" s="37"/>
      <c r="BUT17" s="37"/>
      <c r="BUU17" s="37"/>
      <c r="BUV17" s="37"/>
      <c r="BUW17" s="37"/>
      <c r="BUX17" s="37"/>
      <c r="BUY17" s="37"/>
      <c r="BUZ17" s="37"/>
      <c r="BVA17" s="37"/>
      <c r="BVB17" s="37"/>
      <c r="BVC17" s="37"/>
      <c r="BVD17" s="37"/>
      <c r="BVE17" s="37"/>
      <c r="BVF17" s="37"/>
      <c r="BVG17" s="37"/>
      <c r="BVH17" s="37"/>
      <c r="BVI17" s="37"/>
      <c r="BVJ17" s="37"/>
      <c r="BVK17" s="37"/>
      <c r="BVL17" s="37"/>
      <c r="BVM17" s="37"/>
      <c r="BVN17" s="37"/>
      <c r="BVO17" s="37"/>
      <c r="BVP17" s="37"/>
      <c r="BVQ17" s="37"/>
      <c r="BVR17" s="37"/>
      <c r="BVS17" s="37"/>
      <c r="BVT17" s="37"/>
      <c r="BVU17" s="37"/>
      <c r="BVV17" s="37"/>
      <c r="BVW17" s="37"/>
      <c r="BVX17" s="37"/>
      <c r="BVY17" s="37"/>
      <c r="BVZ17" s="37"/>
      <c r="BWA17" s="37"/>
      <c r="BWB17" s="37"/>
      <c r="BWC17" s="37"/>
      <c r="BWD17" s="37"/>
      <c r="BWE17" s="37"/>
      <c r="BWF17" s="37"/>
      <c r="BWG17" s="37"/>
      <c r="BWH17" s="37"/>
      <c r="BWI17" s="37"/>
      <c r="BWJ17" s="37"/>
      <c r="BWK17" s="37"/>
      <c r="BWL17" s="37"/>
      <c r="BWM17" s="37"/>
      <c r="BWN17" s="37"/>
      <c r="BWO17" s="37"/>
      <c r="BWP17" s="37"/>
      <c r="BWQ17" s="37"/>
      <c r="BWR17" s="37"/>
      <c r="BWS17" s="37"/>
      <c r="BWT17" s="37"/>
      <c r="BWU17" s="37"/>
      <c r="BWV17" s="37"/>
      <c r="BWW17" s="37"/>
      <c r="BWX17" s="37"/>
      <c r="BWY17" s="37"/>
      <c r="BWZ17" s="37"/>
      <c r="BXA17" s="37"/>
      <c r="BXB17" s="37"/>
      <c r="BXC17" s="37"/>
      <c r="BXD17" s="37"/>
      <c r="BXE17" s="37"/>
      <c r="BXF17" s="37"/>
      <c r="BXG17" s="37"/>
      <c r="BXH17" s="37"/>
      <c r="BXI17" s="37"/>
      <c r="BXJ17" s="37"/>
      <c r="BXK17" s="37"/>
      <c r="BXL17" s="37"/>
      <c r="BXM17" s="37"/>
      <c r="BXN17" s="37"/>
      <c r="BXO17" s="37"/>
      <c r="BXP17" s="37"/>
      <c r="BXQ17" s="37"/>
      <c r="BXR17" s="37"/>
      <c r="BXS17" s="37"/>
      <c r="BXT17" s="37"/>
      <c r="BXU17" s="37"/>
      <c r="BXV17" s="37"/>
      <c r="BXW17" s="37"/>
      <c r="BXX17" s="37"/>
      <c r="BXY17" s="37"/>
      <c r="BXZ17" s="37"/>
      <c r="BYA17" s="37"/>
      <c r="BYB17" s="37"/>
      <c r="BYC17" s="37"/>
      <c r="BYD17" s="37"/>
      <c r="BYE17" s="37"/>
      <c r="BYF17" s="37"/>
      <c r="BYG17" s="37"/>
      <c r="BYH17" s="37"/>
      <c r="BYI17" s="37"/>
      <c r="BYJ17" s="37"/>
      <c r="BYK17" s="37"/>
      <c r="BYL17" s="37"/>
      <c r="BYM17" s="37"/>
      <c r="BYN17" s="37"/>
      <c r="BYO17" s="37"/>
      <c r="BYP17" s="37"/>
      <c r="BYQ17" s="37"/>
      <c r="BYR17" s="37"/>
      <c r="BYS17" s="37"/>
      <c r="BYT17" s="37"/>
      <c r="BYU17" s="37"/>
      <c r="BYV17" s="37"/>
      <c r="BYW17" s="37"/>
      <c r="BYX17" s="37"/>
      <c r="BYY17" s="37"/>
      <c r="BYZ17" s="37"/>
      <c r="BZA17" s="37"/>
      <c r="BZB17" s="37"/>
      <c r="BZC17" s="37"/>
      <c r="BZD17" s="37"/>
      <c r="BZE17" s="37"/>
      <c r="BZF17" s="37"/>
      <c r="BZG17" s="37"/>
      <c r="BZH17" s="37"/>
      <c r="BZI17" s="37"/>
      <c r="BZJ17" s="37"/>
      <c r="BZK17" s="37"/>
      <c r="BZL17" s="37"/>
      <c r="BZM17" s="37"/>
      <c r="BZN17" s="37"/>
      <c r="BZO17" s="37"/>
      <c r="BZP17" s="37"/>
      <c r="BZQ17" s="37"/>
      <c r="BZR17" s="37"/>
      <c r="BZS17" s="37"/>
      <c r="BZT17" s="37"/>
      <c r="BZU17" s="37"/>
      <c r="BZV17" s="37"/>
      <c r="BZW17" s="37"/>
      <c r="BZX17" s="37"/>
      <c r="BZY17" s="37"/>
      <c r="BZZ17" s="37"/>
      <c r="CAA17" s="37"/>
      <c r="CAB17" s="37"/>
      <c r="CAC17" s="37"/>
      <c r="CAD17" s="37"/>
      <c r="CAE17" s="37"/>
      <c r="CAF17" s="37"/>
      <c r="CAG17" s="37"/>
      <c r="CAH17" s="37"/>
      <c r="CAI17" s="37"/>
      <c r="CAJ17" s="37"/>
      <c r="CAK17" s="37"/>
      <c r="CAL17" s="37"/>
      <c r="CAM17" s="37"/>
      <c r="CAN17" s="37"/>
      <c r="CAO17" s="37"/>
      <c r="CAP17" s="37"/>
      <c r="CAQ17" s="37"/>
      <c r="CAR17" s="37"/>
      <c r="CAS17" s="37"/>
      <c r="CAT17" s="37"/>
      <c r="CAU17" s="37"/>
      <c r="CAV17" s="37"/>
      <c r="CAW17" s="37"/>
      <c r="CAX17" s="37"/>
      <c r="CAY17" s="37"/>
      <c r="CAZ17" s="37"/>
      <c r="CBA17" s="37"/>
      <c r="CBB17" s="37"/>
      <c r="CBC17" s="37"/>
      <c r="CBD17" s="37"/>
      <c r="CBE17" s="37"/>
      <c r="CBF17" s="37"/>
      <c r="CBG17" s="37"/>
      <c r="CBH17" s="37"/>
      <c r="CBI17" s="37"/>
      <c r="CBJ17" s="37"/>
      <c r="CBK17" s="37"/>
      <c r="CBL17" s="37"/>
      <c r="CBM17" s="37"/>
      <c r="CBN17" s="37"/>
      <c r="CBO17" s="37"/>
      <c r="CBP17" s="37"/>
      <c r="CBQ17" s="37"/>
      <c r="CBR17" s="37"/>
      <c r="CBS17" s="37"/>
      <c r="CBT17" s="37"/>
      <c r="CBU17" s="37"/>
      <c r="CBV17" s="37"/>
      <c r="CBW17" s="37"/>
      <c r="CBX17" s="37"/>
      <c r="CBY17" s="37"/>
      <c r="CBZ17" s="37"/>
      <c r="CCA17" s="37"/>
      <c r="CCB17" s="37"/>
      <c r="CCC17" s="37"/>
      <c r="CCD17" s="37"/>
      <c r="CCE17" s="37"/>
      <c r="CCF17" s="37"/>
      <c r="CCG17" s="37"/>
      <c r="CCH17" s="37"/>
      <c r="CCI17" s="37"/>
      <c r="CCJ17" s="37"/>
      <c r="CCK17" s="37"/>
      <c r="CCL17" s="37"/>
      <c r="CCM17" s="37"/>
      <c r="CCN17" s="37"/>
      <c r="CCO17" s="37"/>
      <c r="CCP17" s="37"/>
      <c r="CCQ17" s="37"/>
      <c r="CCR17" s="37"/>
      <c r="CCS17" s="37"/>
      <c r="CCT17" s="37"/>
      <c r="CCU17" s="37"/>
      <c r="CCV17" s="37"/>
      <c r="CCW17" s="37"/>
      <c r="CCX17" s="37"/>
      <c r="CCY17" s="37"/>
      <c r="CCZ17" s="37"/>
      <c r="CDA17" s="37"/>
      <c r="CDB17" s="37"/>
      <c r="CDC17" s="37"/>
      <c r="CDD17" s="37"/>
      <c r="CDE17" s="37"/>
      <c r="CDF17" s="37"/>
      <c r="CDG17" s="37"/>
      <c r="CDH17" s="37"/>
      <c r="CDI17" s="37"/>
      <c r="CDJ17" s="37"/>
      <c r="CDK17" s="37"/>
      <c r="CDL17" s="37"/>
      <c r="CDM17" s="37"/>
      <c r="CDN17" s="37"/>
      <c r="CDO17" s="37"/>
      <c r="CDP17" s="37"/>
      <c r="CDQ17" s="37"/>
      <c r="CDR17" s="37"/>
      <c r="CDS17" s="37"/>
      <c r="CDT17" s="37"/>
      <c r="CDU17" s="37"/>
      <c r="CDV17" s="37"/>
      <c r="CDW17" s="37"/>
      <c r="CDX17" s="37"/>
      <c r="CDY17" s="37"/>
      <c r="CDZ17" s="37"/>
      <c r="CEA17" s="37"/>
      <c r="CEB17" s="37"/>
      <c r="CEC17" s="37"/>
      <c r="CED17" s="37"/>
      <c r="CEE17" s="37"/>
      <c r="CEF17" s="37"/>
      <c r="CEG17" s="37"/>
      <c r="CEH17" s="37"/>
      <c r="CEI17" s="37"/>
      <c r="CEJ17" s="37"/>
      <c r="CEK17" s="37"/>
      <c r="CEL17" s="37"/>
      <c r="CEM17" s="37"/>
      <c r="CEN17" s="37"/>
      <c r="CEO17" s="37"/>
      <c r="CEP17" s="37"/>
      <c r="CEQ17" s="37"/>
      <c r="CER17" s="37"/>
      <c r="CES17" s="37"/>
      <c r="CET17" s="37"/>
      <c r="CEU17" s="37"/>
      <c r="CEV17" s="37"/>
      <c r="CEW17" s="37"/>
      <c r="CEX17" s="37"/>
      <c r="CEY17" s="37"/>
      <c r="CEZ17" s="37"/>
      <c r="CFA17" s="37"/>
      <c r="CFB17" s="37"/>
      <c r="CFC17" s="37"/>
      <c r="CFD17" s="37"/>
      <c r="CFE17" s="37"/>
      <c r="CFF17" s="37"/>
      <c r="CFG17" s="37"/>
      <c r="CFH17" s="37"/>
      <c r="CFI17" s="37"/>
      <c r="CFJ17" s="37"/>
      <c r="CFK17" s="37"/>
      <c r="CFL17" s="37"/>
      <c r="CFM17" s="37"/>
      <c r="CFN17" s="37"/>
      <c r="CFO17" s="37"/>
      <c r="CFP17" s="37"/>
      <c r="CFQ17" s="37"/>
      <c r="CFR17" s="37"/>
      <c r="CFS17" s="37"/>
      <c r="CFT17" s="37"/>
      <c r="CFU17" s="37"/>
      <c r="CFV17" s="37"/>
      <c r="CFW17" s="37"/>
      <c r="CFX17" s="37"/>
      <c r="CFY17" s="37"/>
      <c r="CFZ17" s="37"/>
      <c r="CGA17" s="37"/>
      <c r="CGB17" s="37"/>
      <c r="CGC17" s="37"/>
      <c r="CGD17" s="37"/>
      <c r="CGE17" s="37"/>
      <c r="CGF17" s="37"/>
      <c r="CGG17" s="37"/>
      <c r="CGH17" s="37"/>
      <c r="CGI17" s="37"/>
      <c r="CGJ17" s="37"/>
      <c r="CGK17" s="37"/>
      <c r="CGL17" s="37"/>
      <c r="CGM17" s="37"/>
      <c r="CGN17" s="37"/>
      <c r="CGO17" s="37"/>
      <c r="CGP17" s="37"/>
      <c r="CGQ17" s="37"/>
      <c r="CGR17" s="37"/>
      <c r="CGS17" s="37"/>
      <c r="CGT17" s="37"/>
      <c r="CGU17" s="37"/>
      <c r="CGV17" s="37"/>
      <c r="CGW17" s="37"/>
      <c r="CGX17" s="37"/>
      <c r="CGY17" s="37"/>
      <c r="CGZ17" s="37"/>
      <c r="CHA17" s="37"/>
      <c r="CHB17" s="37"/>
      <c r="CHC17" s="37"/>
      <c r="CHD17" s="37"/>
      <c r="CHE17" s="37"/>
      <c r="CHF17" s="37"/>
      <c r="CHG17" s="37"/>
      <c r="CHH17" s="37"/>
      <c r="CHI17" s="37"/>
      <c r="CHJ17" s="37"/>
      <c r="CHK17" s="37"/>
      <c r="CHL17" s="37"/>
      <c r="CHM17" s="37"/>
      <c r="CHN17" s="37"/>
      <c r="CHO17" s="37"/>
      <c r="CHP17" s="37"/>
      <c r="CHQ17" s="37"/>
      <c r="CHR17" s="37"/>
      <c r="CHS17" s="37"/>
      <c r="CHT17" s="37"/>
      <c r="CHU17" s="37"/>
      <c r="CHV17" s="37"/>
      <c r="CHW17" s="37"/>
      <c r="CHX17" s="37"/>
      <c r="CHY17" s="37"/>
      <c r="CHZ17" s="37"/>
      <c r="CIA17" s="37"/>
      <c r="CIB17" s="37"/>
      <c r="CIC17" s="37"/>
      <c r="CID17" s="37"/>
      <c r="CIE17" s="37"/>
      <c r="CIF17" s="37"/>
      <c r="CIG17" s="37"/>
      <c r="CIH17" s="37"/>
      <c r="CII17" s="37"/>
      <c r="CIJ17" s="37"/>
      <c r="CIK17" s="37"/>
      <c r="CIL17" s="37"/>
      <c r="CIM17" s="37"/>
      <c r="CIN17" s="37"/>
      <c r="CIO17" s="37"/>
      <c r="CIP17" s="37"/>
      <c r="CIQ17" s="37"/>
      <c r="CIR17" s="37"/>
      <c r="CIS17" s="37"/>
      <c r="CIT17" s="37"/>
      <c r="CIU17" s="37"/>
      <c r="CIV17" s="37"/>
      <c r="CIW17" s="37"/>
      <c r="CIX17" s="37"/>
      <c r="CIY17" s="37"/>
      <c r="CIZ17" s="37"/>
      <c r="CJA17" s="37"/>
      <c r="CJB17" s="37"/>
      <c r="CJC17" s="37"/>
      <c r="CJD17" s="37"/>
      <c r="CJE17" s="37"/>
      <c r="CJF17" s="37"/>
      <c r="CJG17" s="37"/>
      <c r="CJH17" s="37"/>
      <c r="CJI17" s="37"/>
      <c r="CJJ17" s="37"/>
      <c r="CJK17" s="37"/>
      <c r="CJL17" s="37"/>
      <c r="CJM17" s="37"/>
      <c r="CJN17" s="37"/>
      <c r="CJO17" s="37"/>
      <c r="CJP17" s="37"/>
      <c r="CJQ17" s="37"/>
      <c r="CJR17" s="37"/>
      <c r="CJS17" s="37"/>
      <c r="CJT17" s="37"/>
      <c r="CJU17" s="37"/>
      <c r="CJV17" s="37"/>
      <c r="CJW17" s="37"/>
      <c r="CJX17" s="37"/>
      <c r="CJY17" s="37"/>
      <c r="CJZ17" s="37"/>
      <c r="CKA17" s="37"/>
      <c r="CKB17" s="37"/>
      <c r="CKC17" s="37"/>
      <c r="CKD17" s="37"/>
      <c r="CKE17" s="37"/>
      <c r="CKF17" s="37"/>
      <c r="CKG17" s="37"/>
      <c r="CKH17" s="37"/>
      <c r="CKI17" s="37"/>
      <c r="CKJ17" s="37"/>
      <c r="CKK17" s="37"/>
      <c r="CKL17" s="37"/>
      <c r="CKM17" s="37"/>
      <c r="CKN17" s="37"/>
      <c r="CKO17" s="37"/>
      <c r="CKP17" s="37"/>
      <c r="CKQ17" s="37"/>
      <c r="CKR17" s="37"/>
      <c r="CKS17" s="37"/>
      <c r="CKT17" s="37"/>
      <c r="CKU17" s="37"/>
      <c r="CKV17" s="37"/>
      <c r="CKW17" s="37"/>
      <c r="CKX17" s="37"/>
      <c r="CKY17" s="37"/>
      <c r="CKZ17" s="37"/>
      <c r="CLA17" s="37"/>
      <c r="CLB17" s="37"/>
      <c r="CLC17" s="37"/>
      <c r="CLD17" s="37"/>
      <c r="CLE17" s="37"/>
      <c r="CLF17" s="37"/>
      <c r="CLG17" s="37"/>
      <c r="CLH17" s="37"/>
      <c r="CLI17" s="37"/>
      <c r="CLJ17" s="37"/>
      <c r="CLK17" s="37"/>
      <c r="CLL17" s="37"/>
      <c r="CLM17" s="37"/>
      <c r="CLN17" s="37"/>
      <c r="CLO17" s="37"/>
      <c r="CLP17" s="37"/>
      <c r="CLQ17" s="37"/>
      <c r="CLR17" s="37"/>
      <c r="CLS17" s="37"/>
      <c r="CLT17" s="37"/>
      <c r="CLU17" s="37"/>
      <c r="CLV17" s="37"/>
      <c r="CLW17" s="37"/>
      <c r="CLX17" s="37"/>
      <c r="CLY17" s="37"/>
      <c r="CLZ17" s="37"/>
      <c r="CMA17" s="37"/>
      <c r="CMB17" s="37"/>
      <c r="CMC17" s="37"/>
      <c r="CMD17" s="37"/>
      <c r="CME17" s="37"/>
      <c r="CMF17" s="37"/>
      <c r="CMG17" s="37"/>
      <c r="CMH17" s="37"/>
      <c r="CMI17" s="37"/>
      <c r="CMJ17" s="37"/>
      <c r="CMK17" s="37"/>
      <c r="CML17" s="37"/>
      <c r="CMM17" s="37"/>
      <c r="CMN17" s="37"/>
      <c r="CMO17" s="37"/>
      <c r="CMP17" s="37"/>
      <c r="CMQ17" s="37"/>
      <c r="CMR17" s="37"/>
      <c r="CMS17" s="37"/>
      <c r="CMT17" s="37"/>
      <c r="CMU17" s="37"/>
      <c r="CMV17" s="37"/>
      <c r="CMW17" s="37"/>
      <c r="CMX17" s="37"/>
      <c r="CMY17" s="37"/>
      <c r="CMZ17" s="37"/>
      <c r="CNA17" s="37"/>
      <c r="CNB17" s="37"/>
      <c r="CNC17" s="37"/>
      <c r="CND17" s="37"/>
      <c r="CNE17" s="37"/>
      <c r="CNF17" s="37"/>
      <c r="CNG17" s="37"/>
      <c r="CNH17" s="37"/>
      <c r="CNI17" s="37"/>
      <c r="CNJ17" s="37"/>
      <c r="CNK17" s="37"/>
      <c r="CNL17" s="37"/>
      <c r="CNM17" s="37"/>
      <c r="CNN17" s="37"/>
      <c r="CNO17" s="37"/>
      <c r="CNP17" s="37"/>
      <c r="CNQ17" s="37"/>
      <c r="CNR17" s="37"/>
      <c r="CNS17" s="37"/>
      <c r="CNT17" s="37"/>
      <c r="CNU17" s="37"/>
      <c r="CNV17" s="37"/>
      <c r="CNW17" s="37"/>
      <c r="CNX17" s="37"/>
      <c r="CNY17" s="37"/>
      <c r="CNZ17" s="37"/>
      <c r="COA17" s="37"/>
      <c r="COB17" s="37"/>
      <c r="COC17" s="37"/>
      <c r="COD17" s="37"/>
      <c r="COE17" s="37"/>
      <c r="COF17" s="37"/>
      <c r="COG17" s="37"/>
      <c r="COH17" s="37"/>
      <c r="COI17" s="37"/>
      <c r="COJ17" s="37"/>
      <c r="COK17" s="37"/>
      <c r="COL17" s="37"/>
      <c r="COM17" s="37"/>
      <c r="CON17" s="37"/>
      <c r="COO17" s="37"/>
      <c r="COP17" s="37"/>
      <c r="COQ17" s="37"/>
      <c r="COR17" s="37"/>
      <c r="COS17" s="37"/>
      <c r="COT17" s="37"/>
      <c r="COU17" s="37"/>
      <c r="COV17" s="37"/>
      <c r="COW17" s="37"/>
      <c r="COX17" s="37"/>
      <c r="COY17" s="37"/>
      <c r="COZ17" s="37"/>
      <c r="CPA17" s="37"/>
      <c r="CPB17" s="37"/>
      <c r="CPC17" s="37"/>
      <c r="CPD17" s="37"/>
      <c r="CPE17" s="37"/>
      <c r="CPF17" s="37"/>
      <c r="CPG17" s="37"/>
      <c r="CPH17" s="37"/>
      <c r="CPI17" s="37"/>
      <c r="CPJ17" s="37"/>
      <c r="CPK17" s="37"/>
      <c r="CPL17" s="37"/>
      <c r="CPM17" s="37"/>
      <c r="CPN17" s="37"/>
      <c r="CPO17" s="37"/>
      <c r="CPP17" s="37"/>
      <c r="CPQ17" s="37"/>
      <c r="CPR17" s="37"/>
      <c r="CPS17" s="37"/>
      <c r="CPT17" s="37"/>
      <c r="CPU17" s="37"/>
      <c r="CPV17" s="37"/>
      <c r="CPW17" s="37"/>
      <c r="CPX17" s="37"/>
      <c r="CPY17" s="37"/>
      <c r="CPZ17" s="37"/>
      <c r="CQA17" s="37"/>
      <c r="CQB17" s="37"/>
      <c r="CQC17" s="37"/>
      <c r="CQD17" s="37"/>
      <c r="CQE17" s="37"/>
      <c r="CQF17" s="37"/>
      <c r="CQG17" s="37"/>
      <c r="CQH17" s="37"/>
      <c r="CQI17" s="37"/>
      <c r="CQJ17" s="37"/>
      <c r="CQK17" s="37"/>
      <c r="CQL17" s="37"/>
      <c r="CQM17" s="37"/>
      <c r="CQN17" s="37"/>
      <c r="CQO17" s="37"/>
      <c r="CQP17" s="37"/>
      <c r="CQQ17" s="37"/>
      <c r="CQR17" s="37"/>
      <c r="CQS17" s="37"/>
      <c r="CQT17" s="37"/>
      <c r="CQU17" s="37"/>
      <c r="CQV17" s="37"/>
      <c r="CQW17" s="37"/>
      <c r="CQX17" s="37"/>
      <c r="CQY17" s="37"/>
      <c r="CQZ17" s="37"/>
      <c r="CRA17" s="37"/>
      <c r="CRB17" s="37"/>
      <c r="CRC17" s="37"/>
      <c r="CRD17" s="37"/>
      <c r="CRE17" s="37"/>
      <c r="CRF17" s="37"/>
      <c r="CRG17" s="37"/>
      <c r="CRH17" s="37"/>
      <c r="CRI17" s="37"/>
      <c r="CRJ17" s="37"/>
      <c r="CRK17" s="37"/>
      <c r="CRL17" s="37"/>
      <c r="CRM17" s="37"/>
      <c r="CRN17" s="37"/>
      <c r="CRO17" s="37"/>
      <c r="CRP17" s="37"/>
      <c r="CRQ17" s="37"/>
      <c r="CRR17" s="37"/>
      <c r="CRS17" s="37"/>
      <c r="CRT17" s="37"/>
      <c r="CRU17" s="37"/>
      <c r="CRV17" s="37"/>
      <c r="CRW17" s="37"/>
      <c r="CRX17" s="37"/>
      <c r="CRY17" s="37"/>
      <c r="CRZ17" s="37"/>
      <c r="CSA17" s="37"/>
      <c r="CSB17" s="37"/>
      <c r="CSC17" s="37"/>
      <c r="CSD17" s="37"/>
      <c r="CSE17" s="37"/>
      <c r="CSF17" s="37"/>
      <c r="CSG17" s="37"/>
      <c r="CSH17" s="37"/>
      <c r="CSI17" s="37"/>
      <c r="CSJ17" s="37"/>
      <c r="CSK17" s="37"/>
      <c r="CSL17" s="37"/>
      <c r="CSM17" s="37"/>
      <c r="CSN17" s="37"/>
      <c r="CSO17" s="37"/>
      <c r="CSP17" s="37"/>
      <c r="CSQ17" s="37"/>
      <c r="CSR17" s="37"/>
      <c r="CSS17" s="37"/>
      <c r="CST17" s="37"/>
      <c r="CSU17" s="37"/>
      <c r="CSV17" s="37"/>
      <c r="CSW17" s="37"/>
      <c r="CSX17" s="37"/>
      <c r="CSY17" s="37"/>
      <c r="CSZ17" s="37"/>
      <c r="CTA17" s="37"/>
      <c r="CTB17" s="37"/>
      <c r="CTC17" s="37"/>
      <c r="CTD17" s="37"/>
      <c r="CTE17" s="37"/>
      <c r="CTF17" s="37"/>
      <c r="CTG17" s="37"/>
      <c r="CTH17" s="37"/>
      <c r="CTI17" s="37"/>
      <c r="CTJ17" s="37"/>
      <c r="CTK17" s="37"/>
      <c r="CTL17" s="37"/>
      <c r="CTM17" s="37"/>
      <c r="CTN17" s="37"/>
      <c r="CTO17" s="37"/>
      <c r="CTP17" s="37"/>
      <c r="CTQ17" s="37"/>
      <c r="CTR17" s="37"/>
      <c r="CTS17" s="37"/>
      <c r="CTT17" s="37"/>
      <c r="CTU17" s="37"/>
      <c r="CTV17" s="37"/>
      <c r="CTW17" s="37"/>
      <c r="CTX17" s="37"/>
      <c r="CTY17" s="37"/>
      <c r="CTZ17" s="37"/>
      <c r="CUA17" s="37"/>
      <c r="CUB17" s="37"/>
      <c r="CUC17" s="37"/>
      <c r="CUD17" s="37"/>
      <c r="CUE17" s="37"/>
      <c r="CUF17" s="37"/>
      <c r="CUG17" s="37"/>
      <c r="CUH17" s="37"/>
      <c r="CUI17" s="37"/>
      <c r="CUJ17" s="37"/>
      <c r="CUK17" s="37"/>
      <c r="CUL17" s="37"/>
      <c r="CUM17" s="37"/>
      <c r="CUN17" s="37"/>
      <c r="CUO17" s="37"/>
      <c r="CUP17" s="37"/>
      <c r="CUQ17" s="37"/>
      <c r="CUR17" s="37"/>
      <c r="CUS17" s="37"/>
      <c r="CUT17" s="37"/>
      <c r="CUU17" s="37"/>
      <c r="CUV17" s="37"/>
      <c r="CUW17" s="37"/>
      <c r="CUX17" s="37"/>
      <c r="CUY17" s="37"/>
      <c r="CUZ17" s="37"/>
      <c r="CVA17" s="37"/>
      <c r="CVB17" s="37"/>
      <c r="CVC17" s="37"/>
      <c r="CVD17" s="37"/>
      <c r="CVE17" s="37"/>
      <c r="CVF17" s="37"/>
      <c r="CVG17" s="37"/>
      <c r="CVH17" s="37"/>
      <c r="CVI17" s="37"/>
      <c r="CVJ17" s="37"/>
      <c r="CVK17" s="37"/>
      <c r="CVL17" s="37"/>
      <c r="CVM17" s="37"/>
      <c r="CVN17" s="37"/>
      <c r="CVO17" s="37"/>
      <c r="CVP17" s="37"/>
      <c r="CVQ17" s="37"/>
      <c r="CVR17" s="37"/>
      <c r="CVS17" s="37"/>
      <c r="CVT17" s="37"/>
      <c r="CVU17" s="37"/>
      <c r="CVV17" s="37"/>
      <c r="CVW17" s="37"/>
      <c r="CVX17" s="37"/>
      <c r="CVY17" s="37"/>
      <c r="CVZ17" s="37"/>
      <c r="CWA17" s="37"/>
      <c r="CWB17" s="37"/>
      <c r="CWC17" s="37"/>
      <c r="CWD17" s="37"/>
      <c r="CWE17" s="37"/>
      <c r="CWF17" s="37"/>
      <c r="CWG17" s="37"/>
      <c r="CWH17" s="37"/>
      <c r="CWI17" s="37"/>
      <c r="CWJ17" s="37"/>
      <c r="CWK17" s="37"/>
      <c r="CWL17" s="37"/>
      <c r="CWM17" s="37"/>
      <c r="CWN17" s="37"/>
      <c r="CWO17" s="37"/>
      <c r="CWP17" s="37"/>
      <c r="CWQ17" s="37"/>
      <c r="CWR17" s="37"/>
      <c r="CWS17" s="37"/>
      <c r="CWT17" s="37"/>
      <c r="CWU17" s="37"/>
      <c r="CWV17" s="37"/>
      <c r="CWW17" s="37"/>
      <c r="CWX17" s="37"/>
      <c r="CWY17" s="37"/>
      <c r="CWZ17" s="37"/>
      <c r="CXA17" s="37"/>
      <c r="CXB17" s="37"/>
      <c r="CXC17" s="37"/>
      <c r="CXD17" s="37"/>
      <c r="CXE17" s="37"/>
      <c r="CXF17" s="37"/>
      <c r="CXG17" s="37"/>
      <c r="CXH17" s="37"/>
      <c r="CXI17" s="37"/>
      <c r="CXJ17" s="37"/>
      <c r="CXK17" s="37"/>
      <c r="CXL17" s="37"/>
      <c r="CXM17" s="37"/>
      <c r="CXN17" s="37"/>
      <c r="CXO17" s="37"/>
      <c r="CXP17" s="37"/>
      <c r="CXQ17" s="37"/>
      <c r="CXR17" s="37"/>
      <c r="CXS17" s="37"/>
      <c r="CXT17" s="37"/>
      <c r="CXU17" s="37"/>
      <c r="CXV17" s="37"/>
      <c r="CXW17" s="37"/>
      <c r="CXX17" s="37"/>
      <c r="CXY17" s="37"/>
      <c r="CXZ17" s="37"/>
      <c r="CYA17" s="37"/>
      <c r="CYB17" s="37"/>
      <c r="CYC17" s="37"/>
      <c r="CYD17" s="37"/>
      <c r="CYE17" s="37"/>
      <c r="CYF17" s="37"/>
      <c r="CYG17" s="37"/>
      <c r="CYH17" s="37"/>
      <c r="CYI17" s="37"/>
      <c r="CYJ17" s="37"/>
      <c r="CYK17" s="37"/>
      <c r="CYL17" s="37"/>
      <c r="CYM17" s="37"/>
      <c r="CYN17" s="37"/>
      <c r="CYO17" s="37"/>
      <c r="CYP17" s="37"/>
      <c r="CYQ17" s="37"/>
      <c r="CYR17" s="37"/>
      <c r="CYS17" s="37"/>
      <c r="CYT17" s="37"/>
      <c r="CYU17" s="37"/>
      <c r="CYV17" s="37"/>
      <c r="CYW17" s="37"/>
      <c r="CYX17" s="37"/>
      <c r="CYY17" s="37"/>
      <c r="CYZ17" s="37"/>
      <c r="CZA17" s="37"/>
      <c r="CZB17" s="37"/>
      <c r="CZC17" s="37"/>
      <c r="CZD17" s="37"/>
      <c r="CZE17" s="37"/>
      <c r="CZF17" s="37"/>
      <c r="CZG17" s="37"/>
      <c r="CZH17" s="37"/>
      <c r="CZI17" s="37"/>
      <c r="CZJ17" s="37"/>
      <c r="CZK17" s="37"/>
      <c r="CZL17" s="37"/>
      <c r="CZM17" s="37"/>
      <c r="CZN17" s="37"/>
      <c r="CZO17" s="37"/>
      <c r="CZP17" s="37"/>
      <c r="CZQ17" s="37"/>
      <c r="CZR17" s="37"/>
      <c r="CZS17" s="37"/>
      <c r="CZT17" s="37"/>
      <c r="CZU17" s="37"/>
      <c r="CZV17" s="37"/>
      <c r="CZW17" s="37"/>
      <c r="CZX17" s="37"/>
      <c r="CZY17" s="37"/>
      <c r="CZZ17" s="37"/>
      <c r="DAA17" s="37"/>
      <c r="DAB17" s="37"/>
      <c r="DAC17" s="37"/>
      <c r="DAD17" s="37"/>
      <c r="DAE17" s="37"/>
      <c r="DAF17" s="37"/>
      <c r="DAG17" s="37"/>
      <c r="DAH17" s="37"/>
      <c r="DAI17" s="37"/>
      <c r="DAJ17" s="37"/>
      <c r="DAK17" s="37"/>
      <c r="DAL17" s="37"/>
      <c r="DAM17" s="37"/>
      <c r="DAN17" s="37"/>
      <c r="DAO17" s="37"/>
      <c r="DAP17" s="37"/>
      <c r="DAQ17" s="37"/>
      <c r="DAR17" s="37"/>
      <c r="DAS17" s="37"/>
      <c r="DAT17" s="37"/>
      <c r="DAU17" s="37"/>
      <c r="DAV17" s="37"/>
      <c r="DAW17" s="37"/>
      <c r="DAX17" s="37"/>
      <c r="DAY17" s="37"/>
      <c r="DAZ17" s="37"/>
      <c r="DBA17" s="37"/>
      <c r="DBB17" s="37"/>
      <c r="DBC17" s="37"/>
      <c r="DBD17" s="37"/>
      <c r="DBE17" s="37"/>
      <c r="DBF17" s="37"/>
      <c r="DBG17" s="37"/>
      <c r="DBH17" s="37"/>
      <c r="DBI17" s="37"/>
      <c r="DBJ17" s="37"/>
      <c r="DBK17" s="37"/>
      <c r="DBL17" s="37"/>
      <c r="DBM17" s="37"/>
      <c r="DBN17" s="37"/>
      <c r="DBO17" s="37"/>
      <c r="DBP17" s="37"/>
      <c r="DBQ17" s="37"/>
      <c r="DBR17" s="37"/>
      <c r="DBS17" s="37"/>
      <c r="DBT17" s="37"/>
      <c r="DBU17" s="37"/>
      <c r="DBV17" s="37"/>
      <c r="DBW17" s="37"/>
      <c r="DBX17" s="37"/>
      <c r="DBY17" s="37"/>
      <c r="DBZ17" s="37"/>
      <c r="DCA17" s="37"/>
      <c r="DCB17" s="37"/>
      <c r="DCC17" s="37"/>
      <c r="DCD17" s="37"/>
      <c r="DCE17" s="37"/>
      <c r="DCF17" s="37"/>
      <c r="DCG17" s="37"/>
      <c r="DCH17" s="37"/>
      <c r="DCI17" s="37"/>
      <c r="DCJ17" s="37"/>
      <c r="DCK17" s="37"/>
      <c r="DCL17" s="37"/>
      <c r="DCM17" s="37"/>
      <c r="DCN17" s="37"/>
      <c r="DCO17" s="37"/>
      <c r="DCP17" s="37"/>
      <c r="DCQ17" s="37"/>
      <c r="DCR17" s="37"/>
      <c r="DCS17" s="37"/>
      <c r="DCT17" s="37"/>
      <c r="DCU17" s="37"/>
      <c r="DCV17" s="37"/>
      <c r="DCW17" s="37"/>
      <c r="DCX17" s="37"/>
      <c r="DCY17" s="37"/>
      <c r="DCZ17" s="37"/>
      <c r="DDA17" s="37"/>
      <c r="DDB17" s="37"/>
      <c r="DDC17" s="37"/>
      <c r="DDD17" s="37"/>
      <c r="DDE17" s="37"/>
      <c r="DDF17" s="37"/>
      <c r="DDG17" s="37"/>
      <c r="DDH17" s="37"/>
      <c r="DDI17" s="37"/>
      <c r="DDJ17" s="37"/>
      <c r="DDK17" s="37"/>
      <c r="DDL17" s="37"/>
      <c r="DDM17" s="37"/>
      <c r="DDN17" s="37"/>
      <c r="DDO17" s="37"/>
      <c r="DDP17" s="37"/>
      <c r="DDQ17" s="37"/>
      <c r="DDR17" s="37"/>
      <c r="DDS17" s="37"/>
      <c r="DDT17" s="37"/>
      <c r="DDU17" s="37"/>
      <c r="DDV17" s="37"/>
      <c r="DDW17" s="37"/>
      <c r="DDX17" s="37"/>
      <c r="DDY17" s="37"/>
      <c r="DDZ17" s="37"/>
      <c r="DEA17" s="37"/>
      <c r="DEB17" s="37"/>
      <c r="DEC17" s="37"/>
      <c r="DED17" s="37"/>
      <c r="DEE17" s="37"/>
      <c r="DEF17" s="37"/>
      <c r="DEG17" s="37"/>
      <c r="DEH17" s="37"/>
      <c r="DEI17" s="37"/>
      <c r="DEJ17" s="37"/>
      <c r="DEK17" s="37"/>
      <c r="DEL17" s="37"/>
      <c r="DEM17" s="37"/>
      <c r="DEN17" s="37"/>
      <c r="DEO17" s="37"/>
      <c r="DEP17" s="37"/>
      <c r="DEQ17" s="37"/>
      <c r="DER17" s="37"/>
      <c r="DES17" s="37"/>
      <c r="DET17" s="37"/>
      <c r="DEU17" s="37"/>
      <c r="DEV17" s="37"/>
      <c r="DEW17" s="37"/>
      <c r="DEX17" s="37"/>
      <c r="DEY17" s="37"/>
      <c r="DEZ17" s="37"/>
      <c r="DFA17" s="37"/>
      <c r="DFB17" s="37"/>
      <c r="DFC17" s="37"/>
      <c r="DFD17" s="37"/>
      <c r="DFE17" s="37"/>
      <c r="DFF17" s="37"/>
      <c r="DFG17" s="37"/>
      <c r="DFH17" s="37"/>
      <c r="DFI17" s="37"/>
      <c r="DFJ17" s="37"/>
      <c r="DFK17" s="37"/>
      <c r="DFL17" s="37"/>
      <c r="DFM17" s="37"/>
      <c r="DFN17" s="37"/>
      <c r="DFO17" s="37"/>
      <c r="DFP17" s="37"/>
      <c r="DFQ17" s="37"/>
      <c r="DFR17" s="37"/>
      <c r="DFS17" s="37"/>
      <c r="DFT17" s="37"/>
      <c r="DFU17" s="37"/>
      <c r="DFV17" s="37"/>
      <c r="DFW17" s="37"/>
      <c r="DFX17" s="37"/>
      <c r="DFY17" s="37"/>
      <c r="DFZ17" s="37"/>
      <c r="DGA17" s="37"/>
      <c r="DGB17" s="37"/>
      <c r="DGC17" s="37"/>
      <c r="DGD17" s="37"/>
      <c r="DGE17" s="37"/>
      <c r="DGF17" s="37"/>
      <c r="DGG17" s="37"/>
      <c r="DGH17" s="37"/>
      <c r="DGI17" s="37"/>
      <c r="DGJ17" s="37"/>
      <c r="DGK17" s="37"/>
      <c r="DGL17" s="37"/>
      <c r="DGM17" s="37"/>
      <c r="DGN17" s="37"/>
      <c r="DGO17" s="37"/>
      <c r="DGP17" s="37"/>
      <c r="DGQ17" s="37"/>
      <c r="DGR17" s="37"/>
      <c r="DGS17" s="37"/>
      <c r="DGT17" s="37"/>
      <c r="DGU17" s="37"/>
      <c r="DGV17" s="37"/>
      <c r="DGW17" s="37"/>
      <c r="DGX17" s="37"/>
      <c r="DGY17" s="37"/>
      <c r="DGZ17" s="37"/>
      <c r="DHA17" s="37"/>
      <c r="DHB17" s="37"/>
      <c r="DHC17" s="37"/>
      <c r="DHD17" s="37"/>
      <c r="DHE17" s="37"/>
      <c r="DHF17" s="37"/>
      <c r="DHG17" s="37"/>
      <c r="DHH17" s="37"/>
      <c r="DHI17" s="37"/>
      <c r="DHJ17" s="37"/>
      <c r="DHK17" s="37"/>
      <c r="DHL17" s="37"/>
      <c r="DHM17" s="37"/>
      <c r="DHN17" s="37"/>
      <c r="DHO17" s="37"/>
      <c r="DHP17" s="37"/>
      <c r="DHQ17" s="37"/>
      <c r="DHR17" s="37"/>
      <c r="DHS17" s="37"/>
      <c r="DHT17" s="37"/>
      <c r="DHU17" s="37"/>
      <c r="DHV17" s="37"/>
      <c r="DHW17" s="37"/>
      <c r="DHX17" s="37"/>
      <c r="DHY17" s="37"/>
      <c r="DHZ17" s="37"/>
      <c r="DIA17" s="37"/>
      <c r="DIB17" s="37"/>
      <c r="DIC17" s="37"/>
      <c r="DID17" s="37"/>
      <c r="DIE17" s="37"/>
      <c r="DIF17" s="37"/>
      <c r="DIG17" s="37"/>
      <c r="DIH17" s="37"/>
      <c r="DII17" s="37"/>
      <c r="DIJ17" s="37"/>
      <c r="DIK17" s="37"/>
      <c r="DIL17" s="37"/>
      <c r="DIM17" s="37"/>
      <c r="DIN17" s="37"/>
      <c r="DIO17" s="37"/>
      <c r="DIP17" s="37"/>
      <c r="DIQ17" s="37"/>
      <c r="DIR17" s="37"/>
      <c r="DIS17" s="37"/>
      <c r="DIT17" s="37"/>
      <c r="DIU17" s="37"/>
      <c r="DIV17" s="37"/>
      <c r="DIW17" s="37"/>
      <c r="DIX17" s="37"/>
      <c r="DIY17" s="37"/>
      <c r="DIZ17" s="37"/>
      <c r="DJA17" s="37"/>
      <c r="DJB17" s="37"/>
      <c r="DJC17" s="37"/>
      <c r="DJD17" s="37"/>
      <c r="DJE17" s="37"/>
      <c r="DJF17" s="37"/>
      <c r="DJG17" s="37"/>
      <c r="DJH17" s="37"/>
      <c r="DJI17" s="37"/>
      <c r="DJJ17" s="37"/>
      <c r="DJK17" s="37"/>
      <c r="DJL17" s="37"/>
      <c r="DJM17" s="37"/>
      <c r="DJN17" s="37"/>
      <c r="DJO17" s="37"/>
      <c r="DJP17" s="37"/>
      <c r="DJQ17" s="37"/>
      <c r="DJR17" s="37"/>
      <c r="DJS17" s="37"/>
      <c r="DJT17" s="37"/>
      <c r="DJU17" s="37"/>
      <c r="DJV17" s="37"/>
      <c r="DJW17" s="37"/>
      <c r="DJX17" s="37"/>
      <c r="DJY17" s="37"/>
      <c r="DJZ17" s="37"/>
      <c r="DKA17" s="37"/>
      <c r="DKB17" s="37"/>
      <c r="DKC17" s="37"/>
      <c r="DKD17" s="37"/>
      <c r="DKE17" s="37"/>
      <c r="DKF17" s="37"/>
      <c r="DKG17" s="37"/>
      <c r="DKH17" s="37"/>
      <c r="DKI17" s="37"/>
      <c r="DKJ17" s="37"/>
      <c r="DKK17" s="37"/>
      <c r="DKL17" s="37"/>
      <c r="DKM17" s="37"/>
      <c r="DKN17" s="37"/>
      <c r="DKO17" s="37"/>
      <c r="DKP17" s="37"/>
      <c r="DKQ17" s="37"/>
      <c r="DKR17" s="37"/>
      <c r="DKS17" s="37"/>
      <c r="DKT17" s="37"/>
      <c r="DKU17" s="37"/>
      <c r="DKV17" s="37"/>
      <c r="DKW17" s="37"/>
      <c r="DKX17" s="37"/>
      <c r="DKY17" s="37"/>
      <c r="DKZ17" s="37"/>
      <c r="DLA17" s="37"/>
      <c r="DLB17" s="37"/>
      <c r="DLC17" s="37"/>
      <c r="DLD17" s="37"/>
      <c r="DLE17" s="37"/>
      <c r="DLF17" s="37"/>
      <c r="DLG17" s="37"/>
      <c r="DLH17" s="37"/>
      <c r="DLI17" s="37"/>
      <c r="DLJ17" s="37"/>
      <c r="DLK17" s="37"/>
      <c r="DLL17" s="37"/>
      <c r="DLM17" s="37"/>
      <c r="DLN17" s="37"/>
      <c r="DLO17" s="37"/>
      <c r="DLP17" s="37"/>
      <c r="DLQ17" s="37"/>
      <c r="DLR17" s="37"/>
      <c r="DLS17" s="37"/>
      <c r="DLT17" s="37"/>
      <c r="DLU17" s="37"/>
      <c r="DLV17" s="37"/>
      <c r="DLW17" s="37"/>
      <c r="DLX17" s="37"/>
      <c r="DLY17" s="37"/>
      <c r="DLZ17" s="37"/>
      <c r="DMA17" s="37"/>
      <c r="DMB17" s="37"/>
      <c r="DMC17" s="37"/>
      <c r="DMD17" s="37"/>
      <c r="DME17" s="37"/>
      <c r="DMF17" s="37"/>
      <c r="DMG17" s="37"/>
      <c r="DMH17" s="37"/>
      <c r="DMI17" s="37"/>
      <c r="DMJ17" s="37"/>
      <c r="DMK17" s="37"/>
      <c r="DML17" s="37"/>
      <c r="DMM17" s="37"/>
      <c r="DMN17" s="37"/>
      <c r="DMO17" s="37"/>
      <c r="DMP17" s="37"/>
      <c r="DMQ17" s="37"/>
      <c r="DMR17" s="37"/>
      <c r="DMS17" s="37"/>
      <c r="DMT17" s="37"/>
      <c r="DMU17" s="37"/>
      <c r="DMV17" s="37"/>
      <c r="DMW17" s="37"/>
      <c r="DMX17" s="37"/>
      <c r="DMY17" s="37"/>
      <c r="DMZ17" s="37"/>
      <c r="DNA17" s="37"/>
      <c r="DNB17" s="37"/>
      <c r="DNC17" s="37"/>
      <c r="DND17" s="37"/>
      <c r="DNE17" s="37"/>
      <c r="DNF17" s="37"/>
      <c r="DNG17" s="37"/>
      <c r="DNH17" s="37"/>
      <c r="DNI17" s="37"/>
      <c r="DNJ17" s="37"/>
      <c r="DNK17" s="37"/>
      <c r="DNL17" s="37"/>
      <c r="DNM17" s="37"/>
      <c r="DNN17" s="37"/>
      <c r="DNO17" s="37"/>
      <c r="DNP17" s="37"/>
      <c r="DNQ17" s="37"/>
      <c r="DNR17" s="37"/>
      <c r="DNS17" s="37"/>
      <c r="DNT17" s="37"/>
      <c r="DNU17" s="37"/>
      <c r="DNV17" s="37"/>
      <c r="DNW17" s="37"/>
      <c r="DNX17" s="37"/>
      <c r="DNY17" s="37"/>
      <c r="DNZ17" s="37"/>
      <c r="DOA17" s="37"/>
      <c r="DOB17" s="37"/>
      <c r="DOC17" s="37"/>
      <c r="DOD17" s="37"/>
      <c r="DOE17" s="37"/>
      <c r="DOF17" s="37"/>
      <c r="DOG17" s="37"/>
      <c r="DOH17" s="37"/>
      <c r="DOI17" s="37"/>
      <c r="DOJ17" s="37"/>
      <c r="DOK17" s="37"/>
      <c r="DOL17" s="37"/>
      <c r="DOM17" s="37"/>
      <c r="DON17" s="37"/>
      <c r="DOO17" s="37"/>
      <c r="DOP17" s="37"/>
      <c r="DOQ17" s="37"/>
      <c r="DOR17" s="37"/>
      <c r="DOS17" s="37"/>
      <c r="DOT17" s="37"/>
      <c r="DOU17" s="37"/>
      <c r="DOV17" s="37"/>
      <c r="DOW17" s="37"/>
      <c r="DOX17" s="37"/>
      <c r="DOY17" s="37"/>
      <c r="DOZ17" s="37"/>
      <c r="DPA17" s="37"/>
      <c r="DPB17" s="37"/>
      <c r="DPC17" s="37"/>
      <c r="DPD17" s="37"/>
      <c r="DPE17" s="37"/>
      <c r="DPF17" s="37"/>
      <c r="DPG17" s="37"/>
      <c r="DPH17" s="37"/>
      <c r="DPI17" s="37"/>
      <c r="DPJ17" s="37"/>
      <c r="DPK17" s="37"/>
      <c r="DPL17" s="37"/>
      <c r="DPM17" s="37"/>
      <c r="DPN17" s="37"/>
      <c r="DPO17" s="37"/>
      <c r="DPP17" s="37"/>
      <c r="DPQ17" s="37"/>
      <c r="DPR17" s="37"/>
      <c r="DPS17" s="37"/>
      <c r="DPT17" s="37"/>
      <c r="DPU17" s="37"/>
      <c r="DPV17" s="37"/>
      <c r="DPW17" s="37"/>
      <c r="DPX17" s="37"/>
      <c r="DPY17" s="37"/>
      <c r="DPZ17" s="37"/>
      <c r="DQA17" s="37"/>
      <c r="DQB17" s="37"/>
      <c r="DQC17" s="37"/>
      <c r="DQD17" s="37"/>
      <c r="DQE17" s="37"/>
      <c r="DQF17" s="37"/>
      <c r="DQG17" s="37"/>
      <c r="DQH17" s="37"/>
      <c r="DQI17" s="37"/>
      <c r="DQJ17" s="37"/>
      <c r="DQK17" s="37"/>
      <c r="DQL17" s="37"/>
      <c r="DQM17" s="37"/>
      <c r="DQN17" s="37"/>
      <c r="DQO17" s="37"/>
      <c r="DQP17" s="37"/>
      <c r="DQQ17" s="37"/>
      <c r="DQR17" s="37"/>
      <c r="DQS17" s="37"/>
      <c r="DQT17" s="37"/>
      <c r="DQU17" s="37"/>
      <c r="DQV17" s="37"/>
      <c r="DQW17" s="37"/>
      <c r="DQX17" s="37"/>
      <c r="DQY17" s="37"/>
      <c r="DQZ17" s="37"/>
      <c r="DRA17" s="37"/>
      <c r="DRB17" s="37"/>
      <c r="DRC17" s="37"/>
      <c r="DRD17" s="37"/>
      <c r="DRE17" s="37"/>
      <c r="DRF17" s="37"/>
      <c r="DRG17" s="37"/>
      <c r="DRH17" s="37"/>
      <c r="DRI17" s="37"/>
      <c r="DRJ17" s="37"/>
      <c r="DRK17" s="37"/>
      <c r="DRL17" s="37"/>
      <c r="DRM17" s="37"/>
      <c r="DRN17" s="37"/>
      <c r="DRO17" s="37"/>
      <c r="DRP17" s="37"/>
      <c r="DRQ17" s="37"/>
      <c r="DRR17" s="37"/>
      <c r="DRS17" s="37"/>
      <c r="DRT17" s="37"/>
      <c r="DRU17" s="37"/>
      <c r="DRV17" s="37"/>
      <c r="DRW17" s="37"/>
      <c r="DRX17" s="37"/>
      <c r="DRY17" s="37"/>
      <c r="DRZ17" s="37"/>
      <c r="DSA17" s="37"/>
      <c r="DSB17" s="37"/>
      <c r="DSC17" s="37"/>
      <c r="DSD17" s="37"/>
      <c r="DSE17" s="37"/>
      <c r="DSF17" s="37"/>
      <c r="DSG17" s="37"/>
      <c r="DSH17" s="37"/>
      <c r="DSI17" s="37"/>
      <c r="DSJ17" s="37"/>
      <c r="DSK17" s="37"/>
      <c r="DSL17" s="37"/>
      <c r="DSM17" s="37"/>
      <c r="DSN17" s="37"/>
      <c r="DSO17" s="37"/>
      <c r="DSP17" s="37"/>
      <c r="DSQ17" s="37"/>
      <c r="DSR17" s="37"/>
      <c r="DSS17" s="37"/>
      <c r="DST17" s="37"/>
      <c r="DSU17" s="37"/>
      <c r="DSV17" s="37"/>
      <c r="DSW17" s="37"/>
      <c r="DSX17" s="37"/>
      <c r="DSY17" s="37"/>
      <c r="DSZ17" s="37"/>
      <c r="DTA17" s="37"/>
      <c r="DTB17" s="37"/>
      <c r="DTC17" s="37"/>
      <c r="DTD17" s="37"/>
      <c r="DTE17" s="37"/>
      <c r="DTF17" s="37"/>
      <c r="DTG17" s="37"/>
      <c r="DTH17" s="37"/>
      <c r="DTI17" s="37"/>
      <c r="DTJ17" s="37"/>
      <c r="DTK17" s="37"/>
      <c r="DTL17" s="37"/>
      <c r="DTM17" s="37"/>
      <c r="DTN17" s="37"/>
      <c r="DTO17" s="37"/>
      <c r="DTP17" s="37"/>
      <c r="DTQ17" s="37"/>
      <c r="DTR17" s="37"/>
      <c r="DTS17" s="37"/>
      <c r="DTT17" s="37"/>
      <c r="DTU17" s="37"/>
      <c r="DTV17" s="37"/>
      <c r="DTW17" s="37"/>
      <c r="DTX17" s="37"/>
      <c r="DTY17" s="37"/>
      <c r="DTZ17" s="37"/>
      <c r="DUA17" s="37"/>
      <c r="DUB17" s="37"/>
      <c r="DUC17" s="37"/>
      <c r="DUD17" s="37"/>
      <c r="DUE17" s="37"/>
      <c r="DUF17" s="37"/>
      <c r="DUG17" s="37"/>
      <c r="DUH17" s="37"/>
      <c r="DUI17" s="37"/>
      <c r="DUJ17" s="37"/>
      <c r="DUK17" s="37"/>
      <c r="DUL17" s="37"/>
      <c r="DUM17" s="37"/>
      <c r="DUN17" s="37"/>
      <c r="DUO17" s="37"/>
      <c r="DUP17" s="37"/>
      <c r="DUQ17" s="37"/>
      <c r="DUR17" s="37"/>
      <c r="DUS17" s="37"/>
      <c r="DUT17" s="37"/>
      <c r="DUU17" s="37"/>
      <c r="DUV17" s="37"/>
      <c r="DUW17" s="37"/>
      <c r="DUX17" s="37"/>
      <c r="DUY17" s="37"/>
      <c r="DUZ17" s="37"/>
      <c r="DVA17" s="37"/>
      <c r="DVB17" s="37"/>
      <c r="DVC17" s="37"/>
      <c r="DVD17" s="37"/>
      <c r="DVE17" s="37"/>
      <c r="DVF17" s="37"/>
      <c r="DVG17" s="37"/>
      <c r="DVH17" s="37"/>
      <c r="DVI17" s="37"/>
      <c r="DVJ17" s="37"/>
      <c r="DVK17" s="37"/>
      <c r="DVL17" s="37"/>
      <c r="DVM17" s="37"/>
      <c r="DVN17" s="37"/>
      <c r="DVO17" s="37"/>
      <c r="DVP17" s="37"/>
      <c r="DVQ17" s="37"/>
      <c r="DVR17" s="37"/>
      <c r="DVS17" s="37"/>
      <c r="DVT17" s="37"/>
      <c r="DVU17" s="37"/>
      <c r="DVV17" s="37"/>
      <c r="DVW17" s="37"/>
      <c r="DVX17" s="37"/>
      <c r="DVY17" s="37"/>
      <c r="DVZ17" s="37"/>
      <c r="DWA17" s="37"/>
      <c r="DWB17" s="37"/>
      <c r="DWC17" s="37"/>
      <c r="DWD17" s="37"/>
      <c r="DWE17" s="37"/>
      <c r="DWF17" s="37"/>
      <c r="DWG17" s="37"/>
      <c r="DWH17" s="37"/>
      <c r="DWI17" s="37"/>
      <c r="DWJ17" s="37"/>
      <c r="DWK17" s="37"/>
      <c r="DWL17" s="37"/>
      <c r="DWM17" s="37"/>
      <c r="DWN17" s="37"/>
      <c r="DWO17" s="37"/>
      <c r="DWP17" s="37"/>
      <c r="DWQ17" s="37"/>
      <c r="DWR17" s="37"/>
      <c r="DWS17" s="37"/>
      <c r="DWT17" s="37"/>
      <c r="DWU17" s="37"/>
      <c r="DWV17" s="37"/>
      <c r="DWW17" s="37"/>
      <c r="DWX17" s="37"/>
      <c r="DWY17" s="37"/>
      <c r="DWZ17" s="37"/>
      <c r="DXA17" s="37"/>
      <c r="DXB17" s="37"/>
      <c r="DXC17" s="37"/>
      <c r="DXD17" s="37"/>
      <c r="DXE17" s="37"/>
      <c r="DXF17" s="37"/>
      <c r="DXG17" s="37"/>
      <c r="DXH17" s="37"/>
      <c r="DXI17" s="37"/>
      <c r="DXJ17" s="37"/>
      <c r="DXK17" s="37"/>
      <c r="DXL17" s="37"/>
      <c r="DXM17" s="37"/>
      <c r="DXN17" s="37"/>
      <c r="DXO17" s="37"/>
      <c r="DXP17" s="37"/>
      <c r="DXQ17" s="37"/>
      <c r="DXR17" s="37"/>
      <c r="DXS17" s="37"/>
      <c r="DXT17" s="37"/>
      <c r="DXU17" s="37"/>
      <c r="DXV17" s="37"/>
      <c r="DXW17" s="37"/>
      <c r="DXX17" s="37"/>
      <c r="DXY17" s="37"/>
      <c r="DXZ17" s="37"/>
      <c r="DYA17" s="37"/>
      <c r="DYB17" s="37"/>
      <c r="DYC17" s="37"/>
      <c r="DYD17" s="37"/>
      <c r="DYE17" s="37"/>
      <c r="DYF17" s="37"/>
      <c r="DYG17" s="37"/>
      <c r="DYH17" s="37"/>
      <c r="DYI17" s="37"/>
      <c r="DYJ17" s="37"/>
      <c r="DYK17" s="37"/>
      <c r="DYL17" s="37"/>
      <c r="DYM17" s="37"/>
      <c r="DYN17" s="37"/>
      <c r="DYO17" s="37"/>
      <c r="DYP17" s="37"/>
      <c r="DYQ17" s="37"/>
      <c r="DYR17" s="37"/>
      <c r="DYS17" s="37"/>
      <c r="DYT17" s="37"/>
      <c r="DYU17" s="37"/>
      <c r="DYV17" s="37"/>
      <c r="DYW17" s="37"/>
      <c r="DYX17" s="37"/>
      <c r="DYY17" s="37"/>
      <c r="DYZ17" s="37"/>
      <c r="DZA17" s="37"/>
      <c r="DZB17" s="37"/>
      <c r="DZC17" s="37"/>
      <c r="DZD17" s="37"/>
      <c r="DZE17" s="37"/>
      <c r="DZF17" s="37"/>
      <c r="DZG17" s="37"/>
      <c r="DZH17" s="37"/>
      <c r="DZI17" s="37"/>
      <c r="DZJ17" s="37"/>
      <c r="DZK17" s="37"/>
      <c r="DZL17" s="37"/>
      <c r="DZM17" s="37"/>
      <c r="DZN17" s="37"/>
      <c r="DZO17" s="37"/>
      <c r="DZP17" s="37"/>
      <c r="DZQ17" s="37"/>
      <c r="DZR17" s="37"/>
      <c r="DZS17" s="37"/>
      <c r="DZT17" s="37"/>
      <c r="DZU17" s="37"/>
      <c r="DZV17" s="37"/>
      <c r="DZW17" s="37"/>
      <c r="DZX17" s="37"/>
      <c r="DZY17" s="37"/>
      <c r="DZZ17" s="37"/>
      <c r="EAA17" s="37"/>
      <c r="EAB17" s="37"/>
      <c r="EAC17" s="37"/>
      <c r="EAD17" s="37"/>
      <c r="EAE17" s="37"/>
      <c r="EAF17" s="37"/>
      <c r="EAG17" s="37"/>
      <c r="EAH17" s="37"/>
      <c r="EAI17" s="37"/>
      <c r="EAJ17" s="37"/>
      <c r="EAK17" s="37"/>
      <c r="EAL17" s="37"/>
      <c r="EAM17" s="37"/>
      <c r="EAN17" s="37"/>
      <c r="EAO17" s="37"/>
      <c r="EAP17" s="37"/>
      <c r="EAQ17" s="37"/>
      <c r="EAR17" s="37"/>
      <c r="EAS17" s="37"/>
      <c r="EAT17" s="37"/>
      <c r="EAU17" s="37"/>
      <c r="EAV17" s="37"/>
      <c r="EAW17" s="37"/>
      <c r="EAX17" s="37"/>
      <c r="EAY17" s="37"/>
      <c r="EAZ17" s="37"/>
      <c r="EBA17" s="37"/>
      <c r="EBB17" s="37"/>
      <c r="EBC17" s="37"/>
      <c r="EBD17" s="37"/>
      <c r="EBE17" s="37"/>
      <c r="EBF17" s="37"/>
      <c r="EBG17" s="37"/>
      <c r="EBH17" s="37"/>
      <c r="EBI17" s="37"/>
      <c r="EBJ17" s="37"/>
      <c r="EBK17" s="37"/>
      <c r="EBL17" s="37"/>
      <c r="EBM17" s="37"/>
      <c r="EBN17" s="37"/>
      <c r="EBO17" s="37"/>
      <c r="EBP17" s="37"/>
      <c r="EBQ17" s="37"/>
      <c r="EBR17" s="37"/>
      <c r="EBS17" s="37"/>
      <c r="EBT17" s="37"/>
      <c r="EBU17" s="37"/>
      <c r="EBV17" s="37"/>
      <c r="EBW17" s="37"/>
      <c r="EBX17" s="37"/>
      <c r="EBY17" s="37"/>
      <c r="EBZ17" s="37"/>
      <c r="ECA17" s="37"/>
      <c r="ECB17" s="37"/>
      <c r="ECC17" s="37"/>
      <c r="ECD17" s="37"/>
      <c r="ECE17" s="37"/>
      <c r="ECF17" s="37"/>
      <c r="ECG17" s="37"/>
      <c r="ECH17" s="37"/>
      <c r="ECI17" s="37"/>
      <c r="ECJ17" s="37"/>
      <c r="ECK17" s="37"/>
      <c r="ECL17" s="37"/>
      <c r="ECM17" s="37"/>
      <c r="ECN17" s="37"/>
      <c r="ECO17" s="37"/>
      <c r="ECP17" s="37"/>
      <c r="ECQ17" s="37"/>
      <c r="ECR17" s="37"/>
      <c r="ECS17" s="37"/>
      <c r="ECT17" s="37"/>
      <c r="ECU17" s="37"/>
      <c r="ECV17" s="37"/>
      <c r="ECW17" s="37"/>
      <c r="ECX17" s="37"/>
      <c r="ECY17" s="37"/>
      <c r="ECZ17" s="37"/>
      <c r="EDA17" s="37"/>
      <c r="EDB17" s="37"/>
      <c r="EDC17" s="37"/>
      <c r="EDD17" s="37"/>
      <c r="EDE17" s="37"/>
      <c r="EDF17" s="37"/>
      <c r="EDG17" s="37"/>
      <c r="EDH17" s="37"/>
      <c r="EDI17" s="37"/>
      <c r="EDJ17" s="37"/>
      <c r="EDK17" s="37"/>
      <c r="EDL17" s="37"/>
      <c r="EDM17" s="37"/>
      <c r="EDN17" s="37"/>
      <c r="EDO17" s="37"/>
      <c r="EDP17" s="37"/>
      <c r="EDQ17" s="37"/>
      <c r="EDR17" s="37"/>
      <c r="EDS17" s="37"/>
      <c r="EDT17" s="37"/>
      <c r="EDU17" s="37"/>
      <c r="EDV17" s="37"/>
      <c r="EDW17" s="37"/>
      <c r="EDX17" s="37"/>
      <c r="EDY17" s="37"/>
      <c r="EDZ17" s="37"/>
      <c r="EEA17" s="37"/>
      <c r="EEB17" s="37"/>
      <c r="EEC17" s="37"/>
      <c r="EED17" s="37"/>
      <c r="EEE17" s="37"/>
      <c r="EEF17" s="37"/>
      <c r="EEG17" s="37"/>
      <c r="EEH17" s="37"/>
      <c r="EEI17" s="37"/>
      <c r="EEJ17" s="37"/>
      <c r="EEK17" s="37"/>
      <c r="EEL17" s="37"/>
      <c r="EEM17" s="37"/>
      <c r="EEN17" s="37"/>
      <c r="EEO17" s="37"/>
      <c r="EEP17" s="37"/>
      <c r="EEQ17" s="37"/>
      <c r="EER17" s="37"/>
      <c r="EES17" s="37"/>
      <c r="EET17" s="37"/>
      <c r="EEU17" s="37"/>
      <c r="EEV17" s="37"/>
      <c r="EEW17" s="37"/>
      <c r="EEX17" s="37"/>
      <c r="EEY17" s="37"/>
      <c r="EEZ17" s="37"/>
      <c r="EFA17" s="37"/>
      <c r="EFB17" s="37"/>
      <c r="EFC17" s="37"/>
      <c r="EFD17" s="37"/>
      <c r="EFE17" s="37"/>
      <c r="EFF17" s="37"/>
      <c r="EFG17" s="37"/>
      <c r="EFH17" s="37"/>
      <c r="EFI17" s="37"/>
      <c r="EFJ17" s="37"/>
      <c r="EFK17" s="37"/>
      <c r="EFL17" s="37"/>
      <c r="EFM17" s="37"/>
      <c r="EFN17" s="37"/>
      <c r="EFO17" s="37"/>
      <c r="EFP17" s="37"/>
      <c r="EFQ17" s="37"/>
      <c r="EFR17" s="37"/>
      <c r="EFS17" s="37"/>
      <c r="EFT17" s="37"/>
      <c r="EFU17" s="37"/>
      <c r="EFV17" s="37"/>
      <c r="EFW17" s="37"/>
      <c r="EFX17" s="37"/>
      <c r="EFY17" s="37"/>
      <c r="EFZ17" s="37"/>
      <c r="EGA17" s="37"/>
      <c r="EGB17" s="37"/>
      <c r="EGC17" s="37"/>
      <c r="EGD17" s="37"/>
      <c r="EGE17" s="37"/>
      <c r="EGF17" s="37"/>
      <c r="EGG17" s="37"/>
      <c r="EGH17" s="37"/>
      <c r="EGI17" s="37"/>
      <c r="EGJ17" s="37"/>
      <c r="EGK17" s="37"/>
      <c r="EGL17" s="37"/>
      <c r="EGM17" s="37"/>
      <c r="EGN17" s="37"/>
      <c r="EGO17" s="37"/>
      <c r="EGP17" s="37"/>
      <c r="EGQ17" s="37"/>
      <c r="EGR17" s="37"/>
      <c r="EGS17" s="37"/>
      <c r="EGT17" s="37"/>
      <c r="EGU17" s="37"/>
      <c r="EGV17" s="37"/>
      <c r="EGW17" s="37"/>
      <c r="EGX17" s="37"/>
      <c r="EGY17" s="37"/>
      <c r="EGZ17" s="37"/>
      <c r="EHA17" s="37"/>
      <c r="EHB17" s="37"/>
      <c r="EHC17" s="37"/>
      <c r="EHD17" s="37"/>
      <c r="EHE17" s="37"/>
      <c r="EHF17" s="37"/>
      <c r="EHG17" s="37"/>
      <c r="EHH17" s="37"/>
      <c r="EHI17" s="37"/>
      <c r="EHJ17" s="37"/>
      <c r="EHK17" s="37"/>
      <c r="EHL17" s="37"/>
      <c r="EHM17" s="37"/>
      <c r="EHN17" s="37"/>
      <c r="EHO17" s="37"/>
      <c r="EHP17" s="37"/>
      <c r="EHQ17" s="37"/>
      <c r="EHR17" s="37"/>
      <c r="EHS17" s="37"/>
      <c r="EHT17" s="37"/>
      <c r="EHU17" s="37"/>
      <c r="EHV17" s="37"/>
      <c r="EHW17" s="37"/>
      <c r="EHX17" s="37"/>
      <c r="EHY17" s="37"/>
      <c r="EHZ17" s="37"/>
      <c r="EIA17" s="37"/>
      <c r="EIB17" s="37"/>
      <c r="EIC17" s="37"/>
      <c r="EID17" s="37"/>
      <c r="EIE17" s="37"/>
      <c r="EIF17" s="37"/>
      <c r="EIG17" s="37"/>
      <c r="EIH17" s="37"/>
      <c r="EII17" s="37"/>
      <c r="EIJ17" s="37"/>
      <c r="EIK17" s="37"/>
      <c r="EIL17" s="37"/>
      <c r="EIM17" s="37"/>
      <c r="EIN17" s="37"/>
      <c r="EIO17" s="37"/>
      <c r="EIP17" s="37"/>
      <c r="EIQ17" s="37"/>
      <c r="EIR17" s="37"/>
      <c r="EIS17" s="37"/>
      <c r="EIT17" s="37"/>
      <c r="EIU17" s="37"/>
      <c r="EIV17" s="37"/>
      <c r="EIW17" s="37"/>
      <c r="EIX17" s="37"/>
      <c r="EIY17" s="37"/>
      <c r="EIZ17" s="37"/>
      <c r="EJA17" s="37"/>
      <c r="EJB17" s="37"/>
      <c r="EJC17" s="37"/>
      <c r="EJD17" s="37"/>
      <c r="EJE17" s="37"/>
      <c r="EJF17" s="37"/>
      <c r="EJG17" s="37"/>
      <c r="EJH17" s="37"/>
      <c r="EJI17" s="37"/>
      <c r="EJJ17" s="37"/>
      <c r="EJK17" s="37"/>
      <c r="EJL17" s="37"/>
      <c r="EJM17" s="37"/>
      <c r="EJN17" s="37"/>
      <c r="EJO17" s="37"/>
      <c r="EJP17" s="37"/>
      <c r="EJQ17" s="37"/>
      <c r="EJR17" s="37"/>
      <c r="EJS17" s="37"/>
      <c r="EJT17" s="37"/>
      <c r="EJU17" s="37"/>
      <c r="EJV17" s="37"/>
      <c r="EJW17" s="37"/>
      <c r="EJX17" s="37"/>
      <c r="EJY17" s="37"/>
      <c r="EJZ17" s="37"/>
      <c r="EKA17" s="37"/>
      <c r="EKB17" s="37"/>
      <c r="EKC17" s="37"/>
      <c r="EKD17" s="37"/>
      <c r="EKE17" s="37"/>
      <c r="EKF17" s="37"/>
      <c r="EKG17" s="37"/>
      <c r="EKH17" s="37"/>
      <c r="EKI17" s="37"/>
      <c r="EKJ17" s="37"/>
      <c r="EKK17" s="37"/>
      <c r="EKL17" s="37"/>
      <c r="EKM17" s="37"/>
      <c r="EKN17" s="37"/>
      <c r="EKO17" s="37"/>
      <c r="EKP17" s="37"/>
      <c r="EKQ17" s="37"/>
      <c r="EKR17" s="37"/>
      <c r="EKS17" s="37"/>
      <c r="EKT17" s="37"/>
      <c r="EKU17" s="37"/>
      <c r="EKV17" s="37"/>
      <c r="EKW17" s="37"/>
      <c r="EKX17" s="37"/>
      <c r="EKY17" s="37"/>
      <c r="EKZ17" s="37"/>
      <c r="ELA17" s="37"/>
      <c r="ELB17" s="37"/>
      <c r="ELC17" s="37"/>
      <c r="ELD17" s="37"/>
      <c r="ELE17" s="37"/>
      <c r="ELF17" s="37"/>
      <c r="ELG17" s="37"/>
      <c r="ELH17" s="37"/>
      <c r="ELI17" s="37"/>
      <c r="ELJ17" s="37"/>
      <c r="ELK17" s="37"/>
      <c r="ELL17" s="37"/>
      <c r="ELM17" s="37"/>
      <c r="ELN17" s="37"/>
      <c r="ELO17" s="37"/>
      <c r="ELP17" s="37"/>
      <c r="ELQ17" s="37"/>
      <c r="ELR17" s="37"/>
      <c r="ELS17" s="37"/>
      <c r="ELT17" s="37"/>
      <c r="ELU17" s="37"/>
      <c r="ELV17" s="37"/>
      <c r="ELW17" s="37"/>
      <c r="ELX17" s="37"/>
      <c r="ELY17" s="37"/>
      <c r="ELZ17" s="37"/>
      <c r="EMA17" s="37"/>
      <c r="EMB17" s="37"/>
      <c r="EMC17" s="37"/>
      <c r="EMD17" s="37"/>
      <c r="EME17" s="37"/>
      <c r="EMF17" s="37"/>
      <c r="EMG17" s="37"/>
      <c r="EMH17" s="37"/>
      <c r="EMI17" s="37"/>
      <c r="EMJ17" s="37"/>
      <c r="EMK17" s="37"/>
      <c r="EML17" s="37"/>
      <c r="EMM17" s="37"/>
      <c r="EMN17" s="37"/>
      <c r="EMO17" s="37"/>
      <c r="EMP17" s="37"/>
      <c r="EMQ17" s="37"/>
      <c r="EMR17" s="37"/>
      <c r="EMS17" s="37"/>
      <c r="EMT17" s="37"/>
      <c r="EMU17" s="37"/>
      <c r="EMV17" s="37"/>
      <c r="EMW17" s="37"/>
      <c r="EMX17" s="37"/>
      <c r="EMY17" s="37"/>
      <c r="EMZ17" s="37"/>
      <c r="ENA17" s="37"/>
      <c r="ENB17" s="37"/>
      <c r="ENC17" s="37"/>
      <c r="END17" s="37"/>
      <c r="ENE17" s="37"/>
      <c r="ENF17" s="37"/>
      <c r="ENG17" s="37"/>
      <c r="ENH17" s="37"/>
      <c r="ENI17" s="37"/>
      <c r="ENJ17" s="37"/>
      <c r="ENK17" s="37"/>
      <c r="ENL17" s="37"/>
      <c r="ENM17" s="37"/>
      <c r="ENN17" s="37"/>
      <c r="ENO17" s="37"/>
      <c r="ENP17" s="37"/>
      <c r="ENQ17" s="37"/>
      <c r="ENR17" s="37"/>
      <c r="ENS17" s="37"/>
      <c r="ENT17" s="37"/>
      <c r="ENU17" s="37"/>
      <c r="ENV17" s="37"/>
      <c r="ENW17" s="37"/>
      <c r="ENX17" s="37"/>
      <c r="ENY17" s="37"/>
      <c r="ENZ17" s="37"/>
      <c r="EOA17" s="37"/>
      <c r="EOB17" s="37"/>
      <c r="EOC17" s="37"/>
      <c r="EOD17" s="37"/>
      <c r="EOE17" s="37"/>
      <c r="EOF17" s="37"/>
      <c r="EOG17" s="37"/>
      <c r="EOH17" s="37"/>
      <c r="EOI17" s="37"/>
      <c r="EOJ17" s="37"/>
      <c r="EOK17" s="37"/>
      <c r="EOL17" s="37"/>
      <c r="EOM17" s="37"/>
      <c r="EON17" s="37"/>
      <c r="EOO17" s="37"/>
      <c r="EOP17" s="37"/>
      <c r="EOQ17" s="37"/>
      <c r="EOR17" s="37"/>
      <c r="EOS17" s="37"/>
      <c r="EOT17" s="37"/>
      <c r="EOU17" s="37"/>
      <c r="EOV17" s="37"/>
      <c r="EOW17" s="37"/>
      <c r="EOX17" s="37"/>
      <c r="EOY17" s="37"/>
      <c r="EOZ17" s="37"/>
      <c r="EPA17" s="37"/>
      <c r="EPB17" s="37"/>
      <c r="EPC17" s="37"/>
      <c r="EPD17" s="37"/>
      <c r="EPE17" s="37"/>
      <c r="EPF17" s="37"/>
      <c r="EPG17" s="37"/>
      <c r="EPH17" s="37"/>
      <c r="EPI17" s="37"/>
      <c r="EPJ17" s="37"/>
      <c r="EPK17" s="37"/>
      <c r="EPL17" s="37"/>
      <c r="EPM17" s="37"/>
      <c r="EPN17" s="37"/>
      <c r="EPO17" s="37"/>
      <c r="EPP17" s="37"/>
      <c r="EPQ17" s="37"/>
      <c r="EPR17" s="37"/>
      <c r="EPS17" s="37"/>
      <c r="EPT17" s="37"/>
      <c r="EPU17" s="37"/>
      <c r="EPV17" s="37"/>
      <c r="EPW17" s="37"/>
      <c r="EPX17" s="37"/>
      <c r="EPY17" s="37"/>
      <c r="EPZ17" s="37"/>
      <c r="EQA17" s="37"/>
      <c r="EQB17" s="37"/>
      <c r="EQC17" s="37"/>
      <c r="EQD17" s="37"/>
      <c r="EQE17" s="37"/>
      <c r="EQF17" s="37"/>
      <c r="EQG17" s="37"/>
      <c r="EQH17" s="37"/>
      <c r="EQI17" s="37"/>
      <c r="EQJ17" s="37"/>
      <c r="EQK17" s="37"/>
      <c r="EQL17" s="37"/>
      <c r="EQM17" s="37"/>
      <c r="EQN17" s="37"/>
      <c r="EQO17" s="37"/>
      <c r="EQP17" s="37"/>
      <c r="EQQ17" s="37"/>
      <c r="EQR17" s="37"/>
      <c r="EQS17" s="37"/>
      <c r="EQT17" s="37"/>
      <c r="EQU17" s="37"/>
      <c r="EQV17" s="37"/>
      <c r="EQW17" s="37"/>
      <c r="EQX17" s="37"/>
      <c r="EQY17" s="37"/>
      <c r="EQZ17" s="37"/>
      <c r="ERA17" s="37"/>
      <c r="ERB17" s="37"/>
      <c r="ERC17" s="37"/>
      <c r="ERD17" s="37"/>
      <c r="ERE17" s="37"/>
      <c r="ERF17" s="37"/>
      <c r="ERG17" s="37"/>
      <c r="ERH17" s="37"/>
      <c r="ERI17" s="37"/>
      <c r="ERJ17" s="37"/>
      <c r="ERK17" s="37"/>
      <c r="ERL17" s="37"/>
      <c r="ERM17" s="37"/>
      <c r="ERN17" s="37"/>
      <c r="ERO17" s="37"/>
      <c r="ERP17" s="37"/>
      <c r="ERQ17" s="37"/>
      <c r="ERR17" s="37"/>
      <c r="ERS17" s="37"/>
      <c r="ERT17" s="37"/>
      <c r="ERU17" s="37"/>
      <c r="ERV17" s="37"/>
      <c r="ERW17" s="37"/>
      <c r="ERX17" s="37"/>
      <c r="ERY17" s="37"/>
      <c r="ERZ17" s="37"/>
      <c r="ESA17" s="37"/>
      <c r="ESB17" s="37"/>
      <c r="ESC17" s="37"/>
      <c r="ESD17" s="37"/>
      <c r="ESE17" s="37"/>
      <c r="ESF17" s="37"/>
      <c r="ESG17" s="37"/>
      <c r="ESH17" s="37"/>
      <c r="ESI17" s="37"/>
      <c r="ESJ17" s="37"/>
      <c r="ESK17" s="37"/>
      <c r="ESL17" s="37"/>
      <c r="ESM17" s="37"/>
      <c r="ESN17" s="37"/>
      <c r="ESO17" s="37"/>
      <c r="ESP17" s="37"/>
      <c r="ESQ17" s="37"/>
      <c r="ESR17" s="37"/>
      <c r="ESS17" s="37"/>
      <c r="EST17" s="37"/>
      <c r="ESU17" s="37"/>
      <c r="ESV17" s="37"/>
      <c r="ESW17" s="37"/>
      <c r="ESX17" s="37"/>
      <c r="ESY17" s="37"/>
      <c r="ESZ17" s="37"/>
      <c r="ETA17" s="37"/>
      <c r="ETB17" s="37"/>
      <c r="ETC17" s="37"/>
      <c r="ETD17" s="37"/>
      <c r="ETE17" s="37"/>
      <c r="ETF17" s="37"/>
      <c r="ETG17" s="37"/>
      <c r="ETH17" s="37"/>
      <c r="ETI17" s="37"/>
      <c r="ETJ17" s="37"/>
      <c r="ETK17" s="37"/>
      <c r="ETL17" s="37"/>
      <c r="ETM17" s="37"/>
      <c r="ETN17" s="37"/>
      <c r="ETO17" s="37"/>
      <c r="ETP17" s="37"/>
      <c r="ETQ17" s="37"/>
      <c r="ETR17" s="37"/>
      <c r="ETS17" s="37"/>
      <c r="ETT17" s="37"/>
      <c r="ETU17" s="37"/>
      <c r="ETV17" s="37"/>
      <c r="ETW17" s="37"/>
      <c r="ETX17" s="37"/>
      <c r="ETY17" s="37"/>
      <c r="ETZ17" s="37"/>
      <c r="EUA17" s="37"/>
      <c r="EUB17" s="37"/>
      <c r="EUC17" s="37"/>
      <c r="EUD17" s="37"/>
      <c r="EUE17" s="37"/>
      <c r="EUF17" s="37"/>
      <c r="EUG17" s="37"/>
      <c r="EUH17" s="37"/>
      <c r="EUI17" s="37"/>
      <c r="EUJ17" s="37"/>
      <c r="EUK17" s="37"/>
      <c r="EUL17" s="37"/>
      <c r="EUM17" s="37"/>
      <c r="EUN17" s="37"/>
      <c r="EUO17" s="37"/>
      <c r="EUP17" s="37"/>
      <c r="EUQ17" s="37"/>
      <c r="EUR17" s="37"/>
      <c r="EUS17" s="37"/>
      <c r="EUT17" s="37"/>
      <c r="EUU17" s="37"/>
      <c r="EUV17" s="37"/>
      <c r="EUW17" s="37"/>
      <c r="EUX17" s="37"/>
      <c r="EUY17" s="37"/>
      <c r="EUZ17" s="37"/>
      <c r="EVA17" s="37"/>
      <c r="EVB17" s="37"/>
      <c r="EVC17" s="37"/>
      <c r="EVD17" s="37"/>
      <c r="EVE17" s="37"/>
      <c r="EVF17" s="37"/>
      <c r="EVG17" s="37"/>
      <c r="EVH17" s="37"/>
      <c r="EVI17" s="37"/>
      <c r="EVJ17" s="37"/>
      <c r="EVK17" s="37"/>
      <c r="EVL17" s="37"/>
      <c r="EVM17" s="37"/>
      <c r="EVN17" s="37"/>
      <c r="EVO17" s="37"/>
      <c r="EVP17" s="37"/>
      <c r="EVQ17" s="37"/>
      <c r="EVR17" s="37"/>
      <c r="EVS17" s="37"/>
      <c r="EVT17" s="37"/>
      <c r="EVU17" s="37"/>
      <c r="EVV17" s="37"/>
      <c r="EVW17" s="37"/>
      <c r="EVX17" s="37"/>
      <c r="EVY17" s="37"/>
      <c r="EVZ17" s="37"/>
      <c r="EWA17" s="37"/>
      <c r="EWB17" s="37"/>
      <c r="EWC17" s="37"/>
      <c r="EWD17" s="37"/>
      <c r="EWE17" s="37"/>
      <c r="EWF17" s="37"/>
      <c r="EWG17" s="37"/>
      <c r="EWH17" s="37"/>
      <c r="EWI17" s="37"/>
      <c r="EWJ17" s="37"/>
      <c r="EWK17" s="37"/>
      <c r="EWL17" s="37"/>
      <c r="EWM17" s="37"/>
      <c r="EWN17" s="37"/>
      <c r="EWO17" s="37"/>
      <c r="EWP17" s="37"/>
      <c r="EWQ17" s="37"/>
      <c r="EWR17" s="37"/>
      <c r="EWS17" s="37"/>
      <c r="EWT17" s="37"/>
      <c r="EWU17" s="37"/>
      <c r="EWV17" s="37"/>
      <c r="EWW17" s="37"/>
      <c r="EWX17" s="37"/>
      <c r="EWY17" s="37"/>
      <c r="EWZ17" s="37"/>
      <c r="EXA17" s="37"/>
      <c r="EXB17" s="37"/>
      <c r="EXC17" s="37"/>
      <c r="EXD17" s="37"/>
      <c r="EXE17" s="37"/>
      <c r="EXF17" s="37"/>
      <c r="EXG17" s="37"/>
      <c r="EXH17" s="37"/>
      <c r="EXI17" s="37"/>
      <c r="EXJ17" s="37"/>
      <c r="EXK17" s="37"/>
      <c r="EXL17" s="37"/>
      <c r="EXM17" s="37"/>
      <c r="EXN17" s="37"/>
      <c r="EXO17" s="37"/>
      <c r="EXP17" s="37"/>
      <c r="EXQ17" s="37"/>
      <c r="EXR17" s="37"/>
      <c r="EXS17" s="37"/>
      <c r="EXT17" s="37"/>
      <c r="EXU17" s="37"/>
      <c r="EXV17" s="37"/>
      <c r="EXW17" s="37"/>
      <c r="EXX17" s="37"/>
      <c r="EXY17" s="37"/>
      <c r="EXZ17" s="37"/>
      <c r="EYA17" s="37"/>
      <c r="EYB17" s="37"/>
      <c r="EYC17" s="37"/>
      <c r="EYD17" s="37"/>
      <c r="EYE17" s="37"/>
      <c r="EYF17" s="37"/>
      <c r="EYG17" s="37"/>
      <c r="EYH17" s="37"/>
      <c r="EYI17" s="37"/>
      <c r="EYJ17" s="37"/>
      <c r="EYK17" s="37"/>
      <c r="EYL17" s="37"/>
      <c r="EYM17" s="37"/>
      <c r="EYN17" s="37"/>
      <c r="EYO17" s="37"/>
      <c r="EYP17" s="37"/>
      <c r="EYQ17" s="37"/>
      <c r="EYR17" s="37"/>
      <c r="EYS17" s="37"/>
      <c r="EYT17" s="37"/>
      <c r="EYU17" s="37"/>
      <c r="EYV17" s="37"/>
      <c r="EYW17" s="37"/>
      <c r="EYX17" s="37"/>
      <c r="EYY17" s="37"/>
      <c r="EYZ17" s="37"/>
      <c r="EZA17" s="37"/>
      <c r="EZB17" s="37"/>
      <c r="EZC17" s="37"/>
      <c r="EZD17" s="37"/>
      <c r="EZE17" s="37"/>
      <c r="EZF17" s="37"/>
      <c r="EZG17" s="37"/>
      <c r="EZH17" s="37"/>
      <c r="EZI17" s="37"/>
      <c r="EZJ17" s="37"/>
      <c r="EZK17" s="37"/>
      <c r="EZL17" s="37"/>
      <c r="EZM17" s="37"/>
      <c r="EZN17" s="37"/>
      <c r="EZO17" s="37"/>
      <c r="EZP17" s="37"/>
      <c r="EZQ17" s="37"/>
      <c r="EZR17" s="37"/>
      <c r="EZS17" s="37"/>
      <c r="EZT17" s="37"/>
      <c r="EZU17" s="37"/>
      <c r="EZV17" s="37"/>
      <c r="EZW17" s="37"/>
      <c r="EZX17" s="37"/>
      <c r="EZY17" s="37"/>
      <c r="EZZ17" s="37"/>
      <c r="FAA17" s="37"/>
      <c r="FAB17" s="37"/>
      <c r="FAC17" s="37"/>
      <c r="FAD17" s="37"/>
      <c r="FAE17" s="37"/>
      <c r="FAF17" s="37"/>
      <c r="FAG17" s="37"/>
      <c r="FAH17" s="37"/>
      <c r="FAI17" s="37"/>
      <c r="FAJ17" s="37"/>
      <c r="FAK17" s="37"/>
      <c r="FAL17" s="37"/>
      <c r="FAM17" s="37"/>
      <c r="FAN17" s="37"/>
      <c r="FAO17" s="37"/>
      <c r="FAP17" s="37"/>
      <c r="FAQ17" s="37"/>
      <c r="FAR17" s="37"/>
      <c r="FAS17" s="37"/>
      <c r="FAT17" s="37"/>
      <c r="FAU17" s="37"/>
      <c r="FAV17" s="37"/>
      <c r="FAW17" s="37"/>
      <c r="FAX17" s="37"/>
      <c r="FAY17" s="37"/>
      <c r="FAZ17" s="37"/>
      <c r="FBA17" s="37"/>
      <c r="FBB17" s="37"/>
      <c r="FBC17" s="37"/>
      <c r="FBD17" s="37"/>
      <c r="FBE17" s="37"/>
      <c r="FBF17" s="37"/>
      <c r="FBG17" s="37"/>
      <c r="FBH17" s="37"/>
      <c r="FBI17" s="37"/>
      <c r="FBJ17" s="37"/>
      <c r="FBK17" s="37"/>
      <c r="FBL17" s="37"/>
      <c r="FBM17" s="37"/>
      <c r="FBN17" s="37"/>
      <c r="FBO17" s="37"/>
      <c r="FBP17" s="37"/>
      <c r="FBQ17" s="37"/>
      <c r="FBR17" s="37"/>
      <c r="FBS17" s="37"/>
      <c r="FBT17" s="37"/>
      <c r="FBU17" s="37"/>
      <c r="FBV17" s="37"/>
      <c r="FBW17" s="37"/>
      <c r="FBX17" s="37"/>
      <c r="FBY17" s="37"/>
      <c r="FBZ17" s="37"/>
      <c r="FCA17" s="37"/>
      <c r="FCB17" s="37"/>
      <c r="FCC17" s="37"/>
      <c r="FCD17" s="37"/>
      <c r="FCE17" s="37"/>
      <c r="FCF17" s="37"/>
      <c r="FCG17" s="37"/>
      <c r="FCH17" s="37"/>
      <c r="FCI17" s="37"/>
      <c r="FCJ17" s="37"/>
      <c r="FCK17" s="37"/>
      <c r="FCL17" s="37"/>
      <c r="FCM17" s="37"/>
      <c r="FCN17" s="37"/>
      <c r="FCO17" s="37"/>
      <c r="FCP17" s="37"/>
      <c r="FCQ17" s="37"/>
      <c r="FCR17" s="37"/>
      <c r="FCS17" s="37"/>
      <c r="FCT17" s="37"/>
      <c r="FCU17" s="37"/>
      <c r="FCV17" s="37"/>
      <c r="FCW17" s="37"/>
      <c r="FCX17" s="37"/>
      <c r="FCY17" s="37"/>
      <c r="FCZ17" s="37"/>
      <c r="FDA17" s="37"/>
      <c r="FDB17" s="37"/>
      <c r="FDC17" s="37"/>
      <c r="FDD17" s="37"/>
      <c r="FDE17" s="37"/>
      <c r="FDF17" s="37"/>
      <c r="FDG17" s="37"/>
      <c r="FDH17" s="37"/>
      <c r="FDI17" s="37"/>
      <c r="FDJ17" s="37"/>
      <c r="FDK17" s="37"/>
      <c r="FDL17" s="37"/>
      <c r="FDM17" s="37"/>
      <c r="FDN17" s="37"/>
      <c r="FDO17" s="37"/>
      <c r="FDP17" s="37"/>
      <c r="FDQ17" s="37"/>
      <c r="FDR17" s="37"/>
      <c r="FDS17" s="37"/>
      <c r="FDT17" s="37"/>
      <c r="FDU17" s="37"/>
      <c r="FDV17" s="37"/>
      <c r="FDW17" s="37"/>
      <c r="FDX17" s="37"/>
      <c r="FDY17" s="37"/>
      <c r="FDZ17" s="37"/>
      <c r="FEA17" s="37"/>
      <c r="FEB17" s="37"/>
      <c r="FEC17" s="37"/>
      <c r="FED17" s="37"/>
      <c r="FEE17" s="37"/>
      <c r="FEF17" s="37"/>
      <c r="FEG17" s="37"/>
      <c r="FEH17" s="37"/>
      <c r="FEI17" s="37"/>
      <c r="FEJ17" s="37"/>
      <c r="FEK17" s="37"/>
      <c r="FEL17" s="37"/>
      <c r="FEM17" s="37"/>
      <c r="FEN17" s="37"/>
      <c r="FEO17" s="37"/>
      <c r="FEP17" s="37"/>
      <c r="FEQ17" s="37"/>
      <c r="FER17" s="37"/>
      <c r="FES17" s="37"/>
      <c r="FET17" s="37"/>
      <c r="FEU17" s="37"/>
      <c r="FEV17" s="37"/>
      <c r="FEW17" s="37"/>
      <c r="FEX17" s="37"/>
      <c r="FEY17" s="37"/>
      <c r="FEZ17" s="37"/>
      <c r="FFA17" s="37"/>
      <c r="FFB17" s="37"/>
      <c r="FFC17" s="37"/>
      <c r="FFD17" s="37"/>
      <c r="FFE17" s="37"/>
      <c r="FFF17" s="37"/>
      <c r="FFG17" s="37"/>
      <c r="FFH17" s="37"/>
      <c r="FFI17" s="37"/>
      <c r="FFJ17" s="37"/>
      <c r="FFK17" s="37"/>
      <c r="FFL17" s="37"/>
      <c r="FFM17" s="37"/>
      <c r="FFN17" s="37"/>
      <c r="FFO17" s="37"/>
      <c r="FFP17" s="37"/>
      <c r="FFQ17" s="37"/>
      <c r="FFR17" s="37"/>
      <c r="FFS17" s="37"/>
      <c r="FFT17" s="37"/>
      <c r="FFU17" s="37"/>
      <c r="FFV17" s="37"/>
      <c r="FFW17" s="37"/>
      <c r="FFX17" s="37"/>
      <c r="FFY17" s="37"/>
      <c r="FFZ17" s="37"/>
      <c r="FGA17" s="37"/>
      <c r="FGB17" s="37"/>
      <c r="FGC17" s="37"/>
      <c r="FGD17" s="37"/>
      <c r="FGE17" s="37"/>
      <c r="FGF17" s="37"/>
      <c r="FGG17" s="37"/>
      <c r="FGH17" s="37"/>
      <c r="FGI17" s="37"/>
      <c r="FGJ17" s="37"/>
      <c r="FGK17" s="37"/>
      <c r="FGL17" s="37"/>
      <c r="FGM17" s="37"/>
      <c r="FGN17" s="37"/>
      <c r="FGO17" s="37"/>
      <c r="FGP17" s="37"/>
      <c r="FGQ17" s="37"/>
      <c r="FGR17" s="37"/>
      <c r="FGS17" s="37"/>
      <c r="FGT17" s="37"/>
      <c r="FGU17" s="37"/>
      <c r="FGV17" s="37"/>
      <c r="FGW17" s="37"/>
      <c r="FGX17" s="37"/>
      <c r="FGY17" s="37"/>
      <c r="FGZ17" s="37"/>
      <c r="FHA17" s="37"/>
      <c r="FHB17" s="37"/>
      <c r="FHC17" s="37"/>
      <c r="FHD17" s="37"/>
      <c r="FHE17" s="37"/>
      <c r="FHF17" s="37"/>
      <c r="FHG17" s="37"/>
      <c r="FHH17" s="37"/>
      <c r="FHI17" s="37"/>
      <c r="FHJ17" s="37"/>
      <c r="FHK17" s="37"/>
      <c r="FHL17" s="37"/>
      <c r="FHM17" s="37"/>
      <c r="FHN17" s="37"/>
      <c r="FHO17" s="37"/>
      <c r="FHP17" s="37"/>
      <c r="FHQ17" s="37"/>
      <c r="FHR17" s="37"/>
      <c r="FHS17" s="37"/>
      <c r="FHT17" s="37"/>
      <c r="FHU17" s="37"/>
      <c r="FHV17" s="37"/>
      <c r="FHW17" s="37"/>
      <c r="FHX17" s="37"/>
      <c r="FHY17" s="37"/>
      <c r="FHZ17" s="37"/>
      <c r="FIA17" s="37"/>
      <c r="FIB17" s="37"/>
      <c r="FIC17" s="37"/>
      <c r="FID17" s="37"/>
      <c r="FIE17" s="37"/>
      <c r="FIF17" s="37"/>
      <c r="FIG17" s="37"/>
      <c r="FIH17" s="37"/>
      <c r="FII17" s="37"/>
      <c r="FIJ17" s="37"/>
      <c r="FIK17" s="37"/>
      <c r="FIL17" s="37"/>
      <c r="FIM17" s="37"/>
      <c r="FIN17" s="37"/>
      <c r="FIO17" s="37"/>
      <c r="FIP17" s="37"/>
      <c r="FIQ17" s="37"/>
      <c r="FIR17" s="37"/>
      <c r="FIS17" s="37"/>
      <c r="FIT17" s="37"/>
      <c r="FIU17" s="37"/>
      <c r="FIV17" s="37"/>
      <c r="FIW17" s="37"/>
      <c r="FIX17" s="37"/>
      <c r="FIY17" s="37"/>
      <c r="FIZ17" s="37"/>
      <c r="FJA17" s="37"/>
      <c r="FJB17" s="37"/>
      <c r="FJC17" s="37"/>
      <c r="FJD17" s="37"/>
      <c r="FJE17" s="37"/>
      <c r="FJF17" s="37"/>
      <c r="FJG17" s="37"/>
      <c r="FJH17" s="37"/>
      <c r="FJI17" s="37"/>
      <c r="FJJ17" s="37"/>
      <c r="FJK17" s="37"/>
      <c r="FJL17" s="37"/>
      <c r="FJM17" s="37"/>
      <c r="FJN17" s="37"/>
      <c r="FJO17" s="37"/>
      <c r="FJP17" s="37"/>
      <c r="FJQ17" s="37"/>
      <c r="FJR17" s="37"/>
      <c r="FJS17" s="37"/>
      <c r="FJT17" s="37"/>
      <c r="FJU17" s="37"/>
      <c r="FJV17" s="37"/>
      <c r="FJW17" s="37"/>
      <c r="FJX17" s="37"/>
      <c r="FJY17" s="37"/>
      <c r="FJZ17" s="37"/>
      <c r="FKA17" s="37"/>
      <c r="FKB17" s="37"/>
      <c r="FKC17" s="37"/>
      <c r="FKD17" s="37"/>
      <c r="FKE17" s="37"/>
      <c r="FKF17" s="37"/>
      <c r="FKG17" s="37"/>
      <c r="FKH17" s="37"/>
      <c r="FKI17" s="37"/>
      <c r="FKJ17" s="37"/>
      <c r="FKK17" s="37"/>
      <c r="FKL17" s="37"/>
      <c r="FKM17" s="37"/>
      <c r="FKN17" s="37"/>
      <c r="FKO17" s="37"/>
      <c r="FKP17" s="37"/>
      <c r="FKQ17" s="37"/>
      <c r="FKR17" s="37"/>
      <c r="FKS17" s="37"/>
      <c r="FKT17" s="37"/>
      <c r="FKU17" s="37"/>
      <c r="FKV17" s="37"/>
      <c r="FKW17" s="37"/>
      <c r="FKX17" s="37"/>
      <c r="FKY17" s="37"/>
      <c r="FKZ17" s="37"/>
      <c r="FLA17" s="37"/>
      <c r="FLB17" s="37"/>
      <c r="FLC17" s="37"/>
      <c r="FLD17" s="37"/>
      <c r="FLE17" s="37"/>
      <c r="FLF17" s="37"/>
      <c r="FLG17" s="37"/>
      <c r="FLH17" s="37"/>
      <c r="FLI17" s="37"/>
      <c r="FLJ17" s="37"/>
      <c r="FLK17" s="37"/>
      <c r="FLL17" s="37"/>
      <c r="FLM17" s="37"/>
      <c r="FLN17" s="37"/>
      <c r="FLO17" s="37"/>
      <c r="FLP17" s="37"/>
      <c r="FLQ17" s="37"/>
      <c r="FLR17" s="37"/>
      <c r="FLS17" s="37"/>
      <c r="FLT17" s="37"/>
      <c r="FLU17" s="37"/>
      <c r="FLV17" s="37"/>
      <c r="FLW17" s="37"/>
      <c r="FLX17" s="37"/>
      <c r="FLY17" s="37"/>
      <c r="FLZ17" s="37"/>
      <c r="FMA17" s="37"/>
      <c r="FMB17" s="37"/>
      <c r="FMC17" s="37"/>
      <c r="FMD17" s="37"/>
      <c r="FME17" s="37"/>
      <c r="FMF17" s="37"/>
      <c r="FMG17" s="37"/>
      <c r="FMH17" s="37"/>
      <c r="FMI17" s="37"/>
      <c r="FMJ17" s="37"/>
      <c r="FMK17" s="37"/>
      <c r="FML17" s="37"/>
      <c r="FMM17" s="37"/>
      <c r="FMN17" s="37"/>
      <c r="FMO17" s="37"/>
      <c r="FMP17" s="37"/>
      <c r="FMQ17" s="37"/>
      <c r="FMR17" s="37"/>
      <c r="FMS17" s="37"/>
      <c r="FMT17" s="37"/>
      <c r="FMU17" s="37"/>
      <c r="FMV17" s="37"/>
      <c r="FMW17" s="37"/>
      <c r="FMX17" s="37"/>
      <c r="FMY17" s="37"/>
      <c r="FMZ17" s="37"/>
      <c r="FNA17" s="37"/>
      <c r="FNB17" s="37"/>
      <c r="FNC17" s="37"/>
      <c r="FND17" s="37"/>
      <c r="FNE17" s="37"/>
      <c r="FNF17" s="37"/>
      <c r="FNG17" s="37"/>
      <c r="FNH17" s="37"/>
      <c r="FNI17" s="37"/>
      <c r="FNJ17" s="37"/>
      <c r="FNK17" s="37"/>
      <c r="FNL17" s="37"/>
      <c r="FNM17" s="37"/>
      <c r="FNN17" s="37"/>
      <c r="FNO17" s="37"/>
      <c r="FNP17" s="37"/>
      <c r="FNQ17" s="37"/>
      <c r="FNR17" s="37"/>
      <c r="FNS17" s="37"/>
      <c r="FNT17" s="37"/>
      <c r="FNU17" s="37"/>
      <c r="FNV17" s="37"/>
      <c r="FNW17" s="37"/>
      <c r="FNX17" s="37"/>
      <c r="FNY17" s="37"/>
      <c r="FNZ17" s="37"/>
      <c r="FOA17" s="37"/>
      <c r="FOB17" s="37"/>
      <c r="FOC17" s="37"/>
      <c r="FOD17" s="37"/>
      <c r="FOE17" s="37"/>
      <c r="FOF17" s="37"/>
      <c r="FOG17" s="37"/>
      <c r="FOH17" s="37"/>
      <c r="FOI17" s="37"/>
      <c r="FOJ17" s="37"/>
      <c r="FOK17" s="37"/>
      <c r="FOL17" s="37"/>
      <c r="FOM17" s="37"/>
      <c r="FON17" s="37"/>
      <c r="FOO17" s="37"/>
      <c r="FOP17" s="37"/>
      <c r="FOQ17" s="37"/>
      <c r="FOR17" s="37"/>
      <c r="FOS17" s="37"/>
      <c r="FOT17" s="37"/>
      <c r="FOU17" s="37"/>
      <c r="FOV17" s="37"/>
      <c r="FOW17" s="37"/>
      <c r="FOX17" s="37"/>
      <c r="FOY17" s="37"/>
      <c r="FOZ17" s="37"/>
      <c r="FPA17" s="37"/>
      <c r="FPB17" s="37"/>
      <c r="FPC17" s="37"/>
      <c r="FPD17" s="37"/>
      <c r="FPE17" s="37"/>
      <c r="FPF17" s="37"/>
      <c r="FPG17" s="37"/>
      <c r="FPH17" s="37"/>
      <c r="FPI17" s="37"/>
      <c r="FPJ17" s="37"/>
      <c r="FPK17" s="37"/>
      <c r="FPL17" s="37"/>
      <c r="FPM17" s="37"/>
      <c r="FPN17" s="37"/>
      <c r="FPO17" s="37"/>
      <c r="FPP17" s="37"/>
      <c r="FPQ17" s="37"/>
      <c r="FPR17" s="37"/>
      <c r="FPS17" s="37"/>
      <c r="FPT17" s="37"/>
      <c r="FPU17" s="37"/>
      <c r="FPV17" s="37"/>
      <c r="FPW17" s="37"/>
      <c r="FPX17" s="37"/>
      <c r="FPY17" s="37"/>
      <c r="FPZ17" s="37"/>
      <c r="FQA17" s="37"/>
      <c r="FQB17" s="37"/>
      <c r="FQC17" s="37"/>
      <c r="FQD17" s="37"/>
      <c r="FQE17" s="37"/>
      <c r="FQF17" s="37"/>
      <c r="FQG17" s="37"/>
      <c r="FQH17" s="37"/>
      <c r="FQI17" s="37"/>
      <c r="FQJ17" s="37"/>
      <c r="FQK17" s="37"/>
      <c r="FQL17" s="37"/>
      <c r="FQM17" s="37"/>
      <c r="FQN17" s="37"/>
      <c r="FQO17" s="37"/>
      <c r="FQP17" s="37"/>
      <c r="FQQ17" s="37"/>
      <c r="FQR17" s="37"/>
      <c r="FQS17" s="37"/>
      <c r="FQT17" s="37"/>
      <c r="FQU17" s="37"/>
      <c r="FQV17" s="37"/>
      <c r="FQW17" s="37"/>
      <c r="FQX17" s="37"/>
      <c r="FQY17" s="37"/>
      <c r="FQZ17" s="37"/>
      <c r="FRA17" s="37"/>
      <c r="FRB17" s="37"/>
      <c r="FRC17" s="37"/>
      <c r="FRD17" s="37"/>
      <c r="FRE17" s="37"/>
      <c r="FRF17" s="37"/>
      <c r="FRG17" s="37"/>
      <c r="FRH17" s="37"/>
      <c r="FRI17" s="37"/>
      <c r="FRJ17" s="37"/>
      <c r="FRK17" s="37"/>
      <c r="FRL17" s="37"/>
      <c r="FRM17" s="37"/>
      <c r="FRN17" s="37"/>
      <c r="FRO17" s="37"/>
      <c r="FRP17" s="37"/>
      <c r="FRQ17" s="37"/>
      <c r="FRR17" s="37"/>
      <c r="FRS17" s="37"/>
      <c r="FRT17" s="37"/>
      <c r="FRU17" s="37"/>
      <c r="FRV17" s="37"/>
      <c r="FRW17" s="37"/>
      <c r="FRX17" s="37"/>
      <c r="FRY17" s="37"/>
      <c r="FRZ17" s="37"/>
      <c r="FSA17" s="37"/>
      <c r="FSB17" s="37"/>
      <c r="FSC17" s="37"/>
      <c r="FSD17" s="37"/>
      <c r="FSE17" s="37"/>
      <c r="FSF17" s="37"/>
      <c r="FSG17" s="37"/>
      <c r="FSH17" s="37"/>
      <c r="FSI17" s="37"/>
      <c r="FSJ17" s="37"/>
      <c r="FSK17" s="37"/>
      <c r="FSL17" s="37"/>
      <c r="FSM17" s="37"/>
      <c r="FSN17" s="37"/>
      <c r="FSO17" s="37"/>
      <c r="FSP17" s="37"/>
      <c r="FSQ17" s="37"/>
      <c r="FSR17" s="37"/>
      <c r="FSS17" s="37"/>
      <c r="FST17" s="37"/>
      <c r="FSU17" s="37"/>
      <c r="FSV17" s="37"/>
      <c r="FSW17" s="37"/>
      <c r="FSX17" s="37"/>
      <c r="FSY17" s="37"/>
      <c r="FSZ17" s="37"/>
      <c r="FTA17" s="37"/>
      <c r="FTB17" s="37"/>
      <c r="FTC17" s="37"/>
      <c r="FTD17" s="37"/>
      <c r="FTE17" s="37"/>
      <c r="FTF17" s="37"/>
      <c r="FTG17" s="37"/>
      <c r="FTH17" s="37"/>
      <c r="FTI17" s="37"/>
      <c r="FTJ17" s="37"/>
      <c r="FTK17" s="37"/>
      <c r="FTL17" s="37"/>
      <c r="FTM17" s="37"/>
      <c r="FTN17" s="37"/>
      <c r="FTO17" s="37"/>
      <c r="FTP17" s="37"/>
      <c r="FTQ17" s="37"/>
      <c r="FTR17" s="37"/>
      <c r="FTS17" s="37"/>
      <c r="FTT17" s="37"/>
      <c r="FTU17" s="37"/>
      <c r="FTV17" s="37"/>
      <c r="FTW17" s="37"/>
      <c r="FTX17" s="37"/>
      <c r="FTY17" s="37"/>
      <c r="FTZ17" s="37"/>
      <c r="FUA17" s="37"/>
      <c r="FUB17" s="37"/>
      <c r="FUC17" s="37"/>
      <c r="FUD17" s="37"/>
      <c r="FUE17" s="37"/>
      <c r="FUF17" s="37"/>
      <c r="FUG17" s="37"/>
      <c r="FUH17" s="37"/>
      <c r="FUI17" s="37"/>
      <c r="FUJ17" s="37"/>
      <c r="FUK17" s="37"/>
      <c r="FUL17" s="37"/>
      <c r="FUM17" s="37"/>
      <c r="FUN17" s="37"/>
      <c r="FUO17" s="37"/>
      <c r="FUP17" s="37"/>
      <c r="FUQ17" s="37"/>
      <c r="FUR17" s="37"/>
      <c r="FUS17" s="37"/>
      <c r="FUT17" s="37"/>
      <c r="FUU17" s="37"/>
      <c r="FUV17" s="37"/>
      <c r="FUW17" s="37"/>
      <c r="FUX17" s="37"/>
      <c r="FUY17" s="37"/>
      <c r="FUZ17" s="37"/>
      <c r="FVA17" s="37"/>
      <c r="FVB17" s="37"/>
      <c r="FVC17" s="37"/>
      <c r="FVD17" s="37"/>
      <c r="FVE17" s="37"/>
      <c r="FVF17" s="37"/>
      <c r="FVG17" s="37"/>
      <c r="FVH17" s="37"/>
      <c r="FVI17" s="37"/>
      <c r="FVJ17" s="37"/>
      <c r="FVK17" s="37"/>
      <c r="FVL17" s="37"/>
      <c r="FVM17" s="37"/>
      <c r="FVN17" s="37"/>
      <c r="FVO17" s="37"/>
      <c r="FVP17" s="37"/>
      <c r="FVQ17" s="37"/>
      <c r="FVR17" s="37"/>
      <c r="FVS17" s="37"/>
      <c r="FVT17" s="37"/>
      <c r="FVU17" s="37"/>
      <c r="FVV17" s="37"/>
      <c r="FVW17" s="37"/>
      <c r="FVX17" s="37"/>
      <c r="FVY17" s="37"/>
      <c r="FVZ17" s="37"/>
      <c r="FWA17" s="37"/>
      <c r="FWB17" s="37"/>
      <c r="FWC17" s="37"/>
      <c r="FWD17" s="37"/>
      <c r="FWE17" s="37"/>
      <c r="FWF17" s="37"/>
      <c r="FWG17" s="37"/>
      <c r="FWH17" s="37"/>
      <c r="FWI17" s="37"/>
      <c r="FWJ17" s="37"/>
      <c r="FWK17" s="37"/>
      <c r="FWL17" s="37"/>
      <c r="FWM17" s="37"/>
      <c r="FWN17" s="37"/>
      <c r="FWO17" s="37"/>
      <c r="FWP17" s="37"/>
      <c r="FWQ17" s="37"/>
      <c r="FWR17" s="37"/>
      <c r="FWS17" s="37"/>
      <c r="FWT17" s="37"/>
      <c r="FWU17" s="37"/>
      <c r="FWV17" s="37"/>
      <c r="FWW17" s="37"/>
      <c r="FWX17" s="37"/>
      <c r="FWY17" s="37"/>
      <c r="FWZ17" s="37"/>
      <c r="FXA17" s="37"/>
      <c r="FXB17" s="37"/>
      <c r="FXC17" s="37"/>
      <c r="FXD17" s="37"/>
      <c r="FXE17" s="37"/>
      <c r="FXF17" s="37"/>
      <c r="FXG17" s="37"/>
      <c r="FXH17" s="37"/>
      <c r="FXI17" s="37"/>
      <c r="FXJ17" s="37"/>
      <c r="FXK17" s="37"/>
      <c r="FXL17" s="37"/>
      <c r="FXM17" s="37"/>
      <c r="FXN17" s="37"/>
      <c r="FXO17" s="37"/>
      <c r="FXP17" s="37"/>
      <c r="FXQ17" s="37"/>
      <c r="FXR17" s="37"/>
      <c r="FXS17" s="37"/>
      <c r="FXT17" s="37"/>
      <c r="FXU17" s="37"/>
      <c r="FXV17" s="37"/>
      <c r="FXW17" s="37"/>
      <c r="FXX17" s="37"/>
      <c r="FXY17" s="37"/>
      <c r="FXZ17" s="37"/>
      <c r="FYA17" s="37"/>
      <c r="FYB17" s="37"/>
      <c r="FYC17" s="37"/>
      <c r="FYD17" s="37"/>
      <c r="FYE17" s="37"/>
      <c r="FYF17" s="37"/>
      <c r="FYG17" s="37"/>
      <c r="FYH17" s="37"/>
      <c r="FYI17" s="37"/>
      <c r="FYJ17" s="37"/>
      <c r="FYK17" s="37"/>
      <c r="FYL17" s="37"/>
      <c r="FYM17" s="37"/>
      <c r="FYN17" s="37"/>
      <c r="FYO17" s="37"/>
      <c r="FYP17" s="37"/>
      <c r="FYQ17" s="37"/>
      <c r="FYR17" s="37"/>
      <c r="FYS17" s="37"/>
      <c r="FYT17" s="37"/>
      <c r="FYU17" s="37"/>
      <c r="FYV17" s="37"/>
      <c r="FYW17" s="37"/>
      <c r="FYX17" s="37"/>
      <c r="FYY17" s="37"/>
      <c r="FYZ17" s="37"/>
      <c r="FZA17" s="37"/>
      <c r="FZB17" s="37"/>
      <c r="FZC17" s="37"/>
      <c r="FZD17" s="37"/>
      <c r="FZE17" s="37"/>
      <c r="FZF17" s="37"/>
      <c r="FZG17" s="37"/>
      <c r="FZH17" s="37"/>
      <c r="FZI17" s="37"/>
      <c r="FZJ17" s="37"/>
      <c r="FZK17" s="37"/>
      <c r="FZL17" s="37"/>
      <c r="FZM17" s="37"/>
      <c r="FZN17" s="37"/>
      <c r="FZO17" s="37"/>
      <c r="FZP17" s="37"/>
      <c r="FZQ17" s="37"/>
      <c r="FZR17" s="37"/>
      <c r="FZS17" s="37"/>
      <c r="FZT17" s="37"/>
      <c r="FZU17" s="37"/>
      <c r="FZV17" s="37"/>
      <c r="FZW17" s="37"/>
      <c r="FZX17" s="37"/>
      <c r="FZY17" s="37"/>
      <c r="FZZ17" s="37"/>
      <c r="GAA17" s="37"/>
      <c r="GAB17" s="37"/>
      <c r="GAC17" s="37"/>
      <c r="GAD17" s="37"/>
      <c r="GAE17" s="37"/>
      <c r="GAF17" s="37"/>
      <c r="GAG17" s="37"/>
      <c r="GAH17" s="37"/>
      <c r="GAI17" s="37"/>
      <c r="GAJ17" s="37"/>
      <c r="GAK17" s="37"/>
      <c r="GAL17" s="37"/>
      <c r="GAM17" s="37"/>
      <c r="GAN17" s="37"/>
      <c r="GAO17" s="37"/>
      <c r="GAP17" s="37"/>
      <c r="GAQ17" s="37"/>
      <c r="GAR17" s="37"/>
      <c r="GAS17" s="37"/>
      <c r="GAT17" s="37"/>
      <c r="GAU17" s="37"/>
      <c r="GAV17" s="37"/>
      <c r="GAW17" s="37"/>
      <c r="GAX17" s="37"/>
      <c r="GAY17" s="37"/>
      <c r="GAZ17" s="37"/>
      <c r="GBA17" s="37"/>
      <c r="GBB17" s="37"/>
      <c r="GBC17" s="37"/>
      <c r="GBD17" s="37"/>
      <c r="GBE17" s="37"/>
      <c r="GBF17" s="37"/>
      <c r="GBG17" s="37"/>
      <c r="GBH17" s="37"/>
      <c r="GBI17" s="37"/>
      <c r="GBJ17" s="37"/>
      <c r="GBK17" s="37"/>
      <c r="GBL17" s="37"/>
      <c r="GBM17" s="37"/>
      <c r="GBN17" s="37"/>
      <c r="GBO17" s="37"/>
      <c r="GBP17" s="37"/>
      <c r="GBQ17" s="37"/>
      <c r="GBR17" s="37"/>
      <c r="GBS17" s="37"/>
      <c r="GBT17" s="37"/>
      <c r="GBU17" s="37"/>
      <c r="GBV17" s="37"/>
      <c r="GBW17" s="37"/>
      <c r="GBX17" s="37"/>
      <c r="GBY17" s="37"/>
      <c r="GBZ17" s="37"/>
      <c r="GCA17" s="37"/>
      <c r="GCB17" s="37"/>
      <c r="GCC17" s="37"/>
      <c r="GCD17" s="37"/>
      <c r="GCE17" s="37"/>
      <c r="GCF17" s="37"/>
      <c r="GCG17" s="37"/>
      <c r="GCH17" s="37"/>
      <c r="GCI17" s="37"/>
      <c r="GCJ17" s="37"/>
      <c r="GCK17" s="37"/>
      <c r="GCL17" s="37"/>
      <c r="GCM17" s="37"/>
      <c r="GCN17" s="37"/>
      <c r="GCO17" s="37"/>
      <c r="GCP17" s="37"/>
      <c r="GCQ17" s="37"/>
      <c r="GCR17" s="37"/>
      <c r="GCS17" s="37"/>
      <c r="GCT17" s="37"/>
      <c r="GCU17" s="37"/>
      <c r="GCV17" s="37"/>
      <c r="GCW17" s="37"/>
      <c r="GCX17" s="37"/>
      <c r="GCY17" s="37"/>
      <c r="GCZ17" s="37"/>
      <c r="GDA17" s="37"/>
      <c r="GDB17" s="37"/>
      <c r="GDC17" s="37"/>
      <c r="GDD17" s="37"/>
      <c r="GDE17" s="37"/>
      <c r="GDF17" s="37"/>
      <c r="GDG17" s="37"/>
      <c r="GDH17" s="37"/>
      <c r="GDI17" s="37"/>
      <c r="GDJ17" s="37"/>
      <c r="GDK17" s="37"/>
      <c r="GDL17" s="37"/>
      <c r="GDM17" s="37"/>
      <c r="GDN17" s="37"/>
      <c r="GDO17" s="37"/>
      <c r="GDP17" s="37"/>
      <c r="GDQ17" s="37"/>
      <c r="GDR17" s="37"/>
      <c r="GDS17" s="37"/>
      <c r="GDT17" s="37"/>
      <c r="GDU17" s="37"/>
      <c r="GDV17" s="37"/>
      <c r="GDW17" s="37"/>
      <c r="GDX17" s="37"/>
      <c r="GDY17" s="37"/>
      <c r="GDZ17" s="37"/>
      <c r="GEA17" s="37"/>
      <c r="GEB17" s="37"/>
      <c r="GEC17" s="37"/>
      <c r="GED17" s="37"/>
      <c r="GEE17" s="37"/>
      <c r="GEF17" s="37"/>
      <c r="GEG17" s="37"/>
      <c r="GEH17" s="37"/>
      <c r="GEI17" s="37"/>
      <c r="GEJ17" s="37"/>
      <c r="GEK17" s="37"/>
      <c r="GEL17" s="37"/>
      <c r="GEM17" s="37"/>
      <c r="GEN17" s="37"/>
      <c r="GEO17" s="37"/>
      <c r="GEP17" s="37"/>
      <c r="GEQ17" s="37"/>
      <c r="GER17" s="37"/>
      <c r="GES17" s="37"/>
      <c r="GET17" s="37"/>
      <c r="GEU17" s="37"/>
      <c r="GEV17" s="37"/>
      <c r="GEW17" s="37"/>
      <c r="GEX17" s="37"/>
      <c r="GEY17" s="37"/>
      <c r="GEZ17" s="37"/>
      <c r="GFA17" s="37"/>
      <c r="GFB17" s="37"/>
      <c r="GFC17" s="37"/>
      <c r="GFD17" s="37"/>
      <c r="GFE17" s="37"/>
      <c r="GFF17" s="37"/>
      <c r="GFG17" s="37"/>
      <c r="GFH17" s="37"/>
      <c r="GFI17" s="37"/>
      <c r="GFJ17" s="37"/>
      <c r="GFK17" s="37"/>
      <c r="GFL17" s="37"/>
      <c r="GFM17" s="37"/>
      <c r="GFN17" s="37"/>
      <c r="GFO17" s="37"/>
      <c r="GFP17" s="37"/>
      <c r="GFQ17" s="37"/>
      <c r="GFR17" s="37"/>
      <c r="GFS17" s="37"/>
      <c r="GFT17" s="37"/>
      <c r="GFU17" s="37"/>
      <c r="GFV17" s="37"/>
      <c r="GFW17" s="37"/>
      <c r="GFX17" s="37"/>
      <c r="GFY17" s="37"/>
      <c r="GFZ17" s="37"/>
      <c r="GGA17" s="37"/>
      <c r="GGB17" s="37"/>
      <c r="GGC17" s="37"/>
      <c r="GGD17" s="37"/>
      <c r="GGE17" s="37"/>
      <c r="GGF17" s="37"/>
      <c r="GGG17" s="37"/>
      <c r="GGH17" s="37"/>
      <c r="GGI17" s="37"/>
      <c r="GGJ17" s="37"/>
      <c r="GGK17" s="37"/>
      <c r="GGL17" s="37"/>
      <c r="GGM17" s="37"/>
      <c r="GGN17" s="37"/>
      <c r="GGO17" s="37"/>
      <c r="GGP17" s="37"/>
      <c r="GGQ17" s="37"/>
      <c r="GGR17" s="37"/>
      <c r="GGS17" s="37"/>
      <c r="GGT17" s="37"/>
      <c r="GGU17" s="37"/>
      <c r="GGV17" s="37"/>
      <c r="GGW17" s="37"/>
      <c r="GGX17" s="37"/>
      <c r="GGY17" s="37"/>
      <c r="GGZ17" s="37"/>
      <c r="GHA17" s="37"/>
      <c r="GHB17" s="37"/>
      <c r="GHC17" s="37"/>
      <c r="GHD17" s="37"/>
      <c r="GHE17" s="37"/>
      <c r="GHF17" s="37"/>
      <c r="GHG17" s="37"/>
      <c r="GHH17" s="37"/>
      <c r="GHI17" s="37"/>
      <c r="GHJ17" s="37"/>
      <c r="GHK17" s="37"/>
      <c r="GHL17" s="37"/>
      <c r="GHM17" s="37"/>
      <c r="GHN17" s="37"/>
      <c r="GHO17" s="37"/>
      <c r="GHP17" s="37"/>
      <c r="GHQ17" s="37"/>
      <c r="GHR17" s="37"/>
      <c r="GHS17" s="37"/>
      <c r="GHT17" s="37"/>
      <c r="GHU17" s="37"/>
      <c r="GHV17" s="37"/>
      <c r="GHW17" s="37"/>
      <c r="GHX17" s="37"/>
      <c r="GHY17" s="37"/>
      <c r="GHZ17" s="37"/>
      <c r="GIA17" s="37"/>
      <c r="GIB17" s="37"/>
      <c r="GIC17" s="37"/>
      <c r="GID17" s="37"/>
      <c r="GIE17" s="37"/>
      <c r="GIF17" s="37"/>
      <c r="GIG17" s="37"/>
      <c r="GIH17" s="37"/>
      <c r="GII17" s="37"/>
      <c r="GIJ17" s="37"/>
      <c r="GIK17" s="37"/>
      <c r="GIL17" s="37"/>
      <c r="GIM17" s="37"/>
      <c r="GIN17" s="37"/>
      <c r="GIO17" s="37"/>
      <c r="GIP17" s="37"/>
      <c r="GIQ17" s="37"/>
      <c r="GIR17" s="37"/>
      <c r="GIS17" s="37"/>
      <c r="GIT17" s="37"/>
      <c r="GIU17" s="37"/>
      <c r="GIV17" s="37"/>
      <c r="GIW17" s="37"/>
      <c r="GIX17" s="37"/>
      <c r="GIY17" s="37"/>
      <c r="GIZ17" s="37"/>
      <c r="GJA17" s="37"/>
      <c r="GJB17" s="37"/>
      <c r="GJC17" s="37"/>
      <c r="GJD17" s="37"/>
      <c r="GJE17" s="37"/>
      <c r="GJF17" s="37"/>
      <c r="GJG17" s="37"/>
      <c r="GJH17" s="37"/>
      <c r="GJI17" s="37"/>
      <c r="GJJ17" s="37"/>
      <c r="GJK17" s="37"/>
      <c r="GJL17" s="37"/>
      <c r="GJM17" s="37"/>
      <c r="GJN17" s="37"/>
      <c r="GJO17" s="37"/>
      <c r="GJP17" s="37"/>
      <c r="GJQ17" s="37"/>
      <c r="GJR17" s="37"/>
      <c r="GJS17" s="37"/>
      <c r="GJT17" s="37"/>
      <c r="GJU17" s="37"/>
      <c r="GJV17" s="37"/>
      <c r="GJW17" s="37"/>
      <c r="GJX17" s="37"/>
      <c r="GJY17" s="37"/>
      <c r="GJZ17" s="37"/>
      <c r="GKA17" s="37"/>
      <c r="GKB17" s="37"/>
      <c r="GKC17" s="37"/>
      <c r="GKD17" s="37"/>
      <c r="GKE17" s="37"/>
      <c r="GKF17" s="37"/>
      <c r="GKG17" s="37"/>
      <c r="GKH17" s="37"/>
      <c r="GKI17" s="37"/>
      <c r="GKJ17" s="37"/>
      <c r="GKK17" s="37"/>
      <c r="GKL17" s="37"/>
      <c r="GKM17" s="37"/>
      <c r="GKN17" s="37"/>
      <c r="GKO17" s="37"/>
      <c r="GKP17" s="37"/>
      <c r="GKQ17" s="37"/>
      <c r="GKR17" s="37"/>
      <c r="GKS17" s="37"/>
      <c r="GKT17" s="37"/>
      <c r="GKU17" s="37"/>
      <c r="GKV17" s="37"/>
      <c r="GKW17" s="37"/>
      <c r="GKX17" s="37"/>
      <c r="GKY17" s="37"/>
      <c r="GKZ17" s="37"/>
      <c r="GLA17" s="37"/>
      <c r="GLB17" s="37"/>
      <c r="GLC17" s="37"/>
      <c r="GLD17" s="37"/>
      <c r="GLE17" s="37"/>
      <c r="GLF17" s="37"/>
      <c r="GLG17" s="37"/>
      <c r="GLH17" s="37"/>
      <c r="GLI17" s="37"/>
      <c r="GLJ17" s="37"/>
      <c r="GLK17" s="37"/>
      <c r="GLL17" s="37"/>
      <c r="GLM17" s="37"/>
      <c r="GLN17" s="37"/>
      <c r="GLO17" s="37"/>
      <c r="GLP17" s="37"/>
      <c r="GLQ17" s="37"/>
      <c r="GLR17" s="37"/>
      <c r="GLS17" s="37"/>
      <c r="GLT17" s="37"/>
      <c r="GLU17" s="37"/>
      <c r="GLV17" s="37"/>
      <c r="GLW17" s="37"/>
      <c r="GLX17" s="37"/>
      <c r="GLY17" s="37"/>
      <c r="GLZ17" s="37"/>
      <c r="GMA17" s="37"/>
      <c r="GMB17" s="37"/>
      <c r="GMC17" s="37"/>
      <c r="GMD17" s="37"/>
      <c r="GME17" s="37"/>
      <c r="GMF17" s="37"/>
      <c r="GMG17" s="37"/>
      <c r="GMH17" s="37"/>
      <c r="GMI17" s="37"/>
      <c r="GMJ17" s="37"/>
      <c r="GMK17" s="37"/>
      <c r="GML17" s="37"/>
      <c r="GMM17" s="37"/>
      <c r="GMN17" s="37"/>
      <c r="GMO17" s="37"/>
      <c r="GMP17" s="37"/>
      <c r="GMQ17" s="37"/>
      <c r="GMR17" s="37"/>
      <c r="GMS17" s="37"/>
      <c r="GMT17" s="37"/>
      <c r="GMU17" s="37"/>
      <c r="GMV17" s="37"/>
      <c r="GMW17" s="37"/>
      <c r="GMX17" s="37"/>
      <c r="GMY17" s="37"/>
      <c r="GMZ17" s="37"/>
      <c r="GNA17" s="37"/>
      <c r="GNB17" s="37"/>
      <c r="GNC17" s="37"/>
      <c r="GND17" s="37"/>
      <c r="GNE17" s="37"/>
      <c r="GNF17" s="37"/>
      <c r="GNG17" s="37"/>
      <c r="GNH17" s="37"/>
      <c r="GNI17" s="37"/>
      <c r="GNJ17" s="37"/>
      <c r="GNK17" s="37"/>
      <c r="GNL17" s="37"/>
      <c r="GNM17" s="37"/>
      <c r="GNN17" s="37"/>
      <c r="GNO17" s="37"/>
      <c r="GNP17" s="37"/>
      <c r="GNQ17" s="37"/>
      <c r="GNR17" s="37"/>
      <c r="GNS17" s="37"/>
      <c r="GNT17" s="37"/>
      <c r="GNU17" s="37"/>
      <c r="GNV17" s="37"/>
      <c r="GNW17" s="37"/>
      <c r="GNX17" s="37"/>
      <c r="GNY17" s="37"/>
      <c r="GNZ17" s="37"/>
      <c r="GOA17" s="37"/>
      <c r="GOB17" s="37"/>
      <c r="GOC17" s="37"/>
      <c r="GOD17" s="37"/>
      <c r="GOE17" s="37"/>
      <c r="GOF17" s="37"/>
      <c r="GOG17" s="37"/>
      <c r="GOH17" s="37"/>
      <c r="GOI17" s="37"/>
      <c r="GOJ17" s="37"/>
      <c r="GOK17" s="37"/>
      <c r="GOL17" s="37"/>
      <c r="GOM17" s="37"/>
      <c r="GON17" s="37"/>
      <c r="GOO17" s="37"/>
      <c r="GOP17" s="37"/>
      <c r="GOQ17" s="37"/>
      <c r="GOR17" s="37"/>
      <c r="GOS17" s="37"/>
      <c r="GOT17" s="37"/>
      <c r="GOU17" s="37"/>
      <c r="GOV17" s="37"/>
      <c r="GOW17" s="37"/>
      <c r="GOX17" s="37"/>
      <c r="GOY17" s="37"/>
      <c r="GOZ17" s="37"/>
      <c r="GPA17" s="37"/>
      <c r="GPB17" s="37"/>
      <c r="GPC17" s="37"/>
      <c r="GPD17" s="37"/>
      <c r="GPE17" s="37"/>
      <c r="GPF17" s="37"/>
      <c r="GPG17" s="37"/>
      <c r="GPH17" s="37"/>
      <c r="GPI17" s="37"/>
      <c r="GPJ17" s="37"/>
      <c r="GPK17" s="37"/>
      <c r="GPL17" s="37"/>
      <c r="GPM17" s="37"/>
      <c r="GPN17" s="37"/>
      <c r="GPO17" s="37"/>
      <c r="GPP17" s="37"/>
      <c r="GPQ17" s="37"/>
      <c r="GPR17" s="37"/>
      <c r="GPS17" s="37"/>
      <c r="GPT17" s="37"/>
      <c r="GPU17" s="37"/>
      <c r="GPV17" s="37"/>
      <c r="GPW17" s="37"/>
      <c r="GPX17" s="37"/>
      <c r="GPY17" s="37"/>
      <c r="GPZ17" s="37"/>
      <c r="GQA17" s="37"/>
      <c r="GQB17" s="37"/>
      <c r="GQC17" s="37"/>
      <c r="GQD17" s="37"/>
      <c r="GQE17" s="37"/>
      <c r="GQF17" s="37"/>
      <c r="GQG17" s="37"/>
      <c r="GQH17" s="37"/>
      <c r="GQI17" s="37"/>
      <c r="GQJ17" s="37"/>
      <c r="GQK17" s="37"/>
      <c r="GQL17" s="37"/>
      <c r="GQM17" s="37"/>
      <c r="GQN17" s="37"/>
      <c r="GQO17" s="37"/>
      <c r="GQP17" s="37"/>
      <c r="GQQ17" s="37"/>
      <c r="GQR17" s="37"/>
      <c r="GQS17" s="37"/>
      <c r="GQT17" s="37"/>
      <c r="GQU17" s="37"/>
      <c r="GQV17" s="37"/>
      <c r="GQW17" s="37"/>
      <c r="GQX17" s="37"/>
      <c r="GQY17" s="37"/>
      <c r="GQZ17" s="37"/>
      <c r="GRA17" s="37"/>
      <c r="GRB17" s="37"/>
      <c r="GRC17" s="37"/>
      <c r="GRD17" s="37"/>
      <c r="GRE17" s="37"/>
      <c r="GRF17" s="37"/>
      <c r="GRG17" s="37"/>
      <c r="GRH17" s="37"/>
      <c r="GRI17" s="37"/>
      <c r="GRJ17" s="37"/>
      <c r="GRK17" s="37"/>
      <c r="GRL17" s="37"/>
      <c r="GRM17" s="37"/>
      <c r="GRN17" s="37"/>
      <c r="GRO17" s="37"/>
      <c r="GRP17" s="37"/>
      <c r="GRQ17" s="37"/>
      <c r="GRR17" s="37"/>
      <c r="GRS17" s="37"/>
      <c r="GRT17" s="37"/>
      <c r="GRU17" s="37"/>
      <c r="GRV17" s="37"/>
      <c r="GRW17" s="37"/>
      <c r="GRX17" s="37"/>
      <c r="GRY17" s="37"/>
      <c r="GRZ17" s="37"/>
      <c r="GSA17" s="37"/>
      <c r="GSB17" s="37"/>
      <c r="GSC17" s="37"/>
      <c r="GSD17" s="37"/>
      <c r="GSE17" s="37"/>
      <c r="GSF17" s="37"/>
      <c r="GSG17" s="37"/>
      <c r="GSH17" s="37"/>
      <c r="GSI17" s="37"/>
      <c r="GSJ17" s="37"/>
      <c r="GSK17" s="37"/>
      <c r="GSL17" s="37"/>
      <c r="GSM17" s="37"/>
      <c r="GSN17" s="37"/>
      <c r="GSO17" s="37"/>
      <c r="GSP17" s="37"/>
      <c r="GSQ17" s="37"/>
      <c r="GSR17" s="37"/>
      <c r="GSS17" s="37"/>
      <c r="GST17" s="37"/>
      <c r="GSU17" s="37"/>
      <c r="GSV17" s="37"/>
      <c r="GSW17" s="37"/>
      <c r="GSX17" s="37"/>
      <c r="GSY17" s="37"/>
      <c r="GSZ17" s="37"/>
      <c r="GTA17" s="37"/>
      <c r="GTB17" s="37"/>
      <c r="GTC17" s="37"/>
      <c r="GTD17" s="37"/>
      <c r="GTE17" s="37"/>
      <c r="GTF17" s="37"/>
      <c r="GTG17" s="37"/>
      <c r="GTH17" s="37"/>
      <c r="GTI17" s="37"/>
      <c r="GTJ17" s="37"/>
      <c r="GTK17" s="37"/>
      <c r="GTL17" s="37"/>
      <c r="GTM17" s="37"/>
      <c r="GTN17" s="37"/>
      <c r="GTO17" s="37"/>
      <c r="GTP17" s="37"/>
      <c r="GTQ17" s="37"/>
      <c r="GTR17" s="37"/>
      <c r="GTS17" s="37"/>
      <c r="GTT17" s="37"/>
      <c r="GTU17" s="37"/>
      <c r="GTV17" s="37"/>
      <c r="GTW17" s="37"/>
      <c r="GTX17" s="37"/>
      <c r="GTY17" s="37"/>
      <c r="GTZ17" s="37"/>
      <c r="GUA17" s="37"/>
      <c r="GUB17" s="37"/>
      <c r="GUC17" s="37"/>
      <c r="GUD17" s="37"/>
      <c r="GUE17" s="37"/>
      <c r="GUF17" s="37"/>
      <c r="GUG17" s="37"/>
      <c r="GUH17" s="37"/>
      <c r="GUI17" s="37"/>
      <c r="GUJ17" s="37"/>
      <c r="GUK17" s="37"/>
      <c r="GUL17" s="37"/>
      <c r="GUM17" s="37"/>
      <c r="GUN17" s="37"/>
      <c r="GUO17" s="37"/>
      <c r="GUP17" s="37"/>
      <c r="GUQ17" s="37"/>
      <c r="GUR17" s="37"/>
      <c r="GUS17" s="37"/>
      <c r="GUT17" s="37"/>
      <c r="GUU17" s="37"/>
      <c r="GUV17" s="37"/>
      <c r="GUW17" s="37"/>
      <c r="GUX17" s="37"/>
      <c r="GUY17" s="37"/>
      <c r="GUZ17" s="37"/>
      <c r="GVA17" s="37"/>
      <c r="GVB17" s="37"/>
      <c r="GVC17" s="37"/>
      <c r="GVD17" s="37"/>
      <c r="GVE17" s="37"/>
      <c r="GVF17" s="37"/>
      <c r="GVG17" s="37"/>
      <c r="GVH17" s="37"/>
      <c r="GVI17" s="37"/>
      <c r="GVJ17" s="37"/>
      <c r="GVK17" s="37"/>
      <c r="GVL17" s="37"/>
      <c r="GVM17" s="37"/>
      <c r="GVN17" s="37"/>
      <c r="GVO17" s="37"/>
      <c r="GVP17" s="37"/>
      <c r="GVQ17" s="37"/>
      <c r="GVR17" s="37"/>
      <c r="GVS17" s="37"/>
      <c r="GVT17" s="37"/>
      <c r="GVU17" s="37"/>
      <c r="GVV17" s="37"/>
      <c r="GVW17" s="37"/>
      <c r="GVX17" s="37"/>
      <c r="GVY17" s="37"/>
      <c r="GVZ17" s="37"/>
      <c r="GWA17" s="37"/>
      <c r="GWB17" s="37"/>
      <c r="GWC17" s="37"/>
      <c r="GWD17" s="37"/>
      <c r="GWE17" s="37"/>
      <c r="GWF17" s="37"/>
      <c r="GWG17" s="37"/>
      <c r="GWH17" s="37"/>
      <c r="GWI17" s="37"/>
      <c r="GWJ17" s="37"/>
      <c r="GWK17" s="37"/>
      <c r="GWL17" s="37"/>
      <c r="GWM17" s="37"/>
      <c r="GWN17" s="37"/>
      <c r="GWO17" s="37"/>
      <c r="GWP17" s="37"/>
      <c r="GWQ17" s="37"/>
      <c r="GWR17" s="37"/>
      <c r="GWS17" s="37"/>
      <c r="GWT17" s="37"/>
      <c r="GWU17" s="37"/>
      <c r="GWV17" s="37"/>
      <c r="GWW17" s="37"/>
      <c r="GWX17" s="37"/>
      <c r="GWY17" s="37"/>
      <c r="GWZ17" s="37"/>
      <c r="GXA17" s="37"/>
      <c r="GXB17" s="37"/>
      <c r="GXC17" s="37"/>
      <c r="GXD17" s="37"/>
      <c r="GXE17" s="37"/>
      <c r="GXF17" s="37"/>
      <c r="GXG17" s="37"/>
      <c r="GXH17" s="37"/>
      <c r="GXI17" s="37"/>
      <c r="GXJ17" s="37"/>
      <c r="GXK17" s="37"/>
      <c r="GXL17" s="37"/>
      <c r="GXM17" s="37"/>
      <c r="GXN17" s="37"/>
      <c r="GXO17" s="37"/>
      <c r="GXP17" s="37"/>
      <c r="GXQ17" s="37"/>
      <c r="GXR17" s="37"/>
      <c r="GXS17" s="37"/>
      <c r="GXT17" s="37"/>
      <c r="GXU17" s="37"/>
      <c r="GXV17" s="37"/>
      <c r="GXW17" s="37"/>
      <c r="GXX17" s="37"/>
      <c r="GXY17" s="37"/>
      <c r="GXZ17" s="37"/>
      <c r="GYA17" s="37"/>
      <c r="GYB17" s="37"/>
      <c r="GYC17" s="37"/>
      <c r="GYD17" s="37"/>
      <c r="GYE17" s="37"/>
      <c r="GYF17" s="37"/>
      <c r="GYG17" s="37"/>
      <c r="GYH17" s="37"/>
      <c r="GYI17" s="37"/>
      <c r="GYJ17" s="37"/>
      <c r="GYK17" s="37"/>
      <c r="GYL17" s="37"/>
      <c r="GYM17" s="37"/>
      <c r="GYN17" s="37"/>
      <c r="GYO17" s="37"/>
      <c r="GYP17" s="37"/>
      <c r="GYQ17" s="37"/>
      <c r="GYR17" s="37"/>
      <c r="GYS17" s="37"/>
      <c r="GYT17" s="37"/>
      <c r="GYU17" s="37"/>
      <c r="GYV17" s="37"/>
      <c r="GYW17" s="37"/>
      <c r="GYX17" s="37"/>
      <c r="GYY17" s="37"/>
      <c r="GYZ17" s="37"/>
      <c r="GZA17" s="37"/>
      <c r="GZB17" s="37"/>
      <c r="GZC17" s="37"/>
      <c r="GZD17" s="37"/>
      <c r="GZE17" s="37"/>
      <c r="GZF17" s="37"/>
      <c r="GZG17" s="37"/>
      <c r="GZH17" s="37"/>
      <c r="GZI17" s="37"/>
      <c r="GZJ17" s="37"/>
      <c r="GZK17" s="37"/>
      <c r="GZL17" s="37"/>
      <c r="GZM17" s="37"/>
      <c r="GZN17" s="37"/>
      <c r="GZO17" s="37"/>
      <c r="GZP17" s="37"/>
      <c r="GZQ17" s="37"/>
      <c r="GZR17" s="37"/>
      <c r="GZS17" s="37"/>
      <c r="GZT17" s="37"/>
      <c r="GZU17" s="37"/>
      <c r="GZV17" s="37"/>
      <c r="GZW17" s="37"/>
      <c r="GZX17" s="37"/>
      <c r="GZY17" s="37"/>
      <c r="GZZ17" s="37"/>
      <c r="HAA17" s="37"/>
      <c r="HAB17" s="37"/>
      <c r="HAC17" s="37"/>
      <c r="HAD17" s="37"/>
      <c r="HAE17" s="37"/>
      <c r="HAF17" s="37"/>
      <c r="HAG17" s="37"/>
      <c r="HAH17" s="37"/>
      <c r="HAI17" s="37"/>
      <c r="HAJ17" s="37"/>
      <c r="HAK17" s="37"/>
      <c r="HAL17" s="37"/>
      <c r="HAM17" s="37"/>
      <c r="HAN17" s="37"/>
      <c r="HAO17" s="37"/>
      <c r="HAP17" s="37"/>
      <c r="HAQ17" s="37"/>
      <c r="HAR17" s="37"/>
      <c r="HAS17" s="37"/>
      <c r="HAT17" s="37"/>
      <c r="HAU17" s="37"/>
      <c r="HAV17" s="37"/>
      <c r="HAW17" s="37"/>
      <c r="HAX17" s="37"/>
      <c r="HAY17" s="37"/>
      <c r="HAZ17" s="37"/>
      <c r="HBA17" s="37"/>
      <c r="HBB17" s="37"/>
      <c r="HBC17" s="37"/>
      <c r="HBD17" s="37"/>
      <c r="HBE17" s="37"/>
      <c r="HBF17" s="37"/>
      <c r="HBG17" s="37"/>
      <c r="HBH17" s="37"/>
      <c r="HBI17" s="37"/>
      <c r="HBJ17" s="37"/>
      <c r="HBK17" s="37"/>
      <c r="HBL17" s="37"/>
      <c r="HBM17" s="37"/>
      <c r="HBN17" s="37"/>
      <c r="HBO17" s="37"/>
      <c r="HBP17" s="37"/>
      <c r="HBQ17" s="37"/>
      <c r="HBR17" s="37"/>
      <c r="HBS17" s="37"/>
      <c r="HBT17" s="37"/>
      <c r="HBU17" s="37"/>
      <c r="HBV17" s="37"/>
      <c r="HBW17" s="37"/>
      <c r="HBX17" s="37"/>
      <c r="HBY17" s="37"/>
      <c r="HBZ17" s="37"/>
      <c r="HCA17" s="37"/>
      <c r="HCB17" s="37"/>
      <c r="HCC17" s="37"/>
      <c r="HCD17" s="37"/>
      <c r="HCE17" s="37"/>
      <c r="HCF17" s="37"/>
      <c r="HCG17" s="37"/>
      <c r="HCH17" s="37"/>
      <c r="HCI17" s="37"/>
      <c r="HCJ17" s="37"/>
      <c r="HCK17" s="37"/>
      <c r="HCL17" s="37"/>
      <c r="HCM17" s="37"/>
      <c r="HCN17" s="37"/>
      <c r="HCO17" s="37"/>
      <c r="HCP17" s="37"/>
      <c r="HCQ17" s="37"/>
      <c r="HCR17" s="37"/>
      <c r="HCS17" s="37"/>
      <c r="HCT17" s="37"/>
      <c r="HCU17" s="37"/>
      <c r="HCV17" s="37"/>
      <c r="HCW17" s="37"/>
      <c r="HCX17" s="37"/>
      <c r="HCY17" s="37"/>
      <c r="HCZ17" s="37"/>
      <c r="HDA17" s="37"/>
      <c r="HDB17" s="37"/>
      <c r="HDC17" s="37"/>
      <c r="HDD17" s="37"/>
      <c r="HDE17" s="37"/>
      <c r="HDF17" s="37"/>
      <c r="HDG17" s="37"/>
      <c r="HDH17" s="37"/>
      <c r="HDI17" s="37"/>
      <c r="HDJ17" s="37"/>
      <c r="HDK17" s="37"/>
      <c r="HDL17" s="37"/>
      <c r="HDM17" s="37"/>
      <c r="HDN17" s="37"/>
      <c r="HDO17" s="37"/>
      <c r="HDP17" s="37"/>
      <c r="HDQ17" s="37"/>
      <c r="HDR17" s="37"/>
      <c r="HDS17" s="37"/>
      <c r="HDT17" s="37"/>
      <c r="HDU17" s="37"/>
      <c r="HDV17" s="37"/>
      <c r="HDW17" s="37"/>
      <c r="HDX17" s="37"/>
      <c r="HDY17" s="37"/>
      <c r="HDZ17" s="37"/>
      <c r="HEA17" s="37"/>
      <c r="HEB17" s="37"/>
      <c r="HEC17" s="37"/>
      <c r="HED17" s="37"/>
      <c r="HEE17" s="37"/>
      <c r="HEF17" s="37"/>
      <c r="HEG17" s="37"/>
      <c r="HEH17" s="37"/>
      <c r="HEI17" s="37"/>
      <c r="HEJ17" s="37"/>
      <c r="HEK17" s="37"/>
      <c r="HEL17" s="37"/>
      <c r="HEM17" s="37"/>
      <c r="HEN17" s="37"/>
      <c r="HEO17" s="37"/>
      <c r="HEP17" s="37"/>
      <c r="HEQ17" s="37"/>
      <c r="HER17" s="37"/>
      <c r="HES17" s="37"/>
      <c r="HET17" s="37"/>
      <c r="HEU17" s="37"/>
      <c r="HEV17" s="37"/>
      <c r="HEW17" s="37"/>
      <c r="HEX17" s="37"/>
      <c r="HEY17" s="37"/>
      <c r="HEZ17" s="37"/>
      <c r="HFA17" s="37"/>
      <c r="HFB17" s="37"/>
      <c r="HFC17" s="37"/>
      <c r="HFD17" s="37"/>
      <c r="HFE17" s="37"/>
      <c r="HFF17" s="37"/>
      <c r="HFG17" s="37"/>
      <c r="HFH17" s="37"/>
      <c r="HFI17" s="37"/>
      <c r="HFJ17" s="37"/>
      <c r="HFK17" s="37"/>
      <c r="HFL17" s="37"/>
      <c r="HFM17" s="37"/>
      <c r="HFN17" s="37"/>
      <c r="HFO17" s="37"/>
      <c r="HFP17" s="37"/>
      <c r="HFQ17" s="37"/>
      <c r="HFR17" s="37"/>
      <c r="HFS17" s="37"/>
      <c r="HFT17" s="37"/>
      <c r="HFU17" s="37"/>
      <c r="HFV17" s="37"/>
      <c r="HFW17" s="37"/>
      <c r="HFX17" s="37"/>
      <c r="HFY17" s="37"/>
      <c r="HFZ17" s="37"/>
      <c r="HGA17" s="37"/>
      <c r="HGB17" s="37"/>
      <c r="HGC17" s="37"/>
      <c r="HGD17" s="37"/>
      <c r="HGE17" s="37"/>
      <c r="HGF17" s="37"/>
      <c r="HGG17" s="37"/>
      <c r="HGH17" s="37"/>
      <c r="HGI17" s="37"/>
      <c r="HGJ17" s="37"/>
      <c r="HGK17" s="37"/>
      <c r="HGL17" s="37"/>
      <c r="HGM17" s="37"/>
      <c r="HGN17" s="37"/>
      <c r="HGO17" s="37"/>
      <c r="HGP17" s="37"/>
      <c r="HGQ17" s="37"/>
      <c r="HGR17" s="37"/>
      <c r="HGS17" s="37"/>
      <c r="HGT17" s="37"/>
      <c r="HGU17" s="37"/>
      <c r="HGV17" s="37"/>
      <c r="HGW17" s="37"/>
      <c r="HGX17" s="37"/>
      <c r="HGY17" s="37"/>
      <c r="HGZ17" s="37"/>
      <c r="HHA17" s="37"/>
      <c r="HHB17" s="37"/>
      <c r="HHC17" s="37"/>
      <c r="HHD17" s="37"/>
      <c r="HHE17" s="37"/>
      <c r="HHF17" s="37"/>
      <c r="HHG17" s="37"/>
      <c r="HHH17" s="37"/>
      <c r="HHI17" s="37"/>
      <c r="HHJ17" s="37"/>
      <c r="HHK17" s="37"/>
      <c r="HHL17" s="37"/>
      <c r="HHM17" s="37"/>
      <c r="HHN17" s="37"/>
      <c r="HHO17" s="37"/>
      <c r="HHP17" s="37"/>
      <c r="HHQ17" s="37"/>
      <c r="HHR17" s="37"/>
      <c r="HHS17" s="37"/>
      <c r="HHT17" s="37"/>
      <c r="HHU17" s="37"/>
      <c r="HHV17" s="37"/>
      <c r="HHW17" s="37"/>
      <c r="HHX17" s="37"/>
      <c r="HHY17" s="37"/>
      <c r="HHZ17" s="37"/>
      <c r="HIA17" s="37"/>
      <c r="HIB17" s="37"/>
      <c r="HIC17" s="37"/>
      <c r="HID17" s="37"/>
      <c r="HIE17" s="37"/>
      <c r="HIF17" s="37"/>
      <c r="HIG17" s="37"/>
      <c r="HIH17" s="37"/>
      <c r="HII17" s="37"/>
      <c r="HIJ17" s="37"/>
      <c r="HIK17" s="37"/>
      <c r="HIL17" s="37"/>
      <c r="HIM17" s="37"/>
      <c r="HIN17" s="37"/>
      <c r="HIO17" s="37"/>
      <c r="HIP17" s="37"/>
      <c r="HIQ17" s="37"/>
      <c r="HIR17" s="37"/>
      <c r="HIS17" s="37"/>
      <c r="HIT17" s="37"/>
      <c r="HIU17" s="37"/>
      <c r="HIV17" s="37"/>
      <c r="HIW17" s="37"/>
      <c r="HIX17" s="37"/>
      <c r="HIY17" s="37"/>
      <c r="HIZ17" s="37"/>
      <c r="HJA17" s="37"/>
      <c r="HJB17" s="37"/>
      <c r="HJC17" s="37"/>
      <c r="HJD17" s="37"/>
      <c r="HJE17" s="37"/>
      <c r="HJF17" s="37"/>
      <c r="HJG17" s="37"/>
      <c r="HJH17" s="37"/>
      <c r="HJI17" s="37"/>
      <c r="HJJ17" s="37"/>
      <c r="HJK17" s="37"/>
      <c r="HJL17" s="37"/>
      <c r="HJM17" s="37"/>
      <c r="HJN17" s="37"/>
      <c r="HJO17" s="37"/>
      <c r="HJP17" s="37"/>
      <c r="HJQ17" s="37"/>
      <c r="HJR17" s="37"/>
      <c r="HJS17" s="37"/>
      <c r="HJT17" s="37"/>
      <c r="HJU17" s="37"/>
      <c r="HJV17" s="37"/>
      <c r="HJW17" s="37"/>
      <c r="HJX17" s="37"/>
      <c r="HJY17" s="37"/>
      <c r="HJZ17" s="37"/>
      <c r="HKA17" s="37"/>
      <c r="HKB17" s="37"/>
      <c r="HKC17" s="37"/>
      <c r="HKD17" s="37"/>
      <c r="HKE17" s="37"/>
      <c r="HKF17" s="37"/>
      <c r="HKG17" s="37"/>
      <c r="HKH17" s="37"/>
      <c r="HKI17" s="37"/>
      <c r="HKJ17" s="37"/>
      <c r="HKK17" s="37"/>
      <c r="HKL17" s="37"/>
      <c r="HKM17" s="37"/>
      <c r="HKN17" s="37"/>
      <c r="HKO17" s="37"/>
      <c r="HKP17" s="37"/>
      <c r="HKQ17" s="37"/>
      <c r="HKR17" s="37"/>
      <c r="HKS17" s="37"/>
      <c r="HKT17" s="37"/>
      <c r="HKU17" s="37"/>
      <c r="HKV17" s="37"/>
      <c r="HKW17" s="37"/>
      <c r="HKX17" s="37"/>
      <c r="HKY17" s="37"/>
      <c r="HKZ17" s="37"/>
      <c r="HLA17" s="37"/>
      <c r="HLB17" s="37"/>
      <c r="HLC17" s="37"/>
      <c r="HLD17" s="37"/>
      <c r="HLE17" s="37"/>
      <c r="HLF17" s="37"/>
      <c r="HLG17" s="37"/>
      <c r="HLH17" s="37"/>
      <c r="HLI17" s="37"/>
      <c r="HLJ17" s="37"/>
      <c r="HLK17" s="37"/>
      <c r="HLL17" s="37"/>
      <c r="HLM17" s="37"/>
      <c r="HLN17" s="37"/>
      <c r="HLO17" s="37"/>
      <c r="HLP17" s="37"/>
      <c r="HLQ17" s="37"/>
      <c r="HLR17" s="37"/>
      <c r="HLS17" s="37"/>
      <c r="HLT17" s="37"/>
      <c r="HLU17" s="37"/>
      <c r="HLV17" s="37"/>
      <c r="HLW17" s="37"/>
      <c r="HLX17" s="37"/>
      <c r="HLY17" s="37"/>
      <c r="HLZ17" s="37"/>
      <c r="HMA17" s="37"/>
      <c r="HMB17" s="37"/>
      <c r="HMC17" s="37"/>
      <c r="HMD17" s="37"/>
      <c r="HME17" s="37"/>
      <c r="HMF17" s="37"/>
      <c r="HMG17" s="37"/>
      <c r="HMH17" s="37"/>
      <c r="HMI17" s="37"/>
      <c r="HMJ17" s="37"/>
      <c r="HMK17" s="37"/>
      <c r="HML17" s="37"/>
      <c r="HMM17" s="37"/>
      <c r="HMN17" s="37"/>
      <c r="HMO17" s="37"/>
      <c r="HMP17" s="37"/>
      <c r="HMQ17" s="37"/>
      <c r="HMR17" s="37"/>
      <c r="HMS17" s="37"/>
      <c r="HMT17" s="37"/>
      <c r="HMU17" s="37"/>
      <c r="HMV17" s="37"/>
      <c r="HMW17" s="37"/>
      <c r="HMX17" s="37"/>
      <c r="HMY17" s="37"/>
      <c r="HMZ17" s="37"/>
      <c r="HNA17" s="37"/>
      <c r="HNB17" s="37"/>
      <c r="HNC17" s="37"/>
      <c r="HND17" s="37"/>
      <c r="HNE17" s="37"/>
      <c r="HNF17" s="37"/>
      <c r="HNG17" s="37"/>
      <c r="HNH17" s="37"/>
      <c r="HNI17" s="37"/>
      <c r="HNJ17" s="37"/>
      <c r="HNK17" s="37"/>
      <c r="HNL17" s="37"/>
      <c r="HNM17" s="37"/>
      <c r="HNN17" s="37"/>
      <c r="HNO17" s="37"/>
      <c r="HNP17" s="37"/>
      <c r="HNQ17" s="37"/>
      <c r="HNR17" s="37"/>
      <c r="HNS17" s="37"/>
      <c r="HNT17" s="37"/>
      <c r="HNU17" s="37"/>
      <c r="HNV17" s="37"/>
      <c r="HNW17" s="37"/>
      <c r="HNX17" s="37"/>
      <c r="HNY17" s="37"/>
      <c r="HNZ17" s="37"/>
      <c r="HOA17" s="37"/>
      <c r="HOB17" s="37"/>
      <c r="HOC17" s="37"/>
      <c r="HOD17" s="37"/>
      <c r="HOE17" s="37"/>
      <c r="HOF17" s="37"/>
      <c r="HOG17" s="37"/>
      <c r="HOH17" s="37"/>
      <c r="HOI17" s="37"/>
      <c r="HOJ17" s="37"/>
      <c r="HOK17" s="37"/>
      <c r="HOL17" s="37"/>
      <c r="HOM17" s="37"/>
      <c r="HON17" s="37"/>
      <c r="HOO17" s="37"/>
      <c r="HOP17" s="37"/>
      <c r="HOQ17" s="37"/>
      <c r="HOR17" s="37"/>
      <c r="HOS17" s="37"/>
      <c r="HOT17" s="37"/>
      <c r="HOU17" s="37"/>
      <c r="HOV17" s="37"/>
      <c r="HOW17" s="37"/>
      <c r="HOX17" s="37"/>
      <c r="HOY17" s="37"/>
      <c r="HOZ17" s="37"/>
      <c r="HPA17" s="37"/>
      <c r="HPB17" s="37"/>
      <c r="HPC17" s="37"/>
      <c r="HPD17" s="37"/>
      <c r="HPE17" s="37"/>
      <c r="HPF17" s="37"/>
      <c r="HPG17" s="37"/>
      <c r="HPH17" s="37"/>
      <c r="HPI17" s="37"/>
      <c r="HPJ17" s="37"/>
      <c r="HPK17" s="37"/>
      <c r="HPL17" s="37"/>
      <c r="HPM17" s="37"/>
      <c r="HPN17" s="37"/>
      <c r="HPO17" s="37"/>
      <c r="HPP17" s="37"/>
      <c r="HPQ17" s="37"/>
      <c r="HPR17" s="37"/>
      <c r="HPS17" s="37"/>
      <c r="HPT17" s="37"/>
      <c r="HPU17" s="37"/>
      <c r="HPV17" s="37"/>
      <c r="HPW17" s="37"/>
      <c r="HPX17" s="37"/>
      <c r="HPY17" s="37"/>
      <c r="HPZ17" s="37"/>
      <c r="HQA17" s="37"/>
      <c r="HQB17" s="37"/>
      <c r="HQC17" s="37"/>
      <c r="HQD17" s="37"/>
      <c r="HQE17" s="37"/>
      <c r="HQF17" s="37"/>
      <c r="HQG17" s="37"/>
      <c r="HQH17" s="37"/>
      <c r="HQI17" s="37"/>
      <c r="HQJ17" s="37"/>
      <c r="HQK17" s="37"/>
      <c r="HQL17" s="37"/>
      <c r="HQM17" s="37"/>
      <c r="HQN17" s="37"/>
      <c r="HQO17" s="37"/>
      <c r="HQP17" s="37"/>
      <c r="HQQ17" s="37"/>
      <c r="HQR17" s="37"/>
      <c r="HQS17" s="37"/>
      <c r="HQT17" s="37"/>
      <c r="HQU17" s="37"/>
      <c r="HQV17" s="37"/>
      <c r="HQW17" s="37"/>
      <c r="HQX17" s="37"/>
      <c r="HQY17" s="37"/>
      <c r="HQZ17" s="37"/>
      <c r="HRA17" s="37"/>
      <c r="HRB17" s="37"/>
      <c r="HRC17" s="37"/>
      <c r="HRD17" s="37"/>
      <c r="HRE17" s="37"/>
      <c r="HRF17" s="37"/>
      <c r="HRG17" s="37"/>
      <c r="HRH17" s="37"/>
      <c r="HRI17" s="37"/>
      <c r="HRJ17" s="37"/>
      <c r="HRK17" s="37"/>
      <c r="HRL17" s="37"/>
      <c r="HRM17" s="37"/>
      <c r="HRN17" s="37"/>
      <c r="HRO17" s="37"/>
      <c r="HRP17" s="37"/>
      <c r="HRQ17" s="37"/>
      <c r="HRR17" s="37"/>
      <c r="HRS17" s="37"/>
      <c r="HRT17" s="37"/>
      <c r="HRU17" s="37"/>
      <c r="HRV17" s="37"/>
      <c r="HRW17" s="37"/>
      <c r="HRX17" s="37"/>
      <c r="HRY17" s="37"/>
      <c r="HRZ17" s="37"/>
      <c r="HSA17" s="37"/>
      <c r="HSB17" s="37"/>
      <c r="HSC17" s="37"/>
      <c r="HSD17" s="37"/>
      <c r="HSE17" s="37"/>
      <c r="HSF17" s="37"/>
      <c r="HSG17" s="37"/>
      <c r="HSH17" s="37"/>
      <c r="HSI17" s="37"/>
      <c r="HSJ17" s="37"/>
      <c r="HSK17" s="37"/>
      <c r="HSL17" s="37"/>
      <c r="HSM17" s="37"/>
      <c r="HSN17" s="37"/>
      <c r="HSO17" s="37"/>
      <c r="HSP17" s="37"/>
      <c r="HSQ17" s="37"/>
      <c r="HSR17" s="37"/>
      <c r="HSS17" s="37"/>
      <c r="HST17" s="37"/>
      <c r="HSU17" s="37"/>
      <c r="HSV17" s="37"/>
      <c r="HSW17" s="37"/>
      <c r="HSX17" s="37"/>
      <c r="HSY17" s="37"/>
      <c r="HSZ17" s="37"/>
      <c r="HTA17" s="37"/>
      <c r="HTB17" s="37"/>
      <c r="HTC17" s="37"/>
      <c r="HTD17" s="37"/>
      <c r="HTE17" s="37"/>
      <c r="HTF17" s="37"/>
      <c r="HTG17" s="37"/>
      <c r="HTH17" s="37"/>
      <c r="HTI17" s="37"/>
      <c r="HTJ17" s="37"/>
      <c r="HTK17" s="37"/>
      <c r="HTL17" s="37"/>
      <c r="HTM17" s="37"/>
      <c r="HTN17" s="37"/>
      <c r="HTO17" s="37"/>
      <c r="HTP17" s="37"/>
      <c r="HTQ17" s="37"/>
      <c r="HTR17" s="37"/>
      <c r="HTS17" s="37"/>
      <c r="HTT17" s="37"/>
      <c r="HTU17" s="37"/>
      <c r="HTV17" s="37"/>
      <c r="HTW17" s="37"/>
      <c r="HTX17" s="37"/>
      <c r="HTY17" s="37"/>
      <c r="HTZ17" s="37"/>
      <c r="HUA17" s="37"/>
      <c r="HUB17" s="37"/>
      <c r="HUC17" s="37"/>
      <c r="HUD17" s="37"/>
      <c r="HUE17" s="37"/>
      <c r="HUF17" s="37"/>
      <c r="HUG17" s="37"/>
      <c r="HUH17" s="37"/>
      <c r="HUI17" s="37"/>
      <c r="HUJ17" s="37"/>
      <c r="HUK17" s="37"/>
      <c r="HUL17" s="37"/>
      <c r="HUM17" s="37"/>
      <c r="HUN17" s="37"/>
      <c r="HUO17" s="37"/>
      <c r="HUP17" s="37"/>
      <c r="HUQ17" s="37"/>
      <c r="HUR17" s="37"/>
      <c r="HUS17" s="37"/>
      <c r="HUT17" s="37"/>
      <c r="HUU17" s="37"/>
      <c r="HUV17" s="37"/>
      <c r="HUW17" s="37"/>
      <c r="HUX17" s="37"/>
      <c r="HUY17" s="37"/>
      <c r="HUZ17" s="37"/>
      <c r="HVA17" s="37"/>
      <c r="HVB17" s="37"/>
      <c r="HVC17" s="37"/>
      <c r="HVD17" s="37"/>
      <c r="HVE17" s="37"/>
      <c r="HVF17" s="37"/>
      <c r="HVG17" s="37"/>
      <c r="HVH17" s="37"/>
      <c r="HVI17" s="37"/>
      <c r="HVJ17" s="37"/>
      <c r="HVK17" s="37"/>
      <c r="HVL17" s="37"/>
      <c r="HVM17" s="37"/>
      <c r="HVN17" s="37"/>
      <c r="HVO17" s="37"/>
      <c r="HVP17" s="37"/>
      <c r="HVQ17" s="37"/>
      <c r="HVR17" s="37"/>
      <c r="HVS17" s="37"/>
      <c r="HVT17" s="37"/>
      <c r="HVU17" s="37"/>
      <c r="HVV17" s="37"/>
      <c r="HVW17" s="37"/>
      <c r="HVX17" s="37"/>
      <c r="HVY17" s="37"/>
      <c r="HVZ17" s="37"/>
      <c r="HWA17" s="37"/>
      <c r="HWB17" s="37"/>
      <c r="HWC17" s="37"/>
      <c r="HWD17" s="37"/>
      <c r="HWE17" s="37"/>
      <c r="HWF17" s="37"/>
      <c r="HWG17" s="37"/>
      <c r="HWH17" s="37"/>
      <c r="HWI17" s="37"/>
      <c r="HWJ17" s="37"/>
      <c r="HWK17" s="37"/>
      <c r="HWL17" s="37"/>
      <c r="HWM17" s="37"/>
      <c r="HWN17" s="37"/>
      <c r="HWO17" s="37"/>
      <c r="HWP17" s="37"/>
      <c r="HWQ17" s="37"/>
      <c r="HWR17" s="37"/>
      <c r="HWS17" s="37"/>
      <c r="HWT17" s="37"/>
      <c r="HWU17" s="37"/>
      <c r="HWV17" s="37"/>
      <c r="HWW17" s="37"/>
      <c r="HWX17" s="37"/>
      <c r="HWY17" s="37"/>
      <c r="HWZ17" s="37"/>
      <c r="HXA17" s="37"/>
      <c r="HXB17" s="37"/>
      <c r="HXC17" s="37"/>
      <c r="HXD17" s="37"/>
      <c r="HXE17" s="37"/>
      <c r="HXF17" s="37"/>
      <c r="HXG17" s="37"/>
      <c r="HXH17" s="37"/>
      <c r="HXI17" s="37"/>
      <c r="HXJ17" s="37"/>
      <c r="HXK17" s="37"/>
      <c r="HXL17" s="37"/>
      <c r="HXM17" s="37"/>
      <c r="HXN17" s="37"/>
      <c r="HXO17" s="37"/>
      <c r="HXP17" s="37"/>
      <c r="HXQ17" s="37"/>
      <c r="HXR17" s="37"/>
      <c r="HXS17" s="37"/>
      <c r="HXT17" s="37"/>
      <c r="HXU17" s="37"/>
      <c r="HXV17" s="37"/>
      <c r="HXW17" s="37"/>
      <c r="HXX17" s="37"/>
      <c r="HXY17" s="37"/>
      <c r="HXZ17" s="37"/>
      <c r="HYA17" s="37"/>
      <c r="HYB17" s="37"/>
      <c r="HYC17" s="37"/>
      <c r="HYD17" s="37"/>
      <c r="HYE17" s="37"/>
      <c r="HYF17" s="37"/>
      <c r="HYG17" s="37"/>
      <c r="HYH17" s="37"/>
      <c r="HYI17" s="37"/>
      <c r="HYJ17" s="37"/>
      <c r="HYK17" s="37"/>
      <c r="HYL17" s="37"/>
      <c r="HYM17" s="37"/>
      <c r="HYN17" s="37"/>
      <c r="HYO17" s="37"/>
      <c r="HYP17" s="37"/>
      <c r="HYQ17" s="37"/>
      <c r="HYR17" s="37"/>
      <c r="HYS17" s="37"/>
      <c r="HYT17" s="37"/>
      <c r="HYU17" s="37"/>
      <c r="HYV17" s="37"/>
      <c r="HYW17" s="37"/>
      <c r="HYX17" s="37"/>
      <c r="HYY17" s="37"/>
      <c r="HYZ17" s="37"/>
      <c r="HZA17" s="37"/>
      <c r="HZB17" s="37"/>
      <c r="HZC17" s="37"/>
      <c r="HZD17" s="37"/>
      <c r="HZE17" s="37"/>
      <c r="HZF17" s="37"/>
      <c r="HZG17" s="37"/>
      <c r="HZH17" s="37"/>
      <c r="HZI17" s="37"/>
      <c r="HZJ17" s="37"/>
      <c r="HZK17" s="37"/>
      <c r="HZL17" s="37"/>
      <c r="HZM17" s="37"/>
      <c r="HZN17" s="37"/>
      <c r="HZO17" s="37"/>
      <c r="HZP17" s="37"/>
      <c r="HZQ17" s="37"/>
      <c r="HZR17" s="37"/>
      <c r="HZS17" s="37"/>
      <c r="HZT17" s="37"/>
      <c r="HZU17" s="37"/>
      <c r="HZV17" s="37"/>
      <c r="HZW17" s="37"/>
      <c r="HZX17" s="37"/>
      <c r="HZY17" s="37"/>
      <c r="HZZ17" s="37"/>
      <c r="IAA17" s="37"/>
      <c r="IAB17" s="37"/>
      <c r="IAC17" s="37"/>
      <c r="IAD17" s="37"/>
      <c r="IAE17" s="37"/>
      <c r="IAF17" s="37"/>
      <c r="IAG17" s="37"/>
      <c r="IAH17" s="37"/>
      <c r="IAI17" s="37"/>
      <c r="IAJ17" s="37"/>
      <c r="IAK17" s="37"/>
      <c r="IAL17" s="37"/>
      <c r="IAM17" s="37"/>
      <c r="IAN17" s="37"/>
      <c r="IAO17" s="37"/>
      <c r="IAP17" s="37"/>
      <c r="IAQ17" s="37"/>
      <c r="IAR17" s="37"/>
      <c r="IAS17" s="37"/>
      <c r="IAT17" s="37"/>
      <c r="IAU17" s="37"/>
      <c r="IAV17" s="37"/>
      <c r="IAW17" s="37"/>
      <c r="IAX17" s="37"/>
      <c r="IAY17" s="37"/>
      <c r="IAZ17" s="37"/>
      <c r="IBA17" s="37"/>
      <c r="IBB17" s="37"/>
      <c r="IBC17" s="37"/>
      <c r="IBD17" s="37"/>
      <c r="IBE17" s="37"/>
      <c r="IBF17" s="37"/>
      <c r="IBG17" s="37"/>
      <c r="IBH17" s="37"/>
      <c r="IBI17" s="37"/>
      <c r="IBJ17" s="37"/>
      <c r="IBK17" s="37"/>
      <c r="IBL17" s="37"/>
      <c r="IBM17" s="37"/>
      <c r="IBN17" s="37"/>
      <c r="IBO17" s="37"/>
      <c r="IBP17" s="37"/>
      <c r="IBQ17" s="37"/>
      <c r="IBR17" s="37"/>
      <c r="IBS17" s="37"/>
      <c r="IBT17" s="37"/>
      <c r="IBU17" s="37"/>
      <c r="IBV17" s="37"/>
      <c r="IBW17" s="37"/>
      <c r="IBX17" s="37"/>
      <c r="IBY17" s="37"/>
      <c r="IBZ17" s="37"/>
      <c r="ICA17" s="37"/>
      <c r="ICB17" s="37"/>
      <c r="ICC17" s="37"/>
      <c r="ICD17" s="37"/>
      <c r="ICE17" s="37"/>
      <c r="ICF17" s="37"/>
      <c r="ICG17" s="37"/>
      <c r="ICH17" s="37"/>
      <c r="ICI17" s="37"/>
      <c r="ICJ17" s="37"/>
      <c r="ICK17" s="37"/>
      <c r="ICL17" s="37"/>
      <c r="ICM17" s="37"/>
      <c r="ICN17" s="37"/>
      <c r="ICO17" s="37"/>
      <c r="ICP17" s="37"/>
      <c r="ICQ17" s="37"/>
      <c r="ICR17" s="37"/>
      <c r="ICS17" s="37"/>
      <c r="ICT17" s="37"/>
      <c r="ICU17" s="37"/>
      <c r="ICV17" s="37"/>
      <c r="ICW17" s="37"/>
      <c r="ICX17" s="37"/>
      <c r="ICY17" s="37"/>
      <c r="ICZ17" s="37"/>
      <c r="IDA17" s="37"/>
      <c r="IDB17" s="37"/>
      <c r="IDC17" s="37"/>
      <c r="IDD17" s="37"/>
      <c r="IDE17" s="37"/>
      <c r="IDF17" s="37"/>
      <c r="IDG17" s="37"/>
      <c r="IDH17" s="37"/>
      <c r="IDI17" s="37"/>
      <c r="IDJ17" s="37"/>
      <c r="IDK17" s="37"/>
      <c r="IDL17" s="37"/>
      <c r="IDM17" s="37"/>
      <c r="IDN17" s="37"/>
      <c r="IDO17" s="37"/>
      <c r="IDP17" s="37"/>
      <c r="IDQ17" s="37"/>
      <c r="IDR17" s="37"/>
      <c r="IDS17" s="37"/>
      <c r="IDT17" s="37"/>
      <c r="IDU17" s="37"/>
      <c r="IDV17" s="37"/>
      <c r="IDW17" s="37"/>
      <c r="IDX17" s="37"/>
      <c r="IDY17" s="37"/>
      <c r="IDZ17" s="37"/>
      <c r="IEA17" s="37"/>
      <c r="IEB17" s="37"/>
      <c r="IEC17" s="37"/>
      <c r="IED17" s="37"/>
      <c r="IEE17" s="37"/>
      <c r="IEF17" s="37"/>
      <c r="IEG17" s="37"/>
      <c r="IEH17" s="37"/>
      <c r="IEI17" s="37"/>
      <c r="IEJ17" s="37"/>
      <c r="IEK17" s="37"/>
      <c r="IEL17" s="37"/>
      <c r="IEM17" s="37"/>
      <c r="IEN17" s="37"/>
      <c r="IEO17" s="37"/>
      <c r="IEP17" s="37"/>
      <c r="IEQ17" s="37"/>
      <c r="IER17" s="37"/>
      <c r="IES17" s="37"/>
      <c r="IET17" s="37"/>
      <c r="IEU17" s="37"/>
      <c r="IEV17" s="37"/>
      <c r="IEW17" s="37"/>
      <c r="IEX17" s="37"/>
      <c r="IEY17" s="37"/>
      <c r="IEZ17" s="37"/>
      <c r="IFA17" s="37"/>
      <c r="IFB17" s="37"/>
      <c r="IFC17" s="37"/>
      <c r="IFD17" s="37"/>
      <c r="IFE17" s="37"/>
      <c r="IFF17" s="37"/>
      <c r="IFG17" s="37"/>
      <c r="IFH17" s="37"/>
      <c r="IFI17" s="37"/>
      <c r="IFJ17" s="37"/>
      <c r="IFK17" s="37"/>
      <c r="IFL17" s="37"/>
      <c r="IFM17" s="37"/>
      <c r="IFN17" s="37"/>
      <c r="IFO17" s="37"/>
      <c r="IFP17" s="37"/>
      <c r="IFQ17" s="37"/>
      <c r="IFR17" s="37"/>
      <c r="IFS17" s="37"/>
      <c r="IFT17" s="37"/>
      <c r="IFU17" s="37"/>
      <c r="IFV17" s="37"/>
      <c r="IFW17" s="37"/>
      <c r="IFX17" s="37"/>
      <c r="IFY17" s="37"/>
      <c r="IFZ17" s="37"/>
      <c r="IGA17" s="37"/>
      <c r="IGB17" s="37"/>
      <c r="IGC17" s="37"/>
      <c r="IGD17" s="37"/>
      <c r="IGE17" s="37"/>
      <c r="IGF17" s="37"/>
      <c r="IGG17" s="37"/>
      <c r="IGH17" s="37"/>
      <c r="IGI17" s="37"/>
      <c r="IGJ17" s="37"/>
      <c r="IGK17" s="37"/>
      <c r="IGL17" s="37"/>
      <c r="IGM17" s="37"/>
      <c r="IGN17" s="37"/>
      <c r="IGO17" s="37"/>
      <c r="IGP17" s="37"/>
      <c r="IGQ17" s="37"/>
      <c r="IGR17" s="37"/>
      <c r="IGS17" s="37"/>
      <c r="IGT17" s="37"/>
      <c r="IGU17" s="37"/>
      <c r="IGV17" s="37"/>
      <c r="IGW17" s="37"/>
      <c r="IGX17" s="37"/>
      <c r="IGY17" s="37"/>
      <c r="IGZ17" s="37"/>
      <c r="IHA17" s="37"/>
      <c r="IHB17" s="37"/>
      <c r="IHC17" s="37"/>
      <c r="IHD17" s="37"/>
      <c r="IHE17" s="37"/>
      <c r="IHF17" s="37"/>
      <c r="IHG17" s="37"/>
      <c r="IHH17" s="37"/>
      <c r="IHI17" s="37"/>
      <c r="IHJ17" s="37"/>
      <c r="IHK17" s="37"/>
      <c r="IHL17" s="37"/>
      <c r="IHM17" s="37"/>
      <c r="IHN17" s="37"/>
      <c r="IHO17" s="37"/>
      <c r="IHP17" s="37"/>
      <c r="IHQ17" s="37"/>
      <c r="IHR17" s="37"/>
      <c r="IHS17" s="37"/>
      <c r="IHT17" s="37"/>
      <c r="IHU17" s="37"/>
      <c r="IHV17" s="37"/>
      <c r="IHW17" s="37"/>
      <c r="IHX17" s="37"/>
      <c r="IHY17" s="37"/>
      <c r="IHZ17" s="37"/>
      <c r="IIA17" s="37"/>
      <c r="IIB17" s="37"/>
      <c r="IIC17" s="37"/>
      <c r="IID17" s="37"/>
      <c r="IIE17" s="37"/>
      <c r="IIF17" s="37"/>
      <c r="IIG17" s="37"/>
      <c r="IIH17" s="37"/>
      <c r="III17" s="37"/>
      <c r="IIJ17" s="37"/>
      <c r="IIK17" s="37"/>
      <c r="IIL17" s="37"/>
      <c r="IIM17" s="37"/>
      <c r="IIN17" s="37"/>
      <c r="IIO17" s="37"/>
      <c r="IIP17" s="37"/>
      <c r="IIQ17" s="37"/>
      <c r="IIR17" s="37"/>
      <c r="IIS17" s="37"/>
      <c r="IIT17" s="37"/>
      <c r="IIU17" s="37"/>
      <c r="IIV17" s="37"/>
      <c r="IIW17" s="37"/>
      <c r="IIX17" s="37"/>
      <c r="IIY17" s="37"/>
      <c r="IIZ17" s="37"/>
      <c r="IJA17" s="37"/>
      <c r="IJB17" s="37"/>
      <c r="IJC17" s="37"/>
      <c r="IJD17" s="37"/>
      <c r="IJE17" s="37"/>
      <c r="IJF17" s="37"/>
      <c r="IJG17" s="37"/>
      <c r="IJH17" s="37"/>
      <c r="IJI17" s="37"/>
      <c r="IJJ17" s="37"/>
      <c r="IJK17" s="37"/>
      <c r="IJL17" s="37"/>
      <c r="IJM17" s="37"/>
      <c r="IJN17" s="37"/>
      <c r="IJO17" s="37"/>
      <c r="IJP17" s="37"/>
      <c r="IJQ17" s="37"/>
      <c r="IJR17" s="37"/>
      <c r="IJS17" s="37"/>
      <c r="IJT17" s="37"/>
      <c r="IJU17" s="37"/>
      <c r="IJV17" s="37"/>
      <c r="IJW17" s="37"/>
      <c r="IJX17" s="37"/>
      <c r="IJY17" s="37"/>
      <c r="IJZ17" s="37"/>
      <c r="IKA17" s="37"/>
      <c r="IKB17" s="37"/>
      <c r="IKC17" s="37"/>
      <c r="IKD17" s="37"/>
      <c r="IKE17" s="37"/>
      <c r="IKF17" s="37"/>
      <c r="IKG17" s="37"/>
      <c r="IKH17" s="37"/>
      <c r="IKI17" s="37"/>
      <c r="IKJ17" s="37"/>
      <c r="IKK17" s="37"/>
      <c r="IKL17" s="37"/>
      <c r="IKM17" s="37"/>
      <c r="IKN17" s="37"/>
      <c r="IKO17" s="37"/>
      <c r="IKP17" s="37"/>
      <c r="IKQ17" s="37"/>
      <c r="IKR17" s="37"/>
      <c r="IKS17" s="37"/>
      <c r="IKT17" s="37"/>
      <c r="IKU17" s="37"/>
      <c r="IKV17" s="37"/>
      <c r="IKW17" s="37"/>
      <c r="IKX17" s="37"/>
      <c r="IKY17" s="37"/>
      <c r="IKZ17" s="37"/>
      <c r="ILA17" s="37"/>
      <c r="ILB17" s="37"/>
      <c r="ILC17" s="37"/>
      <c r="ILD17" s="37"/>
      <c r="ILE17" s="37"/>
      <c r="ILF17" s="37"/>
      <c r="ILG17" s="37"/>
      <c r="ILH17" s="37"/>
      <c r="ILI17" s="37"/>
      <c r="ILJ17" s="37"/>
      <c r="ILK17" s="37"/>
      <c r="ILL17" s="37"/>
      <c r="ILM17" s="37"/>
      <c r="ILN17" s="37"/>
      <c r="ILO17" s="37"/>
      <c r="ILP17" s="37"/>
      <c r="ILQ17" s="37"/>
      <c r="ILR17" s="37"/>
      <c r="ILS17" s="37"/>
      <c r="ILT17" s="37"/>
      <c r="ILU17" s="37"/>
      <c r="ILV17" s="37"/>
      <c r="ILW17" s="37"/>
      <c r="ILX17" s="37"/>
      <c r="ILY17" s="37"/>
      <c r="ILZ17" s="37"/>
      <c r="IMA17" s="37"/>
      <c r="IMB17" s="37"/>
      <c r="IMC17" s="37"/>
      <c r="IMD17" s="37"/>
      <c r="IME17" s="37"/>
      <c r="IMF17" s="37"/>
      <c r="IMG17" s="37"/>
      <c r="IMH17" s="37"/>
      <c r="IMI17" s="37"/>
      <c r="IMJ17" s="37"/>
      <c r="IMK17" s="37"/>
      <c r="IML17" s="37"/>
      <c r="IMM17" s="37"/>
      <c r="IMN17" s="37"/>
      <c r="IMO17" s="37"/>
      <c r="IMP17" s="37"/>
      <c r="IMQ17" s="37"/>
      <c r="IMR17" s="37"/>
      <c r="IMS17" s="37"/>
      <c r="IMT17" s="37"/>
      <c r="IMU17" s="37"/>
      <c r="IMV17" s="37"/>
      <c r="IMW17" s="37"/>
      <c r="IMX17" s="37"/>
      <c r="IMY17" s="37"/>
      <c r="IMZ17" s="37"/>
      <c r="INA17" s="37"/>
      <c r="INB17" s="37"/>
      <c r="INC17" s="37"/>
      <c r="IND17" s="37"/>
      <c r="INE17" s="37"/>
      <c r="INF17" s="37"/>
      <c r="ING17" s="37"/>
      <c r="INH17" s="37"/>
      <c r="INI17" s="37"/>
      <c r="INJ17" s="37"/>
      <c r="INK17" s="37"/>
      <c r="INL17" s="37"/>
      <c r="INM17" s="37"/>
      <c r="INN17" s="37"/>
      <c r="INO17" s="37"/>
      <c r="INP17" s="37"/>
      <c r="INQ17" s="37"/>
      <c r="INR17" s="37"/>
      <c r="INS17" s="37"/>
      <c r="INT17" s="37"/>
      <c r="INU17" s="37"/>
      <c r="INV17" s="37"/>
      <c r="INW17" s="37"/>
      <c r="INX17" s="37"/>
      <c r="INY17" s="37"/>
      <c r="INZ17" s="37"/>
      <c r="IOA17" s="37"/>
      <c r="IOB17" s="37"/>
      <c r="IOC17" s="37"/>
      <c r="IOD17" s="37"/>
      <c r="IOE17" s="37"/>
      <c r="IOF17" s="37"/>
      <c r="IOG17" s="37"/>
      <c r="IOH17" s="37"/>
      <c r="IOI17" s="37"/>
      <c r="IOJ17" s="37"/>
      <c r="IOK17" s="37"/>
      <c r="IOL17" s="37"/>
      <c r="IOM17" s="37"/>
      <c r="ION17" s="37"/>
      <c r="IOO17" s="37"/>
      <c r="IOP17" s="37"/>
      <c r="IOQ17" s="37"/>
      <c r="IOR17" s="37"/>
      <c r="IOS17" s="37"/>
      <c r="IOT17" s="37"/>
      <c r="IOU17" s="37"/>
      <c r="IOV17" s="37"/>
      <c r="IOW17" s="37"/>
      <c r="IOX17" s="37"/>
      <c r="IOY17" s="37"/>
      <c r="IOZ17" s="37"/>
      <c r="IPA17" s="37"/>
      <c r="IPB17" s="37"/>
      <c r="IPC17" s="37"/>
      <c r="IPD17" s="37"/>
      <c r="IPE17" s="37"/>
      <c r="IPF17" s="37"/>
      <c r="IPG17" s="37"/>
      <c r="IPH17" s="37"/>
      <c r="IPI17" s="37"/>
      <c r="IPJ17" s="37"/>
      <c r="IPK17" s="37"/>
      <c r="IPL17" s="37"/>
      <c r="IPM17" s="37"/>
      <c r="IPN17" s="37"/>
      <c r="IPO17" s="37"/>
      <c r="IPP17" s="37"/>
      <c r="IPQ17" s="37"/>
      <c r="IPR17" s="37"/>
      <c r="IPS17" s="37"/>
      <c r="IPT17" s="37"/>
      <c r="IPU17" s="37"/>
      <c r="IPV17" s="37"/>
      <c r="IPW17" s="37"/>
      <c r="IPX17" s="37"/>
      <c r="IPY17" s="37"/>
      <c r="IPZ17" s="37"/>
      <c r="IQA17" s="37"/>
      <c r="IQB17" s="37"/>
      <c r="IQC17" s="37"/>
      <c r="IQD17" s="37"/>
      <c r="IQE17" s="37"/>
      <c r="IQF17" s="37"/>
      <c r="IQG17" s="37"/>
      <c r="IQH17" s="37"/>
      <c r="IQI17" s="37"/>
      <c r="IQJ17" s="37"/>
      <c r="IQK17" s="37"/>
      <c r="IQL17" s="37"/>
      <c r="IQM17" s="37"/>
      <c r="IQN17" s="37"/>
      <c r="IQO17" s="37"/>
      <c r="IQP17" s="37"/>
      <c r="IQQ17" s="37"/>
      <c r="IQR17" s="37"/>
      <c r="IQS17" s="37"/>
      <c r="IQT17" s="37"/>
      <c r="IQU17" s="37"/>
      <c r="IQV17" s="37"/>
      <c r="IQW17" s="37"/>
      <c r="IQX17" s="37"/>
      <c r="IQY17" s="37"/>
      <c r="IQZ17" s="37"/>
      <c r="IRA17" s="37"/>
      <c r="IRB17" s="37"/>
      <c r="IRC17" s="37"/>
      <c r="IRD17" s="37"/>
      <c r="IRE17" s="37"/>
      <c r="IRF17" s="37"/>
      <c r="IRG17" s="37"/>
      <c r="IRH17" s="37"/>
      <c r="IRI17" s="37"/>
      <c r="IRJ17" s="37"/>
      <c r="IRK17" s="37"/>
      <c r="IRL17" s="37"/>
      <c r="IRM17" s="37"/>
      <c r="IRN17" s="37"/>
      <c r="IRO17" s="37"/>
      <c r="IRP17" s="37"/>
      <c r="IRQ17" s="37"/>
      <c r="IRR17" s="37"/>
      <c r="IRS17" s="37"/>
      <c r="IRT17" s="37"/>
      <c r="IRU17" s="37"/>
      <c r="IRV17" s="37"/>
      <c r="IRW17" s="37"/>
      <c r="IRX17" s="37"/>
      <c r="IRY17" s="37"/>
      <c r="IRZ17" s="37"/>
      <c r="ISA17" s="37"/>
      <c r="ISB17" s="37"/>
      <c r="ISC17" s="37"/>
      <c r="ISD17" s="37"/>
      <c r="ISE17" s="37"/>
      <c r="ISF17" s="37"/>
      <c r="ISG17" s="37"/>
      <c r="ISH17" s="37"/>
      <c r="ISI17" s="37"/>
      <c r="ISJ17" s="37"/>
      <c r="ISK17" s="37"/>
      <c r="ISL17" s="37"/>
      <c r="ISM17" s="37"/>
      <c r="ISN17" s="37"/>
      <c r="ISO17" s="37"/>
      <c r="ISP17" s="37"/>
      <c r="ISQ17" s="37"/>
      <c r="ISR17" s="37"/>
      <c r="ISS17" s="37"/>
      <c r="IST17" s="37"/>
      <c r="ISU17" s="37"/>
      <c r="ISV17" s="37"/>
      <c r="ISW17" s="37"/>
      <c r="ISX17" s="37"/>
      <c r="ISY17" s="37"/>
      <c r="ISZ17" s="37"/>
      <c r="ITA17" s="37"/>
      <c r="ITB17" s="37"/>
      <c r="ITC17" s="37"/>
      <c r="ITD17" s="37"/>
      <c r="ITE17" s="37"/>
      <c r="ITF17" s="37"/>
      <c r="ITG17" s="37"/>
      <c r="ITH17" s="37"/>
      <c r="ITI17" s="37"/>
      <c r="ITJ17" s="37"/>
      <c r="ITK17" s="37"/>
      <c r="ITL17" s="37"/>
      <c r="ITM17" s="37"/>
      <c r="ITN17" s="37"/>
      <c r="ITO17" s="37"/>
      <c r="ITP17" s="37"/>
      <c r="ITQ17" s="37"/>
      <c r="ITR17" s="37"/>
      <c r="ITS17" s="37"/>
      <c r="ITT17" s="37"/>
      <c r="ITU17" s="37"/>
      <c r="ITV17" s="37"/>
      <c r="ITW17" s="37"/>
      <c r="ITX17" s="37"/>
      <c r="ITY17" s="37"/>
      <c r="ITZ17" s="37"/>
      <c r="IUA17" s="37"/>
      <c r="IUB17" s="37"/>
      <c r="IUC17" s="37"/>
      <c r="IUD17" s="37"/>
      <c r="IUE17" s="37"/>
      <c r="IUF17" s="37"/>
      <c r="IUG17" s="37"/>
      <c r="IUH17" s="37"/>
      <c r="IUI17" s="37"/>
      <c r="IUJ17" s="37"/>
      <c r="IUK17" s="37"/>
      <c r="IUL17" s="37"/>
      <c r="IUM17" s="37"/>
      <c r="IUN17" s="37"/>
      <c r="IUO17" s="37"/>
      <c r="IUP17" s="37"/>
      <c r="IUQ17" s="37"/>
      <c r="IUR17" s="37"/>
      <c r="IUS17" s="37"/>
      <c r="IUT17" s="37"/>
      <c r="IUU17" s="37"/>
      <c r="IUV17" s="37"/>
      <c r="IUW17" s="37"/>
      <c r="IUX17" s="37"/>
      <c r="IUY17" s="37"/>
      <c r="IUZ17" s="37"/>
      <c r="IVA17" s="37"/>
      <c r="IVB17" s="37"/>
      <c r="IVC17" s="37"/>
      <c r="IVD17" s="37"/>
      <c r="IVE17" s="37"/>
      <c r="IVF17" s="37"/>
      <c r="IVG17" s="37"/>
      <c r="IVH17" s="37"/>
      <c r="IVI17" s="37"/>
      <c r="IVJ17" s="37"/>
      <c r="IVK17" s="37"/>
      <c r="IVL17" s="37"/>
      <c r="IVM17" s="37"/>
      <c r="IVN17" s="37"/>
      <c r="IVO17" s="37"/>
      <c r="IVP17" s="37"/>
      <c r="IVQ17" s="37"/>
      <c r="IVR17" s="37"/>
      <c r="IVS17" s="37"/>
      <c r="IVT17" s="37"/>
      <c r="IVU17" s="37"/>
      <c r="IVV17" s="37"/>
      <c r="IVW17" s="37"/>
      <c r="IVX17" s="37"/>
      <c r="IVY17" s="37"/>
      <c r="IVZ17" s="37"/>
      <c r="IWA17" s="37"/>
      <c r="IWB17" s="37"/>
      <c r="IWC17" s="37"/>
      <c r="IWD17" s="37"/>
      <c r="IWE17" s="37"/>
      <c r="IWF17" s="37"/>
      <c r="IWG17" s="37"/>
      <c r="IWH17" s="37"/>
      <c r="IWI17" s="37"/>
      <c r="IWJ17" s="37"/>
      <c r="IWK17" s="37"/>
      <c r="IWL17" s="37"/>
      <c r="IWM17" s="37"/>
      <c r="IWN17" s="37"/>
      <c r="IWO17" s="37"/>
      <c r="IWP17" s="37"/>
      <c r="IWQ17" s="37"/>
      <c r="IWR17" s="37"/>
      <c r="IWS17" s="37"/>
      <c r="IWT17" s="37"/>
      <c r="IWU17" s="37"/>
      <c r="IWV17" s="37"/>
      <c r="IWW17" s="37"/>
      <c r="IWX17" s="37"/>
      <c r="IWY17" s="37"/>
      <c r="IWZ17" s="37"/>
      <c r="IXA17" s="37"/>
      <c r="IXB17" s="37"/>
      <c r="IXC17" s="37"/>
      <c r="IXD17" s="37"/>
      <c r="IXE17" s="37"/>
      <c r="IXF17" s="37"/>
      <c r="IXG17" s="37"/>
      <c r="IXH17" s="37"/>
      <c r="IXI17" s="37"/>
      <c r="IXJ17" s="37"/>
      <c r="IXK17" s="37"/>
      <c r="IXL17" s="37"/>
      <c r="IXM17" s="37"/>
      <c r="IXN17" s="37"/>
      <c r="IXO17" s="37"/>
      <c r="IXP17" s="37"/>
      <c r="IXQ17" s="37"/>
      <c r="IXR17" s="37"/>
      <c r="IXS17" s="37"/>
      <c r="IXT17" s="37"/>
      <c r="IXU17" s="37"/>
      <c r="IXV17" s="37"/>
      <c r="IXW17" s="37"/>
      <c r="IXX17" s="37"/>
      <c r="IXY17" s="37"/>
      <c r="IXZ17" s="37"/>
      <c r="IYA17" s="37"/>
      <c r="IYB17" s="37"/>
      <c r="IYC17" s="37"/>
      <c r="IYD17" s="37"/>
      <c r="IYE17" s="37"/>
      <c r="IYF17" s="37"/>
      <c r="IYG17" s="37"/>
      <c r="IYH17" s="37"/>
      <c r="IYI17" s="37"/>
      <c r="IYJ17" s="37"/>
      <c r="IYK17" s="37"/>
      <c r="IYL17" s="37"/>
      <c r="IYM17" s="37"/>
      <c r="IYN17" s="37"/>
      <c r="IYO17" s="37"/>
      <c r="IYP17" s="37"/>
      <c r="IYQ17" s="37"/>
      <c r="IYR17" s="37"/>
      <c r="IYS17" s="37"/>
      <c r="IYT17" s="37"/>
      <c r="IYU17" s="37"/>
      <c r="IYV17" s="37"/>
      <c r="IYW17" s="37"/>
      <c r="IYX17" s="37"/>
      <c r="IYY17" s="37"/>
      <c r="IYZ17" s="37"/>
      <c r="IZA17" s="37"/>
      <c r="IZB17" s="37"/>
      <c r="IZC17" s="37"/>
      <c r="IZD17" s="37"/>
      <c r="IZE17" s="37"/>
      <c r="IZF17" s="37"/>
      <c r="IZG17" s="37"/>
      <c r="IZH17" s="37"/>
      <c r="IZI17" s="37"/>
      <c r="IZJ17" s="37"/>
      <c r="IZK17" s="37"/>
      <c r="IZL17" s="37"/>
      <c r="IZM17" s="37"/>
      <c r="IZN17" s="37"/>
      <c r="IZO17" s="37"/>
      <c r="IZP17" s="37"/>
      <c r="IZQ17" s="37"/>
      <c r="IZR17" s="37"/>
      <c r="IZS17" s="37"/>
      <c r="IZT17" s="37"/>
      <c r="IZU17" s="37"/>
      <c r="IZV17" s="37"/>
      <c r="IZW17" s="37"/>
      <c r="IZX17" s="37"/>
      <c r="IZY17" s="37"/>
      <c r="IZZ17" s="37"/>
      <c r="JAA17" s="37"/>
      <c r="JAB17" s="37"/>
      <c r="JAC17" s="37"/>
      <c r="JAD17" s="37"/>
      <c r="JAE17" s="37"/>
      <c r="JAF17" s="37"/>
      <c r="JAG17" s="37"/>
      <c r="JAH17" s="37"/>
      <c r="JAI17" s="37"/>
      <c r="JAJ17" s="37"/>
      <c r="JAK17" s="37"/>
      <c r="JAL17" s="37"/>
      <c r="JAM17" s="37"/>
      <c r="JAN17" s="37"/>
      <c r="JAO17" s="37"/>
      <c r="JAP17" s="37"/>
      <c r="JAQ17" s="37"/>
      <c r="JAR17" s="37"/>
      <c r="JAS17" s="37"/>
      <c r="JAT17" s="37"/>
      <c r="JAU17" s="37"/>
      <c r="JAV17" s="37"/>
      <c r="JAW17" s="37"/>
      <c r="JAX17" s="37"/>
      <c r="JAY17" s="37"/>
      <c r="JAZ17" s="37"/>
      <c r="JBA17" s="37"/>
      <c r="JBB17" s="37"/>
      <c r="JBC17" s="37"/>
      <c r="JBD17" s="37"/>
      <c r="JBE17" s="37"/>
      <c r="JBF17" s="37"/>
      <c r="JBG17" s="37"/>
      <c r="JBH17" s="37"/>
      <c r="JBI17" s="37"/>
      <c r="JBJ17" s="37"/>
      <c r="JBK17" s="37"/>
      <c r="JBL17" s="37"/>
      <c r="JBM17" s="37"/>
      <c r="JBN17" s="37"/>
      <c r="JBO17" s="37"/>
      <c r="JBP17" s="37"/>
      <c r="JBQ17" s="37"/>
      <c r="JBR17" s="37"/>
      <c r="JBS17" s="37"/>
      <c r="JBT17" s="37"/>
      <c r="JBU17" s="37"/>
      <c r="JBV17" s="37"/>
      <c r="JBW17" s="37"/>
      <c r="JBX17" s="37"/>
      <c r="JBY17" s="37"/>
      <c r="JBZ17" s="37"/>
      <c r="JCA17" s="37"/>
      <c r="JCB17" s="37"/>
      <c r="JCC17" s="37"/>
      <c r="JCD17" s="37"/>
      <c r="JCE17" s="37"/>
      <c r="JCF17" s="37"/>
      <c r="JCG17" s="37"/>
      <c r="JCH17" s="37"/>
      <c r="JCI17" s="37"/>
      <c r="JCJ17" s="37"/>
      <c r="JCK17" s="37"/>
      <c r="JCL17" s="37"/>
      <c r="JCM17" s="37"/>
      <c r="JCN17" s="37"/>
      <c r="JCO17" s="37"/>
      <c r="JCP17" s="37"/>
      <c r="JCQ17" s="37"/>
      <c r="JCR17" s="37"/>
      <c r="JCS17" s="37"/>
      <c r="JCT17" s="37"/>
      <c r="JCU17" s="37"/>
      <c r="JCV17" s="37"/>
      <c r="JCW17" s="37"/>
      <c r="JCX17" s="37"/>
      <c r="JCY17" s="37"/>
      <c r="JCZ17" s="37"/>
      <c r="JDA17" s="37"/>
      <c r="JDB17" s="37"/>
      <c r="JDC17" s="37"/>
      <c r="JDD17" s="37"/>
      <c r="JDE17" s="37"/>
      <c r="JDF17" s="37"/>
      <c r="JDG17" s="37"/>
      <c r="JDH17" s="37"/>
      <c r="JDI17" s="37"/>
      <c r="JDJ17" s="37"/>
      <c r="JDK17" s="37"/>
      <c r="JDL17" s="37"/>
      <c r="JDM17" s="37"/>
      <c r="JDN17" s="37"/>
      <c r="JDO17" s="37"/>
      <c r="JDP17" s="37"/>
      <c r="JDQ17" s="37"/>
      <c r="JDR17" s="37"/>
      <c r="JDS17" s="37"/>
      <c r="JDT17" s="37"/>
      <c r="JDU17" s="37"/>
      <c r="JDV17" s="37"/>
      <c r="JDW17" s="37"/>
      <c r="JDX17" s="37"/>
      <c r="JDY17" s="37"/>
      <c r="JDZ17" s="37"/>
      <c r="JEA17" s="37"/>
      <c r="JEB17" s="37"/>
      <c r="JEC17" s="37"/>
      <c r="JED17" s="37"/>
      <c r="JEE17" s="37"/>
      <c r="JEF17" s="37"/>
      <c r="JEG17" s="37"/>
      <c r="JEH17" s="37"/>
      <c r="JEI17" s="37"/>
      <c r="JEJ17" s="37"/>
      <c r="JEK17" s="37"/>
      <c r="JEL17" s="37"/>
      <c r="JEM17" s="37"/>
      <c r="JEN17" s="37"/>
      <c r="JEO17" s="37"/>
      <c r="JEP17" s="37"/>
      <c r="JEQ17" s="37"/>
      <c r="JER17" s="37"/>
      <c r="JES17" s="37"/>
      <c r="JET17" s="37"/>
      <c r="JEU17" s="37"/>
      <c r="JEV17" s="37"/>
      <c r="JEW17" s="37"/>
      <c r="JEX17" s="37"/>
      <c r="JEY17" s="37"/>
      <c r="JEZ17" s="37"/>
      <c r="JFA17" s="37"/>
      <c r="JFB17" s="37"/>
      <c r="JFC17" s="37"/>
      <c r="JFD17" s="37"/>
      <c r="JFE17" s="37"/>
      <c r="JFF17" s="37"/>
      <c r="JFG17" s="37"/>
      <c r="JFH17" s="37"/>
      <c r="JFI17" s="37"/>
      <c r="JFJ17" s="37"/>
      <c r="JFK17" s="37"/>
      <c r="JFL17" s="37"/>
      <c r="JFM17" s="37"/>
      <c r="JFN17" s="37"/>
      <c r="JFO17" s="37"/>
      <c r="JFP17" s="37"/>
      <c r="JFQ17" s="37"/>
      <c r="JFR17" s="37"/>
      <c r="JFS17" s="37"/>
      <c r="JFT17" s="37"/>
      <c r="JFU17" s="37"/>
      <c r="JFV17" s="37"/>
      <c r="JFW17" s="37"/>
      <c r="JFX17" s="37"/>
      <c r="JFY17" s="37"/>
      <c r="JFZ17" s="37"/>
      <c r="JGA17" s="37"/>
      <c r="JGB17" s="37"/>
      <c r="JGC17" s="37"/>
      <c r="JGD17" s="37"/>
      <c r="JGE17" s="37"/>
      <c r="JGF17" s="37"/>
      <c r="JGG17" s="37"/>
      <c r="JGH17" s="37"/>
      <c r="JGI17" s="37"/>
      <c r="JGJ17" s="37"/>
      <c r="JGK17" s="37"/>
      <c r="JGL17" s="37"/>
      <c r="JGM17" s="37"/>
      <c r="JGN17" s="37"/>
      <c r="JGO17" s="37"/>
      <c r="JGP17" s="37"/>
      <c r="JGQ17" s="37"/>
      <c r="JGR17" s="37"/>
      <c r="JGS17" s="37"/>
      <c r="JGT17" s="37"/>
      <c r="JGU17" s="37"/>
      <c r="JGV17" s="37"/>
      <c r="JGW17" s="37"/>
      <c r="JGX17" s="37"/>
      <c r="JGY17" s="37"/>
      <c r="JGZ17" s="37"/>
      <c r="JHA17" s="37"/>
      <c r="JHB17" s="37"/>
      <c r="JHC17" s="37"/>
      <c r="JHD17" s="37"/>
      <c r="JHE17" s="37"/>
      <c r="JHF17" s="37"/>
      <c r="JHG17" s="37"/>
      <c r="JHH17" s="37"/>
      <c r="JHI17" s="37"/>
      <c r="JHJ17" s="37"/>
      <c r="JHK17" s="37"/>
      <c r="JHL17" s="37"/>
      <c r="JHM17" s="37"/>
      <c r="JHN17" s="37"/>
      <c r="JHO17" s="37"/>
      <c r="JHP17" s="37"/>
      <c r="JHQ17" s="37"/>
      <c r="JHR17" s="37"/>
      <c r="JHS17" s="37"/>
      <c r="JHT17" s="37"/>
      <c r="JHU17" s="37"/>
      <c r="JHV17" s="37"/>
      <c r="JHW17" s="37"/>
      <c r="JHX17" s="37"/>
      <c r="JHY17" s="37"/>
      <c r="JHZ17" s="37"/>
      <c r="JIA17" s="37"/>
      <c r="JIB17" s="37"/>
      <c r="JIC17" s="37"/>
      <c r="JID17" s="37"/>
      <c r="JIE17" s="37"/>
      <c r="JIF17" s="37"/>
      <c r="JIG17" s="37"/>
      <c r="JIH17" s="37"/>
      <c r="JII17" s="37"/>
      <c r="JIJ17" s="37"/>
      <c r="JIK17" s="37"/>
      <c r="JIL17" s="37"/>
      <c r="JIM17" s="37"/>
      <c r="JIN17" s="37"/>
      <c r="JIO17" s="37"/>
      <c r="JIP17" s="37"/>
      <c r="JIQ17" s="37"/>
      <c r="JIR17" s="37"/>
      <c r="JIS17" s="37"/>
      <c r="JIT17" s="37"/>
      <c r="JIU17" s="37"/>
      <c r="JIV17" s="37"/>
      <c r="JIW17" s="37"/>
      <c r="JIX17" s="37"/>
      <c r="JIY17" s="37"/>
      <c r="JIZ17" s="37"/>
      <c r="JJA17" s="37"/>
      <c r="JJB17" s="37"/>
      <c r="JJC17" s="37"/>
      <c r="JJD17" s="37"/>
      <c r="JJE17" s="37"/>
      <c r="JJF17" s="37"/>
      <c r="JJG17" s="37"/>
      <c r="JJH17" s="37"/>
      <c r="JJI17" s="37"/>
      <c r="JJJ17" s="37"/>
      <c r="JJK17" s="37"/>
      <c r="JJL17" s="37"/>
      <c r="JJM17" s="37"/>
      <c r="JJN17" s="37"/>
      <c r="JJO17" s="37"/>
      <c r="JJP17" s="37"/>
      <c r="JJQ17" s="37"/>
      <c r="JJR17" s="37"/>
      <c r="JJS17" s="37"/>
      <c r="JJT17" s="37"/>
      <c r="JJU17" s="37"/>
      <c r="JJV17" s="37"/>
      <c r="JJW17" s="37"/>
      <c r="JJX17" s="37"/>
      <c r="JJY17" s="37"/>
      <c r="JJZ17" s="37"/>
      <c r="JKA17" s="37"/>
      <c r="JKB17" s="37"/>
      <c r="JKC17" s="37"/>
      <c r="JKD17" s="37"/>
      <c r="JKE17" s="37"/>
      <c r="JKF17" s="37"/>
      <c r="JKG17" s="37"/>
      <c r="JKH17" s="37"/>
      <c r="JKI17" s="37"/>
      <c r="JKJ17" s="37"/>
      <c r="JKK17" s="37"/>
      <c r="JKL17" s="37"/>
      <c r="JKM17" s="37"/>
      <c r="JKN17" s="37"/>
      <c r="JKO17" s="37"/>
      <c r="JKP17" s="37"/>
      <c r="JKQ17" s="37"/>
      <c r="JKR17" s="37"/>
      <c r="JKS17" s="37"/>
      <c r="JKT17" s="37"/>
      <c r="JKU17" s="37"/>
      <c r="JKV17" s="37"/>
      <c r="JKW17" s="37"/>
      <c r="JKX17" s="37"/>
      <c r="JKY17" s="37"/>
      <c r="JKZ17" s="37"/>
      <c r="JLA17" s="37"/>
      <c r="JLB17" s="37"/>
      <c r="JLC17" s="37"/>
      <c r="JLD17" s="37"/>
      <c r="JLE17" s="37"/>
      <c r="JLF17" s="37"/>
      <c r="JLG17" s="37"/>
      <c r="JLH17" s="37"/>
      <c r="JLI17" s="37"/>
      <c r="JLJ17" s="37"/>
      <c r="JLK17" s="37"/>
      <c r="JLL17" s="37"/>
      <c r="JLM17" s="37"/>
      <c r="JLN17" s="37"/>
      <c r="JLO17" s="37"/>
      <c r="JLP17" s="37"/>
      <c r="JLQ17" s="37"/>
      <c r="JLR17" s="37"/>
      <c r="JLS17" s="37"/>
      <c r="JLT17" s="37"/>
      <c r="JLU17" s="37"/>
      <c r="JLV17" s="37"/>
      <c r="JLW17" s="37"/>
      <c r="JLX17" s="37"/>
      <c r="JLY17" s="37"/>
      <c r="JLZ17" s="37"/>
      <c r="JMA17" s="37"/>
      <c r="JMB17" s="37"/>
      <c r="JMC17" s="37"/>
      <c r="JMD17" s="37"/>
      <c r="JME17" s="37"/>
      <c r="JMF17" s="37"/>
      <c r="JMG17" s="37"/>
      <c r="JMH17" s="37"/>
      <c r="JMI17" s="37"/>
      <c r="JMJ17" s="37"/>
      <c r="JMK17" s="37"/>
      <c r="JML17" s="37"/>
      <c r="JMM17" s="37"/>
      <c r="JMN17" s="37"/>
      <c r="JMO17" s="37"/>
      <c r="JMP17" s="37"/>
      <c r="JMQ17" s="37"/>
      <c r="JMR17" s="37"/>
      <c r="JMS17" s="37"/>
      <c r="JMT17" s="37"/>
      <c r="JMU17" s="37"/>
      <c r="JMV17" s="37"/>
      <c r="JMW17" s="37"/>
      <c r="JMX17" s="37"/>
      <c r="JMY17" s="37"/>
      <c r="JMZ17" s="37"/>
      <c r="JNA17" s="37"/>
      <c r="JNB17" s="37"/>
      <c r="JNC17" s="37"/>
      <c r="JND17" s="37"/>
      <c r="JNE17" s="37"/>
      <c r="JNF17" s="37"/>
      <c r="JNG17" s="37"/>
      <c r="JNH17" s="37"/>
      <c r="JNI17" s="37"/>
      <c r="JNJ17" s="37"/>
      <c r="JNK17" s="37"/>
      <c r="JNL17" s="37"/>
      <c r="JNM17" s="37"/>
      <c r="JNN17" s="37"/>
      <c r="JNO17" s="37"/>
      <c r="JNP17" s="37"/>
      <c r="JNQ17" s="37"/>
      <c r="JNR17" s="37"/>
      <c r="JNS17" s="37"/>
      <c r="JNT17" s="37"/>
      <c r="JNU17" s="37"/>
      <c r="JNV17" s="37"/>
      <c r="JNW17" s="37"/>
      <c r="JNX17" s="37"/>
      <c r="JNY17" s="37"/>
      <c r="JNZ17" s="37"/>
      <c r="JOA17" s="37"/>
      <c r="JOB17" s="37"/>
      <c r="JOC17" s="37"/>
      <c r="JOD17" s="37"/>
      <c r="JOE17" s="37"/>
      <c r="JOF17" s="37"/>
      <c r="JOG17" s="37"/>
      <c r="JOH17" s="37"/>
      <c r="JOI17" s="37"/>
      <c r="JOJ17" s="37"/>
      <c r="JOK17" s="37"/>
      <c r="JOL17" s="37"/>
      <c r="JOM17" s="37"/>
      <c r="JON17" s="37"/>
      <c r="JOO17" s="37"/>
      <c r="JOP17" s="37"/>
      <c r="JOQ17" s="37"/>
      <c r="JOR17" s="37"/>
      <c r="JOS17" s="37"/>
      <c r="JOT17" s="37"/>
      <c r="JOU17" s="37"/>
      <c r="JOV17" s="37"/>
      <c r="JOW17" s="37"/>
      <c r="JOX17" s="37"/>
      <c r="JOY17" s="37"/>
      <c r="JOZ17" s="37"/>
      <c r="JPA17" s="37"/>
      <c r="JPB17" s="37"/>
      <c r="JPC17" s="37"/>
      <c r="JPD17" s="37"/>
      <c r="JPE17" s="37"/>
      <c r="JPF17" s="37"/>
      <c r="JPG17" s="37"/>
      <c r="JPH17" s="37"/>
      <c r="JPI17" s="37"/>
      <c r="JPJ17" s="37"/>
      <c r="JPK17" s="37"/>
      <c r="JPL17" s="37"/>
      <c r="JPM17" s="37"/>
      <c r="JPN17" s="37"/>
      <c r="JPO17" s="37"/>
      <c r="JPP17" s="37"/>
      <c r="JPQ17" s="37"/>
      <c r="JPR17" s="37"/>
      <c r="JPS17" s="37"/>
      <c r="JPT17" s="37"/>
      <c r="JPU17" s="37"/>
      <c r="JPV17" s="37"/>
      <c r="JPW17" s="37"/>
      <c r="JPX17" s="37"/>
      <c r="JPY17" s="37"/>
      <c r="JPZ17" s="37"/>
      <c r="JQA17" s="37"/>
      <c r="JQB17" s="37"/>
      <c r="JQC17" s="37"/>
      <c r="JQD17" s="37"/>
      <c r="JQE17" s="37"/>
      <c r="JQF17" s="37"/>
      <c r="JQG17" s="37"/>
      <c r="JQH17" s="37"/>
      <c r="JQI17" s="37"/>
      <c r="JQJ17" s="37"/>
      <c r="JQK17" s="37"/>
      <c r="JQL17" s="37"/>
      <c r="JQM17" s="37"/>
      <c r="JQN17" s="37"/>
      <c r="JQO17" s="37"/>
      <c r="JQP17" s="37"/>
      <c r="JQQ17" s="37"/>
      <c r="JQR17" s="37"/>
      <c r="JQS17" s="37"/>
      <c r="JQT17" s="37"/>
      <c r="JQU17" s="37"/>
      <c r="JQV17" s="37"/>
      <c r="JQW17" s="37"/>
      <c r="JQX17" s="37"/>
      <c r="JQY17" s="37"/>
      <c r="JQZ17" s="37"/>
      <c r="JRA17" s="37"/>
      <c r="JRB17" s="37"/>
      <c r="JRC17" s="37"/>
      <c r="JRD17" s="37"/>
      <c r="JRE17" s="37"/>
      <c r="JRF17" s="37"/>
      <c r="JRG17" s="37"/>
      <c r="JRH17" s="37"/>
      <c r="JRI17" s="37"/>
      <c r="JRJ17" s="37"/>
      <c r="JRK17" s="37"/>
      <c r="JRL17" s="37"/>
      <c r="JRM17" s="37"/>
      <c r="JRN17" s="37"/>
      <c r="JRO17" s="37"/>
      <c r="JRP17" s="37"/>
      <c r="JRQ17" s="37"/>
      <c r="JRR17" s="37"/>
      <c r="JRS17" s="37"/>
      <c r="JRT17" s="37"/>
      <c r="JRU17" s="37"/>
      <c r="JRV17" s="37"/>
      <c r="JRW17" s="37"/>
      <c r="JRX17" s="37"/>
      <c r="JRY17" s="37"/>
      <c r="JRZ17" s="37"/>
      <c r="JSA17" s="37"/>
      <c r="JSB17" s="37"/>
      <c r="JSC17" s="37"/>
      <c r="JSD17" s="37"/>
      <c r="JSE17" s="37"/>
      <c r="JSF17" s="37"/>
      <c r="JSG17" s="37"/>
      <c r="JSH17" s="37"/>
      <c r="JSI17" s="37"/>
      <c r="JSJ17" s="37"/>
      <c r="JSK17" s="37"/>
      <c r="JSL17" s="37"/>
      <c r="JSM17" s="37"/>
      <c r="JSN17" s="37"/>
      <c r="JSO17" s="37"/>
      <c r="JSP17" s="37"/>
      <c r="JSQ17" s="37"/>
      <c r="JSR17" s="37"/>
      <c r="JSS17" s="37"/>
      <c r="JST17" s="37"/>
      <c r="JSU17" s="37"/>
      <c r="JSV17" s="37"/>
      <c r="JSW17" s="37"/>
      <c r="JSX17" s="37"/>
      <c r="JSY17" s="37"/>
      <c r="JSZ17" s="37"/>
      <c r="JTA17" s="37"/>
      <c r="JTB17" s="37"/>
      <c r="JTC17" s="37"/>
      <c r="JTD17" s="37"/>
      <c r="JTE17" s="37"/>
      <c r="JTF17" s="37"/>
      <c r="JTG17" s="37"/>
      <c r="JTH17" s="37"/>
      <c r="JTI17" s="37"/>
      <c r="JTJ17" s="37"/>
      <c r="JTK17" s="37"/>
      <c r="JTL17" s="37"/>
      <c r="JTM17" s="37"/>
      <c r="JTN17" s="37"/>
      <c r="JTO17" s="37"/>
      <c r="JTP17" s="37"/>
      <c r="JTQ17" s="37"/>
      <c r="JTR17" s="37"/>
      <c r="JTS17" s="37"/>
      <c r="JTT17" s="37"/>
      <c r="JTU17" s="37"/>
      <c r="JTV17" s="37"/>
      <c r="JTW17" s="37"/>
      <c r="JTX17" s="37"/>
      <c r="JTY17" s="37"/>
      <c r="JTZ17" s="37"/>
      <c r="JUA17" s="37"/>
      <c r="JUB17" s="37"/>
      <c r="JUC17" s="37"/>
      <c r="JUD17" s="37"/>
      <c r="JUE17" s="37"/>
      <c r="JUF17" s="37"/>
      <c r="JUG17" s="37"/>
      <c r="JUH17" s="37"/>
      <c r="JUI17" s="37"/>
      <c r="JUJ17" s="37"/>
      <c r="JUK17" s="37"/>
      <c r="JUL17" s="37"/>
      <c r="JUM17" s="37"/>
      <c r="JUN17" s="37"/>
      <c r="JUO17" s="37"/>
      <c r="JUP17" s="37"/>
      <c r="JUQ17" s="37"/>
      <c r="JUR17" s="37"/>
      <c r="JUS17" s="37"/>
      <c r="JUT17" s="37"/>
      <c r="JUU17" s="37"/>
      <c r="JUV17" s="37"/>
      <c r="JUW17" s="37"/>
      <c r="JUX17" s="37"/>
      <c r="JUY17" s="37"/>
      <c r="JUZ17" s="37"/>
      <c r="JVA17" s="37"/>
      <c r="JVB17" s="37"/>
      <c r="JVC17" s="37"/>
      <c r="JVD17" s="37"/>
      <c r="JVE17" s="37"/>
      <c r="JVF17" s="37"/>
      <c r="JVG17" s="37"/>
      <c r="JVH17" s="37"/>
      <c r="JVI17" s="37"/>
      <c r="JVJ17" s="37"/>
      <c r="JVK17" s="37"/>
      <c r="JVL17" s="37"/>
      <c r="JVM17" s="37"/>
      <c r="JVN17" s="37"/>
      <c r="JVO17" s="37"/>
      <c r="JVP17" s="37"/>
      <c r="JVQ17" s="37"/>
      <c r="JVR17" s="37"/>
      <c r="JVS17" s="37"/>
      <c r="JVT17" s="37"/>
      <c r="JVU17" s="37"/>
      <c r="JVV17" s="37"/>
      <c r="JVW17" s="37"/>
      <c r="JVX17" s="37"/>
      <c r="JVY17" s="37"/>
      <c r="JVZ17" s="37"/>
      <c r="JWA17" s="37"/>
      <c r="JWB17" s="37"/>
      <c r="JWC17" s="37"/>
      <c r="JWD17" s="37"/>
      <c r="JWE17" s="37"/>
      <c r="JWF17" s="37"/>
      <c r="JWG17" s="37"/>
      <c r="JWH17" s="37"/>
      <c r="JWI17" s="37"/>
      <c r="JWJ17" s="37"/>
      <c r="JWK17" s="37"/>
      <c r="JWL17" s="37"/>
      <c r="JWM17" s="37"/>
      <c r="JWN17" s="37"/>
      <c r="JWO17" s="37"/>
      <c r="JWP17" s="37"/>
      <c r="JWQ17" s="37"/>
      <c r="JWR17" s="37"/>
      <c r="JWS17" s="37"/>
      <c r="JWT17" s="37"/>
      <c r="JWU17" s="37"/>
      <c r="JWV17" s="37"/>
      <c r="JWW17" s="37"/>
      <c r="JWX17" s="37"/>
      <c r="JWY17" s="37"/>
      <c r="JWZ17" s="37"/>
      <c r="JXA17" s="37"/>
      <c r="JXB17" s="37"/>
      <c r="JXC17" s="37"/>
      <c r="JXD17" s="37"/>
      <c r="JXE17" s="37"/>
      <c r="JXF17" s="37"/>
      <c r="JXG17" s="37"/>
      <c r="JXH17" s="37"/>
      <c r="JXI17" s="37"/>
      <c r="JXJ17" s="37"/>
      <c r="JXK17" s="37"/>
      <c r="JXL17" s="37"/>
      <c r="JXM17" s="37"/>
      <c r="JXN17" s="37"/>
      <c r="JXO17" s="37"/>
      <c r="JXP17" s="37"/>
      <c r="JXQ17" s="37"/>
      <c r="JXR17" s="37"/>
      <c r="JXS17" s="37"/>
      <c r="JXT17" s="37"/>
      <c r="JXU17" s="37"/>
      <c r="JXV17" s="37"/>
      <c r="JXW17" s="37"/>
      <c r="JXX17" s="37"/>
      <c r="JXY17" s="37"/>
      <c r="JXZ17" s="37"/>
      <c r="JYA17" s="37"/>
      <c r="JYB17" s="37"/>
      <c r="JYC17" s="37"/>
      <c r="JYD17" s="37"/>
      <c r="JYE17" s="37"/>
      <c r="JYF17" s="37"/>
      <c r="JYG17" s="37"/>
      <c r="JYH17" s="37"/>
      <c r="JYI17" s="37"/>
      <c r="JYJ17" s="37"/>
      <c r="JYK17" s="37"/>
      <c r="JYL17" s="37"/>
      <c r="JYM17" s="37"/>
      <c r="JYN17" s="37"/>
      <c r="JYO17" s="37"/>
      <c r="JYP17" s="37"/>
      <c r="JYQ17" s="37"/>
      <c r="JYR17" s="37"/>
      <c r="JYS17" s="37"/>
      <c r="JYT17" s="37"/>
      <c r="JYU17" s="37"/>
      <c r="JYV17" s="37"/>
      <c r="JYW17" s="37"/>
      <c r="JYX17" s="37"/>
      <c r="JYY17" s="37"/>
      <c r="JYZ17" s="37"/>
      <c r="JZA17" s="37"/>
      <c r="JZB17" s="37"/>
      <c r="JZC17" s="37"/>
      <c r="JZD17" s="37"/>
      <c r="JZE17" s="37"/>
      <c r="JZF17" s="37"/>
      <c r="JZG17" s="37"/>
      <c r="JZH17" s="37"/>
      <c r="JZI17" s="37"/>
      <c r="JZJ17" s="37"/>
      <c r="JZK17" s="37"/>
      <c r="JZL17" s="37"/>
      <c r="JZM17" s="37"/>
      <c r="JZN17" s="37"/>
      <c r="JZO17" s="37"/>
      <c r="JZP17" s="37"/>
      <c r="JZQ17" s="37"/>
      <c r="JZR17" s="37"/>
      <c r="JZS17" s="37"/>
      <c r="JZT17" s="37"/>
      <c r="JZU17" s="37"/>
      <c r="JZV17" s="37"/>
      <c r="JZW17" s="37"/>
      <c r="JZX17" s="37"/>
      <c r="JZY17" s="37"/>
      <c r="JZZ17" s="37"/>
      <c r="KAA17" s="37"/>
      <c r="KAB17" s="37"/>
      <c r="KAC17" s="37"/>
      <c r="KAD17" s="37"/>
      <c r="KAE17" s="37"/>
      <c r="KAF17" s="37"/>
      <c r="KAG17" s="37"/>
      <c r="KAH17" s="37"/>
      <c r="KAI17" s="37"/>
      <c r="KAJ17" s="37"/>
      <c r="KAK17" s="37"/>
      <c r="KAL17" s="37"/>
      <c r="KAM17" s="37"/>
      <c r="KAN17" s="37"/>
      <c r="KAO17" s="37"/>
      <c r="KAP17" s="37"/>
      <c r="KAQ17" s="37"/>
      <c r="KAR17" s="37"/>
      <c r="KAS17" s="37"/>
      <c r="KAT17" s="37"/>
      <c r="KAU17" s="37"/>
      <c r="KAV17" s="37"/>
      <c r="KAW17" s="37"/>
      <c r="KAX17" s="37"/>
      <c r="KAY17" s="37"/>
      <c r="KAZ17" s="37"/>
      <c r="KBA17" s="37"/>
      <c r="KBB17" s="37"/>
      <c r="KBC17" s="37"/>
      <c r="KBD17" s="37"/>
      <c r="KBE17" s="37"/>
      <c r="KBF17" s="37"/>
      <c r="KBG17" s="37"/>
      <c r="KBH17" s="37"/>
      <c r="KBI17" s="37"/>
      <c r="KBJ17" s="37"/>
      <c r="KBK17" s="37"/>
      <c r="KBL17" s="37"/>
      <c r="KBM17" s="37"/>
      <c r="KBN17" s="37"/>
      <c r="KBO17" s="37"/>
      <c r="KBP17" s="37"/>
      <c r="KBQ17" s="37"/>
      <c r="KBR17" s="37"/>
      <c r="KBS17" s="37"/>
      <c r="KBT17" s="37"/>
      <c r="KBU17" s="37"/>
      <c r="KBV17" s="37"/>
      <c r="KBW17" s="37"/>
      <c r="KBX17" s="37"/>
      <c r="KBY17" s="37"/>
      <c r="KBZ17" s="37"/>
      <c r="KCA17" s="37"/>
      <c r="KCB17" s="37"/>
      <c r="KCC17" s="37"/>
      <c r="KCD17" s="37"/>
      <c r="KCE17" s="37"/>
      <c r="KCF17" s="37"/>
      <c r="KCG17" s="37"/>
      <c r="KCH17" s="37"/>
      <c r="KCI17" s="37"/>
      <c r="KCJ17" s="37"/>
      <c r="KCK17" s="37"/>
      <c r="KCL17" s="37"/>
      <c r="KCM17" s="37"/>
      <c r="KCN17" s="37"/>
      <c r="KCO17" s="37"/>
      <c r="KCP17" s="37"/>
      <c r="KCQ17" s="37"/>
      <c r="KCR17" s="37"/>
      <c r="KCS17" s="37"/>
      <c r="KCT17" s="37"/>
      <c r="KCU17" s="37"/>
      <c r="KCV17" s="37"/>
      <c r="KCW17" s="37"/>
      <c r="KCX17" s="37"/>
      <c r="KCY17" s="37"/>
      <c r="KCZ17" s="37"/>
      <c r="KDA17" s="37"/>
      <c r="KDB17" s="37"/>
      <c r="KDC17" s="37"/>
      <c r="KDD17" s="37"/>
      <c r="KDE17" s="37"/>
      <c r="KDF17" s="37"/>
      <c r="KDG17" s="37"/>
      <c r="KDH17" s="37"/>
      <c r="KDI17" s="37"/>
      <c r="KDJ17" s="37"/>
      <c r="KDK17" s="37"/>
      <c r="KDL17" s="37"/>
      <c r="KDM17" s="37"/>
      <c r="KDN17" s="37"/>
      <c r="KDO17" s="37"/>
      <c r="KDP17" s="37"/>
      <c r="KDQ17" s="37"/>
      <c r="KDR17" s="37"/>
      <c r="KDS17" s="37"/>
      <c r="KDT17" s="37"/>
      <c r="KDU17" s="37"/>
      <c r="KDV17" s="37"/>
      <c r="KDW17" s="37"/>
      <c r="KDX17" s="37"/>
      <c r="KDY17" s="37"/>
      <c r="KDZ17" s="37"/>
      <c r="KEA17" s="37"/>
      <c r="KEB17" s="37"/>
      <c r="KEC17" s="37"/>
      <c r="KED17" s="37"/>
      <c r="KEE17" s="37"/>
      <c r="KEF17" s="37"/>
      <c r="KEG17" s="37"/>
      <c r="KEH17" s="37"/>
      <c r="KEI17" s="37"/>
      <c r="KEJ17" s="37"/>
      <c r="KEK17" s="37"/>
      <c r="KEL17" s="37"/>
      <c r="KEM17" s="37"/>
      <c r="KEN17" s="37"/>
      <c r="KEO17" s="37"/>
      <c r="KEP17" s="37"/>
      <c r="KEQ17" s="37"/>
      <c r="KER17" s="37"/>
      <c r="KES17" s="37"/>
      <c r="KET17" s="37"/>
      <c r="KEU17" s="37"/>
      <c r="KEV17" s="37"/>
      <c r="KEW17" s="37"/>
      <c r="KEX17" s="37"/>
      <c r="KEY17" s="37"/>
      <c r="KEZ17" s="37"/>
      <c r="KFA17" s="37"/>
      <c r="KFB17" s="37"/>
      <c r="KFC17" s="37"/>
      <c r="KFD17" s="37"/>
      <c r="KFE17" s="37"/>
      <c r="KFF17" s="37"/>
      <c r="KFG17" s="37"/>
      <c r="KFH17" s="37"/>
      <c r="KFI17" s="37"/>
      <c r="KFJ17" s="37"/>
      <c r="KFK17" s="37"/>
      <c r="KFL17" s="37"/>
      <c r="KFM17" s="37"/>
      <c r="KFN17" s="37"/>
      <c r="KFO17" s="37"/>
      <c r="KFP17" s="37"/>
      <c r="KFQ17" s="37"/>
      <c r="KFR17" s="37"/>
      <c r="KFS17" s="37"/>
      <c r="KFT17" s="37"/>
      <c r="KFU17" s="37"/>
      <c r="KFV17" s="37"/>
      <c r="KFW17" s="37"/>
      <c r="KFX17" s="37"/>
      <c r="KFY17" s="37"/>
      <c r="KFZ17" s="37"/>
      <c r="KGA17" s="37"/>
      <c r="KGB17" s="37"/>
      <c r="KGC17" s="37"/>
      <c r="KGD17" s="37"/>
      <c r="KGE17" s="37"/>
      <c r="KGF17" s="37"/>
      <c r="KGG17" s="37"/>
      <c r="KGH17" s="37"/>
      <c r="KGI17" s="37"/>
      <c r="KGJ17" s="37"/>
      <c r="KGK17" s="37"/>
      <c r="KGL17" s="37"/>
      <c r="KGM17" s="37"/>
      <c r="KGN17" s="37"/>
      <c r="KGO17" s="37"/>
      <c r="KGP17" s="37"/>
      <c r="KGQ17" s="37"/>
      <c r="KGR17" s="37"/>
      <c r="KGS17" s="37"/>
      <c r="KGT17" s="37"/>
      <c r="KGU17" s="37"/>
      <c r="KGV17" s="37"/>
      <c r="KGW17" s="37"/>
      <c r="KGX17" s="37"/>
      <c r="KGY17" s="37"/>
      <c r="KGZ17" s="37"/>
      <c r="KHA17" s="37"/>
      <c r="KHB17" s="37"/>
      <c r="KHC17" s="37"/>
      <c r="KHD17" s="37"/>
      <c r="KHE17" s="37"/>
      <c r="KHF17" s="37"/>
      <c r="KHG17" s="37"/>
      <c r="KHH17" s="37"/>
      <c r="KHI17" s="37"/>
      <c r="KHJ17" s="37"/>
      <c r="KHK17" s="37"/>
      <c r="KHL17" s="37"/>
      <c r="KHM17" s="37"/>
      <c r="KHN17" s="37"/>
      <c r="KHO17" s="37"/>
      <c r="KHP17" s="37"/>
      <c r="KHQ17" s="37"/>
      <c r="KHR17" s="37"/>
      <c r="KHS17" s="37"/>
      <c r="KHT17" s="37"/>
      <c r="KHU17" s="37"/>
      <c r="KHV17" s="37"/>
      <c r="KHW17" s="37"/>
      <c r="KHX17" s="37"/>
      <c r="KHY17" s="37"/>
      <c r="KHZ17" s="37"/>
      <c r="KIA17" s="37"/>
      <c r="KIB17" s="37"/>
      <c r="KIC17" s="37"/>
      <c r="KID17" s="37"/>
      <c r="KIE17" s="37"/>
      <c r="KIF17" s="37"/>
      <c r="KIG17" s="37"/>
      <c r="KIH17" s="37"/>
      <c r="KII17" s="37"/>
      <c r="KIJ17" s="37"/>
      <c r="KIK17" s="37"/>
      <c r="KIL17" s="37"/>
      <c r="KIM17" s="37"/>
      <c r="KIN17" s="37"/>
      <c r="KIO17" s="37"/>
      <c r="KIP17" s="37"/>
      <c r="KIQ17" s="37"/>
      <c r="KIR17" s="37"/>
      <c r="KIS17" s="37"/>
      <c r="KIT17" s="37"/>
      <c r="KIU17" s="37"/>
      <c r="KIV17" s="37"/>
      <c r="KIW17" s="37"/>
      <c r="KIX17" s="37"/>
      <c r="KIY17" s="37"/>
      <c r="KIZ17" s="37"/>
      <c r="KJA17" s="37"/>
      <c r="KJB17" s="37"/>
      <c r="KJC17" s="37"/>
      <c r="KJD17" s="37"/>
      <c r="KJE17" s="37"/>
      <c r="KJF17" s="37"/>
      <c r="KJG17" s="37"/>
      <c r="KJH17" s="37"/>
      <c r="KJI17" s="37"/>
      <c r="KJJ17" s="37"/>
      <c r="KJK17" s="37"/>
      <c r="KJL17" s="37"/>
      <c r="KJM17" s="37"/>
      <c r="KJN17" s="37"/>
      <c r="KJO17" s="37"/>
      <c r="KJP17" s="37"/>
      <c r="KJQ17" s="37"/>
      <c r="KJR17" s="37"/>
      <c r="KJS17" s="37"/>
      <c r="KJT17" s="37"/>
      <c r="KJU17" s="37"/>
      <c r="KJV17" s="37"/>
      <c r="KJW17" s="37"/>
      <c r="KJX17" s="37"/>
      <c r="KJY17" s="37"/>
      <c r="KJZ17" s="37"/>
      <c r="KKA17" s="37"/>
      <c r="KKB17" s="37"/>
      <c r="KKC17" s="37"/>
      <c r="KKD17" s="37"/>
      <c r="KKE17" s="37"/>
      <c r="KKF17" s="37"/>
      <c r="KKG17" s="37"/>
      <c r="KKH17" s="37"/>
      <c r="KKI17" s="37"/>
      <c r="KKJ17" s="37"/>
      <c r="KKK17" s="37"/>
      <c r="KKL17" s="37"/>
      <c r="KKM17" s="37"/>
      <c r="KKN17" s="37"/>
      <c r="KKO17" s="37"/>
      <c r="KKP17" s="37"/>
      <c r="KKQ17" s="37"/>
      <c r="KKR17" s="37"/>
      <c r="KKS17" s="37"/>
      <c r="KKT17" s="37"/>
      <c r="KKU17" s="37"/>
      <c r="KKV17" s="37"/>
      <c r="KKW17" s="37"/>
      <c r="KKX17" s="37"/>
      <c r="KKY17" s="37"/>
      <c r="KKZ17" s="37"/>
      <c r="KLA17" s="37"/>
      <c r="KLB17" s="37"/>
      <c r="KLC17" s="37"/>
      <c r="KLD17" s="37"/>
      <c r="KLE17" s="37"/>
      <c r="KLF17" s="37"/>
      <c r="KLG17" s="37"/>
      <c r="KLH17" s="37"/>
      <c r="KLI17" s="37"/>
      <c r="KLJ17" s="37"/>
      <c r="KLK17" s="37"/>
      <c r="KLL17" s="37"/>
      <c r="KLM17" s="37"/>
      <c r="KLN17" s="37"/>
      <c r="KLO17" s="37"/>
      <c r="KLP17" s="37"/>
      <c r="KLQ17" s="37"/>
      <c r="KLR17" s="37"/>
      <c r="KLS17" s="37"/>
      <c r="KLT17" s="37"/>
      <c r="KLU17" s="37"/>
      <c r="KLV17" s="37"/>
      <c r="KLW17" s="37"/>
      <c r="KLX17" s="37"/>
      <c r="KLY17" s="37"/>
      <c r="KLZ17" s="37"/>
      <c r="KMA17" s="37"/>
      <c r="KMB17" s="37"/>
      <c r="KMC17" s="37"/>
      <c r="KMD17" s="37"/>
      <c r="KME17" s="37"/>
      <c r="KMF17" s="37"/>
      <c r="KMG17" s="37"/>
      <c r="KMH17" s="37"/>
      <c r="KMI17" s="37"/>
      <c r="KMJ17" s="37"/>
      <c r="KMK17" s="37"/>
      <c r="KML17" s="37"/>
      <c r="KMM17" s="37"/>
      <c r="KMN17" s="37"/>
      <c r="KMO17" s="37"/>
      <c r="KMP17" s="37"/>
      <c r="KMQ17" s="37"/>
      <c r="KMR17" s="37"/>
      <c r="KMS17" s="37"/>
      <c r="KMT17" s="37"/>
      <c r="KMU17" s="37"/>
      <c r="KMV17" s="37"/>
      <c r="KMW17" s="37"/>
      <c r="KMX17" s="37"/>
      <c r="KMY17" s="37"/>
      <c r="KMZ17" s="37"/>
      <c r="KNA17" s="37"/>
      <c r="KNB17" s="37"/>
      <c r="KNC17" s="37"/>
      <c r="KND17" s="37"/>
      <c r="KNE17" s="37"/>
      <c r="KNF17" s="37"/>
      <c r="KNG17" s="37"/>
      <c r="KNH17" s="37"/>
      <c r="KNI17" s="37"/>
      <c r="KNJ17" s="37"/>
      <c r="KNK17" s="37"/>
      <c r="KNL17" s="37"/>
      <c r="KNM17" s="37"/>
      <c r="KNN17" s="37"/>
      <c r="KNO17" s="37"/>
      <c r="KNP17" s="37"/>
      <c r="KNQ17" s="37"/>
      <c r="KNR17" s="37"/>
      <c r="KNS17" s="37"/>
      <c r="KNT17" s="37"/>
      <c r="KNU17" s="37"/>
      <c r="KNV17" s="37"/>
      <c r="KNW17" s="37"/>
      <c r="KNX17" s="37"/>
      <c r="KNY17" s="37"/>
      <c r="KNZ17" s="37"/>
      <c r="KOA17" s="37"/>
      <c r="KOB17" s="37"/>
      <c r="KOC17" s="37"/>
      <c r="KOD17" s="37"/>
      <c r="KOE17" s="37"/>
      <c r="KOF17" s="37"/>
      <c r="KOG17" s="37"/>
      <c r="KOH17" s="37"/>
      <c r="KOI17" s="37"/>
      <c r="KOJ17" s="37"/>
      <c r="KOK17" s="37"/>
      <c r="KOL17" s="37"/>
      <c r="KOM17" s="37"/>
      <c r="KON17" s="37"/>
      <c r="KOO17" s="37"/>
      <c r="KOP17" s="37"/>
      <c r="KOQ17" s="37"/>
      <c r="KOR17" s="37"/>
      <c r="KOS17" s="37"/>
      <c r="KOT17" s="37"/>
      <c r="KOU17" s="37"/>
      <c r="KOV17" s="37"/>
      <c r="KOW17" s="37"/>
      <c r="KOX17" s="37"/>
      <c r="KOY17" s="37"/>
      <c r="KOZ17" s="37"/>
      <c r="KPA17" s="37"/>
      <c r="KPB17" s="37"/>
      <c r="KPC17" s="37"/>
      <c r="KPD17" s="37"/>
      <c r="KPE17" s="37"/>
      <c r="KPF17" s="37"/>
      <c r="KPG17" s="37"/>
      <c r="KPH17" s="37"/>
      <c r="KPI17" s="37"/>
      <c r="KPJ17" s="37"/>
      <c r="KPK17" s="37"/>
      <c r="KPL17" s="37"/>
      <c r="KPM17" s="37"/>
      <c r="KPN17" s="37"/>
      <c r="KPO17" s="37"/>
      <c r="KPP17" s="37"/>
      <c r="KPQ17" s="37"/>
      <c r="KPR17" s="37"/>
      <c r="KPS17" s="37"/>
      <c r="KPT17" s="37"/>
      <c r="KPU17" s="37"/>
      <c r="KPV17" s="37"/>
      <c r="KPW17" s="37"/>
      <c r="KPX17" s="37"/>
      <c r="KPY17" s="37"/>
      <c r="KPZ17" s="37"/>
      <c r="KQA17" s="37"/>
      <c r="KQB17" s="37"/>
      <c r="KQC17" s="37"/>
      <c r="KQD17" s="37"/>
      <c r="KQE17" s="37"/>
      <c r="KQF17" s="37"/>
      <c r="KQG17" s="37"/>
      <c r="KQH17" s="37"/>
      <c r="KQI17" s="37"/>
      <c r="KQJ17" s="37"/>
      <c r="KQK17" s="37"/>
      <c r="KQL17" s="37"/>
      <c r="KQM17" s="37"/>
      <c r="KQN17" s="37"/>
      <c r="KQO17" s="37"/>
      <c r="KQP17" s="37"/>
      <c r="KQQ17" s="37"/>
      <c r="KQR17" s="37"/>
      <c r="KQS17" s="37"/>
      <c r="KQT17" s="37"/>
      <c r="KQU17" s="37"/>
      <c r="KQV17" s="37"/>
      <c r="KQW17" s="37"/>
      <c r="KQX17" s="37"/>
      <c r="KQY17" s="37"/>
      <c r="KQZ17" s="37"/>
      <c r="KRA17" s="37"/>
      <c r="KRB17" s="37"/>
      <c r="KRC17" s="37"/>
      <c r="KRD17" s="37"/>
      <c r="KRE17" s="37"/>
      <c r="KRF17" s="37"/>
      <c r="KRG17" s="37"/>
      <c r="KRH17" s="37"/>
      <c r="KRI17" s="37"/>
      <c r="KRJ17" s="37"/>
      <c r="KRK17" s="37"/>
      <c r="KRL17" s="37"/>
      <c r="KRM17" s="37"/>
      <c r="KRN17" s="37"/>
      <c r="KRO17" s="37"/>
      <c r="KRP17" s="37"/>
      <c r="KRQ17" s="37"/>
      <c r="KRR17" s="37"/>
      <c r="KRS17" s="37"/>
      <c r="KRT17" s="37"/>
      <c r="KRU17" s="37"/>
      <c r="KRV17" s="37"/>
      <c r="KRW17" s="37"/>
      <c r="KRX17" s="37"/>
      <c r="KRY17" s="37"/>
      <c r="KRZ17" s="37"/>
      <c r="KSA17" s="37"/>
      <c r="KSB17" s="37"/>
      <c r="KSC17" s="37"/>
      <c r="KSD17" s="37"/>
      <c r="KSE17" s="37"/>
      <c r="KSF17" s="37"/>
      <c r="KSG17" s="37"/>
      <c r="KSH17" s="37"/>
      <c r="KSI17" s="37"/>
      <c r="KSJ17" s="37"/>
      <c r="KSK17" s="37"/>
      <c r="KSL17" s="37"/>
      <c r="KSM17" s="37"/>
      <c r="KSN17" s="37"/>
      <c r="KSO17" s="37"/>
      <c r="KSP17" s="37"/>
      <c r="KSQ17" s="37"/>
      <c r="KSR17" s="37"/>
      <c r="KSS17" s="37"/>
      <c r="KST17" s="37"/>
      <c r="KSU17" s="37"/>
      <c r="KSV17" s="37"/>
      <c r="KSW17" s="37"/>
      <c r="KSX17" s="37"/>
      <c r="KSY17" s="37"/>
      <c r="KSZ17" s="37"/>
      <c r="KTA17" s="37"/>
      <c r="KTB17" s="37"/>
      <c r="KTC17" s="37"/>
      <c r="KTD17" s="37"/>
      <c r="KTE17" s="37"/>
      <c r="KTF17" s="37"/>
      <c r="KTG17" s="37"/>
      <c r="KTH17" s="37"/>
      <c r="KTI17" s="37"/>
      <c r="KTJ17" s="37"/>
      <c r="KTK17" s="37"/>
      <c r="KTL17" s="37"/>
      <c r="KTM17" s="37"/>
      <c r="KTN17" s="37"/>
      <c r="KTO17" s="37"/>
      <c r="KTP17" s="37"/>
      <c r="KTQ17" s="37"/>
      <c r="KTR17" s="37"/>
      <c r="KTS17" s="37"/>
      <c r="KTT17" s="37"/>
      <c r="KTU17" s="37"/>
      <c r="KTV17" s="37"/>
      <c r="KTW17" s="37"/>
      <c r="KTX17" s="37"/>
      <c r="KTY17" s="37"/>
      <c r="KTZ17" s="37"/>
      <c r="KUA17" s="37"/>
      <c r="KUB17" s="37"/>
      <c r="KUC17" s="37"/>
      <c r="KUD17" s="37"/>
      <c r="KUE17" s="37"/>
      <c r="KUF17" s="37"/>
      <c r="KUG17" s="37"/>
      <c r="KUH17" s="37"/>
      <c r="KUI17" s="37"/>
      <c r="KUJ17" s="37"/>
      <c r="KUK17" s="37"/>
      <c r="KUL17" s="37"/>
      <c r="KUM17" s="37"/>
      <c r="KUN17" s="37"/>
      <c r="KUO17" s="37"/>
      <c r="KUP17" s="37"/>
      <c r="KUQ17" s="37"/>
      <c r="KUR17" s="37"/>
      <c r="KUS17" s="37"/>
      <c r="KUT17" s="37"/>
      <c r="KUU17" s="37"/>
      <c r="KUV17" s="37"/>
      <c r="KUW17" s="37"/>
      <c r="KUX17" s="37"/>
      <c r="KUY17" s="37"/>
      <c r="KUZ17" s="37"/>
      <c r="KVA17" s="37"/>
      <c r="KVB17" s="37"/>
      <c r="KVC17" s="37"/>
      <c r="KVD17" s="37"/>
      <c r="KVE17" s="37"/>
      <c r="KVF17" s="37"/>
      <c r="KVG17" s="37"/>
      <c r="KVH17" s="37"/>
      <c r="KVI17" s="37"/>
      <c r="KVJ17" s="37"/>
      <c r="KVK17" s="37"/>
      <c r="KVL17" s="37"/>
      <c r="KVM17" s="37"/>
      <c r="KVN17" s="37"/>
      <c r="KVO17" s="37"/>
      <c r="KVP17" s="37"/>
      <c r="KVQ17" s="37"/>
      <c r="KVR17" s="37"/>
      <c r="KVS17" s="37"/>
      <c r="KVT17" s="37"/>
      <c r="KVU17" s="37"/>
      <c r="KVV17" s="37"/>
      <c r="KVW17" s="37"/>
      <c r="KVX17" s="37"/>
      <c r="KVY17" s="37"/>
      <c r="KVZ17" s="37"/>
      <c r="KWA17" s="37"/>
      <c r="KWB17" s="37"/>
      <c r="KWC17" s="37"/>
      <c r="KWD17" s="37"/>
      <c r="KWE17" s="37"/>
      <c r="KWF17" s="37"/>
      <c r="KWG17" s="37"/>
      <c r="KWH17" s="37"/>
      <c r="KWI17" s="37"/>
      <c r="KWJ17" s="37"/>
      <c r="KWK17" s="37"/>
      <c r="KWL17" s="37"/>
      <c r="KWM17" s="37"/>
      <c r="KWN17" s="37"/>
      <c r="KWO17" s="37"/>
      <c r="KWP17" s="37"/>
      <c r="KWQ17" s="37"/>
      <c r="KWR17" s="37"/>
      <c r="KWS17" s="37"/>
      <c r="KWT17" s="37"/>
      <c r="KWU17" s="37"/>
      <c r="KWV17" s="37"/>
      <c r="KWW17" s="37"/>
      <c r="KWX17" s="37"/>
      <c r="KWY17" s="37"/>
      <c r="KWZ17" s="37"/>
      <c r="KXA17" s="37"/>
      <c r="KXB17" s="37"/>
      <c r="KXC17" s="37"/>
      <c r="KXD17" s="37"/>
      <c r="KXE17" s="37"/>
      <c r="KXF17" s="37"/>
      <c r="KXG17" s="37"/>
      <c r="KXH17" s="37"/>
      <c r="KXI17" s="37"/>
      <c r="KXJ17" s="37"/>
      <c r="KXK17" s="37"/>
      <c r="KXL17" s="37"/>
      <c r="KXM17" s="37"/>
      <c r="KXN17" s="37"/>
      <c r="KXO17" s="37"/>
      <c r="KXP17" s="37"/>
      <c r="KXQ17" s="37"/>
      <c r="KXR17" s="37"/>
      <c r="KXS17" s="37"/>
      <c r="KXT17" s="37"/>
      <c r="KXU17" s="37"/>
      <c r="KXV17" s="37"/>
      <c r="KXW17" s="37"/>
      <c r="KXX17" s="37"/>
      <c r="KXY17" s="37"/>
      <c r="KXZ17" s="37"/>
      <c r="KYA17" s="37"/>
      <c r="KYB17" s="37"/>
      <c r="KYC17" s="37"/>
      <c r="KYD17" s="37"/>
      <c r="KYE17" s="37"/>
      <c r="KYF17" s="37"/>
      <c r="KYG17" s="37"/>
      <c r="KYH17" s="37"/>
      <c r="KYI17" s="37"/>
      <c r="KYJ17" s="37"/>
      <c r="KYK17" s="37"/>
      <c r="KYL17" s="37"/>
      <c r="KYM17" s="37"/>
      <c r="KYN17" s="37"/>
      <c r="KYO17" s="37"/>
      <c r="KYP17" s="37"/>
      <c r="KYQ17" s="37"/>
      <c r="KYR17" s="37"/>
      <c r="KYS17" s="37"/>
      <c r="KYT17" s="37"/>
      <c r="KYU17" s="37"/>
      <c r="KYV17" s="37"/>
      <c r="KYW17" s="37"/>
      <c r="KYX17" s="37"/>
      <c r="KYY17" s="37"/>
      <c r="KYZ17" s="37"/>
      <c r="KZA17" s="37"/>
      <c r="KZB17" s="37"/>
      <c r="KZC17" s="37"/>
      <c r="KZD17" s="37"/>
      <c r="KZE17" s="37"/>
      <c r="KZF17" s="37"/>
      <c r="KZG17" s="37"/>
      <c r="KZH17" s="37"/>
      <c r="KZI17" s="37"/>
      <c r="KZJ17" s="37"/>
      <c r="KZK17" s="37"/>
      <c r="KZL17" s="37"/>
      <c r="KZM17" s="37"/>
      <c r="KZN17" s="37"/>
      <c r="KZO17" s="37"/>
      <c r="KZP17" s="37"/>
      <c r="KZQ17" s="37"/>
      <c r="KZR17" s="37"/>
      <c r="KZS17" s="37"/>
      <c r="KZT17" s="37"/>
      <c r="KZU17" s="37"/>
      <c r="KZV17" s="37"/>
      <c r="KZW17" s="37"/>
      <c r="KZX17" s="37"/>
      <c r="KZY17" s="37"/>
      <c r="KZZ17" s="37"/>
      <c r="LAA17" s="37"/>
      <c r="LAB17" s="37"/>
      <c r="LAC17" s="37"/>
      <c r="LAD17" s="37"/>
      <c r="LAE17" s="37"/>
      <c r="LAF17" s="37"/>
      <c r="LAG17" s="37"/>
      <c r="LAH17" s="37"/>
      <c r="LAI17" s="37"/>
      <c r="LAJ17" s="37"/>
      <c r="LAK17" s="37"/>
      <c r="LAL17" s="37"/>
      <c r="LAM17" s="37"/>
      <c r="LAN17" s="37"/>
      <c r="LAO17" s="37"/>
      <c r="LAP17" s="37"/>
      <c r="LAQ17" s="37"/>
      <c r="LAR17" s="37"/>
      <c r="LAS17" s="37"/>
      <c r="LAT17" s="37"/>
      <c r="LAU17" s="37"/>
      <c r="LAV17" s="37"/>
      <c r="LAW17" s="37"/>
      <c r="LAX17" s="37"/>
      <c r="LAY17" s="37"/>
      <c r="LAZ17" s="37"/>
      <c r="LBA17" s="37"/>
      <c r="LBB17" s="37"/>
      <c r="LBC17" s="37"/>
      <c r="LBD17" s="37"/>
      <c r="LBE17" s="37"/>
      <c r="LBF17" s="37"/>
      <c r="LBG17" s="37"/>
      <c r="LBH17" s="37"/>
      <c r="LBI17" s="37"/>
      <c r="LBJ17" s="37"/>
      <c r="LBK17" s="37"/>
      <c r="LBL17" s="37"/>
      <c r="LBM17" s="37"/>
      <c r="LBN17" s="37"/>
      <c r="LBO17" s="37"/>
      <c r="LBP17" s="37"/>
      <c r="LBQ17" s="37"/>
      <c r="LBR17" s="37"/>
      <c r="LBS17" s="37"/>
      <c r="LBT17" s="37"/>
      <c r="LBU17" s="37"/>
      <c r="LBV17" s="37"/>
      <c r="LBW17" s="37"/>
      <c r="LBX17" s="37"/>
      <c r="LBY17" s="37"/>
      <c r="LBZ17" s="37"/>
      <c r="LCA17" s="37"/>
      <c r="LCB17" s="37"/>
      <c r="LCC17" s="37"/>
      <c r="LCD17" s="37"/>
      <c r="LCE17" s="37"/>
      <c r="LCF17" s="37"/>
      <c r="LCG17" s="37"/>
      <c r="LCH17" s="37"/>
      <c r="LCI17" s="37"/>
      <c r="LCJ17" s="37"/>
      <c r="LCK17" s="37"/>
      <c r="LCL17" s="37"/>
      <c r="LCM17" s="37"/>
      <c r="LCN17" s="37"/>
      <c r="LCO17" s="37"/>
      <c r="LCP17" s="37"/>
      <c r="LCQ17" s="37"/>
      <c r="LCR17" s="37"/>
      <c r="LCS17" s="37"/>
      <c r="LCT17" s="37"/>
      <c r="LCU17" s="37"/>
      <c r="LCV17" s="37"/>
      <c r="LCW17" s="37"/>
      <c r="LCX17" s="37"/>
      <c r="LCY17" s="37"/>
      <c r="LCZ17" s="37"/>
      <c r="LDA17" s="37"/>
      <c r="LDB17" s="37"/>
      <c r="LDC17" s="37"/>
      <c r="LDD17" s="37"/>
      <c r="LDE17" s="37"/>
      <c r="LDF17" s="37"/>
      <c r="LDG17" s="37"/>
      <c r="LDH17" s="37"/>
      <c r="LDI17" s="37"/>
      <c r="LDJ17" s="37"/>
      <c r="LDK17" s="37"/>
      <c r="LDL17" s="37"/>
      <c r="LDM17" s="37"/>
      <c r="LDN17" s="37"/>
      <c r="LDO17" s="37"/>
      <c r="LDP17" s="37"/>
      <c r="LDQ17" s="37"/>
      <c r="LDR17" s="37"/>
      <c r="LDS17" s="37"/>
      <c r="LDT17" s="37"/>
      <c r="LDU17" s="37"/>
      <c r="LDV17" s="37"/>
      <c r="LDW17" s="37"/>
      <c r="LDX17" s="37"/>
      <c r="LDY17" s="37"/>
      <c r="LDZ17" s="37"/>
      <c r="LEA17" s="37"/>
      <c r="LEB17" s="37"/>
      <c r="LEC17" s="37"/>
      <c r="LED17" s="37"/>
      <c r="LEE17" s="37"/>
      <c r="LEF17" s="37"/>
      <c r="LEG17" s="37"/>
      <c r="LEH17" s="37"/>
      <c r="LEI17" s="37"/>
      <c r="LEJ17" s="37"/>
      <c r="LEK17" s="37"/>
      <c r="LEL17" s="37"/>
      <c r="LEM17" s="37"/>
      <c r="LEN17" s="37"/>
      <c r="LEO17" s="37"/>
      <c r="LEP17" s="37"/>
      <c r="LEQ17" s="37"/>
      <c r="LER17" s="37"/>
      <c r="LES17" s="37"/>
      <c r="LET17" s="37"/>
      <c r="LEU17" s="37"/>
      <c r="LEV17" s="37"/>
      <c r="LEW17" s="37"/>
      <c r="LEX17" s="37"/>
      <c r="LEY17" s="37"/>
      <c r="LEZ17" s="37"/>
      <c r="LFA17" s="37"/>
      <c r="LFB17" s="37"/>
      <c r="LFC17" s="37"/>
      <c r="LFD17" s="37"/>
      <c r="LFE17" s="37"/>
      <c r="LFF17" s="37"/>
      <c r="LFG17" s="37"/>
      <c r="LFH17" s="37"/>
      <c r="LFI17" s="37"/>
      <c r="LFJ17" s="37"/>
      <c r="LFK17" s="37"/>
      <c r="LFL17" s="37"/>
      <c r="LFM17" s="37"/>
      <c r="LFN17" s="37"/>
      <c r="LFO17" s="37"/>
      <c r="LFP17" s="37"/>
      <c r="LFQ17" s="37"/>
      <c r="LFR17" s="37"/>
      <c r="LFS17" s="37"/>
      <c r="LFT17" s="37"/>
      <c r="LFU17" s="37"/>
      <c r="LFV17" s="37"/>
      <c r="LFW17" s="37"/>
      <c r="LFX17" s="37"/>
      <c r="LFY17" s="37"/>
      <c r="LFZ17" s="37"/>
      <c r="LGA17" s="37"/>
      <c r="LGB17" s="37"/>
      <c r="LGC17" s="37"/>
      <c r="LGD17" s="37"/>
      <c r="LGE17" s="37"/>
      <c r="LGF17" s="37"/>
      <c r="LGG17" s="37"/>
      <c r="LGH17" s="37"/>
      <c r="LGI17" s="37"/>
      <c r="LGJ17" s="37"/>
      <c r="LGK17" s="37"/>
      <c r="LGL17" s="37"/>
      <c r="LGM17" s="37"/>
      <c r="LGN17" s="37"/>
      <c r="LGO17" s="37"/>
      <c r="LGP17" s="37"/>
      <c r="LGQ17" s="37"/>
      <c r="LGR17" s="37"/>
      <c r="LGS17" s="37"/>
      <c r="LGT17" s="37"/>
      <c r="LGU17" s="37"/>
      <c r="LGV17" s="37"/>
      <c r="LGW17" s="37"/>
      <c r="LGX17" s="37"/>
      <c r="LGY17" s="37"/>
      <c r="LGZ17" s="37"/>
      <c r="LHA17" s="37"/>
      <c r="LHB17" s="37"/>
      <c r="LHC17" s="37"/>
      <c r="LHD17" s="37"/>
      <c r="LHE17" s="37"/>
      <c r="LHF17" s="37"/>
      <c r="LHG17" s="37"/>
      <c r="LHH17" s="37"/>
      <c r="LHI17" s="37"/>
      <c r="LHJ17" s="37"/>
      <c r="LHK17" s="37"/>
      <c r="LHL17" s="37"/>
      <c r="LHM17" s="37"/>
      <c r="LHN17" s="37"/>
      <c r="LHO17" s="37"/>
      <c r="LHP17" s="37"/>
      <c r="LHQ17" s="37"/>
      <c r="LHR17" s="37"/>
      <c r="LHS17" s="37"/>
      <c r="LHT17" s="37"/>
      <c r="LHU17" s="37"/>
      <c r="LHV17" s="37"/>
      <c r="LHW17" s="37"/>
      <c r="LHX17" s="37"/>
      <c r="LHY17" s="37"/>
      <c r="LHZ17" s="37"/>
      <c r="LIA17" s="37"/>
      <c r="LIB17" s="37"/>
      <c r="LIC17" s="37"/>
      <c r="LID17" s="37"/>
      <c r="LIE17" s="37"/>
      <c r="LIF17" s="37"/>
      <c r="LIG17" s="37"/>
      <c r="LIH17" s="37"/>
      <c r="LII17" s="37"/>
      <c r="LIJ17" s="37"/>
      <c r="LIK17" s="37"/>
      <c r="LIL17" s="37"/>
      <c r="LIM17" s="37"/>
      <c r="LIN17" s="37"/>
      <c r="LIO17" s="37"/>
      <c r="LIP17" s="37"/>
      <c r="LIQ17" s="37"/>
      <c r="LIR17" s="37"/>
      <c r="LIS17" s="37"/>
      <c r="LIT17" s="37"/>
      <c r="LIU17" s="37"/>
      <c r="LIV17" s="37"/>
      <c r="LIW17" s="37"/>
      <c r="LIX17" s="37"/>
      <c r="LIY17" s="37"/>
      <c r="LIZ17" s="37"/>
      <c r="LJA17" s="37"/>
      <c r="LJB17" s="37"/>
      <c r="LJC17" s="37"/>
      <c r="LJD17" s="37"/>
      <c r="LJE17" s="37"/>
      <c r="LJF17" s="37"/>
      <c r="LJG17" s="37"/>
      <c r="LJH17" s="37"/>
      <c r="LJI17" s="37"/>
      <c r="LJJ17" s="37"/>
      <c r="LJK17" s="37"/>
      <c r="LJL17" s="37"/>
      <c r="LJM17" s="37"/>
      <c r="LJN17" s="37"/>
      <c r="LJO17" s="37"/>
      <c r="LJP17" s="37"/>
      <c r="LJQ17" s="37"/>
      <c r="LJR17" s="37"/>
      <c r="LJS17" s="37"/>
      <c r="LJT17" s="37"/>
      <c r="LJU17" s="37"/>
      <c r="LJV17" s="37"/>
      <c r="LJW17" s="37"/>
      <c r="LJX17" s="37"/>
      <c r="LJY17" s="37"/>
      <c r="LJZ17" s="37"/>
      <c r="LKA17" s="37"/>
      <c r="LKB17" s="37"/>
      <c r="LKC17" s="37"/>
      <c r="LKD17" s="37"/>
      <c r="LKE17" s="37"/>
      <c r="LKF17" s="37"/>
      <c r="LKG17" s="37"/>
      <c r="LKH17" s="37"/>
      <c r="LKI17" s="37"/>
      <c r="LKJ17" s="37"/>
      <c r="LKK17" s="37"/>
      <c r="LKL17" s="37"/>
      <c r="LKM17" s="37"/>
      <c r="LKN17" s="37"/>
      <c r="LKO17" s="37"/>
      <c r="LKP17" s="37"/>
      <c r="LKQ17" s="37"/>
      <c r="LKR17" s="37"/>
      <c r="LKS17" s="37"/>
      <c r="LKT17" s="37"/>
      <c r="LKU17" s="37"/>
      <c r="LKV17" s="37"/>
      <c r="LKW17" s="37"/>
      <c r="LKX17" s="37"/>
      <c r="LKY17" s="37"/>
      <c r="LKZ17" s="37"/>
      <c r="LLA17" s="37"/>
      <c r="LLB17" s="37"/>
      <c r="LLC17" s="37"/>
      <c r="LLD17" s="37"/>
      <c r="LLE17" s="37"/>
      <c r="LLF17" s="37"/>
      <c r="LLG17" s="37"/>
      <c r="LLH17" s="37"/>
      <c r="LLI17" s="37"/>
      <c r="LLJ17" s="37"/>
      <c r="LLK17" s="37"/>
      <c r="LLL17" s="37"/>
      <c r="LLM17" s="37"/>
      <c r="LLN17" s="37"/>
      <c r="LLO17" s="37"/>
      <c r="LLP17" s="37"/>
      <c r="LLQ17" s="37"/>
      <c r="LLR17" s="37"/>
      <c r="LLS17" s="37"/>
      <c r="LLT17" s="37"/>
      <c r="LLU17" s="37"/>
      <c r="LLV17" s="37"/>
      <c r="LLW17" s="37"/>
      <c r="LLX17" s="37"/>
      <c r="LLY17" s="37"/>
      <c r="LLZ17" s="37"/>
      <c r="LMA17" s="37"/>
      <c r="LMB17" s="37"/>
      <c r="LMC17" s="37"/>
      <c r="LMD17" s="37"/>
      <c r="LME17" s="37"/>
      <c r="LMF17" s="37"/>
      <c r="LMG17" s="37"/>
      <c r="LMH17" s="37"/>
      <c r="LMI17" s="37"/>
      <c r="LMJ17" s="37"/>
      <c r="LMK17" s="37"/>
      <c r="LML17" s="37"/>
      <c r="LMM17" s="37"/>
      <c r="LMN17" s="37"/>
      <c r="LMO17" s="37"/>
      <c r="LMP17" s="37"/>
      <c r="LMQ17" s="37"/>
      <c r="LMR17" s="37"/>
      <c r="LMS17" s="37"/>
      <c r="LMT17" s="37"/>
      <c r="LMU17" s="37"/>
      <c r="LMV17" s="37"/>
      <c r="LMW17" s="37"/>
      <c r="LMX17" s="37"/>
      <c r="LMY17" s="37"/>
      <c r="LMZ17" s="37"/>
      <c r="LNA17" s="37"/>
      <c r="LNB17" s="37"/>
      <c r="LNC17" s="37"/>
      <c r="LND17" s="37"/>
      <c r="LNE17" s="37"/>
      <c r="LNF17" s="37"/>
      <c r="LNG17" s="37"/>
      <c r="LNH17" s="37"/>
      <c r="LNI17" s="37"/>
      <c r="LNJ17" s="37"/>
      <c r="LNK17" s="37"/>
      <c r="LNL17" s="37"/>
      <c r="LNM17" s="37"/>
      <c r="LNN17" s="37"/>
      <c r="LNO17" s="37"/>
      <c r="LNP17" s="37"/>
      <c r="LNQ17" s="37"/>
      <c r="LNR17" s="37"/>
      <c r="LNS17" s="37"/>
      <c r="LNT17" s="37"/>
      <c r="LNU17" s="37"/>
      <c r="LNV17" s="37"/>
      <c r="LNW17" s="37"/>
      <c r="LNX17" s="37"/>
      <c r="LNY17" s="37"/>
      <c r="LNZ17" s="37"/>
      <c r="LOA17" s="37"/>
      <c r="LOB17" s="37"/>
      <c r="LOC17" s="37"/>
      <c r="LOD17" s="37"/>
      <c r="LOE17" s="37"/>
      <c r="LOF17" s="37"/>
      <c r="LOG17" s="37"/>
      <c r="LOH17" s="37"/>
      <c r="LOI17" s="37"/>
      <c r="LOJ17" s="37"/>
      <c r="LOK17" s="37"/>
      <c r="LOL17" s="37"/>
      <c r="LOM17" s="37"/>
      <c r="LON17" s="37"/>
      <c r="LOO17" s="37"/>
      <c r="LOP17" s="37"/>
      <c r="LOQ17" s="37"/>
      <c r="LOR17" s="37"/>
      <c r="LOS17" s="37"/>
      <c r="LOT17" s="37"/>
      <c r="LOU17" s="37"/>
      <c r="LOV17" s="37"/>
      <c r="LOW17" s="37"/>
      <c r="LOX17" s="37"/>
      <c r="LOY17" s="37"/>
      <c r="LOZ17" s="37"/>
      <c r="LPA17" s="37"/>
      <c r="LPB17" s="37"/>
      <c r="LPC17" s="37"/>
      <c r="LPD17" s="37"/>
      <c r="LPE17" s="37"/>
      <c r="LPF17" s="37"/>
      <c r="LPG17" s="37"/>
      <c r="LPH17" s="37"/>
      <c r="LPI17" s="37"/>
      <c r="LPJ17" s="37"/>
      <c r="LPK17" s="37"/>
      <c r="LPL17" s="37"/>
      <c r="LPM17" s="37"/>
      <c r="LPN17" s="37"/>
      <c r="LPO17" s="37"/>
      <c r="LPP17" s="37"/>
      <c r="LPQ17" s="37"/>
      <c r="LPR17" s="37"/>
      <c r="LPS17" s="37"/>
      <c r="LPT17" s="37"/>
      <c r="LPU17" s="37"/>
      <c r="LPV17" s="37"/>
      <c r="LPW17" s="37"/>
      <c r="LPX17" s="37"/>
      <c r="LPY17" s="37"/>
      <c r="LPZ17" s="37"/>
      <c r="LQA17" s="37"/>
      <c r="LQB17" s="37"/>
      <c r="LQC17" s="37"/>
      <c r="LQD17" s="37"/>
      <c r="LQE17" s="37"/>
      <c r="LQF17" s="37"/>
      <c r="LQG17" s="37"/>
      <c r="LQH17" s="37"/>
      <c r="LQI17" s="37"/>
      <c r="LQJ17" s="37"/>
      <c r="LQK17" s="37"/>
      <c r="LQL17" s="37"/>
      <c r="LQM17" s="37"/>
      <c r="LQN17" s="37"/>
      <c r="LQO17" s="37"/>
      <c r="LQP17" s="37"/>
      <c r="LQQ17" s="37"/>
      <c r="LQR17" s="37"/>
      <c r="LQS17" s="37"/>
      <c r="LQT17" s="37"/>
      <c r="LQU17" s="37"/>
      <c r="LQV17" s="37"/>
      <c r="LQW17" s="37"/>
      <c r="LQX17" s="37"/>
      <c r="LQY17" s="37"/>
      <c r="LQZ17" s="37"/>
      <c r="LRA17" s="37"/>
      <c r="LRB17" s="37"/>
      <c r="LRC17" s="37"/>
      <c r="LRD17" s="37"/>
      <c r="LRE17" s="37"/>
      <c r="LRF17" s="37"/>
      <c r="LRG17" s="37"/>
      <c r="LRH17" s="37"/>
      <c r="LRI17" s="37"/>
      <c r="LRJ17" s="37"/>
      <c r="LRK17" s="37"/>
      <c r="LRL17" s="37"/>
      <c r="LRM17" s="37"/>
      <c r="LRN17" s="37"/>
      <c r="LRO17" s="37"/>
      <c r="LRP17" s="37"/>
      <c r="LRQ17" s="37"/>
      <c r="LRR17" s="37"/>
      <c r="LRS17" s="37"/>
      <c r="LRT17" s="37"/>
      <c r="LRU17" s="37"/>
      <c r="LRV17" s="37"/>
      <c r="LRW17" s="37"/>
      <c r="LRX17" s="37"/>
      <c r="LRY17" s="37"/>
      <c r="LRZ17" s="37"/>
      <c r="LSA17" s="37"/>
      <c r="LSB17" s="37"/>
      <c r="LSC17" s="37"/>
      <c r="LSD17" s="37"/>
      <c r="LSE17" s="37"/>
      <c r="LSF17" s="37"/>
      <c r="LSG17" s="37"/>
      <c r="LSH17" s="37"/>
      <c r="LSI17" s="37"/>
      <c r="LSJ17" s="37"/>
      <c r="LSK17" s="37"/>
      <c r="LSL17" s="37"/>
      <c r="LSM17" s="37"/>
      <c r="LSN17" s="37"/>
      <c r="LSO17" s="37"/>
      <c r="LSP17" s="37"/>
      <c r="LSQ17" s="37"/>
      <c r="LSR17" s="37"/>
      <c r="LSS17" s="37"/>
      <c r="LST17" s="37"/>
      <c r="LSU17" s="37"/>
      <c r="LSV17" s="37"/>
      <c r="LSW17" s="37"/>
      <c r="LSX17" s="37"/>
      <c r="LSY17" s="37"/>
      <c r="LSZ17" s="37"/>
      <c r="LTA17" s="37"/>
      <c r="LTB17" s="37"/>
      <c r="LTC17" s="37"/>
      <c r="LTD17" s="37"/>
      <c r="LTE17" s="37"/>
      <c r="LTF17" s="37"/>
      <c r="LTG17" s="37"/>
      <c r="LTH17" s="37"/>
      <c r="LTI17" s="37"/>
      <c r="LTJ17" s="37"/>
      <c r="LTK17" s="37"/>
      <c r="LTL17" s="37"/>
      <c r="LTM17" s="37"/>
      <c r="LTN17" s="37"/>
      <c r="LTO17" s="37"/>
      <c r="LTP17" s="37"/>
      <c r="LTQ17" s="37"/>
      <c r="LTR17" s="37"/>
      <c r="LTS17" s="37"/>
      <c r="LTT17" s="37"/>
      <c r="LTU17" s="37"/>
      <c r="LTV17" s="37"/>
      <c r="LTW17" s="37"/>
      <c r="LTX17" s="37"/>
      <c r="LTY17" s="37"/>
      <c r="LTZ17" s="37"/>
      <c r="LUA17" s="37"/>
      <c r="LUB17" s="37"/>
      <c r="LUC17" s="37"/>
      <c r="LUD17" s="37"/>
      <c r="LUE17" s="37"/>
      <c r="LUF17" s="37"/>
      <c r="LUG17" s="37"/>
      <c r="LUH17" s="37"/>
      <c r="LUI17" s="37"/>
      <c r="LUJ17" s="37"/>
      <c r="LUK17" s="37"/>
      <c r="LUL17" s="37"/>
      <c r="LUM17" s="37"/>
      <c r="LUN17" s="37"/>
      <c r="LUO17" s="37"/>
      <c r="LUP17" s="37"/>
      <c r="LUQ17" s="37"/>
      <c r="LUR17" s="37"/>
      <c r="LUS17" s="37"/>
      <c r="LUT17" s="37"/>
      <c r="LUU17" s="37"/>
      <c r="LUV17" s="37"/>
      <c r="LUW17" s="37"/>
      <c r="LUX17" s="37"/>
      <c r="LUY17" s="37"/>
      <c r="LUZ17" s="37"/>
      <c r="LVA17" s="37"/>
      <c r="LVB17" s="37"/>
      <c r="LVC17" s="37"/>
      <c r="LVD17" s="37"/>
      <c r="LVE17" s="37"/>
      <c r="LVF17" s="37"/>
      <c r="LVG17" s="37"/>
      <c r="LVH17" s="37"/>
      <c r="LVI17" s="37"/>
      <c r="LVJ17" s="37"/>
      <c r="LVK17" s="37"/>
      <c r="LVL17" s="37"/>
      <c r="LVM17" s="37"/>
      <c r="LVN17" s="37"/>
      <c r="LVO17" s="37"/>
      <c r="LVP17" s="37"/>
      <c r="LVQ17" s="37"/>
      <c r="LVR17" s="37"/>
      <c r="LVS17" s="37"/>
      <c r="LVT17" s="37"/>
      <c r="LVU17" s="37"/>
      <c r="LVV17" s="37"/>
      <c r="LVW17" s="37"/>
      <c r="LVX17" s="37"/>
      <c r="LVY17" s="37"/>
      <c r="LVZ17" s="37"/>
      <c r="LWA17" s="37"/>
      <c r="LWB17" s="37"/>
      <c r="LWC17" s="37"/>
      <c r="LWD17" s="37"/>
      <c r="LWE17" s="37"/>
      <c r="LWF17" s="37"/>
      <c r="LWG17" s="37"/>
      <c r="LWH17" s="37"/>
      <c r="LWI17" s="37"/>
      <c r="LWJ17" s="37"/>
      <c r="LWK17" s="37"/>
      <c r="LWL17" s="37"/>
      <c r="LWM17" s="37"/>
      <c r="LWN17" s="37"/>
      <c r="LWO17" s="37"/>
      <c r="LWP17" s="37"/>
      <c r="LWQ17" s="37"/>
      <c r="LWR17" s="37"/>
      <c r="LWS17" s="37"/>
      <c r="LWT17" s="37"/>
      <c r="LWU17" s="37"/>
      <c r="LWV17" s="37"/>
      <c r="LWW17" s="37"/>
      <c r="LWX17" s="37"/>
      <c r="LWY17" s="37"/>
      <c r="LWZ17" s="37"/>
      <c r="LXA17" s="37"/>
      <c r="LXB17" s="37"/>
      <c r="LXC17" s="37"/>
      <c r="LXD17" s="37"/>
      <c r="LXE17" s="37"/>
      <c r="LXF17" s="37"/>
      <c r="LXG17" s="37"/>
      <c r="LXH17" s="37"/>
      <c r="LXI17" s="37"/>
      <c r="LXJ17" s="37"/>
      <c r="LXK17" s="37"/>
      <c r="LXL17" s="37"/>
      <c r="LXM17" s="37"/>
      <c r="LXN17" s="37"/>
      <c r="LXO17" s="37"/>
      <c r="LXP17" s="37"/>
      <c r="LXQ17" s="37"/>
      <c r="LXR17" s="37"/>
      <c r="LXS17" s="37"/>
      <c r="LXT17" s="37"/>
      <c r="LXU17" s="37"/>
      <c r="LXV17" s="37"/>
      <c r="LXW17" s="37"/>
      <c r="LXX17" s="37"/>
      <c r="LXY17" s="37"/>
      <c r="LXZ17" s="37"/>
      <c r="LYA17" s="37"/>
      <c r="LYB17" s="37"/>
      <c r="LYC17" s="37"/>
      <c r="LYD17" s="37"/>
      <c r="LYE17" s="37"/>
      <c r="LYF17" s="37"/>
      <c r="LYG17" s="37"/>
      <c r="LYH17" s="37"/>
      <c r="LYI17" s="37"/>
      <c r="LYJ17" s="37"/>
      <c r="LYK17" s="37"/>
      <c r="LYL17" s="37"/>
      <c r="LYM17" s="37"/>
      <c r="LYN17" s="37"/>
      <c r="LYO17" s="37"/>
      <c r="LYP17" s="37"/>
      <c r="LYQ17" s="37"/>
      <c r="LYR17" s="37"/>
      <c r="LYS17" s="37"/>
      <c r="LYT17" s="37"/>
      <c r="LYU17" s="37"/>
      <c r="LYV17" s="37"/>
      <c r="LYW17" s="37"/>
      <c r="LYX17" s="37"/>
      <c r="LYY17" s="37"/>
      <c r="LYZ17" s="37"/>
      <c r="LZA17" s="37"/>
      <c r="LZB17" s="37"/>
      <c r="LZC17" s="37"/>
      <c r="LZD17" s="37"/>
      <c r="LZE17" s="37"/>
      <c r="LZF17" s="37"/>
      <c r="LZG17" s="37"/>
      <c r="LZH17" s="37"/>
      <c r="LZI17" s="37"/>
      <c r="LZJ17" s="37"/>
      <c r="LZK17" s="37"/>
      <c r="LZL17" s="37"/>
      <c r="LZM17" s="37"/>
      <c r="LZN17" s="37"/>
      <c r="LZO17" s="37"/>
      <c r="LZP17" s="37"/>
      <c r="LZQ17" s="37"/>
      <c r="LZR17" s="37"/>
      <c r="LZS17" s="37"/>
      <c r="LZT17" s="37"/>
      <c r="LZU17" s="37"/>
      <c r="LZV17" s="37"/>
      <c r="LZW17" s="37"/>
      <c r="LZX17" s="37"/>
      <c r="LZY17" s="37"/>
      <c r="LZZ17" s="37"/>
      <c r="MAA17" s="37"/>
      <c r="MAB17" s="37"/>
      <c r="MAC17" s="37"/>
      <c r="MAD17" s="37"/>
      <c r="MAE17" s="37"/>
      <c r="MAF17" s="37"/>
      <c r="MAG17" s="37"/>
      <c r="MAH17" s="37"/>
      <c r="MAI17" s="37"/>
      <c r="MAJ17" s="37"/>
      <c r="MAK17" s="37"/>
      <c r="MAL17" s="37"/>
      <c r="MAM17" s="37"/>
      <c r="MAN17" s="37"/>
      <c r="MAO17" s="37"/>
      <c r="MAP17" s="37"/>
      <c r="MAQ17" s="37"/>
      <c r="MAR17" s="37"/>
      <c r="MAS17" s="37"/>
      <c r="MAT17" s="37"/>
      <c r="MAU17" s="37"/>
      <c r="MAV17" s="37"/>
      <c r="MAW17" s="37"/>
      <c r="MAX17" s="37"/>
      <c r="MAY17" s="37"/>
      <c r="MAZ17" s="37"/>
      <c r="MBA17" s="37"/>
      <c r="MBB17" s="37"/>
      <c r="MBC17" s="37"/>
      <c r="MBD17" s="37"/>
      <c r="MBE17" s="37"/>
      <c r="MBF17" s="37"/>
      <c r="MBG17" s="37"/>
      <c r="MBH17" s="37"/>
      <c r="MBI17" s="37"/>
      <c r="MBJ17" s="37"/>
      <c r="MBK17" s="37"/>
      <c r="MBL17" s="37"/>
      <c r="MBM17" s="37"/>
      <c r="MBN17" s="37"/>
      <c r="MBO17" s="37"/>
      <c r="MBP17" s="37"/>
      <c r="MBQ17" s="37"/>
      <c r="MBR17" s="37"/>
      <c r="MBS17" s="37"/>
      <c r="MBT17" s="37"/>
      <c r="MBU17" s="37"/>
      <c r="MBV17" s="37"/>
      <c r="MBW17" s="37"/>
      <c r="MBX17" s="37"/>
      <c r="MBY17" s="37"/>
      <c r="MBZ17" s="37"/>
      <c r="MCA17" s="37"/>
      <c r="MCB17" s="37"/>
      <c r="MCC17" s="37"/>
      <c r="MCD17" s="37"/>
      <c r="MCE17" s="37"/>
      <c r="MCF17" s="37"/>
      <c r="MCG17" s="37"/>
      <c r="MCH17" s="37"/>
      <c r="MCI17" s="37"/>
      <c r="MCJ17" s="37"/>
      <c r="MCK17" s="37"/>
      <c r="MCL17" s="37"/>
      <c r="MCM17" s="37"/>
      <c r="MCN17" s="37"/>
      <c r="MCO17" s="37"/>
      <c r="MCP17" s="37"/>
      <c r="MCQ17" s="37"/>
      <c r="MCR17" s="37"/>
      <c r="MCS17" s="37"/>
      <c r="MCT17" s="37"/>
      <c r="MCU17" s="37"/>
      <c r="MCV17" s="37"/>
      <c r="MCW17" s="37"/>
      <c r="MCX17" s="37"/>
      <c r="MCY17" s="37"/>
      <c r="MCZ17" s="37"/>
      <c r="MDA17" s="37"/>
      <c r="MDB17" s="37"/>
      <c r="MDC17" s="37"/>
      <c r="MDD17" s="37"/>
      <c r="MDE17" s="37"/>
      <c r="MDF17" s="37"/>
      <c r="MDG17" s="37"/>
      <c r="MDH17" s="37"/>
      <c r="MDI17" s="37"/>
      <c r="MDJ17" s="37"/>
      <c r="MDK17" s="37"/>
      <c r="MDL17" s="37"/>
      <c r="MDM17" s="37"/>
      <c r="MDN17" s="37"/>
      <c r="MDO17" s="37"/>
      <c r="MDP17" s="37"/>
      <c r="MDQ17" s="37"/>
      <c r="MDR17" s="37"/>
      <c r="MDS17" s="37"/>
      <c r="MDT17" s="37"/>
      <c r="MDU17" s="37"/>
      <c r="MDV17" s="37"/>
      <c r="MDW17" s="37"/>
      <c r="MDX17" s="37"/>
      <c r="MDY17" s="37"/>
      <c r="MDZ17" s="37"/>
      <c r="MEA17" s="37"/>
      <c r="MEB17" s="37"/>
      <c r="MEC17" s="37"/>
      <c r="MED17" s="37"/>
      <c r="MEE17" s="37"/>
      <c r="MEF17" s="37"/>
      <c r="MEG17" s="37"/>
      <c r="MEH17" s="37"/>
      <c r="MEI17" s="37"/>
      <c r="MEJ17" s="37"/>
      <c r="MEK17" s="37"/>
      <c r="MEL17" s="37"/>
      <c r="MEM17" s="37"/>
      <c r="MEN17" s="37"/>
      <c r="MEO17" s="37"/>
      <c r="MEP17" s="37"/>
      <c r="MEQ17" s="37"/>
      <c r="MER17" s="37"/>
      <c r="MES17" s="37"/>
      <c r="MET17" s="37"/>
      <c r="MEU17" s="37"/>
      <c r="MEV17" s="37"/>
      <c r="MEW17" s="37"/>
      <c r="MEX17" s="37"/>
      <c r="MEY17" s="37"/>
      <c r="MEZ17" s="37"/>
      <c r="MFA17" s="37"/>
      <c r="MFB17" s="37"/>
      <c r="MFC17" s="37"/>
      <c r="MFD17" s="37"/>
      <c r="MFE17" s="37"/>
      <c r="MFF17" s="37"/>
      <c r="MFG17" s="37"/>
      <c r="MFH17" s="37"/>
      <c r="MFI17" s="37"/>
      <c r="MFJ17" s="37"/>
      <c r="MFK17" s="37"/>
      <c r="MFL17" s="37"/>
      <c r="MFM17" s="37"/>
      <c r="MFN17" s="37"/>
      <c r="MFO17" s="37"/>
      <c r="MFP17" s="37"/>
      <c r="MFQ17" s="37"/>
      <c r="MFR17" s="37"/>
      <c r="MFS17" s="37"/>
      <c r="MFT17" s="37"/>
      <c r="MFU17" s="37"/>
      <c r="MFV17" s="37"/>
      <c r="MFW17" s="37"/>
      <c r="MFX17" s="37"/>
      <c r="MFY17" s="37"/>
      <c r="MFZ17" s="37"/>
      <c r="MGA17" s="37"/>
      <c r="MGB17" s="37"/>
      <c r="MGC17" s="37"/>
      <c r="MGD17" s="37"/>
      <c r="MGE17" s="37"/>
      <c r="MGF17" s="37"/>
      <c r="MGG17" s="37"/>
      <c r="MGH17" s="37"/>
      <c r="MGI17" s="37"/>
      <c r="MGJ17" s="37"/>
      <c r="MGK17" s="37"/>
      <c r="MGL17" s="37"/>
      <c r="MGM17" s="37"/>
      <c r="MGN17" s="37"/>
      <c r="MGO17" s="37"/>
      <c r="MGP17" s="37"/>
      <c r="MGQ17" s="37"/>
      <c r="MGR17" s="37"/>
      <c r="MGS17" s="37"/>
      <c r="MGT17" s="37"/>
      <c r="MGU17" s="37"/>
      <c r="MGV17" s="37"/>
      <c r="MGW17" s="37"/>
      <c r="MGX17" s="37"/>
      <c r="MGY17" s="37"/>
      <c r="MGZ17" s="37"/>
      <c r="MHA17" s="37"/>
      <c r="MHB17" s="37"/>
      <c r="MHC17" s="37"/>
      <c r="MHD17" s="37"/>
      <c r="MHE17" s="37"/>
      <c r="MHF17" s="37"/>
      <c r="MHG17" s="37"/>
      <c r="MHH17" s="37"/>
      <c r="MHI17" s="37"/>
      <c r="MHJ17" s="37"/>
      <c r="MHK17" s="37"/>
      <c r="MHL17" s="37"/>
      <c r="MHM17" s="37"/>
      <c r="MHN17" s="37"/>
      <c r="MHO17" s="37"/>
      <c r="MHP17" s="37"/>
      <c r="MHQ17" s="37"/>
      <c r="MHR17" s="37"/>
      <c r="MHS17" s="37"/>
      <c r="MHT17" s="37"/>
      <c r="MHU17" s="37"/>
      <c r="MHV17" s="37"/>
      <c r="MHW17" s="37"/>
      <c r="MHX17" s="37"/>
      <c r="MHY17" s="37"/>
      <c r="MHZ17" s="37"/>
      <c r="MIA17" s="37"/>
      <c r="MIB17" s="37"/>
      <c r="MIC17" s="37"/>
      <c r="MID17" s="37"/>
      <c r="MIE17" s="37"/>
      <c r="MIF17" s="37"/>
      <c r="MIG17" s="37"/>
      <c r="MIH17" s="37"/>
      <c r="MII17" s="37"/>
      <c r="MIJ17" s="37"/>
      <c r="MIK17" s="37"/>
      <c r="MIL17" s="37"/>
      <c r="MIM17" s="37"/>
      <c r="MIN17" s="37"/>
      <c r="MIO17" s="37"/>
      <c r="MIP17" s="37"/>
      <c r="MIQ17" s="37"/>
      <c r="MIR17" s="37"/>
      <c r="MIS17" s="37"/>
      <c r="MIT17" s="37"/>
      <c r="MIU17" s="37"/>
      <c r="MIV17" s="37"/>
      <c r="MIW17" s="37"/>
      <c r="MIX17" s="37"/>
      <c r="MIY17" s="37"/>
      <c r="MIZ17" s="37"/>
      <c r="MJA17" s="37"/>
      <c r="MJB17" s="37"/>
      <c r="MJC17" s="37"/>
      <c r="MJD17" s="37"/>
      <c r="MJE17" s="37"/>
      <c r="MJF17" s="37"/>
      <c r="MJG17" s="37"/>
      <c r="MJH17" s="37"/>
      <c r="MJI17" s="37"/>
      <c r="MJJ17" s="37"/>
      <c r="MJK17" s="37"/>
      <c r="MJL17" s="37"/>
      <c r="MJM17" s="37"/>
      <c r="MJN17" s="37"/>
      <c r="MJO17" s="37"/>
      <c r="MJP17" s="37"/>
      <c r="MJQ17" s="37"/>
      <c r="MJR17" s="37"/>
      <c r="MJS17" s="37"/>
      <c r="MJT17" s="37"/>
      <c r="MJU17" s="37"/>
      <c r="MJV17" s="37"/>
      <c r="MJW17" s="37"/>
      <c r="MJX17" s="37"/>
      <c r="MJY17" s="37"/>
      <c r="MJZ17" s="37"/>
      <c r="MKA17" s="37"/>
      <c r="MKB17" s="37"/>
      <c r="MKC17" s="37"/>
      <c r="MKD17" s="37"/>
      <c r="MKE17" s="37"/>
      <c r="MKF17" s="37"/>
      <c r="MKG17" s="37"/>
      <c r="MKH17" s="37"/>
      <c r="MKI17" s="37"/>
      <c r="MKJ17" s="37"/>
      <c r="MKK17" s="37"/>
      <c r="MKL17" s="37"/>
      <c r="MKM17" s="37"/>
      <c r="MKN17" s="37"/>
      <c r="MKO17" s="37"/>
      <c r="MKP17" s="37"/>
      <c r="MKQ17" s="37"/>
      <c r="MKR17" s="37"/>
      <c r="MKS17" s="37"/>
      <c r="MKT17" s="37"/>
      <c r="MKU17" s="37"/>
      <c r="MKV17" s="37"/>
      <c r="MKW17" s="37"/>
      <c r="MKX17" s="37"/>
      <c r="MKY17" s="37"/>
      <c r="MKZ17" s="37"/>
      <c r="MLA17" s="37"/>
      <c r="MLB17" s="37"/>
      <c r="MLC17" s="37"/>
      <c r="MLD17" s="37"/>
      <c r="MLE17" s="37"/>
      <c r="MLF17" s="37"/>
      <c r="MLG17" s="37"/>
      <c r="MLH17" s="37"/>
      <c r="MLI17" s="37"/>
      <c r="MLJ17" s="37"/>
      <c r="MLK17" s="37"/>
      <c r="MLL17" s="37"/>
      <c r="MLM17" s="37"/>
      <c r="MLN17" s="37"/>
      <c r="MLO17" s="37"/>
      <c r="MLP17" s="37"/>
      <c r="MLQ17" s="37"/>
      <c r="MLR17" s="37"/>
      <c r="MLS17" s="37"/>
      <c r="MLT17" s="37"/>
      <c r="MLU17" s="37"/>
      <c r="MLV17" s="37"/>
      <c r="MLW17" s="37"/>
      <c r="MLX17" s="37"/>
      <c r="MLY17" s="37"/>
      <c r="MLZ17" s="37"/>
      <c r="MMA17" s="37"/>
      <c r="MMB17" s="37"/>
      <c r="MMC17" s="37"/>
      <c r="MMD17" s="37"/>
      <c r="MME17" s="37"/>
      <c r="MMF17" s="37"/>
      <c r="MMG17" s="37"/>
      <c r="MMH17" s="37"/>
      <c r="MMI17" s="37"/>
      <c r="MMJ17" s="37"/>
      <c r="MMK17" s="37"/>
      <c r="MML17" s="37"/>
      <c r="MMM17" s="37"/>
      <c r="MMN17" s="37"/>
      <c r="MMO17" s="37"/>
      <c r="MMP17" s="37"/>
      <c r="MMQ17" s="37"/>
      <c r="MMR17" s="37"/>
      <c r="MMS17" s="37"/>
      <c r="MMT17" s="37"/>
      <c r="MMU17" s="37"/>
      <c r="MMV17" s="37"/>
      <c r="MMW17" s="37"/>
      <c r="MMX17" s="37"/>
      <c r="MMY17" s="37"/>
      <c r="MMZ17" s="37"/>
      <c r="MNA17" s="37"/>
      <c r="MNB17" s="37"/>
      <c r="MNC17" s="37"/>
      <c r="MND17" s="37"/>
      <c r="MNE17" s="37"/>
      <c r="MNF17" s="37"/>
      <c r="MNG17" s="37"/>
      <c r="MNH17" s="37"/>
      <c r="MNI17" s="37"/>
      <c r="MNJ17" s="37"/>
      <c r="MNK17" s="37"/>
      <c r="MNL17" s="37"/>
      <c r="MNM17" s="37"/>
      <c r="MNN17" s="37"/>
      <c r="MNO17" s="37"/>
      <c r="MNP17" s="37"/>
      <c r="MNQ17" s="37"/>
      <c r="MNR17" s="37"/>
      <c r="MNS17" s="37"/>
      <c r="MNT17" s="37"/>
      <c r="MNU17" s="37"/>
      <c r="MNV17" s="37"/>
      <c r="MNW17" s="37"/>
      <c r="MNX17" s="37"/>
      <c r="MNY17" s="37"/>
      <c r="MNZ17" s="37"/>
      <c r="MOA17" s="37"/>
      <c r="MOB17" s="37"/>
      <c r="MOC17" s="37"/>
      <c r="MOD17" s="37"/>
      <c r="MOE17" s="37"/>
      <c r="MOF17" s="37"/>
      <c r="MOG17" s="37"/>
      <c r="MOH17" s="37"/>
      <c r="MOI17" s="37"/>
      <c r="MOJ17" s="37"/>
      <c r="MOK17" s="37"/>
      <c r="MOL17" s="37"/>
      <c r="MOM17" s="37"/>
      <c r="MON17" s="37"/>
      <c r="MOO17" s="37"/>
      <c r="MOP17" s="37"/>
      <c r="MOQ17" s="37"/>
      <c r="MOR17" s="37"/>
      <c r="MOS17" s="37"/>
      <c r="MOT17" s="37"/>
      <c r="MOU17" s="37"/>
      <c r="MOV17" s="37"/>
      <c r="MOW17" s="37"/>
      <c r="MOX17" s="37"/>
      <c r="MOY17" s="37"/>
      <c r="MOZ17" s="37"/>
      <c r="MPA17" s="37"/>
      <c r="MPB17" s="37"/>
      <c r="MPC17" s="37"/>
      <c r="MPD17" s="37"/>
      <c r="MPE17" s="37"/>
      <c r="MPF17" s="37"/>
      <c r="MPG17" s="37"/>
      <c r="MPH17" s="37"/>
      <c r="MPI17" s="37"/>
      <c r="MPJ17" s="37"/>
      <c r="MPK17" s="37"/>
      <c r="MPL17" s="37"/>
      <c r="MPM17" s="37"/>
      <c r="MPN17" s="37"/>
      <c r="MPO17" s="37"/>
      <c r="MPP17" s="37"/>
      <c r="MPQ17" s="37"/>
      <c r="MPR17" s="37"/>
      <c r="MPS17" s="37"/>
      <c r="MPT17" s="37"/>
      <c r="MPU17" s="37"/>
      <c r="MPV17" s="37"/>
      <c r="MPW17" s="37"/>
      <c r="MPX17" s="37"/>
      <c r="MPY17" s="37"/>
      <c r="MPZ17" s="37"/>
      <c r="MQA17" s="37"/>
      <c r="MQB17" s="37"/>
      <c r="MQC17" s="37"/>
      <c r="MQD17" s="37"/>
      <c r="MQE17" s="37"/>
      <c r="MQF17" s="37"/>
      <c r="MQG17" s="37"/>
      <c r="MQH17" s="37"/>
      <c r="MQI17" s="37"/>
      <c r="MQJ17" s="37"/>
      <c r="MQK17" s="37"/>
      <c r="MQL17" s="37"/>
      <c r="MQM17" s="37"/>
      <c r="MQN17" s="37"/>
      <c r="MQO17" s="37"/>
      <c r="MQP17" s="37"/>
      <c r="MQQ17" s="37"/>
      <c r="MQR17" s="37"/>
      <c r="MQS17" s="37"/>
      <c r="MQT17" s="37"/>
      <c r="MQU17" s="37"/>
      <c r="MQV17" s="37"/>
      <c r="MQW17" s="37"/>
      <c r="MQX17" s="37"/>
      <c r="MQY17" s="37"/>
      <c r="MQZ17" s="37"/>
      <c r="MRA17" s="37"/>
      <c r="MRB17" s="37"/>
      <c r="MRC17" s="37"/>
      <c r="MRD17" s="37"/>
      <c r="MRE17" s="37"/>
      <c r="MRF17" s="37"/>
      <c r="MRG17" s="37"/>
      <c r="MRH17" s="37"/>
      <c r="MRI17" s="37"/>
      <c r="MRJ17" s="37"/>
      <c r="MRK17" s="37"/>
      <c r="MRL17" s="37"/>
      <c r="MRM17" s="37"/>
      <c r="MRN17" s="37"/>
      <c r="MRO17" s="37"/>
      <c r="MRP17" s="37"/>
      <c r="MRQ17" s="37"/>
      <c r="MRR17" s="37"/>
      <c r="MRS17" s="37"/>
      <c r="MRT17" s="37"/>
      <c r="MRU17" s="37"/>
      <c r="MRV17" s="37"/>
      <c r="MRW17" s="37"/>
      <c r="MRX17" s="37"/>
      <c r="MRY17" s="37"/>
      <c r="MRZ17" s="37"/>
      <c r="MSA17" s="37"/>
      <c r="MSB17" s="37"/>
      <c r="MSC17" s="37"/>
      <c r="MSD17" s="37"/>
      <c r="MSE17" s="37"/>
      <c r="MSF17" s="37"/>
      <c r="MSG17" s="37"/>
      <c r="MSH17" s="37"/>
      <c r="MSI17" s="37"/>
      <c r="MSJ17" s="37"/>
      <c r="MSK17" s="37"/>
      <c r="MSL17" s="37"/>
      <c r="MSM17" s="37"/>
      <c r="MSN17" s="37"/>
      <c r="MSO17" s="37"/>
      <c r="MSP17" s="37"/>
      <c r="MSQ17" s="37"/>
      <c r="MSR17" s="37"/>
      <c r="MSS17" s="37"/>
      <c r="MST17" s="37"/>
      <c r="MSU17" s="37"/>
      <c r="MSV17" s="37"/>
      <c r="MSW17" s="37"/>
      <c r="MSX17" s="37"/>
      <c r="MSY17" s="37"/>
      <c r="MSZ17" s="37"/>
      <c r="MTA17" s="37"/>
      <c r="MTB17" s="37"/>
      <c r="MTC17" s="37"/>
      <c r="MTD17" s="37"/>
      <c r="MTE17" s="37"/>
      <c r="MTF17" s="37"/>
      <c r="MTG17" s="37"/>
      <c r="MTH17" s="37"/>
      <c r="MTI17" s="37"/>
      <c r="MTJ17" s="37"/>
      <c r="MTK17" s="37"/>
      <c r="MTL17" s="37"/>
      <c r="MTM17" s="37"/>
      <c r="MTN17" s="37"/>
      <c r="MTO17" s="37"/>
      <c r="MTP17" s="37"/>
      <c r="MTQ17" s="37"/>
      <c r="MTR17" s="37"/>
      <c r="MTS17" s="37"/>
      <c r="MTT17" s="37"/>
      <c r="MTU17" s="37"/>
      <c r="MTV17" s="37"/>
      <c r="MTW17" s="37"/>
      <c r="MTX17" s="37"/>
      <c r="MTY17" s="37"/>
      <c r="MTZ17" s="37"/>
      <c r="MUA17" s="37"/>
      <c r="MUB17" s="37"/>
      <c r="MUC17" s="37"/>
      <c r="MUD17" s="37"/>
      <c r="MUE17" s="37"/>
      <c r="MUF17" s="37"/>
      <c r="MUG17" s="37"/>
      <c r="MUH17" s="37"/>
      <c r="MUI17" s="37"/>
      <c r="MUJ17" s="37"/>
      <c r="MUK17" s="37"/>
      <c r="MUL17" s="37"/>
      <c r="MUM17" s="37"/>
      <c r="MUN17" s="37"/>
      <c r="MUO17" s="37"/>
      <c r="MUP17" s="37"/>
      <c r="MUQ17" s="37"/>
      <c r="MUR17" s="37"/>
      <c r="MUS17" s="37"/>
      <c r="MUT17" s="37"/>
      <c r="MUU17" s="37"/>
      <c r="MUV17" s="37"/>
      <c r="MUW17" s="37"/>
      <c r="MUX17" s="37"/>
      <c r="MUY17" s="37"/>
      <c r="MUZ17" s="37"/>
      <c r="MVA17" s="37"/>
      <c r="MVB17" s="37"/>
      <c r="MVC17" s="37"/>
      <c r="MVD17" s="37"/>
      <c r="MVE17" s="37"/>
      <c r="MVF17" s="37"/>
      <c r="MVG17" s="37"/>
      <c r="MVH17" s="37"/>
      <c r="MVI17" s="37"/>
      <c r="MVJ17" s="37"/>
      <c r="MVK17" s="37"/>
      <c r="MVL17" s="37"/>
      <c r="MVM17" s="37"/>
      <c r="MVN17" s="37"/>
      <c r="MVO17" s="37"/>
      <c r="MVP17" s="37"/>
      <c r="MVQ17" s="37"/>
      <c r="MVR17" s="37"/>
      <c r="MVS17" s="37"/>
      <c r="MVT17" s="37"/>
      <c r="MVU17" s="37"/>
      <c r="MVV17" s="37"/>
      <c r="MVW17" s="37"/>
      <c r="MVX17" s="37"/>
      <c r="MVY17" s="37"/>
      <c r="MVZ17" s="37"/>
      <c r="MWA17" s="37"/>
      <c r="MWB17" s="37"/>
      <c r="MWC17" s="37"/>
      <c r="MWD17" s="37"/>
      <c r="MWE17" s="37"/>
      <c r="MWF17" s="37"/>
      <c r="MWG17" s="37"/>
      <c r="MWH17" s="37"/>
      <c r="MWI17" s="37"/>
      <c r="MWJ17" s="37"/>
      <c r="MWK17" s="37"/>
      <c r="MWL17" s="37"/>
      <c r="MWM17" s="37"/>
      <c r="MWN17" s="37"/>
      <c r="MWO17" s="37"/>
      <c r="MWP17" s="37"/>
      <c r="MWQ17" s="37"/>
      <c r="MWR17" s="37"/>
      <c r="MWS17" s="37"/>
      <c r="MWT17" s="37"/>
      <c r="MWU17" s="37"/>
      <c r="MWV17" s="37"/>
      <c r="MWW17" s="37"/>
      <c r="MWX17" s="37"/>
      <c r="MWY17" s="37"/>
      <c r="MWZ17" s="37"/>
      <c r="MXA17" s="37"/>
      <c r="MXB17" s="37"/>
      <c r="MXC17" s="37"/>
      <c r="MXD17" s="37"/>
      <c r="MXE17" s="37"/>
      <c r="MXF17" s="37"/>
      <c r="MXG17" s="37"/>
      <c r="MXH17" s="37"/>
      <c r="MXI17" s="37"/>
      <c r="MXJ17" s="37"/>
      <c r="MXK17" s="37"/>
      <c r="MXL17" s="37"/>
      <c r="MXM17" s="37"/>
      <c r="MXN17" s="37"/>
      <c r="MXO17" s="37"/>
      <c r="MXP17" s="37"/>
      <c r="MXQ17" s="37"/>
      <c r="MXR17" s="37"/>
      <c r="MXS17" s="37"/>
      <c r="MXT17" s="37"/>
      <c r="MXU17" s="37"/>
      <c r="MXV17" s="37"/>
      <c r="MXW17" s="37"/>
      <c r="MXX17" s="37"/>
      <c r="MXY17" s="37"/>
      <c r="MXZ17" s="37"/>
      <c r="MYA17" s="37"/>
      <c r="MYB17" s="37"/>
      <c r="MYC17" s="37"/>
      <c r="MYD17" s="37"/>
      <c r="MYE17" s="37"/>
      <c r="MYF17" s="37"/>
      <c r="MYG17" s="37"/>
      <c r="MYH17" s="37"/>
      <c r="MYI17" s="37"/>
      <c r="MYJ17" s="37"/>
      <c r="MYK17" s="37"/>
      <c r="MYL17" s="37"/>
      <c r="MYM17" s="37"/>
      <c r="MYN17" s="37"/>
      <c r="MYO17" s="37"/>
      <c r="MYP17" s="37"/>
      <c r="MYQ17" s="37"/>
      <c r="MYR17" s="37"/>
      <c r="MYS17" s="37"/>
      <c r="MYT17" s="37"/>
      <c r="MYU17" s="37"/>
      <c r="MYV17" s="37"/>
      <c r="MYW17" s="37"/>
      <c r="MYX17" s="37"/>
      <c r="MYY17" s="37"/>
      <c r="MYZ17" s="37"/>
      <c r="MZA17" s="37"/>
      <c r="MZB17" s="37"/>
      <c r="MZC17" s="37"/>
      <c r="MZD17" s="37"/>
      <c r="MZE17" s="37"/>
      <c r="MZF17" s="37"/>
      <c r="MZG17" s="37"/>
      <c r="MZH17" s="37"/>
      <c r="MZI17" s="37"/>
      <c r="MZJ17" s="37"/>
      <c r="MZK17" s="37"/>
      <c r="MZL17" s="37"/>
      <c r="MZM17" s="37"/>
      <c r="MZN17" s="37"/>
      <c r="MZO17" s="37"/>
      <c r="MZP17" s="37"/>
      <c r="MZQ17" s="37"/>
      <c r="MZR17" s="37"/>
      <c r="MZS17" s="37"/>
      <c r="MZT17" s="37"/>
      <c r="MZU17" s="37"/>
      <c r="MZV17" s="37"/>
      <c r="MZW17" s="37"/>
      <c r="MZX17" s="37"/>
      <c r="MZY17" s="37"/>
      <c r="MZZ17" s="37"/>
      <c r="NAA17" s="37"/>
      <c r="NAB17" s="37"/>
      <c r="NAC17" s="37"/>
      <c r="NAD17" s="37"/>
      <c r="NAE17" s="37"/>
      <c r="NAF17" s="37"/>
      <c r="NAG17" s="37"/>
      <c r="NAH17" s="37"/>
      <c r="NAI17" s="37"/>
      <c r="NAJ17" s="37"/>
      <c r="NAK17" s="37"/>
      <c r="NAL17" s="37"/>
      <c r="NAM17" s="37"/>
      <c r="NAN17" s="37"/>
      <c r="NAO17" s="37"/>
      <c r="NAP17" s="37"/>
      <c r="NAQ17" s="37"/>
      <c r="NAR17" s="37"/>
      <c r="NAS17" s="37"/>
      <c r="NAT17" s="37"/>
      <c r="NAU17" s="37"/>
      <c r="NAV17" s="37"/>
      <c r="NAW17" s="37"/>
      <c r="NAX17" s="37"/>
      <c r="NAY17" s="37"/>
      <c r="NAZ17" s="37"/>
      <c r="NBA17" s="37"/>
      <c r="NBB17" s="37"/>
      <c r="NBC17" s="37"/>
      <c r="NBD17" s="37"/>
      <c r="NBE17" s="37"/>
      <c r="NBF17" s="37"/>
      <c r="NBG17" s="37"/>
      <c r="NBH17" s="37"/>
      <c r="NBI17" s="37"/>
      <c r="NBJ17" s="37"/>
      <c r="NBK17" s="37"/>
      <c r="NBL17" s="37"/>
      <c r="NBM17" s="37"/>
      <c r="NBN17" s="37"/>
      <c r="NBO17" s="37"/>
      <c r="NBP17" s="37"/>
      <c r="NBQ17" s="37"/>
      <c r="NBR17" s="37"/>
      <c r="NBS17" s="37"/>
      <c r="NBT17" s="37"/>
      <c r="NBU17" s="37"/>
      <c r="NBV17" s="37"/>
      <c r="NBW17" s="37"/>
      <c r="NBX17" s="37"/>
      <c r="NBY17" s="37"/>
      <c r="NBZ17" s="37"/>
      <c r="NCA17" s="37"/>
      <c r="NCB17" s="37"/>
      <c r="NCC17" s="37"/>
      <c r="NCD17" s="37"/>
      <c r="NCE17" s="37"/>
      <c r="NCF17" s="37"/>
      <c r="NCG17" s="37"/>
      <c r="NCH17" s="37"/>
      <c r="NCI17" s="37"/>
      <c r="NCJ17" s="37"/>
      <c r="NCK17" s="37"/>
      <c r="NCL17" s="37"/>
      <c r="NCM17" s="37"/>
      <c r="NCN17" s="37"/>
      <c r="NCO17" s="37"/>
      <c r="NCP17" s="37"/>
      <c r="NCQ17" s="37"/>
      <c r="NCR17" s="37"/>
      <c r="NCS17" s="37"/>
      <c r="NCT17" s="37"/>
      <c r="NCU17" s="37"/>
      <c r="NCV17" s="37"/>
      <c r="NCW17" s="37"/>
      <c r="NCX17" s="37"/>
      <c r="NCY17" s="37"/>
      <c r="NCZ17" s="37"/>
      <c r="NDA17" s="37"/>
      <c r="NDB17" s="37"/>
      <c r="NDC17" s="37"/>
      <c r="NDD17" s="37"/>
      <c r="NDE17" s="37"/>
      <c r="NDF17" s="37"/>
      <c r="NDG17" s="37"/>
      <c r="NDH17" s="37"/>
      <c r="NDI17" s="37"/>
      <c r="NDJ17" s="37"/>
      <c r="NDK17" s="37"/>
      <c r="NDL17" s="37"/>
      <c r="NDM17" s="37"/>
      <c r="NDN17" s="37"/>
      <c r="NDO17" s="37"/>
      <c r="NDP17" s="37"/>
      <c r="NDQ17" s="37"/>
      <c r="NDR17" s="37"/>
      <c r="NDS17" s="37"/>
      <c r="NDT17" s="37"/>
      <c r="NDU17" s="37"/>
      <c r="NDV17" s="37"/>
      <c r="NDW17" s="37"/>
      <c r="NDX17" s="37"/>
      <c r="NDY17" s="37"/>
      <c r="NDZ17" s="37"/>
      <c r="NEA17" s="37"/>
      <c r="NEB17" s="37"/>
      <c r="NEC17" s="37"/>
      <c r="NED17" s="37"/>
      <c r="NEE17" s="37"/>
      <c r="NEF17" s="37"/>
      <c r="NEG17" s="37"/>
      <c r="NEH17" s="37"/>
      <c r="NEI17" s="37"/>
      <c r="NEJ17" s="37"/>
      <c r="NEK17" s="37"/>
      <c r="NEL17" s="37"/>
      <c r="NEM17" s="37"/>
      <c r="NEN17" s="37"/>
      <c r="NEO17" s="37"/>
      <c r="NEP17" s="37"/>
      <c r="NEQ17" s="37"/>
      <c r="NER17" s="37"/>
      <c r="NES17" s="37"/>
      <c r="NET17" s="37"/>
      <c r="NEU17" s="37"/>
      <c r="NEV17" s="37"/>
      <c r="NEW17" s="37"/>
      <c r="NEX17" s="37"/>
      <c r="NEY17" s="37"/>
      <c r="NEZ17" s="37"/>
      <c r="NFA17" s="37"/>
      <c r="NFB17" s="37"/>
      <c r="NFC17" s="37"/>
      <c r="NFD17" s="37"/>
      <c r="NFE17" s="37"/>
      <c r="NFF17" s="37"/>
      <c r="NFG17" s="37"/>
      <c r="NFH17" s="37"/>
      <c r="NFI17" s="37"/>
      <c r="NFJ17" s="37"/>
      <c r="NFK17" s="37"/>
      <c r="NFL17" s="37"/>
      <c r="NFM17" s="37"/>
      <c r="NFN17" s="37"/>
      <c r="NFO17" s="37"/>
      <c r="NFP17" s="37"/>
      <c r="NFQ17" s="37"/>
      <c r="NFR17" s="37"/>
      <c r="NFS17" s="37"/>
      <c r="NFT17" s="37"/>
      <c r="NFU17" s="37"/>
      <c r="NFV17" s="37"/>
      <c r="NFW17" s="37"/>
      <c r="NFX17" s="37"/>
      <c r="NFY17" s="37"/>
      <c r="NFZ17" s="37"/>
      <c r="NGA17" s="37"/>
      <c r="NGB17" s="37"/>
      <c r="NGC17" s="37"/>
      <c r="NGD17" s="37"/>
      <c r="NGE17" s="37"/>
      <c r="NGF17" s="37"/>
      <c r="NGG17" s="37"/>
      <c r="NGH17" s="37"/>
      <c r="NGI17" s="37"/>
      <c r="NGJ17" s="37"/>
      <c r="NGK17" s="37"/>
      <c r="NGL17" s="37"/>
      <c r="NGM17" s="37"/>
      <c r="NGN17" s="37"/>
      <c r="NGO17" s="37"/>
      <c r="NGP17" s="37"/>
      <c r="NGQ17" s="37"/>
      <c r="NGR17" s="37"/>
      <c r="NGS17" s="37"/>
      <c r="NGT17" s="37"/>
      <c r="NGU17" s="37"/>
      <c r="NGV17" s="37"/>
      <c r="NGW17" s="37"/>
      <c r="NGX17" s="37"/>
      <c r="NGY17" s="37"/>
      <c r="NGZ17" s="37"/>
      <c r="NHA17" s="37"/>
      <c r="NHB17" s="37"/>
      <c r="NHC17" s="37"/>
      <c r="NHD17" s="37"/>
      <c r="NHE17" s="37"/>
      <c r="NHF17" s="37"/>
      <c r="NHG17" s="37"/>
      <c r="NHH17" s="37"/>
      <c r="NHI17" s="37"/>
      <c r="NHJ17" s="37"/>
      <c r="NHK17" s="37"/>
      <c r="NHL17" s="37"/>
      <c r="NHM17" s="37"/>
      <c r="NHN17" s="37"/>
      <c r="NHO17" s="37"/>
      <c r="NHP17" s="37"/>
      <c r="NHQ17" s="37"/>
      <c r="NHR17" s="37"/>
      <c r="NHS17" s="37"/>
      <c r="NHT17" s="37"/>
      <c r="NHU17" s="37"/>
      <c r="NHV17" s="37"/>
      <c r="NHW17" s="37"/>
      <c r="NHX17" s="37"/>
      <c r="NHY17" s="37"/>
      <c r="NHZ17" s="37"/>
      <c r="NIA17" s="37"/>
      <c r="NIB17" s="37"/>
      <c r="NIC17" s="37"/>
      <c r="NID17" s="37"/>
      <c r="NIE17" s="37"/>
      <c r="NIF17" s="37"/>
      <c r="NIG17" s="37"/>
      <c r="NIH17" s="37"/>
      <c r="NII17" s="37"/>
      <c r="NIJ17" s="37"/>
      <c r="NIK17" s="37"/>
      <c r="NIL17" s="37"/>
      <c r="NIM17" s="37"/>
      <c r="NIN17" s="37"/>
      <c r="NIO17" s="37"/>
      <c r="NIP17" s="37"/>
      <c r="NIQ17" s="37"/>
      <c r="NIR17" s="37"/>
      <c r="NIS17" s="37"/>
      <c r="NIT17" s="37"/>
      <c r="NIU17" s="37"/>
      <c r="NIV17" s="37"/>
      <c r="NIW17" s="37"/>
      <c r="NIX17" s="37"/>
      <c r="NIY17" s="37"/>
      <c r="NIZ17" s="37"/>
      <c r="NJA17" s="37"/>
      <c r="NJB17" s="37"/>
      <c r="NJC17" s="37"/>
      <c r="NJD17" s="37"/>
      <c r="NJE17" s="37"/>
      <c r="NJF17" s="37"/>
      <c r="NJG17" s="37"/>
      <c r="NJH17" s="37"/>
      <c r="NJI17" s="37"/>
      <c r="NJJ17" s="37"/>
      <c r="NJK17" s="37"/>
      <c r="NJL17" s="37"/>
      <c r="NJM17" s="37"/>
      <c r="NJN17" s="37"/>
      <c r="NJO17" s="37"/>
      <c r="NJP17" s="37"/>
      <c r="NJQ17" s="37"/>
      <c r="NJR17" s="37"/>
      <c r="NJS17" s="37"/>
      <c r="NJT17" s="37"/>
      <c r="NJU17" s="37"/>
      <c r="NJV17" s="37"/>
      <c r="NJW17" s="37"/>
      <c r="NJX17" s="37"/>
      <c r="NJY17" s="37"/>
      <c r="NJZ17" s="37"/>
      <c r="NKA17" s="37"/>
      <c r="NKB17" s="37"/>
      <c r="NKC17" s="37"/>
      <c r="NKD17" s="37"/>
      <c r="NKE17" s="37"/>
      <c r="NKF17" s="37"/>
      <c r="NKG17" s="37"/>
      <c r="NKH17" s="37"/>
      <c r="NKI17" s="37"/>
      <c r="NKJ17" s="37"/>
      <c r="NKK17" s="37"/>
      <c r="NKL17" s="37"/>
      <c r="NKM17" s="37"/>
      <c r="NKN17" s="37"/>
      <c r="NKO17" s="37"/>
      <c r="NKP17" s="37"/>
      <c r="NKQ17" s="37"/>
      <c r="NKR17" s="37"/>
      <c r="NKS17" s="37"/>
      <c r="NKT17" s="37"/>
      <c r="NKU17" s="37"/>
      <c r="NKV17" s="37"/>
      <c r="NKW17" s="37"/>
      <c r="NKX17" s="37"/>
      <c r="NKY17" s="37"/>
      <c r="NKZ17" s="37"/>
      <c r="NLA17" s="37"/>
      <c r="NLB17" s="37"/>
      <c r="NLC17" s="37"/>
      <c r="NLD17" s="37"/>
      <c r="NLE17" s="37"/>
      <c r="NLF17" s="37"/>
      <c r="NLG17" s="37"/>
      <c r="NLH17" s="37"/>
      <c r="NLI17" s="37"/>
      <c r="NLJ17" s="37"/>
      <c r="NLK17" s="37"/>
      <c r="NLL17" s="37"/>
      <c r="NLM17" s="37"/>
      <c r="NLN17" s="37"/>
      <c r="NLO17" s="37"/>
      <c r="NLP17" s="37"/>
      <c r="NLQ17" s="37"/>
      <c r="NLR17" s="37"/>
      <c r="NLS17" s="37"/>
      <c r="NLT17" s="37"/>
      <c r="NLU17" s="37"/>
      <c r="NLV17" s="37"/>
      <c r="NLW17" s="37"/>
      <c r="NLX17" s="37"/>
      <c r="NLY17" s="37"/>
      <c r="NLZ17" s="37"/>
      <c r="NMA17" s="37"/>
      <c r="NMB17" s="37"/>
      <c r="NMC17" s="37"/>
      <c r="NMD17" s="37"/>
      <c r="NME17" s="37"/>
      <c r="NMF17" s="37"/>
      <c r="NMG17" s="37"/>
      <c r="NMH17" s="37"/>
      <c r="NMI17" s="37"/>
      <c r="NMJ17" s="37"/>
      <c r="NMK17" s="37"/>
      <c r="NML17" s="37"/>
      <c r="NMM17" s="37"/>
      <c r="NMN17" s="37"/>
      <c r="NMO17" s="37"/>
      <c r="NMP17" s="37"/>
      <c r="NMQ17" s="37"/>
      <c r="NMR17" s="37"/>
      <c r="NMS17" s="37"/>
      <c r="NMT17" s="37"/>
      <c r="NMU17" s="37"/>
      <c r="NMV17" s="37"/>
      <c r="NMW17" s="37"/>
      <c r="NMX17" s="37"/>
      <c r="NMY17" s="37"/>
      <c r="NMZ17" s="37"/>
      <c r="NNA17" s="37"/>
      <c r="NNB17" s="37"/>
      <c r="NNC17" s="37"/>
      <c r="NND17" s="37"/>
      <c r="NNE17" s="37"/>
      <c r="NNF17" s="37"/>
      <c r="NNG17" s="37"/>
      <c r="NNH17" s="37"/>
      <c r="NNI17" s="37"/>
      <c r="NNJ17" s="37"/>
      <c r="NNK17" s="37"/>
      <c r="NNL17" s="37"/>
      <c r="NNM17" s="37"/>
      <c r="NNN17" s="37"/>
      <c r="NNO17" s="37"/>
      <c r="NNP17" s="37"/>
      <c r="NNQ17" s="37"/>
      <c r="NNR17" s="37"/>
      <c r="NNS17" s="37"/>
      <c r="NNT17" s="37"/>
      <c r="NNU17" s="37"/>
      <c r="NNV17" s="37"/>
      <c r="NNW17" s="37"/>
      <c r="NNX17" s="37"/>
      <c r="NNY17" s="37"/>
      <c r="NNZ17" s="37"/>
      <c r="NOA17" s="37"/>
      <c r="NOB17" s="37"/>
      <c r="NOC17" s="37"/>
      <c r="NOD17" s="37"/>
      <c r="NOE17" s="37"/>
      <c r="NOF17" s="37"/>
      <c r="NOG17" s="37"/>
      <c r="NOH17" s="37"/>
      <c r="NOI17" s="37"/>
      <c r="NOJ17" s="37"/>
      <c r="NOK17" s="37"/>
      <c r="NOL17" s="37"/>
      <c r="NOM17" s="37"/>
      <c r="NON17" s="37"/>
      <c r="NOO17" s="37"/>
      <c r="NOP17" s="37"/>
      <c r="NOQ17" s="37"/>
      <c r="NOR17" s="37"/>
      <c r="NOS17" s="37"/>
      <c r="NOT17" s="37"/>
      <c r="NOU17" s="37"/>
      <c r="NOV17" s="37"/>
      <c r="NOW17" s="37"/>
      <c r="NOX17" s="37"/>
      <c r="NOY17" s="37"/>
      <c r="NOZ17" s="37"/>
      <c r="NPA17" s="37"/>
      <c r="NPB17" s="37"/>
      <c r="NPC17" s="37"/>
      <c r="NPD17" s="37"/>
      <c r="NPE17" s="37"/>
      <c r="NPF17" s="37"/>
      <c r="NPG17" s="37"/>
      <c r="NPH17" s="37"/>
      <c r="NPI17" s="37"/>
      <c r="NPJ17" s="37"/>
      <c r="NPK17" s="37"/>
      <c r="NPL17" s="37"/>
      <c r="NPM17" s="37"/>
      <c r="NPN17" s="37"/>
      <c r="NPO17" s="37"/>
      <c r="NPP17" s="37"/>
      <c r="NPQ17" s="37"/>
      <c r="NPR17" s="37"/>
      <c r="NPS17" s="37"/>
      <c r="NPT17" s="37"/>
      <c r="NPU17" s="37"/>
      <c r="NPV17" s="37"/>
      <c r="NPW17" s="37"/>
      <c r="NPX17" s="37"/>
      <c r="NPY17" s="37"/>
      <c r="NPZ17" s="37"/>
      <c r="NQA17" s="37"/>
      <c r="NQB17" s="37"/>
      <c r="NQC17" s="37"/>
      <c r="NQD17" s="37"/>
      <c r="NQE17" s="37"/>
      <c r="NQF17" s="37"/>
      <c r="NQG17" s="37"/>
      <c r="NQH17" s="37"/>
      <c r="NQI17" s="37"/>
      <c r="NQJ17" s="37"/>
      <c r="NQK17" s="37"/>
      <c r="NQL17" s="37"/>
      <c r="NQM17" s="37"/>
      <c r="NQN17" s="37"/>
      <c r="NQO17" s="37"/>
      <c r="NQP17" s="37"/>
      <c r="NQQ17" s="37"/>
      <c r="NQR17" s="37"/>
      <c r="NQS17" s="37"/>
      <c r="NQT17" s="37"/>
      <c r="NQU17" s="37"/>
      <c r="NQV17" s="37"/>
      <c r="NQW17" s="37"/>
      <c r="NQX17" s="37"/>
      <c r="NQY17" s="37"/>
      <c r="NQZ17" s="37"/>
      <c r="NRA17" s="37"/>
      <c r="NRB17" s="37"/>
      <c r="NRC17" s="37"/>
      <c r="NRD17" s="37"/>
      <c r="NRE17" s="37"/>
      <c r="NRF17" s="37"/>
      <c r="NRG17" s="37"/>
      <c r="NRH17" s="37"/>
      <c r="NRI17" s="37"/>
      <c r="NRJ17" s="37"/>
      <c r="NRK17" s="37"/>
      <c r="NRL17" s="37"/>
      <c r="NRM17" s="37"/>
      <c r="NRN17" s="37"/>
      <c r="NRO17" s="37"/>
      <c r="NRP17" s="37"/>
      <c r="NRQ17" s="37"/>
      <c r="NRR17" s="37"/>
      <c r="NRS17" s="37"/>
      <c r="NRT17" s="37"/>
      <c r="NRU17" s="37"/>
      <c r="NRV17" s="37"/>
      <c r="NRW17" s="37"/>
      <c r="NRX17" s="37"/>
      <c r="NRY17" s="37"/>
      <c r="NRZ17" s="37"/>
      <c r="NSA17" s="37"/>
      <c r="NSB17" s="37"/>
      <c r="NSC17" s="37"/>
      <c r="NSD17" s="37"/>
      <c r="NSE17" s="37"/>
      <c r="NSF17" s="37"/>
      <c r="NSG17" s="37"/>
      <c r="NSH17" s="37"/>
      <c r="NSI17" s="37"/>
      <c r="NSJ17" s="37"/>
      <c r="NSK17" s="37"/>
      <c r="NSL17" s="37"/>
      <c r="NSM17" s="37"/>
      <c r="NSN17" s="37"/>
      <c r="NSO17" s="37"/>
      <c r="NSP17" s="37"/>
      <c r="NSQ17" s="37"/>
      <c r="NSR17" s="37"/>
      <c r="NSS17" s="37"/>
      <c r="NST17" s="37"/>
      <c r="NSU17" s="37"/>
      <c r="NSV17" s="37"/>
      <c r="NSW17" s="37"/>
      <c r="NSX17" s="37"/>
      <c r="NSY17" s="37"/>
      <c r="NSZ17" s="37"/>
      <c r="NTA17" s="37"/>
      <c r="NTB17" s="37"/>
      <c r="NTC17" s="37"/>
      <c r="NTD17" s="37"/>
      <c r="NTE17" s="37"/>
      <c r="NTF17" s="37"/>
      <c r="NTG17" s="37"/>
      <c r="NTH17" s="37"/>
      <c r="NTI17" s="37"/>
      <c r="NTJ17" s="37"/>
      <c r="NTK17" s="37"/>
      <c r="NTL17" s="37"/>
      <c r="NTM17" s="37"/>
      <c r="NTN17" s="37"/>
      <c r="NTO17" s="37"/>
      <c r="NTP17" s="37"/>
      <c r="NTQ17" s="37"/>
      <c r="NTR17" s="37"/>
      <c r="NTS17" s="37"/>
      <c r="NTT17" s="37"/>
      <c r="NTU17" s="37"/>
      <c r="NTV17" s="37"/>
      <c r="NTW17" s="37"/>
      <c r="NTX17" s="37"/>
      <c r="NTY17" s="37"/>
      <c r="NTZ17" s="37"/>
      <c r="NUA17" s="37"/>
      <c r="NUB17" s="37"/>
      <c r="NUC17" s="37"/>
      <c r="NUD17" s="37"/>
      <c r="NUE17" s="37"/>
      <c r="NUF17" s="37"/>
      <c r="NUG17" s="37"/>
      <c r="NUH17" s="37"/>
      <c r="NUI17" s="37"/>
      <c r="NUJ17" s="37"/>
      <c r="NUK17" s="37"/>
      <c r="NUL17" s="37"/>
      <c r="NUM17" s="37"/>
      <c r="NUN17" s="37"/>
      <c r="NUO17" s="37"/>
      <c r="NUP17" s="37"/>
      <c r="NUQ17" s="37"/>
      <c r="NUR17" s="37"/>
      <c r="NUS17" s="37"/>
      <c r="NUT17" s="37"/>
      <c r="NUU17" s="37"/>
      <c r="NUV17" s="37"/>
      <c r="NUW17" s="37"/>
      <c r="NUX17" s="37"/>
      <c r="NUY17" s="37"/>
      <c r="NUZ17" s="37"/>
      <c r="NVA17" s="37"/>
      <c r="NVB17" s="37"/>
      <c r="NVC17" s="37"/>
      <c r="NVD17" s="37"/>
      <c r="NVE17" s="37"/>
      <c r="NVF17" s="37"/>
      <c r="NVG17" s="37"/>
      <c r="NVH17" s="37"/>
      <c r="NVI17" s="37"/>
      <c r="NVJ17" s="37"/>
      <c r="NVK17" s="37"/>
      <c r="NVL17" s="37"/>
      <c r="NVM17" s="37"/>
      <c r="NVN17" s="37"/>
      <c r="NVO17" s="37"/>
      <c r="NVP17" s="37"/>
      <c r="NVQ17" s="37"/>
      <c r="NVR17" s="37"/>
      <c r="NVS17" s="37"/>
      <c r="NVT17" s="37"/>
      <c r="NVU17" s="37"/>
      <c r="NVV17" s="37"/>
      <c r="NVW17" s="37"/>
      <c r="NVX17" s="37"/>
      <c r="NVY17" s="37"/>
      <c r="NVZ17" s="37"/>
      <c r="NWA17" s="37"/>
      <c r="NWB17" s="37"/>
      <c r="NWC17" s="37"/>
      <c r="NWD17" s="37"/>
      <c r="NWE17" s="37"/>
      <c r="NWF17" s="37"/>
      <c r="NWG17" s="37"/>
      <c r="NWH17" s="37"/>
      <c r="NWI17" s="37"/>
      <c r="NWJ17" s="37"/>
      <c r="NWK17" s="37"/>
      <c r="NWL17" s="37"/>
      <c r="NWM17" s="37"/>
      <c r="NWN17" s="37"/>
      <c r="NWO17" s="37"/>
      <c r="NWP17" s="37"/>
      <c r="NWQ17" s="37"/>
      <c r="NWR17" s="37"/>
      <c r="NWS17" s="37"/>
      <c r="NWT17" s="37"/>
      <c r="NWU17" s="37"/>
      <c r="NWV17" s="37"/>
      <c r="NWW17" s="37"/>
      <c r="NWX17" s="37"/>
      <c r="NWY17" s="37"/>
      <c r="NWZ17" s="37"/>
      <c r="NXA17" s="37"/>
      <c r="NXB17" s="37"/>
      <c r="NXC17" s="37"/>
      <c r="NXD17" s="37"/>
      <c r="NXE17" s="37"/>
      <c r="NXF17" s="37"/>
      <c r="NXG17" s="37"/>
      <c r="NXH17" s="37"/>
      <c r="NXI17" s="37"/>
      <c r="NXJ17" s="37"/>
      <c r="NXK17" s="37"/>
      <c r="NXL17" s="37"/>
      <c r="NXM17" s="37"/>
      <c r="NXN17" s="37"/>
      <c r="NXO17" s="37"/>
      <c r="NXP17" s="37"/>
      <c r="NXQ17" s="37"/>
      <c r="NXR17" s="37"/>
      <c r="NXS17" s="37"/>
      <c r="NXT17" s="37"/>
      <c r="NXU17" s="37"/>
      <c r="NXV17" s="37"/>
      <c r="NXW17" s="37"/>
      <c r="NXX17" s="37"/>
      <c r="NXY17" s="37"/>
      <c r="NXZ17" s="37"/>
      <c r="NYA17" s="37"/>
      <c r="NYB17" s="37"/>
      <c r="NYC17" s="37"/>
      <c r="NYD17" s="37"/>
      <c r="NYE17" s="37"/>
      <c r="NYF17" s="37"/>
      <c r="NYG17" s="37"/>
      <c r="NYH17" s="37"/>
      <c r="NYI17" s="37"/>
      <c r="NYJ17" s="37"/>
      <c r="NYK17" s="37"/>
      <c r="NYL17" s="37"/>
      <c r="NYM17" s="37"/>
      <c r="NYN17" s="37"/>
      <c r="NYO17" s="37"/>
      <c r="NYP17" s="37"/>
      <c r="NYQ17" s="37"/>
      <c r="NYR17" s="37"/>
      <c r="NYS17" s="37"/>
      <c r="NYT17" s="37"/>
      <c r="NYU17" s="37"/>
      <c r="NYV17" s="37"/>
      <c r="NYW17" s="37"/>
      <c r="NYX17" s="37"/>
      <c r="NYY17" s="37"/>
      <c r="NYZ17" s="37"/>
      <c r="NZA17" s="37"/>
      <c r="NZB17" s="37"/>
      <c r="NZC17" s="37"/>
      <c r="NZD17" s="37"/>
      <c r="NZE17" s="37"/>
      <c r="NZF17" s="37"/>
      <c r="NZG17" s="37"/>
      <c r="NZH17" s="37"/>
      <c r="NZI17" s="37"/>
      <c r="NZJ17" s="37"/>
      <c r="NZK17" s="37"/>
      <c r="NZL17" s="37"/>
      <c r="NZM17" s="37"/>
      <c r="NZN17" s="37"/>
      <c r="NZO17" s="37"/>
      <c r="NZP17" s="37"/>
      <c r="NZQ17" s="37"/>
      <c r="NZR17" s="37"/>
      <c r="NZS17" s="37"/>
      <c r="NZT17" s="37"/>
      <c r="NZU17" s="37"/>
      <c r="NZV17" s="37"/>
      <c r="NZW17" s="37"/>
      <c r="NZX17" s="37"/>
      <c r="NZY17" s="37"/>
      <c r="NZZ17" s="37"/>
      <c r="OAA17" s="37"/>
      <c r="OAB17" s="37"/>
      <c r="OAC17" s="37"/>
      <c r="OAD17" s="37"/>
      <c r="OAE17" s="37"/>
      <c r="OAF17" s="37"/>
      <c r="OAG17" s="37"/>
      <c r="OAH17" s="37"/>
      <c r="OAI17" s="37"/>
      <c r="OAJ17" s="37"/>
      <c r="OAK17" s="37"/>
      <c r="OAL17" s="37"/>
      <c r="OAM17" s="37"/>
      <c r="OAN17" s="37"/>
      <c r="OAO17" s="37"/>
      <c r="OAP17" s="37"/>
      <c r="OAQ17" s="37"/>
      <c r="OAR17" s="37"/>
      <c r="OAS17" s="37"/>
      <c r="OAT17" s="37"/>
      <c r="OAU17" s="37"/>
      <c r="OAV17" s="37"/>
      <c r="OAW17" s="37"/>
      <c r="OAX17" s="37"/>
      <c r="OAY17" s="37"/>
      <c r="OAZ17" s="37"/>
      <c r="OBA17" s="37"/>
      <c r="OBB17" s="37"/>
      <c r="OBC17" s="37"/>
      <c r="OBD17" s="37"/>
      <c r="OBE17" s="37"/>
      <c r="OBF17" s="37"/>
      <c r="OBG17" s="37"/>
      <c r="OBH17" s="37"/>
      <c r="OBI17" s="37"/>
      <c r="OBJ17" s="37"/>
      <c r="OBK17" s="37"/>
      <c r="OBL17" s="37"/>
      <c r="OBM17" s="37"/>
      <c r="OBN17" s="37"/>
      <c r="OBO17" s="37"/>
      <c r="OBP17" s="37"/>
      <c r="OBQ17" s="37"/>
      <c r="OBR17" s="37"/>
      <c r="OBS17" s="37"/>
      <c r="OBT17" s="37"/>
      <c r="OBU17" s="37"/>
      <c r="OBV17" s="37"/>
      <c r="OBW17" s="37"/>
      <c r="OBX17" s="37"/>
      <c r="OBY17" s="37"/>
      <c r="OBZ17" s="37"/>
      <c r="OCA17" s="37"/>
      <c r="OCB17" s="37"/>
      <c r="OCC17" s="37"/>
      <c r="OCD17" s="37"/>
      <c r="OCE17" s="37"/>
      <c r="OCF17" s="37"/>
      <c r="OCG17" s="37"/>
      <c r="OCH17" s="37"/>
      <c r="OCI17" s="37"/>
      <c r="OCJ17" s="37"/>
      <c r="OCK17" s="37"/>
      <c r="OCL17" s="37"/>
      <c r="OCM17" s="37"/>
      <c r="OCN17" s="37"/>
      <c r="OCO17" s="37"/>
      <c r="OCP17" s="37"/>
      <c r="OCQ17" s="37"/>
      <c r="OCR17" s="37"/>
      <c r="OCS17" s="37"/>
      <c r="OCT17" s="37"/>
      <c r="OCU17" s="37"/>
      <c r="OCV17" s="37"/>
      <c r="OCW17" s="37"/>
      <c r="OCX17" s="37"/>
      <c r="OCY17" s="37"/>
      <c r="OCZ17" s="37"/>
      <c r="ODA17" s="37"/>
      <c r="ODB17" s="37"/>
      <c r="ODC17" s="37"/>
      <c r="ODD17" s="37"/>
      <c r="ODE17" s="37"/>
      <c r="ODF17" s="37"/>
      <c r="ODG17" s="37"/>
      <c r="ODH17" s="37"/>
      <c r="ODI17" s="37"/>
      <c r="ODJ17" s="37"/>
      <c r="ODK17" s="37"/>
      <c r="ODL17" s="37"/>
      <c r="ODM17" s="37"/>
      <c r="ODN17" s="37"/>
      <c r="ODO17" s="37"/>
      <c r="ODP17" s="37"/>
      <c r="ODQ17" s="37"/>
      <c r="ODR17" s="37"/>
      <c r="ODS17" s="37"/>
      <c r="ODT17" s="37"/>
      <c r="ODU17" s="37"/>
      <c r="ODV17" s="37"/>
      <c r="ODW17" s="37"/>
      <c r="ODX17" s="37"/>
      <c r="ODY17" s="37"/>
      <c r="ODZ17" s="37"/>
      <c r="OEA17" s="37"/>
      <c r="OEB17" s="37"/>
      <c r="OEC17" s="37"/>
      <c r="OED17" s="37"/>
      <c r="OEE17" s="37"/>
      <c r="OEF17" s="37"/>
      <c r="OEG17" s="37"/>
      <c r="OEH17" s="37"/>
      <c r="OEI17" s="37"/>
      <c r="OEJ17" s="37"/>
      <c r="OEK17" s="37"/>
      <c r="OEL17" s="37"/>
      <c r="OEM17" s="37"/>
      <c r="OEN17" s="37"/>
      <c r="OEO17" s="37"/>
      <c r="OEP17" s="37"/>
      <c r="OEQ17" s="37"/>
      <c r="OER17" s="37"/>
      <c r="OES17" s="37"/>
      <c r="OET17" s="37"/>
      <c r="OEU17" s="37"/>
      <c r="OEV17" s="37"/>
      <c r="OEW17" s="37"/>
      <c r="OEX17" s="37"/>
      <c r="OEY17" s="37"/>
      <c r="OEZ17" s="37"/>
      <c r="OFA17" s="37"/>
      <c r="OFB17" s="37"/>
      <c r="OFC17" s="37"/>
      <c r="OFD17" s="37"/>
      <c r="OFE17" s="37"/>
      <c r="OFF17" s="37"/>
      <c r="OFG17" s="37"/>
      <c r="OFH17" s="37"/>
      <c r="OFI17" s="37"/>
      <c r="OFJ17" s="37"/>
      <c r="OFK17" s="37"/>
      <c r="OFL17" s="37"/>
      <c r="OFM17" s="37"/>
      <c r="OFN17" s="37"/>
      <c r="OFO17" s="37"/>
      <c r="OFP17" s="37"/>
      <c r="OFQ17" s="37"/>
      <c r="OFR17" s="37"/>
      <c r="OFS17" s="37"/>
      <c r="OFT17" s="37"/>
      <c r="OFU17" s="37"/>
      <c r="OFV17" s="37"/>
      <c r="OFW17" s="37"/>
      <c r="OFX17" s="37"/>
      <c r="OFY17" s="37"/>
      <c r="OFZ17" s="37"/>
      <c r="OGA17" s="37"/>
      <c r="OGB17" s="37"/>
      <c r="OGC17" s="37"/>
      <c r="OGD17" s="37"/>
      <c r="OGE17" s="37"/>
      <c r="OGF17" s="37"/>
      <c r="OGG17" s="37"/>
      <c r="OGH17" s="37"/>
      <c r="OGI17" s="37"/>
      <c r="OGJ17" s="37"/>
      <c r="OGK17" s="37"/>
      <c r="OGL17" s="37"/>
      <c r="OGM17" s="37"/>
      <c r="OGN17" s="37"/>
      <c r="OGO17" s="37"/>
      <c r="OGP17" s="37"/>
      <c r="OGQ17" s="37"/>
      <c r="OGR17" s="37"/>
      <c r="OGS17" s="37"/>
      <c r="OGT17" s="37"/>
      <c r="OGU17" s="37"/>
      <c r="OGV17" s="37"/>
      <c r="OGW17" s="37"/>
      <c r="OGX17" s="37"/>
      <c r="OGY17" s="37"/>
      <c r="OGZ17" s="37"/>
      <c r="OHA17" s="37"/>
      <c r="OHB17" s="37"/>
      <c r="OHC17" s="37"/>
      <c r="OHD17" s="37"/>
      <c r="OHE17" s="37"/>
      <c r="OHF17" s="37"/>
      <c r="OHG17" s="37"/>
      <c r="OHH17" s="37"/>
      <c r="OHI17" s="37"/>
      <c r="OHJ17" s="37"/>
      <c r="OHK17" s="37"/>
      <c r="OHL17" s="37"/>
      <c r="OHM17" s="37"/>
      <c r="OHN17" s="37"/>
      <c r="OHO17" s="37"/>
      <c r="OHP17" s="37"/>
      <c r="OHQ17" s="37"/>
      <c r="OHR17" s="37"/>
      <c r="OHS17" s="37"/>
      <c r="OHT17" s="37"/>
      <c r="OHU17" s="37"/>
      <c r="OHV17" s="37"/>
      <c r="OHW17" s="37"/>
      <c r="OHX17" s="37"/>
      <c r="OHY17" s="37"/>
      <c r="OHZ17" s="37"/>
      <c r="OIA17" s="37"/>
      <c r="OIB17" s="37"/>
      <c r="OIC17" s="37"/>
      <c r="OID17" s="37"/>
      <c r="OIE17" s="37"/>
      <c r="OIF17" s="37"/>
      <c r="OIG17" s="37"/>
      <c r="OIH17" s="37"/>
      <c r="OII17" s="37"/>
      <c r="OIJ17" s="37"/>
      <c r="OIK17" s="37"/>
      <c r="OIL17" s="37"/>
      <c r="OIM17" s="37"/>
      <c r="OIN17" s="37"/>
      <c r="OIO17" s="37"/>
      <c r="OIP17" s="37"/>
      <c r="OIQ17" s="37"/>
      <c r="OIR17" s="37"/>
      <c r="OIS17" s="37"/>
      <c r="OIT17" s="37"/>
      <c r="OIU17" s="37"/>
      <c r="OIV17" s="37"/>
      <c r="OIW17" s="37"/>
      <c r="OIX17" s="37"/>
      <c r="OIY17" s="37"/>
      <c r="OIZ17" s="37"/>
      <c r="OJA17" s="37"/>
      <c r="OJB17" s="37"/>
      <c r="OJC17" s="37"/>
      <c r="OJD17" s="37"/>
      <c r="OJE17" s="37"/>
      <c r="OJF17" s="37"/>
      <c r="OJG17" s="37"/>
      <c r="OJH17" s="37"/>
      <c r="OJI17" s="37"/>
      <c r="OJJ17" s="37"/>
      <c r="OJK17" s="37"/>
      <c r="OJL17" s="37"/>
      <c r="OJM17" s="37"/>
      <c r="OJN17" s="37"/>
      <c r="OJO17" s="37"/>
      <c r="OJP17" s="37"/>
      <c r="OJQ17" s="37"/>
      <c r="OJR17" s="37"/>
      <c r="OJS17" s="37"/>
      <c r="OJT17" s="37"/>
      <c r="OJU17" s="37"/>
      <c r="OJV17" s="37"/>
      <c r="OJW17" s="37"/>
      <c r="OJX17" s="37"/>
      <c r="OJY17" s="37"/>
      <c r="OJZ17" s="37"/>
      <c r="OKA17" s="37"/>
      <c r="OKB17" s="37"/>
      <c r="OKC17" s="37"/>
      <c r="OKD17" s="37"/>
      <c r="OKE17" s="37"/>
      <c r="OKF17" s="37"/>
      <c r="OKG17" s="37"/>
      <c r="OKH17" s="37"/>
      <c r="OKI17" s="37"/>
      <c r="OKJ17" s="37"/>
      <c r="OKK17" s="37"/>
      <c r="OKL17" s="37"/>
      <c r="OKM17" s="37"/>
      <c r="OKN17" s="37"/>
      <c r="OKO17" s="37"/>
      <c r="OKP17" s="37"/>
      <c r="OKQ17" s="37"/>
      <c r="OKR17" s="37"/>
      <c r="OKS17" s="37"/>
      <c r="OKT17" s="37"/>
      <c r="OKU17" s="37"/>
      <c r="OKV17" s="37"/>
      <c r="OKW17" s="37"/>
      <c r="OKX17" s="37"/>
      <c r="OKY17" s="37"/>
      <c r="OKZ17" s="37"/>
      <c r="OLA17" s="37"/>
      <c r="OLB17" s="37"/>
      <c r="OLC17" s="37"/>
      <c r="OLD17" s="37"/>
      <c r="OLE17" s="37"/>
      <c r="OLF17" s="37"/>
      <c r="OLG17" s="37"/>
      <c r="OLH17" s="37"/>
      <c r="OLI17" s="37"/>
      <c r="OLJ17" s="37"/>
      <c r="OLK17" s="37"/>
      <c r="OLL17" s="37"/>
      <c r="OLM17" s="37"/>
      <c r="OLN17" s="37"/>
      <c r="OLO17" s="37"/>
      <c r="OLP17" s="37"/>
      <c r="OLQ17" s="37"/>
      <c r="OLR17" s="37"/>
      <c r="OLS17" s="37"/>
      <c r="OLT17" s="37"/>
      <c r="OLU17" s="37"/>
      <c r="OLV17" s="37"/>
      <c r="OLW17" s="37"/>
      <c r="OLX17" s="37"/>
      <c r="OLY17" s="37"/>
      <c r="OLZ17" s="37"/>
      <c r="OMA17" s="37"/>
      <c r="OMB17" s="37"/>
      <c r="OMC17" s="37"/>
      <c r="OMD17" s="37"/>
      <c r="OME17" s="37"/>
      <c r="OMF17" s="37"/>
      <c r="OMG17" s="37"/>
      <c r="OMH17" s="37"/>
      <c r="OMI17" s="37"/>
      <c r="OMJ17" s="37"/>
      <c r="OMK17" s="37"/>
      <c r="OML17" s="37"/>
      <c r="OMM17" s="37"/>
      <c r="OMN17" s="37"/>
      <c r="OMO17" s="37"/>
      <c r="OMP17" s="37"/>
      <c r="OMQ17" s="37"/>
      <c r="OMR17" s="37"/>
      <c r="OMS17" s="37"/>
      <c r="OMT17" s="37"/>
      <c r="OMU17" s="37"/>
      <c r="OMV17" s="37"/>
      <c r="OMW17" s="37"/>
      <c r="OMX17" s="37"/>
      <c r="OMY17" s="37"/>
      <c r="OMZ17" s="37"/>
      <c r="ONA17" s="37"/>
      <c r="ONB17" s="37"/>
      <c r="ONC17" s="37"/>
      <c r="OND17" s="37"/>
      <c r="ONE17" s="37"/>
      <c r="ONF17" s="37"/>
      <c r="ONG17" s="37"/>
      <c r="ONH17" s="37"/>
      <c r="ONI17" s="37"/>
      <c r="ONJ17" s="37"/>
      <c r="ONK17" s="37"/>
      <c r="ONL17" s="37"/>
      <c r="ONM17" s="37"/>
      <c r="ONN17" s="37"/>
      <c r="ONO17" s="37"/>
      <c r="ONP17" s="37"/>
      <c r="ONQ17" s="37"/>
      <c r="ONR17" s="37"/>
      <c r="ONS17" s="37"/>
      <c r="ONT17" s="37"/>
      <c r="ONU17" s="37"/>
      <c r="ONV17" s="37"/>
      <c r="ONW17" s="37"/>
      <c r="ONX17" s="37"/>
      <c r="ONY17" s="37"/>
      <c r="ONZ17" s="37"/>
      <c r="OOA17" s="37"/>
      <c r="OOB17" s="37"/>
      <c r="OOC17" s="37"/>
      <c r="OOD17" s="37"/>
      <c r="OOE17" s="37"/>
      <c r="OOF17" s="37"/>
      <c r="OOG17" s="37"/>
      <c r="OOH17" s="37"/>
      <c r="OOI17" s="37"/>
      <c r="OOJ17" s="37"/>
      <c r="OOK17" s="37"/>
      <c r="OOL17" s="37"/>
      <c r="OOM17" s="37"/>
      <c r="OON17" s="37"/>
      <c r="OOO17" s="37"/>
      <c r="OOP17" s="37"/>
      <c r="OOQ17" s="37"/>
      <c r="OOR17" s="37"/>
      <c r="OOS17" s="37"/>
      <c r="OOT17" s="37"/>
      <c r="OOU17" s="37"/>
      <c r="OOV17" s="37"/>
      <c r="OOW17" s="37"/>
      <c r="OOX17" s="37"/>
      <c r="OOY17" s="37"/>
      <c r="OOZ17" s="37"/>
      <c r="OPA17" s="37"/>
      <c r="OPB17" s="37"/>
      <c r="OPC17" s="37"/>
      <c r="OPD17" s="37"/>
      <c r="OPE17" s="37"/>
      <c r="OPF17" s="37"/>
      <c r="OPG17" s="37"/>
      <c r="OPH17" s="37"/>
      <c r="OPI17" s="37"/>
      <c r="OPJ17" s="37"/>
      <c r="OPK17" s="37"/>
      <c r="OPL17" s="37"/>
      <c r="OPM17" s="37"/>
      <c r="OPN17" s="37"/>
      <c r="OPO17" s="37"/>
      <c r="OPP17" s="37"/>
      <c r="OPQ17" s="37"/>
      <c r="OPR17" s="37"/>
      <c r="OPS17" s="37"/>
      <c r="OPT17" s="37"/>
      <c r="OPU17" s="37"/>
      <c r="OPV17" s="37"/>
      <c r="OPW17" s="37"/>
      <c r="OPX17" s="37"/>
      <c r="OPY17" s="37"/>
      <c r="OPZ17" s="37"/>
      <c r="OQA17" s="37"/>
      <c r="OQB17" s="37"/>
      <c r="OQC17" s="37"/>
      <c r="OQD17" s="37"/>
      <c r="OQE17" s="37"/>
      <c r="OQF17" s="37"/>
      <c r="OQG17" s="37"/>
      <c r="OQH17" s="37"/>
      <c r="OQI17" s="37"/>
      <c r="OQJ17" s="37"/>
      <c r="OQK17" s="37"/>
      <c r="OQL17" s="37"/>
      <c r="OQM17" s="37"/>
      <c r="OQN17" s="37"/>
      <c r="OQO17" s="37"/>
      <c r="OQP17" s="37"/>
      <c r="OQQ17" s="37"/>
      <c r="OQR17" s="37"/>
      <c r="OQS17" s="37"/>
      <c r="OQT17" s="37"/>
      <c r="OQU17" s="37"/>
      <c r="OQV17" s="37"/>
      <c r="OQW17" s="37"/>
      <c r="OQX17" s="37"/>
      <c r="OQY17" s="37"/>
      <c r="OQZ17" s="37"/>
      <c r="ORA17" s="37"/>
      <c r="ORB17" s="37"/>
      <c r="ORC17" s="37"/>
      <c r="ORD17" s="37"/>
      <c r="ORE17" s="37"/>
      <c r="ORF17" s="37"/>
      <c r="ORG17" s="37"/>
      <c r="ORH17" s="37"/>
      <c r="ORI17" s="37"/>
      <c r="ORJ17" s="37"/>
      <c r="ORK17" s="37"/>
      <c r="ORL17" s="37"/>
      <c r="ORM17" s="37"/>
      <c r="ORN17" s="37"/>
      <c r="ORO17" s="37"/>
      <c r="ORP17" s="37"/>
      <c r="ORQ17" s="37"/>
      <c r="ORR17" s="37"/>
      <c r="ORS17" s="37"/>
      <c r="ORT17" s="37"/>
      <c r="ORU17" s="37"/>
      <c r="ORV17" s="37"/>
      <c r="ORW17" s="37"/>
      <c r="ORX17" s="37"/>
      <c r="ORY17" s="37"/>
      <c r="ORZ17" s="37"/>
      <c r="OSA17" s="37"/>
      <c r="OSB17" s="37"/>
      <c r="OSC17" s="37"/>
      <c r="OSD17" s="37"/>
      <c r="OSE17" s="37"/>
      <c r="OSF17" s="37"/>
      <c r="OSG17" s="37"/>
      <c r="OSH17" s="37"/>
      <c r="OSI17" s="37"/>
      <c r="OSJ17" s="37"/>
      <c r="OSK17" s="37"/>
      <c r="OSL17" s="37"/>
      <c r="OSM17" s="37"/>
      <c r="OSN17" s="37"/>
      <c r="OSO17" s="37"/>
      <c r="OSP17" s="37"/>
      <c r="OSQ17" s="37"/>
      <c r="OSR17" s="37"/>
      <c r="OSS17" s="37"/>
      <c r="OST17" s="37"/>
      <c r="OSU17" s="37"/>
      <c r="OSV17" s="37"/>
      <c r="OSW17" s="37"/>
      <c r="OSX17" s="37"/>
      <c r="OSY17" s="37"/>
      <c r="OSZ17" s="37"/>
      <c r="OTA17" s="37"/>
      <c r="OTB17" s="37"/>
      <c r="OTC17" s="37"/>
      <c r="OTD17" s="37"/>
      <c r="OTE17" s="37"/>
      <c r="OTF17" s="37"/>
      <c r="OTG17" s="37"/>
      <c r="OTH17" s="37"/>
      <c r="OTI17" s="37"/>
      <c r="OTJ17" s="37"/>
      <c r="OTK17" s="37"/>
      <c r="OTL17" s="37"/>
      <c r="OTM17" s="37"/>
      <c r="OTN17" s="37"/>
      <c r="OTO17" s="37"/>
      <c r="OTP17" s="37"/>
      <c r="OTQ17" s="37"/>
      <c r="OTR17" s="37"/>
      <c r="OTS17" s="37"/>
      <c r="OTT17" s="37"/>
      <c r="OTU17" s="37"/>
      <c r="OTV17" s="37"/>
      <c r="OTW17" s="37"/>
      <c r="OTX17" s="37"/>
      <c r="OTY17" s="37"/>
      <c r="OTZ17" s="37"/>
      <c r="OUA17" s="37"/>
      <c r="OUB17" s="37"/>
      <c r="OUC17" s="37"/>
      <c r="OUD17" s="37"/>
      <c r="OUE17" s="37"/>
      <c r="OUF17" s="37"/>
      <c r="OUG17" s="37"/>
      <c r="OUH17" s="37"/>
      <c r="OUI17" s="37"/>
      <c r="OUJ17" s="37"/>
      <c r="OUK17" s="37"/>
      <c r="OUL17" s="37"/>
      <c r="OUM17" s="37"/>
      <c r="OUN17" s="37"/>
      <c r="OUO17" s="37"/>
      <c r="OUP17" s="37"/>
      <c r="OUQ17" s="37"/>
      <c r="OUR17" s="37"/>
      <c r="OUS17" s="37"/>
      <c r="OUT17" s="37"/>
      <c r="OUU17" s="37"/>
      <c r="OUV17" s="37"/>
      <c r="OUW17" s="37"/>
      <c r="OUX17" s="37"/>
      <c r="OUY17" s="37"/>
      <c r="OUZ17" s="37"/>
      <c r="OVA17" s="37"/>
      <c r="OVB17" s="37"/>
      <c r="OVC17" s="37"/>
      <c r="OVD17" s="37"/>
      <c r="OVE17" s="37"/>
      <c r="OVF17" s="37"/>
      <c r="OVG17" s="37"/>
      <c r="OVH17" s="37"/>
      <c r="OVI17" s="37"/>
      <c r="OVJ17" s="37"/>
      <c r="OVK17" s="37"/>
      <c r="OVL17" s="37"/>
      <c r="OVM17" s="37"/>
      <c r="OVN17" s="37"/>
      <c r="OVO17" s="37"/>
      <c r="OVP17" s="37"/>
      <c r="OVQ17" s="37"/>
      <c r="OVR17" s="37"/>
      <c r="OVS17" s="37"/>
      <c r="OVT17" s="37"/>
      <c r="OVU17" s="37"/>
      <c r="OVV17" s="37"/>
      <c r="OVW17" s="37"/>
      <c r="OVX17" s="37"/>
      <c r="OVY17" s="37"/>
      <c r="OVZ17" s="37"/>
      <c r="OWA17" s="37"/>
      <c r="OWB17" s="37"/>
      <c r="OWC17" s="37"/>
      <c r="OWD17" s="37"/>
      <c r="OWE17" s="37"/>
      <c r="OWF17" s="37"/>
      <c r="OWG17" s="37"/>
      <c r="OWH17" s="37"/>
      <c r="OWI17" s="37"/>
      <c r="OWJ17" s="37"/>
      <c r="OWK17" s="37"/>
      <c r="OWL17" s="37"/>
      <c r="OWM17" s="37"/>
      <c r="OWN17" s="37"/>
      <c r="OWO17" s="37"/>
      <c r="OWP17" s="37"/>
      <c r="OWQ17" s="37"/>
      <c r="OWR17" s="37"/>
      <c r="OWS17" s="37"/>
      <c r="OWT17" s="37"/>
      <c r="OWU17" s="37"/>
      <c r="OWV17" s="37"/>
      <c r="OWW17" s="37"/>
      <c r="OWX17" s="37"/>
      <c r="OWY17" s="37"/>
      <c r="OWZ17" s="37"/>
      <c r="OXA17" s="37"/>
      <c r="OXB17" s="37"/>
      <c r="OXC17" s="37"/>
      <c r="OXD17" s="37"/>
      <c r="OXE17" s="37"/>
      <c r="OXF17" s="37"/>
      <c r="OXG17" s="37"/>
      <c r="OXH17" s="37"/>
      <c r="OXI17" s="37"/>
      <c r="OXJ17" s="37"/>
      <c r="OXK17" s="37"/>
      <c r="OXL17" s="37"/>
      <c r="OXM17" s="37"/>
      <c r="OXN17" s="37"/>
      <c r="OXO17" s="37"/>
      <c r="OXP17" s="37"/>
      <c r="OXQ17" s="37"/>
      <c r="OXR17" s="37"/>
      <c r="OXS17" s="37"/>
      <c r="OXT17" s="37"/>
      <c r="OXU17" s="37"/>
      <c r="OXV17" s="37"/>
      <c r="OXW17" s="37"/>
      <c r="OXX17" s="37"/>
      <c r="OXY17" s="37"/>
      <c r="OXZ17" s="37"/>
      <c r="OYA17" s="37"/>
      <c r="OYB17" s="37"/>
      <c r="OYC17" s="37"/>
      <c r="OYD17" s="37"/>
      <c r="OYE17" s="37"/>
      <c r="OYF17" s="37"/>
      <c r="OYG17" s="37"/>
      <c r="OYH17" s="37"/>
      <c r="OYI17" s="37"/>
      <c r="OYJ17" s="37"/>
      <c r="OYK17" s="37"/>
      <c r="OYL17" s="37"/>
      <c r="OYM17" s="37"/>
      <c r="OYN17" s="37"/>
      <c r="OYO17" s="37"/>
      <c r="OYP17" s="37"/>
      <c r="OYQ17" s="37"/>
      <c r="OYR17" s="37"/>
      <c r="OYS17" s="37"/>
      <c r="OYT17" s="37"/>
      <c r="OYU17" s="37"/>
      <c r="OYV17" s="37"/>
      <c r="OYW17" s="37"/>
      <c r="OYX17" s="37"/>
      <c r="OYY17" s="37"/>
      <c r="OYZ17" s="37"/>
      <c r="OZA17" s="37"/>
      <c r="OZB17" s="37"/>
      <c r="OZC17" s="37"/>
      <c r="OZD17" s="37"/>
      <c r="OZE17" s="37"/>
      <c r="OZF17" s="37"/>
      <c r="OZG17" s="37"/>
      <c r="OZH17" s="37"/>
      <c r="OZI17" s="37"/>
      <c r="OZJ17" s="37"/>
      <c r="OZK17" s="37"/>
      <c r="OZL17" s="37"/>
      <c r="OZM17" s="37"/>
      <c r="OZN17" s="37"/>
      <c r="OZO17" s="37"/>
      <c r="OZP17" s="37"/>
      <c r="OZQ17" s="37"/>
      <c r="OZR17" s="37"/>
      <c r="OZS17" s="37"/>
      <c r="OZT17" s="37"/>
      <c r="OZU17" s="37"/>
      <c r="OZV17" s="37"/>
      <c r="OZW17" s="37"/>
      <c r="OZX17" s="37"/>
      <c r="OZY17" s="37"/>
      <c r="OZZ17" s="37"/>
      <c r="PAA17" s="37"/>
      <c r="PAB17" s="37"/>
      <c r="PAC17" s="37"/>
      <c r="PAD17" s="37"/>
      <c r="PAE17" s="37"/>
      <c r="PAF17" s="37"/>
      <c r="PAG17" s="37"/>
      <c r="PAH17" s="37"/>
      <c r="PAI17" s="37"/>
      <c r="PAJ17" s="37"/>
      <c r="PAK17" s="37"/>
      <c r="PAL17" s="37"/>
      <c r="PAM17" s="37"/>
      <c r="PAN17" s="37"/>
      <c r="PAO17" s="37"/>
      <c r="PAP17" s="37"/>
      <c r="PAQ17" s="37"/>
      <c r="PAR17" s="37"/>
      <c r="PAS17" s="37"/>
      <c r="PAT17" s="37"/>
      <c r="PAU17" s="37"/>
      <c r="PAV17" s="37"/>
      <c r="PAW17" s="37"/>
      <c r="PAX17" s="37"/>
      <c r="PAY17" s="37"/>
      <c r="PAZ17" s="37"/>
      <c r="PBA17" s="37"/>
      <c r="PBB17" s="37"/>
      <c r="PBC17" s="37"/>
      <c r="PBD17" s="37"/>
      <c r="PBE17" s="37"/>
      <c r="PBF17" s="37"/>
      <c r="PBG17" s="37"/>
      <c r="PBH17" s="37"/>
      <c r="PBI17" s="37"/>
      <c r="PBJ17" s="37"/>
      <c r="PBK17" s="37"/>
      <c r="PBL17" s="37"/>
      <c r="PBM17" s="37"/>
      <c r="PBN17" s="37"/>
      <c r="PBO17" s="37"/>
      <c r="PBP17" s="37"/>
      <c r="PBQ17" s="37"/>
      <c r="PBR17" s="37"/>
      <c r="PBS17" s="37"/>
      <c r="PBT17" s="37"/>
      <c r="PBU17" s="37"/>
      <c r="PBV17" s="37"/>
      <c r="PBW17" s="37"/>
      <c r="PBX17" s="37"/>
      <c r="PBY17" s="37"/>
      <c r="PBZ17" s="37"/>
      <c r="PCA17" s="37"/>
      <c r="PCB17" s="37"/>
      <c r="PCC17" s="37"/>
      <c r="PCD17" s="37"/>
      <c r="PCE17" s="37"/>
      <c r="PCF17" s="37"/>
      <c r="PCG17" s="37"/>
      <c r="PCH17" s="37"/>
      <c r="PCI17" s="37"/>
      <c r="PCJ17" s="37"/>
      <c r="PCK17" s="37"/>
      <c r="PCL17" s="37"/>
      <c r="PCM17" s="37"/>
      <c r="PCN17" s="37"/>
      <c r="PCO17" s="37"/>
      <c r="PCP17" s="37"/>
      <c r="PCQ17" s="37"/>
      <c r="PCR17" s="37"/>
      <c r="PCS17" s="37"/>
      <c r="PCT17" s="37"/>
      <c r="PCU17" s="37"/>
      <c r="PCV17" s="37"/>
      <c r="PCW17" s="37"/>
      <c r="PCX17" s="37"/>
      <c r="PCY17" s="37"/>
      <c r="PCZ17" s="37"/>
      <c r="PDA17" s="37"/>
      <c r="PDB17" s="37"/>
      <c r="PDC17" s="37"/>
      <c r="PDD17" s="37"/>
      <c r="PDE17" s="37"/>
      <c r="PDF17" s="37"/>
      <c r="PDG17" s="37"/>
      <c r="PDH17" s="37"/>
      <c r="PDI17" s="37"/>
      <c r="PDJ17" s="37"/>
      <c r="PDK17" s="37"/>
      <c r="PDL17" s="37"/>
      <c r="PDM17" s="37"/>
      <c r="PDN17" s="37"/>
      <c r="PDO17" s="37"/>
      <c r="PDP17" s="37"/>
      <c r="PDQ17" s="37"/>
      <c r="PDR17" s="37"/>
      <c r="PDS17" s="37"/>
      <c r="PDT17" s="37"/>
      <c r="PDU17" s="37"/>
      <c r="PDV17" s="37"/>
      <c r="PDW17" s="37"/>
      <c r="PDX17" s="37"/>
      <c r="PDY17" s="37"/>
      <c r="PDZ17" s="37"/>
      <c r="PEA17" s="37"/>
      <c r="PEB17" s="37"/>
      <c r="PEC17" s="37"/>
      <c r="PED17" s="37"/>
      <c r="PEE17" s="37"/>
      <c r="PEF17" s="37"/>
      <c r="PEG17" s="37"/>
      <c r="PEH17" s="37"/>
      <c r="PEI17" s="37"/>
      <c r="PEJ17" s="37"/>
      <c r="PEK17" s="37"/>
      <c r="PEL17" s="37"/>
      <c r="PEM17" s="37"/>
      <c r="PEN17" s="37"/>
      <c r="PEO17" s="37"/>
      <c r="PEP17" s="37"/>
      <c r="PEQ17" s="37"/>
      <c r="PER17" s="37"/>
      <c r="PES17" s="37"/>
      <c r="PET17" s="37"/>
      <c r="PEU17" s="37"/>
      <c r="PEV17" s="37"/>
      <c r="PEW17" s="37"/>
      <c r="PEX17" s="37"/>
      <c r="PEY17" s="37"/>
      <c r="PEZ17" s="37"/>
      <c r="PFA17" s="37"/>
      <c r="PFB17" s="37"/>
      <c r="PFC17" s="37"/>
      <c r="PFD17" s="37"/>
      <c r="PFE17" s="37"/>
      <c r="PFF17" s="37"/>
      <c r="PFG17" s="37"/>
      <c r="PFH17" s="37"/>
      <c r="PFI17" s="37"/>
      <c r="PFJ17" s="37"/>
      <c r="PFK17" s="37"/>
      <c r="PFL17" s="37"/>
      <c r="PFM17" s="37"/>
      <c r="PFN17" s="37"/>
      <c r="PFO17" s="37"/>
      <c r="PFP17" s="37"/>
      <c r="PFQ17" s="37"/>
      <c r="PFR17" s="37"/>
      <c r="PFS17" s="37"/>
      <c r="PFT17" s="37"/>
      <c r="PFU17" s="37"/>
      <c r="PFV17" s="37"/>
      <c r="PFW17" s="37"/>
      <c r="PFX17" s="37"/>
      <c r="PFY17" s="37"/>
      <c r="PFZ17" s="37"/>
      <c r="PGA17" s="37"/>
      <c r="PGB17" s="37"/>
      <c r="PGC17" s="37"/>
      <c r="PGD17" s="37"/>
      <c r="PGE17" s="37"/>
      <c r="PGF17" s="37"/>
      <c r="PGG17" s="37"/>
      <c r="PGH17" s="37"/>
      <c r="PGI17" s="37"/>
      <c r="PGJ17" s="37"/>
      <c r="PGK17" s="37"/>
      <c r="PGL17" s="37"/>
      <c r="PGM17" s="37"/>
      <c r="PGN17" s="37"/>
      <c r="PGO17" s="37"/>
      <c r="PGP17" s="37"/>
      <c r="PGQ17" s="37"/>
      <c r="PGR17" s="37"/>
      <c r="PGS17" s="37"/>
      <c r="PGT17" s="37"/>
      <c r="PGU17" s="37"/>
      <c r="PGV17" s="37"/>
      <c r="PGW17" s="37"/>
      <c r="PGX17" s="37"/>
      <c r="PGY17" s="37"/>
      <c r="PGZ17" s="37"/>
      <c r="PHA17" s="37"/>
      <c r="PHB17" s="37"/>
      <c r="PHC17" s="37"/>
      <c r="PHD17" s="37"/>
      <c r="PHE17" s="37"/>
      <c r="PHF17" s="37"/>
      <c r="PHG17" s="37"/>
      <c r="PHH17" s="37"/>
      <c r="PHI17" s="37"/>
      <c r="PHJ17" s="37"/>
      <c r="PHK17" s="37"/>
      <c r="PHL17" s="37"/>
      <c r="PHM17" s="37"/>
      <c r="PHN17" s="37"/>
      <c r="PHO17" s="37"/>
      <c r="PHP17" s="37"/>
      <c r="PHQ17" s="37"/>
      <c r="PHR17" s="37"/>
      <c r="PHS17" s="37"/>
      <c r="PHT17" s="37"/>
      <c r="PHU17" s="37"/>
      <c r="PHV17" s="37"/>
      <c r="PHW17" s="37"/>
      <c r="PHX17" s="37"/>
      <c r="PHY17" s="37"/>
      <c r="PHZ17" s="37"/>
      <c r="PIA17" s="37"/>
      <c r="PIB17" s="37"/>
      <c r="PIC17" s="37"/>
      <c r="PID17" s="37"/>
      <c r="PIE17" s="37"/>
      <c r="PIF17" s="37"/>
      <c r="PIG17" s="37"/>
      <c r="PIH17" s="37"/>
      <c r="PII17" s="37"/>
      <c r="PIJ17" s="37"/>
      <c r="PIK17" s="37"/>
      <c r="PIL17" s="37"/>
      <c r="PIM17" s="37"/>
      <c r="PIN17" s="37"/>
      <c r="PIO17" s="37"/>
      <c r="PIP17" s="37"/>
      <c r="PIQ17" s="37"/>
      <c r="PIR17" s="37"/>
      <c r="PIS17" s="37"/>
      <c r="PIT17" s="37"/>
      <c r="PIU17" s="37"/>
      <c r="PIV17" s="37"/>
      <c r="PIW17" s="37"/>
      <c r="PIX17" s="37"/>
      <c r="PIY17" s="37"/>
      <c r="PIZ17" s="37"/>
      <c r="PJA17" s="37"/>
      <c r="PJB17" s="37"/>
      <c r="PJC17" s="37"/>
      <c r="PJD17" s="37"/>
      <c r="PJE17" s="37"/>
      <c r="PJF17" s="37"/>
      <c r="PJG17" s="37"/>
      <c r="PJH17" s="37"/>
      <c r="PJI17" s="37"/>
      <c r="PJJ17" s="37"/>
      <c r="PJK17" s="37"/>
      <c r="PJL17" s="37"/>
      <c r="PJM17" s="37"/>
      <c r="PJN17" s="37"/>
      <c r="PJO17" s="37"/>
      <c r="PJP17" s="37"/>
      <c r="PJQ17" s="37"/>
      <c r="PJR17" s="37"/>
      <c r="PJS17" s="37"/>
      <c r="PJT17" s="37"/>
      <c r="PJU17" s="37"/>
      <c r="PJV17" s="37"/>
      <c r="PJW17" s="37"/>
      <c r="PJX17" s="37"/>
      <c r="PJY17" s="37"/>
      <c r="PJZ17" s="37"/>
      <c r="PKA17" s="37"/>
      <c r="PKB17" s="37"/>
      <c r="PKC17" s="37"/>
      <c r="PKD17" s="37"/>
      <c r="PKE17" s="37"/>
      <c r="PKF17" s="37"/>
      <c r="PKG17" s="37"/>
      <c r="PKH17" s="37"/>
      <c r="PKI17" s="37"/>
      <c r="PKJ17" s="37"/>
      <c r="PKK17" s="37"/>
      <c r="PKL17" s="37"/>
      <c r="PKM17" s="37"/>
      <c r="PKN17" s="37"/>
      <c r="PKO17" s="37"/>
      <c r="PKP17" s="37"/>
      <c r="PKQ17" s="37"/>
      <c r="PKR17" s="37"/>
      <c r="PKS17" s="37"/>
      <c r="PKT17" s="37"/>
      <c r="PKU17" s="37"/>
      <c r="PKV17" s="37"/>
      <c r="PKW17" s="37"/>
      <c r="PKX17" s="37"/>
      <c r="PKY17" s="37"/>
      <c r="PKZ17" s="37"/>
      <c r="PLA17" s="37"/>
      <c r="PLB17" s="37"/>
      <c r="PLC17" s="37"/>
      <c r="PLD17" s="37"/>
      <c r="PLE17" s="37"/>
      <c r="PLF17" s="37"/>
      <c r="PLG17" s="37"/>
      <c r="PLH17" s="37"/>
      <c r="PLI17" s="37"/>
      <c r="PLJ17" s="37"/>
      <c r="PLK17" s="37"/>
      <c r="PLL17" s="37"/>
      <c r="PLM17" s="37"/>
      <c r="PLN17" s="37"/>
      <c r="PLO17" s="37"/>
      <c r="PLP17" s="37"/>
      <c r="PLQ17" s="37"/>
      <c r="PLR17" s="37"/>
      <c r="PLS17" s="37"/>
      <c r="PLT17" s="37"/>
      <c r="PLU17" s="37"/>
      <c r="PLV17" s="37"/>
      <c r="PLW17" s="37"/>
      <c r="PLX17" s="37"/>
      <c r="PLY17" s="37"/>
      <c r="PLZ17" s="37"/>
      <c r="PMA17" s="37"/>
      <c r="PMB17" s="37"/>
      <c r="PMC17" s="37"/>
      <c r="PMD17" s="37"/>
      <c r="PME17" s="37"/>
      <c r="PMF17" s="37"/>
      <c r="PMG17" s="37"/>
      <c r="PMH17" s="37"/>
      <c r="PMI17" s="37"/>
      <c r="PMJ17" s="37"/>
      <c r="PMK17" s="37"/>
      <c r="PML17" s="37"/>
      <c r="PMM17" s="37"/>
      <c r="PMN17" s="37"/>
      <c r="PMO17" s="37"/>
      <c r="PMP17" s="37"/>
      <c r="PMQ17" s="37"/>
      <c r="PMR17" s="37"/>
      <c r="PMS17" s="37"/>
      <c r="PMT17" s="37"/>
      <c r="PMU17" s="37"/>
      <c r="PMV17" s="37"/>
      <c r="PMW17" s="37"/>
      <c r="PMX17" s="37"/>
      <c r="PMY17" s="37"/>
      <c r="PMZ17" s="37"/>
      <c r="PNA17" s="37"/>
      <c r="PNB17" s="37"/>
      <c r="PNC17" s="37"/>
      <c r="PND17" s="37"/>
      <c r="PNE17" s="37"/>
      <c r="PNF17" s="37"/>
      <c r="PNG17" s="37"/>
      <c r="PNH17" s="37"/>
      <c r="PNI17" s="37"/>
      <c r="PNJ17" s="37"/>
      <c r="PNK17" s="37"/>
      <c r="PNL17" s="37"/>
      <c r="PNM17" s="37"/>
      <c r="PNN17" s="37"/>
      <c r="PNO17" s="37"/>
      <c r="PNP17" s="37"/>
      <c r="PNQ17" s="37"/>
      <c r="PNR17" s="37"/>
      <c r="PNS17" s="37"/>
      <c r="PNT17" s="37"/>
      <c r="PNU17" s="37"/>
      <c r="PNV17" s="37"/>
      <c r="PNW17" s="37"/>
      <c r="PNX17" s="37"/>
      <c r="PNY17" s="37"/>
      <c r="PNZ17" s="37"/>
      <c r="POA17" s="37"/>
      <c r="POB17" s="37"/>
      <c r="POC17" s="37"/>
      <c r="POD17" s="37"/>
      <c r="POE17" s="37"/>
      <c r="POF17" s="37"/>
      <c r="POG17" s="37"/>
      <c r="POH17" s="37"/>
      <c r="POI17" s="37"/>
      <c r="POJ17" s="37"/>
      <c r="POK17" s="37"/>
      <c r="POL17" s="37"/>
      <c r="POM17" s="37"/>
      <c r="PON17" s="37"/>
      <c r="POO17" s="37"/>
      <c r="POP17" s="37"/>
      <c r="POQ17" s="37"/>
      <c r="POR17" s="37"/>
      <c r="POS17" s="37"/>
      <c r="POT17" s="37"/>
      <c r="POU17" s="37"/>
      <c r="POV17" s="37"/>
      <c r="POW17" s="37"/>
      <c r="POX17" s="37"/>
      <c r="POY17" s="37"/>
      <c r="POZ17" s="37"/>
      <c r="PPA17" s="37"/>
      <c r="PPB17" s="37"/>
      <c r="PPC17" s="37"/>
      <c r="PPD17" s="37"/>
      <c r="PPE17" s="37"/>
      <c r="PPF17" s="37"/>
      <c r="PPG17" s="37"/>
      <c r="PPH17" s="37"/>
      <c r="PPI17" s="37"/>
      <c r="PPJ17" s="37"/>
      <c r="PPK17" s="37"/>
      <c r="PPL17" s="37"/>
      <c r="PPM17" s="37"/>
      <c r="PPN17" s="37"/>
      <c r="PPO17" s="37"/>
      <c r="PPP17" s="37"/>
      <c r="PPQ17" s="37"/>
      <c r="PPR17" s="37"/>
      <c r="PPS17" s="37"/>
      <c r="PPT17" s="37"/>
      <c r="PPU17" s="37"/>
      <c r="PPV17" s="37"/>
      <c r="PPW17" s="37"/>
      <c r="PPX17" s="37"/>
      <c r="PPY17" s="37"/>
      <c r="PPZ17" s="37"/>
      <c r="PQA17" s="37"/>
      <c r="PQB17" s="37"/>
      <c r="PQC17" s="37"/>
      <c r="PQD17" s="37"/>
      <c r="PQE17" s="37"/>
      <c r="PQF17" s="37"/>
      <c r="PQG17" s="37"/>
      <c r="PQH17" s="37"/>
      <c r="PQI17" s="37"/>
      <c r="PQJ17" s="37"/>
      <c r="PQK17" s="37"/>
      <c r="PQL17" s="37"/>
      <c r="PQM17" s="37"/>
      <c r="PQN17" s="37"/>
      <c r="PQO17" s="37"/>
      <c r="PQP17" s="37"/>
      <c r="PQQ17" s="37"/>
      <c r="PQR17" s="37"/>
      <c r="PQS17" s="37"/>
      <c r="PQT17" s="37"/>
      <c r="PQU17" s="37"/>
      <c r="PQV17" s="37"/>
      <c r="PQW17" s="37"/>
      <c r="PQX17" s="37"/>
      <c r="PQY17" s="37"/>
      <c r="PQZ17" s="37"/>
      <c r="PRA17" s="37"/>
      <c r="PRB17" s="37"/>
      <c r="PRC17" s="37"/>
      <c r="PRD17" s="37"/>
      <c r="PRE17" s="37"/>
      <c r="PRF17" s="37"/>
      <c r="PRG17" s="37"/>
      <c r="PRH17" s="37"/>
      <c r="PRI17" s="37"/>
      <c r="PRJ17" s="37"/>
      <c r="PRK17" s="37"/>
      <c r="PRL17" s="37"/>
      <c r="PRM17" s="37"/>
      <c r="PRN17" s="37"/>
      <c r="PRO17" s="37"/>
      <c r="PRP17" s="37"/>
      <c r="PRQ17" s="37"/>
      <c r="PRR17" s="37"/>
      <c r="PRS17" s="37"/>
      <c r="PRT17" s="37"/>
      <c r="PRU17" s="37"/>
      <c r="PRV17" s="37"/>
      <c r="PRW17" s="37"/>
      <c r="PRX17" s="37"/>
      <c r="PRY17" s="37"/>
      <c r="PRZ17" s="37"/>
      <c r="PSA17" s="37"/>
      <c r="PSB17" s="37"/>
      <c r="PSC17" s="37"/>
      <c r="PSD17" s="37"/>
      <c r="PSE17" s="37"/>
      <c r="PSF17" s="37"/>
      <c r="PSG17" s="37"/>
      <c r="PSH17" s="37"/>
      <c r="PSI17" s="37"/>
      <c r="PSJ17" s="37"/>
      <c r="PSK17" s="37"/>
      <c r="PSL17" s="37"/>
      <c r="PSM17" s="37"/>
      <c r="PSN17" s="37"/>
      <c r="PSO17" s="37"/>
      <c r="PSP17" s="37"/>
      <c r="PSQ17" s="37"/>
      <c r="PSR17" s="37"/>
      <c r="PSS17" s="37"/>
      <c r="PST17" s="37"/>
      <c r="PSU17" s="37"/>
      <c r="PSV17" s="37"/>
      <c r="PSW17" s="37"/>
      <c r="PSX17" s="37"/>
      <c r="PSY17" s="37"/>
      <c r="PSZ17" s="37"/>
      <c r="PTA17" s="37"/>
      <c r="PTB17" s="37"/>
      <c r="PTC17" s="37"/>
      <c r="PTD17" s="37"/>
      <c r="PTE17" s="37"/>
      <c r="PTF17" s="37"/>
      <c r="PTG17" s="37"/>
      <c r="PTH17" s="37"/>
      <c r="PTI17" s="37"/>
      <c r="PTJ17" s="37"/>
      <c r="PTK17" s="37"/>
      <c r="PTL17" s="37"/>
      <c r="PTM17" s="37"/>
      <c r="PTN17" s="37"/>
      <c r="PTO17" s="37"/>
      <c r="PTP17" s="37"/>
      <c r="PTQ17" s="37"/>
      <c r="PTR17" s="37"/>
      <c r="PTS17" s="37"/>
      <c r="PTT17" s="37"/>
      <c r="PTU17" s="37"/>
      <c r="PTV17" s="37"/>
      <c r="PTW17" s="37"/>
      <c r="PTX17" s="37"/>
      <c r="PTY17" s="37"/>
      <c r="PTZ17" s="37"/>
      <c r="PUA17" s="37"/>
      <c r="PUB17" s="37"/>
      <c r="PUC17" s="37"/>
      <c r="PUD17" s="37"/>
      <c r="PUE17" s="37"/>
      <c r="PUF17" s="37"/>
      <c r="PUG17" s="37"/>
      <c r="PUH17" s="37"/>
      <c r="PUI17" s="37"/>
      <c r="PUJ17" s="37"/>
      <c r="PUK17" s="37"/>
      <c r="PUL17" s="37"/>
      <c r="PUM17" s="37"/>
      <c r="PUN17" s="37"/>
      <c r="PUO17" s="37"/>
      <c r="PUP17" s="37"/>
      <c r="PUQ17" s="37"/>
      <c r="PUR17" s="37"/>
      <c r="PUS17" s="37"/>
      <c r="PUT17" s="37"/>
      <c r="PUU17" s="37"/>
      <c r="PUV17" s="37"/>
      <c r="PUW17" s="37"/>
      <c r="PUX17" s="37"/>
      <c r="PUY17" s="37"/>
      <c r="PUZ17" s="37"/>
      <c r="PVA17" s="37"/>
      <c r="PVB17" s="37"/>
      <c r="PVC17" s="37"/>
      <c r="PVD17" s="37"/>
      <c r="PVE17" s="37"/>
      <c r="PVF17" s="37"/>
      <c r="PVG17" s="37"/>
      <c r="PVH17" s="37"/>
      <c r="PVI17" s="37"/>
      <c r="PVJ17" s="37"/>
      <c r="PVK17" s="37"/>
      <c r="PVL17" s="37"/>
      <c r="PVM17" s="37"/>
      <c r="PVN17" s="37"/>
      <c r="PVO17" s="37"/>
      <c r="PVP17" s="37"/>
      <c r="PVQ17" s="37"/>
      <c r="PVR17" s="37"/>
      <c r="PVS17" s="37"/>
      <c r="PVT17" s="37"/>
      <c r="PVU17" s="37"/>
      <c r="PVV17" s="37"/>
      <c r="PVW17" s="37"/>
      <c r="PVX17" s="37"/>
      <c r="PVY17" s="37"/>
      <c r="PVZ17" s="37"/>
      <c r="PWA17" s="37"/>
      <c r="PWB17" s="37"/>
      <c r="PWC17" s="37"/>
      <c r="PWD17" s="37"/>
      <c r="PWE17" s="37"/>
      <c r="PWF17" s="37"/>
      <c r="PWG17" s="37"/>
      <c r="PWH17" s="37"/>
      <c r="PWI17" s="37"/>
      <c r="PWJ17" s="37"/>
      <c r="PWK17" s="37"/>
      <c r="PWL17" s="37"/>
      <c r="PWM17" s="37"/>
      <c r="PWN17" s="37"/>
      <c r="PWO17" s="37"/>
      <c r="PWP17" s="37"/>
      <c r="PWQ17" s="37"/>
      <c r="PWR17" s="37"/>
      <c r="PWS17" s="37"/>
      <c r="PWT17" s="37"/>
      <c r="PWU17" s="37"/>
      <c r="PWV17" s="37"/>
      <c r="PWW17" s="37"/>
      <c r="PWX17" s="37"/>
      <c r="PWY17" s="37"/>
      <c r="PWZ17" s="37"/>
      <c r="PXA17" s="37"/>
      <c r="PXB17" s="37"/>
      <c r="PXC17" s="37"/>
      <c r="PXD17" s="37"/>
      <c r="PXE17" s="37"/>
      <c r="PXF17" s="37"/>
      <c r="PXG17" s="37"/>
      <c r="PXH17" s="37"/>
      <c r="PXI17" s="37"/>
      <c r="PXJ17" s="37"/>
      <c r="PXK17" s="37"/>
      <c r="PXL17" s="37"/>
      <c r="PXM17" s="37"/>
      <c r="PXN17" s="37"/>
      <c r="PXO17" s="37"/>
      <c r="PXP17" s="37"/>
      <c r="PXQ17" s="37"/>
      <c r="PXR17" s="37"/>
      <c r="PXS17" s="37"/>
      <c r="PXT17" s="37"/>
      <c r="PXU17" s="37"/>
      <c r="PXV17" s="37"/>
      <c r="PXW17" s="37"/>
      <c r="PXX17" s="37"/>
      <c r="PXY17" s="37"/>
      <c r="PXZ17" s="37"/>
      <c r="PYA17" s="37"/>
      <c r="PYB17" s="37"/>
      <c r="PYC17" s="37"/>
      <c r="PYD17" s="37"/>
      <c r="PYE17" s="37"/>
      <c r="PYF17" s="37"/>
      <c r="PYG17" s="37"/>
      <c r="PYH17" s="37"/>
      <c r="PYI17" s="37"/>
      <c r="PYJ17" s="37"/>
      <c r="PYK17" s="37"/>
      <c r="PYL17" s="37"/>
      <c r="PYM17" s="37"/>
      <c r="PYN17" s="37"/>
      <c r="PYO17" s="37"/>
      <c r="PYP17" s="37"/>
      <c r="PYQ17" s="37"/>
      <c r="PYR17" s="37"/>
      <c r="PYS17" s="37"/>
      <c r="PYT17" s="37"/>
      <c r="PYU17" s="37"/>
      <c r="PYV17" s="37"/>
      <c r="PYW17" s="37"/>
      <c r="PYX17" s="37"/>
      <c r="PYY17" s="37"/>
      <c r="PYZ17" s="37"/>
      <c r="PZA17" s="37"/>
      <c r="PZB17" s="37"/>
      <c r="PZC17" s="37"/>
      <c r="PZD17" s="37"/>
      <c r="PZE17" s="37"/>
      <c r="PZF17" s="37"/>
      <c r="PZG17" s="37"/>
      <c r="PZH17" s="37"/>
      <c r="PZI17" s="37"/>
      <c r="PZJ17" s="37"/>
      <c r="PZK17" s="37"/>
      <c r="PZL17" s="37"/>
      <c r="PZM17" s="37"/>
      <c r="PZN17" s="37"/>
      <c r="PZO17" s="37"/>
      <c r="PZP17" s="37"/>
      <c r="PZQ17" s="37"/>
      <c r="PZR17" s="37"/>
      <c r="PZS17" s="37"/>
      <c r="PZT17" s="37"/>
      <c r="PZU17" s="37"/>
      <c r="PZV17" s="37"/>
      <c r="PZW17" s="37"/>
      <c r="PZX17" s="37"/>
      <c r="PZY17" s="37"/>
      <c r="PZZ17" s="37"/>
      <c r="QAA17" s="37"/>
      <c r="QAB17" s="37"/>
      <c r="QAC17" s="37"/>
      <c r="QAD17" s="37"/>
      <c r="QAE17" s="37"/>
      <c r="QAF17" s="37"/>
      <c r="QAG17" s="37"/>
      <c r="QAH17" s="37"/>
      <c r="QAI17" s="37"/>
      <c r="QAJ17" s="37"/>
      <c r="QAK17" s="37"/>
      <c r="QAL17" s="37"/>
      <c r="QAM17" s="37"/>
      <c r="QAN17" s="37"/>
      <c r="QAO17" s="37"/>
      <c r="QAP17" s="37"/>
      <c r="QAQ17" s="37"/>
      <c r="QAR17" s="37"/>
      <c r="QAS17" s="37"/>
      <c r="QAT17" s="37"/>
      <c r="QAU17" s="37"/>
      <c r="QAV17" s="37"/>
      <c r="QAW17" s="37"/>
      <c r="QAX17" s="37"/>
      <c r="QAY17" s="37"/>
      <c r="QAZ17" s="37"/>
      <c r="QBA17" s="37"/>
      <c r="QBB17" s="37"/>
      <c r="QBC17" s="37"/>
      <c r="QBD17" s="37"/>
      <c r="QBE17" s="37"/>
      <c r="QBF17" s="37"/>
      <c r="QBG17" s="37"/>
      <c r="QBH17" s="37"/>
      <c r="QBI17" s="37"/>
      <c r="QBJ17" s="37"/>
      <c r="QBK17" s="37"/>
      <c r="QBL17" s="37"/>
      <c r="QBM17" s="37"/>
      <c r="QBN17" s="37"/>
      <c r="QBO17" s="37"/>
      <c r="QBP17" s="37"/>
      <c r="QBQ17" s="37"/>
      <c r="QBR17" s="37"/>
      <c r="QBS17" s="37"/>
      <c r="QBT17" s="37"/>
      <c r="QBU17" s="37"/>
      <c r="QBV17" s="37"/>
      <c r="QBW17" s="37"/>
      <c r="QBX17" s="37"/>
      <c r="QBY17" s="37"/>
      <c r="QBZ17" s="37"/>
      <c r="QCA17" s="37"/>
      <c r="QCB17" s="37"/>
      <c r="QCC17" s="37"/>
      <c r="QCD17" s="37"/>
      <c r="QCE17" s="37"/>
      <c r="QCF17" s="37"/>
      <c r="QCG17" s="37"/>
      <c r="QCH17" s="37"/>
      <c r="QCI17" s="37"/>
      <c r="QCJ17" s="37"/>
      <c r="QCK17" s="37"/>
      <c r="QCL17" s="37"/>
      <c r="QCM17" s="37"/>
      <c r="QCN17" s="37"/>
      <c r="QCO17" s="37"/>
      <c r="QCP17" s="37"/>
      <c r="QCQ17" s="37"/>
      <c r="QCR17" s="37"/>
      <c r="QCS17" s="37"/>
      <c r="QCT17" s="37"/>
      <c r="QCU17" s="37"/>
      <c r="QCV17" s="37"/>
      <c r="QCW17" s="37"/>
      <c r="QCX17" s="37"/>
      <c r="QCY17" s="37"/>
      <c r="QCZ17" s="37"/>
      <c r="QDA17" s="37"/>
      <c r="QDB17" s="37"/>
      <c r="QDC17" s="37"/>
      <c r="QDD17" s="37"/>
      <c r="QDE17" s="37"/>
      <c r="QDF17" s="37"/>
      <c r="QDG17" s="37"/>
      <c r="QDH17" s="37"/>
      <c r="QDI17" s="37"/>
      <c r="QDJ17" s="37"/>
      <c r="QDK17" s="37"/>
      <c r="QDL17" s="37"/>
      <c r="QDM17" s="37"/>
      <c r="QDN17" s="37"/>
      <c r="QDO17" s="37"/>
      <c r="QDP17" s="37"/>
      <c r="QDQ17" s="37"/>
      <c r="QDR17" s="37"/>
      <c r="QDS17" s="37"/>
      <c r="QDT17" s="37"/>
      <c r="QDU17" s="37"/>
      <c r="QDV17" s="37"/>
      <c r="QDW17" s="37"/>
      <c r="QDX17" s="37"/>
      <c r="QDY17" s="37"/>
      <c r="QDZ17" s="37"/>
      <c r="QEA17" s="37"/>
      <c r="QEB17" s="37"/>
      <c r="QEC17" s="37"/>
      <c r="QED17" s="37"/>
      <c r="QEE17" s="37"/>
      <c r="QEF17" s="37"/>
      <c r="QEG17" s="37"/>
      <c r="QEH17" s="37"/>
      <c r="QEI17" s="37"/>
      <c r="QEJ17" s="37"/>
      <c r="QEK17" s="37"/>
      <c r="QEL17" s="37"/>
      <c r="QEM17" s="37"/>
      <c r="QEN17" s="37"/>
      <c r="QEO17" s="37"/>
      <c r="QEP17" s="37"/>
      <c r="QEQ17" s="37"/>
      <c r="QER17" s="37"/>
      <c r="QES17" s="37"/>
      <c r="QET17" s="37"/>
      <c r="QEU17" s="37"/>
      <c r="QEV17" s="37"/>
      <c r="QEW17" s="37"/>
      <c r="QEX17" s="37"/>
      <c r="QEY17" s="37"/>
      <c r="QEZ17" s="37"/>
      <c r="QFA17" s="37"/>
      <c r="QFB17" s="37"/>
      <c r="QFC17" s="37"/>
      <c r="QFD17" s="37"/>
      <c r="QFE17" s="37"/>
      <c r="QFF17" s="37"/>
      <c r="QFG17" s="37"/>
      <c r="QFH17" s="37"/>
      <c r="QFI17" s="37"/>
      <c r="QFJ17" s="37"/>
      <c r="QFK17" s="37"/>
      <c r="QFL17" s="37"/>
      <c r="QFM17" s="37"/>
      <c r="QFN17" s="37"/>
      <c r="QFO17" s="37"/>
      <c r="QFP17" s="37"/>
      <c r="QFQ17" s="37"/>
      <c r="QFR17" s="37"/>
      <c r="QFS17" s="37"/>
      <c r="QFT17" s="37"/>
      <c r="QFU17" s="37"/>
      <c r="QFV17" s="37"/>
      <c r="QFW17" s="37"/>
      <c r="QFX17" s="37"/>
      <c r="QFY17" s="37"/>
      <c r="QFZ17" s="37"/>
      <c r="QGA17" s="37"/>
      <c r="QGB17" s="37"/>
      <c r="QGC17" s="37"/>
      <c r="QGD17" s="37"/>
      <c r="QGE17" s="37"/>
      <c r="QGF17" s="37"/>
      <c r="QGG17" s="37"/>
      <c r="QGH17" s="37"/>
      <c r="QGI17" s="37"/>
      <c r="QGJ17" s="37"/>
      <c r="QGK17" s="37"/>
      <c r="QGL17" s="37"/>
      <c r="QGM17" s="37"/>
      <c r="QGN17" s="37"/>
      <c r="QGO17" s="37"/>
      <c r="QGP17" s="37"/>
      <c r="QGQ17" s="37"/>
      <c r="QGR17" s="37"/>
      <c r="QGS17" s="37"/>
      <c r="QGT17" s="37"/>
      <c r="QGU17" s="37"/>
      <c r="QGV17" s="37"/>
      <c r="QGW17" s="37"/>
      <c r="QGX17" s="37"/>
      <c r="QGY17" s="37"/>
      <c r="QGZ17" s="37"/>
      <c r="QHA17" s="37"/>
      <c r="QHB17" s="37"/>
      <c r="QHC17" s="37"/>
      <c r="QHD17" s="37"/>
      <c r="QHE17" s="37"/>
      <c r="QHF17" s="37"/>
      <c r="QHG17" s="37"/>
      <c r="QHH17" s="37"/>
      <c r="QHI17" s="37"/>
      <c r="QHJ17" s="37"/>
      <c r="QHK17" s="37"/>
      <c r="QHL17" s="37"/>
      <c r="QHM17" s="37"/>
      <c r="QHN17" s="37"/>
      <c r="QHO17" s="37"/>
      <c r="QHP17" s="37"/>
      <c r="QHQ17" s="37"/>
      <c r="QHR17" s="37"/>
      <c r="QHS17" s="37"/>
      <c r="QHT17" s="37"/>
      <c r="QHU17" s="37"/>
      <c r="QHV17" s="37"/>
      <c r="QHW17" s="37"/>
      <c r="QHX17" s="37"/>
      <c r="QHY17" s="37"/>
      <c r="QHZ17" s="37"/>
      <c r="QIA17" s="37"/>
      <c r="QIB17" s="37"/>
      <c r="QIC17" s="37"/>
      <c r="QID17" s="37"/>
      <c r="QIE17" s="37"/>
      <c r="QIF17" s="37"/>
      <c r="QIG17" s="37"/>
      <c r="QIH17" s="37"/>
      <c r="QII17" s="37"/>
      <c r="QIJ17" s="37"/>
      <c r="QIK17" s="37"/>
      <c r="QIL17" s="37"/>
      <c r="QIM17" s="37"/>
      <c r="QIN17" s="37"/>
      <c r="QIO17" s="37"/>
      <c r="QIP17" s="37"/>
      <c r="QIQ17" s="37"/>
      <c r="QIR17" s="37"/>
      <c r="QIS17" s="37"/>
      <c r="QIT17" s="37"/>
      <c r="QIU17" s="37"/>
      <c r="QIV17" s="37"/>
      <c r="QIW17" s="37"/>
      <c r="QIX17" s="37"/>
      <c r="QIY17" s="37"/>
      <c r="QIZ17" s="37"/>
      <c r="QJA17" s="37"/>
      <c r="QJB17" s="37"/>
      <c r="QJC17" s="37"/>
      <c r="QJD17" s="37"/>
      <c r="QJE17" s="37"/>
      <c r="QJF17" s="37"/>
      <c r="QJG17" s="37"/>
      <c r="QJH17" s="37"/>
      <c r="QJI17" s="37"/>
      <c r="QJJ17" s="37"/>
      <c r="QJK17" s="37"/>
      <c r="QJL17" s="37"/>
      <c r="QJM17" s="37"/>
      <c r="QJN17" s="37"/>
      <c r="QJO17" s="37"/>
      <c r="QJP17" s="37"/>
      <c r="QJQ17" s="37"/>
      <c r="QJR17" s="37"/>
      <c r="QJS17" s="37"/>
      <c r="QJT17" s="37"/>
      <c r="QJU17" s="37"/>
      <c r="QJV17" s="37"/>
      <c r="QJW17" s="37"/>
      <c r="QJX17" s="37"/>
      <c r="QJY17" s="37"/>
      <c r="QJZ17" s="37"/>
      <c r="QKA17" s="37"/>
      <c r="QKB17" s="37"/>
      <c r="QKC17" s="37"/>
      <c r="QKD17" s="37"/>
      <c r="QKE17" s="37"/>
      <c r="QKF17" s="37"/>
      <c r="QKG17" s="37"/>
      <c r="QKH17" s="37"/>
      <c r="QKI17" s="37"/>
      <c r="QKJ17" s="37"/>
      <c r="QKK17" s="37"/>
      <c r="QKL17" s="37"/>
      <c r="QKM17" s="37"/>
      <c r="QKN17" s="37"/>
      <c r="QKO17" s="37"/>
      <c r="QKP17" s="37"/>
      <c r="QKQ17" s="37"/>
      <c r="QKR17" s="37"/>
      <c r="QKS17" s="37"/>
      <c r="QKT17" s="37"/>
      <c r="QKU17" s="37"/>
      <c r="QKV17" s="37"/>
      <c r="QKW17" s="37"/>
      <c r="QKX17" s="37"/>
      <c r="QKY17" s="37"/>
      <c r="QKZ17" s="37"/>
      <c r="QLA17" s="37"/>
      <c r="QLB17" s="37"/>
      <c r="QLC17" s="37"/>
      <c r="QLD17" s="37"/>
      <c r="QLE17" s="37"/>
      <c r="QLF17" s="37"/>
      <c r="QLG17" s="37"/>
      <c r="QLH17" s="37"/>
      <c r="QLI17" s="37"/>
      <c r="QLJ17" s="37"/>
      <c r="QLK17" s="37"/>
      <c r="QLL17" s="37"/>
      <c r="QLM17" s="37"/>
      <c r="QLN17" s="37"/>
      <c r="QLO17" s="37"/>
      <c r="QLP17" s="37"/>
      <c r="QLQ17" s="37"/>
      <c r="QLR17" s="37"/>
      <c r="QLS17" s="37"/>
      <c r="QLT17" s="37"/>
      <c r="QLU17" s="37"/>
      <c r="QLV17" s="37"/>
      <c r="QLW17" s="37"/>
      <c r="QLX17" s="37"/>
      <c r="QLY17" s="37"/>
      <c r="QLZ17" s="37"/>
      <c r="QMA17" s="37"/>
      <c r="QMB17" s="37"/>
      <c r="QMC17" s="37"/>
      <c r="QMD17" s="37"/>
      <c r="QME17" s="37"/>
      <c r="QMF17" s="37"/>
      <c r="QMG17" s="37"/>
      <c r="QMH17" s="37"/>
      <c r="QMI17" s="37"/>
      <c r="QMJ17" s="37"/>
      <c r="QMK17" s="37"/>
      <c r="QML17" s="37"/>
      <c r="QMM17" s="37"/>
      <c r="QMN17" s="37"/>
      <c r="QMO17" s="37"/>
      <c r="QMP17" s="37"/>
      <c r="QMQ17" s="37"/>
      <c r="QMR17" s="37"/>
      <c r="QMS17" s="37"/>
      <c r="QMT17" s="37"/>
      <c r="QMU17" s="37"/>
      <c r="QMV17" s="37"/>
      <c r="QMW17" s="37"/>
      <c r="QMX17" s="37"/>
      <c r="QMY17" s="37"/>
      <c r="QMZ17" s="37"/>
      <c r="QNA17" s="37"/>
      <c r="QNB17" s="37"/>
      <c r="QNC17" s="37"/>
      <c r="QND17" s="37"/>
      <c r="QNE17" s="37"/>
      <c r="QNF17" s="37"/>
      <c r="QNG17" s="37"/>
      <c r="QNH17" s="37"/>
      <c r="QNI17" s="37"/>
      <c r="QNJ17" s="37"/>
      <c r="QNK17" s="37"/>
      <c r="QNL17" s="37"/>
      <c r="QNM17" s="37"/>
      <c r="QNN17" s="37"/>
      <c r="QNO17" s="37"/>
      <c r="QNP17" s="37"/>
      <c r="QNQ17" s="37"/>
      <c r="QNR17" s="37"/>
      <c r="QNS17" s="37"/>
      <c r="QNT17" s="37"/>
      <c r="QNU17" s="37"/>
      <c r="QNV17" s="37"/>
      <c r="QNW17" s="37"/>
      <c r="QNX17" s="37"/>
      <c r="QNY17" s="37"/>
      <c r="QNZ17" s="37"/>
      <c r="QOA17" s="37"/>
      <c r="QOB17" s="37"/>
      <c r="QOC17" s="37"/>
      <c r="QOD17" s="37"/>
      <c r="QOE17" s="37"/>
      <c r="QOF17" s="37"/>
      <c r="QOG17" s="37"/>
      <c r="QOH17" s="37"/>
      <c r="QOI17" s="37"/>
      <c r="QOJ17" s="37"/>
      <c r="QOK17" s="37"/>
      <c r="QOL17" s="37"/>
      <c r="QOM17" s="37"/>
      <c r="QON17" s="37"/>
      <c r="QOO17" s="37"/>
      <c r="QOP17" s="37"/>
      <c r="QOQ17" s="37"/>
      <c r="QOR17" s="37"/>
      <c r="QOS17" s="37"/>
      <c r="QOT17" s="37"/>
      <c r="QOU17" s="37"/>
      <c r="QOV17" s="37"/>
      <c r="QOW17" s="37"/>
      <c r="QOX17" s="37"/>
      <c r="QOY17" s="37"/>
      <c r="QOZ17" s="37"/>
      <c r="QPA17" s="37"/>
      <c r="QPB17" s="37"/>
      <c r="QPC17" s="37"/>
      <c r="QPD17" s="37"/>
      <c r="QPE17" s="37"/>
      <c r="QPF17" s="37"/>
      <c r="QPG17" s="37"/>
      <c r="QPH17" s="37"/>
      <c r="QPI17" s="37"/>
      <c r="QPJ17" s="37"/>
      <c r="QPK17" s="37"/>
      <c r="QPL17" s="37"/>
      <c r="QPM17" s="37"/>
      <c r="QPN17" s="37"/>
      <c r="QPO17" s="37"/>
      <c r="QPP17" s="37"/>
      <c r="QPQ17" s="37"/>
      <c r="QPR17" s="37"/>
      <c r="QPS17" s="37"/>
      <c r="QPT17" s="37"/>
      <c r="QPU17" s="37"/>
      <c r="QPV17" s="37"/>
      <c r="QPW17" s="37"/>
      <c r="QPX17" s="37"/>
      <c r="QPY17" s="37"/>
      <c r="QPZ17" s="37"/>
      <c r="QQA17" s="37"/>
      <c r="QQB17" s="37"/>
      <c r="QQC17" s="37"/>
      <c r="QQD17" s="37"/>
      <c r="QQE17" s="37"/>
      <c r="QQF17" s="37"/>
      <c r="QQG17" s="37"/>
      <c r="QQH17" s="37"/>
      <c r="QQI17" s="37"/>
      <c r="QQJ17" s="37"/>
      <c r="QQK17" s="37"/>
      <c r="QQL17" s="37"/>
      <c r="QQM17" s="37"/>
      <c r="QQN17" s="37"/>
      <c r="QQO17" s="37"/>
      <c r="QQP17" s="37"/>
      <c r="QQQ17" s="37"/>
      <c r="QQR17" s="37"/>
      <c r="QQS17" s="37"/>
      <c r="QQT17" s="37"/>
      <c r="QQU17" s="37"/>
      <c r="QQV17" s="37"/>
      <c r="QQW17" s="37"/>
      <c r="QQX17" s="37"/>
      <c r="QQY17" s="37"/>
      <c r="QQZ17" s="37"/>
      <c r="QRA17" s="37"/>
      <c r="QRB17" s="37"/>
      <c r="QRC17" s="37"/>
      <c r="QRD17" s="37"/>
      <c r="QRE17" s="37"/>
      <c r="QRF17" s="37"/>
      <c r="QRG17" s="37"/>
      <c r="QRH17" s="37"/>
      <c r="QRI17" s="37"/>
      <c r="QRJ17" s="37"/>
      <c r="QRK17" s="37"/>
      <c r="QRL17" s="37"/>
      <c r="QRM17" s="37"/>
      <c r="QRN17" s="37"/>
      <c r="QRO17" s="37"/>
      <c r="QRP17" s="37"/>
      <c r="QRQ17" s="37"/>
      <c r="QRR17" s="37"/>
      <c r="QRS17" s="37"/>
      <c r="QRT17" s="37"/>
      <c r="QRU17" s="37"/>
      <c r="QRV17" s="37"/>
      <c r="QRW17" s="37"/>
      <c r="QRX17" s="37"/>
      <c r="QRY17" s="37"/>
      <c r="QRZ17" s="37"/>
      <c r="QSA17" s="37"/>
      <c r="QSB17" s="37"/>
      <c r="QSC17" s="37"/>
      <c r="QSD17" s="37"/>
      <c r="QSE17" s="37"/>
      <c r="QSF17" s="37"/>
      <c r="QSG17" s="37"/>
      <c r="QSH17" s="37"/>
      <c r="QSI17" s="37"/>
      <c r="QSJ17" s="37"/>
      <c r="QSK17" s="37"/>
      <c r="QSL17" s="37"/>
      <c r="QSM17" s="37"/>
      <c r="QSN17" s="37"/>
      <c r="QSO17" s="37"/>
      <c r="QSP17" s="37"/>
      <c r="QSQ17" s="37"/>
      <c r="QSR17" s="37"/>
      <c r="QSS17" s="37"/>
      <c r="QST17" s="37"/>
      <c r="QSU17" s="37"/>
      <c r="QSV17" s="37"/>
      <c r="QSW17" s="37"/>
      <c r="QSX17" s="37"/>
      <c r="QSY17" s="37"/>
      <c r="QSZ17" s="37"/>
      <c r="QTA17" s="37"/>
      <c r="QTB17" s="37"/>
      <c r="QTC17" s="37"/>
      <c r="QTD17" s="37"/>
      <c r="QTE17" s="37"/>
      <c r="QTF17" s="37"/>
      <c r="QTG17" s="37"/>
      <c r="QTH17" s="37"/>
      <c r="QTI17" s="37"/>
      <c r="QTJ17" s="37"/>
      <c r="QTK17" s="37"/>
      <c r="QTL17" s="37"/>
      <c r="QTM17" s="37"/>
      <c r="QTN17" s="37"/>
      <c r="QTO17" s="37"/>
      <c r="QTP17" s="37"/>
      <c r="QTQ17" s="37"/>
      <c r="QTR17" s="37"/>
      <c r="QTS17" s="37"/>
      <c r="QTT17" s="37"/>
      <c r="QTU17" s="37"/>
      <c r="QTV17" s="37"/>
      <c r="QTW17" s="37"/>
      <c r="QTX17" s="37"/>
      <c r="QTY17" s="37"/>
      <c r="QTZ17" s="37"/>
      <c r="QUA17" s="37"/>
      <c r="QUB17" s="37"/>
      <c r="QUC17" s="37"/>
      <c r="QUD17" s="37"/>
      <c r="QUE17" s="37"/>
      <c r="QUF17" s="37"/>
      <c r="QUG17" s="37"/>
      <c r="QUH17" s="37"/>
      <c r="QUI17" s="37"/>
      <c r="QUJ17" s="37"/>
      <c r="QUK17" s="37"/>
      <c r="QUL17" s="37"/>
      <c r="QUM17" s="37"/>
      <c r="QUN17" s="37"/>
      <c r="QUO17" s="37"/>
      <c r="QUP17" s="37"/>
      <c r="QUQ17" s="37"/>
      <c r="QUR17" s="37"/>
      <c r="QUS17" s="37"/>
      <c r="QUT17" s="37"/>
      <c r="QUU17" s="37"/>
      <c r="QUV17" s="37"/>
      <c r="QUW17" s="37"/>
      <c r="QUX17" s="37"/>
      <c r="QUY17" s="37"/>
      <c r="QUZ17" s="37"/>
      <c r="QVA17" s="37"/>
      <c r="QVB17" s="37"/>
      <c r="QVC17" s="37"/>
      <c r="QVD17" s="37"/>
      <c r="QVE17" s="37"/>
      <c r="QVF17" s="37"/>
      <c r="QVG17" s="37"/>
      <c r="QVH17" s="37"/>
      <c r="QVI17" s="37"/>
      <c r="QVJ17" s="37"/>
      <c r="QVK17" s="37"/>
      <c r="QVL17" s="37"/>
      <c r="QVM17" s="37"/>
      <c r="QVN17" s="37"/>
      <c r="QVO17" s="37"/>
      <c r="QVP17" s="37"/>
      <c r="QVQ17" s="37"/>
      <c r="QVR17" s="37"/>
      <c r="QVS17" s="37"/>
      <c r="QVT17" s="37"/>
      <c r="QVU17" s="37"/>
      <c r="QVV17" s="37"/>
      <c r="QVW17" s="37"/>
      <c r="QVX17" s="37"/>
      <c r="QVY17" s="37"/>
      <c r="QVZ17" s="37"/>
      <c r="QWA17" s="37"/>
      <c r="QWB17" s="37"/>
      <c r="QWC17" s="37"/>
      <c r="QWD17" s="37"/>
      <c r="QWE17" s="37"/>
      <c r="QWF17" s="37"/>
      <c r="QWG17" s="37"/>
      <c r="QWH17" s="37"/>
      <c r="QWI17" s="37"/>
      <c r="QWJ17" s="37"/>
      <c r="QWK17" s="37"/>
      <c r="QWL17" s="37"/>
      <c r="QWM17" s="37"/>
      <c r="QWN17" s="37"/>
      <c r="QWO17" s="37"/>
      <c r="QWP17" s="37"/>
      <c r="QWQ17" s="37"/>
      <c r="QWR17" s="37"/>
      <c r="QWS17" s="37"/>
      <c r="QWT17" s="37"/>
      <c r="QWU17" s="37"/>
      <c r="QWV17" s="37"/>
      <c r="QWW17" s="37"/>
      <c r="QWX17" s="37"/>
      <c r="QWY17" s="37"/>
      <c r="QWZ17" s="37"/>
      <c r="QXA17" s="37"/>
      <c r="QXB17" s="37"/>
      <c r="QXC17" s="37"/>
      <c r="QXD17" s="37"/>
      <c r="QXE17" s="37"/>
      <c r="QXF17" s="37"/>
      <c r="QXG17" s="37"/>
      <c r="QXH17" s="37"/>
      <c r="QXI17" s="37"/>
      <c r="QXJ17" s="37"/>
      <c r="QXK17" s="37"/>
      <c r="QXL17" s="37"/>
      <c r="QXM17" s="37"/>
      <c r="QXN17" s="37"/>
      <c r="QXO17" s="37"/>
      <c r="QXP17" s="37"/>
      <c r="QXQ17" s="37"/>
      <c r="QXR17" s="37"/>
      <c r="QXS17" s="37"/>
      <c r="QXT17" s="37"/>
      <c r="QXU17" s="37"/>
      <c r="QXV17" s="37"/>
      <c r="QXW17" s="37"/>
      <c r="QXX17" s="37"/>
      <c r="QXY17" s="37"/>
      <c r="QXZ17" s="37"/>
      <c r="QYA17" s="37"/>
      <c r="QYB17" s="37"/>
      <c r="QYC17" s="37"/>
      <c r="QYD17" s="37"/>
      <c r="QYE17" s="37"/>
      <c r="QYF17" s="37"/>
      <c r="QYG17" s="37"/>
      <c r="QYH17" s="37"/>
      <c r="QYI17" s="37"/>
      <c r="QYJ17" s="37"/>
      <c r="QYK17" s="37"/>
      <c r="QYL17" s="37"/>
      <c r="QYM17" s="37"/>
      <c r="QYN17" s="37"/>
      <c r="QYO17" s="37"/>
      <c r="QYP17" s="37"/>
      <c r="QYQ17" s="37"/>
      <c r="QYR17" s="37"/>
      <c r="QYS17" s="37"/>
      <c r="QYT17" s="37"/>
      <c r="QYU17" s="37"/>
      <c r="QYV17" s="37"/>
      <c r="QYW17" s="37"/>
      <c r="QYX17" s="37"/>
      <c r="QYY17" s="37"/>
      <c r="QYZ17" s="37"/>
      <c r="QZA17" s="37"/>
      <c r="QZB17" s="37"/>
      <c r="QZC17" s="37"/>
      <c r="QZD17" s="37"/>
      <c r="QZE17" s="37"/>
      <c r="QZF17" s="37"/>
      <c r="QZG17" s="37"/>
      <c r="QZH17" s="37"/>
      <c r="QZI17" s="37"/>
      <c r="QZJ17" s="37"/>
      <c r="QZK17" s="37"/>
      <c r="QZL17" s="37"/>
      <c r="QZM17" s="37"/>
      <c r="QZN17" s="37"/>
      <c r="QZO17" s="37"/>
      <c r="QZP17" s="37"/>
      <c r="QZQ17" s="37"/>
      <c r="QZR17" s="37"/>
      <c r="QZS17" s="37"/>
      <c r="QZT17" s="37"/>
      <c r="QZU17" s="37"/>
      <c r="QZV17" s="37"/>
      <c r="QZW17" s="37"/>
      <c r="QZX17" s="37"/>
      <c r="QZY17" s="37"/>
      <c r="QZZ17" s="37"/>
      <c r="RAA17" s="37"/>
      <c r="RAB17" s="37"/>
      <c r="RAC17" s="37"/>
      <c r="RAD17" s="37"/>
      <c r="RAE17" s="37"/>
      <c r="RAF17" s="37"/>
      <c r="RAG17" s="37"/>
      <c r="RAH17" s="37"/>
      <c r="RAI17" s="37"/>
      <c r="RAJ17" s="37"/>
      <c r="RAK17" s="37"/>
      <c r="RAL17" s="37"/>
      <c r="RAM17" s="37"/>
      <c r="RAN17" s="37"/>
      <c r="RAO17" s="37"/>
      <c r="RAP17" s="37"/>
      <c r="RAQ17" s="37"/>
      <c r="RAR17" s="37"/>
      <c r="RAS17" s="37"/>
      <c r="RAT17" s="37"/>
      <c r="RAU17" s="37"/>
      <c r="RAV17" s="37"/>
      <c r="RAW17" s="37"/>
      <c r="RAX17" s="37"/>
      <c r="RAY17" s="37"/>
      <c r="RAZ17" s="37"/>
      <c r="RBA17" s="37"/>
      <c r="RBB17" s="37"/>
      <c r="RBC17" s="37"/>
      <c r="RBD17" s="37"/>
      <c r="RBE17" s="37"/>
      <c r="RBF17" s="37"/>
      <c r="RBG17" s="37"/>
      <c r="RBH17" s="37"/>
      <c r="RBI17" s="37"/>
      <c r="RBJ17" s="37"/>
      <c r="RBK17" s="37"/>
      <c r="RBL17" s="37"/>
      <c r="RBM17" s="37"/>
      <c r="RBN17" s="37"/>
      <c r="RBO17" s="37"/>
      <c r="RBP17" s="37"/>
      <c r="RBQ17" s="37"/>
      <c r="RBR17" s="37"/>
      <c r="RBS17" s="37"/>
      <c r="RBT17" s="37"/>
      <c r="RBU17" s="37"/>
      <c r="RBV17" s="37"/>
      <c r="RBW17" s="37"/>
      <c r="RBX17" s="37"/>
      <c r="RBY17" s="37"/>
      <c r="RBZ17" s="37"/>
      <c r="RCA17" s="37"/>
      <c r="RCB17" s="37"/>
      <c r="RCC17" s="37"/>
      <c r="RCD17" s="37"/>
      <c r="RCE17" s="37"/>
      <c r="RCF17" s="37"/>
      <c r="RCG17" s="37"/>
      <c r="RCH17" s="37"/>
      <c r="RCI17" s="37"/>
      <c r="RCJ17" s="37"/>
      <c r="RCK17" s="37"/>
      <c r="RCL17" s="37"/>
      <c r="RCM17" s="37"/>
      <c r="RCN17" s="37"/>
      <c r="RCO17" s="37"/>
      <c r="RCP17" s="37"/>
      <c r="RCQ17" s="37"/>
      <c r="RCR17" s="37"/>
      <c r="RCS17" s="37"/>
      <c r="RCT17" s="37"/>
      <c r="RCU17" s="37"/>
      <c r="RCV17" s="37"/>
      <c r="RCW17" s="37"/>
      <c r="RCX17" s="37"/>
      <c r="RCY17" s="37"/>
      <c r="RCZ17" s="37"/>
      <c r="RDA17" s="37"/>
      <c r="RDB17" s="37"/>
      <c r="RDC17" s="37"/>
      <c r="RDD17" s="37"/>
      <c r="RDE17" s="37"/>
      <c r="RDF17" s="37"/>
      <c r="RDG17" s="37"/>
      <c r="RDH17" s="37"/>
      <c r="RDI17" s="37"/>
      <c r="RDJ17" s="37"/>
      <c r="RDK17" s="37"/>
      <c r="RDL17" s="37"/>
      <c r="RDM17" s="37"/>
      <c r="RDN17" s="37"/>
      <c r="RDO17" s="37"/>
      <c r="RDP17" s="37"/>
      <c r="RDQ17" s="37"/>
      <c r="RDR17" s="37"/>
      <c r="RDS17" s="37"/>
      <c r="RDT17" s="37"/>
      <c r="RDU17" s="37"/>
      <c r="RDV17" s="37"/>
      <c r="RDW17" s="37"/>
      <c r="RDX17" s="37"/>
      <c r="RDY17" s="37"/>
      <c r="RDZ17" s="37"/>
      <c r="REA17" s="37"/>
      <c r="REB17" s="37"/>
      <c r="REC17" s="37"/>
      <c r="RED17" s="37"/>
      <c r="REE17" s="37"/>
      <c r="REF17" s="37"/>
      <c r="REG17" s="37"/>
      <c r="REH17" s="37"/>
      <c r="REI17" s="37"/>
      <c r="REJ17" s="37"/>
      <c r="REK17" s="37"/>
      <c r="REL17" s="37"/>
      <c r="REM17" s="37"/>
      <c r="REN17" s="37"/>
      <c r="REO17" s="37"/>
      <c r="REP17" s="37"/>
      <c r="REQ17" s="37"/>
      <c r="RER17" s="37"/>
      <c r="RES17" s="37"/>
      <c r="RET17" s="37"/>
      <c r="REU17" s="37"/>
      <c r="REV17" s="37"/>
      <c r="REW17" s="37"/>
      <c r="REX17" s="37"/>
      <c r="REY17" s="37"/>
      <c r="REZ17" s="37"/>
      <c r="RFA17" s="37"/>
      <c r="RFB17" s="37"/>
      <c r="RFC17" s="37"/>
      <c r="RFD17" s="37"/>
      <c r="RFE17" s="37"/>
      <c r="RFF17" s="37"/>
      <c r="RFG17" s="37"/>
      <c r="RFH17" s="37"/>
      <c r="RFI17" s="37"/>
      <c r="RFJ17" s="37"/>
      <c r="RFK17" s="37"/>
      <c r="RFL17" s="37"/>
      <c r="RFM17" s="37"/>
      <c r="RFN17" s="37"/>
      <c r="RFO17" s="37"/>
      <c r="RFP17" s="37"/>
      <c r="RFQ17" s="37"/>
      <c r="RFR17" s="37"/>
      <c r="RFS17" s="37"/>
      <c r="RFT17" s="37"/>
      <c r="RFU17" s="37"/>
      <c r="RFV17" s="37"/>
      <c r="RFW17" s="37"/>
      <c r="RFX17" s="37"/>
      <c r="RFY17" s="37"/>
      <c r="RFZ17" s="37"/>
      <c r="RGA17" s="37"/>
      <c r="RGB17" s="37"/>
      <c r="RGC17" s="37"/>
      <c r="RGD17" s="37"/>
      <c r="RGE17" s="37"/>
      <c r="RGF17" s="37"/>
      <c r="RGG17" s="37"/>
      <c r="RGH17" s="37"/>
      <c r="RGI17" s="37"/>
      <c r="RGJ17" s="37"/>
      <c r="RGK17" s="37"/>
      <c r="RGL17" s="37"/>
      <c r="RGM17" s="37"/>
      <c r="RGN17" s="37"/>
      <c r="RGO17" s="37"/>
      <c r="RGP17" s="37"/>
      <c r="RGQ17" s="37"/>
      <c r="RGR17" s="37"/>
      <c r="RGS17" s="37"/>
      <c r="RGT17" s="37"/>
      <c r="RGU17" s="37"/>
      <c r="RGV17" s="37"/>
      <c r="RGW17" s="37"/>
      <c r="RGX17" s="37"/>
      <c r="RGY17" s="37"/>
      <c r="RGZ17" s="37"/>
      <c r="RHA17" s="37"/>
      <c r="RHB17" s="37"/>
      <c r="RHC17" s="37"/>
      <c r="RHD17" s="37"/>
      <c r="RHE17" s="37"/>
      <c r="RHF17" s="37"/>
      <c r="RHG17" s="37"/>
      <c r="RHH17" s="37"/>
      <c r="RHI17" s="37"/>
      <c r="RHJ17" s="37"/>
      <c r="RHK17" s="37"/>
      <c r="RHL17" s="37"/>
      <c r="RHM17" s="37"/>
      <c r="RHN17" s="37"/>
      <c r="RHO17" s="37"/>
      <c r="RHP17" s="37"/>
      <c r="RHQ17" s="37"/>
      <c r="RHR17" s="37"/>
      <c r="RHS17" s="37"/>
      <c r="RHT17" s="37"/>
      <c r="RHU17" s="37"/>
      <c r="RHV17" s="37"/>
      <c r="RHW17" s="37"/>
      <c r="RHX17" s="37"/>
      <c r="RHY17" s="37"/>
      <c r="RHZ17" s="37"/>
      <c r="RIA17" s="37"/>
      <c r="RIB17" s="37"/>
      <c r="RIC17" s="37"/>
      <c r="RID17" s="37"/>
      <c r="RIE17" s="37"/>
      <c r="RIF17" s="37"/>
      <c r="RIG17" s="37"/>
      <c r="RIH17" s="37"/>
      <c r="RII17" s="37"/>
      <c r="RIJ17" s="37"/>
      <c r="RIK17" s="37"/>
      <c r="RIL17" s="37"/>
      <c r="RIM17" s="37"/>
      <c r="RIN17" s="37"/>
      <c r="RIO17" s="37"/>
      <c r="RIP17" s="37"/>
      <c r="RIQ17" s="37"/>
      <c r="RIR17" s="37"/>
      <c r="RIS17" s="37"/>
      <c r="RIT17" s="37"/>
      <c r="RIU17" s="37"/>
      <c r="RIV17" s="37"/>
      <c r="RIW17" s="37"/>
      <c r="RIX17" s="37"/>
      <c r="RIY17" s="37"/>
      <c r="RIZ17" s="37"/>
      <c r="RJA17" s="37"/>
      <c r="RJB17" s="37"/>
      <c r="RJC17" s="37"/>
      <c r="RJD17" s="37"/>
      <c r="RJE17" s="37"/>
      <c r="RJF17" s="37"/>
      <c r="RJG17" s="37"/>
      <c r="RJH17" s="37"/>
      <c r="RJI17" s="37"/>
      <c r="RJJ17" s="37"/>
      <c r="RJK17" s="37"/>
      <c r="RJL17" s="37"/>
      <c r="RJM17" s="37"/>
      <c r="RJN17" s="37"/>
      <c r="RJO17" s="37"/>
      <c r="RJP17" s="37"/>
      <c r="RJQ17" s="37"/>
      <c r="RJR17" s="37"/>
      <c r="RJS17" s="37"/>
      <c r="RJT17" s="37"/>
      <c r="RJU17" s="37"/>
      <c r="RJV17" s="37"/>
      <c r="RJW17" s="37"/>
      <c r="RJX17" s="37"/>
      <c r="RJY17" s="37"/>
      <c r="RJZ17" s="37"/>
      <c r="RKA17" s="37"/>
      <c r="RKB17" s="37"/>
      <c r="RKC17" s="37"/>
      <c r="RKD17" s="37"/>
      <c r="RKE17" s="37"/>
      <c r="RKF17" s="37"/>
      <c r="RKG17" s="37"/>
      <c r="RKH17" s="37"/>
      <c r="RKI17" s="37"/>
      <c r="RKJ17" s="37"/>
      <c r="RKK17" s="37"/>
      <c r="RKL17" s="37"/>
      <c r="RKM17" s="37"/>
      <c r="RKN17" s="37"/>
      <c r="RKO17" s="37"/>
      <c r="RKP17" s="37"/>
      <c r="RKQ17" s="37"/>
      <c r="RKR17" s="37"/>
      <c r="RKS17" s="37"/>
      <c r="RKT17" s="37"/>
      <c r="RKU17" s="37"/>
      <c r="RKV17" s="37"/>
      <c r="RKW17" s="37"/>
      <c r="RKX17" s="37"/>
      <c r="RKY17" s="37"/>
      <c r="RKZ17" s="37"/>
      <c r="RLA17" s="37"/>
      <c r="RLB17" s="37"/>
      <c r="RLC17" s="37"/>
      <c r="RLD17" s="37"/>
      <c r="RLE17" s="37"/>
      <c r="RLF17" s="37"/>
      <c r="RLG17" s="37"/>
      <c r="RLH17" s="37"/>
      <c r="RLI17" s="37"/>
      <c r="RLJ17" s="37"/>
      <c r="RLK17" s="37"/>
      <c r="RLL17" s="37"/>
      <c r="RLM17" s="37"/>
      <c r="RLN17" s="37"/>
      <c r="RLO17" s="37"/>
      <c r="RLP17" s="37"/>
      <c r="RLQ17" s="37"/>
      <c r="RLR17" s="37"/>
      <c r="RLS17" s="37"/>
      <c r="RLT17" s="37"/>
      <c r="RLU17" s="37"/>
      <c r="RLV17" s="37"/>
      <c r="RLW17" s="37"/>
      <c r="RLX17" s="37"/>
      <c r="RLY17" s="37"/>
      <c r="RLZ17" s="37"/>
      <c r="RMA17" s="37"/>
      <c r="RMB17" s="37"/>
      <c r="RMC17" s="37"/>
      <c r="RMD17" s="37"/>
      <c r="RME17" s="37"/>
      <c r="RMF17" s="37"/>
      <c r="RMG17" s="37"/>
      <c r="RMH17" s="37"/>
      <c r="RMI17" s="37"/>
      <c r="RMJ17" s="37"/>
      <c r="RMK17" s="37"/>
      <c r="RML17" s="37"/>
      <c r="RMM17" s="37"/>
      <c r="RMN17" s="37"/>
      <c r="RMO17" s="37"/>
      <c r="RMP17" s="37"/>
      <c r="RMQ17" s="37"/>
      <c r="RMR17" s="37"/>
      <c r="RMS17" s="37"/>
      <c r="RMT17" s="37"/>
      <c r="RMU17" s="37"/>
      <c r="RMV17" s="37"/>
      <c r="RMW17" s="37"/>
      <c r="RMX17" s="37"/>
      <c r="RMY17" s="37"/>
      <c r="RMZ17" s="37"/>
      <c r="RNA17" s="37"/>
      <c r="RNB17" s="37"/>
      <c r="RNC17" s="37"/>
      <c r="RND17" s="37"/>
      <c r="RNE17" s="37"/>
      <c r="RNF17" s="37"/>
      <c r="RNG17" s="37"/>
      <c r="RNH17" s="37"/>
      <c r="RNI17" s="37"/>
      <c r="RNJ17" s="37"/>
      <c r="RNK17" s="37"/>
      <c r="RNL17" s="37"/>
      <c r="RNM17" s="37"/>
      <c r="RNN17" s="37"/>
      <c r="RNO17" s="37"/>
      <c r="RNP17" s="37"/>
      <c r="RNQ17" s="37"/>
      <c r="RNR17" s="37"/>
      <c r="RNS17" s="37"/>
      <c r="RNT17" s="37"/>
      <c r="RNU17" s="37"/>
      <c r="RNV17" s="37"/>
      <c r="RNW17" s="37"/>
      <c r="RNX17" s="37"/>
      <c r="RNY17" s="37"/>
      <c r="RNZ17" s="37"/>
      <c r="ROA17" s="37"/>
      <c r="ROB17" s="37"/>
      <c r="ROC17" s="37"/>
      <c r="ROD17" s="37"/>
      <c r="ROE17" s="37"/>
      <c r="ROF17" s="37"/>
      <c r="ROG17" s="37"/>
      <c r="ROH17" s="37"/>
      <c r="ROI17" s="37"/>
      <c r="ROJ17" s="37"/>
      <c r="ROK17" s="37"/>
      <c r="ROL17" s="37"/>
      <c r="ROM17" s="37"/>
      <c r="RON17" s="37"/>
      <c r="ROO17" s="37"/>
      <c r="ROP17" s="37"/>
      <c r="ROQ17" s="37"/>
      <c r="ROR17" s="37"/>
      <c r="ROS17" s="37"/>
      <c r="ROT17" s="37"/>
      <c r="ROU17" s="37"/>
      <c r="ROV17" s="37"/>
      <c r="ROW17" s="37"/>
      <c r="ROX17" s="37"/>
      <c r="ROY17" s="37"/>
      <c r="ROZ17" s="37"/>
      <c r="RPA17" s="37"/>
      <c r="RPB17" s="37"/>
      <c r="RPC17" s="37"/>
      <c r="RPD17" s="37"/>
      <c r="RPE17" s="37"/>
      <c r="RPF17" s="37"/>
      <c r="RPG17" s="37"/>
      <c r="RPH17" s="37"/>
      <c r="RPI17" s="37"/>
      <c r="RPJ17" s="37"/>
      <c r="RPK17" s="37"/>
      <c r="RPL17" s="37"/>
      <c r="RPM17" s="37"/>
      <c r="RPN17" s="37"/>
      <c r="RPO17" s="37"/>
      <c r="RPP17" s="37"/>
      <c r="RPQ17" s="37"/>
      <c r="RPR17" s="37"/>
      <c r="RPS17" s="37"/>
      <c r="RPT17" s="37"/>
      <c r="RPU17" s="37"/>
      <c r="RPV17" s="37"/>
      <c r="RPW17" s="37"/>
      <c r="RPX17" s="37"/>
      <c r="RPY17" s="37"/>
      <c r="RPZ17" s="37"/>
      <c r="RQA17" s="37"/>
      <c r="RQB17" s="37"/>
      <c r="RQC17" s="37"/>
      <c r="RQD17" s="37"/>
      <c r="RQE17" s="37"/>
      <c r="RQF17" s="37"/>
      <c r="RQG17" s="37"/>
      <c r="RQH17" s="37"/>
      <c r="RQI17" s="37"/>
      <c r="RQJ17" s="37"/>
      <c r="RQK17" s="37"/>
      <c r="RQL17" s="37"/>
      <c r="RQM17" s="37"/>
      <c r="RQN17" s="37"/>
      <c r="RQO17" s="37"/>
      <c r="RQP17" s="37"/>
      <c r="RQQ17" s="37"/>
      <c r="RQR17" s="37"/>
      <c r="RQS17" s="37"/>
      <c r="RQT17" s="37"/>
      <c r="RQU17" s="37"/>
      <c r="RQV17" s="37"/>
      <c r="RQW17" s="37"/>
      <c r="RQX17" s="37"/>
      <c r="RQY17" s="37"/>
      <c r="RQZ17" s="37"/>
      <c r="RRA17" s="37"/>
      <c r="RRB17" s="37"/>
      <c r="RRC17" s="37"/>
      <c r="RRD17" s="37"/>
      <c r="RRE17" s="37"/>
      <c r="RRF17" s="37"/>
      <c r="RRG17" s="37"/>
      <c r="RRH17" s="37"/>
      <c r="RRI17" s="37"/>
      <c r="RRJ17" s="37"/>
      <c r="RRK17" s="37"/>
      <c r="RRL17" s="37"/>
      <c r="RRM17" s="37"/>
      <c r="RRN17" s="37"/>
      <c r="RRO17" s="37"/>
      <c r="RRP17" s="37"/>
      <c r="RRQ17" s="37"/>
      <c r="RRR17" s="37"/>
      <c r="RRS17" s="37"/>
      <c r="RRT17" s="37"/>
      <c r="RRU17" s="37"/>
      <c r="RRV17" s="37"/>
      <c r="RRW17" s="37"/>
      <c r="RRX17" s="37"/>
      <c r="RRY17" s="37"/>
      <c r="RRZ17" s="37"/>
      <c r="RSA17" s="37"/>
      <c r="RSB17" s="37"/>
      <c r="RSC17" s="37"/>
      <c r="RSD17" s="37"/>
      <c r="RSE17" s="37"/>
      <c r="RSF17" s="37"/>
      <c r="RSG17" s="37"/>
      <c r="RSH17" s="37"/>
      <c r="RSI17" s="37"/>
      <c r="RSJ17" s="37"/>
      <c r="RSK17" s="37"/>
      <c r="RSL17" s="37"/>
      <c r="RSM17" s="37"/>
      <c r="RSN17" s="37"/>
      <c r="RSO17" s="37"/>
      <c r="RSP17" s="37"/>
      <c r="RSQ17" s="37"/>
      <c r="RSR17" s="37"/>
      <c r="RSS17" s="37"/>
      <c r="RST17" s="37"/>
      <c r="RSU17" s="37"/>
      <c r="RSV17" s="37"/>
      <c r="RSW17" s="37"/>
      <c r="RSX17" s="37"/>
      <c r="RSY17" s="37"/>
      <c r="RSZ17" s="37"/>
      <c r="RTA17" s="37"/>
      <c r="RTB17" s="37"/>
      <c r="RTC17" s="37"/>
      <c r="RTD17" s="37"/>
      <c r="RTE17" s="37"/>
      <c r="RTF17" s="37"/>
      <c r="RTG17" s="37"/>
      <c r="RTH17" s="37"/>
      <c r="RTI17" s="37"/>
      <c r="RTJ17" s="37"/>
      <c r="RTK17" s="37"/>
      <c r="RTL17" s="37"/>
      <c r="RTM17" s="37"/>
      <c r="RTN17" s="37"/>
      <c r="RTO17" s="37"/>
      <c r="RTP17" s="37"/>
      <c r="RTQ17" s="37"/>
      <c r="RTR17" s="37"/>
      <c r="RTS17" s="37"/>
      <c r="RTT17" s="37"/>
      <c r="RTU17" s="37"/>
      <c r="RTV17" s="37"/>
      <c r="RTW17" s="37"/>
      <c r="RTX17" s="37"/>
      <c r="RTY17" s="37"/>
      <c r="RTZ17" s="37"/>
      <c r="RUA17" s="37"/>
      <c r="RUB17" s="37"/>
      <c r="RUC17" s="37"/>
      <c r="RUD17" s="37"/>
      <c r="RUE17" s="37"/>
      <c r="RUF17" s="37"/>
      <c r="RUG17" s="37"/>
      <c r="RUH17" s="37"/>
      <c r="RUI17" s="37"/>
      <c r="RUJ17" s="37"/>
      <c r="RUK17" s="37"/>
      <c r="RUL17" s="37"/>
      <c r="RUM17" s="37"/>
      <c r="RUN17" s="37"/>
      <c r="RUO17" s="37"/>
      <c r="RUP17" s="37"/>
      <c r="RUQ17" s="37"/>
      <c r="RUR17" s="37"/>
      <c r="RUS17" s="37"/>
      <c r="RUT17" s="37"/>
      <c r="RUU17" s="37"/>
      <c r="RUV17" s="37"/>
      <c r="RUW17" s="37"/>
      <c r="RUX17" s="37"/>
      <c r="RUY17" s="37"/>
      <c r="RUZ17" s="37"/>
      <c r="RVA17" s="37"/>
      <c r="RVB17" s="37"/>
      <c r="RVC17" s="37"/>
      <c r="RVD17" s="37"/>
      <c r="RVE17" s="37"/>
      <c r="RVF17" s="37"/>
      <c r="RVG17" s="37"/>
      <c r="RVH17" s="37"/>
      <c r="RVI17" s="37"/>
      <c r="RVJ17" s="37"/>
      <c r="RVK17" s="37"/>
      <c r="RVL17" s="37"/>
      <c r="RVM17" s="37"/>
      <c r="RVN17" s="37"/>
      <c r="RVO17" s="37"/>
      <c r="RVP17" s="37"/>
      <c r="RVQ17" s="37"/>
      <c r="RVR17" s="37"/>
      <c r="RVS17" s="37"/>
      <c r="RVT17" s="37"/>
      <c r="RVU17" s="37"/>
      <c r="RVV17" s="37"/>
      <c r="RVW17" s="37"/>
      <c r="RVX17" s="37"/>
      <c r="RVY17" s="37"/>
      <c r="RVZ17" s="37"/>
      <c r="RWA17" s="37"/>
      <c r="RWB17" s="37"/>
      <c r="RWC17" s="37"/>
      <c r="RWD17" s="37"/>
      <c r="RWE17" s="37"/>
      <c r="RWF17" s="37"/>
      <c r="RWG17" s="37"/>
      <c r="RWH17" s="37"/>
      <c r="RWI17" s="37"/>
      <c r="RWJ17" s="37"/>
      <c r="RWK17" s="37"/>
      <c r="RWL17" s="37"/>
      <c r="RWM17" s="37"/>
      <c r="RWN17" s="37"/>
      <c r="RWO17" s="37"/>
      <c r="RWP17" s="37"/>
      <c r="RWQ17" s="37"/>
      <c r="RWR17" s="37"/>
      <c r="RWS17" s="37"/>
      <c r="RWT17" s="37"/>
      <c r="RWU17" s="37"/>
      <c r="RWV17" s="37"/>
      <c r="RWW17" s="37"/>
      <c r="RWX17" s="37"/>
      <c r="RWY17" s="37"/>
      <c r="RWZ17" s="37"/>
      <c r="RXA17" s="37"/>
      <c r="RXB17" s="37"/>
      <c r="RXC17" s="37"/>
      <c r="RXD17" s="37"/>
      <c r="RXE17" s="37"/>
      <c r="RXF17" s="37"/>
      <c r="RXG17" s="37"/>
      <c r="RXH17" s="37"/>
      <c r="RXI17" s="37"/>
      <c r="RXJ17" s="37"/>
      <c r="RXK17" s="37"/>
      <c r="RXL17" s="37"/>
      <c r="RXM17" s="37"/>
      <c r="RXN17" s="37"/>
      <c r="RXO17" s="37"/>
      <c r="RXP17" s="37"/>
      <c r="RXQ17" s="37"/>
      <c r="RXR17" s="37"/>
      <c r="RXS17" s="37"/>
      <c r="RXT17" s="37"/>
      <c r="RXU17" s="37"/>
      <c r="RXV17" s="37"/>
      <c r="RXW17" s="37"/>
      <c r="RXX17" s="37"/>
      <c r="RXY17" s="37"/>
      <c r="RXZ17" s="37"/>
      <c r="RYA17" s="37"/>
      <c r="RYB17" s="37"/>
      <c r="RYC17" s="37"/>
      <c r="RYD17" s="37"/>
      <c r="RYE17" s="37"/>
      <c r="RYF17" s="37"/>
      <c r="RYG17" s="37"/>
      <c r="RYH17" s="37"/>
      <c r="RYI17" s="37"/>
      <c r="RYJ17" s="37"/>
      <c r="RYK17" s="37"/>
      <c r="RYL17" s="37"/>
      <c r="RYM17" s="37"/>
      <c r="RYN17" s="37"/>
      <c r="RYO17" s="37"/>
      <c r="RYP17" s="37"/>
      <c r="RYQ17" s="37"/>
      <c r="RYR17" s="37"/>
      <c r="RYS17" s="37"/>
      <c r="RYT17" s="37"/>
      <c r="RYU17" s="37"/>
      <c r="RYV17" s="37"/>
      <c r="RYW17" s="37"/>
      <c r="RYX17" s="37"/>
      <c r="RYY17" s="37"/>
      <c r="RYZ17" s="37"/>
      <c r="RZA17" s="37"/>
      <c r="RZB17" s="37"/>
      <c r="RZC17" s="37"/>
      <c r="RZD17" s="37"/>
      <c r="RZE17" s="37"/>
      <c r="RZF17" s="37"/>
      <c r="RZG17" s="37"/>
      <c r="RZH17" s="37"/>
      <c r="RZI17" s="37"/>
      <c r="RZJ17" s="37"/>
      <c r="RZK17" s="37"/>
      <c r="RZL17" s="37"/>
      <c r="RZM17" s="37"/>
      <c r="RZN17" s="37"/>
      <c r="RZO17" s="37"/>
      <c r="RZP17" s="37"/>
      <c r="RZQ17" s="37"/>
      <c r="RZR17" s="37"/>
      <c r="RZS17" s="37"/>
      <c r="RZT17" s="37"/>
      <c r="RZU17" s="37"/>
      <c r="RZV17" s="37"/>
      <c r="RZW17" s="37"/>
      <c r="RZX17" s="37"/>
      <c r="RZY17" s="37"/>
      <c r="RZZ17" s="37"/>
      <c r="SAA17" s="37"/>
      <c r="SAB17" s="37"/>
      <c r="SAC17" s="37"/>
      <c r="SAD17" s="37"/>
      <c r="SAE17" s="37"/>
      <c r="SAF17" s="37"/>
      <c r="SAG17" s="37"/>
      <c r="SAH17" s="37"/>
      <c r="SAI17" s="37"/>
      <c r="SAJ17" s="37"/>
      <c r="SAK17" s="37"/>
      <c r="SAL17" s="37"/>
      <c r="SAM17" s="37"/>
      <c r="SAN17" s="37"/>
      <c r="SAO17" s="37"/>
      <c r="SAP17" s="37"/>
      <c r="SAQ17" s="37"/>
      <c r="SAR17" s="37"/>
      <c r="SAS17" s="37"/>
      <c r="SAT17" s="37"/>
      <c r="SAU17" s="37"/>
      <c r="SAV17" s="37"/>
      <c r="SAW17" s="37"/>
      <c r="SAX17" s="37"/>
      <c r="SAY17" s="37"/>
      <c r="SAZ17" s="37"/>
      <c r="SBA17" s="37"/>
      <c r="SBB17" s="37"/>
      <c r="SBC17" s="37"/>
      <c r="SBD17" s="37"/>
      <c r="SBE17" s="37"/>
      <c r="SBF17" s="37"/>
      <c r="SBG17" s="37"/>
      <c r="SBH17" s="37"/>
      <c r="SBI17" s="37"/>
      <c r="SBJ17" s="37"/>
      <c r="SBK17" s="37"/>
      <c r="SBL17" s="37"/>
      <c r="SBM17" s="37"/>
      <c r="SBN17" s="37"/>
      <c r="SBO17" s="37"/>
      <c r="SBP17" s="37"/>
      <c r="SBQ17" s="37"/>
      <c r="SBR17" s="37"/>
      <c r="SBS17" s="37"/>
      <c r="SBT17" s="37"/>
      <c r="SBU17" s="37"/>
      <c r="SBV17" s="37"/>
      <c r="SBW17" s="37"/>
      <c r="SBX17" s="37"/>
      <c r="SBY17" s="37"/>
      <c r="SBZ17" s="37"/>
      <c r="SCA17" s="37"/>
      <c r="SCB17" s="37"/>
      <c r="SCC17" s="37"/>
      <c r="SCD17" s="37"/>
      <c r="SCE17" s="37"/>
      <c r="SCF17" s="37"/>
      <c r="SCG17" s="37"/>
      <c r="SCH17" s="37"/>
      <c r="SCI17" s="37"/>
      <c r="SCJ17" s="37"/>
      <c r="SCK17" s="37"/>
      <c r="SCL17" s="37"/>
      <c r="SCM17" s="37"/>
      <c r="SCN17" s="37"/>
      <c r="SCO17" s="37"/>
      <c r="SCP17" s="37"/>
      <c r="SCQ17" s="37"/>
      <c r="SCR17" s="37"/>
      <c r="SCS17" s="37"/>
      <c r="SCT17" s="37"/>
      <c r="SCU17" s="37"/>
      <c r="SCV17" s="37"/>
      <c r="SCW17" s="37"/>
      <c r="SCX17" s="37"/>
      <c r="SCY17" s="37"/>
      <c r="SCZ17" s="37"/>
      <c r="SDA17" s="37"/>
      <c r="SDB17" s="37"/>
      <c r="SDC17" s="37"/>
      <c r="SDD17" s="37"/>
      <c r="SDE17" s="37"/>
      <c r="SDF17" s="37"/>
      <c r="SDG17" s="37"/>
      <c r="SDH17" s="37"/>
      <c r="SDI17" s="37"/>
      <c r="SDJ17" s="37"/>
      <c r="SDK17" s="37"/>
      <c r="SDL17" s="37"/>
      <c r="SDM17" s="37"/>
      <c r="SDN17" s="37"/>
      <c r="SDO17" s="37"/>
      <c r="SDP17" s="37"/>
      <c r="SDQ17" s="37"/>
      <c r="SDR17" s="37"/>
      <c r="SDS17" s="37"/>
      <c r="SDT17" s="37"/>
      <c r="SDU17" s="37"/>
      <c r="SDV17" s="37"/>
      <c r="SDW17" s="37"/>
      <c r="SDX17" s="37"/>
      <c r="SDY17" s="37"/>
      <c r="SDZ17" s="37"/>
      <c r="SEA17" s="37"/>
      <c r="SEB17" s="37"/>
      <c r="SEC17" s="37"/>
      <c r="SED17" s="37"/>
      <c r="SEE17" s="37"/>
      <c r="SEF17" s="37"/>
      <c r="SEG17" s="37"/>
      <c r="SEH17" s="37"/>
      <c r="SEI17" s="37"/>
      <c r="SEJ17" s="37"/>
      <c r="SEK17" s="37"/>
      <c r="SEL17" s="37"/>
      <c r="SEM17" s="37"/>
      <c r="SEN17" s="37"/>
      <c r="SEO17" s="37"/>
      <c r="SEP17" s="37"/>
      <c r="SEQ17" s="37"/>
      <c r="SER17" s="37"/>
      <c r="SES17" s="37"/>
      <c r="SET17" s="37"/>
      <c r="SEU17" s="37"/>
      <c r="SEV17" s="37"/>
      <c r="SEW17" s="37"/>
      <c r="SEX17" s="37"/>
      <c r="SEY17" s="37"/>
      <c r="SEZ17" s="37"/>
      <c r="SFA17" s="37"/>
      <c r="SFB17" s="37"/>
      <c r="SFC17" s="37"/>
      <c r="SFD17" s="37"/>
      <c r="SFE17" s="37"/>
      <c r="SFF17" s="37"/>
      <c r="SFG17" s="37"/>
      <c r="SFH17" s="37"/>
      <c r="SFI17" s="37"/>
      <c r="SFJ17" s="37"/>
      <c r="SFK17" s="37"/>
      <c r="SFL17" s="37"/>
      <c r="SFM17" s="37"/>
      <c r="SFN17" s="37"/>
      <c r="SFO17" s="37"/>
      <c r="SFP17" s="37"/>
      <c r="SFQ17" s="37"/>
      <c r="SFR17" s="37"/>
      <c r="SFS17" s="37"/>
      <c r="SFT17" s="37"/>
      <c r="SFU17" s="37"/>
      <c r="SFV17" s="37"/>
      <c r="SFW17" s="37"/>
      <c r="SFX17" s="37"/>
      <c r="SFY17" s="37"/>
      <c r="SFZ17" s="37"/>
      <c r="SGA17" s="37"/>
      <c r="SGB17" s="37"/>
      <c r="SGC17" s="37"/>
      <c r="SGD17" s="37"/>
      <c r="SGE17" s="37"/>
      <c r="SGF17" s="37"/>
      <c r="SGG17" s="37"/>
      <c r="SGH17" s="37"/>
      <c r="SGI17" s="37"/>
      <c r="SGJ17" s="37"/>
      <c r="SGK17" s="37"/>
      <c r="SGL17" s="37"/>
      <c r="SGM17" s="37"/>
      <c r="SGN17" s="37"/>
      <c r="SGO17" s="37"/>
      <c r="SGP17" s="37"/>
      <c r="SGQ17" s="37"/>
      <c r="SGR17" s="37"/>
      <c r="SGS17" s="37"/>
      <c r="SGT17" s="37"/>
      <c r="SGU17" s="37"/>
      <c r="SGV17" s="37"/>
      <c r="SGW17" s="37"/>
      <c r="SGX17" s="37"/>
      <c r="SGY17" s="37"/>
      <c r="SGZ17" s="37"/>
      <c r="SHA17" s="37"/>
      <c r="SHB17" s="37"/>
      <c r="SHC17" s="37"/>
      <c r="SHD17" s="37"/>
      <c r="SHE17" s="37"/>
      <c r="SHF17" s="37"/>
      <c r="SHG17" s="37"/>
      <c r="SHH17" s="37"/>
      <c r="SHI17" s="37"/>
      <c r="SHJ17" s="37"/>
      <c r="SHK17" s="37"/>
      <c r="SHL17" s="37"/>
      <c r="SHM17" s="37"/>
      <c r="SHN17" s="37"/>
      <c r="SHO17" s="37"/>
      <c r="SHP17" s="37"/>
      <c r="SHQ17" s="37"/>
      <c r="SHR17" s="37"/>
      <c r="SHS17" s="37"/>
      <c r="SHT17" s="37"/>
      <c r="SHU17" s="37"/>
      <c r="SHV17" s="37"/>
      <c r="SHW17" s="37"/>
      <c r="SHX17" s="37"/>
      <c r="SHY17" s="37"/>
      <c r="SHZ17" s="37"/>
      <c r="SIA17" s="37"/>
      <c r="SIB17" s="37"/>
      <c r="SIC17" s="37"/>
      <c r="SID17" s="37"/>
      <c r="SIE17" s="37"/>
      <c r="SIF17" s="37"/>
      <c r="SIG17" s="37"/>
      <c r="SIH17" s="37"/>
      <c r="SII17" s="37"/>
      <c r="SIJ17" s="37"/>
      <c r="SIK17" s="37"/>
      <c r="SIL17" s="37"/>
      <c r="SIM17" s="37"/>
      <c r="SIN17" s="37"/>
      <c r="SIO17" s="37"/>
      <c r="SIP17" s="37"/>
      <c r="SIQ17" s="37"/>
      <c r="SIR17" s="37"/>
      <c r="SIS17" s="37"/>
      <c r="SIT17" s="37"/>
      <c r="SIU17" s="37"/>
      <c r="SIV17" s="37"/>
      <c r="SIW17" s="37"/>
      <c r="SIX17" s="37"/>
      <c r="SIY17" s="37"/>
      <c r="SIZ17" s="37"/>
      <c r="SJA17" s="37"/>
      <c r="SJB17" s="37"/>
      <c r="SJC17" s="37"/>
      <c r="SJD17" s="37"/>
      <c r="SJE17" s="37"/>
      <c r="SJF17" s="37"/>
      <c r="SJG17" s="37"/>
      <c r="SJH17" s="37"/>
      <c r="SJI17" s="37"/>
      <c r="SJJ17" s="37"/>
      <c r="SJK17" s="37"/>
      <c r="SJL17" s="37"/>
      <c r="SJM17" s="37"/>
      <c r="SJN17" s="37"/>
      <c r="SJO17" s="37"/>
      <c r="SJP17" s="37"/>
      <c r="SJQ17" s="37"/>
      <c r="SJR17" s="37"/>
      <c r="SJS17" s="37"/>
      <c r="SJT17" s="37"/>
      <c r="SJU17" s="37"/>
      <c r="SJV17" s="37"/>
      <c r="SJW17" s="37"/>
      <c r="SJX17" s="37"/>
      <c r="SJY17" s="37"/>
      <c r="SJZ17" s="37"/>
      <c r="SKA17" s="37"/>
      <c r="SKB17" s="37"/>
      <c r="SKC17" s="37"/>
      <c r="SKD17" s="37"/>
      <c r="SKE17" s="37"/>
      <c r="SKF17" s="37"/>
      <c r="SKG17" s="37"/>
      <c r="SKH17" s="37"/>
      <c r="SKI17" s="37"/>
      <c r="SKJ17" s="37"/>
      <c r="SKK17" s="37"/>
      <c r="SKL17" s="37"/>
      <c r="SKM17" s="37"/>
      <c r="SKN17" s="37"/>
      <c r="SKO17" s="37"/>
      <c r="SKP17" s="37"/>
      <c r="SKQ17" s="37"/>
      <c r="SKR17" s="37"/>
      <c r="SKS17" s="37"/>
      <c r="SKT17" s="37"/>
      <c r="SKU17" s="37"/>
      <c r="SKV17" s="37"/>
      <c r="SKW17" s="37"/>
      <c r="SKX17" s="37"/>
      <c r="SKY17" s="37"/>
      <c r="SKZ17" s="37"/>
      <c r="SLA17" s="37"/>
      <c r="SLB17" s="37"/>
      <c r="SLC17" s="37"/>
      <c r="SLD17" s="37"/>
      <c r="SLE17" s="37"/>
      <c r="SLF17" s="37"/>
      <c r="SLG17" s="37"/>
      <c r="SLH17" s="37"/>
      <c r="SLI17" s="37"/>
      <c r="SLJ17" s="37"/>
      <c r="SLK17" s="37"/>
      <c r="SLL17" s="37"/>
      <c r="SLM17" s="37"/>
      <c r="SLN17" s="37"/>
      <c r="SLO17" s="37"/>
      <c r="SLP17" s="37"/>
      <c r="SLQ17" s="37"/>
      <c r="SLR17" s="37"/>
      <c r="SLS17" s="37"/>
      <c r="SLT17" s="37"/>
      <c r="SLU17" s="37"/>
      <c r="SLV17" s="37"/>
      <c r="SLW17" s="37"/>
      <c r="SLX17" s="37"/>
      <c r="SLY17" s="37"/>
      <c r="SLZ17" s="37"/>
      <c r="SMA17" s="37"/>
      <c r="SMB17" s="37"/>
      <c r="SMC17" s="37"/>
      <c r="SMD17" s="37"/>
      <c r="SME17" s="37"/>
      <c r="SMF17" s="37"/>
      <c r="SMG17" s="37"/>
      <c r="SMH17" s="37"/>
      <c r="SMI17" s="37"/>
      <c r="SMJ17" s="37"/>
      <c r="SMK17" s="37"/>
      <c r="SML17" s="37"/>
      <c r="SMM17" s="37"/>
      <c r="SMN17" s="37"/>
      <c r="SMO17" s="37"/>
      <c r="SMP17" s="37"/>
      <c r="SMQ17" s="37"/>
      <c r="SMR17" s="37"/>
      <c r="SMS17" s="37"/>
      <c r="SMT17" s="37"/>
      <c r="SMU17" s="37"/>
      <c r="SMV17" s="37"/>
      <c r="SMW17" s="37"/>
      <c r="SMX17" s="37"/>
      <c r="SMY17" s="37"/>
      <c r="SMZ17" s="37"/>
      <c r="SNA17" s="37"/>
      <c r="SNB17" s="37"/>
      <c r="SNC17" s="37"/>
      <c r="SND17" s="37"/>
      <c r="SNE17" s="37"/>
      <c r="SNF17" s="37"/>
      <c r="SNG17" s="37"/>
      <c r="SNH17" s="37"/>
      <c r="SNI17" s="37"/>
      <c r="SNJ17" s="37"/>
      <c r="SNK17" s="37"/>
      <c r="SNL17" s="37"/>
      <c r="SNM17" s="37"/>
      <c r="SNN17" s="37"/>
      <c r="SNO17" s="37"/>
      <c r="SNP17" s="37"/>
      <c r="SNQ17" s="37"/>
      <c r="SNR17" s="37"/>
      <c r="SNS17" s="37"/>
      <c r="SNT17" s="37"/>
      <c r="SNU17" s="37"/>
      <c r="SNV17" s="37"/>
      <c r="SNW17" s="37"/>
      <c r="SNX17" s="37"/>
      <c r="SNY17" s="37"/>
      <c r="SNZ17" s="37"/>
      <c r="SOA17" s="37"/>
      <c r="SOB17" s="37"/>
      <c r="SOC17" s="37"/>
      <c r="SOD17" s="37"/>
      <c r="SOE17" s="37"/>
      <c r="SOF17" s="37"/>
      <c r="SOG17" s="37"/>
      <c r="SOH17" s="37"/>
      <c r="SOI17" s="37"/>
      <c r="SOJ17" s="37"/>
      <c r="SOK17" s="37"/>
      <c r="SOL17" s="37"/>
      <c r="SOM17" s="37"/>
      <c r="SON17" s="37"/>
      <c r="SOO17" s="37"/>
      <c r="SOP17" s="37"/>
      <c r="SOQ17" s="37"/>
      <c r="SOR17" s="37"/>
      <c r="SOS17" s="37"/>
      <c r="SOT17" s="37"/>
      <c r="SOU17" s="37"/>
      <c r="SOV17" s="37"/>
      <c r="SOW17" s="37"/>
      <c r="SOX17" s="37"/>
      <c r="SOY17" s="37"/>
      <c r="SOZ17" s="37"/>
      <c r="SPA17" s="37"/>
      <c r="SPB17" s="37"/>
      <c r="SPC17" s="37"/>
      <c r="SPD17" s="37"/>
      <c r="SPE17" s="37"/>
      <c r="SPF17" s="37"/>
      <c r="SPG17" s="37"/>
      <c r="SPH17" s="37"/>
      <c r="SPI17" s="37"/>
      <c r="SPJ17" s="37"/>
      <c r="SPK17" s="37"/>
      <c r="SPL17" s="37"/>
      <c r="SPM17" s="37"/>
      <c r="SPN17" s="37"/>
      <c r="SPO17" s="37"/>
      <c r="SPP17" s="37"/>
      <c r="SPQ17" s="37"/>
      <c r="SPR17" s="37"/>
      <c r="SPS17" s="37"/>
      <c r="SPT17" s="37"/>
      <c r="SPU17" s="37"/>
      <c r="SPV17" s="37"/>
      <c r="SPW17" s="37"/>
      <c r="SPX17" s="37"/>
      <c r="SPY17" s="37"/>
      <c r="SPZ17" s="37"/>
      <c r="SQA17" s="37"/>
      <c r="SQB17" s="37"/>
      <c r="SQC17" s="37"/>
      <c r="SQD17" s="37"/>
      <c r="SQE17" s="37"/>
      <c r="SQF17" s="37"/>
      <c r="SQG17" s="37"/>
      <c r="SQH17" s="37"/>
      <c r="SQI17" s="37"/>
      <c r="SQJ17" s="37"/>
      <c r="SQK17" s="37"/>
      <c r="SQL17" s="37"/>
      <c r="SQM17" s="37"/>
      <c r="SQN17" s="37"/>
      <c r="SQO17" s="37"/>
      <c r="SQP17" s="37"/>
      <c r="SQQ17" s="37"/>
      <c r="SQR17" s="37"/>
      <c r="SQS17" s="37"/>
      <c r="SQT17" s="37"/>
      <c r="SQU17" s="37"/>
      <c r="SQV17" s="37"/>
      <c r="SQW17" s="37"/>
      <c r="SQX17" s="37"/>
      <c r="SQY17" s="37"/>
      <c r="SQZ17" s="37"/>
      <c r="SRA17" s="37"/>
      <c r="SRB17" s="37"/>
      <c r="SRC17" s="37"/>
      <c r="SRD17" s="37"/>
      <c r="SRE17" s="37"/>
      <c r="SRF17" s="37"/>
      <c r="SRG17" s="37"/>
      <c r="SRH17" s="37"/>
      <c r="SRI17" s="37"/>
      <c r="SRJ17" s="37"/>
      <c r="SRK17" s="37"/>
      <c r="SRL17" s="37"/>
      <c r="SRM17" s="37"/>
      <c r="SRN17" s="37"/>
      <c r="SRO17" s="37"/>
      <c r="SRP17" s="37"/>
      <c r="SRQ17" s="37"/>
      <c r="SRR17" s="37"/>
      <c r="SRS17" s="37"/>
      <c r="SRT17" s="37"/>
      <c r="SRU17" s="37"/>
      <c r="SRV17" s="37"/>
      <c r="SRW17" s="37"/>
      <c r="SRX17" s="37"/>
      <c r="SRY17" s="37"/>
      <c r="SRZ17" s="37"/>
      <c r="SSA17" s="37"/>
      <c r="SSB17" s="37"/>
      <c r="SSC17" s="37"/>
      <c r="SSD17" s="37"/>
      <c r="SSE17" s="37"/>
      <c r="SSF17" s="37"/>
      <c r="SSG17" s="37"/>
      <c r="SSH17" s="37"/>
      <c r="SSI17" s="37"/>
      <c r="SSJ17" s="37"/>
      <c r="SSK17" s="37"/>
      <c r="SSL17" s="37"/>
      <c r="SSM17" s="37"/>
      <c r="SSN17" s="37"/>
      <c r="SSO17" s="37"/>
      <c r="SSP17" s="37"/>
      <c r="SSQ17" s="37"/>
      <c r="SSR17" s="37"/>
      <c r="SSS17" s="37"/>
      <c r="SST17" s="37"/>
      <c r="SSU17" s="37"/>
      <c r="SSV17" s="37"/>
      <c r="SSW17" s="37"/>
      <c r="SSX17" s="37"/>
      <c r="SSY17" s="37"/>
      <c r="SSZ17" s="37"/>
      <c r="STA17" s="37"/>
      <c r="STB17" s="37"/>
      <c r="STC17" s="37"/>
      <c r="STD17" s="37"/>
      <c r="STE17" s="37"/>
      <c r="STF17" s="37"/>
      <c r="STG17" s="37"/>
      <c r="STH17" s="37"/>
      <c r="STI17" s="37"/>
      <c r="STJ17" s="37"/>
      <c r="STK17" s="37"/>
      <c r="STL17" s="37"/>
      <c r="STM17" s="37"/>
      <c r="STN17" s="37"/>
      <c r="STO17" s="37"/>
      <c r="STP17" s="37"/>
      <c r="STQ17" s="37"/>
      <c r="STR17" s="37"/>
      <c r="STS17" s="37"/>
      <c r="STT17" s="37"/>
      <c r="STU17" s="37"/>
      <c r="STV17" s="37"/>
      <c r="STW17" s="37"/>
      <c r="STX17" s="37"/>
      <c r="STY17" s="37"/>
      <c r="STZ17" s="37"/>
      <c r="SUA17" s="37"/>
      <c r="SUB17" s="37"/>
      <c r="SUC17" s="37"/>
      <c r="SUD17" s="37"/>
      <c r="SUE17" s="37"/>
      <c r="SUF17" s="37"/>
      <c r="SUG17" s="37"/>
      <c r="SUH17" s="37"/>
      <c r="SUI17" s="37"/>
      <c r="SUJ17" s="37"/>
      <c r="SUK17" s="37"/>
      <c r="SUL17" s="37"/>
      <c r="SUM17" s="37"/>
      <c r="SUN17" s="37"/>
      <c r="SUO17" s="37"/>
      <c r="SUP17" s="37"/>
      <c r="SUQ17" s="37"/>
      <c r="SUR17" s="37"/>
      <c r="SUS17" s="37"/>
      <c r="SUT17" s="37"/>
      <c r="SUU17" s="37"/>
      <c r="SUV17" s="37"/>
      <c r="SUW17" s="37"/>
      <c r="SUX17" s="37"/>
      <c r="SUY17" s="37"/>
      <c r="SUZ17" s="37"/>
      <c r="SVA17" s="37"/>
      <c r="SVB17" s="37"/>
      <c r="SVC17" s="37"/>
      <c r="SVD17" s="37"/>
      <c r="SVE17" s="37"/>
      <c r="SVF17" s="37"/>
      <c r="SVG17" s="37"/>
      <c r="SVH17" s="37"/>
      <c r="SVI17" s="37"/>
      <c r="SVJ17" s="37"/>
      <c r="SVK17" s="37"/>
      <c r="SVL17" s="37"/>
      <c r="SVM17" s="37"/>
      <c r="SVN17" s="37"/>
      <c r="SVO17" s="37"/>
      <c r="SVP17" s="37"/>
      <c r="SVQ17" s="37"/>
      <c r="SVR17" s="37"/>
      <c r="SVS17" s="37"/>
      <c r="SVT17" s="37"/>
      <c r="SVU17" s="37"/>
      <c r="SVV17" s="37"/>
      <c r="SVW17" s="37"/>
      <c r="SVX17" s="37"/>
      <c r="SVY17" s="37"/>
      <c r="SVZ17" s="37"/>
      <c r="SWA17" s="37"/>
      <c r="SWB17" s="37"/>
      <c r="SWC17" s="37"/>
      <c r="SWD17" s="37"/>
      <c r="SWE17" s="37"/>
      <c r="SWF17" s="37"/>
      <c r="SWG17" s="37"/>
      <c r="SWH17" s="37"/>
      <c r="SWI17" s="37"/>
      <c r="SWJ17" s="37"/>
      <c r="SWK17" s="37"/>
      <c r="SWL17" s="37"/>
      <c r="SWM17" s="37"/>
      <c r="SWN17" s="37"/>
      <c r="SWO17" s="37"/>
      <c r="SWP17" s="37"/>
      <c r="SWQ17" s="37"/>
      <c r="SWR17" s="37"/>
      <c r="SWS17" s="37"/>
      <c r="SWT17" s="37"/>
      <c r="SWU17" s="37"/>
      <c r="SWV17" s="37"/>
      <c r="SWW17" s="37"/>
      <c r="SWX17" s="37"/>
      <c r="SWY17" s="37"/>
      <c r="SWZ17" s="37"/>
      <c r="SXA17" s="37"/>
      <c r="SXB17" s="37"/>
      <c r="SXC17" s="37"/>
      <c r="SXD17" s="37"/>
      <c r="SXE17" s="37"/>
      <c r="SXF17" s="37"/>
      <c r="SXG17" s="37"/>
      <c r="SXH17" s="37"/>
      <c r="SXI17" s="37"/>
      <c r="SXJ17" s="37"/>
      <c r="SXK17" s="37"/>
      <c r="SXL17" s="37"/>
      <c r="SXM17" s="37"/>
      <c r="SXN17" s="37"/>
      <c r="SXO17" s="37"/>
      <c r="SXP17" s="37"/>
      <c r="SXQ17" s="37"/>
      <c r="SXR17" s="37"/>
      <c r="SXS17" s="37"/>
      <c r="SXT17" s="37"/>
      <c r="SXU17" s="37"/>
      <c r="SXV17" s="37"/>
      <c r="SXW17" s="37"/>
      <c r="SXX17" s="37"/>
      <c r="SXY17" s="37"/>
      <c r="SXZ17" s="37"/>
      <c r="SYA17" s="37"/>
      <c r="SYB17" s="37"/>
      <c r="SYC17" s="37"/>
      <c r="SYD17" s="37"/>
      <c r="SYE17" s="37"/>
      <c r="SYF17" s="37"/>
      <c r="SYG17" s="37"/>
      <c r="SYH17" s="37"/>
      <c r="SYI17" s="37"/>
      <c r="SYJ17" s="37"/>
      <c r="SYK17" s="37"/>
      <c r="SYL17" s="37"/>
      <c r="SYM17" s="37"/>
      <c r="SYN17" s="37"/>
      <c r="SYO17" s="37"/>
      <c r="SYP17" s="37"/>
      <c r="SYQ17" s="37"/>
      <c r="SYR17" s="37"/>
      <c r="SYS17" s="37"/>
      <c r="SYT17" s="37"/>
      <c r="SYU17" s="37"/>
      <c r="SYV17" s="37"/>
      <c r="SYW17" s="37"/>
      <c r="SYX17" s="37"/>
      <c r="SYY17" s="37"/>
      <c r="SYZ17" s="37"/>
      <c r="SZA17" s="37"/>
      <c r="SZB17" s="37"/>
      <c r="SZC17" s="37"/>
      <c r="SZD17" s="37"/>
      <c r="SZE17" s="37"/>
      <c r="SZF17" s="37"/>
      <c r="SZG17" s="37"/>
      <c r="SZH17" s="37"/>
      <c r="SZI17" s="37"/>
      <c r="SZJ17" s="37"/>
      <c r="SZK17" s="37"/>
      <c r="SZL17" s="37"/>
      <c r="SZM17" s="37"/>
      <c r="SZN17" s="37"/>
      <c r="SZO17" s="37"/>
      <c r="SZP17" s="37"/>
      <c r="SZQ17" s="37"/>
      <c r="SZR17" s="37"/>
      <c r="SZS17" s="37"/>
      <c r="SZT17" s="37"/>
      <c r="SZU17" s="37"/>
      <c r="SZV17" s="37"/>
      <c r="SZW17" s="37"/>
      <c r="SZX17" s="37"/>
      <c r="SZY17" s="37"/>
      <c r="SZZ17" s="37"/>
      <c r="TAA17" s="37"/>
      <c r="TAB17" s="37"/>
      <c r="TAC17" s="37"/>
      <c r="TAD17" s="37"/>
      <c r="TAE17" s="37"/>
      <c r="TAF17" s="37"/>
      <c r="TAG17" s="37"/>
      <c r="TAH17" s="37"/>
      <c r="TAI17" s="37"/>
      <c r="TAJ17" s="37"/>
      <c r="TAK17" s="37"/>
      <c r="TAL17" s="37"/>
      <c r="TAM17" s="37"/>
      <c r="TAN17" s="37"/>
      <c r="TAO17" s="37"/>
      <c r="TAP17" s="37"/>
      <c r="TAQ17" s="37"/>
      <c r="TAR17" s="37"/>
      <c r="TAS17" s="37"/>
      <c r="TAT17" s="37"/>
      <c r="TAU17" s="37"/>
      <c r="TAV17" s="37"/>
      <c r="TAW17" s="37"/>
      <c r="TAX17" s="37"/>
      <c r="TAY17" s="37"/>
      <c r="TAZ17" s="37"/>
      <c r="TBA17" s="37"/>
      <c r="TBB17" s="37"/>
      <c r="TBC17" s="37"/>
      <c r="TBD17" s="37"/>
      <c r="TBE17" s="37"/>
      <c r="TBF17" s="37"/>
      <c r="TBG17" s="37"/>
      <c r="TBH17" s="37"/>
      <c r="TBI17" s="37"/>
      <c r="TBJ17" s="37"/>
      <c r="TBK17" s="37"/>
      <c r="TBL17" s="37"/>
      <c r="TBM17" s="37"/>
      <c r="TBN17" s="37"/>
      <c r="TBO17" s="37"/>
      <c r="TBP17" s="37"/>
      <c r="TBQ17" s="37"/>
      <c r="TBR17" s="37"/>
      <c r="TBS17" s="37"/>
      <c r="TBT17" s="37"/>
      <c r="TBU17" s="37"/>
      <c r="TBV17" s="37"/>
      <c r="TBW17" s="37"/>
      <c r="TBX17" s="37"/>
      <c r="TBY17" s="37"/>
      <c r="TBZ17" s="37"/>
      <c r="TCA17" s="37"/>
      <c r="TCB17" s="37"/>
      <c r="TCC17" s="37"/>
      <c r="TCD17" s="37"/>
      <c r="TCE17" s="37"/>
      <c r="TCF17" s="37"/>
      <c r="TCG17" s="37"/>
      <c r="TCH17" s="37"/>
      <c r="TCI17" s="37"/>
      <c r="TCJ17" s="37"/>
      <c r="TCK17" s="37"/>
      <c r="TCL17" s="37"/>
      <c r="TCM17" s="37"/>
      <c r="TCN17" s="37"/>
      <c r="TCO17" s="37"/>
      <c r="TCP17" s="37"/>
      <c r="TCQ17" s="37"/>
      <c r="TCR17" s="37"/>
      <c r="TCS17" s="37"/>
      <c r="TCT17" s="37"/>
      <c r="TCU17" s="37"/>
      <c r="TCV17" s="37"/>
      <c r="TCW17" s="37"/>
      <c r="TCX17" s="37"/>
      <c r="TCY17" s="37"/>
      <c r="TCZ17" s="37"/>
      <c r="TDA17" s="37"/>
      <c r="TDB17" s="37"/>
      <c r="TDC17" s="37"/>
      <c r="TDD17" s="37"/>
      <c r="TDE17" s="37"/>
      <c r="TDF17" s="37"/>
      <c r="TDG17" s="37"/>
      <c r="TDH17" s="37"/>
      <c r="TDI17" s="37"/>
      <c r="TDJ17" s="37"/>
      <c r="TDK17" s="37"/>
      <c r="TDL17" s="37"/>
      <c r="TDM17" s="37"/>
      <c r="TDN17" s="37"/>
      <c r="TDO17" s="37"/>
      <c r="TDP17" s="37"/>
      <c r="TDQ17" s="37"/>
      <c r="TDR17" s="37"/>
      <c r="TDS17" s="37"/>
      <c r="TDT17" s="37"/>
      <c r="TDU17" s="37"/>
      <c r="TDV17" s="37"/>
      <c r="TDW17" s="37"/>
      <c r="TDX17" s="37"/>
      <c r="TDY17" s="37"/>
      <c r="TDZ17" s="37"/>
      <c r="TEA17" s="37"/>
      <c r="TEB17" s="37"/>
      <c r="TEC17" s="37"/>
      <c r="TED17" s="37"/>
      <c r="TEE17" s="37"/>
      <c r="TEF17" s="37"/>
      <c r="TEG17" s="37"/>
      <c r="TEH17" s="37"/>
      <c r="TEI17" s="37"/>
      <c r="TEJ17" s="37"/>
      <c r="TEK17" s="37"/>
      <c r="TEL17" s="37"/>
      <c r="TEM17" s="37"/>
      <c r="TEN17" s="37"/>
      <c r="TEO17" s="37"/>
      <c r="TEP17" s="37"/>
      <c r="TEQ17" s="37"/>
      <c r="TER17" s="37"/>
      <c r="TES17" s="37"/>
      <c r="TET17" s="37"/>
      <c r="TEU17" s="37"/>
      <c r="TEV17" s="37"/>
      <c r="TEW17" s="37"/>
      <c r="TEX17" s="37"/>
      <c r="TEY17" s="37"/>
      <c r="TEZ17" s="37"/>
      <c r="TFA17" s="37"/>
      <c r="TFB17" s="37"/>
      <c r="TFC17" s="37"/>
      <c r="TFD17" s="37"/>
      <c r="TFE17" s="37"/>
      <c r="TFF17" s="37"/>
      <c r="TFG17" s="37"/>
      <c r="TFH17" s="37"/>
      <c r="TFI17" s="37"/>
      <c r="TFJ17" s="37"/>
      <c r="TFK17" s="37"/>
      <c r="TFL17" s="37"/>
      <c r="TFM17" s="37"/>
      <c r="TFN17" s="37"/>
      <c r="TFO17" s="37"/>
      <c r="TFP17" s="37"/>
      <c r="TFQ17" s="37"/>
      <c r="TFR17" s="37"/>
      <c r="TFS17" s="37"/>
      <c r="TFT17" s="37"/>
      <c r="TFU17" s="37"/>
      <c r="TFV17" s="37"/>
      <c r="TFW17" s="37"/>
      <c r="TFX17" s="37"/>
      <c r="TFY17" s="37"/>
      <c r="TFZ17" s="37"/>
      <c r="TGA17" s="37"/>
      <c r="TGB17" s="37"/>
      <c r="TGC17" s="37"/>
      <c r="TGD17" s="37"/>
      <c r="TGE17" s="37"/>
      <c r="TGF17" s="37"/>
      <c r="TGG17" s="37"/>
      <c r="TGH17" s="37"/>
      <c r="TGI17" s="37"/>
      <c r="TGJ17" s="37"/>
      <c r="TGK17" s="37"/>
      <c r="TGL17" s="37"/>
      <c r="TGM17" s="37"/>
      <c r="TGN17" s="37"/>
      <c r="TGO17" s="37"/>
      <c r="TGP17" s="37"/>
      <c r="TGQ17" s="37"/>
      <c r="TGR17" s="37"/>
      <c r="TGS17" s="37"/>
      <c r="TGT17" s="37"/>
      <c r="TGU17" s="37"/>
      <c r="TGV17" s="37"/>
      <c r="TGW17" s="37"/>
      <c r="TGX17" s="37"/>
      <c r="TGY17" s="37"/>
      <c r="TGZ17" s="37"/>
      <c r="THA17" s="37"/>
      <c r="THB17" s="37"/>
      <c r="THC17" s="37"/>
      <c r="THD17" s="37"/>
      <c r="THE17" s="37"/>
      <c r="THF17" s="37"/>
      <c r="THG17" s="37"/>
      <c r="THH17" s="37"/>
      <c r="THI17" s="37"/>
      <c r="THJ17" s="37"/>
      <c r="THK17" s="37"/>
      <c r="THL17" s="37"/>
      <c r="THM17" s="37"/>
      <c r="THN17" s="37"/>
      <c r="THO17" s="37"/>
      <c r="THP17" s="37"/>
      <c r="THQ17" s="37"/>
      <c r="THR17" s="37"/>
      <c r="THS17" s="37"/>
      <c r="THT17" s="37"/>
      <c r="THU17" s="37"/>
      <c r="THV17" s="37"/>
      <c r="THW17" s="37"/>
      <c r="THX17" s="37"/>
      <c r="THY17" s="37"/>
      <c r="THZ17" s="37"/>
      <c r="TIA17" s="37"/>
      <c r="TIB17" s="37"/>
      <c r="TIC17" s="37"/>
      <c r="TID17" s="37"/>
      <c r="TIE17" s="37"/>
      <c r="TIF17" s="37"/>
      <c r="TIG17" s="37"/>
      <c r="TIH17" s="37"/>
      <c r="TII17" s="37"/>
      <c r="TIJ17" s="37"/>
      <c r="TIK17" s="37"/>
      <c r="TIL17" s="37"/>
      <c r="TIM17" s="37"/>
      <c r="TIN17" s="37"/>
      <c r="TIO17" s="37"/>
      <c r="TIP17" s="37"/>
      <c r="TIQ17" s="37"/>
      <c r="TIR17" s="37"/>
      <c r="TIS17" s="37"/>
      <c r="TIT17" s="37"/>
      <c r="TIU17" s="37"/>
      <c r="TIV17" s="37"/>
      <c r="TIW17" s="37"/>
      <c r="TIX17" s="37"/>
      <c r="TIY17" s="37"/>
      <c r="TIZ17" s="37"/>
      <c r="TJA17" s="37"/>
      <c r="TJB17" s="37"/>
      <c r="TJC17" s="37"/>
      <c r="TJD17" s="37"/>
      <c r="TJE17" s="37"/>
      <c r="TJF17" s="37"/>
      <c r="TJG17" s="37"/>
      <c r="TJH17" s="37"/>
      <c r="TJI17" s="37"/>
      <c r="TJJ17" s="37"/>
      <c r="TJK17" s="37"/>
      <c r="TJL17" s="37"/>
      <c r="TJM17" s="37"/>
      <c r="TJN17" s="37"/>
      <c r="TJO17" s="37"/>
      <c r="TJP17" s="37"/>
      <c r="TJQ17" s="37"/>
      <c r="TJR17" s="37"/>
      <c r="TJS17" s="37"/>
      <c r="TJT17" s="37"/>
      <c r="TJU17" s="37"/>
      <c r="TJV17" s="37"/>
      <c r="TJW17" s="37"/>
      <c r="TJX17" s="37"/>
      <c r="TJY17" s="37"/>
      <c r="TJZ17" s="37"/>
      <c r="TKA17" s="37"/>
      <c r="TKB17" s="37"/>
      <c r="TKC17" s="37"/>
      <c r="TKD17" s="37"/>
      <c r="TKE17" s="37"/>
      <c r="TKF17" s="37"/>
      <c r="TKG17" s="37"/>
      <c r="TKH17" s="37"/>
      <c r="TKI17" s="37"/>
      <c r="TKJ17" s="37"/>
      <c r="TKK17" s="37"/>
      <c r="TKL17" s="37"/>
      <c r="TKM17" s="37"/>
      <c r="TKN17" s="37"/>
      <c r="TKO17" s="37"/>
      <c r="TKP17" s="37"/>
      <c r="TKQ17" s="37"/>
      <c r="TKR17" s="37"/>
      <c r="TKS17" s="37"/>
      <c r="TKT17" s="37"/>
      <c r="TKU17" s="37"/>
      <c r="TKV17" s="37"/>
      <c r="TKW17" s="37"/>
      <c r="TKX17" s="37"/>
      <c r="TKY17" s="37"/>
      <c r="TKZ17" s="37"/>
      <c r="TLA17" s="37"/>
      <c r="TLB17" s="37"/>
      <c r="TLC17" s="37"/>
      <c r="TLD17" s="37"/>
      <c r="TLE17" s="37"/>
      <c r="TLF17" s="37"/>
      <c r="TLG17" s="37"/>
      <c r="TLH17" s="37"/>
      <c r="TLI17" s="37"/>
      <c r="TLJ17" s="37"/>
      <c r="TLK17" s="37"/>
      <c r="TLL17" s="37"/>
      <c r="TLM17" s="37"/>
      <c r="TLN17" s="37"/>
      <c r="TLO17" s="37"/>
      <c r="TLP17" s="37"/>
      <c r="TLQ17" s="37"/>
      <c r="TLR17" s="37"/>
      <c r="TLS17" s="37"/>
      <c r="TLT17" s="37"/>
      <c r="TLU17" s="37"/>
      <c r="TLV17" s="37"/>
      <c r="TLW17" s="37"/>
      <c r="TLX17" s="37"/>
      <c r="TLY17" s="37"/>
      <c r="TLZ17" s="37"/>
      <c r="TMA17" s="37"/>
      <c r="TMB17" s="37"/>
      <c r="TMC17" s="37"/>
      <c r="TMD17" s="37"/>
      <c r="TME17" s="37"/>
      <c r="TMF17" s="37"/>
      <c r="TMG17" s="37"/>
      <c r="TMH17" s="37"/>
      <c r="TMI17" s="37"/>
      <c r="TMJ17" s="37"/>
      <c r="TMK17" s="37"/>
      <c r="TML17" s="37"/>
      <c r="TMM17" s="37"/>
      <c r="TMN17" s="37"/>
      <c r="TMO17" s="37"/>
      <c r="TMP17" s="37"/>
      <c r="TMQ17" s="37"/>
      <c r="TMR17" s="37"/>
      <c r="TMS17" s="37"/>
      <c r="TMT17" s="37"/>
      <c r="TMU17" s="37"/>
      <c r="TMV17" s="37"/>
      <c r="TMW17" s="37"/>
      <c r="TMX17" s="37"/>
      <c r="TMY17" s="37"/>
      <c r="TMZ17" s="37"/>
      <c r="TNA17" s="37"/>
      <c r="TNB17" s="37"/>
      <c r="TNC17" s="37"/>
      <c r="TND17" s="37"/>
      <c r="TNE17" s="37"/>
      <c r="TNF17" s="37"/>
      <c r="TNG17" s="37"/>
      <c r="TNH17" s="37"/>
      <c r="TNI17" s="37"/>
      <c r="TNJ17" s="37"/>
      <c r="TNK17" s="37"/>
      <c r="TNL17" s="37"/>
      <c r="TNM17" s="37"/>
      <c r="TNN17" s="37"/>
      <c r="TNO17" s="37"/>
      <c r="TNP17" s="37"/>
      <c r="TNQ17" s="37"/>
      <c r="TNR17" s="37"/>
      <c r="TNS17" s="37"/>
      <c r="TNT17" s="37"/>
      <c r="TNU17" s="37"/>
      <c r="TNV17" s="37"/>
      <c r="TNW17" s="37"/>
      <c r="TNX17" s="37"/>
      <c r="TNY17" s="37"/>
      <c r="TNZ17" s="37"/>
      <c r="TOA17" s="37"/>
      <c r="TOB17" s="37"/>
      <c r="TOC17" s="37"/>
      <c r="TOD17" s="37"/>
      <c r="TOE17" s="37"/>
      <c r="TOF17" s="37"/>
      <c r="TOG17" s="37"/>
      <c r="TOH17" s="37"/>
      <c r="TOI17" s="37"/>
      <c r="TOJ17" s="37"/>
      <c r="TOK17" s="37"/>
      <c r="TOL17" s="37"/>
      <c r="TOM17" s="37"/>
      <c r="TON17" s="37"/>
      <c r="TOO17" s="37"/>
      <c r="TOP17" s="37"/>
      <c r="TOQ17" s="37"/>
      <c r="TOR17" s="37"/>
      <c r="TOS17" s="37"/>
      <c r="TOT17" s="37"/>
      <c r="TOU17" s="37"/>
      <c r="TOV17" s="37"/>
      <c r="TOW17" s="37"/>
      <c r="TOX17" s="37"/>
      <c r="TOY17" s="37"/>
      <c r="TOZ17" s="37"/>
      <c r="TPA17" s="37"/>
      <c r="TPB17" s="37"/>
      <c r="TPC17" s="37"/>
      <c r="TPD17" s="37"/>
      <c r="TPE17" s="37"/>
      <c r="TPF17" s="37"/>
      <c r="TPG17" s="37"/>
      <c r="TPH17" s="37"/>
      <c r="TPI17" s="37"/>
      <c r="TPJ17" s="37"/>
      <c r="TPK17" s="37"/>
      <c r="TPL17" s="37"/>
      <c r="TPM17" s="37"/>
      <c r="TPN17" s="37"/>
      <c r="TPO17" s="37"/>
      <c r="TPP17" s="37"/>
      <c r="TPQ17" s="37"/>
      <c r="TPR17" s="37"/>
      <c r="TPS17" s="37"/>
      <c r="TPT17" s="37"/>
      <c r="TPU17" s="37"/>
      <c r="TPV17" s="37"/>
      <c r="TPW17" s="37"/>
      <c r="TPX17" s="37"/>
      <c r="TPY17" s="37"/>
      <c r="TPZ17" s="37"/>
      <c r="TQA17" s="37"/>
      <c r="TQB17" s="37"/>
      <c r="TQC17" s="37"/>
      <c r="TQD17" s="37"/>
      <c r="TQE17" s="37"/>
      <c r="TQF17" s="37"/>
      <c r="TQG17" s="37"/>
      <c r="TQH17" s="37"/>
      <c r="TQI17" s="37"/>
      <c r="TQJ17" s="37"/>
      <c r="TQK17" s="37"/>
      <c r="TQL17" s="37"/>
      <c r="TQM17" s="37"/>
      <c r="TQN17" s="37"/>
      <c r="TQO17" s="37"/>
      <c r="TQP17" s="37"/>
      <c r="TQQ17" s="37"/>
      <c r="TQR17" s="37"/>
      <c r="TQS17" s="37"/>
      <c r="TQT17" s="37"/>
      <c r="TQU17" s="37"/>
      <c r="TQV17" s="37"/>
      <c r="TQW17" s="37"/>
      <c r="TQX17" s="37"/>
      <c r="TQY17" s="37"/>
      <c r="TQZ17" s="37"/>
      <c r="TRA17" s="37"/>
      <c r="TRB17" s="37"/>
      <c r="TRC17" s="37"/>
      <c r="TRD17" s="37"/>
      <c r="TRE17" s="37"/>
      <c r="TRF17" s="37"/>
      <c r="TRG17" s="37"/>
      <c r="TRH17" s="37"/>
      <c r="TRI17" s="37"/>
      <c r="TRJ17" s="37"/>
      <c r="TRK17" s="37"/>
      <c r="TRL17" s="37"/>
      <c r="TRM17" s="37"/>
      <c r="TRN17" s="37"/>
      <c r="TRO17" s="37"/>
      <c r="TRP17" s="37"/>
      <c r="TRQ17" s="37"/>
      <c r="TRR17" s="37"/>
      <c r="TRS17" s="37"/>
      <c r="TRT17" s="37"/>
      <c r="TRU17" s="37"/>
      <c r="TRV17" s="37"/>
      <c r="TRW17" s="37"/>
      <c r="TRX17" s="37"/>
      <c r="TRY17" s="37"/>
      <c r="TRZ17" s="37"/>
      <c r="TSA17" s="37"/>
      <c r="TSB17" s="37"/>
      <c r="TSC17" s="37"/>
      <c r="TSD17" s="37"/>
      <c r="TSE17" s="37"/>
      <c r="TSF17" s="37"/>
      <c r="TSG17" s="37"/>
      <c r="TSH17" s="37"/>
      <c r="TSI17" s="37"/>
      <c r="TSJ17" s="37"/>
      <c r="TSK17" s="37"/>
      <c r="TSL17" s="37"/>
      <c r="TSM17" s="37"/>
      <c r="TSN17" s="37"/>
      <c r="TSO17" s="37"/>
      <c r="TSP17" s="37"/>
      <c r="TSQ17" s="37"/>
      <c r="TSR17" s="37"/>
      <c r="TSS17" s="37"/>
      <c r="TST17" s="37"/>
      <c r="TSU17" s="37"/>
      <c r="TSV17" s="37"/>
      <c r="TSW17" s="37"/>
      <c r="TSX17" s="37"/>
      <c r="TSY17" s="37"/>
      <c r="TSZ17" s="37"/>
      <c r="TTA17" s="37"/>
      <c r="TTB17" s="37"/>
      <c r="TTC17" s="37"/>
      <c r="TTD17" s="37"/>
      <c r="TTE17" s="37"/>
      <c r="TTF17" s="37"/>
      <c r="TTG17" s="37"/>
      <c r="TTH17" s="37"/>
      <c r="TTI17" s="37"/>
      <c r="TTJ17" s="37"/>
      <c r="TTK17" s="37"/>
      <c r="TTL17" s="37"/>
      <c r="TTM17" s="37"/>
      <c r="TTN17" s="37"/>
      <c r="TTO17" s="37"/>
      <c r="TTP17" s="37"/>
      <c r="TTQ17" s="37"/>
      <c r="TTR17" s="37"/>
      <c r="TTS17" s="37"/>
      <c r="TTT17" s="37"/>
      <c r="TTU17" s="37"/>
      <c r="TTV17" s="37"/>
      <c r="TTW17" s="37"/>
      <c r="TTX17" s="37"/>
      <c r="TTY17" s="37"/>
      <c r="TTZ17" s="37"/>
      <c r="TUA17" s="37"/>
      <c r="TUB17" s="37"/>
      <c r="TUC17" s="37"/>
      <c r="TUD17" s="37"/>
      <c r="TUE17" s="37"/>
      <c r="TUF17" s="37"/>
      <c r="TUG17" s="37"/>
      <c r="TUH17" s="37"/>
      <c r="TUI17" s="37"/>
      <c r="TUJ17" s="37"/>
      <c r="TUK17" s="37"/>
      <c r="TUL17" s="37"/>
      <c r="TUM17" s="37"/>
      <c r="TUN17" s="37"/>
      <c r="TUO17" s="37"/>
      <c r="TUP17" s="37"/>
      <c r="TUQ17" s="37"/>
      <c r="TUR17" s="37"/>
      <c r="TUS17" s="37"/>
      <c r="TUT17" s="37"/>
      <c r="TUU17" s="37"/>
      <c r="TUV17" s="37"/>
      <c r="TUW17" s="37"/>
      <c r="TUX17" s="37"/>
      <c r="TUY17" s="37"/>
      <c r="TUZ17" s="37"/>
      <c r="TVA17" s="37"/>
      <c r="TVB17" s="37"/>
      <c r="TVC17" s="37"/>
      <c r="TVD17" s="37"/>
      <c r="TVE17" s="37"/>
      <c r="TVF17" s="37"/>
      <c r="TVG17" s="37"/>
      <c r="TVH17" s="37"/>
      <c r="TVI17" s="37"/>
      <c r="TVJ17" s="37"/>
      <c r="TVK17" s="37"/>
      <c r="TVL17" s="37"/>
      <c r="TVM17" s="37"/>
      <c r="TVN17" s="37"/>
      <c r="TVO17" s="37"/>
      <c r="TVP17" s="37"/>
      <c r="TVQ17" s="37"/>
      <c r="TVR17" s="37"/>
      <c r="TVS17" s="37"/>
      <c r="TVT17" s="37"/>
      <c r="TVU17" s="37"/>
      <c r="TVV17" s="37"/>
      <c r="TVW17" s="37"/>
      <c r="TVX17" s="37"/>
      <c r="TVY17" s="37"/>
      <c r="TVZ17" s="37"/>
      <c r="TWA17" s="37"/>
      <c r="TWB17" s="37"/>
      <c r="TWC17" s="37"/>
      <c r="TWD17" s="37"/>
      <c r="TWE17" s="37"/>
      <c r="TWF17" s="37"/>
      <c r="TWG17" s="37"/>
      <c r="TWH17" s="37"/>
      <c r="TWI17" s="37"/>
      <c r="TWJ17" s="37"/>
      <c r="TWK17" s="37"/>
      <c r="TWL17" s="37"/>
      <c r="TWM17" s="37"/>
      <c r="TWN17" s="37"/>
      <c r="TWO17" s="37"/>
      <c r="TWP17" s="37"/>
      <c r="TWQ17" s="37"/>
      <c r="TWR17" s="37"/>
      <c r="TWS17" s="37"/>
      <c r="TWT17" s="37"/>
      <c r="TWU17" s="37"/>
      <c r="TWV17" s="37"/>
      <c r="TWW17" s="37"/>
      <c r="TWX17" s="37"/>
      <c r="TWY17" s="37"/>
      <c r="TWZ17" s="37"/>
      <c r="TXA17" s="37"/>
      <c r="TXB17" s="37"/>
      <c r="TXC17" s="37"/>
      <c r="TXD17" s="37"/>
      <c r="TXE17" s="37"/>
      <c r="TXF17" s="37"/>
      <c r="TXG17" s="37"/>
      <c r="TXH17" s="37"/>
      <c r="TXI17" s="37"/>
      <c r="TXJ17" s="37"/>
      <c r="TXK17" s="37"/>
      <c r="TXL17" s="37"/>
      <c r="TXM17" s="37"/>
      <c r="TXN17" s="37"/>
      <c r="TXO17" s="37"/>
      <c r="TXP17" s="37"/>
      <c r="TXQ17" s="37"/>
      <c r="TXR17" s="37"/>
      <c r="TXS17" s="37"/>
      <c r="TXT17" s="37"/>
      <c r="TXU17" s="37"/>
      <c r="TXV17" s="37"/>
      <c r="TXW17" s="37"/>
      <c r="TXX17" s="37"/>
      <c r="TXY17" s="37"/>
      <c r="TXZ17" s="37"/>
      <c r="TYA17" s="37"/>
      <c r="TYB17" s="37"/>
      <c r="TYC17" s="37"/>
      <c r="TYD17" s="37"/>
      <c r="TYE17" s="37"/>
      <c r="TYF17" s="37"/>
      <c r="TYG17" s="37"/>
      <c r="TYH17" s="37"/>
      <c r="TYI17" s="37"/>
      <c r="TYJ17" s="37"/>
      <c r="TYK17" s="37"/>
      <c r="TYL17" s="37"/>
      <c r="TYM17" s="37"/>
      <c r="TYN17" s="37"/>
      <c r="TYO17" s="37"/>
      <c r="TYP17" s="37"/>
      <c r="TYQ17" s="37"/>
      <c r="TYR17" s="37"/>
      <c r="TYS17" s="37"/>
      <c r="TYT17" s="37"/>
      <c r="TYU17" s="37"/>
      <c r="TYV17" s="37"/>
      <c r="TYW17" s="37"/>
      <c r="TYX17" s="37"/>
      <c r="TYY17" s="37"/>
      <c r="TYZ17" s="37"/>
      <c r="TZA17" s="37"/>
      <c r="TZB17" s="37"/>
      <c r="TZC17" s="37"/>
      <c r="TZD17" s="37"/>
      <c r="TZE17" s="37"/>
      <c r="TZF17" s="37"/>
      <c r="TZG17" s="37"/>
      <c r="TZH17" s="37"/>
      <c r="TZI17" s="37"/>
      <c r="TZJ17" s="37"/>
      <c r="TZK17" s="37"/>
      <c r="TZL17" s="37"/>
      <c r="TZM17" s="37"/>
      <c r="TZN17" s="37"/>
      <c r="TZO17" s="37"/>
      <c r="TZP17" s="37"/>
      <c r="TZQ17" s="37"/>
      <c r="TZR17" s="37"/>
      <c r="TZS17" s="37"/>
      <c r="TZT17" s="37"/>
      <c r="TZU17" s="37"/>
      <c r="TZV17" s="37"/>
      <c r="TZW17" s="37"/>
      <c r="TZX17" s="37"/>
      <c r="TZY17" s="37"/>
      <c r="TZZ17" s="37"/>
      <c r="UAA17" s="37"/>
      <c r="UAB17" s="37"/>
      <c r="UAC17" s="37"/>
      <c r="UAD17" s="37"/>
      <c r="UAE17" s="37"/>
      <c r="UAF17" s="37"/>
      <c r="UAG17" s="37"/>
      <c r="UAH17" s="37"/>
      <c r="UAI17" s="37"/>
      <c r="UAJ17" s="37"/>
      <c r="UAK17" s="37"/>
      <c r="UAL17" s="37"/>
      <c r="UAM17" s="37"/>
      <c r="UAN17" s="37"/>
      <c r="UAO17" s="37"/>
      <c r="UAP17" s="37"/>
      <c r="UAQ17" s="37"/>
      <c r="UAR17" s="37"/>
      <c r="UAS17" s="37"/>
      <c r="UAT17" s="37"/>
      <c r="UAU17" s="37"/>
      <c r="UAV17" s="37"/>
      <c r="UAW17" s="37"/>
      <c r="UAX17" s="37"/>
      <c r="UAY17" s="37"/>
      <c r="UAZ17" s="37"/>
      <c r="UBA17" s="37"/>
      <c r="UBB17" s="37"/>
      <c r="UBC17" s="37"/>
      <c r="UBD17" s="37"/>
      <c r="UBE17" s="37"/>
      <c r="UBF17" s="37"/>
      <c r="UBG17" s="37"/>
      <c r="UBH17" s="37"/>
      <c r="UBI17" s="37"/>
      <c r="UBJ17" s="37"/>
      <c r="UBK17" s="37"/>
      <c r="UBL17" s="37"/>
      <c r="UBM17" s="37"/>
      <c r="UBN17" s="37"/>
      <c r="UBO17" s="37"/>
      <c r="UBP17" s="37"/>
      <c r="UBQ17" s="37"/>
      <c r="UBR17" s="37"/>
      <c r="UBS17" s="37"/>
      <c r="UBT17" s="37"/>
      <c r="UBU17" s="37"/>
      <c r="UBV17" s="37"/>
      <c r="UBW17" s="37"/>
      <c r="UBX17" s="37"/>
      <c r="UBY17" s="37"/>
      <c r="UBZ17" s="37"/>
      <c r="UCA17" s="37"/>
      <c r="UCB17" s="37"/>
      <c r="UCC17" s="37"/>
      <c r="UCD17" s="37"/>
      <c r="UCE17" s="37"/>
      <c r="UCF17" s="37"/>
      <c r="UCG17" s="37"/>
      <c r="UCH17" s="37"/>
      <c r="UCI17" s="37"/>
      <c r="UCJ17" s="37"/>
      <c r="UCK17" s="37"/>
      <c r="UCL17" s="37"/>
      <c r="UCM17" s="37"/>
      <c r="UCN17" s="37"/>
      <c r="UCO17" s="37"/>
      <c r="UCP17" s="37"/>
      <c r="UCQ17" s="37"/>
      <c r="UCR17" s="37"/>
      <c r="UCS17" s="37"/>
      <c r="UCT17" s="37"/>
      <c r="UCU17" s="37"/>
      <c r="UCV17" s="37"/>
      <c r="UCW17" s="37"/>
      <c r="UCX17" s="37"/>
      <c r="UCY17" s="37"/>
      <c r="UCZ17" s="37"/>
      <c r="UDA17" s="37"/>
      <c r="UDB17" s="37"/>
      <c r="UDC17" s="37"/>
      <c r="UDD17" s="37"/>
      <c r="UDE17" s="37"/>
      <c r="UDF17" s="37"/>
      <c r="UDG17" s="37"/>
      <c r="UDH17" s="37"/>
      <c r="UDI17" s="37"/>
      <c r="UDJ17" s="37"/>
      <c r="UDK17" s="37"/>
      <c r="UDL17" s="37"/>
      <c r="UDM17" s="37"/>
      <c r="UDN17" s="37"/>
      <c r="UDO17" s="37"/>
      <c r="UDP17" s="37"/>
      <c r="UDQ17" s="37"/>
      <c r="UDR17" s="37"/>
      <c r="UDS17" s="37"/>
      <c r="UDT17" s="37"/>
      <c r="UDU17" s="37"/>
      <c r="UDV17" s="37"/>
      <c r="UDW17" s="37"/>
      <c r="UDX17" s="37"/>
      <c r="UDY17" s="37"/>
      <c r="UDZ17" s="37"/>
      <c r="UEA17" s="37"/>
      <c r="UEB17" s="37"/>
      <c r="UEC17" s="37"/>
      <c r="UED17" s="37"/>
      <c r="UEE17" s="37"/>
      <c r="UEF17" s="37"/>
      <c r="UEG17" s="37"/>
      <c r="UEH17" s="37"/>
      <c r="UEI17" s="37"/>
      <c r="UEJ17" s="37"/>
      <c r="UEK17" s="37"/>
      <c r="UEL17" s="37"/>
      <c r="UEM17" s="37"/>
      <c r="UEN17" s="37"/>
      <c r="UEO17" s="37"/>
      <c r="UEP17" s="37"/>
      <c r="UEQ17" s="37"/>
      <c r="UER17" s="37"/>
      <c r="UES17" s="37"/>
      <c r="UET17" s="37"/>
      <c r="UEU17" s="37"/>
      <c r="UEV17" s="37"/>
      <c r="UEW17" s="37"/>
      <c r="UEX17" s="37"/>
      <c r="UEY17" s="37"/>
      <c r="UEZ17" s="37"/>
      <c r="UFA17" s="37"/>
      <c r="UFB17" s="37"/>
      <c r="UFC17" s="37"/>
      <c r="UFD17" s="37"/>
      <c r="UFE17" s="37"/>
      <c r="UFF17" s="37"/>
      <c r="UFG17" s="37"/>
      <c r="UFH17" s="37"/>
      <c r="UFI17" s="37"/>
      <c r="UFJ17" s="37"/>
      <c r="UFK17" s="37"/>
      <c r="UFL17" s="37"/>
      <c r="UFM17" s="37"/>
      <c r="UFN17" s="37"/>
      <c r="UFO17" s="37"/>
      <c r="UFP17" s="37"/>
      <c r="UFQ17" s="37"/>
      <c r="UFR17" s="37"/>
      <c r="UFS17" s="37"/>
      <c r="UFT17" s="37"/>
      <c r="UFU17" s="37"/>
      <c r="UFV17" s="37"/>
      <c r="UFW17" s="37"/>
      <c r="UFX17" s="37"/>
      <c r="UFY17" s="37"/>
      <c r="UFZ17" s="37"/>
      <c r="UGA17" s="37"/>
      <c r="UGB17" s="37"/>
      <c r="UGC17" s="37"/>
      <c r="UGD17" s="37"/>
      <c r="UGE17" s="37"/>
      <c r="UGF17" s="37"/>
      <c r="UGG17" s="37"/>
      <c r="UGH17" s="37"/>
      <c r="UGI17" s="37"/>
      <c r="UGJ17" s="37"/>
      <c r="UGK17" s="37"/>
      <c r="UGL17" s="37"/>
      <c r="UGM17" s="37"/>
      <c r="UGN17" s="37"/>
      <c r="UGO17" s="37"/>
      <c r="UGP17" s="37"/>
      <c r="UGQ17" s="37"/>
      <c r="UGR17" s="37"/>
      <c r="UGS17" s="37"/>
      <c r="UGT17" s="37"/>
      <c r="UGU17" s="37"/>
      <c r="UGV17" s="37"/>
      <c r="UGW17" s="37"/>
      <c r="UGX17" s="37"/>
      <c r="UGY17" s="37"/>
      <c r="UGZ17" s="37"/>
      <c r="UHA17" s="37"/>
      <c r="UHB17" s="37"/>
      <c r="UHC17" s="37"/>
      <c r="UHD17" s="37"/>
      <c r="UHE17" s="37"/>
      <c r="UHF17" s="37"/>
      <c r="UHG17" s="37"/>
      <c r="UHH17" s="37"/>
      <c r="UHI17" s="37"/>
      <c r="UHJ17" s="37"/>
      <c r="UHK17" s="37"/>
      <c r="UHL17" s="37"/>
      <c r="UHM17" s="37"/>
      <c r="UHN17" s="37"/>
      <c r="UHO17" s="37"/>
      <c r="UHP17" s="37"/>
      <c r="UHQ17" s="37"/>
      <c r="UHR17" s="37"/>
      <c r="UHS17" s="37"/>
      <c r="UHT17" s="37"/>
      <c r="UHU17" s="37"/>
      <c r="UHV17" s="37"/>
      <c r="UHW17" s="37"/>
      <c r="UHX17" s="37"/>
      <c r="UHY17" s="37"/>
      <c r="UHZ17" s="37"/>
      <c r="UIA17" s="37"/>
      <c r="UIB17" s="37"/>
      <c r="UIC17" s="37"/>
      <c r="UID17" s="37"/>
      <c r="UIE17" s="37"/>
      <c r="UIF17" s="37"/>
      <c r="UIG17" s="37"/>
      <c r="UIH17" s="37"/>
      <c r="UII17" s="37"/>
      <c r="UIJ17" s="37"/>
      <c r="UIK17" s="37"/>
      <c r="UIL17" s="37"/>
      <c r="UIM17" s="37"/>
      <c r="UIN17" s="37"/>
      <c r="UIO17" s="37"/>
      <c r="UIP17" s="37"/>
      <c r="UIQ17" s="37"/>
      <c r="UIR17" s="37"/>
      <c r="UIS17" s="37"/>
      <c r="UIT17" s="37"/>
      <c r="UIU17" s="37"/>
      <c r="UIV17" s="37"/>
      <c r="UIW17" s="37"/>
      <c r="UIX17" s="37"/>
      <c r="UIY17" s="37"/>
      <c r="UIZ17" s="37"/>
      <c r="UJA17" s="37"/>
      <c r="UJB17" s="37"/>
      <c r="UJC17" s="37"/>
      <c r="UJD17" s="37"/>
      <c r="UJE17" s="37"/>
      <c r="UJF17" s="37"/>
      <c r="UJG17" s="37"/>
      <c r="UJH17" s="37"/>
      <c r="UJI17" s="37"/>
      <c r="UJJ17" s="37"/>
      <c r="UJK17" s="37"/>
      <c r="UJL17" s="37"/>
      <c r="UJM17" s="37"/>
      <c r="UJN17" s="37"/>
      <c r="UJO17" s="37"/>
      <c r="UJP17" s="37"/>
      <c r="UJQ17" s="37"/>
      <c r="UJR17" s="37"/>
      <c r="UJS17" s="37"/>
      <c r="UJT17" s="37"/>
      <c r="UJU17" s="37"/>
      <c r="UJV17" s="37"/>
      <c r="UJW17" s="37"/>
      <c r="UJX17" s="37"/>
      <c r="UJY17" s="37"/>
      <c r="UJZ17" s="37"/>
      <c r="UKA17" s="37"/>
      <c r="UKB17" s="37"/>
      <c r="UKC17" s="37"/>
      <c r="UKD17" s="37"/>
      <c r="UKE17" s="37"/>
      <c r="UKF17" s="37"/>
      <c r="UKG17" s="37"/>
      <c r="UKH17" s="37"/>
      <c r="UKI17" s="37"/>
      <c r="UKJ17" s="37"/>
      <c r="UKK17" s="37"/>
      <c r="UKL17" s="37"/>
      <c r="UKM17" s="37"/>
      <c r="UKN17" s="37"/>
      <c r="UKO17" s="37"/>
      <c r="UKP17" s="37"/>
      <c r="UKQ17" s="37"/>
      <c r="UKR17" s="37"/>
      <c r="UKS17" s="37"/>
      <c r="UKT17" s="37"/>
      <c r="UKU17" s="37"/>
      <c r="UKV17" s="37"/>
      <c r="UKW17" s="37"/>
      <c r="UKX17" s="37"/>
      <c r="UKY17" s="37"/>
      <c r="UKZ17" s="37"/>
      <c r="ULA17" s="37"/>
      <c r="ULB17" s="37"/>
      <c r="ULC17" s="37"/>
      <c r="ULD17" s="37"/>
      <c r="ULE17" s="37"/>
      <c r="ULF17" s="37"/>
      <c r="ULG17" s="37"/>
      <c r="ULH17" s="37"/>
      <c r="ULI17" s="37"/>
      <c r="ULJ17" s="37"/>
      <c r="ULK17" s="37"/>
      <c r="ULL17" s="37"/>
      <c r="ULM17" s="37"/>
      <c r="ULN17" s="37"/>
      <c r="ULO17" s="37"/>
      <c r="ULP17" s="37"/>
      <c r="ULQ17" s="37"/>
      <c r="ULR17" s="37"/>
      <c r="ULS17" s="37"/>
      <c r="ULT17" s="37"/>
      <c r="ULU17" s="37"/>
      <c r="ULV17" s="37"/>
      <c r="ULW17" s="37"/>
      <c r="ULX17" s="37"/>
      <c r="ULY17" s="37"/>
      <c r="ULZ17" s="37"/>
      <c r="UMA17" s="37"/>
      <c r="UMB17" s="37"/>
      <c r="UMC17" s="37"/>
      <c r="UMD17" s="37"/>
      <c r="UME17" s="37"/>
      <c r="UMF17" s="37"/>
      <c r="UMG17" s="37"/>
      <c r="UMH17" s="37"/>
      <c r="UMI17" s="37"/>
      <c r="UMJ17" s="37"/>
      <c r="UMK17" s="37"/>
      <c r="UML17" s="37"/>
      <c r="UMM17" s="37"/>
      <c r="UMN17" s="37"/>
      <c r="UMO17" s="37"/>
      <c r="UMP17" s="37"/>
      <c r="UMQ17" s="37"/>
      <c r="UMR17" s="37"/>
      <c r="UMS17" s="37"/>
      <c r="UMT17" s="37"/>
      <c r="UMU17" s="37"/>
      <c r="UMV17" s="37"/>
      <c r="UMW17" s="37"/>
      <c r="UMX17" s="37"/>
      <c r="UMY17" s="37"/>
      <c r="UMZ17" s="37"/>
      <c r="UNA17" s="37"/>
      <c r="UNB17" s="37"/>
      <c r="UNC17" s="37"/>
      <c r="UND17" s="37"/>
      <c r="UNE17" s="37"/>
      <c r="UNF17" s="37"/>
      <c r="UNG17" s="37"/>
      <c r="UNH17" s="37"/>
      <c r="UNI17" s="37"/>
      <c r="UNJ17" s="37"/>
      <c r="UNK17" s="37"/>
      <c r="UNL17" s="37"/>
      <c r="UNM17" s="37"/>
      <c r="UNN17" s="37"/>
      <c r="UNO17" s="37"/>
      <c r="UNP17" s="37"/>
      <c r="UNQ17" s="37"/>
      <c r="UNR17" s="37"/>
      <c r="UNS17" s="37"/>
      <c r="UNT17" s="37"/>
      <c r="UNU17" s="37"/>
      <c r="UNV17" s="37"/>
      <c r="UNW17" s="37"/>
      <c r="UNX17" s="37"/>
      <c r="UNY17" s="37"/>
      <c r="UNZ17" s="37"/>
      <c r="UOA17" s="37"/>
      <c r="UOB17" s="37"/>
      <c r="UOC17" s="37"/>
      <c r="UOD17" s="37"/>
      <c r="UOE17" s="37"/>
      <c r="UOF17" s="37"/>
      <c r="UOG17" s="37"/>
      <c r="UOH17" s="37"/>
      <c r="UOI17" s="37"/>
      <c r="UOJ17" s="37"/>
      <c r="UOK17" s="37"/>
      <c r="UOL17" s="37"/>
      <c r="UOM17" s="37"/>
      <c r="UON17" s="37"/>
      <c r="UOO17" s="37"/>
      <c r="UOP17" s="37"/>
      <c r="UOQ17" s="37"/>
      <c r="UOR17" s="37"/>
      <c r="UOS17" s="37"/>
      <c r="UOT17" s="37"/>
      <c r="UOU17" s="37"/>
      <c r="UOV17" s="37"/>
      <c r="UOW17" s="37"/>
      <c r="UOX17" s="37"/>
      <c r="UOY17" s="37"/>
      <c r="UOZ17" s="37"/>
      <c r="UPA17" s="37"/>
      <c r="UPB17" s="37"/>
      <c r="UPC17" s="37"/>
      <c r="UPD17" s="37"/>
      <c r="UPE17" s="37"/>
      <c r="UPF17" s="37"/>
      <c r="UPG17" s="37"/>
      <c r="UPH17" s="37"/>
      <c r="UPI17" s="37"/>
      <c r="UPJ17" s="37"/>
      <c r="UPK17" s="37"/>
      <c r="UPL17" s="37"/>
      <c r="UPM17" s="37"/>
      <c r="UPN17" s="37"/>
      <c r="UPO17" s="37"/>
      <c r="UPP17" s="37"/>
      <c r="UPQ17" s="37"/>
      <c r="UPR17" s="37"/>
      <c r="UPS17" s="37"/>
      <c r="UPT17" s="37"/>
      <c r="UPU17" s="37"/>
      <c r="UPV17" s="37"/>
      <c r="UPW17" s="37"/>
      <c r="UPX17" s="37"/>
      <c r="UPY17" s="37"/>
      <c r="UPZ17" s="37"/>
      <c r="UQA17" s="37"/>
      <c r="UQB17" s="37"/>
      <c r="UQC17" s="37"/>
      <c r="UQD17" s="37"/>
      <c r="UQE17" s="37"/>
      <c r="UQF17" s="37"/>
      <c r="UQG17" s="37"/>
      <c r="UQH17" s="37"/>
      <c r="UQI17" s="37"/>
      <c r="UQJ17" s="37"/>
      <c r="UQK17" s="37"/>
      <c r="UQL17" s="37"/>
      <c r="UQM17" s="37"/>
      <c r="UQN17" s="37"/>
      <c r="UQO17" s="37"/>
      <c r="UQP17" s="37"/>
      <c r="UQQ17" s="37"/>
      <c r="UQR17" s="37"/>
      <c r="UQS17" s="37"/>
      <c r="UQT17" s="37"/>
      <c r="UQU17" s="37"/>
      <c r="UQV17" s="37"/>
      <c r="UQW17" s="37"/>
      <c r="UQX17" s="37"/>
      <c r="UQY17" s="37"/>
      <c r="UQZ17" s="37"/>
      <c r="URA17" s="37"/>
      <c r="URB17" s="37"/>
      <c r="URC17" s="37"/>
      <c r="URD17" s="37"/>
      <c r="URE17" s="37"/>
      <c r="URF17" s="37"/>
      <c r="URG17" s="37"/>
      <c r="URH17" s="37"/>
      <c r="URI17" s="37"/>
      <c r="URJ17" s="37"/>
      <c r="URK17" s="37"/>
      <c r="URL17" s="37"/>
      <c r="URM17" s="37"/>
      <c r="URN17" s="37"/>
      <c r="URO17" s="37"/>
      <c r="URP17" s="37"/>
      <c r="URQ17" s="37"/>
      <c r="URR17" s="37"/>
      <c r="URS17" s="37"/>
      <c r="URT17" s="37"/>
      <c r="URU17" s="37"/>
      <c r="URV17" s="37"/>
      <c r="URW17" s="37"/>
      <c r="URX17" s="37"/>
      <c r="URY17" s="37"/>
      <c r="URZ17" s="37"/>
      <c r="USA17" s="37"/>
      <c r="USB17" s="37"/>
      <c r="USC17" s="37"/>
      <c r="USD17" s="37"/>
      <c r="USE17" s="37"/>
      <c r="USF17" s="37"/>
      <c r="USG17" s="37"/>
      <c r="USH17" s="37"/>
      <c r="USI17" s="37"/>
      <c r="USJ17" s="37"/>
      <c r="USK17" s="37"/>
      <c r="USL17" s="37"/>
      <c r="USM17" s="37"/>
      <c r="USN17" s="37"/>
      <c r="USO17" s="37"/>
      <c r="USP17" s="37"/>
      <c r="USQ17" s="37"/>
      <c r="USR17" s="37"/>
      <c r="USS17" s="37"/>
      <c r="UST17" s="37"/>
      <c r="USU17" s="37"/>
      <c r="USV17" s="37"/>
      <c r="USW17" s="37"/>
      <c r="USX17" s="37"/>
      <c r="USY17" s="37"/>
      <c r="USZ17" s="37"/>
      <c r="UTA17" s="37"/>
      <c r="UTB17" s="37"/>
      <c r="UTC17" s="37"/>
      <c r="UTD17" s="37"/>
      <c r="UTE17" s="37"/>
      <c r="UTF17" s="37"/>
      <c r="UTG17" s="37"/>
      <c r="UTH17" s="37"/>
      <c r="UTI17" s="37"/>
      <c r="UTJ17" s="37"/>
      <c r="UTK17" s="37"/>
      <c r="UTL17" s="37"/>
      <c r="UTM17" s="37"/>
      <c r="UTN17" s="37"/>
      <c r="UTO17" s="37"/>
      <c r="UTP17" s="37"/>
      <c r="UTQ17" s="37"/>
      <c r="UTR17" s="37"/>
      <c r="UTS17" s="37"/>
      <c r="UTT17" s="37"/>
      <c r="UTU17" s="37"/>
      <c r="UTV17" s="37"/>
      <c r="UTW17" s="37"/>
      <c r="UTX17" s="37"/>
      <c r="UTY17" s="37"/>
      <c r="UTZ17" s="37"/>
      <c r="UUA17" s="37"/>
      <c r="UUB17" s="37"/>
      <c r="UUC17" s="37"/>
      <c r="UUD17" s="37"/>
      <c r="UUE17" s="37"/>
      <c r="UUF17" s="37"/>
      <c r="UUG17" s="37"/>
      <c r="UUH17" s="37"/>
      <c r="UUI17" s="37"/>
      <c r="UUJ17" s="37"/>
      <c r="UUK17" s="37"/>
      <c r="UUL17" s="37"/>
      <c r="UUM17" s="37"/>
      <c r="UUN17" s="37"/>
      <c r="UUO17" s="37"/>
      <c r="UUP17" s="37"/>
      <c r="UUQ17" s="37"/>
      <c r="UUR17" s="37"/>
      <c r="UUS17" s="37"/>
      <c r="UUT17" s="37"/>
      <c r="UUU17" s="37"/>
      <c r="UUV17" s="37"/>
      <c r="UUW17" s="37"/>
      <c r="UUX17" s="37"/>
      <c r="UUY17" s="37"/>
      <c r="UUZ17" s="37"/>
      <c r="UVA17" s="37"/>
      <c r="UVB17" s="37"/>
      <c r="UVC17" s="37"/>
      <c r="UVD17" s="37"/>
      <c r="UVE17" s="37"/>
      <c r="UVF17" s="37"/>
      <c r="UVG17" s="37"/>
      <c r="UVH17" s="37"/>
      <c r="UVI17" s="37"/>
      <c r="UVJ17" s="37"/>
      <c r="UVK17" s="37"/>
      <c r="UVL17" s="37"/>
      <c r="UVM17" s="37"/>
      <c r="UVN17" s="37"/>
      <c r="UVO17" s="37"/>
      <c r="UVP17" s="37"/>
      <c r="UVQ17" s="37"/>
      <c r="UVR17" s="37"/>
      <c r="UVS17" s="37"/>
      <c r="UVT17" s="37"/>
      <c r="UVU17" s="37"/>
      <c r="UVV17" s="37"/>
      <c r="UVW17" s="37"/>
      <c r="UVX17" s="37"/>
      <c r="UVY17" s="37"/>
      <c r="UVZ17" s="37"/>
      <c r="UWA17" s="37"/>
      <c r="UWB17" s="37"/>
      <c r="UWC17" s="37"/>
      <c r="UWD17" s="37"/>
      <c r="UWE17" s="37"/>
      <c r="UWF17" s="37"/>
      <c r="UWG17" s="37"/>
      <c r="UWH17" s="37"/>
      <c r="UWI17" s="37"/>
      <c r="UWJ17" s="37"/>
      <c r="UWK17" s="37"/>
      <c r="UWL17" s="37"/>
      <c r="UWM17" s="37"/>
      <c r="UWN17" s="37"/>
      <c r="UWO17" s="37"/>
      <c r="UWP17" s="37"/>
      <c r="UWQ17" s="37"/>
      <c r="UWR17" s="37"/>
      <c r="UWS17" s="37"/>
      <c r="UWT17" s="37"/>
      <c r="UWU17" s="37"/>
      <c r="UWV17" s="37"/>
      <c r="UWW17" s="37"/>
      <c r="UWX17" s="37"/>
      <c r="UWY17" s="37"/>
      <c r="UWZ17" s="37"/>
      <c r="UXA17" s="37"/>
      <c r="UXB17" s="37"/>
      <c r="UXC17" s="37"/>
      <c r="UXD17" s="37"/>
      <c r="UXE17" s="37"/>
      <c r="UXF17" s="37"/>
      <c r="UXG17" s="37"/>
      <c r="UXH17" s="37"/>
      <c r="UXI17" s="37"/>
      <c r="UXJ17" s="37"/>
      <c r="UXK17" s="37"/>
      <c r="UXL17" s="37"/>
      <c r="UXM17" s="37"/>
      <c r="UXN17" s="37"/>
      <c r="UXO17" s="37"/>
      <c r="UXP17" s="37"/>
      <c r="UXQ17" s="37"/>
      <c r="UXR17" s="37"/>
      <c r="UXS17" s="37"/>
      <c r="UXT17" s="37"/>
      <c r="UXU17" s="37"/>
      <c r="UXV17" s="37"/>
      <c r="UXW17" s="37"/>
      <c r="UXX17" s="37"/>
      <c r="UXY17" s="37"/>
      <c r="UXZ17" s="37"/>
      <c r="UYA17" s="37"/>
      <c r="UYB17" s="37"/>
      <c r="UYC17" s="37"/>
      <c r="UYD17" s="37"/>
      <c r="UYE17" s="37"/>
      <c r="UYF17" s="37"/>
      <c r="UYG17" s="37"/>
      <c r="UYH17" s="37"/>
      <c r="UYI17" s="37"/>
      <c r="UYJ17" s="37"/>
      <c r="UYK17" s="37"/>
      <c r="UYL17" s="37"/>
      <c r="UYM17" s="37"/>
      <c r="UYN17" s="37"/>
      <c r="UYO17" s="37"/>
      <c r="UYP17" s="37"/>
      <c r="UYQ17" s="37"/>
      <c r="UYR17" s="37"/>
      <c r="UYS17" s="37"/>
      <c r="UYT17" s="37"/>
      <c r="UYU17" s="37"/>
      <c r="UYV17" s="37"/>
      <c r="UYW17" s="37"/>
      <c r="UYX17" s="37"/>
      <c r="UYY17" s="37"/>
      <c r="UYZ17" s="37"/>
      <c r="UZA17" s="37"/>
      <c r="UZB17" s="37"/>
      <c r="UZC17" s="37"/>
      <c r="UZD17" s="37"/>
      <c r="UZE17" s="37"/>
      <c r="UZF17" s="37"/>
      <c r="UZG17" s="37"/>
      <c r="UZH17" s="37"/>
      <c r="UZI17" s="37"/>
      <c r="UZJ17" s="37"/>
      <c r="UZK17" s="37"/>
      <c r="UZL17" s="37"/>
      <c r="UZM17" s="37"/>
      <c r="UZN17" s="37"/>
      <c r="UZO17" s="37"/>
      <c r="UZP17" s="37"/>
      <c r="UZQ17" s="37"/>
      <c r="UZR17" s="37"/>
      <c r="UZS17" s="37"/>
      <c r="UZT17" s="37"/>
      <c r="UZU17" s="37"/>
      <c r="UZV17" s="37"/>
      <c r="UZW17" s="37"/>
      <c r="UZX17" s="37"/>
      <c r="UZY17" s="37"/>
      <c r="UZZ17" s="37"/>
      <c r="VAA17" s="37"/>
      <c r="VAB17" s="37"/>
      <c r="VAC17" s="37"/>
      <c r="VAD17" s="37"/>
      <c r="VAE17" s="37"/>
      <c r="VAF17" s="37"/>
      <c r="VAG17" s="37"/>
      <c r="VAH17" s="37"/>
      <c r="VAI17" s="37"/>
      <c r="VAJ17" s="37"/>
      <c r="VAK17" s="37"/>
      <c r="VAL17" s="37"/>
      <c r="VAM17" s="37"/>
      <c r="VAN17" s="37"/>
      <c r="VAO17" s="37"/>
      <c r="VAP17" s="37"/>
      <c r="VAQ17" s="37"/>
      <c r="VAR17" s="37"/>
      <c r="VAS17" s="37"/>
      <c r="VAT17" s="37"/>
      <c r="VAU17" s="37"/>
      <c r="VAV17" s="37"/>
      <c r="VAW17" s="37"/>
      <c r="VAX17" s="37"/>
      <c r="VAY17" s="37"/>
      <c r="VAZ17" s="37"/>
      <c r="VBA17" s="37"/>
      <c r="VBB17" s="37"/>
      <c r="VBC17" s="37"/>
      <c r="VBD17" s="37"/>
      <c r="VBE17" s="37"/>
      <c r="VBF17" s="37"/>
      <c r="VBG17" s="37"/>
      <c r="VBH17" s="37"/>
      <c r="VBI17" s="37"/>
      <c r="VBJ17" s="37"/>
      <c r="VBK17" s="37"/>
      <c r="VBL17" s="37"/>
      <c r="VBM17" s="37"/>
      <c r="VBN17" s="37"/>
      <c r="VBO17" s="37"/>
      <c r="VBP17" s="37"/>
      <c r="VBQ17" s="37"/>
      <c r="VBR17" s="37"/>
      <c r="VBS17" s="37"/>
      <c r="VBT17" s="37"/>
      <c r="VBU17" s="37"/>
      <c r="VBV17" s="37"/>
      <c r="VBW17" s="37"/>
      <c r="VBX17" s="37"/>
      <c r="VBY17" s="37"/>
      <c r="VBZ17" s="37"/>
      <c r="VCA17" s="37"/>
      <c r="VCB17" s="37"/>
      <c r="VCC17" s="37"/>
      <c r="VCD17" s="37"/>
      <c r="VCE17" s="37"/>
      <c r="VCF17" s="37"/>
      <c r="VCG17" s="37"/>
      <c r="VCH17" s="37"/>
      <c r="VCI17" s="37"/>
      <c r="VCJ17" s="37"/>
      <c r="VCK17" s="37"/>
      <c r="VCL17" s="37"/>
      <c r="VCM17" s="37"/>
      <c r="VCN17" s="37"/>
      <c r="VCO17" s="37"/>
      <c r="VCP17" s="37"/>
      <c r="VCQ17" s="37"/>
      <c r="VCR17" s="37"/>
      <c r="VCS17" s="37"/>
      <c r="VCT17" s="37"/>
      <c r="VCU17" s="37"/>
      <c r="VCV17" s="37"/>
      <c r="VCW17" s="37"/>
      <c r="VCX17" s="37"/>
      <c r="VCY17" s="37"/>
      <c r="VCZ17" s="37"/>
      <c r="VDA17" s="37"/>
      <c r="VDB17" s="37"/>
      <c r="VDC17" s="37"/>
      <c r="VDD17" s="37"/>
      <c r="VDE17" s="37"/>
      <c r="VDF17" s="37"/>
      <c r="VDG17" s="37"/>
      <c r="VDH17" s="37"/>
      <c r="VDI17" s="37"/>
      <c r="VDJ17" s="37"/>
      <c r="VDK17" s="37"/>
      <c r="VDL17" s="37"/>
      <c r="VDM17" s="37"/>
      <c r="VDN17" s="37"/>
      <c r="VDO17" s="37"/>
      <c r="VDP17" s="37"/>
      <c r="VDQ17" s="37"/>
      <c r="VDR17" s="37"/>
      <c r="VDS17" s="37"/>
      <c r="VDT17" s="37"/>
      <c r="VDU17" s="37"/>
      <c r="VDV17" s="37"/>
      <c r="VDW17" s="37"/>
      <c r="VDX17" s="37"/>
      <c r="VDY17" s="37"/>
      <c r="VDZ17" s="37"/>
      <c r="VEA17" s="37"/>
      <c r="VEB17" s="37"/>
      <c r="VEC17" s="37"/>
      <c r="VED17" s="37"/>
      <c r="VEE17" s="37"/>
      <c r="VEF17" s="37"/>
      <c r="VEG17" s="37"/>
      <c r="VEH17" s="37"/>
      <c r="VEI17" s="37"/>
      <c r="VEJ17" s="37"/>
      <c r="VEK17" s="37"/>
      <c r="VEL17" s="37"/>
      <c r="VEM17" s="37"/>
      <c r="VEN17" s="37"/>
      <c r="VEO17" s="37"/>
      <c r="VEP17" s="37"/>
      <c r="VEQ17" s="37"/>
      <c r="VER17" s="37"/>
      <c r="VES17" s="37"/>
      <c r="VET17" s="37"/>
      <c r="VEU17" s="37"/>
      <c r="VEV17" s="37"/>
      <c r="VEW17" s="37"/>
      <c r="VEX17" s="37"/>
      <c r="VEY17" s="37"/>
      <c r="VEZ17" s="37"/>
      <c r="VFA17" s="37"/>
      <c r="VFB17" s="37"/>
      <c r="VFC17" s="37"/>
      <c r="VFD17" s="37"/>
      <c r="VFE17" s="37"/>
      <c r="VFF17" s="37"/>
      <c r="VFG17" s="37"/>
      <c r="VFH17" s="37"/>
      <c r="VFI17" s="37"/>
      <c r="VFJ17" s="37"/>
      <c r="VFK17" s="37"/>
      <c r="VFL17" s="37"/>
      <c r="VFM17" s="37"/>
      <c r="VFN17" s="37"/>
      <c r="VFO17" s="37"/>
      <c r="VFP17" s="37"/>
      <c r="VFQ17" s="37"/>
      <c r="VFR17" s="37"/>
      <c r="VFS17" s="37"/>
      <c r="VFT17" s="37"/>
      <c r="VFU17" s="37"/>
      <c r="VFV17" s="37"/>
      <c r="VFW17" s="37"/>
      <c r="VFX17" s="37"/>
      <c r="VFY17" s="37"/>
      <c r="VFZ17" s="37"/>
      <c r="VGA17" s="37"/>
      <c r="VGB17" s="37"/>
      <c r="VGC17" s="37"/>
      <c r="VGD17" s="37"/>
      <c r="VGE17" s="37"/>
      <c r="VGF17" s="37"/>
      <c r="VGG17" s="37"/>
      <c r="VGH17" s="37"/>
      <c r="VGI17" s="37"/>
      <c r="VGJ17" s="37"/>
      <c r="VGK17" s="37"/>
      <c r="VGL17" s="37"/>
      <c r="VGM17" s="37"/>
      <c r="VGN17" s="37"/>
      <c r="VGO17" s="37"/>
      <c r="VGP17" s="37"/>
      <c r="VGQ17" s="37"/>
      <c r="VGR17" s="37"/>
      <c r="VGS17" s="37"/>
      <c r="VGT17" s="37"/>
      <c r="VGU17" s="37"/>
      <c r="VGV17" s="37"/>
      <c r="VGW17" s="37"/>
      <c r="VGX17" s="37"/>
      <c r="VGY17" s="37"/>
      <c r="VGZ17" s="37"/>
      <c r="VHA17" s="37"/>
      <c r="VHB17" s="37"/>
      <c r="VHC17" s="37"/>
      <c r="VHD17" s="37"/>
      <c r="VHE17" s="37"/>
      <c r="VHF17" s="37"/>
      <c r="VHG17" s="37"/>
      <c r="VHH17" s="37"/>
      <c r="VHI17" s="37"/>
      <c r="VHJ17" s="37"/>
      <c r="VHK17" s="37"/>
      <c r="VHL17" s="37"/>
      <c r="VHM17" s="37"/>
      <c r="VHN17" s="37"/>
      <c r="VHO17" s="37"/>
      <c r="VHP17" s="37"/>
      <c r="VHQ17" s="37"/>
      <c r="VHR17" s="37"/>
      <c r="VHS17" s="37"/>
      <c r="VHT17" s="37"/>
      <c r="VHU17" s="37"/>
      <c r="VHV17" s="37"/>
      <c r="VHW17" s="37"/>
      <c r="VHX17" s="37"/>
      <c r="VHY17" s="37"/>
      <c r="VHZ17" s="37"/>
      <c r="VIA17" s="37"/>
      <c r="VIB17" s="37"/>
      <c r="VIC17" s="37"/>
      <c r="VID17" s="37"/>
      <c r="VIE17" s="37"/>
      <c r="VIF17" s="37"/>
      <c r="VIG17" s="37"/>
      <c r="VIH17" s="37"/>
      <c r="VII17" s="37"/>
      <c r="VIJ17" s="37"/>
      <c r="VIK17" s="37"/>
      <c r="VIL17" s="37"/>
      <c r="VIM17" s="37"/>
      <c r="VIN17" s="37"/>
      <c r="VIO17" s="37"/>
      <c r="VIP17" s="37"/>
      <c r="VIQ17" s="37"/>
      <c r="VIR17" s="37"/>
      <c r="VIS17" s="37"/>
      <c r="VIT17" s="37"/>
      <c r="VIU17" s="37"/>
      <c r="VIV17" s="37"/>
      <c r="VIW17" s="37"/>
      <c r="VIX17" s="37"/>
      <c r="VIY17" s="37"/>
      <c r="VIZ17" s="37"/>
      <c r="VJA17" s="37"/>
      <c r="VJB17" s="37"/>
      <c r="VJC17" s="37"/>
      <c r="VJD17" s="37"/>
      <c r="VJE17" s="37"/>
      <c r="VJF17" s="37"/>
      <c r="VJG17" s="37"/>
      <c r="VJH17" s="37"/>
      <c r="VJI17" s="37"/>
      <c r="VJJ17" s="37"/>
      <c r="VJK17" s="37"/>
      <c r="VJL17" s="37"/>
      <c r="VJM17" s="37"/>
      <c r="VJN17" s="37"/>
      <c r="VJO17" s="37"/>
      <c r="VJP17" s="37"/>
      <c r="VJQ17" s="37"/>
      <c r="VJR17" s="37"/>
      <c r="VJS17" s="37"/>
      <c r="VJT17" s="37"/>
      <c r="VJU17" s="37"/>
      <c r="VJV17" s="37"/>
      <c r="VJW17" s="37"/>
      <c r="VJX17" s="37"/>
      <c r="VJY17" s="37"/>
      <c r="VJZ17" s="37"/>
      <c r="VKA17" s="37"/>
      <c r="VKB17" s="37"/>
      <c r="VKC17" s="37"/>
      <c r="VKD17" s="37"/>
      <c r="VKE17" s="37"/>
      <c r="VKF17" s="37"/>
      <c r="VKG17" s="37"/>
      <c r="VKH17" s="37"/>
      <c r="VKI17" s="37"/>
      <c r="VKJ17" s="37"/>
      <c r="VKK17" s="37"/>
      <c r="VKL17" s="37"/>
      <c r="VKM17" s="37"/>
      <c r="VKN17" s="37"/>
      <c r="VKO17" s="37"/>
      <c r="VKP17" s="37"/>
      <c r="VKQ17" s="37"/>
      <c r="VKR17" s="37"/>
      <c r="VKS17" s="37"/>
      <c r="VKT17" s="37"/>
      <c r="VKU17" s="37"/>
      <c r="VKV17" s="37"/>
      <c r="VKW17" s="37"/>
      <c r="VKX17" s="37"/>
      <c r="VKY17" s="37"/>
      <c r="VKZ17" s="37"/>
      <c r="VLA17" s="37"/>
      <c r="VLB17" s="37"/>
      <c r="VLC17" s="37"/>
      <c r="VLD17" s="37"/>
      <c r="VLE17" s="37"/>
      <c r="VLF17" s="37"/>
      <c r="VLG17" s="37"/>
      <c r="VLH17" s="37"/>
      <c r="VLI17" s="37"/>
      <c r="VLJ17" s="37"/>
      <c r="VLK17" s="37"/>
      <c r="VLL17" s="37"/>
      <c r="VLM17" s="37"/>
      <c r="VLN17" s="37"/>
      <c r="VLO17" s="37"/>
      <c r="VLP17" s="37"/>
      <c r="VLQ17" s="37"/>
      <c r="VLR17" s="37"/>
      <c r="VLS17" s="37"/>
      <c r="VLT17" s="37"/>
      <c r="VLU17" s="37"/>
      <c r="VLV17" s="37"/>
      <c r="VLW17" s="37"/>
      <c r="VLX17" s="37"/>
      <c r="VLY17" s="37"/>
      <c r="VLZ17" s="37"/>
      <c r="VMA17" s="37"/>
      <c r="VMB17" s="37"/>
      <c r="VMC17" s="37"/>
      <c r="VMD17" s="37"/>
      <c r="VME17" s="37"/>
      <c r="VMF17" s="37"/>
      <c r="VMG17" s="37"/>
      <c r="VMH17" s="37"/>
      <c r="VMI17" s="37"/>
      <c r="VMJ17" s="37"/>
      <c r="VMK17" s="37"/>
      <c r="VML17" s="37"/>
      <c r="VMM17" s="37"/>
      <c r="VMN17" s="37"/>
      <c r="VMO17" s="37"/>
      <c r="VMP17" s="37"/>
      <c r="VMQ17" s="37"/>
      <c r="VMR17" s="37"/>
      <c r="VMS17" s="37"/>
      <c r="VMT17" s="37"/>
      <c r="VMU17" s="37"/>
      <c r="VMV17" s="37"/>
      <c r="VMW17" s="37"/>
      <c r="VMX17" s="37"/>
      <c r="VMY17" s="37"/>
      <c r="VMZ17" s="37"/>
      <c r="VNA17" s="37"/>
      <c r="VNB17" s="37"/>
      <c r="VNC17" s="37"/>
      <c r="VND17" s="37"/>
      <c r="VNE17" s="37"/>
      <c r="VNF17" s="37"/>
      <c r="VNG17" s="37"/>
      <c r="VNH17" s="37"/>
      <c r="VNI17" s="37"/>
      <c r="VNJ17" s="37"/>
      <c r="VNK17" s="37"/>
      <c r="VNL17" s="37"/>
      <c r="VNM17" s="37"/>
      <c r="VNN17" s="37"/>
      <c r="VNO17" s="37"/>
      <c r="VNP17" s="37"/>
      <c r="VNQ17" s="37"/>
      <c r="VNR17" s="37"/>
      <c r="VNS17" s="37"/>
      <c r="VNT17" s="37"/>
      <c r="VNU17" s="37"/>
      <c r="VNV17" s="37"/>
      <c r="VNW17" s="37"/>
      <c r="VNX17" s="37"/>
      <c r="VNY17" s="37"/>
      <c r="VNZ17" s="37"/>
      <c r="VOA17" s="37"/>
      <c r="VOB17" s="37"/>
      <c r="VOC17" s="37"/>
      <c r="VOD17" s="37"/>
      <c r="VOE17" s="37"/>
      <c r="VOF17" s="37"/>
      <c r="VOG17" s="37"/>
      <c r="VOH17" s="37"/>
      <c r="VOI17" s="37"/>
      <c r="VOJ17" s="37"/>
      <c r="VOK17" s="37"/>
      <c r="VOL17" s="37"/>
      <c r="VOM17" s="37"/>
      <c r="VON17" s="37"/>
      <c r="VOO17" s="37"/>
      <c r="VOP17" s="37"/>
      <c r="VOQ17" s="37"/>
      <c r="VOR17" s="37"/>
      <c r="VOS17" s="37"/>
      <c r="VOT17" s="37"/>
      <c r="VOU17" s="37"/>
      <c r="VOV17" s="37"/>
      <c r="VOW17" s="37"/>
      <c r="VOX17" s="37"/>
      <c r="VOY17" s="37"/>
      <c r="VOZ17" s="37"/>
      <c r="VPA17" s="37"/>
      <c r="VPB17" s="37"/>
      <c r="VPC17" s="37"/>
      <c r="VPD17" s="37"/>
      <c r="VPE17" s="37"/>
      <c r="VPF17" s="37"/>
      <c r="VPG17" s="37"/>
      <c r="VPH17" s="37"/>
      <c r="VPI17" s="37"/>
      <c r="VPJ17" s="37"/>
      <c r="VPK17" s="37"/>
      <c r="VPL17" s="37"/>
      <c r="VPM17" s="37"/>
      <c r="VPN17" s="37"/>
      <c r="VPO17" s="37"/>
      <c r="VPP17" s="37"/>
      <c r="VPQ17" s="37"/>
      <c r="VPR17" s="37"/>
      <c r="VPS17" s="37"/>
      <c r="VPT17" s="37"/>
      <c r="VPU17" s="37"/>
      <c r="VPV17" s="37"/>
      <c r="VPW17" s="37"/>
      <c r="VPX17" s="37"/>
      <c r="VPY17" s="37"/>
      <c r="VPZ17" s="37"/>
      <c r="VQA17" s="37"/>
      <c r="VQB17" s="37"/>
      <c r="VQC17" s="37"/>
      <c r="VQD17" s="37"/>
      <c r="VQE17" s="37"/>
      <c r="VQF17" s="37"/>
      <c r="VQG17" s="37"/>
      <c r="VQH17" s="37"/>
      <c r="VQI17" s="37"/>
      <c r="VQJ17" s="37"/>
      <c r="VQK17" s="37"/>
      <c r="VQL17" s="37"/>
      <c r="VQM17" s="37"/>
      <c r="VQN17" s="37"/>
      <c r="VQO17" s="37"/>
      <c r="VQP17" s="37"/>
      <c r="VQQ17" s="37"/>
      <c r="VQR17" s="37"/>
      <c r="VQS17" s="37"/>
      <c r="VQT17" s="37"/>
      <c r="VQU17" s="37"/>
      <c r="VQV17" s="37"/>
      <c r="VQW17" s="37"/>
      <c r="VQX17" s="37"/>
      <c r="VQY17" s="37"/>
      <c r="VQZ17" s="37"/>
      <c r="VRA17" s="37"/>
      <c r="VRB17" s="37"/>
      <c r="VRC17" s="37"/>
      <c r="VRD17" s="37"/>
      <c r="VRE17" s="37"/>
      <c r="VRF17" s="37"/>
      <c r="VRG17" s="37"/>
      <c r="VRH17" s="37"/>
      <c r="VRI17" s="37"/>
      <c r="VRJ17" s="37"/>
      <c r="VRK17" s="37"/>
      <c r="VRL17" s="37"/>
      <c r="VRM17" s="37"/>
      <c r="VRN17" s="37"/>
      <c r="VRO17" s="37"/>
      <c r="VRP17" s="37"/>
      <c r="VRQ17" s="37"/>
      <c r="VRR17" s="37"/>
      <c r="VRS17" s="37"/>
      <c r="VRT17" s="37"/>
      <c r="VRU17" s="37"/>
      <c r="VRV17" s="37"/>
      <c r="VRW17" s="37"/>
      <c r="VRX17" s="37"/>
      <c r="VRY17" s="37"/>
      <c r="VRZ17" s="37"/>
      <c r="VSA17" s="37"/>
      <c r="VSB17" s="37"/>
      <c r="VSC17" s="37"/>
      <c r="VSD17" s="37"/>
      <c r="VSE17" s="37"/>
      <c r="VSF17" s="37"/>
      <c r="VSG17" s="37"/>
      <c r="VSH17" s="37"/>
      <c r="VSI17" s="37"/>
      <c r="VSJ17" s="37"/>
      <c r="VSK17" s="37"/>
      <c r="VSL17" s="37"/>
      <c r="VSM17" s="37"/>
      <c r="VSN17" s="37"/>
      <c r="VSO17" s="37"/>
      <c r="VSP17" s="37"/>
      <c r="VSQ17" s="37"/>
      <c r="VSR17" s="37"/>
      <c r="VSS17" s="37"/>
      <c r="VST17" s="37"/>
      <c r="VSU17" s="37"/>
      <c r="VSV17" s="37"/>
      <c r="VSW17" s="37"/>
      <c r="VSX17" s="37"/>
      <c r="VSY17" s="37"/>
      <c r="VSZ17" s="37"/>
      <c r="VTA17" s="37"/>
      <c r="VTB17" s="37"/>
      <c r="VTC17" s="37"/>
      <c r="VTD17" s="37"/>
      <c r="VTE17" s="37"/>
      <c r="VTF17" s="37"/>
      <c r="VTG17" s="37"/>
      <c r="VTH17" s="37"/>
      <c r="VTI17" s="37"/>
      <c r="VTJ17" s="37"/>
      <c r="VTK17" s="37"/>
      <c r="VTL17" s="37"/>
      <c r="VTM17" s="37"/>
      <c r="VTN17" s="37"/>
      <c r="VTO17" s="37"/>
      <c r="VTP17" s="37"/>
      <c r="VTQ17" s="37"/>
      <c r="VTR17" s="37"/>
      <c r="VTS17" s="37"/>
      <c r="VTT17" s="37"/>
      <c r="VTU17" s="37"/>
      <c r="VTV17" s="37"/>
      <c r="VTW17" s="37"/>
      <c r="VTX17" s="37"/>
      <c r="VTY17" s="37"/>
      <c r="VTZ17" s="37"/>
      <c r="VUA17" s="37"/>
      <c r="VUB17" s="37"/>
      <c r="VUC17" s="37"/>
      <c r="VUD17" s="37"/>
      <c r="VUE17" s="37"/>
      <c r="VUF17" s="37"/>
      <c r="VUG17" s="37"/>
      <c r="VUH17" s="37"/>
      <c r="VUI17" s="37"/>
      <c r="VUJ17" s="37"/>
      <c r="VUK17" s="37"/>
      <c r="VUL17" s="37"/>
      <c r="VUM17" s="37"/>
      <c r="VUN17" s="37"/>
      <c r="VUO17" s="37"/>
      <c r="VUP17" s="37"/>
      <c r="VUQ17" s="37"/>
      <c r="VUR17" s="37"/>
      <c r="VUS17" s="37"/>
      <c r="VUT17" s="37"/>
      <c r="VUU17" s="37"/>
      <c r="VUV17" s="37"/>
      <c r="VUW17" s="37"/>
      <c r="VUX17" s="37"/>
      <c r="VUY17" s="37"/>
      <c r="VUZ17" s="37"/>
      <c r="VVA17" s="37"/>
      <c r="VVB17" s="37"/>
      <c r="VVC17" s="37"/>
      <c r="VVD17" s="37"/>
      <c r="VVE17" s="37"/>
      <c r="VVF17" s="37"/>
      <c r="VVG17" s="37"/>
      <c r="VVH17" s="37"/>
      <c r="VVI17" s="37"/>
      <c r="VVJ17" s="37"/>
      <c r="VVK17" s="37"/>
      <c r="VVL17" s="37"/>
      <c r="VVM17" s="37"/>
      <c r="VVN17" s="37"/>
      <c r="VVO17" s="37"/>
      <c r="VVP17" s="37"/>
      <c r="VVQ17" s="37"/>
      <c r="VVR17" s="37"/>
      <c r="VVS17" s="37"/>
      <c r="VVT17" s="37"/>
      <c r="VVU17" s="37"/>
      <c r="VVV17" s="37"/>
      <c r="VVW17" s="37"/>
      <c r="VVX17" s="37"/>
      <c r="VVY17" s="37"/>
      <c r="VVZ17" s="37"/>
      <c r="VWA17" s="37"/>
      <c r="VWB17" s="37"/>
      <c r="VWC17" s="37"/>
      <c r="VWD17" s="37"/>
      <c r="VWE17" s="37"/>
      <c r="VWF17" s="37"/>
      <c r="VWG17" s="37"/>
      <c r="VWH17" s="37"/>
      <c r="VWI17" s="37"/>
      <c r="VWJ17" s="37"/>
      <c r="VWK17" s="37"/>
      <c r="VWL17" s="37"/>
      <c r="VWM17" s="37"/>
      <c r="VWN17" s="37"/>
      <c r="VWO17" s="37"/>
      <c r="VWP17" s="37"/>
      <c r="VWQ17" s="37"/>
      <c r="VWR17" s="37"/>
      <c r="VWS17" s="37"/>
      <c r="VWT17" s="37"/>
      <c r="VWU17" s="37"/>
      <c r="VWV17" s="37"/>
      <c r="VWW17" s="37"/>
      <c r="VWX17" s="37"/>
      <c r="VWY17" s="37"/>
      <c r="VWZ17" s="37"/>
      <c r="VXA17" s="37"/>
      <c r="VXB17" s="37"/>
      <c r="VXC17" s="37"/>
      <c r="VXD17" s="37"/>
      <c r="VXE17" s="37"/>
      <c r="VXF17" s="37"/>
      <c r="VXG17" s="37"/>
      <c r="VXH17" s="37"/>
      <c r="VXI17" s="37"/>
      <c r="VXJ17" s="37"/>
      <c r="VXK17" s="37"/>
      <c r="VXL17" s="37"/>
      <c r="VXM17" s="37"/>
      <c r="VXN17" s="37"/>
      <c r="VXO17" s="37"/>
      <c r="VXP17" s="37"/>
      <c r="VXQ17" s="37"/>
      <c r="VXR17" s="37"/>
      <c r="VXS17" s="37"/>
      <c r="VXT17" s="37"/>
      <c r="VXU17" s="37"/>
      <c r="VXV17" s="37"/>
      <c r="VXW17" s="37"/>
      <c r="VXX17" s="37"/>
      <c r="VXY17" s="37"/>
      <c r="VXZ17" s="37"/>
      <c r="VYA17" s="37"/>
      <c r="VYB17" s="37"/>
      <c r="VYC17" s="37"/>
      <c r="VYD17" s="37"/>
      <c r="VYE17" s="37"/>
      <c r="VYF17" s="37"/>
      <c r="VYG17" s="37"/>
      <c r="VYH17" s="37"/>
      <c r="VYI17" s="37"/>
      <c r="VYJ17" s="37"/>
      <c r="VYK17" s="37"/>
      <c r="VYL17" s="37"/>
      <c r="VYM17" s="37"/>
      <c r="VYN17" s="37"/>
      <c r="VYO17" s="37"/>
      <c r="VYP17" s="37"/>
      <c r="VYQ17" s="37"/>
      <c r="VYR17" s="37"/>
      <c r="VYS17" s="37"/>
      <c r="VYT17" s="37"/>
      <c r="VYU17" s="37"/>
      <c r="VYV17" s="37"/>
      <c r="VYW17" s="37"/>
      <c r="VYX17" s="37"/>
      <c r="VYY17" s="37"/>
      <c r="VYZ17" s="37"/>
      <c r="VZA17" s="37"/>
      <c r="VZB17" s="37"/>
      <c r="VZC17" s="37"/>
      <c r="VZD17" s="37"/>
      <c r="VZE17" s="37"/>
      <c r="VZF17" s="37"/>
      <c r="VZG17" s="37"/>
      <c r="VZH17" s="37"/>
      <c r="VZI17" s="37"/>
      <c r="VZJ17" s="37"/>
      <c r="VZK17" s="37"/>
      <c r="VZL17" s="37"/>
      <c r="VZM17" s="37"/>
      <c r="VZN17" s="37"/>
      <c r="VZO17" s="37"/>
      <c r="VZP17" s="37"/>
      <c r="VZQ17" s="37"/>
      <c r="VZR17" s="37"/>
      <c r="VZS17" s="37"/>
      <c r="VZT17" s="37"/>
      <c r="VZU17" s="37"/>
      <c r="VZV17" s="37"/>
      <c r="VZW17" s="37"/>
      <c r="VZX17" s="37"/>
      <c r="VZY17" s="37"/>
      <c r="VZZ17" s="37"/>
      <c r="WAA17" s="37"/>
      <c r="WAB17" s="37"/>
      <c r="WAC17" s="37"/>
      <c r="WAD17" s="37"/>
      <c r="WAE17" s="37"/>
      <c r="WAF17" s="37"/>
      <c r="WAG17" s="37"/>
      <c r="WAH17" s="37"/>
      <c r="WAI17" s="37"/>
      <c r="WAJ17" s="37"/>
      <c r="WAK17" s="37"/>
      <c r="WAL17" s="37"/>
      <c r="WAM17" s="37"/>
      <c r="WAN17" s="37"/>
      <c r="WAO17" s="37"/>
      <c r="WAP17" s="37"/>
      <c r="WAQ17" s="37"/>
      <c r="WAR17" s="37"/>
      <c r="WAS17" s="37"/>
      <c r="WAT17" s="37"/>
      <c r="WAU17" s="37"/>
      <c r="WAV17" s="37"/>
      <c r="WAW17" s="37"/>
      <c r="WAX17" s="37"/>
      <c r="WAY17" s="37"/>
      <c r="WAZ17" s="37"/>
      <c r="WBA17" s="37"/>
      <c r="WBB17" s="37"/>
      <c r="WBC17" s="37"/>
      <c r="WBD17" s="37"/>
      <c r="WBE17" s="37"/>
      <c r="WBF17" s="37"/>
      <c r="WBG17" s="37"/>
      <c r="WBH17" s="37"/>
      <c r="WBI17" s="37"/>
      <c r="WBJ17" s="37"/>
      <c r="WBK17" s="37"/>
      <c r="WBL17" s="37"/>
      <c r="WBM17" s="37"/>
      <c r="WBN17" s="37"/>
      <c r="WBO17" s="37"/>
      <c r="WBP17" s="37"/>
      <c r="WBQ17" s="37"/>
      <c r="WBR17" s="37"/>
      <c r="WBS17" s="37"/>
      <c r="WBT17" s="37"/>
      <c r="WBU17" s="37"/>
      <c r="WBV17" s="37"/>
      <c r="WBW17" s="37"/>
      <c r="WBX17" s="37"/>
      <c r="WBY17" s="37"/>
      <c r="WBZ17" s="37"/>
      <c r="WCA17" s="37"/>
      <c r="WCB17" s="37"/>
      <c r="WCC17" s="37"/>
      <c r="WCD17" s="37"/>
      <c r="WCE17" s="37"/>
      <c r="WCF17" s="37"/>
      <c r="WCG17" s="37"/>
      <c r="WCH17" s="37"/>
      <c r="WCI17" s="37"/>
      <c r="WCJ17" s="37"/>
      <c r="WCK17" s="37"/>
      <c r="WCL17" s="37"/>
      <c r="WCM17" s="37"/>
      <c r="WCN17" s="37"/>
      <c r="WCO17" s="37"/>
      <c r="WCP17" s="37"/>
      <c r="WCQ17" s="37"/>
      <c r="WCR17" s="37"/>
      <c r="WCS17" s="37"/>
      <c r="WCT17" s="37"/>
      <c r="WCU17" s="37"/>
      <c r="WCV17" s="37"/>
      <c r="WCW17" s="37"/>
      <c r="WCX17" s="37"/>
      <c r="WCY17" s="37"/>
      <c r="WCZ17" s="37"/>
      <c r="WDA17" s="37"/>
      <c r="WDB17" s="37"/>
      <c r="WDC17" s="37"/>
      <c r="WDD17" s="37"/>
      <c r="WDE17" s="37"/>
      <c r="WDF17" s="37"/>
      <c r="WDG17" s="37"/>
      <c r="WDH17" s="37"/>
      <c r="WDI17" s="37"/>
      <c r="WDJ17" s="37"/>
      <c r="WDK17" s="37"/>
      <c r="WDL17" s="37"/>
      <c r="WDM17" s="37"/>
      <c r="WDN17" s="37"/>
      <c r="WDO17" s="37"/>
      <c r="WDP17" s="37"/>
      <c r="WDQ17" s="37"/>
      <c r="WDR17" s="37"/>
      <c r="WDS17" s="37"/>
      <c r="WDT17" s="37"/>
      <c r="WDU17" s="37"/>
      <c r="WDV17" s="37"/>
      <c r="WDW17" s="37"/>
      <c r="WDX17" s="37"/>
      <c r="WDY17" s="37"/>
      <c r="WDZ17" s="37"/>
      <c r="WEA17" s="37"/>
      <c r="WEB17" s="37"/>
      <c r="WEC17" s="37"/>
      <c r="WED17" s="37"/>
      <c r="WEE17" s="37"/>
      <c r="WEF17" s="37"/>
      <c r="WEG17" s="37"/>
      <c r="WEH17" s="37"/>
      <c r="WEI17" s="37"/>
      <c r="WEJ17" s="37"/>
      <c r="WEK17" s="37"/>
      <c r="WEL17" s="37"/>
      <c r="WEM17" s="37"/>
      <c r="WEN17" s="37"/>
      <c r="WEO17" s="37"/>
      <c r="WEP17" s="37"/>
      <c r="WEQ17" s="37"/>
      <c r="WER17" s="37"/>
      <c r="WES17" s="37"/>
      <c r="WET17" s="37"/>
      <c r="WEU17" s="37"/>
      <c r="WEV17" s="37"/>
      <c r="WEW17" s="37"/>
      <c r="WEX17" s="37"/>
      <c r="WEY17" s="37"/>
      <c r="WEZ17" s="37"/>
      <c r="WFA17" s="37"/>
      <c r="WFB17" s="37"/>
      <c r="WFC17" s="37"/>
      <c r="WFD17" s="37"/>
      <c r="WFE17" s="37"/>
      <c r="WFF17" s="37"/>
      <c r="WFG17" s="37"/>
      <c r="WFH17" s="37"/>
      <c r="WFI17" s="37"/>
      <c r="WFJ17" s="37"/>
      <c r="WFK17" s="37"/>
      <c r="WFL17" s="37"/>
      <c r="WFM17" s="37"/>
      <c r="WFN17" s="37"/>
      <c r="WFO17" s="37"/>
      <c r="WFP17" s="37"/>
      <c r="WFQ17" s="37"/>
      <c r="WFR17" s="37"/>
      <c r="WFS17" s="37"/>
      <c r="WFT17" s="37"/>
      <c r="WFU17" s="37"/>
      <c r="WFV17" s="37"/>
      <c r="WFW17" s="37"/>
      <c r="WFX17" s="37"/>
      <c r="WFY17" s="37"/>
      <c r="WFZ17" s="37"/>
      <c r="WGA17" s="37"/>
      <c r="WGB17" s="37"/>
      <c r="WGC17" s="37"/>
      <c r="WGD17" s="37"/>
      <c r="WGE17" s="37"/>
      <c r="WGF17" s="37"/>
      <c r="WGG17" s="37"/>
      <c r="WGH17" s="37"/>
      <c r="WGI17" s="37"/>
      <c r="WGJ17" s="37"/>
      <c r="WGK17" s="37"/>
      <c r="WGL17" s="37"/>
      <c r="WGM17" s="37"/>
      <c r="WGN17" s="37"/>
      <c r="WGO17" s="37"/>
      <c r="WGP17" s="37"/>
      <c r="WGQ17" s="37"/>
      <c r="WGR17" s="37"/>
      <c r="WGS17" s="37"/>
      <c r="WGT17" s="37"/>
      <c r="WGU17" s="37"/>
      <c r="WGV17" s="37"/>
      <c r="WGW17" s="37"/>
      <c r="WGX17" s="37"/>
      <c r="WGY17" s="37"/>
      <c r="WGZ17" s="37"/>
      <c r="WHA17" s="37"/>
      <c r="WHB17" s="37"/>
      <c r="WHC17" s="37"/>
      <c r="WHD17" s="37"/>
      <c r="WHE17" s="37"/>
      <c r="WHF17" s="37"/>
      <c r="WHG17" s="37"/>
      <c r="WHH17" s="37"/>
      <c r="WHI17" s="37"/>
      <c r="WHJ17" s="37"/>
      <c r="WHK17" s="37"/>
      <c r="WHL17" s="37"/>
      <c r="WHM17" s="37"/>
      <c r="WHN17" s="37"/>
      <c r="WHO17" s="37"/>
      <c r="WHP17" s="37"/>
      <c r="WHQ17" s="37"/>
      <c r="WHR17" s="37"/>
      <c r="WHS17" s="37"/>
      <c r="WHT17" s="37"/>
      <c r="WHU17" s="37"/>
      <c r="WHV17" s="37"/>
      <c r="WHW17" s="37"/>
      <c r="WHX17" s="37"/>
      <c r="WHY17" s="37"/>
      <c r="WHZ17" s="37"/>
      <c r="WIA17" s="37"/>
      <c r="WIB17" s="37"/>
      <c r="WIC17" s="37"/>
      <c r="WID17" s="37"/>
      <c r="WIE17" s="37"/>
      <c r="WIF17" s="37"/>
      <c r="WIG17" s="37"/>
      <c r="WIH17" s="37"/>
      <c r="WII17" s="37"/>
      <c r="WIJ17" s="37"/>
      <c r="WIK17" s="37"/>
      <c r="WIL17" s="37"/>
      <c r="WIM17" s="37"/>
      <c r="WIN17" s="37"/>
      <c r="WIO17" s="37"/>
      <c r="WIP17" s="37"/>
      <c r="WIQ17" s="37"/>
      <c r="WIR17" s="37"/>
      <c r="WIS17" s="37"/>
      <c r="WIT17" s="37"/>
      <c r="WIU17" s="37"/>
      <c r="WIV17" s="37"/>
      <c r="WIW17" s="37"/>
      <c r="WIX17" s="37"/>
      <c r="WIY17" s="37"/>
      <c r="WIZ17" s="37"/>
      <c r="WJA17" s="37"/>
      <c r="WJB17" s="37"/>
      <c r="WJC17" s="37"/>
      <c r="WJD17" s="37"/>
      <c r="WJE17" s="37"/>
      <c r="WJF17" s="37"/>
      <c r="WJG17" s="37"/>
      <c r="WJH17" s="37"/>
      <c r="WJI17" s="37"/>
      <c r="WJJ17" s="37"/>
      <c r="WJK17" s="37"/>
      <c r="WJL17" s="37"/>
      <c r="WJM17" s="37"/>
      <c r="WJN17" s="37"/>
      <c r="WJO17" s="37"/>
      <c r="WJP17" s="37"/>
      <c r="WJQ17" s="37"/>
      <c r="WJR17" s="37"/>
      <c r="WJS17" s="37"/>
      <c r="WJT17" s="37"/>
      <c r="WJU17" s="37"/>
      <c r="WJV17" s="37"/>
      <c r="WJW17" s="37"/>
      <c r="WJX17" s="37"/>
      <c r="WJY17" s="37"/>
      <c r="WJZ17" s="37"/>
      <c r="WKA17" s="37"/>
      <c r="WKB17" s="37"/>
      <c r="WKC17" s="37"/>
      <c r="WKD17" s="37"/>
      <c r="WKE17" s="37"/>
      <c r="WKF17" s="37"/>
      <c r="WKG17" s="37"/>
      <c r="WKH17" s="37"/>
      <c r="WKI17" s="37"/>
      <c r="WKJ17" s="37"/>
      <c r="WKK17" s="37"/>
      <c r="WKL17" s="37"/>
      <c r="WKM17" s="37"/>
      <c r="WKN17" s="37"/>
      <c r="WKO17" s="37"/>
      <c r="WKP17" s="37"/>
      <c r="WKQ17" s="37"/>
      <c r="WKR17" s="37"/>
      <c r="WKS17" s="37"/>
      <c r="WKT17" s="37"/>
      <c r="WKU17" s="37"/>
      <c r="WKV17" s="37"/>
      <c r="WKW17" s="37"/>
      <c r="WKX17" s="37"/>
      <c r="WKY17" s="37"/>
      <c r="WKZ17" s="37"/>
      <c r="WLA17" s="37"/>
      <c r="WLB17" s="37"/>
      <c r="WLC17" s="37"/>
      <c r="WLD17" s="37"/>
      <c r="WLE17" s="37"/>
      <c r="WLF17" s="37"/>
      <c r="WLG17" s="37"/>
      <c r="WLH17" s="37"/>
      <c r="WLI17" s="37"/>
      <c r="WLJ17" s="37"/>
      <c r="WLK17" s="37"/>
      <c r="WLL17" s="37"/>
      <c r="WLM17" s="37"/>
      <c r="WLN17" s="37"/>
      <c r="WLO17" s="37"/>
      <c r="WLP17" s="37"/>
      <c r="WLQ17" s="37"/>
      <c r="WLR17" s="37"/>
      <c r="WLS17" s="37"/>
      <c r="WLT17" s="37"/>
      <c r="WLU17" s="37"/>
      <c r="WLV17" s="37"/>
      <c r="WLW17" s="37"/>
      <c r="WLX17" s="37"/>
      <c r="WLY17" s="37"/>
      <c r="WLZ17" s="37"/>
      <c r="WMA17" s="37"/>
      <c r="WMB17" s="37"/>
      <c r="WMC17" s="37"/>
      <c r="WMD17" s="37"/>
      <c r="WME17" s="37"/>
      <c r="WMF17" s="37"/>
      <c r="WMG17" s="37"/>
      <c r="WMH17" s="37"/>
      <c r="WMI17" s="37"/>
      <c r="WMJ17" s="37"/>
      <c r="WMK17" s="37"/>
      <c r="WML17" s="37"/>
      <c r="WMM17" s="37"/>
      <c r="WMN17" s="37"/>
      <c r="WMO17" s="37"/>
      <c r="WMP17" s="37"/>
      <c r="WMQ17" s="37"/>
      <c r="WMR17" s="37"/>
      <c r="WMS17" s="37"/>
      <c r="WMT17" s="37"/>
      <c r="WMU17" s="37"/>
      <c r="WMV17" s="37"/>
      <c r="WMW17" s="37"/>
      <c r="WMX17" s="37"/>
      <c r="WMY17" s="37"/>
      <c r="WMZ17" s="37"/>
      <c r="WNA17" s="37"/>
      <c r="WNB17" s="37"/>
      <c r="WNC17" s="37"/>
      <c r="WND17" s="37"/>
      <c r="WNE17" s="37"/>
      <c r="WNF17" s="37"/>
      <c r="WNG17" s="37"/>
      <c r="WNH17" s="37"/>
      <c r="WNI17" s="37"/>
      <c r="WNJ17" s="37"/>
      <c r="WNK17" s="37"/>
      <c r="WNL17" s="37"/>
      <c r="WNM17" s="37"/>
      <c r="WNN17" s="37"/>
      <c r="WNO17" s="37"/>
      <c r="WNP17" s="37"/>
      <c r="WNQ17" s="37"/>
      <c r="WNR17" s="37"/>
      <c r="WNS17" s="37"/>
      <c r="WNT17" s="37"/>
      <c r="WNU17" s="37"/>
      <c r="WNV17" s="37"/>
      <c r="WNW17" s="37"/>
      <c r="WNX17" s="37"/>
      <c r="WNY17" s="37"/>
      <c r="WNZ17" s="37"/>
      <c r="WOA17" s="37"/>
      <c r="WOB17" s="37"/>
      <c r="WOC17" s="37"/>
      <c r="WOD17" s="37"/>
      <c r="WOE17" s="37"/>
      <c r="WOF17" s="37"/>
      <c r="WOG17" s="37"/>
      <c r="WOH17" s="37"/>
      <c r="WOI17" s="37"/>
      <c r="WOJ17" s="37"/>
      <c r="WOK17" s="37"/>
      <c r="WOL17" s="37"/>
      <c r="WOM17" s="37"/>
      <c r="WON17" s="37"/>
      <c r="WOO17" s="37"/>
      <c r="WOP17" s="37"/>
      <c r="WOQ17" s="37"/>
      <c r="WOR17" s="37"/>
      <c r="WOS17" s="37"/>
      <c r="WOT17" s="37"/>
      <c r="WOU17" s="37"/>
      <c r="WOV17" s="37"/>
      <c r="WOW17" s="37"/>
      <c r="WOX17" s="37"/>
      <c r="WOY17" s="37"/>
      <c r="WOZ17" s="37"/>
      <c r="WPA17" s="37"/>
      <c r="WPB17" s="37"/>
      <c r="WPC17" s="37"/>
      <c r="WPD17" s="37"/>
      <c r="WPE17" s="37"/>
      <c r="WPF17" s="37"/>
      <c r="WPG17" s="37"/>
      <c r="WPH17" s="37"/>
      <c r="WPI17" s="37"/>
      <c r="WPJ17" s="37"/>
      <c r="WPK17" s="37"/>
      <c r="WPL17" s="37"/>
      <c r="WPM17" s="37"/>
      <c r="WPN17" s="37"/>
      <c r="WPO17" s="37"/>
      <c r="WPP17" s="37"/>
      <c r="WPQ17" s="37"/>
      <c r="WPR17" s="37"/>
      <c r="WPS17" s="37"/>
      <c r="WPT17" s="37"/>
      <c r="WPU17" s="37"/>
      <c r="WPV17" s="37"/>
      <c r="WPW17" s="37"/>
      <c r="WPX17" s="37"/>
      <c r="WPY17" s="37"/>
      <c r="WPZ17" s="37"/>
      <c r="WQA17" s="37"/>
      <c r="WQB17" s="37"/>
      <c r="WQC17" s="37"/>
      <c r="WQD17" s="37"/>
      <c r="WQE17" s="37"/>
      <c r="WQF17" s="37"/>
      <c r="WQG17" s="37"/>
      <c r="WQH17" s="37"/>
      <c r="WQI17" s="37"/>
      <c r="WQJ17" s="37"/>
      <c r="WQK17" s="37"/>
      <c r="WQL17" s="37"/>
      <c r="WQM17" s="37"/>
      <c r="WQN17" s="37"/>
      <c r="WQO17" s="37"/>
      <c r="WQP17" s="37"/>
      <c r="WQQ17" s="37"/>
      <c r="WQR17" s="37"/>
      <c r="WQS17" s="37"/>
      <c r="WQT17" s="37"/>
      <c r="WQU17" s="37"/>
      <c r="WQV17" s="37"/>
      <c r="WQW17" s="37"/>
      <c r="WQX17" s="37"/>
      <c r="WQY17" s="37"/>
      <c r="WQZ17" s="37"/>
      <c r="WRA17" s="37"/>
      <c r="WRB17" s="37"/>
      <c r="WRC17" s="37"/>
      <c r="WRD17" s="37"/>
      <c r="WRE17" s="37"/>
      <c r="WRF17" s="37"/>
      <c r="WRG17" s="37"/>
      <c r="WRH17" s="37"/>
      <c r="WRI17" s="37"/>
      <c r="WRJ17" s="37"/>
      <c r="WRK17" s="37"/>
      <c r="WRL17" s="37"/>
      <c r="WRM17" s="37"/>
      <c r="WRN17" s="37"/>
      <c r="WRO17" s="37"/>
      <c r="WRP17" s="37"/>
      <c r="WRQ17" s="37"/>
      <c r="WRR17" s="37"/>
      <c r="WRS17" s="37"/>
      <c r="WRT17" s="37"/>
      <c r="WRU17" s="37"/>
      <c r="WRV17" s="37"/>
      <c r="WRW17" s="37"/>
      <c r="WRX17" s="37"/>
      <c r="WRY17" s="37"/>
      <c r="WRZ17" s="37"/>
      <c r="WSA17" s="37"/>
      <c r="WSB17" s="37"/>
      <c r="WSC17" s="37"/>
      <c r="WSD17" s="37"/>
      <c r="WSE17" s="37"/>
      <c r="WSF17" s="37"/>
      <c r="WSG17" s="37"/>
      <c r="WSH17" s="37"/>
      <c r="WSI17" s="37"/>
      <c r="WSJ17" s="37"/>
      <c r="WSK17" s="37"/>
      <c r="WSL17" s="37"/>
      <c r="WSM17" s="37"/>
      <c r="WSN17" s="37"/>
      <c r="WSO17" s="37"/>
      <c r="WSP17" s="37"/>
      <c r="WSQ17" s="37"/>
      <c r="WSR17" s="37"/>
      <c r="WSS17" s="37"/>
      <c r="WST17" s="37"/>
      <c r="WSU17" s="37"/>
      <c r="WSV17" s="37"/>
      <c r="WSW17" s="37"/>
      <c r="WSX17" s="37"/>
      <c r="WSY17" s="37"/>
      <c r="WSZ17" s="37"/>
      <c r="WTA17" s="37"/>
      <c r="WTB17" s="37"/>
      <c r="WTC17" s="37"/>
      <c r="WTD17" s="37"/>
      <c r="WTE17" s="37"/>
      <c r="WTF17" s="37"/>
      <c r="WTG17" s="37"/>
      <c r="WTH17" s="37"/>
      <c r="WTI17" s="37"/>
      <c r="WTJ17" s="37"/>
      <c r="WTK17" s="37"/>
      <c r="WTL17" s="37"/>
      <c r="WTM17" s="37"/>
      <c r="WTN17" s="37"/>
      <c r="WTO17" s="37"/>
      <c r="WTP17" s="37"/>
      <c r="WTQ17" s="37"/>
      <c r="WTR17" s="37"/>
      <c r="WTS17" s="37"/>
      <c r="WTT17" s="37"/>
      <c r="WTU17" s="37"/>
      <c r="WTV17" s="37"/>
      <c r="WTW17" s="37"/>
      <c r="WTX17" s="37"/>
      <c r="WTY17" s="37"/>
      <c r="WTZ17" s="37"/>
      <c r="WUA17" s="37"/>
      <c r="WUB17" s="37"/>
      <c r="WUC17" s="37"/>
      <c r="WUD17" s="37"/>
      <c r="WUE17" s="37"/>
      <c r="WUF17" s="37"/>
      <c r="WUG17" s="37"/>
      <c r="WUH17" s="37"/>
      <c r="WUI17" s="37"/>
      <c r="WUJ17" s="37"/>
      <c r="WUK17" s="37"/>
      <c r="WUL17" s="37"/>
      <c r="WUM17" s="37"/>
      <c r="WUN17" s="37"/>
      <c r="WUO17" s="37"/>
      <c r="WUP17" s="37"/>
      <c r="WUQ17" s="37"/>
      <c r="WUR17" s="37"/>
      <c r="WUS17" s="37"/>
      <c r="WUT17" s="37"/>
      <c r="WUU17" s="37"/>
      <c r="WUV17" s="37"/>
      <c r="WUW17" s="37"/>
      <c r="WUX17" s="37"/>
      <c r="WUY17" s="37"/>
      <c r="WUZ17" s="37"/>
      <c r="WVA17" s="37"/>
      <c r="WVB17" s="37"/>
      <c r="WVC17" s="37"/>
      <c r="WVD17" s="37"/>
      <c r="WVE17" s="37"/>
      <c r="WVF17" s="37"/>
      <c r="WVG17" s="37"/>
      <c r="WVH17" s="37"/>
      <c r="WVI17" s="37"/>
      <c r="WVJ17" s="37"/>
      <c r="WVK17" s="37"/>
      <c r="WVL17" s="37"/>
      <c r="WVM17" s="37"/>
      <c r="WVN17" s="37"/>
      <c r="WVO17" s="37"/>
      <c r="WVP17" s="37"/>
      <c r="WVQ17" s="37"/>
      <c r="WVR17" s="37"/>
      <c r="WVS17" s="37"/>
      <c r="WVT17" s="37"/>
      <c r="WVU17" s="37"/>
      <c r="WVV17" s="37"/>
      <c r="WVW17" s="37"/>
      <c r="WVX17" s="37"/>
      <c r="WVY17" s="37"/>
      <c r="WVZ17" s="37"/>
      <c r="WWA17" s="37"/>
      <c r="WWB17" s="37"/>
      <c r="WWC17" s="37"/>
      <c r="WWD17" s="37"/>
      <c r="WWE17" s="37"/>
      <c r="WWF17" s="37"/>
      <c r="WWG17" s="37"/>
      <c r="WWH17" s="37"/>
      <c r="WWI17" s="37"/>
      <c r="WWJ17" s="37"/>
      <c r="WWK17" s="37"/>
      <c r="WWL17" s="37"/>
      <c r="WWM17" s="37"/>
      <c r="WWN17" s="37"/>
      <c r="WWO17" s="37"/>
      <c r="WWP17" s="37"/>
      <c r="WWQ17" s="37"/>
      <c r="WWR17" s="37"/>
      <c r="WWS17" s="37"/>
      <c r="WWT17" s="37"/>
      <c r="WWU17" s="37"/>
      <c r="WWV17" s="37"/>
      <c r="WWW17" s="37"/>
      <c r="WWX17" s="37"/>
      <c r="WWY17" s="37"/>
      <c r="WWZ17" s="37"/>
      <c r="WXA17" s="37"/>
      <c r="WXB17" s="37"/>
      <c r="WXC17" s="37"/>
      <c r="WXD17" s="37"/>
      <c r="WXE17" s="37"/>
      <c r="WXF17" s="37"/>
      <c r="WXG17" s="37"/>
      <c r="WXH17" s="37"/>
      <c r="WXI17" s="37"/>
      <c r="WXJ17" s="37"/>
      <c r="WXK17" s="37"/>
      <c r="WXL17" s="37"/>
      <c r="WXM17" s="37"/>
      <c r="WXN17" s="37"/>
      <c r="WXO17" s="37"/>
      <c r="WXP17" s="37"/>
      <c r="WXQ17" s="37"/>
      <c r="WXR17" s="37"/>
      <c r="WXS17" s="37"/>
      <c r="WXT17" s="37"/>
      <c r="WXU17" s="37"/>
      <c r="WXV17" s="37"/>
      <c r="WXW17" s="37"/>
      <c r="WXX17" s="37"/>
      <c r="WXY17" s="37"/>
      <c r="WXZ17" s="37"/>
      <c r="WYA17" s="37"/>
      <c r="WYB17" s="37"/>
      <c r="WYC17" s="37"/>
      <c r="WYD17" s="37"/>
      <c r="WYE17" s="37"/>
      <c r="WYF17" s="37"/>
      <c r="WYG17" s="37"/>
      <c r="WYH17" s="37"/>
      <c r="WYI17" s="37"/>
      <c r="WYJ17" s="37"/>
      <c r="WYK17" s="37"/>
      <c r="WYL17" s="37"/>
      <c r="WYM17" s="37"/>
      <c r="WYN17" s="37"/>
      <c r="WYO17" s="37"/>
      <c r="WYP17" s="37"/>
      <c r="WYQ17" s="37"/>
      <c r="WYR17" s="37"/>
      <c r="WYS17" s="37"/>
      <c r="WYT17" s="37"/>
      <c r="WYU17" s="37"/>
      <c r="WYV17" s="37"/>
      <c r="WYW17" s="37"/>
      <c r="WYX17" s="37"/>
      <c r="WYY17" s="37"/>
      <c r="WYZ17" s="37"/>
      <c r="WZA17" s="37"/>
      <c r="WZB17" s="37"/>
      <c r="WZC17" s="37"/>
      <c r="WZD17" s="37"/>
      <c r="WZE17" s="37"/>
      <c r="WZF17" s="37"/>
      <c r="WZG17" s="37"/>
      <c r="WZH17" s="37"/>
      <c r="WZI17" s="37"/>
      <c r="WZJ17" s="37"/>
      <c r="WZK17" s="37"/>
      <c r="WZL17" s="37"/>
      <c r="WZM17" s="37"/>
      <c r="WZN17" s="37"/>
      <c r="WZO17" s="37"/>
      <c r="WZP17" s="37"/>
      <c r="WZQ17" s="37"/>
      <c r="WZR17" s="37"/>
      <c r="WZS17" s="37"/>
      <c r="WZT17" s="37"/>
      <c r="WZU17" s="37"/>
      <c r="WZV17" s="37"/>
      <c r="WZW17" s="37"/>
      <c r="WZX17" s="37"/>
      <c r="WZY17" s="37"/>
      <c r="WZZ17" s="37"/>
      <c r="XAA17" s="37"/>
      <c r="XAB17" s="37"/>
      <c r="XAC17" s="37"/>
      <c r="XAD17" s="37"/>
      <c r="XAE17" s="37"/>
      <c r="XAF17" s="37"/>
      <c r="XAG17" s="37"/>
      <c r="XAH17" s="37"/>
      <c r="XAI17" s="37"/>
      <c r="XAJ17" s="37"/>
      <c r="XAK17" s="37"/>
      <c r="XAL17" s="37"/>
      <c r="XAM17" s="37"/>
      <c r="XAN17" s="37"/>
      <c r="XAO17" s="37"/>
      <c r="XAP17" s="37"/>
      <c r="XAQ17" s="37"/>
      <c r="XAR17" s="37"/>
      <c r="XAS17" s="37"/>
      <c r="XAT17" s="37"/>
      <c r="XAU17" s="37"/>
      <c r="XAV17" s="37"/>
      <c r="XAW17" s="37"/>
      <c r="XAX17" s="37"/>
      <c r="XAY17" s="37"/>
      <c r="XAZ17" s="37"/>
      <c r="XBA17" s="37"/>
      <c r="XBB17" s="37"/>
      <c r="XBC17" s="37"/>
      <c r="XBD17" s="37"/>
      <c r="XBE17" s="37"/>
      <c r="XBF17" s="37"/>
      <c r="XBG17" s="37"/>
      <c r="XBH17" s="37"/>
      <c r="XBI17" s="37"/>
      <c r="XBJ17" s="37"/>
      <c r="XBK17" s="37"/>
      <c r="XBL17" s="37"/>
      <c r="XBM17" s="37"/>
      <c r="XBN17" s="37"/>
      <c r="XBO17" s="37"/>
      <c r="XBP17" s="37"/>
      <c r="XBQ17" s="37"/>
      <c r="XBR17" s="37"/>
      <c r="XBS17" s="37"/>
      <c r="XBT17" s="37"/>
      <c r="XBU17" s="37"/>
      <c r="XBV17" s="37"/>
      <c r="XBW17" s="37"/>
      <c r="XBX17" s="37"/>
      <c r="XBY17" s="37"/>
      <c r="XBZ17" s="37"/>
      <c r="XCA17" s="37"/>
      <c r="XCB17" s="37"/>
      <c r="XCC17" s="37"/>
      <c r="XCD17" s="37"/>
      <c r="XCE17" s="37"/>
      <c r="XCF17" s="37"/>
      <c r="XCG17" s="37"/>
      <c r="XCH17" s="37"/>
      <c r="XCI17" s="37"/>
      <c r="XCJ17" s="37"/>
      <c r="XCK17" s="37"/>
      <c r="XCL17" s="37"/>
      <c r="XCM17" s="37"/>
      <c r="XCN17" s="37"/>
      <c r="XCO17" s="37"/>
      <c r="XCP17" s="37"/>
      <c r="XCQ17" s="37"/>
      <c r="XCR17" s="37"/>
      <c r="XCS17" s="37"/>
      <c r="XCT17" s="37"/>
      <c r="XCU17" s="37"/>
      <c r="XCV17" s="37"/>
      <c r="XCW17" s="37"/>
      <c r="XCX17" s="37"/>
      <c r="XCY17" s="37"/>
      <c r="XCZ17" s="37"/>
      <c r="XDA17" s="37"/>
      <c r="XDB17" s="37"/>
      <c r="XDC17" s="37"/>
      <c r="XDD17" s="37"/>
      <c r="XDE17" s="37"/>
      <c r="XDF17" s="37"/>
      <c r="XDG17" s="37"/>
      <c r="XDH17" s="37"/>
      <c r="XDI17" s="37"/>
      <c r="XDJ17" s="37"/>
      <c r="XDK17" s="37"/>
      <c r="XDL17" s="37"/>
      <c r="XDM17" s="37"/>
      <c r="XDN17" s="37"/>
      <c r="XDO17" s="37"/>
      <c r="XDP17" s="37"/>
      <c r="XDQ17" s="37"/>
      <c r="XDR17" s="37"/>
      <c r="XDS17" s="37"/>
      <c r="XDT17" s="37"/>
      <c r="XDU17" s="37"/>
      <c r="XDV17" s="37"/>
      <c r="XDW17" s="37"/>
      <c r="XDX17" s="37"/>
      <c r="XDY17" s="37"/>
      <c r="XDZ17" s="37"/>
      <c r="XEA17" s="37"/>
      <c r="XEB17" s="37"/>
      <c r="XEC17" s="37"/>
      <c r="XED17" s="37"/>
      <c r="XEE17" s="37"/>
      <c r="XEF17" s="37"/>
      <c r="XEG17" s="37"/>
      <c r="XEH17" s="37"/>
      <c r="XEI17" s="37"/>
      <c r="XEJ17" s="37"/>
      <c r="XEK17" s="37"/>
      <c r="XEL17" s="37"/>
      <c r="XEM17" s="37"/>
      <c r="XEN17" s="37"/>
      <c r="XEO17" s="37"/>
      <c r="XEP17" s="37"/>
      <c r="XEQ17" s="37"/>
      <c r="XER17" s="37"/>
      <c r="XES17" s="37"/>
      <c r="XET17" s="37"/>
      <c r="XEU17" s="37"/>
      <c r="XEV17" s="37"/>
      <c r="XEW17" s="37"/>
      <c r="XEX17" s="37"/>
      <c r="XEY17" s="37"/>
      <c r="XEZ17" s="37"/>
      <c r="XFA17" s="37"/>
      <c r="XFB17" s="37"/>
      <c r="XFC17" s="37"/>
      <c r="XFD17" s="37"/>
    </row>
    <row r="18" spans="2:16384" ht="17" thickTop="1"/>
    <row r="21" spans="2:16384">
      <c r="B21" s="105"/>
      <c r="C21" s="106" t="s">
        <v>205</v>
      </c>
      <c r="D21" s="106" t="s">
        <v>206</v>
      </c>
      <c r="E21" s="107" t="s">
        <v>207</v>
      </c>
      <c r="F21" s="108"/>
      <c r="G21" s="109" t="s">
        <v>208</v>
      </c>
      <c r="H21" s="110"/>
    </row>
    <row r="22" spans="2:16384">
      <c r="B22" s="111" t="s">
        <v>209</v>
      </c>
      <c r="C22" s="106" t="s">
        <v>210</v>
      </c>
      <c r="D22" s="106" t="s">
        <v>210</v>
      </c>
      <c r="E22" s="106" t="s">
        <v>211</v>
      </c>
      <c r="F22" s="112" t="s">
        <v>212</v>
      </c>
      <c r="G22" s="113" t="s">
        <v>211</v>
      </c>
      <c r="H22" s="112" t="s">
        <v>212</v>
      </c>
    </row>
    <row r="23" spans="2:16384">
      <c r="B23" s="116" t="s">
        <v>230</v>
      </c>
      <c r="C23" s="117">
        <v>1137223.081161313</v>
      </c>
      <c r="D23" s="118">
        <v>1056174.081161313</v>
      </c>
      <c r="E23" s="119">
        <v>3.7245544455490549</v>
      </c>
      <c r="F23" s="120">
        <v>3.435896865785645</v>
      </c>
      <c r="G23" s="119">
        <v>12.00608694993632</v>
      </c>
      <c r="H23" s="121">
        <v>10.76059663747364</v>
      </c>
    </row>
    <row r="24" spans="2:16384">
      <c r="B24" s="116" t="s">
        <v>231</v>
      </c>
      <c r="C24" s="122">
        <v>42458.781280389398</v>
      </c>
      <c r="D24" s="123">
        <v>61779.781280389398</v>
      </c>
      <c r="E24" s="124">
        <v>0.62616964917634632</v>
      </c>
      <c r="F24" s="125">
        <v>0.6986687167700244</v>
      </c>
      <c r="G24" s="124">
        <v>8.4253296436129688</v>
      </c>
      <c r="H24" s="126">
        <v>7.1084778829121396</v>
      </c>
    </row>
    <row r="25" spans="2:16384">
      <c r="B25" s="116" t="s">
        <v>232</v>
      </c>
      <c r="C25" s="122">
        <v>3236031.52</v>
      </c>
      <c r="D25" s="123">
        <v>3258340.52</v>
      </c>
      <c r="E25" s="124">
        <v>15.120262935610979</v>
      </c>
      <c r="F25" s="125">
        <v>13.292729824332371</v>
      </c>
      <c r="G25" s="124">
        <v>30.572777512737819</v>
      </c>
      <c r="H25" s="126">
        <v>24.916575055440848</v>
      </c>
    </row>
    <row r="26" spans="2:16384">
      <c r="B26" s="116" t="s">
        <v>233</v>
      </c>
      <c r="C26" s="122">
        <v>389606.584734793</v>
      </c>
      <c r="D26" s="123">
        <v>399440.60673479299</v>
      </c>
      <c r="E26" s="124">
        <v>12.66717475213283</v>
      </c>
      <c r="F26" s="125">
        <v>11.844648722655821</v>
      </c>
      <c r="G26" s="124">
        <v>63.499434934957428</v>
      </c>
      <c r="H26" s="126">
        <v>55.002866458904343</v>
      </c>
    </row>
    <row r="27" spans="2:16384">
      <c r="B27" s="116"/>
      <c r="C27" s="122"/>
      <c r="D27" s="123"/>
      <c r="E27" s="124"/>
      <c r="F27" s="125"/>
      <c r="G27" s="124"/>
      <c r="H27" s="126"/>
    </row>
    <row r="28" spans="2:16384">
      <c r="B28" s="116"/>
      <c r="C28" s="122"/>
      <c r="D28" s="123"/>
      <c r="E28" s="124"/>
      <c r="F28" s="125"/>
      <c r="G28" s="124"/>
      <c r="H28" s="126"/>
    </row>
    <row r="29" spans="2:16384">
      <c r="B29" s="116"/>
      <c r="C29" s="122"/>
      <c r="D29" s="123"/>
      <c r="E29" s="124"/>
      <c r="F29" s="125"/>
      <c r="G29" s="124"/>
      <c r="H29" s="126"/>
      <c r="AZ29" t="str" cm="1">
        <f t="array" ref="AZ29:BB33">TRANSPOSE(_xlfn.VSTACK(D38:H38,D36:H36,D35:H35))</f>
        <v xml:space="preserve">Low </v>
      </c>
      <c r="BA29" t="str">
        <v xml:space="preserve">Mean </v>
      </c>
      <c r="BB29" t="str">
        <v xml:space="preserve">High </v>
      </c>
    </row>
    <row r="30" spans="2:16384">
      <c r="B30" s="116"/>
      <c r="C30" s="122"/>
      <c r="D30" s="123"/>
      <c r="E30" s="124"/>
      <c r="F30" s="125"/>
      <c r="G30" s="124"/>
      <c r="H30" s="126"/>
      <c r="AZ30">
        <v>0.62616964917634632</v>
      </c>
      <c r="BA30">
        <v>8.0345404456173029</v>
      </c>
      <c r="BB30">
        <v>15.120262935610979</v>
      </c>
    </row>
    <row r="31" spans="2:16384">
      <c r="B31" s="116"/>
      <c r="C31" s="122"/>
      <c r="D31" s="123"/>
      <c r="E31" s="124"/>
      <c r="F31" s="125"/>
      <c r="G31" s="124"/>
      <c r="H31" s="126"/>
      <c r="AZ31">
        <v>0.6986687167700244</v>
      </c>
      <c r="BA31">
        <v>7.3179860323859653</v>
      </c>
      <c r="BB31">
        <v>13.292729824332371</v>
      </c>
    </row>
    <row r="32" spans="2:16384">
      <c r="B32" s="116"/>
      <c r="C32" s="122"/>
      <c r="D32" s="123"/>
      <c r="E32" s="124"/>
      <c r="F32" s="125"/>
      <c r="G32" s="124"/>
      <c r="H32" s="126"/>
      <c r="AZ32">
        <v>8.4253296436129688</v>
      </c>
      <c r="BA32">
        <v>28.625907260311131</v>
      </c>
      <c r="BB32">
        <v>63.499434934957428</v>
      </c>
    </row>
    <row r="33" spans="2:54">
      <c r="B33" s="99"/>
      <c r="C33" s="100"/>
      <c r="D33" s="101"/>
      <c r="E33" s="102"/>
      <c r="F33" s="114"/>
      <c r="G33" s="102"/>
      <c r="H33" s="115"/>
      <c r="AZ33">
        <v>7.1084778829121396</v>
      </c>
      <c r="BA33">
        <v>24.447129008682744</v>
      </c>
      <c r="BB33">
        <v>55.002866458904343</v>
      </c>
    </row>
    <row r="34" spans="2:54">
      <c r="B34" s="86"/>
      <c r="C34" s="87"/>
      <c r="D34" s="87"/>
      <c r="E34" s="103"/>
      <c r="F34" s="104"/>
      <c r="G34" s="104"/>
      <c r="H34" s="104"/>
    </row>
    <row r="35" spans="2:54">
      <c r="B35" s="245"/>
      <c r="C35" s="25"/>
      <c r="D35" s="257" t="s">
        <v>213</v>
      </c>
      <c r="E35" s="258">
        <f>MAX(E23:E33)</f>
        <v>15.120262935610979</v>
      </c>
      <c r="F35" s="258">
        <f t="shared" ref="F35:H35" si="0">MAX(F23:F33)</f>
        <v>13.292729824332371</v>
      </c>
      <c r="G35" s="258">
        <f t="shared" si="0"/>
        <v>63.499434934957428</v>
      </c>
      <c r="H35" s="258">
        <f t="shared" si="0"/>
        <v>55.002866458904343</v>
      </c>
    </row>
    <row r="36" spans="2:54">
      <c r="B36" s="245"/>
      <c r="C36" s="25"/>
      <c r="D36" s="257" t="s">
        <v>214</v>
      </c>
      <c r="E36" s="258">
        <f>AVERAGE(E23:E33)</f>
        <v>8.0345404456173029</v>
      </c>
      <c r="F36" s="258">
        <f t="shared" ref="F36:H36" si="1">AVERAGE(F23:F33)</f>
        <v>7.3179860323859653</v>
      </c>
      <c r="G36" s="258">
        <f t="shared" si="1"/>
        <v>28.625907260311131</v>
      </c>
      <c r="H36" s="258">
        <f t="shared" si="1"/>
        <v>24.447129008682744</v>
      </c>
    </row>
    <row r="37" spans="2:54">
      <c r="B37" s="245"/>
      <c r="C37" s="25"/>
      <c r="D37" s="257" t="s">
        <v>215</v>
      </c>
      <c r="E37" s="258">
        <f>MEDIAN(E23:E33)</f>
        <v>8.1958645988409415</v>
      </c>
      <c r="F37" s="258">
        <f t="shared" ref="F37:H37" si="2">MEDIAN(F23:F33)</f>
        <v>7.6402727942207331</v>
      </c>
      <c r="G37" s="258">
        <f t="shared" si="2"/>
        <v>21.289432231337067</v>
      </c>
      <c r="H37" s="258">
        <f t="shared" si="2"/>
        <v>17.838585846457242</v>
      </c>
    </row>
    <row r="38" spans="2:54">
      <c r="B38" s="245"/>
      <c r="C38" s="25"/>
      <c r="D38" s="257" t="s">
        <v>216</v>
      </c>
      <c r="E38" s="258">
        <f>MIN(E23:E33)</f>
        <v>0.62616964917634632</v>
      </c>
      <c r="F38" s="258">
        <f t="shared" ref="F38:H38" si="3">MIN(F23:F33)</f>
        <v>0.6986687167700244</v>
      </c>
      <c r="G38" s="258">
        <f t="shared" si="3"/>
        <v>8.4253296436129688</v>
      </c>
      <c r="H38" s="258">
        <f t="shared" si="3"/>
        <v>7.1084778829121396</v>
      </c>
    </row>
    <row r="39" spans="2:54">
      <c r="B39" s="25"/>
      <c r="C39" s="246"/>
      <c r="D39" s="246"/>
      <c r="E39" s="259"/>
      <c r="F39" s="92"/>
      <c r="G39" s="92"/>
      <c r="H39" s="92"/>
    </row>
    <row r="40" spans="2:54">
      <c r="B40" s="260" t="str" cm="1">
        <f t="array" ref="B40">Name</f>
        <v>Apple Inc.</v>
      </c>
      <c r="C40" s="261">
        <f ca="1">E10</f>
        <v>3917407.818</v>
      </c>
      <c r="D40" s="261">
        <f ca="1">E13</f>
        <v>3898628.818</v>
      </c>
      <c r="E40" s="262">
        <f ca="1">H10</f>
        <v>40.286327984045137</v>
      </c>
      <c r="F40" s="262">
        <f ca="1">I10</f>
        <v>27.416947117962462</v>
      </c>
      <c r="G40" s="262">
        <f ca="1">H11</f>
        <v>263.49208015679915</v>
      </c>
      <c r="H40" s="262">
        <f ca="1">I11</f>
        <v>138.38293261794215</v>
      </c>
    </row>
  </sheetData>
  <sheetProtection sheet="1" formatCells="0" formatColumns="0" formatRows="0" insertColumns="0" insertRows="0" insertHyperlinks="0" selectLockedCells="1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2:XFD23"/>
  <sheetViews>
    <sheetView tabSelected="1" zoomScale="59" zoomScaleNormal="113" workbookViewId="0">
      <selection activeCell="P4" sqref="P4"/>
    </sheetView>
  </sheetViews>
  <sheetFormatPr baseColWidth="10" defaultRowHeight="16"/>
  <cols>
    <col min="2" max="2" width="17.7109375" customWidth="1"/>
    <col min="3" max="3" width="16.42578125" bestFit="1" customWidth="1"/>
    <col min="17" max="17" width="16.7109375" bestFit="1" customWidth="1"/>
    <col min="47" max="47" width="20.140625" bestFit="1" customWidth="1"/>
  </cols>
  <sheetData>
    <row r="2" spans="2:16384" ht="21" thickBot="1">
      <c r="B2" s="38" t="s">
        <v>222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86" t="str">
        <f>"Valuation Football Field: "&amp;Name</f>
        <v>Valuation Football Field: Apple Inc.</v>
      </c>
      <c r="C4" s="287"/>
      <c r="D4" s="287"/>
      <c r="E4" s="287"/>
      <c r="F4" s="287"/>
      <c r="G4" s="25"/>
      <c r="H4" s="25"/>
      <c r="I4" s="25"/>
      <c r="AT4" s="275" t="str">
        <f>B4</f>
        <v>Valuation Football Field: Apple Inc.</v>
      </c>
      <c r="AU4" s="275"/>
      <c r="AV4" s="275"/>
      <c r="AW4" s="275"/>
      <c r="AX4" s="275"/>
      <c r="AY4" s="275"/>
      <c r="AZ4" s="275"/>
      <c r="BA4" s="275"/>
      <c r="BB4" s="275"/>
    </row>
    <row r="5" spans="2:16384">
      <c r="B5" s="25"/>
      <c r="C5" s="263" t="s">
        <v>234</v>
      </c>
      <c r="D5" s="264" t="s">
        <v>223</v>
      </c>
      <c r="E5" s="264" t="s">
        <v>238</v>
      </c>
      <c r="F5" s="264" t="s">
        <v>224</v>
      </c>
      <c r="G5" s="25"/>
      <c r="H5" s="265" t="s">
        <v>235</v>
      </c>
      <c r="I5" s="265" t="s">
        <v>236</v>
      </c>
      <c r="J5" s="265" t="s">
        <v>237</v>
      </c>
      <c r="AT5" s="275"/>
      <c r="AU5" s="275" t="s">
        <v>234</v>
      </c>
      <c r="AV5" s="275" t="s">
        <v>223</v>
      </c>
      <c r="AW5" s="275" t="s">
        <v>238</v>
      </c>
      <c r="AX5" s="275" t="s">
        <v>224</v>
      </c>
      <c r="AY5" s="275"/>
      <c r="AZ5" s="275" t="s">
        <v>235</v>
      </c>
      <c r="BA5" s="275" t="s">
        <v>236</v>
      </c>
      <c r="BB5" s="275" t="s">
        <v>237</v>
      </c>
    </row>
    <row r="6" spans="2:16384">
      <c r="B6" s="266" t="s">
        <v>239</v>
      </c>
      <c r="C6" s="245"/>
      <c r="D6" s="267">
        <f>Low_Share_Price</f>
        <v>120</v>
      </c>
      <c r="E6" s="268">
        <f>AVERAGE(D6,F6)</f>
        <v>200</v>
      </c>
      <c r="F6" s="267">
        <f>High_Share_Price</f>
        <v>280</v>
      </c>
      <c r="G6" s="25"/>
      <c r="H6" s="128">
        <f>D6</f>
        <v>120</v>
      </c>
      <c r="I6" s="153">
        <f>E6-D6</f>
        <v>80</v>
      </c>
      <c r="J6" s="128">
        <f>F6-E6</f>
        <v>80</v>
      </c>
      <c r="S6" s="128"/>
      <c r="T6" s="128"/>
      <c r="U6" s="128"/>
      <c r="V6" s="128"/>
      <c r="W6" s="128"/>
      <c r="X6" s="128"/>
      <c r="Y6" s="128"/>
      <c r="AT6" s="275" t="s">
        <v>239</v>
      </c>
      <c r="AU6" s="275"/>
      <c r="AV6" s="276">
        <f>D6</f>
        <v>120</v>
      </c>
      <c r="AW6" s="276">
        <f t="shared" ref="AW6:BB6" si="0">E6</f>
        <v>200</v>
      </c>
      <c r="AX6" s="276">
        <f t="shared" si="0"/>
        <v>280</v>
      </c>
      <c r="AY6" s="276"/>
      <c r="AZ6" s="276">
        <f t="shared" si="0"/>
        <v>120</v>
      </c>
      <c r="BA6" s="276">
        <f t="shared" si="0"/>
        <v>80</v>
      </c>
      <c r="BB6" s="276">
        <f t="shared" si="0"/>
        <v>80</v>
      </c>
    </row>
    <row r="7" spans="2:16384">
      <c r="B7" s="266" t="s">
        <v>225</v>
      </c>
      <c r="C7" s="245"/>
      <c r="D7" s="267">
        <f>MIN(DCF!J102:N106)</f>
        <v>34.270041046896146</v>
      </c>
      <c r="E7" s="268">
        <f ca="1">DCF!C100</f>
        <v>41.188581434459458</v>
      </c>
      <c r="F7" s="267">
        <f>MAX(DCF!J102:N106)</f>
        <v>51.725494630858243</v>
      </c>
      <c r="G7" s="25"/>
      <c r="H7" s="128">
        <f t="shared" ref="H7" si="1">D7</f>
        <v>34.270041046896146</v>
      </c>
      <c r="I7" s="153">
        <f t="shared" ref="I7" ca="1" si="2">E7-D7</f>
        <v>6.9185403875633114</v>
      </c>
      <c r="J7" s="128">
        <f t="shared" ref="J7" ca="1" si="3">F7-E7</f>
        <v>10.536913196398785</v>
      </c>
      <c r="S7" s="128"/>
      <c r="T7" s="128"/>
      <c r="U7" s="128"/>
      <c r="V7" s="128"/>
      <c r="W7" s="128"/>
      <c r="X7" s="128"/>
      <c r="Y7" s="128"/>
      <c r="AT7" s="275" t="s">
        <v>225</v>
      </c>
      <c r="AU7" s="275"/>
      <c r="AV7" s="276">
        <f t="shared" ref="AV7:AV13" si="4">D7</f>
        <v>34.270041046896146</v>
      </c>
      <c r="AW7" s="276">
        <f t="shared" ref="AW7:AW13" ca="1" si="5">E7</f>
        <v>41.188581434459458</v>
      </c>
      <c r="AX7" s="276">
        <f t="shared" ref="AX7:AX13" si="6">F7</f>
        <v>51.725494630858243</v>
      </c>
      <c r="AY7" s="276"/>
      <c r="AZ7" s="276">
        <f t="shared" ref="AZ7:AZ13" si="7">H7</f>
        <v>34.270041046896146</v>
      </c>
      <c r="BA7" s="276">
        <f t="shared" ref="BA7:BA13" ca="1" si="8">I7</f>
        <v>6.9185403875633114</v>
      </c>
      <c r="BB7" s="276">
        <f t="shared" ref="BB7:BB13" ca="1" si="9">J7</f>
        <v>10.536913196398785</v>
      </c>
    </row>
    <row r="8" spans="2:16384">
      <c r="B8" s="266" t="s">
        <v>226</v>
      </c>
      <c r="C8" s="245"/>
      <c r="D8" s="267">
        <f>(('Comparable multiples'!AZ30*Revenue_FY0)-Total_Debt+Cash)/(Shares_Outstanding/1000000)</f>
        <v>5.2317010134954325</v>
      </c>
      <c r="E8" s="269">
        <f>(('Comparable multiples'!BA30*Revenue_FY0)-Total_Debt+Cash)/(Shares_Outstanding/1000000)</f>
        <v>52.485243039556664</v>
      </c>
      <c r="F8" s="267">
        <f>(('Comparable multiples'!BB30*Revenue_FY0)-Total_Debt+Cash)/(Shares_Outstanding/1000000)</f>
        <v>97.680805554701877</v>
      </c>
      <c r="G8" s="25"/>
      <c r="H8" s="128">
        <f>D8</f>
        <v>5.2317010134954325</v>
      </c>
      <c r="I8" s="153">
        <f t="shared" ref="I8:J11" si="10">E8-D8</f>
        <v>47.253542026061233</v>
      </c>
      <c r="J8" s="128">
        <f t="shared" si="10"/>
        <v>45.195562515145213</v>
      </c>
      <c r="S8" s="128"/>
      <c r="T8" s="128"/>
      <c r="U8" s="128"/>
      <c r="V8" s="128"/>
      <c r="W8" s="128"/>
      <c r="X8" s="128"/>
      <c r="Y8" s="128"/>
      <c r="AT8" s="275" t="s">
        <v>253</v>
      </c>
      <c r="AU8" s="275"/>
      <c r="AV8" s="276">
        <f t="shared" si="4"/>
        <v>5.2317010134954325</v>
      </c>
      <c r="AW8" s="276">
        <f t="shared" si="5"/>
        <v>52.485243039556664</v>
      </c>
      <c r="AX8" s="276">
        <f t="shared" si="6"/>
        <v>97.680805554701877</v>
      </c>
      <c r="AY8" s="276"/>
      <c r="AZ8" s="276">
        <f t="shared" si="7"/>
        <v>5.2317010134954325</v>
      </c>
      <c r="BA8" s="276">
        <f t="shared" si="8"/>
        <v>47.253542026061233</v>
      </c>
      <c r="BB8" s="276">
        <f t="shared" si="9"/>
        <v>45.195562515145213</v>
      </c>
    </row>
    <row r="9" spans="2:16384">
      <c r="B9" s="266" t="s">
        <v>227</v>
      </c>
      <c r="C9" s="245"/>
      <c r="D9" s="267">
        <f>(('Comparable multiples'!AZ31*Revenue_FY1)-Total_Debt+Cash)/(Shares_Outstanding/1000000)</f>
        <v>7.785935495040615</v>
      </c>
      <c r="E9" s="269">
        <f>(('Comparable multiples'!BA31*Revenue_FY1)-Total_Debt+Cash)/(Shares_Outstanding/1000000)</f>
        <v>69.824743847957066</v>
      </c>
      <c r="F9" s="267">
        <f>(('Comparable multiples'!BB31*Revenue_FY1)-Total_Debt+Cash)/(Shares_Outstanding/1000000)</f>
        <v>125.82235922014733</v>
      </c>
      <c r="G9" s="25"/>
      <c r="H9" s="128">
        <f>D9</f>
        <v>7.785935495040615</v>
      </c>
      <c r="I9" s="153">
        <f t="shared" si="10"/>
        <v>62.038808352916448</v>
      </c>
      <c r="J9" s="128">
        <f t="shared" si="10"/>
        <v>55.997615372190268</v>
      </c>
      <c r="S9" s="128"/>
      <c r="T9" s="128"/>
      <c r="U9" s="128"/>
      <c r="V9" s="128"/>
      <c r="W9" s="128"/>
      <c r="X9" s="128"/>
      <c r="Y9" s="128"/>
      <c r="AT9" s="275" t="s">
        <v>254</v>
      </c>
      <c r="AU9" s="275"/>
      <c r="AV9" s="276">
        <f t="shared" si="4"/>
        <v>7.785935495040615</v>
      </c>
      <c r="AW9" s="276">
        <f t="shared" si="5"/>
        <v>69.824743847957066</v>
      </c>
      <c r="AX9" s="276">
        <f t="shared" si="6"/>
        <v>125.82235922014733</v>
      </c>
      <c r="AY9" s="276"/>
      <c r="AZ9" s="276">
        <f t="shared" si="7"/>
        <v>7.785935495040615</v>
      </c>
      <c r="BA9" s="276">
        <f t="shared" si="8"/>
        <v>62.038808352916448</v>
      </c>
      <c r="BB9" s="276">
        <f t="shared" si="9"/>
        <v>55.997615372190268</v>
      </c>
    </row>
    <row r="10" spans="2:16384">
      <c r="B10" s="266" t="s">
        <v>228</v>
      </c>
      <c r="C10" s="245"/>
      <c r="D10" s="267">
        <f>(('Comparable multiples'!AZ32*EBITDA_FY0)-Total_Debt+Cash)/(Shares_Outstanding/1000000)</f>
        <v>9.4542757678391212</v>
      </c>
      <c r="E10" s="269">
        <f>(('Comparable multiples'!BA32*EBITDA_FY0)-Total_Debt+Cash)/(Shares_Outstanding/1000000)</f>
        <v>29.154245674006081</v>
      </c>
      <c r="F10" s="267">
        <f>(('Comparable multiples'!BB32*EBITDA_FY0)-Total_Debt+Cash)/(Shares_Outstanding/1000000)</f>
        <v>63.1635427717544</v>
      </c>
      <c r="G10" s="25"/>
      <c r="H10" s="128">
        <f>D10</f>
        <v>9.4542757678391212</v>
      </c>
      <c r="I10" s="153">
        <f t="shared" si="10"/>
        <v>19.69996990616696</v>
      </c>
      <c r="J10" s="128">
        <f t="shared" si="10"/>
        <v>34.009297097748316</v>
      </c>
      <c r="S10" s="128"/>
      <c r="T10" s="128"/>
      <c r="U10" s="128"/>
      <c r="V10" s="128"/>
      <c r="W10" s="128"/>
      <c r="X10" s="128"/>
      <c r="Y10" s="128"/>
      <c r="AT10" s="275" t="s">
        <v>255</v>
      </c>
      <c r="AU10" s="275"/>
      <c r="AV10" s="276">
        <f t="shared" si="4"/>
        <v>9.4542757678391212</v>
      </c>
      <c r="AW10" s="276">
        <f t="shared" si="5"/>
        <v>29.154245674006081</v>
      </c>
      <c r="AX10" s="276">
        <f t="shared" si="6"/>
        <v>63.1635427717544</v>
      </c>
      <c r="AY10" s="276"/>
      <c r="AZ10" s="276">
        <f t="shared" si="7"/>
        <v>9.4542757678391212</v>
      </c>
      <c r="BA10" s="276">
        <f t="shared" si="8"/>
        <v>19.69996990616696</v>
      </c>
      <c r="BB10" s="276">
        <f t="shared" si="9"/>
        <v>34.009297097748316</v>
      </c>
    </row>
    <row r="11" spans="2:16384">
      <c r="B11" s="266" t="s">
        <v>229</v>
      </c>
      <c r="C11" s="245"/>
      <c r="D11" s="267">
        <f>(('Comparable multiples'!AZ33*EBITDA_FY1)-Total_Debt+Cash)/(Shares_Outstanding/1000000)</f>
        <v>14.437422142448602</v>
      </c>
      <c r="E11" s="269">
        <f>(('Comparable multiples'!BA33*EBITDA_FY1)-Total_Debt+Cash)/(Shares_Outstanding/1000000)</f>
        <v>46.633436999425577</v>
      </c>
      <c r="F11" s="267">
        <f>(('Comparable multiples'!BB33*EBITDA_FY1)-Total_Debt+Cash)/(Shares_Outstanding/1000000)</f>
        <v>103.37216308469938</v>
      </c>
      <c r="G11" s="25"/>
      <c r="H11" s="128">
        <f>D11</f>
        <v>14.437422142448602</v>
      </c>
      <c r="I11" s="153">
        <f t="shared" si="10"/>
        <v>32.196014856976973</v>
      </c>
      <c r="J11" s="128">
        <f t="shared" si="10"/>
        <v>56.738726085273804</v>
      </c>
      <c r="S11" s="128"/>
      <c r="T11" s="128"/>
      <c r="U11" s="128"/>
      <c r="V11" s="128"/>
      <c r="W11" s="128"/>
      <c r="X11" s="128"/>
      <c r="Y11" s="128"/>
      <c r="AT11" s="275" t="s">
        <v>256</v>
      </c>
      <c r="AU11" s="275"/>
      <c r="AV11" s="276">
        <f t="shared" si="4"/>
        <v>14.437422142448602</v>
      </c>
      <c r="AW11" s="276">
        <f t="shared" si="5"/>
        <v>46.633436999425577</v>
      </c>
      <c r="AX11" s="276">
        <f t="shared" si="6"/>
        <v>103.37216308469938</v>
      </c>
      <c r="AY11" s="276"/>
      <c r="AZ11" s="276">
        <f t="shared" si="7"/>
        <v>14.437422142448602</v>
      </c>
      <c r="BA11" s="276">
        <f t="shared" si="8"/>
        <v>32.196014856976973</v>
      </c>
      <c r="BB11" s="276">
        <f t="shared" si="9"/>
        <v>56.738726085273804</v>
      </c>
    </row>
    <row r="12" spans="2:16384">
      <c r="B12" s="25"/>
      <c r="C12" s="25"/>
      <c r="D12" s="270"/>
      <c r="E12" s="271"/>
      <c r="F12" s="270"/>
      <c r="G12" s="25"/>
      <c r="H12" s="245"/>
      <c r="I12" s="272"/>
      <c r="J12" s="273"/>
      <c r="S12" s="128"/>
      <c r="T12" s="128"/>
      <c r="U12" s="128"/>
      <c r="V12" s="128"/>
      <c r="W12" s="128"/>
      <c r="X12" s="128"/>
      <c r="Y12" s="128"/>
      <c r="AT12" s="275"/>
      <c r="AU12" s="275"/>
      <c r="AV12" s="276"/>
      <c r="AW12" s="276"/>
      <c r="AX12" s="276"/>
      <c r="AY12" s="276"/>
      <c r="AZ12" s="276"/>
      <c r="BA12" s="276"/>
      <c r="BB12" s="276"/>
    </row>
    <row r="13" spans="2:16384">
      <c r="B13" s="266" t="s">
        <v>11</v>
      </c>
      <c r="D13" s="128" vm="1">
        <f ca="1">'Information from Python'!$F$5</f>
        <v>258.2</v>
      </c>
      <c r="E13" s="153" vm="1">
        <f ca="1">'Information from Python'!$F$5</f>
        <v>258.2</v>
      </c>
      <c r="F13" s="128" vm="1">
        <f ca="1">'Information from Python'!$F$5</f>
        <v>258.2</v>
      </c>
      <c r="H13" s="273">
        <v>1000</v>
      </c>
      <c r="I13" s="274">
        <v>0</v>
      </c>
      <c r="J13" s="273">
        <v>0</v>
      </c>
      <c r="S13" s="128"/>
      <c r="T13" s="128"/>
      <c r="U13" s="128"/>
      <c r="V13" s="128"/>
      <c r="W13" s="128"/>
      <c r="X13" s="128"/>
      <c r="Y13" s="128"/>
      <c r="AT13" s="275" t="s">
        <v>11</v>
      </c>
      <c r="AU13" s="275"/>
      <c r="AV13" s="276" vm="1">
        <f t="shared" ca="1" si="4"/>
        <v>258.2</v>
      </c>
      <c r="AW13" s="276" vm="1">
        <f t="shared" ca="1" si="5"/>
        <v>258.2</v>
      </c>
      <c r="AX13" s="276" vm="1">
        <f t="shared" ca="1" si="6"/>
        <v>258.2</v>
      </c>
      <c r="AY13" s="276"/>
      <c r="AZ13" s="276">
        <f t="shared" si="7"/>
        <v>1000</v>
      </c>
      <c r="BA13" s="276">
        <f t="shared" si="8"/>
        <v>0</v>
      </c>
      <c r="BB13" s="276">
        <f t="shared" si="9"/>
        <v>0</v>
      </c>
    </row>
    <row r="14" spans="2:16384">
      <c r="AT14" s="275"/>
      <c r="AU14" s="275"/>
      <c r="AV14" s="275"/>
      <c r="AW14" s="275"/>
      <c r="AX14" s="275"/>
      <c r="AY14" s="275"/>
      <c r="AZ14" s="275"/>
      <c r="BA14" s="275"/>
      <c r="BB14" s="275"/>
    </row>
    <row r="15" spans="2:16384">
      <c r="AT15" s="275" t="s">
        <v>251</v>
      </c>
      <c r="AU15" s="275"/>
      <c r="AV15" s="275"/>
      <c r="AW15" s="275"/>
      <c r="AX15" s="275"/>
      <c r="AY15" s="275"/>
      <c r="AZ15" s="275"/>
      <c r="BA15" s="275"/>
      <c r="BB15" s="275"/>
    </row>
    <row r="23" spans="12:12">
      <c r="L23" s="127"/>
    </row>
  </sheetData>
  <sheetProtection formatCells="0" formatColumns="0" formatRows="0" insertColumns="0" insertRows="0" insertHyperlinks="0" selectLockedCells="1" sort="0" autoFilter="0" pivotTables="0"/>
  <mergeCells count="1">
    <mergeCell ref="B4:F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D3640-0450-1549-B5D2-2A7649266D5D}">
  <sheetPr codeName="Sheet5"/>
  <dimension ref="B2:XFD24"/>
  <sheetViews>
    <sheetView zoomScale="66" workbookViewId="0">
      <selection activeCell="L15" sqref="L15"/>
    </sheetView>
  </sheetViews>
  <sheetFormatPr baseColWidth="10" defaultRowHeight="16"/>
  <cols>
    <col min="2" max="3" width="15.28515625" bestFit="1" customWidth="1"/>
    <col min="16" max="16" width="11.42578125" bestFit="1" customWidth="1"/>
    <col min="17" max="17" width="16.7109375" bestFit="1" customWidth="1"/>
  </cols>
  <sheetData>
    <row r="2" spans="2:16384" ht="21" thickBot="1">
      <c r="B2" s="38" t="s">
        <v>174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26" t="s">
        <v>174</v>
      </c>
      <c r="C4" s="66"/>
      <c r="D4" s="27"/>
      <c r="E4" s="33"/>
      <c r="F4" s="288" t="s">
        <v>149</v>
      </c>
      <c r="G4" s="288"/>
      <c r="H4" s="288"/>
      <c r="I4" s="288"/>
      <c r="J4" s="288"/>
      <c r="K4" s="288"/>
      <c r="L4" s="288"/>
      <c r="M4" s="288"/>
      <c r="N4" s="288"/>
      <c r="O4" s="288"/>
    </row>
    <row r="5" spans="2:16384">
      <c r="B5" s="85" t="s">
        <v>202</v>
      </c>
      <c r="C5" s="68" t="s">
        <v>112</v>
      </c>
      <c r="D5" s="68">
        <f>DCF!D63</f>
        <v>2022</v>
      </c>
      <c r="E5" s="69">
        <f>DCF!E63</f>
        <v>2023</v>
      </c>
      <c r="F5" s="67">
        <f>DCF!F63</f>
        <v>2024</v>
      </c>
      <c r="G5" s="67">
        <f>DCF!G63</f>
        <v>2025</v>
      </c>
      <c r="H5" s="67">
        <f>DCF!H63</f>
        <v>2026</v>
      </c>
      <c r="I5" s="67" t="str">
        <f>DCF!I63</f>
        <v/>
      </c>
      <c r="J5" s="67" t="str">
        <f>DCF!J63</f>
        <v/>
      </c>
      <c r="K5" s="67" t="str">
        <f>DCF!K63</f>
        <v/>
      </c>
      <c r="L5" s="67" t="str">
        <f>DCF!L63</f>
        <v/>
      </c>
      <c r="M5" s="67" t="str">
        <f>DCF!M63</f>
        <v/>
      </c>
      <c r="N5" s="67" t="str">
        <f>DCF!N63</f>
        <v/>
      </c>
      <c r="O5" s="67" t="str">
        <f>DCF!O63</f>
        <v/>
      </c>
      <c r="P5" t="s">
        <v>116</v>
      </c>
      <c r="Q5" t="s">
        <v>114</v>
      </c>
    </row>
    <row r="6" spans="2:16384">
      <c r="B6" s="68" t="s">
        <v>112</v>
      </c>
      <c r="C6" s="73">
        <f>'Balance Sheet Historic'!E11</f>
        <v>31176</v>
      </c>
      <c r="D6" s="6">
        <f>'Cash flow statement Historic'!D8</f>
        <v>3747</v>
      </c>
      <c r="E6" s="65">
        <f>IF(E5&lt;&gt;"",IF(COLUMN(E5)-COLUMN($C$6)&lt;$Q$6,$D$6,IF(COLUMN(E5)-COLUMN($C$6)&lt;$Q$6+1,$C$6-SUM($D$6:D6),"")),"")</f>
        <v>3747</v>
      </c>
      <c r="F6" s="6">
        <f>IF($F$5&lt;&gt;"",IF(COLUMN(F5)-COLUMN($C$6)&lt;$Q$6,$D$6,IF(COLUMN(F5)-COLUMN($C$6)&lt;$Q$6+1,$C$6-SUM($D$6:E6),"")),"")</f>
        <v>3747</v>
      </c>
      <c r="G6" s="6">
        <f>IF(G5&lt;&gt;"",IF(COLUMN(G5)-COLUMN($C$6)&lt;$Q$6,$D$6,IF(COLUMN(G5)-COLUMN($C$6)&lt;$Q$6+1,$C$6-SUM($D$6:F6),"")),"")</f>
        <v>3747</v>
      </c>
      <c r="H6" s="6">
        <f>IF(H5&lt;&gt;"",IF(COLUMN(H5)-COLUMN($C$6)&lt;$Q$6,$D$6,IF(COLUMN(H5)-COLUMN($C$6)&lt;$Q$6+1,$C$6-SUM($D$6:G6),"")),"")</f>
        <v>3747</v>
      </c>
      <c r="I6" s="6" t="str">
        <f>IF(I5&lt;&gt;"",IF(COLUMN(I5)-COLUMN($C$6)&lt;$Q$6,$D$6,IF(COLUMN(I5)-COLUMN($C$6)&lt;$Q$6+1,$C$6-SUM($D$6:H6),"")),"")</f>
        <v/>
      </c>
      <c r="J6" s="6" t="str">
        <f>IF(J5&lt;&gt;"",IF(COLUMN(J5)-COLUMN($C$6)&lt;$Q$6,$D$6,IF(COLUMN(J5)-COLUMN($C$6)&lt;$Q$6+1,$C$6-SUM($D$6:I6),"")),"")</f>
        <v/>
      </c>
      <c r="K6" s="6" t="str">
        <f>IF(K5&lt;&gt;"",IF(COLUMN(K5)-COLUMN($C$6)&lt;$Q$6,$D$6,IF(COLUMN(K5)-COLUMN($C$6)&lt;$Q$6+1,$C$6-SUM($D$6:J6),"")),"")</f>
        <v/>
      </c>
      <c r="L6" s="6" t="str">
        <f>IF(L5&lt;&gt;"",IF(COLUMN(L5)-COLUMN($C$6)&lt;$Q$6,$D$6,IF(COLUMN(L5)-COLUMN($C$6)&lt;$Q$6+1,$C$6-SUM($D$6:K6),"")),"")</f>
        <v/>
      </c>
      <c r="M6" s="6" t="str">
        <f>IF(M5&lt;&gt;"",IF(COLUMN(M5)-COLUMN($C$6)&lt;$Q$6,$D$6,IF(COLUMN(M5)-COLUMN($C$6)&lt;$Q$6+1,$C$6-SUM($D$6:L6),"")),"")</f>
        <v/>
      </c>
      <c r="N6" s="6" t="str">
        <f>IF(N5&lt;&gt;"",IF(COLUMN(N5)-COLUMN($C$6)&lt;$Q$6,$D$6,IF(COLUMN(N5)-COLUMN($C$6)&lt;$Q$6+1,$C$6-SUM($D$6:M6),"")),"")</f>
        <v/>
      </c>
      <c r="O6" s="6" t="str">
        <f>IF(O5&lt;&gt;"",IF(COLUMN(O5)-COLUMN($C$6)&lt;$Q$6,$D$6,IF(COLUMN(O5)-COLUMN($C$6)&lt;$Q$6+1,$C$6-SUM($D$6:N6),"")),"")</f>
        <v/>
      </c>
      <c r="P6" s="6">
        <f>(C6+'Balance Sheet Historic'!E12)/'PPE &amp; Depreciation Schedule'!D6</f>
        <v>10.639711769415532</v>
      </c>
      <c r="Q6" s="6">
        <f>IF(C6/D6= 0,"",C6/D6)</f>
        <v>8.3202562049639717</v>
      </c>
    </row>
    <row r="7" spans="2:16384">
      <c r="B7" s="68" cm="1">
        <f t="array" ref="B7:B18">TRANSPOSE((DCF!D63:O63))</f>
        <v>2022</v>
      </c>
      <c r="C7" s="6"/>
      <c r="D7" s="73">
        <f>'Cash flow statement Historic'!D22</f>
        <v>7163</v>
      </c>
      <c r="E7" s="65">
        <f>'Cash flow statement Historic'!C8-'PPE &amp; Depreciation Schedule'!E6</f>
        <v>920</v>
      </c>
      <c r="F7" s="6">
        <f>IF(F5&lt;&gt;"",IF($D$7-SUM($E$7:E7)&gt;$E$7,$E$7,IF($D$7-SUM($E$7:E7)&gt;0,$D$7-SUM($E$7:E7),"")),"")</f>
        <v>920</v>
      </c>
      <c r="G7" s="6">
        <f>IF(G5&lt;&gt;"",IF($D$7-SUM($E$7:F7)&gt;$E$7,$E$7,IF($D$7-SUM($E$7:F7)&gt;0,$D$7-SUM($E$7:F7),"")),"")</f>
        <v>920</v>
      </c>
      <c r="H7" s="6">
        <f>IF(H5&lt;&gt;"",IF($D$7-SUM($E$7:G7)&gt;$E$7,$E$7,IF($D$7-SUM($E$7:G7)&gt;0,$D$7-SUM($E$7:G7),"")),"")</f>
        <v>920</v>
      </c>
      <c r="I7" s="6" t="str">
        <f>IF(I5&lt;&gt;"",IF($D$7-SUM($E$7:H7)&gt;$E$7,$E$7,IF($D$7-SUM($E$7:H7)&gt;0,$D$7-SUM($E$7:H7),"")),"")</f>
        <v/>
      </c>
      <c r="J7" s="6" t="str">
        <f>IF(J5&lt;&gt;"",IF($D$7-SUM($E$7:I7)&gt;$E$7,$E$7,IF($D$7-SUM($E$7:I7)&gt;0,$D$7-SUM($E$7:I7),"")),"")</f>
        <v/>
      </c>
      <c r="K7" s="6" t="str">
        <f>IF(K5&lt;&gt;"",IF($D$7-SUM($E$7:J7)&gt;$E$7,$E$7,IF($D$7-SUM($E$7:J7)&gt;0,$D$7-SUM($E$7:J7),"")),"")</f>
        <v/>
      </c>
      <c r="L7" s="6" t="str">
        <f>IF(L5&lt;&gt;"",IF($D$7-SUM($E$7:K7)&gt;$E$7,$E$7,IF($D$7-SUM($E$7:K7)&gt;0,$D$7-SUM($E$7:K7),"")),"")</f>
        <v/>
      </c>
      <c r="M7" s="6" t="str">
        <f>IF(M5&lt;&gt;"",IF($D$7-SUM($E$7:L7)&gt;$E$7,$E$7,IF($D$7-SUM($E$7:L7)&gt;0,$D$7-SUM($E$7:L7),"")),"")</f>
        <v/>
      </c>
      <c r="N7" s="6" t="str">
        <f>IF(N5&lt;&gt;"",IF($D$7-SUM($E$7:M7)&gt;$E$7,$E$7,IF($D$7-SUM($E$7:M7)&gt;0,$D$7-SUM($E$7:M7),"")),"")</f>
        <v/>
      </c>
      <c r="O7" s="6" t="str">
        <f>IF(O5&lt;&gt;"",IF($D$7-SUM($E$7:N7)&gt;$E$7,$E$7,IF($D$7-SUM($E$7:N7)&gt;0,$D$7-SUM($E$7:N7),"")),"")</f>
        <v/>
      </c>
      <c r="P7" s="6">
        <f ca="1">IF(B7&lt;&gt;"",IF(OFFSET(D7,0,ROW()-7)/OFFSET(E7,0,ROW()-7)&gt;0,OFFSET(D7,0,ROW()-7)/OFFSET(E7,0,ROW()-7),0),"")</f>
        <v>7.785869565217391</v>
      </c>
      <c r="Q7" s="6"/>
    </row>
    <row r="8" spans="2:16384">
      <c r="B8" s="70">
        <v>2023</v>
      </c>
      <c r="C8" s="7"/>
      <c r="D8" s="7"/>
      <c r="E8" s="74">
        <f>'Cash flow statement Historic'!C22</f>
        <v>8899</v>
      </c>
      <c r="F8" s="6">
        <f t="shared" ref="F8:O8" ca="1" si="0">IF(AND(F$5&lt;&gt;"",COLUMN()-COLUMN($E$8)&lt;$P$8),$E$8/$P$8,"")</f>
        <v>965.93967250013895</v>
      </c>
      <c r="G8" s="6">
        <f t="shared" ca="1" si="0"/>
        <v>965.93967250013895</v>
      </c>
      <c r="H8" s="6">
        <f t="shared" ca="1" si="0"/>
        <v>965.93967250013895</v>
      </c>
      <c r="I8" s="6" t="str">
        <f t="shared" ca="1" si="0"/>
        <v/>
      </c>
      <c r="J8" s="6" t="str">
        <f t="shared" ca="1" si="0"/>
        <v/>
      </c>
      <c r="K8" s="6" t="str">
        <f t="shared" ca="1" si="0"/>
        <v/>
      </c>
      <c r="L8" s="6" t="str">
        <f t="shared" ca="1" si="0"/>
        <v/>
      </c>
      <c r="M8" s="6" t="str">
        <f t="shared" ca="1" si="0"/>
        <v/>
      </c>
      <c r="N8" s="6" t="str">
        <f t="shared" ca="1" si="0"/>
        <v/>
      </c>
      <c r="O8" s="6" t="str">
        <f t="shared" ca="1" si="0"/>
        <v/>
      </c>
      <c r="P8" s="279">
        <f t="shared" ref="P8:P16" ca="1" si="1">IF(B8&lt;&gt;"",AVERAGE($P$6:$P$7),"")</f>
        <v>9.2127906673164617</v>
      </c>
      <c r="Q8" s="6"/>
    </row>
    <row r="9" spans="2:16384">
      <c r="B9" s="67">
        <v>2024</v>
      </c>
      <c r="C9" s="6"/>
      <c r="D9" s="6"/>
      <c r="E9" s="6"/>
      <c r="F9" s="280">
        <f>IF(B9&lt;&gt;"",$E$8*(1+Growth_RATE_PPE)^(COLUMN()-COLUMN($E$8)),"")</f>
        <v>9165.9699999999993</v>
      </c>
      <c r="G9" s="6">
        <f t="shared" ref="G9:O9" ca="1" si="2">IF(AND(G$5&lt;&gt;"",COLUMN()-COLUMN($F9)&lt;$P9),$F9/$P9,"")</f>
        <v>994.91786267514306</v>
      </c>
      <c r="H9" s="6">
        <f t="shared" ca="1" si="2"/>
        <v>994.91786267514306</v>
      </c>
      <c r="I9" s="6" t="str">
        <f t="shared" ca="1" si="2"/>
        <v/>
      </c>
      <c r="J9" s="6" t="str">
        <f t="shared" ca="1" si="2"/>
        <v/>
      </c>
      <c r="K9" s="6" t="str">
        <f t="shared" ca="1" si="2"/>
        <v/>
      </c>
      <c r="L9" s="6" t="str">
        <f t="shared" ca="1" si="2"/>
        <v/>
      </c>
      <c r="M9" s="6" t="str">
        <f t="shared" ca="1" si="2"/>
        <v/>
      </c>
      <c r="N9" s="6" t="str">
        <f t="shared" ca="1" si="2"/>
        <v/>
      </c>
      <c r="O9" s="6" t="str">
        <f t="shared" ca="1" si="2"/>
        <v/>
      </c>
      <c r="P9" s="279">
        <f t="shared" ca="1" si="1"/>
        <v>9.2127906673164617</v>
      </c>
      <c r="Q9" s="6"/>
    </row>
    <row r="10" spans="2:16384">
      <c r="B10" s="67">
        <v>2025</v>
      </c>
      <c r="C10" s="6"/>
      <c r="D10" s="6"/>
      <c r="E10" s="6"/>
      <c r="F10" s="6"/>
      <c r="G10" s="280">
        <f>IF(B10&lt;&gt;"",$E$8*(1+Growth_RATE_PPE)^(COLUMN()-COLUMN($E$8)),"")</f>
        <v>9440.9490999999998</v>
      </c>
      <c r="H10" s="6">
        <f ca="1">IF(AND(H$5&lt;&gt;"",COLUMN()-COLUMN($G10)&lt;$P10),$G10/$P10,"")</f>
        <v>1024.7653985553975</v>
      </c>
      <c r="I10" s="6" t="str">
        <f t="shared" ref="I10:O10" ca="1" si="3">IF(AND(I$5&lt;&gt;"",COLUMN()-COLUMN($G10)&lt;$P10),$G10/$P10,"")</f>
        <v/>
      </c>
      <c r="J10" s="6" t="str">
        <f t="shared" ca="1" si="3"/>
        <v/>
      </c>
      <c r="K10" s="6" t="str">
        <f t="shared" ca="1" si="3"/>
        <v/>
      </c>
      <c r="L10" s="6" t="str">
        <f t="shared" ca="1" si="3"/>
        <v/>
      </c>
      <c r="M10" s="6" t="str">
        <f t="shared" ca="1" si="3"/>
        <v/>
      </c>
      <c r="N10" s="6" t="str">
        <f t="shared" ca="1" si="3"/>
        <v/>
      </c>
      <c r="O10" s="6" t="str">
        <f t="shared" ca="1" si="3"/>
        <v/>
      </c>
      <c r="P10" s="279">
        <f t="shared" ca="1" si="1"/>
        <v>9.2127906673164617</v>
      </c>
      <c r="Q10" s="6"/>
    </row>
    <row r="11" spans="2:16384">
      <c r="B11" s="67">
        <v>2026</v>
      </c>
      <c r="C11" s="6"/>
      <c r="D11" s="6"/>
      <c r="E11" s="6"/>
      <c r="F11" s="6"/>
      <c r="G11" s="6"/>
      <c r="H11" s="280">
        <f>IF(B11&lt;&gt;"",$E$8*(1+Growth_RATE_PPE)^(COLUMN()-COLUMN($E$8)),"")</f>
        <v>9724.1775730000008</v>
      </c>
      <c r="I11" s="6" t="str">
        <f ca="1">IF(AND(I$5&lt;&gt;"",COLUMN()-COLUMN($H11)&lt;$P11),$H11/$P11,"")</f>
        <v/>
      </c>
      <c r="J11" s="6" t="str">
        <f t="shared" ref="J11:O11" ca="1" si="4">IF(AND(J$5&lt;&gt;"",COLUMN()-COLUMN($H11)&lt;$P11),$H11/$P11,"")</f>
        <v/>
      </c>
      <c r="K11" s="6" t="str">
        <f t="shared" ca="1" si="4"/>
        <v/>
      </c>
      <c r="L11" s="6" t="str">
        <f t="shared" ca="1" si="4"/>
        <v/>
      </c>
      <c r="M11" s="6" t="str">
        <f t="shared" ca="1" si="4"/>
        <v/>
      </c>
      <c r="N11" s="6" t="str">
        <f t="shared" ca="1" si="4"/>
        <v/>
      </c>
      <c r="O11" s="6" t="str">
        <f t="shared" ca="1" si="4"/>
        <v/>
      </c>
      <c r="P11" s="279">
        <f t="shared" ca="1" si="1"/>
        <v>9.2127906673164617</v>
      </c>
      <c r="Q11" s="6"/>
    </row>
    <row r="12" spans="2:16384">
      <c r="B12" s="67" t="str">
        <v/>
      </c>
      <c r="C12" s="6"/>
      <c r="D12" s="6"/>
      <c r="E12" s="6"/>
      <c r="F12" s="6"/>
      <c r="G12" s="6"/>
      <c r="H12" s="6"/>
      <c r="I12" s="281" t="str">
        <f>IF(B12&lt;&gt;"",$E$8*(1+Growth_RATE_PPE)^(COLUMN()-COLUMN($E$8)),"")</f>
        <v/>
      </c>
      <c r="J12" s="6" t="str">
        <f>IF(AND(J$5&lt;&gt;"",COLUMN()-COLUMN($I12)&lt;$P12),$I12/$P12,"")</f>
        <v/>
      </c>
      <c r="K12" s="6" t="str">
        <f t="shared" ref="K12:O12" si="5">IF(AND(K$5&lt;&gt;"",COLUMN()-COLUMN($I12)&lt;$P12),$I12/$P12,"")</f>
        <v/>
      </c>
      <c r="L12" s="6" t="str">
        <f t="shared" si="5"/>
        <v/>
      </c>
      <c r="M12" s="6" t="str">
        <f t="shared" si="5"/>
        <v/>
      </c>
      <c r="N12" s="6" t="str">
        <f t="shared" si="5"/>
        <v/>
      </c>
      <c r="O12" s="6" t="str">
        <f t="shared" si="5"/>
        <v/>
      </c>
      <c r="P12" s="279" t="str">
        <f>IF(B12&lt;&gt;"",AVERAGE($P$6:$P$7),"")</f>
        <v/>
      </c>
      <c r="Q12" s="6"/>
    </row>
    <row r="13" spans="2:16384">
      <c r="B13" s="67" t="str">
        <v/>
      </c>
      <c r="C13" s="6"/>
      <c r="D13" s="6"/>
      <c r="E13" s="6"/>
      <c r="F13" s="6"/>
      <c r="G13" s="6"/>
      <c r="H13" s="6"/>
      <c r="I13" s="6"/>
      <c r="J13" s="280" t="str">
        <f>IF(B13&lt;&gt;"",$E$8*(1+Growth_RATE_PPE)^(COLUMN()-COLUMN($E$8)),"")</f>
        <v/>
      </c>
      <c r="K13" s="6" t="str">
        <f>IF(AND(K$5&lt;&gt;"",COLUMN()-COLUMN($J13)&lt;$P13),$J13/$P13,"")</f>
        <v/>
      </c>
      <c r="L13" s="6" t="str">
        <f t="shared" ref="L13:O13" si="6">IF(AND(L$5&lt;&gt;"",COLUMN()-COLUMN($J13)&lt;$P13),$J13/$P13,"")</f>
        <v/>
      </c>
      <c r="M13" s="6" t="str">
        <f t="shared" si="6"/>
        <v/>
      </c>
      <c r="N13" s="6" t="str">
        <f t="shared" si="6"/>
        <v/>
      </c>
      <c r="O13" s="6" t="str">
        <f t="shared" si="6"/>
        <v/>
      </c>
      <c r="P13" s="279" t="str">
        <f t="shared" si="1"/>
        <v/>
      </c>
      <c r="Q13" s="6"/>
    </row>
    <row r="14" spans="2:16384">
      <c r="B14" s="67" t="str">
        <v/>
      </c>
      <c r="C14" s="6"/>
      <c r="D14" s="6"/>
      <c r="E14" s="6"/>
      <c r="F14" s="6"/>
      <c r="G14" s="6"/>
      <c r="H14" s="6"/>
      <c r="I14" s="6"/>
      <c r="J14" s="6"/>
      <c r="K14" s="280" t="str">
        <f>IF(B14&lt;&gt;"",$E$8*(1+Growth_RATE_PPE)^(COLUMN()-COLUMN($E$8)),"")</f>
        <v/>
      </c>
      <c r="L14" s="6" t="str">
        <f>IF(AND(L$5&lt;&gt;"",COLUMN()-COLUMN($K14)&lt;$P14),$K14/$P14,"")</f>
        <v/>
      </c>
      <c r="M14" s="6" t="str">
        <f>IF(AND(M$5&lt;&gt;"",COLUMN()-COLUMN($K14)&lt;$P14),$K14/$P14,"")</f>
        <v/>
      </c>
      <c r="N14" s="6" t="str">
        <f t="shared" ref="N14:O14" si="7">IF(AND(N$5&lt;&gt;"",COLUMN()-COLUMN($K14)&lt;$P14),$K14/$P14,"")</f>
        <v/>
      </c>
      <c r="O14" s="6" t="str">
        <f t="shared" si="7"/>
        <v/>
      </c>
      <c r="P14" s="279" t="str">
        <f t="shared" si="1"/>
        <v/>
      </c>
      <c r="Q14" s="6"/>
    </row>
    <row r="15" spans="2:16384">
      <c r="B15" s="67" t="str">
        <v/>
      </c>
      <c r="C15" s="6"/>
      <c r="D15" s="6"/>
      <c r="E15" s="6"/>
      <c r="F15" s="6"/>
      <c r="G15" s="6"/>
      <c r="H15" s="6"/>
      <c r="I15" s="6"/>
      <c r="J15" s="6"/>
      <c r="K15" s="6"/>
      <c r="L15" s="280" t="str">
        <f>IF(B15&lt;&gt;"",$E$8*(1+Growth_RATE_PPE)^(COLUMN()-COLUMN($E$8)),"")</f>
        <v/>
      </c>
      <c r="M15" s="6" t="str">
        <f>IF(AND(P15&lt;&gt;"",COLUMN()-COLUMN($L15)&lt;$P15),$L15/$P15,"")</f>
        <v/>
      </c>
      <c r="N15" s="6" t="str">
        <f t="shared" ref="N15:O15" si="8">IF(AND(N$5&lt;&gt;"",COLUMN()-COLUMN($L15)&lt;$P15),$L15/$P15,"")</f>
        <v/>
      </c>
      <c r="O15" s="6" t="str">
        <f t="shared" si="8"/>
        <v/>
      </c>
      <c r="P15" s="279" t="str">
        <f t="shared" si="1"/>
        <v/>
      </c>
      <c r="Q15" s="6"/>
    </row>
    <row r="16" spans="2:16384">
      <c r="B16" s="67" t="str">
        <v/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280" t="str">
        <f>IF(B16&lt;&gt;"",$E$8*(1+Growth_RATE_PPE)^(COLUMN()-COLUMN($E$8)),"")</f>
        <v/>
      </c>
      <c r="N16" s="6" t="str">
        <f>IF(AND(N$5&lt;&gt;"",COLUMN()-COLUMN($M16)&lt;$P16),$M16/$P16,"")</f>
        <v/>
      </c>
      <c r="O16" s="6" t="str">
        <f>IF(AND(O$5&lt;&gt;"",COLUMN()-COLUMN($M16)&lt;$P16),$M16/$P16,"")</f>
        <v/>
      </c>
      <c r="P16" s="279" t="str">
        <f t="shared" si="1"/>
        <v/>
      </c>
      <c r="Q16" s="6"/>
    </row>
    <row r="17" spans="2:17">
      <c r="B17" s="67" t="str">
        <v/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280" t="str">
        <f>IF(B17&lt;&gt;"",$E$8*(1+Growth_RATE_PPE)^(COLUMN()-COLUMN($E$8)),"")</f>
        <v/>
      </c>
      <c r="O17" s="6" t="str">
        <f>IF(AND(P17&lt;&gt;"",COLUMN()-COLUMN($N17)&lt;$P17),$N17/$P17,"")</f>
        <v/>
      </c>
      <c r="P17" s="279" t="str">
        <f>IF(B17&lt;&gt;"",AVERAGE($P$6:$P$7),"")</f>
        <v/>
      </c>
      <c r="Q17" s="6"/>
    </row>
    <row r="18" spans="2:17">
      <c r="B18" t="str">
        <v/>
      </c>
      <c r="O18" s="282" t="str">
        <f>IF(B18&lt;&gt;"",$E$8*(1+Growth_RATE_PPE)^(COLUMN()-COLUMN($E$8)),"")</f>
        <v/>
      </c>
      <c r="P18" s="279"/>
    </row>
    <row r="19" spans="2:17" ht="17" thickBot="1">
      <c r="C19" s="71" t="s">
        <v>117</v>
      </c>
      <c r="D19" s="72">
        <f t="shared" ref="D19:O19" ca="1" si="9">IF(D5&lt;&gt;"",SUM(OFFSET(D$6, 0, 0, COLUMN()-3, 1)),"")</f>
        <v>3747</v>
      </c>
      <c r="E19" s="72">
        <f t="shared" ca="1" si="9"/>
        <v>4667</v>
      </c>
      <c r="F19" s="72">
        <f t="shared" ca="1" si="9"/>
        <v>5632.9396725001388</v>
      </c>
      <c r="G19" s="72">
        <f t="shared" ca="1" si="9"/>
        <v>6627.8575351752816</v>
      </c>
      <c r="H19" s="72">
        <f t="shared" ca="1" si="9"/>
        <v>7652.6229337306795</v>
      </c>
      <c r="I19" s="72" t="str">
        <f t="shared" ca="1" si="9"/>
        <v/>
      </c>
      <c r="J19" s="72" t="str">
        <f t="shared" ca="1" si="9"/>
        <v/>
      </c>
      <c r="K19" s="72" t="str">
        <f t="shared" ca="1" si="9"/>
        <v/>
      </c>
      <c r="L19" s="72" t="str">
        <f t="shared" ca="1" si="9"/>
        <v/>
      </c>
      <c r="M19" s="72" t="str">
        <f t="shared" ca="1" si="9"/>
        <v/>
      </c>
      <c r="N19" s="72" t="str">
        <f t="shared" ca="1" si="9"/>
        <v/>
      </c>
      <c r="O19" s="72" t="str">
        <f t="shared" ca="1" si="9"/>
        <v/>
      </c>
    </row>
    <row r="20" spans="2:17" ht="17" thickTop="1"/>
    <row r="22" spans="2:17">
      <c r="D22" s="4"/>
    </row>
    <row r="24" spans="2:17">
      <c r="B24" t="s">
        <v>113</v>
      </c>
    </row>
  </sheetData>
  <sheetProtection sheet="1" formatCells="0" formatColumns="0" formatRows="0" insertColumns="0" insertRows="0" insertHyperlinks="0" selectLockedCells="1" sort="0" autoFilter="0" pivotTables="0"/>
  <mergeCells count="1">
    <mergeCell ref="F4:O4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B2:XFD19"/>
  <sheetViews>
    <sheetView workbookViewId="0">
      <selection activeCell="F19" sqref="F19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195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  <c r="M4" s="289"/>
      <c r="N4" s="289"/>
      <c r="O4" s="289"/>
      <c r="P4" s="289"/>
      <c r="Q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  <c r="M5" s="68"/>
      <c r="N5" s="68"/>
      <c r="O5" s="68"/>
      <c r="P5" s="68"/>
      <c r="Q5" s="68"/>
    </row>
    <row r="6" spans="2:16384">
      <c r="B6" t="s">
        <v>44</v>
      </c>
      <c r="C6" s="80">
        <v>96773</v>
      </c>
      <c r="D6" s="80">
        <v>81462</v>
      </c>
      <c r="E6" s="80">
        <v>53823</v>
      </c>
      <c r="F6" s="80">
        <v>31536</v>
      </c>
      <c r="G6" s="80">
        <v>24578</v>
      </c>
      <c r="H6" s="80"/>
      <c r="I6" s="80"/>
      <c r="J6" s="80"/>
      <c r="K6" s="80"/>
      <c r="L6" s="80"/>
      <c r="M6" s="80"/>
      <c r="N6" s="80"/>
      <c r="O6" s="80"/>
      <c r="P6" s="80"/>
      <c r="Q6" s="80"/>
    </row>
    <row r="7" spans="2:16384">
      <c r="B7" t="s">
        <v>45</v>
      </c>
      <c r="C7" s="80">
        <v>74446</v>
      </c>
      <c r="D7" s="80">
        <v>56862</v>
      </c>
      <c r="E7" s="80">
        <v>37306</v>
      </c>
      <c r="F7" s="80">
        <v>22351</v>
      </c>
      <c r="G7" s="80">
        <v>18402</v>
      </c>
      <c r="H7" s="80"/>
      <c r="I7" s="80"/>
      <c r="J7" s="80"/>
      <c r="K7" s="80"/>
      <c r="L7" s="80"/>
      <c r="M7" s="80"/>
      <c r="N7" s="80"/>
      <c r="O7" s="80"/>
      <c r="P7" s="80"/>
      <c r="Q7" s="80"/>
    </row>
    <row r="8" spans="2:16384">
      <c r="B8" t="s">
        <v>46</v>
      </c>
      <c r="C8" s="80">
        <v>22327</v>
      </c>
      <c r="D8" s="80">
        <v>24600</v>
      </c>
      <c r="E8" s="80">
        <v>16517</v>
      </c>
      <c r="F8" s="80">
        <v>9185</v>
      </c>
      <c r="G8" s="80">
        <v>6176</v>
      </c>
      <c r="H8" s="80"/>
      <c r="I8" s="80"/>
      <c r="J8" s="80"/>
      <c r="K8" s="80"/>
      <c r="L8" s="80"/>
      <c r="M8" s="80"/>
      <c r="N8" s="80"/>
      <c r="O8" s="80"/>
      <c r="P8" s="80"/>
      <c r="Q8" s="80"/>
    </row>
    <row r="9" spans="2:16384">
      <c r="B9" t="s">
        <v>47</v>
      </c>
      <c r="C9" s="80">
        <v>8769</v>
      </c>
      <c r="D9" s="80">
        <v>7021</v>
      </c>
      <c r="E9" s="80">
        <v>7110</v>
      </c>
      <c r="F9" s="80">
        <v>4679</v>
      </c>
      <c r="G9" s="80">
        <v>3989</v>
      </c>
      <c r="H9" s="80"/>
      <c r="I9" s="80"/>
      <c r="J9" s="80"/>
      <c r="K9" s="80"/>
      <c r="L9" s="80"/>
      <c r="M9" s="80"/>
      <c r="N9" s="80"/>
      <c r="O9" s="80"/>
      <c r="P9" s="80"/>
      <c r="Q9" s="80"/>
    </row>
    <row r="10" spans="2:16384">
      <c r="B10" t="s">
        <v>48</v>
      </c>
      <c r="C10" s="80">
        <v>4667</v>
      </c>
      <c r="D10" s="80">
        <v>3747</v>
      </c>
      <c r="E10" s="80">
        <v>2911</v>
      </c>
      <c r="F10" s="80">
        <v>2322</v>
      </c>
      <c r="G10" s="80">
        <v>2107</v>
      </c>
      <c r="H10" s="80"/>
      <c r="I10" s="80"/>
      <c r="J10" s="80"/>
      <c r="K10" s="80"/>
      <c r="L10" s="80"/>
      <c r="M10" s="80"/>
      <c r="N10" s="80"/>
      <c r="O10" s="80"/>
      <c r="P10" s="80"/>
      <c r="Q10" s="80"/>
    </row>
    <row r="11" spans="2:16384">
      <c r="B11" t="s">
        <v>49</v>
      </c>
      <c r="C11" s="80">
        <v>8891</v>
      </c>
      <c r="D11" s="80">
        <v>13832</v>
      </c>
      <c r="E11" s="80">
        <v>6496</v>
      </c>
      <c r="F11" s="80">
        <v>2184</v>
      </c>
      <c r="G11" s="80">
        <v>80</v>
      </c>
      <c r="H11" s="80"/>
      <c r="I11" s="80"/>
      <c r="J11" s="80"/>
      <c r="K11" s="80"/>
      <c r="L11" s="80"/>
      <c r="M11" s="80"/>
      <c r="N11" s="80"/>
      <c r="O11" s="80"/>
      <c r="P11" s="80"/>
      <c r="Q11" s="80"/>
    </row>
    <row r="12" spans="2:16384">
      <c r="B12" t="s">
        <v>50</v>
      </c>
      <c r="C12" s="80">
        <v>1238</v>
      </c>
      <c r="D12" s="80">
        <v>114</v>
      </c>
      <c r="E12" s="80">
        <v>271</v>
      </c>
      <c r="F12" s="80">
        <v>-44</v>
      </c>
      <c r="G12" s="80">
        <v>120</v>
      </c>
      <c r="H12" s="80"/>
      <c r="I12" s="80"/>
      <c r="J12" s="80"/>
      <c r="K12" s="80"/>
      <c r="L12" s="80"/>
      <c r="M12" s="80"/>
      <c r="N12" s="80"/>
      <c r="O12" s="80"/>
      <c r="P12" s="80"/>
      <c r="Q12" s="80"/>
    </row>
    <row r="13" spans="2:16384">
      <c r="B13" t="s">
        <v>51</v>
      </c>
      <c r="C13" s="80">
        <v>0</v>
      </c>
      <c r="D13" s="80">
        <v>-36</v>
      </c>
      <c r="E13" s="80">
        <v>-76</v>
      </c>
      <c r="F13" s="80">
        <v>-295</v>
      </c>
      <c r="G13" s="80">
        <v>-149</v>
      </c>
      <c r="H13" s="80"/>
      <c r="I13" s="80"/>
      <c r="J13" s="80"/>
      <c r="K13" s="80"/>
      <c r="L13" s="80"/>
      <c r="M13" s="80"/>
      <c r="N13" s="80"/>
      <c r="O13" s="80"/>
      <c r="P13" s="80"/>
      <c r="Q13" s="80"/>
    </row>
    <row r="14" spans="2:16384">
      <c r="B14" t="s">
        <v>1</v>
      </c>
      <c r="C14" s="80">
        <v>10129</v>
      </c>
      <c r="D14" s="80">
        <v>13910</v>
      </c>
      <c r="E14" s="80">
        <v>6691</v>
      </c>
      <c r="F14" s="80">
        <v>1845</v>
      </c>
      <c r="G14" s="80">
        <v>51</v>
      </c>
      <c r="H14" s="80"/>
      <c r="I14" s="80"/>
      <c r="J14" s="80"/>
      <c r="K14" s="80"/>
      <c r="L14" s="80"/>
      <c r="M14" s="80"/>
      <c r="N14" s="80"/>
      <c r="O14" s="80"/>
      <c r="P14" s="80"/>
      <c r="Q14" s="80"/>
    </row>
    <row r="15" spans="2:16384">
      <c r="B15" t="s">
        <v>52</v>
      </c>
      <c r="C15" s="80">
        <v>-156</v>
      </c>
      <c r="D15" s="80">
        <v>-191</v>
      </c>
      <c r="E15" s="80">
        <v>-348</v>
      </c>
      <c r="F15" s="80">
        <v>-691</v>
      </c>
      <c r="G15" s="80">
        <v>-716</v>
      </c>
      <c r="H15" s="80"/>
      <c r="I15" s="80"/>
      <c r="J15" s="80"/>
      <c r="K15" s="80"/>
      <c r="L15" s="80"/>
      <c r="M15" s="80"/>
      <c r="N15" s="80"/>
      <c r="O15" s="80"/>
      <c r="P15" s="80"/>
      <c r="Q15" s="80"/>
    </row>
    <row r="16" spans="2:16384">
      <c r="B16" t="s">
        <v>53</v>
      </c>
      <c r="C16" s="80">
        <v>9973</v>
      </c>
      <c r="D16" s="80">
        <v>13719</v>
      </c>
      <c r="E16" s="80">
        <v>6343</v>
      </c>
      <c r="F16" s="80">
        <v>1154</v>
      </c>
      <c r="G16" s="80">
        <v>-665</v>
      </c>
      <c r="H16" s="80"/>
      <c r="I16" s="80"/>
      <c r="J16" s="80"/>
      <c r="K16" s="80"/>
      <c r="L16" s="80"/>
      <c r="M16" s="80"/>
      <c r="N16" s="80"/>
      <c r="O16" s="80"/>
      <c r="P16" s="80"/>
      <c r="Q16" s="80"/>
    </row>
    <row r="17" spans="2:17">
      <c r="B17" t="s">
        <v>54</v>
      </c>
      <c r="C17" s="80">
        <v>-5001</v>
      </c>
      <c r="D17" s="80">
        <v>1132</v>
      </c>
      <c r="E17" s="80">
        <v>699</v>
      </c>
      <c r="F17" s="80">
        <v>292</v>
      </c>
      <c r="G17" s="80">
        <v>110</v>
      </c>
      <c r="H17" s="80"/>
      <c r="I17" s="80"/>
      <c r="J17" s="80"/>
      <c r="K17" s="80"/>
      <c r="L17" s="80"/>
      <c r="M17" s="80"/>
      <c r="N17" s="80"/>
      <c r="O17" s="80"/>
      <c r="P17" s="80"/>
      <c r="Q17" s="80"/>
    </row>
    <row r="18" spans="2:17" ht="17" thickBot="1">
      <c r="B18" s="71" t="s">
        <v>55</v>
      </c>
      <c r="C18" s="81">
        <v>14997</v>
      </c>
      <c r="D18" s="81">
        <v>12556</v>
      </c>
      <c r="E18" s="81">
        <v>5519</v>
      </c>
      <c r="F18" s="81">
        <v>721</v>
      </c>
      <c r="G18" s="81">
        <v>-862</v>
      </c>
      <c r="H18" s="81"/>
      <c r="I18" s="81"/>
      <c r="J18" s="81"/>
      <c r="K18" s="81"/>
      <c r="L18" s="81"/>
      <c r="M18" s="81"/>
      <c r="N18" s="81"/>
      <c r="O18" s="81"/>
      <c r="P18" s="81"/>
      <c r="Q18" s="81"/>
    </row>
    <row r="19" spans="2:17" ht="17" thickTop="1"/>
  </sheetData>
  <mergeCells count="1">
    <mergeCell ref="C4:Q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B2:XFD37"/>
  <sheetViews>
    <sheetView zoomScale="84" workbookViewId="0">
      <selection activeCell="H26" sqref="H26"/>
    </sheetView>
  </sheetViews>
  <sheetFormatPr baseColWidth="10" defaultRowHeight="16"/>
  <cols>
    <col min="2" max="2" width="30.28515625" bestFit="1" customWidth="1"/>
  </cols>
  <sheetData>
    <row r="2" spans="2:16384" ht="21" thickBot="1">
      <c r="B2" s="38" t="s">
        <v>197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197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5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56</v>
      </c>
      <c r="C6" s="80">
        <v>14974</v>
      </c>
      <c r="D6" s="80">
        <v>12587</v>
      </c>
      <c r="E6" s="80">
        <v>5644</v>
      </c>
      <c r="F6" s="80">
        <v>862</v>
      </c>
      <c r="G6" s="80">
        <v>-775</v>
      </c>
      <c r="H6" s="80"/>
      <c r="I6" s="80"/>
      <c r="J6" s="80"/>
      <c r="K6" s="80"/>
      <c r="L6" s="80"/>
    </row>
    <row r="7" spans="2:16384">
      <c r="B7" t="s">
        <v>57</v>
      </c>
      <c r="C7" s="80">
        <v>0</v>
      </c>
      <c r="D7" s="80">
        <v>0</v>
      </c>
      <c r="E7" s="80">
        <v>0</v>
      </c>
      <c r="F7" s="80">
        <v>0</v>
      </c>
      <c r="G7" s="80">
        <v>0</v>
      </c>
      <c r="H7" s="80"/>
      <c r="I7" s="80"/>
      <c r="J7" s="80"/>
      <c r="K7" s="80"/>
      <c r="L7" s="80"/>
    </row>
    <row r="8" spans="2:16384">
      <c r="B8" t="s">
        <v>58</v>
      </c>
      <c r="C8" s="80">
        <v>4667</v>
      </c>
      <c r="D8" s="80">
        <v>3747</v>
      </c>
      <c r="E8" s="80">
        <v>2911</v>
      </c>
      <c r="F8" s="80">
        <v>2502</v>
      </c>
      <c r="G8" s="80">
        <v>2295</v>
      </c>
      <c r="H8" s="80"/>
      <c r="I8" s="80"/>
      <c r="J8" s="80"/>
      <c r="K8" s="80"/>
      <c r="L8" s="80"/>
    </row>
    <row r="9" spans="2:16384">
      <c r="B9" t="s">
        <v>59</v>
      </c>
      <c r="C9" s="80">
        <v>-6349</v>
      </c>
      <c r="D9" s="80">
        <v>0</v>
      </c>
      <c r="E9" s="80">
        <v>0</v>
      </c>
      <c r="F9" s="80">
        <v>0</v>
      </c>
      <c r="G9" s="80">
        <v>0</v>
      </c>
      <c r="H9" s="80"/>
      <c r="I9" s="80"/>
      <c r="J9" s="80"/>
      <c r="K9" s="80"/>
      <c r="L9" s="80"/>
    </row>
    <row r="10" spans="2:16384">
      <c r="B10" t="s">
        <v>60</v>
      </c>
      <c r="C10" s="80">
        <v>0</v>
      </c>
      <c r="D10" s="80">
        <v>0</v>
      </c>
      <c r="E10" s="80">
        <v>0</v>
      </c>
      <c r="F10" s="80">
        <v>0</v>
      </c>
      <c r="G10" s="80">
        <v>0</v>
      </c>
      <c r="H10" s="80"/>
      <c r="I10" s="80"/>
      <c r="J10" s="80"/>
      <c r="K10" s="80"/>
      <c r="L10" s="80"/>
    </row>
    <row r="11" spans="2:16384">
      <c r="B11" t="s">
        <v>61</v>
      </c>
      <c r="C11" s="80">
        <v>0</v>
      </c>
      <c r="D11" s="80">
        <v>0</v>
      </c>
      <c r="E11" s="80">
        <v>0</v>
      </c>
      <c r="F11" s="80">
        <v>117</v>
      </c>
      <c r="G11" s="80">
        <v>146</v>
      </c>
      <c r="H11" s="80"/>
      <c r="I11" s="80"/>
      <c r="J11" s="80"/>
      <c r="K11" s="80"/>
      <c r="L11" s="80"/>
    </row>
    <row r="12" spans="2:16384">
      <c r="B12" t="s">
        <v>62</v>
      </c>
      <c r="C12" s="80">
        <v>2212</v>
      </c>
      <c r="D12" s="80">
        <v>2298</v>
      </c>
      <c r="E12" s="80">
        <v>2424</v>
      </c>
      <c r="F12" s="80">
        <v>2278</v>
      </c>
      <c r="G12" s="80">
        <v>1088</v>
      </c>
      <c r="H12" s="80"/>
      <c r="I12" s="80"/>
      <c r="J12" s="80"/>
      <c r="K12" s="80"/>
      <c r="L12" s="80"/>
    </row>
    <row r="13" spans="2:16384">
      <c r="B13" t="s">
        <v>63</v>
      </c>
      <c r="C13" s="80">
        <v>586</v>
      </c>
      <c r="D13" s="80">
        <v>1124</v>
      </c>
      <c r="E13" s="80">
        <v>130</v>
      </c>
      <c r="F13" s="80">
        <v>652</v>
      </c>
      <c r="G13" s="80">
        <v>367</v>
      </c>
      <c r="H13" s="80"/>
      <c r="I13" s="80"/>
      <c r="J13" s="80"/>
      <c r="K13" s="80"/>
      <c r="L13" s="80"/>
    </row>
    <row r="14" spans="2:16384">
      <c r="B14" t="s">
        <v>64</v>
      </c>
      <c r="C14" s="80">
        <v>1195</v>
      </c>
      <c r="D14" s="80">
        <v>6465</v>
      </c>
      <c r="E14" s="80">
        <v>1709</v>
      </c>
      <c r="F14" s="80">
        <v>422</v>
      </c>
      <c r="G14" s="80">
        <v>429</v>
      </c>
      <c r="H14" s="80"/>
      <c r="I14" s="80"/>
      <c r="J14" s="80"/>
      <c r="K14" s="80"/>
      <c r="L14" s="80"/>
    </row>
    <row r="15" spans="2:16384">
      <c r="B15" t="s">
        <v>65</v>
      </c>
      <c r="C15" s="80">
        <v>0</v>
      </c>
      <c r="D15" s="80">
        <v>6029</v>
      </c>
      <c r="E15" s="80">
        <v>4578</v>
      </c>
      <c r="F15" s="80">
        <v>2102</v>
      </c>
      <c r="G15" s="80">
        <v>682</v>
      </c>
      <c r="H15" s="80"/>
      <c r="I15" s="80"/>
      <c r="J15" s="80"/>
      <c r="K15" s="80"/>
      <c r="L15" s="80"/>
    </row>
    <row r="16" spans="2:16384">
      <c r="B16" t="s">
        <v>66</v>
      </c>
      <c r="C16" s="80">
        <v>0</v>
      </c>
      <c r="D16" s="80">
        <v>0</v>
      </c>
      <c r="E16" s="80">
        <v>0</v>
      </c>
      <c r="F16" s="80">
        <v>0</v>
      </c>
      <c r="G16" s="80">
        <v>0</v>
      </c>
      <c r="H16" s="80"/>
      <c r="I16" s="80"/>
      <c r="J16" s="80"/>
      <c r="K16" s="80"/>
      <c r="L16" s="80"/>
    </row>
    <row r="17" spans="2:12">
      <c r="B17" t="s">
        <v>67</v>
      </c>
      <c r="C17" s="80">
        <v>-467</v>
      </c>
      <c r="D17" s="80">
        <v>-2348</v>
      </c>
      <c r="E17" s="80">
        <v>-2221</v>
      </c>
      <c r="F17" s="80">
        <v>-844</v>
      </c>
      <c r="G17" s="80">
        <v>-235</v>
      </c>
      <c r="H17" s="80"/>
      <c r="I17" s="80"/>
      <c r="J17" s="80"/>
      <c r="K17" s="80"/>
      <c r="L17" s="80"/>
    </row>
    <row r="18" spans="2:12" ht="17" thickBot="1">
      <c r="B18" s="39" t="s">
        <v>68</v>
      </c>
      <c r="C18" s="82">
        <v>13256</v>
      </c>
      <c r="D18" s="82">
        <v>14724</v>
      </c>
      <c r="E18" s="82">
        <v>11497</v>
      </c>
      <c r="F18" s="82">
        <v>5943</v>
      </c>
      <c r="G18" s="82">
        <v>2405</v>
      </c>
      <c r="H18" s="82"/>
      <c r="I18" s="82"/>
      <c r="J18" s="82"/>
      <c r="K18" s="82"/>
      <c r="L18" s="82"/>
    </row>
    <row r="19" spans="2:12" ht="17" thickTop="1">
      <c r="B19" t="s">
        <v>69</v>
      </c>
      <c r="C19" s="80">
        <v>0</v>
      </c>
      <c r="D19" s="80">
        <v>0</v>
      </c>
      <c r="E19" s="80">
        <v>0</v>
      </c>
      <c r="F19" s="80">
        <v>0</v>
      </c>
      <c r="G19" s="80">
        <v>0</v>
      </c>
      <c r="H19" s="80"/>
      <c r="I19" s="80"/>
      <c r="J19" s="80"/>
      <c r="K19" s="80"/>
      <c r="L19" s="80"/>
    </row>
    <row r="20" spans="2:12">
      <c r="B20" t="s">
        <v>70</v>
      </c>
      <c r="C20" s="80">
        <v>0</v>
      </c>
      <c r="D20" s="80">
        <v>0</v>
      </c>
      <c r="E20" s="80">
        <v>0</v>
      </c>
      <c r="F20" s="80">
        <v>0</v>
      </c>
      <c r="G20" s="80">
        <v>0</v>
      </c>
      <c r="H20" s="80"/>
      <c r="I20" s="80"/>
      <c r="J20" s="80"/>
      <c r="K20" s="80"/>
      <c r="L20" s="80"/>
    </row>
    <row r="21" spans="2:12">
      <c r="B21" t="s">
        <v>71</v>
      </c>
      <c r="C21" s="80">
        <v>-6621</v>
      </c>
      <c r="D21" s="80">
        <v>-5813</v>
      </c>
      <c r="E21" s="80">
        <v>-132</v>
      </c>
      <c r="F21" s="80">
        <v>0</v>
      </c>
      <c r="G21" s="80">
        <v>0</v>
      </c>
      <c r="H21" s="80"/>
      <c r="I21" s="80"/>
      <c r="J21" s="80"/>
      <c r="K21" s="80"/>
      <c r="L21" s="80"/>
    </row>
    <row r="22" spans="2:12">
      <c r="B22" t="s">
        <v>72</v>
      </c>
      <c r="C22" s="80">
        <v>8899</v>
      </c>
      <c r="D22" s="80">
        <v>7163</v>
      </c>
      <c r="E22" s="80">
        <v>6514</v>
      </c>
      <c r="F22" s="80">
        <v>3232</v>
      </c>
      <c r="G22" s="80">
        <v>1432</v>
      </c>
      <c r="H22" s="80"/>
      <c r="I22" s="80"/>
      <c r="J22" s="80"/>
      <c r="K22" s="80"/>
      <c r="L22" s="80"/>
    </row>
    <row r="23" spans="2:12">
      <c r="B23" t="s">
        <v>73</v>
      </c>
      <c r="C23" s="80">
        <v>0</v>
      </c>
      <c r="D23" s="80">
        <v>0</v>
      </c>
      <c r="E23" s="80">
        <v>0</v>
      </c>
      <c r="F23" s="80">
        <v>0</v>
      </c>
      <c r="G23" s="80">
        <v>0</v>
      </c>
      <c r="H23" s="80"/>
      <c r="I23" s="80"/>
      <c r="J23" s="80"/>
      <c r="K23" s="80"/>
      <c r="L23" s="80"/>
    </row>
    <row r="24" spans="2:12">
      <c r="B24" t="s">
        <v>74</v>
      </c>
      <c r="C24" s="80">
        <v>64</v>
      </c>
      <c r="D24" s="80">
        <v>0</v>
      </c>
      <c r="E24" s="80">
        <v>0</v>
      </c>
      <c r="F24" s="80">
        <v>13</v>
      </c>
      <c r="G24" s="80">
        <v>45</v>
      </c>
      <c r="H24" s="80"/>
      <c r="I24" s="80"/>
      <c r="J24" s="80"/>
      <c r="K24" s="80"/>
      <c r="L24" s="80"/>
    </row>
    <row r="25" spans="2:12">
      <c r="B25" t="s">
        <v>75</v>
      </c>
      <c r="C25" s="80">
        <v>0</v>
      </c>
      <c r="D25" s="80">
        <v>1003</v>
      </c>
      <c r="E25" s="80">
        <v>-1222</v>
      </c>
      <c r="F25" s="80">
        <v>113</v>
      </c>
      <c r="G25" s="80">
        <v>41</v>
      </c>
      <c r="H25" s="80"/>
      <c r="I25" s="80"/>
      <c r="J25" s="80"/>
      <c r="K25" s="80"/>
      <c r="L25" s="80"/>
    </row>
    <row r="26" spans="2:12" ht="17" thickBot="1">
      <c r="B26" s="39" t="s">
        <v>201</v>
      </c>
      <c r="C26" s="82">
        <v>-15584</v>
      </c>
      <c r="D26" s="82">
        <v>-11973</v>
      </c>
      <c r="E26" s="82">
        <v>-7868</v>
      </c>
      <c r="F26" s="82">
        <v>-3132</v>
      </c>
      <c r="G26" s="82">
        <v>-1436</v>
      </c>
      <c r="H26" s="82"/>
      <c r="I26" s="82"/>
      <c r="J26" s="82"/>
      <c r="K26" s="82"/>
      <c r="L26" s="82"/>
    </row>
    <row r="27" spans="2:12" ht="17" thickTop="1">
      <c r="B27" t="s">
        <v>76</v>
      </c>
      <c r="C27" s="80">
        <v>700</v>
      </c>
      <c r="D27" s="80">
        <v>541</v>
      </c>
      <c r="E27" s="80">
        <v>707</v>
      </c>
      <c r="F27" s="80">
        <v>12686</v>
      </c>
      <c r="G27" s="80">
        <v>1111</v>
      </c>
      <c r="H27" s="80"/>
      <c r="I27" s="80"/>
      <c r="J27" s="80"/>
      <c r="K27" s="80"/>
      <c r="L27" s="80"/>
    </row>
    <row r="28" spans="2:12">
      <c r="B28" t="s">
        <v>77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78</v>
      </c>
      <c r="C29" s="80">
        <v>0</v>
      </c>
      <c r="D29" s="80">
        <v>0</v>
      </c>
      <c r="E29" s="80">
        <v>0</v>
      </c>
      <c r="F29" s="80">
        <v>0</v>
      </c>
      <c r="G29" s="80">
        <v>0</v>
      </c>
      <c r="H29" s="80"/>
      <c r="I29" s="80"/>
      <c r="J29" s="80"/>
      <c r="K29" s="80"/>
      <c r="L29" s="80"/>
    </row>
    <row r="30" spans="2:12">
      <c r="B30" t="s">
        <v>79</v>
      </c>
      <c r="C30" s="80">
        <v>0</v>
      </c>
      <c r="D30" s="80">
        <v>0</v>
      </c>
      <c r="E30" s="80">
        <v>0</v>
      </c>
      <c r="F30" s="80">
        <v>0</v>
      </c>
      <c r="G30" s="80">
        <v>0</v>
      </c>
      <c r="H30" s="80"/>
      <c r="I30" s="80"/>
      <c r="J30" s="80"/>
      <c r="K30" s="80"/>
      <c r="L30" s="80"/>
    </row>
    <row r="31" spans="2:12">
      <c r="B31" t="s">
        <v>80</v>
      </c>
      <c r="C31" s="80">
        <v>3931</v>
      </c>
      <c r="D31" s="80">
        <v>0</v>
      </c>
      <c r="E31" s="80">
        <v>8883</v>
      </c>
      <c r="F31" s="80">
        <v>9713</v>
      </c>
      <c r="G31" s="80">
        <v>10669</v>
      </c>
      <c r="H31" s="80"/>
      <c r="I31" s="80"/>
      <c r="J31" s="80"/>
      <c r="K31" s="80"/>
      <c r="L31" s="80"/>
    </row>
    <row r="32" spans="2:12">
      <c r="B32" t="s">
        <v>81</v>
      </c>
      <c r="C32" s="80">
        <v>1815</v>
      </c>
      <c r="D32" s="80">
        <v>3866</v>
      </c>
      <c r="E32" s="80">
        <v>14615</v>
      </c>
      <c r="F32" s="80">
        <v>12201</v>
      </c>
      <c r="G32" s="80">
        <v>9871</v>
      </c>
      <c r="H32" s="80"/>
      <c r="I32" s="80"/>
      <c r="J32" s="80"/>
      <c r="K32" s="80"/>
      <c r="L32" s="80"/>
    </row>
    <row r="33" spans="2:12">
      <c r="B33" t="s">
        <v>82</v>
      </c>
      <c r="C33" s="80">
        <v>0</v>
      </c>
      <c r="D33" s="80">
        <v>0</v>
      </c>
      <c r="E33" s="80">
        <v>0</v>
      </c>
      <c r="F33" s="80">
        <v>0</v>
      </c>
      <c r="G33" s="80">
        <v>0</v>
      </c>
      <c r="H33" s="80"/>
      <c r="I33" s="80"/>
      <c r="J33" s="80"/>
      <c r="K33" s="80"/>
      <c r="L33" s="80"/>
    </row>
    <row r="34" spans="2:12">
      <c r="B34" t="s">
        <v>83</v>
      </c>
      <c r="C34" s="80">
        <v>-227</v>
      </c>
      <c r="D34" s="80">
        <v>-202</v>
      </c>
      <c r="E34" s="80">
        <v>-178</v>
      </c>
      <c r="F34" s="80">
        <v>-225</v>
      </c>
      <c r="G34" s="80">
        <v>-380</v>
      </c>
      <c r="H34" s="80"/>
      <c r="I34" s="80"/>
      <c r="J34" s="80"/>
      <c r="K34" s="80"/>
      <c r="L34" s="80"/>
    </row>
    <row r="35" spans="2:12" ht="17" thickBot="1">
      <c r="B35" s="39" t="s">
        <v>84</v>
      </c>
      <c r="C35" s="82">
        <v>2589</v>
      </c>
      <c r="D35" s="82">
        <v>-3527</v>
      </c>
      <c r="E35" s="82">
        <v>-5203</v>
      </c>
      <c r="F35" s="82">
        <v>9973</v>
      </c>
      <c r="G35" s="82">
        <v>1529</v>
      </c>
      <c r="H35" s="82"/>
      <c r="I35" s="82"/>
      <c r="J35" s="82"/>
      <c r="K35" s="82"/>
      <c r="L35" s="82"/>
    </row>
    <row r="36" spans="2:12" ht="18" thickTop="1" thickBot="1">
      <c r="B36" s="79" t="s">
        <v>85</v>
      </c>
      <c r="C36" s="83">
        <v>261</v>
      </c>
      <c r="D36" s="83">
        <v>-776</v>
      </c>
      <c r="E36" s="83">
        <v>-1574</v>
      </c>
      <c r="F36" s="83">
        <v>12784</v>
      </c>
      <c r="G36" s="83">
        <v>2498</v>
      </c>
      <c r="H36" s="83"/>
      <c r="I36" s="83"/>
      <c r="J36" s="83"/>
      <c r="K36" s="83"/>
      <c r="L36" s="83"/>
    </row>
    <row r="37" spans="2:12" ht="17" thickTop="1"/>
  </sheetData>
  <mergeCells count="1">
    <mergeCell ref="C4:L4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B2:XFD68"/>
  <sheetViews>
    <sheetView topLeftCell="A30" zoomScale="74" workbookViewId="0">
      <selection activeCell="C62" sqref="C62"/>
    </sheetView>
  </sheetViews>
  <sheetFormatPr baseColWidth="10" defaultRowHeight="16"/>
  <cols>
    <col min="2" max="2" width="38.140625" bestFit="1" customWidth="1"/>
  </cols>
  <sheetData>
    <row r="2" spans="2:16384" ht="21" thickBot="1">
      <c r="B2" s="38" t="s">
        <v>195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40" t="s">
        <v>198</v>
      </c>
      <c r="C4" s="289" t="s">
        <v>196</v>
      </c>
      <c r="D4" s="289"/>
      <c r="E4" s="289"/>
      <c r="F4" s="289"/>
      <c r="G4" s="289"/>
      <c r="H4" s="289"/>
      <c r="I4" s="289"/>
      <c r="J4" s="289"/>
      <c r="K4" s="289"/>
      <c r="L4" s="289"/>
    </row>
    <row r="5" spans="2:16384">
      <c r="B5" s="84" t="s">
        <v>202</v>
      </c>
      <c r="C5" s="76">
        <v>45291</v>
      </c>
      <c r="D5" s="76">
        <v>44926</v>
      </c>
      <c r="E5" s="76">
        <v>44561</v>
      </c>
      <c r="F5" s="76">
        <v>44196</v>
      </c>
      <c r="G5" s="76">
        <v>43830</v>
      </c>
      <c r="H5" s="68"/>
      <c r="I5" s="68"/>
      <c r="J5" s="68"/>
      <c r="K5" s="68"/>
      <c r="L5" s="68"/>
    </row>
    <row r="6" spans="2:16384">
      <c r="B6" t="s">
        <v>14</v>
      </c>
      <c r="C6" s="80">
        <v>29637</v>
      </c>
      <c r="D6" s="80">
        <v>22479</v>
      </c>
      <c r="E6" s="80">
        <v>18052</v>
      </c>
      <c r="F6" s="80">
        <v>19622</v>
      </c>
      <c r="G6" s="80">
        <v>6514</v>
      </c>
      <c r="H6" s="80"/>
      <c r="I6" s="80"/>
      <c r="J6" s="80"/>
      <c r="K6" s="80"/>
      <c r="L6" s="80"/>
    </row>
    <row r="7" spans="2:16384">
      <c r="B7" t="s">
        <v>15</v>
      </c>
      <c r="C7" s="80">
        <v>3702</v>
      </c>
      <c r="D7" s="80">
        <v>3123</v>
      </c>
      <c r="E7" s="80">
        <v>1997</v>
      </c>
      <c r="F7" s="80">
        <v>1912</v>
      </c>
      <c r="G7" s="80">
        <v>1324</v>
      </c>
      <c r="H7" s="80"/>
      <c r="I7" s="80"/>
      <c r="J7" s="80"/>
      <c r="K7" s="80"/>
      <c r="L7" s="80"/>
    </row>
    <row r="8" spans="2:16384">
      <c r="B8" t="s">
        <v>16</v>
      </c>
      <c r="C8" s="80">
        <v>13626</v>
      </c>
      <c r="D8" s="80">
        <v>12839</v>
      </c>
      <c r="E8" s="80">
        <v>5757</v>
      </c>
      <c r="F8" s="80">
        <v>4101</v>
      </c>
      <c r="G8" s="80">
        <v>3552</v>
      </c>
      <c r="H8" s="80"/>
      <c r="I8" s="80"/>
      <c r="J8" s="80"/>
      <c r="K8" s="80"/>
      <c r="L8" s="80"/>
    </row>
    <row r="9" spans="2:16384">
      <c r="B9" t="s">
        <v>17</v>
      </c>
      <c r="C9" s="80">
        <v>2651</v>
      </c>
      <c r="D9" s="80">
        <v>2476</v>
      </c>
      <c r="E9" s="80">
        <v>1294</v>
      </c>
      <c r="F9" s="80">
        <v>1082</v>
      </c>
      <c r="G9" s="80">
        <v>713</v>
      </c>
      <c r="H9" s="80"/>
      <c r="I9" s="80"/>
      <c r="J9" s="80"/>
      <c r="K9" s="80"/>
      <c r="L9" s="80"/>
    </row>
    <row r="10" spans="2:16384">
      <c r="B10" t="s">
        <v>18</v>
      </c>
      <c r="C10" s="80">
        <v>49616</v>
      </c>
      <c r="D10" s="80">
        <v>40917</v>
      </c>
      <c r="E10" s="80">
        <v>27100</v>
      </c>
      <c r="F10" s="80">
        <v>26717</v>
      </c>
      <c r="G10" s="80">
        <v>12103</v>
      </c>
      <c r="H10" s="80"/>
      <c r="I10" s="80"/>
      <c r="J10" s="80"/>
      <c r="K10" s="80"/>
      <c r="L10" s="80"/>
    </row>
    <row r="11" spans="2:16384">
      <c r="B11" t="s">
        <v>108</v>
      </c>
      <c r="C11" s="80">
        <v>45123</v>
      </c>
      <c r="D11" s="80">
        <v>36635</v>
      </c>
      <c r="E11" s="80">
        <v>31176</v>
      </c>
      <c r="F11" s="80">
        <v>23375</v>
      </c>
      <c r="G11" s="80">
        <v>20199</v>
      </c>
      <c r="H11" s="80"/>
      <c r="I11" s="80"/>
      <c r="J11" s="80"/>
      <c r="K11" s="80"/>
      <c r="L11" s="80"/>
    </row>
    <row r="12" spans="2:16384">
      <c r="B12" t="s">
        <v>20</v>
      </c>
      <c r="C12" s="80">
        <v>15080</v>
      </c>
      <c r="D12" s="80">
        <v>11499</v>
      </c>
      <c r="E12" s="80">
        <v>8691</v>
      </c>
      <c r="F12" s="80">
        <v>6518</v>
      </c>
      <c r="G12" s="80">
        <v>4863</v>
      </c>
      <c r="H12" s="80"/>
      <c r="I12" s="80"/>
      <c r="J12" s="80"/>
      <c r="K12" s="80"/>
      <c r="L12" s="80"/>
    </row>
    <row r="13" spans="2:16384">
      <c r="B13" t="s">
        <v>21</v>
      </c>
      <c r="C13" s="80">
        <v>0</v>
      </c>
      <c r="D13" s="80">
        <v>0</v>
      </c>
      <c r="E13" s="80">
        <v>0</v>
      </c>
      <c r="F13" s="80">
        <v>0</v>
      </c>
      <c r="G13" s="80">
        <v>0</v>
      </c>
      <c r="H13" s="80"/>
      <c r="I13" s="80"/>
      <c r="J13" s="80"/>
      <c r="K13" s="80"/>
      <c r="L13" s="80"/>
    </row>
    <row r="14" spans="2:16384">
      <c r="B14" t="s">
        <v>22</v>
      </c>
      <c r="C14" s="80">
        <v>2593</v>
      </c>
      <c r="D14" s="80">
        <v>2652</v>
      </c>
      <c r="E14" s="80">
        <v>1218</v>
      </c>
      <c r="F14" s="80">
        <v>399</v>
      </c>
      <c r="G14" s="80">
        <v>393</v>
      </c>
      <c r="H14" s="80"/>
      <c r="I14" s="80"/>
      <c r="J14" s="80"/>
      <c r="K14" s="80"/>
      <c r="L14" s="80"/>
    </row>
    <row r="15" spans="2:16384">
      <c r="B15" t="s">
        <v>23</v>
      </c>
      <c r="C15" s="80">
        <v>615</v>
      </c>
      <c r="D15" s="80">
        <v>593</v>
      </c>
      <c r="E15" s="80">
        <v>1717</v>
      </c>
      <c r="F15" s="80">
        <v>520</v>
      </c>
      <c r="G15" s="80">
        <v>537</v>
      </c>
      <c r="H15" s="80"/>
      <c r="I15" s="80"/>
      <c r="J15" s="80"/>
      <c r="K15" s="80"/>
      <c r="L15" s="80"/>
    </row>
    <row r="16" spans="2:16384">
      <c r="B16" t="s">
        <v>24</v>
      </c>
      <c r="C16" s="80">
        <v>8671</v>
      </c>
      <c r="D16" s="80">
        <v>1541</v>
      </c>
      <c r="E16" s="80">
        <v>920</v>
      </c>
      <c r="F16" s="80">
        <v>1137</v>
      </c>
      <c r="G16" s="80">
        <v>1077</v>
      </c>
      <c r="H16" s="80"/>
      <c r="I16" s="80"/>
      <c r="J16" s="80"/>
      <c r="K16" s="80"/>
      <c r="L16" s="80"/>
    </row>
    <row r="17" spans="2:12">
      <c r="B17" t="s">
        <v>25</v>
      </c>
      <c r="C17" s="80">
        <v>106618</v>
      </c>
      <c r="D17" s="80">
        <v>82338</v>
      </c>
      <c r="E17" s="80">
        <v>62131</v>
      </c>
      <c r="F17" s="80">
        <v>52148</v>
      </c>
      <c r="G17" s="80">
        <v>34309</v>
      </c>
      <c r="H17" s="80"/>
      <c r="I17" s="80"/>
      <c r="J17" s="80"/>
      <c r="K17" s="80"/>
      <c r="L17" s="80"/>
    </row>
    <row r="18" spans="2:12">
      <c r="B18" t="s">
        <v>26</v>
      </c>
      <c r="C18" s="80">
        <v>3045</v>
      </c>
      <c r="D18" s="80">
        <v>1987</v>
      </c>
      <c r="E18" s="80">
        <v>1957</v>
      </c>
      <c r="F18" s="80">
        <v>2459</v>
      </c>
      <c r="G18" s="80">
        <v>2070</v>
      </c>
      <c r="H18" s="80"/>
      <c r="I18" s="80"/>
      <c r="J18" s="80"/>
      <c r="K18" s="80"/>
      <c r="L18" s="80"/>
    </row>
    <row r="19" spans="2:12">
      <c r="B19" t="s">
        <v>27</v>
      </c>
      <c r="C19" s="80">
        <v>14431</v>
      </c>
      <c r="D19" s="80">
        <v>15255</v>
      </c>
      <c r="E19" s="80">
        <v>10025</v>
      </c>
      <c r="F19" s="80">
        <v>6051</v>
      </c>
      <c r="G19" s="80">
        <v>3771</v>
      </c>
      <c r="H19" s="80"/>
      <c r="I19" s="80"/>
      <c r="J19" s="80"/>
      <c r="K19" s="80"/>
      <c r="L19" s="80"/>
    </row>
    <row r="20" spans="2:12">
      <c r="B20" t="s">
        <v>28</v>
      </c>
      <c r="C20" s="80">
        <v>1204</v>
      </c>
      <c r="D20" s="80">
        <v>1235</v>
      </c>
      <c r="E20" s="80">
        <v>1122</v>
      </c>
      <c r="F20" s="80">
        <v>777</v>
      </c>
      <c r="G20" s="80">
        <v>611</v>
      </c>
      <c r="H20" s="80"/>
      <c r="I20" s="80"/>
      <c r="J20" s="80"/>
      <c r="K20" s="80"/>
      <c r="L20" s="80"/>
    </row>
    <row r="21" spans="2:12">
      <c r="B21" t="s">
        <v>29</v>
      </c>
      <c r="C21" s="80">
        <v>10068</v>
      </c>
      <c r="D21" s="80">
        <v>8232</v>
      </c>
      <c r="E21" s="80">
        <v>6601</v>
      </c>
      <c r="F21" s="80">
        <v>4961</v>
      </c>
      <c r="G21" s="80">
        <v>4215</v>
      </c>
      <c r="H21" s="80"/>
      <c r="I21" s="80"/>
      <c r="J21" s="80"/>
      <c r="K21" s="80"/>
      <c r="L21" s="80"/>
    </row>
    <row r="22" spans="2:12">
      <c r="B22" t="s">
        <v>30</v>
      </c>
      <c r="C22" s="80">
        <v>28748</v>
      </c>
      <c r="D22" s="80">
        <v>26709</v>
      </c>
      <c r="E22" s="80">
        <v>19705</v>
      </c>
      <c r="F22" s="80">
        <v>14248</v>
      </c>
      <c r="G22" s="80">
        <v>10667</v>
      </c>
      <c r="H22" s="80"/>
      <c r="I22" s="80"/>
      <c r="J22" s="80"/>
      <c r="K22" s="80"/>
      <c r="L22" s="80"/>
    </row>
    <row r="23" spans="2:12">
      <c r="B23" t="s">
        <v>31</v>
      </c>
      <c r="C23" s="80">
        <v>6528</v>
      </c>
      <c r="D23" s="80">
        <v>3761</v>
      </c>
      <c r="E23" s="80">
        <v>6916</v>
      </c>
      <c r="F23" s="80">
        <v>10888</v>
      </c>
      <c r="G23" s="80">
        <v>12627</v>
      </c>
      <c r="H23" s="80"/>
      <c r="I23" s="80"/>
      <c r="J23" s="80"/>
      <c r="K23" s="80"/>
      <c r="L23" s="80"/>
    </row>
    <row r="24" spans="2:12">
      <c r="B24" t="s">
        <v>32</v>
      </c>
      <c r="C24" s="80">
        <v>81</v>
      </c>
      <c r="D24" s="80">
        <v>82</v>
      </c>
      <c r="E24" s="80">
        <v>24</v>
      </c>
      <c r="F24" s="80">
        <v>151</v>
      </c>
      <c r="G24" s="80">
        <v>0</v>
      </c>
      <c r="H24" s="80"/>
      <c r="I24" s="80"/>
      <c r="J24" s="80"/>
      <c r="K24" s="80"/>
      <c r="L24" s="80"/>
    </row>
    <row r="25" spans="2:12">
      <c r="B25" t="s">
        <v>33</v>
      </c>
      <c r="C25" s="80">
        <v>7652</v>
      </c>
      <c r="D25" s="80">
        <v>5888</v>
      </c>
      <c r="E25" s="80">
        <v>3903</v>
      </c>
      <c r="F25" s="80">
        <v>3182</v>
      </c>
      <c r="G25" s="80">
        <v>2905</v>
      </c>
      <c r="H25" s="80"/>
      <c r="I25" s="80"/>
      <c r="J25" s="80"/>
      <c r="K25" s="80"/>
      <c r="L25" s="80"/>
    </row>
    <row r="26" spans="2:12">
      <c r="B26" t="s">
        <v>34</v>
      </c>
      <c r="C26" s="80">
        <v>43009</v>
      </c>
      <c r="D26" s="80">
        <v>36440</v>
      </c>
      <c r="E26" s="80">
        <v>30548</v>
      </c>
      <c r="F26" s="80">
        <v>28469</v>
      </c>
      <c r="G26" s="80">
        <v>26199</v>
      </c>
      <c r="H26" s="80"/>
      <c r="I26" s="80"/>
      <c r="J26" s="80"/>
      <c r="K26" s="80"/>
      <c r="L26" s="80"/>
    </row>
    <row r="27" spans="2:12">
      <c r="B27" t="s">
        <v>35</v>
      </c>
      <c r="C27" s="80">
        <v>242</v>
      </c>
      <c r="D27" s="80">
        <v>409</v>
      </c>
      <c r="E27" s="80">
        <v>568</v>
      </c>
      <c r="F27" s="80">
        <v>604</v>
      </c>
      <c r="G27" s="80">
        <v>643</v>
      </c>
      <c r="H27" s="80"/>
      <c r="I27" s="80"/>
      <c r="J27" s="80"/>
      <c r="K27" s="80"/>
      <c r="L27" s="80"/>
    </row>
    <row r="28" spans="2:12">
      <c r="B28" t="s">
        <v>36</v>
      </c>
      <c r="C28" s="80">
        <v>0</v>
      </c>
      <c r="D28" s="80">
        <v>0</v>
      </c>
      <c r="E28" s="80">
        <v>0</v>
      </c>
      <c r="F28" s="80">
        <v>0</v>
      </c>
      <c r="G28" s="80">
        <v>0</v>
      </c>
      <c r="H28" s="80"/>
      <c r="I28" s="80"/>
      <c r="J28" s="80"/>
      <c r="K28" s="80"/>
      <c r="L28" s="80"/>
    </row>
    <row r="29" spans="2:12">
      <c r="B29" t="s">
        <v>37</v>
      </c>
      <c r="C29" s="80">
        <v>62634</v>
      </c>
      <c r="D29" s="80">
        <v>44704</v>
      </c>
      <c r="E29" s="80">
        <v>30189</v>
      </c>
      <c r="F29" s="80">
        <v>22225</v>
      </c>
      <c r="G29" s="80">
        <v>6618</v>
      </c>
      <c r="H29" s="80"/>
      <c r="I29" s="80"/>
      <c r="J29" s="80"/>
      <c r="K29" s="80"/>
      <c r="L29" s="80"/>
    </row>
    <row r="30" spans="2:12">
      <c r="B30" t="s">
        <v>38</v>
      </c>
      <c r="C30" s="80">
        <v>62634</v>
      </c>
      <c r="D30" s="80">
        <v>44704</v>
      </c>
      <c r="E30" s="80">
        <v>30189</v>
      </c>
      <c r="F30" s="80">
        <v>22225</v>
      </c>
      <c r="G30" s="80">
        <v>6618</v>
      </c>
      <c r="H30" s="80"/>
      <c r="I30" s="80"/>
      <c r="J30" s="80"/>
      <c r="K30" s="80"/>
      <c r="L30" s="80"/>
    </row>
    <row r="34" spans="2:16384" ht="21" thickBot="1">
      <c r="B34" s="38" t="s">
        <v>199</v>
      </c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7"/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  <c r="AW34" s="37"/>
      <c r="AX34" s="37"/>
      <c r="AY34" s="37"/>
      <c r="AZ34" s="37"/>
      <c r="BA34" s="37"/>
      <c r="BB34" s="37"/>
      <c r="BC34" s="37"/>
      <c r="BD34" s="37"/>
      <c r="BE34" s="37"/>
      <c r="BF34" s="37"/>
      <c r="BG34" s="37"/>
      <c r="BH34" s="37"/>
      <c r="BI34" s="37"/>
      <c r="BJ34" s="37"/>
      <c r="BK34" s="37"/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  <c r="BZ34" s="37"/>
      <c r="CA34" s="37"/>
      <c r="CB34" s="37"/>
      <c r="CC34" s="37"/>
      <c r="CD34" s="37"/>
      <c r="CE34" s="37"/>
      <c r="CF34" s="37"/>
      <c r="CG34" s="37"/>
      <c r="CH34" s="37"/>
      <c r="CI34" s="37"/>
      <c r="CJ34" s="37"/>
      <c r="CK34" s="37"/>
      <c r="CL34" s="37"/>
      <c r="CM34" s="37"/>
      <c r="CN34" s="37"/>
      <c r="CO34" s="37"/>
      <c r="CP34" s="37"/>
      <c r="CQ34" s="37"/>
      <c r="CR34" s="37"/>
      <c r="CS34" s="37"/>
      <c r="CT34" s="37"/>
      <c r="CU34" s="37"/>
      <c r="CV34" s="37"/>
      <c r="CW34" s="37"/>
      <c r="CX34" s="37"/>
      <c r="CY34" s="37"/>
      <c r="CZ34" s="37"/>
      <c r="DA34" s="37"/>
      <c r="DB34" s="37"/>
      <c r="DC34" s="37"/>
      <c r="DD34" s="37"/>
      <c r="DE34" s="37"/>
      <c r="DF34" s="37"/>
      <c r="DG34" s="37"/>
      <c r="DH34" s="37"/>
      <c r="DI34" s="37"/>
      <c r="DJ34" s="37"/>
      <c r="DK34" s="37"/>
      <c r="DL34" s="37"/>
      <c r="DM34" s="37"/>
      <c r="DN34" s="37"/>
      <c r="DO34" s="37"/>
      <c r="DP34" s="37"/>
      <c r="DQ34" s="37"/>
      <c r="DR34" s="37"/>
      <c r="DS34" s="37"/>
      <c r="DT34" s="37"/>
      <c r="DU34" s="37"/>
      <c r="DV34" s="37"/>
      <c r="DW34" s="37"/>
      <c r="DX34" s="37"/>
      <c r="DY34" s="37"/>
      <c r="DZ34" s="37"/>
      <c r="EA34" s="37"/>
      <c r="EB34" s="37"/>
      <c r="EC34" s="37"/>
      <c r="ED34" s="37"/>
      <c r="EE34" s="37"/>
      <c r="EF34" s="37"/>
      <c r="EG34" s="37"/>
      <c r="EH34" s="37"/>
      <c r="EI34" s="37"/>
      <c r="EJ34" s="37"/>
      <c r="EK34" s="37"/>
      <c r="EL34" s="37"/>
      <c r="EM34" s="37"/>
      <c r="EN34" s="37"/>
      <c r="EO34" s="37"/>
      <c r="EP34" s="37"/>
      <c r="EQ34" s="37"/>
      <c r="ER34" s="37"/>
      <c r="ES34" s="37"/>
      <c r="ET34" s="37"/>
      <c r="EU34" s="37"/>
      <c r="EV34" s="37"/>
      <c r="EW34" s="37"/>
      <c r="EX34" s="37"/>
      <c r="EY34" s="37"/>
      <c r="EZ34" s="37"/>
      <c r="FA34" s="37"/>
      <c r="FB34" s="37"/>
      <c r="FC34" s="37"/>
      <c r="FD34" s="37"/>
      <c r="FE34" s="37"/>
      <c r="FF34" s="37"/>
      <c r="FG34" s="37"/>
      <c r="FH34" s="37"/>
      <c r="FI34" s="37"/>
      <c r="FJ34" s="37"/>
      <c r="FK34" s="37"/>
      <c r="FL34" s="37"/>
      <c r="FM34" s="37"/>
      <c r="FN34" s="37"/>
      <c r="FO34" s="37"/>
      <c r="FP34" s="37"/>
      <c r="FQ34" s="37"/>
      <c r="FR34" s="37"/>
      <c r="FS34" s="37"/>
      <c r="FT34" s="37"/>
      <c r="FU34" s="37"/>
      <c r="FV34" s="37"/>
      <c r="FW34" s="37"/>
      <c r="FX34" s="37"/>
      <c r="FY34" s="37"/>
      <c r="FZ34" s="37"/>
      <c r="GA34" s="37"/>
      <c r="GB34" s="37"/>
      <c r="GC34" s="37"/>
      <c r="GD34" s="37"/>
      <c r="GE34" s="37"/>
      <c r="GF34" s="37"/>
      <c r="GG34" s="37"/>
      <c r="GH34" s="37"/>
      <c r="GI34" s="37"/>
      <c r="GJ34" s="37"/>
      <c r="GK34" s="37"/>
      <c r="GL34" s="37"/>
      <c r="GM34" s="37"/>
      <c r="GN34" s="37"/>
      <c r="GO34" s="37"/>
      <c r="GP34" s="37"/>
      <c r="GQ34" s="37"/>
      <c r="GR34" s="37"/>
      <c r="GS34" s="37"/>
      <c r="GT34" s="37"/>
      <c r="GU34" s="37"/>
      <c r="GV34" s="37"/>
      <c r="GW34" s="37"/>
      <c r="GX34" s="37"/>
      <c r="GY34" s="37"/>
      <c r="GZ34" s="37"/>
      <c r="HA34" s="37"/>
      <c r="HB34" s="37"/>
      <c r="HC34" s="37"/>
      <c r="HD34" s="37"/>
      <c r="HE34" s="37"/>
      <c r="HF34" s="37"/>
      <c r="HG34" s="37"/>
      <c r="HH34" s="37"/>
      <c r="HI34" s="37"/>
      <c r="HJ34" s="37"/>
      <c r="HK34" s="37"/>
      <c r="HL34" s="37"/>
      <c r="HM34" s="37"/>
      <c r="HN34" s="37"/>
      <c r="HO34" s="37"/>
      <c r="HP34" s="37"/>
      <c r="HQ34" s="37"/>
      <c r="HR34" s="37"/>
      <c r="HS34" s="37"/>
      <c r="HT34" s="37"/>
      <c r="HU34" s="37"/>
      <c r="HV34" s="37"/>
      <c r="HW34" s="37"/>
      <c r="HX34" s="37"/>
      <c r="HY34" s="37"/>
      <c r="HZ34" s="37"/>
      <c r="IA34" s="37"/>
      <c r="IB34" s="37"/>
      <c r="IC34" s="37"/>
      <c r="ID34" s="37"/>
      <c r="IE34" s="37"/>
      <c r="IF34" s="37"/>
      <c r="IG34" s="37"/>
      <c r="IH34" s="37"/>
      <c r="II34" s="37"/>
      <c r="IJ34" s="37"/>
      <c r="IK34" s="37"/>
      <c r="IL34" s="37"/>
      <c r="IM34" s="37"/>
      <c r="IN34" s="37"/>
      <c r="IO34" s="37"/>
      <c r="IP34" s="37"/>
      <c r="IQ34" s="37"/>
      <c r="IR34" s="37"/>
      <c r="IS34" s="37"/>
      <c r="IT34" s="37"/>
      <c r="IU34" s="37"/>
      <c r="IV34" s="37"/>
      <c r="IW34" s="37"/>
      <c r="IX34" s="37"/>
      <c r="IY34" s="37"/>
      <c r="IZ34" s="37"/>
      <c r="JA34" s="37"/>
      <c r="JB34" s="37"/>
      <c r="JC34" s="37"/>
      <c r="JD34" s="37"/>
      <c r="JE34" s="37"/>
      <c r="JF34" s="37"/>
      <c r="JG34" s="37"/>
      <c r="JH34" s="37"/>
      <c r="JI34" s="37"/>
      <c r="JJ34" s="37"/>
      <c r="JK34" s="37"/>
      <c r="JL34" s="37"/>
      <c r="JM34" s="37"/>
      <c r="JN34" s="37"/>
      <c r="JO34" s="37"/>
      <c r="JP34" s="37"/>
      <c r="JQ34" s="37"/>
      <c r="JR34" s="37"/>
      <c r="JS34" s="37"/>
      <c r="JT34" s="37"/>
      <c r="JU34" s="37"/>
      <c r="JV34" s="37"/>
      <c r="JW34" s="37"/>
      <c r="JX34" s="37"/>
      <c r="JY34" s="37"/>
      <c r="JZ34" s="37"/>
      <c r="KA34" s="37"/>
      <c r="KB34" s="37"/>
      <c r="KC34" s="37"/>
      <c r="KD34" s="37"/>
      <c r="KE34" s="37"/>
      <c r="KF34" s="37"/>
      <c r="KG34" s="37"/>
      <c r="KH34" s="37"/>
      <c r="KI34" s="37"/>
      <c r="KJ34" s="37"/>
      <c r="KK34" s="37"/>
      <c r="KL34" s="37"/>
      <c r="KM34" s="37"/>
      <c r="KN34" s="37"/>
      <c r="KO34" s="37"/>
      <c r="KP34" s="37"/>
      <c r="KQ34" s="37"/>
      <c r="KR34" s="37"/>
      <c r="KS34" s="37"/>
      <c r="KT34" s="37"/>
      <c r="KU34" s="37"/>
      <c r="KV34" s="37"/>
      <c r="KW34" s="37"/>
      <c r="KX34" s="37"/>
      <c r="KY34" s="37"/>
      <c r="KZ34" s="37"/>
      <c r="LA34" s="37"/>
      <c r="LB34" s="37"/>
      <c r="LC34" s="37"/>
      <c r="LD34" s="37"/>
      <c r="LE34" s="37"/>
      <c r="LF34" s="37"/>
      <c r="LG34" s="37"/>
      <c r="LH34" s="37"/>
      <c r="LI34" s="37"/>
      <c r="LJ34" s="37"/>
      <c r="LK34" s="37"/>
      <c r="LL34" s="37"/>
      <c r="LM34" s="37"/>
      <c r="LN34" s="37"/>
      <c r="LO34" s="37"/>
      <c r="LP34" s="37"/>
      <c r="LQ34" s="37"/>
      <c r="LR34" s="37"/>
      <c r="LS34" s="37"/>
      <c r="LT34" s="37"/>
      <c r="LU34" s="37"/>
      <c r="LV34" s="37"/>
      <c r="LW34" s="37"/>
      <c r="LX34" s="37"/>
      <c r="LY34" s="37"/>
      <c r="LZ34" s="37"/>
      <c r="MA34" s="37"/>
      <c r="MB34" s="37"/>
      <c r="MC34" s="37"/>
      <c r="MD34" s="37"/>
      <c r="ME34" s="37"/>
      <c r="MF34" s="37"/>
      <c r="MG34" s="37"/>
      <c r="MH34" s="37"/>
      <c r="MI34" s="37"/>
      <c r="MJ34" s="37"/>
      <c r="MK34" s="37"/>
      <c r="ML34" s="37"/>
      <c r="MM34" s="37"/>
      <c r="MN34" s="37"/>
      <c r="MO34" s="37"/>
      <c r="MP34" s="37"/>
      <c r="MQ34" s="37"/>
      <c r="MR34" s="37"/>
      <c r="MS34" s="37"/>
      <c r="MT34" s="37"/>
      <c r="MU34" s="37"/>
      <c r="MV34" s="37"/>
      <c r="MW34" s="37"/>
      <c r="MX34" s="37"/>
      <c r="MY34" s="37"/>
      <c r="MZ34" s="37"/>
      <c r="NA34" s="37"/>
      <c r="NB34" s="37"/>
      <c r="NC34" s="37"/>
      <c r="ND34" s="37"/>
      <c r="NE34" s="37"/>
      <c r="NF34" s="37"/>
      <c r="NG34" s="37"/>
      <c r="NH34" s="37"/>
      <c r="NI34" s="37"/>
      <c r="NJ34" s="37"/>
      <c r="NK34" s="37"/>
      <c r="NL34" s="37"/>
      <c r="NM34" s="37"/>
      <c r="NN34" s="37"/>
      <c r="NO34" s="37"/>
      <c r="NP34" s="37"/>
      <c r="NQ34" s="37"/>
      <c r="NR34" s="37"/>
      <c r="NS34" s="37"/>
      <c r="NT34" s="37"/>
      <c r="NU34" s="37"/>
      <c r="NV34" s="37"/>
      <c r="NW34" s="37"/>
      <c r="NX34" s="37"/>
      <c r="NY34" s="37"/>
      <c r="NZ34" s="37"/>
      <c r="OA34" s="37"/>
      <c r="OB34" s="37"/>
      <c r="OC34" s="37"/>
      <c r="OD34" s="37"/>
      <c r="OE34" s="37"/>
      <c r="OF34" s="37"/>
      <c r="OG34" s="37"/>
      <c r="OH34" s="37"/>
      <c r="OI34" s="37"/>
      <c r="OJ34" s="37"/>
      <c r="OK34" s="37"/>
      <c r="OL34" s="37"/>
      <c r="OM34" s="37"/>
      <c r="ON34" s="37"/>
      <c r="OO34" s="37"/>
      <c r="OP34" s="37"/>
      <c r="OQ34" s="37"/>
      <c r="OR34" s="37"/>
      <c r="OS34" s="37"/>
      <c r="OT34" s="37"/>
      <c r="OU34" s="37"/>
      <c r="OV34" s="37"/>
      <c r="OW34" s="37"/>
      <c r="OX34" s="37"/>
      <c r="OY34" s="37"/>
      <c r="OZ34" s="37"/>
      <c r="PA34" s="37"/>
      <c r="PB34" s="37"/>
      <c r="PC34" s="37"/>
      <c r="PD34" s="37"/>
      <c r="PE34" s="37"/>
      <c r="PF34" s="37"/>
      <c r="PG34" s="37"/>
      <c r="PH34" s="37"/>
      <c r="PI34" s="37"/>
      <c r="PJ34" s="37"/>
      <c r="PK34" s="37"/>
      <c r="PL34" s="37"/>
      <c r="PM34" s="37"/>
      <c r="PN34" s="37"/>
      <c r="PO34" s="37"/>
      <c r="PP34" s="37"/>
      <c r="PQ34" s="37"/>
      <c r="PR34" s="37"/>
      <c r="PS34" s="37"/>
      <c r="PT34" s="37"/>
      <c r="PU34" s="37"/>
      <c r="PV34" s="37"/>
      <c r="PW34" s="37"/>
      <c r="PX34" s="37"/>
      <c r="PY34" s="37"/>
      <c r="PZ34" s="37"/>
      <c r="QA34" s="37"/>
      <c r="QB34" s="37"/>
      <c r="QC34" s="37"/>
      <c r="QD34" s="37"/>
      <c r="QE34" s="37"/>
      <c r="QF34" s="37"/>
      <c r="QG34" s="37"/>
      <c r="QH34" s="37"/>
      <c r="QI34" s="37"/>
      <c r="QJ34" s="37"/>
      <c r="QK34" s="37"/>
      <c r="QL34" s="37"/>
      <c r="QM34" s="37"/>
      <c r="QN34" s="37"/>
      <c r="QO34" s="37"/>
      <c r="QP34" s="37"/>
      <c r="QQ34" s="37"/>
      <c r="QR34" s="37"/>
      <c r="QS34" s="37"/>
      <c r="QT34" s="37"/>
      <c r="QU34" s="37"/>
      <c r="QV34" s="37"/>
      <c r="QW34" s="37"/>
      <c r="QX34" s="37"/>
      <c r="QY34" s="37"/>
      <c r="QZ34" s="37"/>
      <c r="RA34" s="37"/>
      <c r="RB34" s="37"/>
      <c r="RC34" s="37"/>
      <c r="RD34" s="37"/>
      <c r="RE34" s="37"/>
      <c r="RF34" s="37"/>
      <c r="RG34" s="37"/>
      <c r="RH34" s="37"/>
      <c r="RI34" s="37"/>
      <c r="RJ34" s="37"/>
      <c r="RK34" s="37"/>
      <c r="RL34" s="37"/>
      <c r="RM34" s="37"/>
      <c r="RN34" s="37"/>
      <c r="RO34" s="37"/>
      <c r="RP34" s="37"/>
      <c r="RQ34" s="37"/>
      <c r="RR34" s="37"/>
      <c r="RS34" s="37"/>
      <c r="RT34" s="37"/>
      <c r="RU34" s="37"/>
      <c r="RV34" s="37"/>
      <c r="RW34" s="37"/>
      <c r="RX34" s="37"/>
      <c r="RY34" s="37"/>
      <c r="RZ34" s="37"/>
      <c r="SA34" s="37"/>
      <c r="SB34" s="37"/>
      <c r="SC34" s="37"/>
      <c r="SD34" s="37"/>
      <c r="SE34" s="37"/>
      <c r="SF34" s="37"/>
      <c r="SG34" s="37"/>
      <c r="SH34" s="37"/>
      <c r="SI34" s="37"/>
      <c r="SJ34" s="37"/>
      <c r="SK34" s="37"/>
      <c r="SL34" s="37"/>
      <c r="SM34" s="37"/>
      <c r="SN34" s="37"/>
      <c r="SO34" s="37"/>
      <c r="SP34" s="37"/>
      <c r="SQ34" s="37"/>
      <c r="SR34" s="37"/>
      <c r="SS34" s="37"/>
      <c r="ST34" s="37"/>
      <c r="SU34" s="37"/>
      <c r="SV34" s="37"/>
      <c r="SW34" s="37"/>
      <c r="SX34" s="37"/>
      <c r="SY34" s="37"/>
      <c r="SZ34" s="37"/>
      <c r="TA34" s="37"/>
      <c r="TB34" s="37"/>
      <c r="TC34" s="37"/>
      <c r="TD34" s="37"/>
      <c r="TE34" s="37"/>
      <c r="TF34" s="37"/>
      <c r="TG34" s="37"/>
      <c r="TH34" s="37"/>
      <c r="TI34" s="37"/>
      <c r="TJ34" s="37"/>
      <c r="TK34" s="37"/>
      <c r="TL34" s="37"/>
      <c r="TM34" s="37"/>
      <c r="TN34" s="37"/>
      <c r="TO34" s="37"/>
      <c r="TP34" s="37"/>
      <c r="TQ34" s="37"/>
      <c r="TR34" s="37"/>
      <c r="TS34" s="37"/>
      <c r="TT34" s="37"/>
      <c r="TU34" s="37"/>
      <c r="TV34" s="37"/>
      <c r="TW34" s="37"/>
      <c r="TX34" s="37"/>
      <c r="TY34" s="37"/>
      <c r="TZ34" s="37"/>
      <c r="UA34" s="37"/>
      <c r="UB34" s="37"/>
      <c r="UC34" s="37"/>
      <c r="UD34" s="37"/>
      <c r="UE34" s="37"/>
      <c r="UF34" s="37"/>
      <c r="UG34" s="37"/>
      <c r="UH34" s="37"/>
      <c r="UI34" s="37"/>
      <c r="UJ34" s="37"/>
      <c r="UK34" s="37"/>
      <c r="UL34" s="37"/>
      <c r="UM34" s="37"/>
      <c r="UN34" s="37"/>
      <c r="UO34" s="37"/>
      <c r="UP34" s="37"/>
      <c r="UQ34" s="37"/>
      <c r="UR34" s="37"/>
      <c r="US34" s="37"/>
      <c r="UT34" s="37"/>
      <c r="UU34" s="37"/>
      <c r="UV34" s="37"/>
      <c r="UW34" s="37"/>
      <c r="UX34" s="37"/>
      <c r="UY34" s="37"/>
      <c r="UZ34" s="37"/>
      <c r="VA34" s="37"/>
      <c r="VB34" s="37"/>
      <c r="VC34" s="37"/>
      <c r="VD34" s="37"/>
      <c r="VE34" s="37"/>
      <c r="VF34" s="37"/>
      <c r="VG34" s="37"/>
      <c r="VH34" s="37"/>
      <c r="VI34" s="37"/>
      <c r="VJ34" s="37"/>
      <c r="VK34" s="37"/>
      <c r="VL34" s="37"/>
      <c r="VM34" s="37"/>
      <c r="VN34" s="37"/>
      <c r="VO34" s="37"/>
      <c r="VP34" s="37"/>
      <c r="VQ34" s="37"/>
      <c r="VR34" s="37"/>
      <c r="VS34" s="37"/>
      <c r="VT34" s="37"/>
      <c r="VU34" s="37"/>
      <c r="VV34" s="37"/>
      <c r="VW34" s="37"/>
      <c r="VX34" s="37"/>
      <c r="VY34" s="37"/>
      <c r="VZ34" s="37"/>
      <c r="WA34" s="37"/>
      <c r="WB34" s="37"/>
      <c r="WC34" s="37"/>
      <c r="WD34" s="37"/>
      <c r="WE34" s="37"/>
      <c r="WF34" s="37"/>
      <c r="WG34" s="37"/>
      <c r="WH34" s="37"/>
      <c r="WI34" s="37"/>
      <c r="WJ34" s="37"/>
      <c r="WK34" s="37"/>
      <c r="WL34" s="37"/>
      <c r="WM34" s="37"/>
      <c r="WN34" s="37"/>
      <c r="WO34" s="37"/>
      <c r="WP34" s="37"/>
      <c r="WQ34" s="37"/>
      <c r="WR34" s="37"/>
      <c r="WS34" s="37"/>
      <c r="WT34" s="37"/>
      <c r="WU34" s="37"/>
      <c r="WV34" s="37"/>
      <c r="WW34" s="37"/>
      <c r="WX34" s="37"/>
      <c r="WY34" s="37"/>
      <c r="WZ34" s="37"/>
      <c r="XA34" s="37"/>
      <c r="XB34" s="37"/>
      <c r="XC34" s="37"/>
      <c r="XD34" s="37"/>
      <c r="XE34" s="37"/>
      <c r="XF34" s="37"/>
      <c r="XG34" s="37"/>
      <c r="XH34" s="37"/>
      <c r="XI34" s="37"/>
      <c r="XJ34" s="37"/>
      <c r="XK34" s="37"/>
      <c r="XL34" s="37"/>
      <c r="XM34" s="37"/>
      <c r="XN34" s="37"/>
      <c r="XO34" s="37"/>
      <c r="XP34" s="37"/>
      <c r="XQ34" s="37"/>
      <c r="XR34" s="37"/>
      <c r="XS34" s="37"/>
      <c r="XT34" s="37"/>
      <c r="XU34" s="37"/>
      <c r="XV34" s="37"/>
      <c r="XW34" s="37"/>
      <c r="XX34" s="37"/>
      <c r="XY34" s="37"/>
      <c r="XZ34" s="37"/>
      <c r="YA34" s="37"/>
      <c r="YB34" s="37"/>
      <c r="YC34" s="37"/>
      <c r="YD34" s="37"/>
      <c r="YE34" s="37"/>
      <c r="YF34" s="37"/>
      <c r="YG34" s="37"/>
      <c r="YH34" s="37"/>
      <c r="YI34" s="37"/>
      <c r="YJ34" s="37"/>
      <c r="YK34" s="37"/>
      <c r="YL34" s="37"/>
      <c r="YM34" s="37"/>
      <c r="YN34" s="37"/>
      <c r="YO34" s="37"/>
      <c r="YP34" s="37"/>
      <c r="YQ34" s="37"/>
      <c r="YR34" s="37"/>
      <c r="YS34" s="37"/>
      <c r="YT34" s="37"/>
      <c r="YU34" s="37"/>
      <c r="YV34" s="37"/>
      <c r="YW34" s="37"/>
      <c r="YX34" s="37"/>
      <c r="YY34" s="37"/>
      <c r="YZ34" s="37"/>
      <c r="ZA34" s="37"/>
      <c r="ZB34" s="37"/>
      <c r="ZC34" s="37"/>
      <c r="ZD34" s="37"/>
      <c r="ZE34" s="37"/>
      <c r="ZF34" s="37"/>
      <c r="ZG34" s="37"/>
      <c r="ZH34" s="37"/>
      <c r="ZI34" s="37"/>
      <c r="ZJ34" s="37"/>
      <c r="ZK34" s="37"/>
      <c r="ZL34" s="37"/>
      <c r="ZM34" s="37"/>
      <c r="ZN34" s="37"/>
      <c r="ZO34" s="37"/>
      <c r="ZP34" s="37"/>
      <c r="ZQ34" s="37"/>
      <c r="ZR34" s="37"/>
      <c r="ZS34" s="37"/>
      <c r="ZT34" s="37"/>
      <c r="ZU34" s="37"/>
      <c r="ZV34" s="37"/>
      <c r="ZW34" s="37"/>
      <c r="ZX34" s="37"/>
      <c r="ZY34" s="37"/>
      <c r="ZZ34" s="37"/>
      <c r="AAA34" s="37"/>
      <c r="AAB34" s="37"/>
      <c r="AAC34" s="37"/>
      <c r="AAD34" s="37"/>
      <c r="AAE34" s="37"/>
      <c r="AAF34" s="37"/>
      <c r="AAG34" s="37"/>
      <c r="AAH34" s="37"/>
      <c r="AAI34" s="37"/>
      <c r="AAJ34" s="37"/>
      <c r="AAK34" s="37"/>
      <c r="AAL34" s="37"/>
      <c r="AAM34" s="37"/>
      <c r="AAN34" s="37"/>
      <c r="AAO34" s="37"/>
      <c r="AAP34" s="37"/>
      <c r="AAQ34" s="37"/>
      <c r="AAR34" s="37"/>
      <c r="AAS34" s="37"/>
      <c r="AAT34" s="37"/>
      <c r="AAU34" s="37"/>
      <c r="AAV34" s="37"/>
      <c r="AAW34" s="37"/>
      <c r="AAX34" s="37"/>
      <c r="AAY34" s="37"/>
      <c r="AAZ34" s="37"/>
      <c r="ABA34" s="37"/>
      <c r="ABB34" s="37"/>
      <c r="ABC34" s="37"/>
      <c r="ABD34" s="37"/>
      <c r="ABE34" s="37"/>
      <c r="ABF34" s="37"/>
      <c r="ABG34" s="37"/>
      <c r="ABH34" s="37"/>
      <c r="ABI34" s="37"/>
      <c r="ABJ34" s="37"/>
      <c r="ABK34" s="37"/>
      <c r="ABL34" s="37"/>
      <c r="ABM34" s="37"/>
      <c r="ABN34" s="37"/>
      <c r="ABO34" s="37"/>
      <c r="ABP34" s="37"/>
      <c r="ABQ34" s="37"/>
      <c r="ABR34" s="37"/>
      <c r="ABS34" s="37"/>
      <c r="ABT34" s="37"/>
      <c r="ABU34" s="37"/>
      <c r="ABV34" s="37"/>
      <c r="ABW34" s="37"/>
      <c r="ABX34" s="37"/>
      <c r="ABY34" s="37"/>
      <c r="ABZ34" s="37"/>
      <c r="ACA34" s="37"/>
      <c r="ACB34" s="37"/>
      <c r="ACC34" s="37"/>
      <c r="ACD34" s="37"/>
      <c r="ACE34" s="37"/>
      <c r="ACF34" s="37"/>
      <c r="ACG34" s="37"/>
      <c r="ACH34" s="37"/>
      <c r="ACI34" s="37"/>
      <c r="ACJ34" s="37"/>
      <c r="ACK34" s="37"/>
      <c r="ACL34" s="37"/>
      <c r="ACM34" s="37"/>
      <c r="ACN34" s="37"/>
      <c r="ACO34" s="37"/>
      <c r="ACP34" s="37"/>
      <c r="ACQ34" s="37"/>
      <c r="ACR34" s="37"/>
      <c r="ACS34" s="37"/>
      <c r="ACT34" s="37"/>
      <c r="ACU34" s="37"/>
      <c r="ACV34" s="37"/>
      <c r="ACW34" s="37"/>
      <c r="ACX34" s="37"/>
      <c r="ACY34" s="37"/>
      <c r="ACZ34" s="37"/>
      <c r="ADA34" s="37"/>
      <c r="ADB34" s="37"/>
      <c r="ADC34" s="37"/>
      <c r="ADD34" s="37"/>
      <c r="ADE34" s="37"/>
      <c r="ADF34" s="37"/>
      <c r="ADG34" s="37"/>
      <c r="ADH34" s="37"/>
      <c r="ADI34" s="37"/>
      <c r="ADJ34" s="37"/>
      <c r="ADK34" s="37"/>
      <c r="ADL34" s="37"/>
      <c r="ADM34" s="37"/>
      <c r="ADN34" s="37"/>
      <c r="ADO34" s="37"/>
      <c r="ADP34" s="37"/>
      <c r="ADQ34" s="37"/>
      <c r="ADR34" s="37"/>
      <c r="ADS34" s="37"/>
      <c r="ADT34" s="37"/>
      <c r="ADU34" s="37"/>
      <c r="ADV34" s="37"/>
      <c r="ADW34" s="37"/>
      <c r="ADX34" s="37"/>
      <c r="ADY34" s="37"/>
      <c r="ADZ34" s="37"/>
      <c r="AEA34" s="37"/>
      <c r="AEB34" s="37"/>
      <c r="AEC34" s="37"/>
      <c r="AED34" s="37"/>
      <c r="AEE34" s="37"/>
      <c r="AEF34" s="37"/>
      <c r="AEG34" s="37"/>
      <c r="AEH34" s="37"/>
      <c r="AEI34" s="37"/>
      <c r="AEJ34" s="37"/>
      <c r="AEK34" s="37"/>
      <c r="AEL34" s="37"/>
      <c r="AEM34" s="37"/>
      <c r="AEN34" s="37"/>
      <c r="AEO34" s="37"/>
      <c r="AEP34" s="37"/>
      <c r="AEQ34" s="37"/>
      <c r="AER34" s="37"/>
      <c r="AES34" s="37"/>
      <c r="AET34" s="37"/>
      <c r="AEU34" s="37"/>
      <c r="AEV34" s="37"/>
      <c r="AEW34" s="37"/>
      <c r="AEX34" s="37"/>
      <c r="AEY34" s="37"/>
      <c r="AEZ34" s="37"/>
      <c r="AFA34" s="37"/>
      <c r="AFB34" s="37"/>
      <c r="AFC34" s="37"/>
      <c r="AFD34" s="37"/>
      <c r="AFE34" s="37"/>
      <c r="AFF34" s="37"/>
      <c r="AFG34" s="37"/>
      <c r="AFH34" s="37"/>
      <c r="AFI34" s="37"/>
      <c r="AFJ34" s="37"/>
      <c r="AFK34" s="37"/>
      <c r="AFL34" s="37"/>
      <c r="AFM34" s="37"/>
      <c r="AFN34" s="37"/>
      <c r="AFO34" s="37"/>
      <c r="AFP34" s="37"/>
      <c r="AFQ34" s="37"/>
      <c r="AFR34" s="37"/>
      <c r="AFS34" s="37"/>
      <c r="AFT34" s="37"/>
      <c r="AFU34" s="37"/>
      <c r="AFV34" s="37"/>
      <c r="AFW34" s="37"/>
      <c r="AFX34" s="37"/>
      <c r="AFY34" s="37"/>
      <c r="AFZ34" s="37"/>
      <c r="AGA34" s="37"/>
      <c r="AGB34" s="37"/>
      <c r="AGC34" s="37"/>
      <c r="AGD34" s="37"/>
      <c r="AGE34" s="37"/>
      <c r="AGF34" s="37"/>
      <c r="AGG34" s="37"/>
      <c r="AGH34" s="37"/>
      <c r="AGI34" s="37"/>
      <c r="AGJ34" s="37"/>
      <c r="AGK34" s="37"/>
      <c r="AGL34" s="37"/>
      <c r="AGM34" s="37"/>
      <c r="AGN34" s="37"/>
      <c r="AGO34" s="37"/>
      <c r="AGP34" s="37"/>
      <c r="AGQ34" s="37"/>
      <c r="AGR34" s="37"/>
      <c r="AGS34" s="37"/>
      <c r="AGT34" s="37"/>
      <c r="AGU34" s="37"/>
      <c r="AGV34" s="37"/>
      <c r="AGW34" s="37"/>
      <c r="AGX34" s="37"/>
      <c r="AGY34" s="37"/>
      <c r="AGZ34" s="37"/>
      <c r="AHA34" s="37"/>
      <c r="AHB34" s="37"/>
      <c r="AHC34" s="37"/>
      <c r="AHD34" s="37"/>
      <c r="AHE34" s="37"/>
      <c r="AHF34" s="37"/>
      <c r="AHG34" s="37"/>
      <c r="AHH34" s="37"/>
      <c r="AHI34" s="37"/>
      <c r="AHJ34" s="37"/>
      <c r="AHK34" s="37"/>
      <c r="AHL34" s="37"/>
      <c r="AHM34" s="37"/>
      <c r="AHN34" s="37"/>
      <c r="AHO34" s="37"/>
      <c r="AHP34" s="37"/>
      <c r="AHQ34" s="37"/>
      <c r="AHR34" s="37"/>
      <c r="AHS34" s="37"/>
      <c r="AHT34" s="37"/>
      <c r="AHU34" s="37"/>
      <c r="AHV34" s="37"/>
      <c r="AHW34" s="37"/>
      <c r="AHX34" s="37"/>
      <c r="AHY34" s="37"/>
      <c r="AHZ34" s="37"/>
      <c r="AIA34" s="37"/>
      <c r="AIB34" s="37"/>
      <c r="AIC34" s="37"/>
      <c r="AID34" s="37"/>
      <c r="AIE34" s="37"/>
      <c r="AIF34" s="37"/>
      <c r="AIG34" s="37"/>
      <c r="AIH34" s="37"/>
      <c r="AII34" s="37"/>
      <c r="AIJ34" s="37"/>
      <c r="AIK34" s="37"/>
      <c r="AIL34" s="37"/>
      <c r="AIM34" s="37"/>
      <c r="AIN34" s="37"/>
      <c r="AIO34" s="37"/>
      <c r="AIP34" s="37"/>
      <c r="AIQ34" s="37"/>
      <c r="AIR34" s="37"/>
      <c r="AIS34" s="37"/>
      <c r="AIT34" s="37"/>
      <c r="AIU34" s="37"/>
      <c r="AIV34" s="37"/>
      <c r="AIW34" s="37"/>
      <c r="AIX34" s="37"/>
      <c r="AIY34" s="37"/>
      <c r="AIZ34" s="37"/>
      <c r="AJA34" s="37"/>
      <c r="AJB34" s="37"/>
      <c r="AJC34" s="37"/>
      <c r="AJD34" s="37"/>
      <c r="AJE34" s="37"/>
      <c r="AJF34" s="37"/>
      <c r="AJG34" s="37"/>
      <c r="AJH34" s="37"/>
      <c r="AJI34" s="37"/>
      <c r="AJJ34" s="37"/>
      <c r="AJK34" s="37"/>
      <c r="AJL34" s="37"/>
      <c r="AJM34" s="37"/>
      <c r="AJN34" s="37"/>
      <c r="AJO34" s="37"/>
      <c r="AJP34" s="37"/>
      <c r="AJQ34" s="37"/>
      <c r="AJR34" s="37"/>
      <c r="AJS34" s="37"/>
      <c r="AJT34" s="37"/>
      <c r="AJU34" s="37"/>
      <c r="AJV34" s="37"/>
      <c r="AJW34" s="37"/>
      <c r="AJX34" s="37"/>
      <c r="AJY34" s="37"/>
      <c r="AJZ34" s="37"/>
      <c r="AKA34" s="37"/>
      <c r="AKB34" s="37"/>
      <c r="AKC34" s="37"/>
      <c r="AKD34" s="37"/>
      <c r="AKE34" s="37"/>
      <c r="AKF34" s="37"/>
      <c r="AKG34" s="37"/>
      <c r="AKH34" s="37"/>
      <c r="AKI34" s="37"/>
      <c r="AKJ34" s="37"/>
      <c r="AKK34" s="37"/>
      <c r="AKL34" s="37"/>
      <c r="AKM34" s="37"/>
      <c r="AKN34" s="37"/>
      <c r="AKO34" s="37"/>
      <c r="AKP34" s="37"/>
      <c r="AKQ34" s="37"/>
      <c r="AKR34" s="37"/>
      <c r="AKS34" s="37"/>
      <c r="AKT34" s="37"/>
      <c r="AKU34" s="37"/>
      <c r="AKV34" s="37"/>
      <c r="AKW34" s="37"/>
      <c r="AKX34" s="37"/>
      <c r="AKY34" s="37"/>
      <c r="AKZ34" s="37"/>
      <c r="ALA34" s="37"/>
      <c r="ALB34" s="37"/>
      <c r="ALC34" s="37"/>
      <c r="ALD34" s="37"/>
      <c r="ALE34" s="37"/>
      <c r="ALF34" s="37"/>
      <c r="ALG34" s="37"/>
      <c r="ALH34" s="37"/>
      <c r="ALI34" s="37"/>
      <c r="ALJ34" s="37"/>
      <c r="ALK34" s="37"/>
      <c r="ALL34" s="37"/>
      <c r="ALM34" s="37"/>
      <c r="ALN34" s="37"/>
      <c r="ALO34" s="37"/>
      <c r="ALP34" s="37"/>
      <c r="ALQ34" s="37"/>
      <c r="ALR34" s="37"/>
      <c r="ALS34" s="37"/>
      <c r="ALT34" s="37"/>
      <c r="ALU34" s="37"/>
      <c r="ALV34" s="37"/>
      <c r="ALW34" s="37"/>
      <c r="ALX34" s="37"/>
      <c r="ALY34" s="37"/>
      <c r="ALZ34" s="37"/>
      <c r="AMA34" s="37"/>
      <c r="AMB34" s="37"/>
      <c r="AMC34" s="37"/>
      <c r="AMD34" s="37"/>
      <c r="AME34" s="37"/>
      <c r="AMF34" s="37"/>
      <c r="AMG34" s="37"/>
      <c r="AMH34" s="37"/>
      <c r="AMI34" s="37"/>
      <c r="AMJ34" s="37"/>
      <c r="AMK34" s="37"/>
      <c r="AML34" s="37"/>
      <c r="AMM34" s="37"/>
      <c r="AMN34" s="37"/>
      <c r="AMO34" s="37"/>
      <c r="AMP34" s="37"/>
      <c r="AMQ34" s="37"/>
      <c r="AMR34" s="37"/>
      <c r="AMS34" s="37"/>
      <c r="AMT34" s="37"/>
      <c r="AMU34" s="37"/>
      <c r="AMV34" s="37"/>
      <c r="AMW34" s="37"/>
      <c r="AMX34" s="37"/>
      <c r="AMY34" s="37"/>
      <c r="AMZ34" s="37"/>
      <c r="ANA34" s="37"/>
      <c r="ANB34" s="37"/>
      <c r="ANC34" s="37"/>
      <c r="AND34" s="37"/>
      <c r="ANE34" s="37"/>
      <c r="ANF34" s="37"/>
      <c r="ANG34" s="37"/>
      <c r="ANH34" s="37"/>
      <c r="ANI34" s="37"/>
      <c r="ANJ34" s="37"/>
      <c r="ANK34" s="37"/>
      <c r="ANL34" s="37"/>
      <c r="ANM34" s="37"/>
      <c r="ANN34" s="37"/>
      <c r="ANO34" s="37"/>
      <c r="ANP34" s="37"/>
      <c r="ANQ34" s="37"/>
      <c r="ANR34" s="37"/>
      <c r="ANS34" s="37"/>
      <c r="ANT34" s="37"/>
      <c r="ANU34" s="37"/>
      <c r="ANV34" s="37"/>
      <c r="ANW34" s="37"/>
      <c r="ANX34" s="37"/>
      <c r="ANY34" s="37"/>
      <c r="ANZ34" s="37"/>
      <c r="AOA34" s="37"/>
      <c r="AOB34" s="37"/>
      <c r="AOC34" s="37"/>
      <c r="AOD34" s="37"/>
      <c r="AOE34" s="37"/>
      <c r="AOF34" s="37"/>
      <c r="AOG34" s="37"/>
      <c r="AOH34" s="37"/>
      <c r="AOI34" s="37"/>
      <c r="AOJ34" s="37"/>
      <c r="AOK34" s="37"/>
      <c r="AOL34" s="37"/>
      <c r="AOM34" s="37"/>
      <c r="AON34" s="37"/>
      <c r="AOO34" s="37"/>
      <c r="AOP34" s="37"/>
      <c r="AOQ34" s="37"/>
      <c r="AOR34" s="37"/>
      <c r="AOS34" s="37"/>
      <c r="AOT34" s="37"/>
      <c r="AOU34" s="37"/>
      <c r="AOV34" s="37"/>
      <c r="AOW34" s="37"/>
      <c r="AOX34" s="37"/>
      <c r="AOY34" s="37"/>
      <c r="AOZ34" s="37"/>
      <c r="APA34" s="37"/>
      <c r="APB34" s="37"/>
      <c r="APC34" s="37"/>
      <c r="APD34" s="37"/>
      <c r="APE34" s="37"/>
      <c r="APF34" s="37"/>
      <c r="APG34" s="37"/>
      <c r="APH34" s="37"/>
      <c r="API34" s="37"/>
      <c r="APJ34" s="37"/>
      <c r="APK34" s="37"/>
      <c r="APL34" s="37"/>
      <c r="APM34" s="37"/>
      <c r="APN34" s="37"/>
      <c r="APO34" s="37"/>
      <c r="APP34" s="37"/>
      <c r="APQ34" s="37"/>
      <c r="APR34" s="37"/>
      <c r="APS34" s="37"/>
      <c r="APT34" s="37"/>
      <c r="APU34" s="37"/>
      <c r="APV34" s="37"/>
      <c r="APW34" s="37"/>
      <c r="APX34" s="37"/>
      <c r="APY34" s="37"/>
      <c r="APZ34" s="37"/>
      <c r="AQA34" s="37"/>
      <c r="AQB34" s="37"/>
      <c r="AQC34" s="37"/>
      <c r="AQD34" s="37"/>
      <c r="AQE34" s="37"/>
      <c r="AQF34" s="37"/>
      <c r="AQG34" s="37"/>
      <c r="AQH34" s="37"/>
      <c r="AQI34" s="37"/>
      <c r="AQJ34" s="37"/>
      <c r="AQK34" s="37"/>
      <c r="AQL34" s="37"/>
      <c r="AQM34" s="37"/>
      <c r="AQN34" s="37"/>
      <c r="AQO34" s="37"/>
      <c r="AQP34" s="37"/>
      <c r="AQQ34" s="37"/>
      <c r="AQR34" s="37"/>
      <c r="AQS34" s="37"/>
      <c r="AQT34" s="37"/>
      <c r="AQU34" s="37"/>
      <c r="AQV34" s="37"/>
      <c r="AQW34" s="37"/>
      <c r="AQX34" s="37"/>
      <c r="AQY34" s="37"/>
      <c r="AQZ34" s="37"/>
      <c r="ARA34" s="37"/>
      <c r="ARB34" s="37"/>
      <c r="ARC34" s="37"/>
      <c r="ARD34" s="37"/>
      <c r="ARE34" s="37"/>
      <c r="ARF34" s="37"/>
      <c r="ARG34" s="37"/>
      <c r="ARH34" s="37"/>
      <c r="ARI34" s="37"/>
      <c r="ARJ34" s="37"/>
      <c r="ARK34" s="37"/>
      <c r="ARL34" s="37"/>
      <c r="ARM34" s="37"/>
      <c r="ARN34" s="37"/>
      <c r="ARO34" s="37"/>
      <c r="ARP34" s="37"/>
      <c r="ARQ34" s="37"/>
      <c r="ARR34" s="37"/>
      <c r="ARS34" s="37"/>
      <c r="ART34" s="37"/>
      <c r="ARU34" s="37"/>
      <c r="ARV34" s="37"/>
      <c r="ARW34" s="37"/>
      <c r="ARX34" s="37"/>
      <c r="ARY34" s="37"/>
      <c r="ARZ34" s="37"/>
      <c r="ASA34" s="37"/>
      <c r="ASB34" s="37"/>
      <c r="ASC34" s="37"/>
      <c r="ASD34" s="37"/>
      <c r="ASE34" s="37"/>
      <c r="ASF34" s="37"/>
      <c r="ASG34" s="37"/>
      <c r="ASH34" s="37"/>
      <c r="ASI34" s="37"/>
      <c r="ASJ34" s="37"/>
      <c r="ASK34" s="37"/>
      <c r="ASL34" s="37"/>
      <c r="ASM34" s="37"/>
      <c r="ASN34" s="37"/>
      <c r="ASO34" s="37"/>
      <c r="ASP34" s="37"/>
      <c r="ASQ34" s="37"/>
      <c r="ASR34" s="37"/>
      <c r="ASS34" s="37"/>
      <c r="AST34" s="37"/>
      <c r="ASU34" s="37"/>
      <c r="ASV34" s="37"/>
      <c r="ASW34" s="37"/>
      <c r="ASX34" s="37"/>
      <c r="ASY34" s="37"/>
      <c r="ASZ34" s="37"/>
      <c r="ATA34" s="37"/>
      <c r="ATB34" s="37"/>
      <c r="ATC34" s="37"/>
      <c r="ATD34" s="37"/>
      <c r="ATE34" s="37"/>
      <c r="ATF34" s="37"/>
      <c r="ATG34" s="37"/>
      <c r="ATH34" s="37"/>
      <c r="ATI34" s="37"/>
      <c r="ATJ34" s="37"/>
      <c r="ATK34" s="37"/>
      <c r="ATL34" s="37"/>
      <c r="ATM34" s="37"/>
      <c r="ATN34" s="37"/>
      <c r="ATO34" s="37"/>
      <c r="ATP34" s="37"/>
      <c r="ATQ34" s="37"/>
      <c r="ATR34" s="37"/>
      <c r="ATS34" s="37"/>
      <c r="ATT34" s="37"/>
      <c r="ATU34" s="37"/>
      <c r="ATV34" s="37"/>
      <c r="ATW34" s="37"/>
      <c r="ATX34" s="37"/>
      <c r="ATY34" s="37"/>
      <c r="ATZ34" s="37"/>
      <c r="AUA34" s="37"/>
      <c r="AUB34" s="37"/>
      <c r="AUC34" s="37"/>
      <c r="AUD34" s="37"/>
      <c r="AUE34" s="37"/>
      <c r="AUF34" s="37"/>
      <c r="AUG34" s="37"/>
      <c r="AUH34" s="37"/>
      <c r="AUI34" s="37"/>
      <c r="AUJ34" s="37"/>
      <c r="AUK34" s="37"/>
      <c r="AUL34" s="37"/>
      <c r="AUM34" s="37"/>
      <c r="AUN34" s="37"/>
      <c r="AUO34" s="37"/>
      <c r="AUP34" s="37"/>
      <c r="AUQ34" s="37"/>
      <c r="AUR34" s="37"/>
      <c r="AUS34" s="37"/>
      <c r="AUT34" s="37"/>
      <c r="AUU34" s="37"/>
      <c r="AUV34" s="37"/>
      <c r="AUW34" s="37"/>
      <c r="AUX34" s="37"/>
      <c r="AUY34" s="37"/>
      <c r="AUZ34" s="37"/>
      <c r="AVA34" s="37"/>
      <c r="AVB34" s="37"/>
      <c r="AVC34" s="37"/>
      <c r="AVD34" s="37"/>
      <c r="AVE34" s="37"/>
      <c r="AVF34" s="37"/>
      <c r="AVG34" s="37"/>
      <c r="AVH34" s="37"/>
      <c r="AVI34" s="37"/>
      <c r="AVJ34" s="37"/>
      <c r="AVK34" s="37"/>
      <c r="AVL34" s="37"/>
      <c r="AVM34" s="37"/>
      <c r="AVN34" s="37"/>
      <c r="AVO34" s="37"/>
      <c r="AVP34" s="37"/>
      <c r="AVQ34" s="37"/>
      <c r="AVR34" s="37"/>
      <c r="AVS34" s="37"/>
      <c r="AVT34" s="37"/>
      <c r="AVU34" s="37"/>
      <c r="AVV34" s="37"/>
      <c r="AVW34" s="37"/>
      <c r="AVX34" s="37"/>
      <c r="AVY34" s="37"/>
      <c r="AVZ34" s="37"/>
      <c r="AWA34" s="37"/>
      <c r="AWB34" s="37"/>
      <c r="AWC34" s="37"/>
      <c r="AWD34" s="37"/>
      <c r="AWE34" s="37"/>
      <c r="AWF34" s="37"/>
      <c r="AWG34" s="37"/>
      <c r="AWH34" s="37"/>
      <c r="AWI34" s="37"/>
      <c r="AWJ34" s="37"/>
      <c r="AWK34" s="37"/>
      <c r="AWL34" s="37"/>
      <c r="AWM34" s="37"/>
      <c r="AWN34" s="37"/>
      <c r="AWO34" s="37"/>
      <c r="AWP34" s="37"/>
      <c r="AWQ34" s="37"/>
      <c r="AWR34" s="37"/>
      <c r="AWS34" s="37"/>
      <c r="AWT34" s="37"/>
      <c r="AWU34" s="37"/>
      <c r="AWV34" s="37"/>
      <c r="AWW34" s="37"/>
      <c r="AWX34" s="37"/>
      <c r="AWY34" s="37"/>
      <c r="AWZ34" s="37"/>
      <c r="AXA34" s="37"/>
      <c r="AXB34" s="37"/>
      <c r="AXC34" s="37"/>
      <c r="AXD34" s="37"/>
      <c r="AXE34" s="37"/>
      <c r="AXF34" s="37"/>
      <c r="AXG34" s="37"/>
      <c r="AXH34" s="37"/>
      <c r="AXI34" s="37"/>
      <c r="AXJ34" s="37"/>
      <c r="AXK34" s="37"/>
      <c r="AXL34" s="37"/>
      <c r="AXM34" s="37"/>
      <c r="AXN34" s="37"/>
      <c r="AXO34" s="37"/>
      <c r="AXP34" s="37"/>
      <c r="AXQ34" s="37"/>
      <c r="AXR34" s="37"/>
      <c r="AXS34" s="37"/>
      <c r="AXT34" s="37"/>
      <c r="AXU34" s="37"/>
      <c r="AXV34" s="37"/>
      <c r="AXW34" s="37"/>
      <c r="AXX34" s="37"/>
      <c r="AXY34" s="37"/>
      <c r="AXZ34" s="37"/>
      <c r="AYA34" s="37"/>
      <c r="AYB34" s="37"/>
      <c r="AYC34" s="37"/>
      <c r="AYD34" s="37"/>
      <c r="AYE34" s="37"/>
      <c r="AYF34" s="37"/>
      <c r="AYG34" s="37"/>
      <c r="AYH34" s="37"/>
      <c r="AYI34" s="37"/>
      <c r="AYJ34" s="37"/>
      <c r="AYK34" s="37"/>
      <c r="AYL34" s="37"/>
      <c r="AYM34" s="37"/>
      <c r="AYN34" s="37"/>
      <c r="AYO34" s="37"/>
      <c r="AYP34" s="37"/>
      <c r="AYQ34" s="37"/>
      <c r="AYR34" s="37"/>
      <c r="AYS34" s="37"/>
      <c r="AYT34" s="37"/>
      <c r="AYU34" s="37"/>
      <c r="AYV34" s="37"/>
      <c r="AYW34" s="37"/>
      <c r="AYX34" s="37"/>
      <c r="AYY34" s="37"/>
      <c r="AYZ34" s="37"/>
      <c r="AZA34" s="37"/>
      <c r="AZB34" s="37"/>
      <c r="AZC34" s="37"/>
      <c r="AZD34" s="37"/>
      <c r="AZE34" s="37"/>
      <c r="AZF34" s="37"/>
      <c r="AZG34" s="37"/>
      <c r="AZH34" s="37"/>
      <c r="AZI34" s="37"/>
      <c r="AZJ34" s="37"/>
      <c r="AZK34" s="37"/>
      <c r="AZL34" s="37"/>
      <c r="AZM34" s="37"/>
      <c r="AZN34" s="37"/>
      <c r="AZO34" s="37"/>
      <c r="AZP34" s="37"/>
      <c r="AZQ34" s="37"/>
      <c r="AZR34" s="37"/>
      <c r="AZS34" s="37"/>
      <c r="AZT34" s="37"/>
      <c r="AZU34" s="37"/>
      <c r="AZV34" s="37"/>
      <c r="AZW34" s="37"/>
      <c r="AZX34" s="37"/>
      <c r="AZY34" s="37"/>
      <c r="AZZ34" s="37"/>
      <c r="BAA34" s="37"/>
      <c r="BAB34" s="37"/>
      <c r="BAC34" s="37"/>
      <c r="BAD34" s="37"/>
      <c r="BAE34" s="37"/>
      <c r="BAF34" s="37"/>
      <c r="BAG34" s="37"/>
      <c r="BAH34" s="37"/>
      <c r="BAI34" s="37"/>
      <c r="BAJ34" s="37"/>
      <c r="BAK34" s="37"/>
      <c r="BAL34" s="37"/>
      <c r="BAM34" s="37"/>
      <c r="BAN34" s="37"/>
      <c r="BAO34" s="37"/>
      <c r="BAP34" s="37"/>
      <c r="BAQ34" s="37"/>
      <c r="BAR34" s="37"/>
      <c r="BAS34" s="37"/>
      <c r="BAT34" s="37"/>
      <c r="BAU34" s="37"/>
      <c r="BAV34" s="37"/>
      <c r="BAW34" s="37"/>
      <c r="BAX34" s="37"/>
      <c r="BAY34" s="37"/>
      <c r="BAZ34" s="37"/>
      <c r="BBA34" s="37"/>
      <c r="BBB34" s="37"/>
      <c r="BBC34" s="37"/>
      <c r="BBD34" s="37"/>
      <c r="BBE34" s="37"/>
      <c r="BBF34" s="37"/>
      <c r="BBG34" s="37"/>
      <c r="BBH34" s="37"/>
      <c r="BBI34" s="37"/>
      <c r="BBJ34" s="37"/>
      <c r="BBK34" s="37"/>
      <c r="BBL34" s="37"/>
      <c r="BBM34" s="37"/>
      <c r="BBN34" s="37"/>
      <c r="BBO34" s="37"/>
      <c r="BBP34" s="37"/>
      <c r="BBQ34" s="37"/>
      <c r="BBR34" s="37"/>
      <c r="BBS34" s="37"/>
      <c r="BBT34" s="37"/>
      <c r="BBU34" s="37"/>
      <c r="BBV34" s="37"/>
      <c r="BBW34" s="37"/>
      <c r="BBX34" s="37"/>
      <c r="BBY34" s="37"/>
      <c r="BBZ34" s="37"/>
      <c r="BCA34" s="37"/>
      <c r="BCB34" s="37"/>
      <c r="BCC34" s="37"/>
      <c r="BCD34" s="37"/>
      <c r="BCE34" s="37"/>
      <c r="BCF34" s="37"/>
      <c r="BCG34" s="37"/>
      <c r="BCH34" s="37"/>
      <c r="BCI34" s="37"/>
      <c r="BCJ34" s="37"/>
      <c r="BCK34" s="37"/>
      <c r="BCL34" s="37"/>
      <c r="BCM34" s="37"/>
      <c r="BCN34" s="37"/>
      <c r="BCO34" s="37"/>
      <c r="BCP34" s="37"/>
      <c r="BCQ34" s="37"/>
      <c r="BCR34" s="37"/>
      <c r="BCS34" s="37"/>
      <c r="BCT34" s="37"/>
      <c r="BCU34" s="37"/>
      <c r="BCV34" s="37"/>
      <c r="BCW34" s="37"/>
      <c r="BCX34" s="37"/>
      <c r="BCY34" s="37"/>
      <c r="BCZ34" s="37"/>
      <c r="BDA34" s="37"/>
      <c r="BDB34" s="37"/>
      <c r="BDC34" s="37"/>
      <c r="BDD34" s="37"/>
      <c r="BDE34" s="37"/>
      <c r="BDF34" s="37"/>
      <c r="BDG34" s="37"/>
      <c r="BDH34" s="37"/>
      <c r="BDI34" s="37"/>
      <c r="BDJ34" s="37"/>
      <c r="BDK34" s="37"/>
      <c r="BDL34" s="37"/>
      <c r="BDM34" s="37"/>
      <c r="BDN34" s="37"/>
      <c r="BDO34" s="37"/>
      <c r="BDP34" s="37"/>
      <c r="BDQ34" s="37"/>
      <c r="BDR34" s="37"/>
      <c r="BDS34" s="37"/>
      <c r="BDT34" s="37"/>
      <c r="BDU34" s="37"/>
      <c r="BDV34" s="37"/>
      <c r="BDW34" s="37"/>
      <c r="BDX34" s="37"/>
      <c r="BDY34" s="37"/>
      <c r="BDZ34" s="37"/>
      <c r="BEA34" s="37"/>
      <c r="BEB34" s="37"/>
      <c r="BEC34" s="37"/>
      <c r="BED34" s="37"/>
      <c r="BEE34" s="37"/>
      <c r="BEF34" s="37"/>
      <c r="BEG34" s="37"/>
      <c r="BEH34" s="37"/>
      <c r="BEI34" s="37"/>
      <c r="BEJ34" s="37"/>
      <c r="BEK34" s="37"/>
      <c r="BEL34" s="37"/>
      <c r="BEM34" s="37"/>
      <c r="BEN34" s="37"/>
      <c r="BEO34" s="37"/>
      <c r="BEP34" s="37"/>
      <c r="BEQ34" s="37"/>
      <c r="BER34" s="37"/>
      <c r="BES34" s="37"/>
      <c r="BET34" s="37"/>
      <c r="BEU34" s="37"/>
      <c r="BEV34" s="37"/>
      <c r="BEW34" s="37"/>
      <c r="BEX34" s="37"/>
      <c r="BEY34" s="37"/>
      <c r="BEZ34" s="37"/>
      <c r="BFA34" s="37"/>
      <c r="BFB34" s="37"/>
      <c r="BFC34" s="37"/>
      <c r="BFD34" s="37"/>
      <c r="BFE34" s="37"/>
      <c r="BFF34" s="37"/>
      <c r="BFG34" s="37"/>
      <c r="BFH34" s="37"/>
      <c r="BFI34" s="37"/>
      <c r="BFJ34" s="37"/>
      <c r="BFK34" s="37"/>
      <c r="BFL34" s="37"/>
      <c r="BFM34" s="37"/>
      <c r="BFN34" s="37"/>
      <c r="BFO34" s="37"/>
      <c r="BFP34" s="37"/>
      <c r="BFQ34" s="37"/>
      <c r="BFR34" s="37"/>
      <c r="BFS34" s="37"/>
      <c r="BFT34" s="37"/>
      <c r="BFU34" s="37"/>
      <c r="BFV34" s="37"/>
      <c r="BFW34" s="37"/>
      <c r="BFX34" s="37"/>
      <c r="BFY34" s="37"/>
      <c r="BFZ34" s="37"/>
      <c r="BGA34" s="37"/>
      <c r="BGB34" s="37"/>
      <c r="BGC34" s="37"/>
      <c r="BGD34" s="37"/>
      <c r="BGE34" s="37"/>
      <c r="BGF34" s="37"/>
      <c r="BGG34" s="37"/>
      <c r="BGH34" s="37"/>
      <c r="BGI34" s="37"/>
      <c r="BGJ34" s="37"/>
      <c r="BGK34" s="37"/>
      <c r="BGL34" s="37"/>
      <c r="BGM34" s="37"/>
      <c r="BGN34" s="37"/>
      <c r="BGO34" s="37"/>
      <c r="BGP34" s="37"/>
      <c r="BGQ34" s="37"/>
      <c r="BGR34" s="37"/>
      <c r="BGS34" s="37"/>
      <c r="BGT34" s="37"/>
      <c r="BGU34" s="37"/>
      <c r="BGV34" s="37"/>
      <c r="BGW34" s="37"/>
      <c r="BGX34" s="37"/>
      <c r="BGY34" s="37"/>
      <c r="BGZ34" s="37"/>
      <c r="BHA34" s="37"/>
      <c r="BHB34" s="37"/>
      <c r="BHC34" s="37"/>
      <c r="BHD34" s="37"/>
      <c r="BHE34" s="37"/>
      <c r="BHF34" s="37"/>
      <c r="BHG34" s="37"/>
      <c r="BHH34" s="37"/>
      <c r="BHI34" s="37"/>
      <c r="BHJ34" s="37"/>
      <c r="BHK34" s="37"/>
      <c r="BHL34" s="37"/>
      <c r="BHM34" s="37"/>
      <c r="BHN34" s="37"/>
      <c r="BHO34" s="37"/>
      <c r="BHP34" s="37"/>
      <c r="BHQ34" s="37"/>
      <c r="BHR34" s="37"/>
      <c r="BHS34" s="37"/>
      <c r="BHT34" s="37"/>
      <c r="BHU34" s="37"/>
      <c r="BHV34" s="37"/>
      <c r="BHW34" s="37"/>
      <c r="BHX34" s="37"/>
      <c r="BHY34" s="37"/>
      <c r="BHZ34" s="37"/>
      <c r="BIA34" s="37"/>
      <c r="BIB34" s="37"/>
      <c r="BIC34" s="37"/>
      <c r="BID34" s="37"/>
      <c r="BIE34" s="37"/>
      <c r="BIF34" s="37"/>
      <c r="BIG34" s="37"/>
      <c r="BIH34" s="37"/>
      <c r="BII34" s="37"/>
      <c r="BIJ34" s="37"/>
      <c r="BIK34" s="37"/>
      <c r="BIL34" s="37"/>
      <c r="BIM34" s="37"/>
      <c r="BIN34" s="37"/>
      <c r="BIO34" s="37"/>
      <c r="BIP34" s="37"/>
      <c r="BIQ34" s="37"/>
      <c r="BIR34" s="37"/>
      <c r="BIS34" s="37"/>
      <c r="BIT34" s="37"/>
      <c r="BIU34" s="37"/>
      <c r="BIV34" s="37"/>
      <c r="BIW34" s="37"/>
      <c r="BIX34" s="37"/>
      <c r="BIY34" s="37"/>
      <c r="BIZ34" s="37"/>
      <c r="BJA34" s="37"/>
      <c r="BJB34" s="37"/>
      <c r="BJC34" s="37"/>
      <c r="BJD34" s="37"/>
      <c r="BJE34" s="37"/>
      <c r="BJF34" s="37"/>
      <c r="BJG34" s="37"/>
      <c r="BJH34" s="37"/>
      <c r="BJI34" s="37"/>
      <c r="BJJ34" s="37"/>
      <c r="BJK34" s="37"/>
      <c r="BJL34" s="37"/>
      <c r="BJM34" s="37"/>
      <c r="BJN34" s="37"/>
      <c r="BJO34" s="37"/>
      <c r="BJP34" s="37"/>
      <c r="BJQ34" s="37"/>
      <c r="BJR34" s="37"/>
      <c r="BJS34" s="37"/>
      <c r="BJT34" s="37"/>
      <c r="BJU34" s="37"/>
      <c r="BJV34" s="37"/>
      <c r="BJW34" s="37"/>
      <c r="BJX34" s="37"/>
      <c r="BJY34" s="37"/>
      <c r="BJZ34" s="37"/>
      <c r="BKA34" s="37"/>
      <c r="BKB34" s="37"/>
      <c r="BKC34" s="37"/>
      <c r="BKD34" s="37"/>
      <c r="BKE34" s="37"/>
      <c r="BKF34" s="37"/>
      <c r="BKG34" s="37"/>
      <c r="BKH34" s="37"/>
      <c r="BKI34" s="37"/>
      <c r="BKJ34" s="37"/>
      <c r="BKK34" s="37"/>
      <c r="BKL34" s="37"/>
      <c r="BKM34" s="37"/>
      <c r="BKN34" s="37"/>
      <c r="BKO34" s="37"/>
      <c r="BKP34" s="37"/>
      <c r="BKQ34" s="37"/>
      <c r="BKR34" s="37"/>
      <c r="BKS34" s="37"/>
      <c r="BKT34" s="37"/>
      <c r="BKU34" s="37"/>
      <c r="BKV34" s="37"/>
      <c r="BKW34" s="37"/>
      <c r="BKX34" s="37"/>
      <c r="BKY34" s="37"/>
      <c r="BKZ34" s="37"/>
      <c r="BLA34" s="37"/>
      <c r="BLB34" s="37"/>
      <c r="BLC34" s="37"/>
      <c r="BLD34" s="37"/>
      <c r="BLE34" s="37"/>
      <c r="BLF34" s="37"/>
      <c r="BLG34" s="37"/>
      <c r="BLH34" s="37"/>
      <c r="BLI34" s="37"/>
      <c r="BLJ34" s="37"/>
      <c r="BLK34" s="37"/>
      <c r="BLL34" s="37"/>
      <c r="BLM34" s="37"/>
      <c r="BLN34" s="37"/>
      <c r="BLO34" s="37"/>
      <c r="BLP34" s="37"/>
      <c r="BLQ34" s="37"/>
      <c r="BLR34" s="37"/>
      <c r="BLS34" s="37"/>
      <c r="BLT34" s="37"/>
      <c r="BLU34" s="37"/>
      <c r="BLV34" s="37"/>
      <c r="BLW34" s="37"/>
      <c r="BLX34" s="37"/>
      <c r="BLY34" s="37"/>
      <c r="BLZ34" s="37"/>
      <c r="BMA34" s="37"/>
      <c r="BMB34" s="37"/>
      <c r="BMC34" s="37"/>
      <c r="BMD34" s="37"/>
      <c r="BME34" s="37"/>
      <c r="BMF34" s="37"/>
      <c r="BMG34" s="37"/>
      <c r="BMH34" s="37"/>
      <c r="BMI34" s="37"/>
      <c r="BMJ34" s="37"/>
      <c r="BMK34" s="37"/>
      <c r="BML34" s="37"/>
      <c r="BMM34" s="37"/>
      <c r="BMN34" s="37"/>
      <c r="BMO34" s="37"/>
      <c r="BMP34" s="37"/>
      <c r="BMQ34" s="37"/>
      <c r="BMR34" s="37"/>
      <c r="BMS34" s="37"/>
      <c r="BMT34" s="37"/>
      <c r="BMU34" s="37"/>
      <c r="BMV34" s="37"/>
      <c r="BMW34" s="37"/>
      <c r="BMX34" s="37"/>
      <c r="BMY34" s="37"/>
      <c r="BMZ34" s="37"/>
      <c r="BNA34" s="37"/>
      <c r="BNB34" s="37"/>
      <c r="BNC34" s="37"/>
      <c r="BND34" s="37"/>
      <c r="BNE34" s="37"/>
      <c r="BNF34" s="37"/>
      <c r="BNG34" s="37"/>
      <c r="BNH34" s="37"/>
      <c r="BNI34" s="37"/>
      <c r="BNJ34" s="37"/>
      <c r="BNK34" s="37"/>
      <c r="BNL34" s="37"/>
      <c r="BNM34" s="37"/>
      <c r="BNN34" s="37"/>
      <c r="BNO34" s="37"/>
      <c r="BNP34" s="37"/>
      <c r="BNQ34" s="37"/>
      <c r="BNR34" s="37"/>
      <c r="BNS34" s="37"/>
      <c r="BNT34" s="37"/>
      <c r="BNU34" s="37"/>
      <c r="BNV34" s="37"/>
      <c r="BNW34" s="37"/>
      <c r="BNX34" s="37"/>
      <c r="BNY34" s="37"/>
      <c r="BNZ34" s="37"/>
      <c r="BOA34" s="37"/>
      <c r="BOB34" s="37"/>
      <c r="BOC34" s="37"/>
      <c r="BOD34" s="37"/>
      <c r="BOE34" s="37"/>
      <c r="BOF34" s="37"/>
      <c r="BOG34" s="37"/>
      <c r="BOH34" s="37"/>
      <c r="BOI34" s="37"/>
      <c r="BOJ34" s="37"/>
      <c r="BOK34" s="37"/>
      <c r="BOL34" s="37"/>
      <c r="BOM34" s="37"/>
      <c r="BON34" s="37"/>
      <c r="BOO34" s="37"/>
      <c r="BOP34" s="37"/>
      <c r="BOQ34" s="37"/>
      <c r="BOR34" s="37"/>
      <c r="BOS34" s="37"/>
      <c r="BOT34" s="37"/>
      <c r="BOU34" s="37"/>
      <c r="BOV34" s="37"/>
      <c r="BOW34" s="37"/>
      <c r="BOX34" s="37"/>
      <c r="BOY34" s="37"/>
      <c r="BOZ34" s="37"/>
      <c r="BPA34" s="37"/>
      <c r="BPB34" s="37"/>
      <c r="BPC34" s="37"/>
      <c r="BPD34" s="37"/>
      <c r="BPE34" s="37"/>
      <c r="BPF34" s="37"/>
      <c r="BPG34" s="37"/>
      <c r="BPH34" s="37"/>
      <c r="BPI34" s="37"/>
      <c r="BPJ34" s="37"/>
      <c r="BPK34" s="37"/>
      <c r="BPL34" s="37"/>
      <c r="BPM34" s="37"/>
      <c r="BPN34" s="37"/>
      <c r="BPO34" s="37"/>
      <c r="BPP34" s="37"/>
      <c r="BPQ34" s="37"/>
      <c r="BPR34" s="37"/>
      <c r="BPS34" s="37"/>
      <c r="BPT34" s="37"/>
      <c r="BPU34" s="37"/>
      <c r="BPV34" s="37"/>
      <c r="BPW34" s="37"/>
      <c r="BPX34" s="37"/>
      <c r="BPY34" s="37"/>
      <c r="BPZ34" s="37"/>
      <c r="BQA34" s="37"/>
      <c r="BQB34" s="37"/>
      <c r="BQC34" s="37"/>
      <c r="BQD34" s="37"/>
      <c r="BQE34" s="37"/>
      <c r="BQF34" s="37"/>
      <c r="BQG34" s="37"/>
      <c r="BQH34" s="37"/>
      <c r="BQI34" s="37"/>
      <c r="BQJ34" s="37"/>
      <c r="BQK34" s="37"/>
      <c r="BQL34" s="37"/>
      <c r="BQM34" s="37"/>
      <c r="BQN34" s="37"/>
      <c r="BQO34" s="37"/>
      <c r="BQP34" s="37"/>
      <c r="BQQ34" s="37"/>
      <c r="BQR34" s="37"/>
      <c r="BQS34" s="37"/>
      <c r="BQT34" s="37"/>
      <c r="BQU34" s="37"/>
      <c r="BQV34" s="37"/>
      <c r="BQW34" s="37"/>
      <c r="BQX34" s="37"/>
      <c r="BQY34" s="37"/>
      <c r="BQZ34" s="37"/>
      <c r="BRA34" s="37"/>
      <c r="BRB34" s="37"/>
      <c r="BRC34" s="37"/>
      <c r="BRD34" s="37"/>
      <c r="BRE34" s="37"/>
      <c r="BRF34" s="37"/>
      <c r="BRG34" s="37"/>
      <c r="BRH34" s="37"/>
      <c r="BRI34" s="37"/>
      <c r="BRJ34" s="37"/>
      <c r="BRK34" s="37"/>
      <c r="BRL34" s="37"/>
      <c r="BRM34" s="37"/>
      <c r="BRN34" s="37"/>
      <c r="BRO34" s="37"/>
      <c r="BRP34" s="37"/>
      <c r="BRQ34" s="37"/>
      <c r="BRR34" s="37"/>
      <c r="BRS34" s="37"/>
      <c r="BRT34" s="37"/>
      <c r="BRU34" s="37"/>
      <c r="BRV34" s="37"/>
      <c r="BRW34" s="37"/>
      <c r="BRX34" s="37"/>
      <c r="BRY34" s="37"/>
      <c r="BRZ34" s="37"/>
      <c r="BSA34" s="37"/>
      <c r="BSB34" s="37"/>
      <c r="BSC34" s="37"/>
      <c r="BSD34" s="37"/>
      <c r="BSE34" s="37"/>
      <c r="BSF34" s="37"/>
      <c r="BSG34" s="37"/>
      <c r="BSH34" s="37"/>
      <c r="BSI34" s="37"/>
      <c r="BSJ34" s="37"/>
      <c r="BSK34" s="37"/>
      <c r="BSL34" s="37"/>
      <c r="BSM34" s="37"/>
      <c r="BSN34" s="37"/>
      <c r="BSO34" s="37"/>
      <c r="BSP34" s="37"/>
      <c r="BSQ34" s="37"/>
      <c r="BSR34" s="37"/>
      <c r="BSS34" s="37"/>
      <c r="BST34" s="37"/>
      <c r="BSU34" s="37"/>
      <c r="BSV34" s="37"/>
      <c r="BSW34" s="37"/>
      <c r="BSX34" s="37"/>
      <c r="BSY34" s="37"/>
      <c r="BSZ34" s="37"/>
      <c r="BTA34" s="37"/>
      <c r="BTB34" s="37"/>
      <c r="BTC34" s="37"/>
      <c r="BTD34" s="37"/>
      <c r="BTE34" s="37"/>
      <c r="BTF34" s="37"/>
      <c r="BTG34" s="37"/>
      <c r="BTH34" s="37"/>
      <c r="BTI34" s="37"/>
      <c r="BTJ34" s="37"/>
      <c r="BTK34" s="37"/>
      <c r="BTL34" s="37"/>
      <c r="BTM34" s="37"/>
      <c r="BTN34" s="37"/>
      <c r="BTO34" s="37"/>
      <c r="BTP34" s="37"/>
      <c r="BTQ34" s="37"/>
      <c r="BTR34" s="37"/>
      <c r="BTS34" s="37"/>
      <c r="BTT34" s="37"/>
      <c r="BTU34" s="37"/>
      <c r="BTV34" s="37"/>
      <c r="BTW34" s="37"/>
      <c r="BTX34" s="37"/>
      <c r="BTY34" s="37"/>
      <c r="BTZ34" s="37"/>
      <c r="BUA34" s="37"/>
      <c r="BUB34" s="37"/>
      <c r="BUC34" s="37"/>
      <c r="BUD34" s="37"/>
      <c r="BUE34" s="37"/>
      <c r="BUF34" s="37"/>
      <c r="BUG34" s="37"/>
      <c r="BUH34" s="37"/>
      <c r="BUI34" s="37"/>
      <c r="BUJ34" s="37"/>
      <c r="BUK34" s="37"/>
      <c r="BUL34" s="37"/>
      <c r="BUM34" s="37"/>
      <c r="BUN34" s="37"/>
      <c r="BUO34" s="37"/>
      <c r="BUP34" s="37"/>
      <c r="BUQ34" s="37"/>
      <c r="BUR34" s="37"/>
      <c r="BUS34" s="37"/>
      <c r="BUT34" s="37"/>
      <c r="BUU34" s="37"/>
      <c r="BUV34" s="37"/>
      <c r="BUW34" s="37"/>
      <c r="BUX34" s="37"/>
      <c r="BUY34" s="37"/>
      <c r="BUZ34" s="37"/>
      <c r="BVA34" s="37"/>
      <c r="BVB34" s="37"/>
      <c r="BVC34" s="37"/>
      <c r="BVD34" s="37"/>
      <c r="BVE34" s="37"/>
      <c r="BVF34" s="37"/>
      <c r="BVG34" s="37"/>
      <c r="BVH34" s="37"/>
      <c r="BVI34" s="37"/>
      <c r="BVJ34" s="37"/>
      <c r="BVK34" s="37"/>
      <c r="BVL34" s="37"/>
      <c r="BVM34" s="37"/>
      <c r="BVN34" s="37"/>
      <c r="BVO34" s="37"/>
      <c r="BVP34" s="37"/>
      <c r="BVQ34" s="37"/>
      <c r="BVR34" s="37"/>
      <c r="BVS34" s="37"/>
      <c r="BVT34" s="37"/>
      <c r="BVU34" s="37"/>
      <c r="BVV34" s="37"/>
      <c r="BVW34" s="37"/>
      <c r="BVX34" s="37"/>
      <c r="BVY34" s="37"/>
      <c r="BVZ34" s="37"/>
      <c r="BWA34" s="37"/>
      <c r="BWB34" s="37"/>
      <c r="BWC34" s="37"/>
      <c r="BWD34" s="37"/>
      <c r="BWE34" s="37"/>
      <c r="BWF34" s="37"/>
      <c r="BWG34" s="37"/>
      <c r="BWH34" s="37"/>
      <c r="BWI34" s="37"/>
      <c r="BWJ34" s="37"/>
      <c r="BWK34" s="37"/>
      <c r="BWL34" s="37"/>
      <c r="BWM34" s="37"/>
      <c r="BWN34" s="37"/>
      <c r="BWO34" s="37"/>
      <c r="BWP34" s="37"/>
      <c r="BWQ34" s="37"/>
      <c r="BWR34" s="37"/>
      <c r="BWS34" s="37"/>
      <c r="BWT34" s="37"/>
      <c r="BWU34" s="37"/>
      <c r="BWV34" s="37"/>
      <c r="BWW34" s="37"/>
      <c r="BWX34" s="37"/>
      <c r="BWY34" s="37"/>
      <c r="BWZ34" s="37"/>
      <c r="BXA34" s="37"/>
      <c r="BXB34" s="37"/>
      <c r="BXC34" s="37"/>
      <c r="BXD34" s="37"/>
      <c r="BXE34" s="37"/>
      <c r="BXF34" s="37"/>
      <c r="BXG34" s="37"/>
      <c r="BXH34" s="37"/>
      <c r="BXI34" s="37"/>
      <c r="BXJ34" s="37"/>
      <c r="BXK34" s="37"/>
      <c r="BXL34" s="37"/>
      <c r="BXM34" s="37"/>
      <c r="BXN34" s="37"/>
      <c r="BXO34" s="37"/>
      <c r="BXP34" s="37"/>
      <c r="BXQ34" s="37"/>
      <c r="BXR34" s="37"/>
      <c r="BXS34" s="37"/>
      <c r="BXT34" s="37"/>
      <c r="BXU34" s="37"/>
      <c r="BXV34" s="37"/>
      <c r="BXW34" s="37"/>
      <c r="BXX34" s="37"/>
      <c r="BXY34" s="37"/>
      <c r="BXZ34" s="37"/>
      <c r="BYA34" s="37"/>
      <c r="BYB34" s="37"/>
      <c r="BYC34" s="37"/>
      <c r="BYD34" s="37"/>
      <c r="BYE34" s="37"/>
      <c r="BYF34" s="37"/>
      <c r="BYG34" s="37"/>
      <c r="BYH34" s="37"/>
      <c r="BYI34" s="37"/>
      <c r="BYJ34" s="37"/>
      <c r="BYK34" s="37"/>
      <c r="BYL34" s="37"/>
      <c r="BYM34" s="37"/>
      <c r="BYN34" s="37"/>
      <c r="BYO34" s="37"/>
      <c r="BYP34" s="37"/>
      <c r="BYQ34" s="37"/>
      <c r="BYR34" s="37"/>
      <c r="BYS34" s="37"/>
      <c r="BYT34" s="37"/>
      <c r="BYU34" s="37"/>
      <c r="BYV34" s="37"/>
      <c r="BYW34" s="37"/>
      <c r="BYX34" s="37"/>
      <c r="BYY34" s="37"/>
      <c r="BYZ34" s="37"/>
      <c r="BZA34" s="37"/>
      <c r="BZB34" s="37"/>
      <c r="BZC34" s="37"/>
      <c r="BZD34" s="37"/>
      <c r="BZE34" s="37"/>
      <c r="BZF34" s="37"/>
      <c r="BZG34" s="37"/>
      <c r="BZH34" s="37"/>
      <c r="BZI34" s="37"/>
      <c r="BZJ34" s="37"/>
      <c r="BZK34" s="37"/>
      <c r="BZL34" s="37"/>
      <c r="BZM34" s="37"/>
      <c r="BZN34" s="37"/>
      <c r="BZO34" s="37"/>
      <c r="BZP34" s="37"/>
      <c r="BZQ34" s="37"/>
      <c r="BZR34" s="37"/>
      <c r="BZS34" s="37"/>
      <c r="BZT34" s="37"/>
      <c r="BZU34" s="37"/>
      <c r="BZV34" s="37"/>
      <c r="BZW34" s="37"/>
      <c r="BZX34" s="37"/>
      <c r="BZY34" s="37"/>
      <c r="BZZ34" s="37"/>
      <c r="CAA34" s="37"/>
      <c r="CAB34" s="37"/>
      <c r="CAC34" s="37"/>
      <c r="CAD34" s="37"/>
      <c r="CAE34" s="37"/>
      <c r="CAF34" s="37"/>
      <c r="CAG34" s="37"/>
      <c r="CAH34" s="37"/>
      <c r="CAI34" s="37"/>
      <c r="CAJ34" s="37"/>
      <c r="CAK34" s="37"/>
      <c r="CAL34" s="37"/>
      <c r="CAM34" s="37"/>
      <c r="CAN34" s="37"/>
      <c r="CAO34" s="37"/>
      <c r="CAP34" s="37"/>
      <c r="CAQ34" s="37"/>
      <c r="CAR34" s="37"/>
      <c r="CAS34" s="37"/>
      <c r="CAT34" s="37"/>
      <c r="CAU34" s="37"/>
      <c r="CAV34" s="37"/>
      <c r="CAW34" s="37"/>
      <c r="CAX34" s="37"/>
      <c r="CAY34" s="37"/>
      <c r="CAZ34" s="37"/>
      <c r="CBA34" s="37"/>
      <c r="CBB34" s="37"/>
      <c r="CBC34" s="37"/>
      <c r="CBD34" s="37"/>
      <c r="CBE34" s="37"/>
      <c r="CBF34" s="37"/>
      <c r="CBG34" s="37"/>
      <c r="CBH34" s="37"/>
      <c r="CBI34" s="37"/>
      <c r="CBJ34" s="37"/>
      <c r="CBK34" s="37"/>
      <c r="CBL34" s="37"/>
      <c r="CBM34" s="37"/>
      <c r="CBN34" s="37"/>
      <c r="CBO34" s="37"/>
      <c r="CBP34" s="37"/>
      <c r="CBQ34" s="37"/>
      <c r="CBR34" s="37"/>
      <c r="CBS34" s="37"/>
      <c r="CBT34" s="37"/>
      <c r="CBU34" s="37"/>
      <c r="CBV34" s="37"/>
      <c r="CBW34" s="37"/>
      <c r="CBX34" s="37"/>
      <c r="CBY34" s="37"/>
      <c r="CBZ34" s="37"/>
      <c r="CCA34" s="37"/>
      <c r="CCB34" s="37"/>
      <c r="CCC34" s="37"/>
      <c r="CCD34" s="37"/>
      <c r="CCE34" s="37"/>
      <c r="CCF34" s="37"/>
      <c r="CCG34" s="37"/>
      <c r="CCH34" s="37"/>
      <c r="CCI34" s="37"/>
      <c r="CCJ34" s="37"/>
      <c r="CCK34" s="37"/>
      <c r="CCL34" s="37"/>
      <c r="CCM34" s="37"/>
      <c r="CCN34" s="37"/>
      <c r="CCO34" s="37"/>
      <c r="CCP34" s="37"/>
      <c r="CCQ34" s="37"/>
      <c r="CCR34" s="37"/>
      <c r="CCS34" s="37"/>
      <c r="CCT34" s="37"/>
      <c r="CCU34" s="37"/>
      <c r="CCV34" s="37"/>
      <c r="CCW34" s="37"/>
      <c r="CCX34" s="37"/>
      <c r="CCY34" s="37"/>
      <c r="CCZ34" s="37"/>
      <c r="CDA34" s="37"/>
      <c r="CDB34" s="37"/>
      <c r="CDC34" s="37"/>
      <c r="CDD34" s="37"/>
      <c r="CDE34" s="37"/>
      <c r="CDF34" s="37"/>
      <c r="CDG34" s="37"/>
      <c r="CDH34" s="37"/>
      <c r="CDI34" s="37"/>
      <c r="CDJ34" s="37"/>
      <c r="CDK34" s="37"/>
      <c r="CDL34" s="37"/>
      <c r="CDM34" s="37"/>
      <c r="CDN34" s="37"/>
      <c r="CDO34" s="37"/>
      <c r="CDP34" s="37"/>
      <c r="CDQ34" s="37"/>
      <c r="CDR34" s="37"/>
      <c r="CDS34" s="37"/>
      <c r="CDT34" s="37"/>
      <c r="CDU34" s="37"/>
      <c r="CDV34" s="37"/>
      <c r="CDW34" s="37"/>
      <c r="CDX34" s="37"/>
      <c r="CDY34" s="37"/>
      <c r="CDZ34" s="37"/>
      <c r="CEA34" s="37"/>
      <c r="CEB34" s="37"/>
      <c r="CEC34" s="37"/>
      <c r="CED34" s="37"/>
      <c r="CEE34" s="37"/>
      <c r="CEF34" s="37"/>
      <c r="CEG34" s="37"/>
      <c r="CEH34" s="37"/>
      <c r="CEI34" s="37"/>
      <c r="CEJ34" s="37"/>
      <c r="CEK34" s="37"/>
      <c r="CEL34" s="37"/>
      <c r="CEM34" s="37"/>
      <c r="CEN34" s="37"/>
      <c r="CEO34" s="37"/>
      <c r="CEP34" s="37"/>
      <c r="CEQ34" s="37"/>
      <c r="CER34" s="37"/>
      <c r="CES34" s="37"/>
      <c r="CET34" s="37"/>
      <c r="CEU34" s="37"/>
      <c r="CEV34" s="37"/>
      <c r="CEW34" s="37"/>
      <c r="CEX34" s="37"/>
      <c r="CEY34" s="37"/>
      <c r="CEZ34" s="37"/>
      <c r="CFA34" s="37"/>
      <c r="CFB34" s="37"/>
      <c r="CFC34" s="37"/>
      <c r="CFD34" s="37"/>
      <c r="CFE34" s="37"/>
      <c r="CFF34" s="37"/>
      <c r="CFG34" s="37"/>
      <c r="CFH34" s="37"/>
      <c r="CFI34" s="37"/>
      <c r="CFJ34" s="37"/>
      <c r="CFK34" s="37"/>
      <c r="CFL34" s="37"/>
      <c r="CFM34" s="37"/>
      <c r="CFN34" s="37"/>
      <c r="CFO34" s="37"/>
      <c r="CFP34" s="37"/>
      <c r="CFQ34" s="37"/>
      <c r="CFR34" s="37"/>
      <c r="CFS34" s="37"/>
      <c r="CFT34" s="37"/>
      <c r="CFU34" s="37"/>
      <c r="CFV34" s="37"/>
      <c r="CFW34" s="37"/>
      <c r="CFX34" s="37"/>
      <c r="CFY34" s="37"/>
      <c r="CFZ34" s="37"/>
      <c r="CGA34" s="37"/>
      <c r="CGB34" s="37"/>
      <c r="CGC34" s="37"/>
      <c r="CGD34" s="37"/>
      <c r="CGE34" s="37"/>
      <c r="CGF34" s="37"/>
      <c r="CGG34" s="37"/>
      <c r="CGH34" s="37"/>
      <c r="CGI34" s="37"/>
      <c r="CGJ34" s="37"/>
      <c r="CGK34" s="37"/>
      <c r="CGL34" s="37"/>
      <c r="CGM34" s="37"/>
      <c r="CGN34" s="37"/>
      <c r="CGO34" s="37"/>
      <c r="CGP34" s="37"/>
      <c r="CGQ34" s="37"/>
      <c r="CGR34" s="37"/>
      <c r="CGS34" s="37"/>
      <c r="CGT34" s="37"/>
      <c r="CGU34" s="37"/>
      <c r="CGV34" s="37"/>
      <c r="CGW34" s="37"/>
      <c r="CGX34" s="37"/>
      <c r="CGY34" s="37"/>
      <c r="CGZ34" s="37"/>
      <c r="CHA34" s="37"/>
      <c r="CHB34" s="37"/>
      <c r="CHC34" s="37"/>
      <c r="CHD34" s="37"/>
      <c r="CHE34" s="37"/>
      <c r="CHF34" s="37"/>
      <c r="CHG34" s="37"/>
      <c r="CHH34" s="37"/>
      <c r="CHI34" s="37"/>
      <c r="CHJ34" s="37"/>
      <c r="CHK34" s="37"/>
      <c r="CHL34" s="37"/>
      <c r="CHM34" s="37"/>
      <c r="CHN34" s="37"/>
      <c r="CHO34" s="37"/>
      <c r="CHP34" s="37"/>
      <c r="CHQ34" s="37"/>
      <c r="CHR34" s="37"/>
      <c r="CHS34" s="37"/>
      <c r="CHT34" s="37"/>
      <c r="CHU34" s="37"/>
      <c r="CHV34" s="37"/>
      <c r="CHW34" s="37"/>
      <c r="CHX34" s="37"/>
      <c r="CHY34" s="37"/>
      <c r="CHZ34" s="37"/>
      <c r="CIA34" s="37"/>
      <c r="CIB34" s="37"/>
      <c r="CIC34" s="37"/>
      <c r="CID34" s="37"/>
      <c r="CIE34" s="37"/>
      <c r="CIF34" s="37"/>
      <c r="CIG34" s="37"/>
      <c r="CIH34" s="37"/>
      <c r="CII34" s="37"/>
      <c r="CIJ34" s="37"/>
      <c r="CIK34" s="37"/>
      <c r="CIL34" s="37"/>
      <c r="CIM34" s="37"/>
      <c r="CIN34" s="37"/>
      <c r="CIO34" s="37"/>
      <c r="CIP34" s="37"/>
      <c r="CIQ34" s="37"/>
      <c r="CIR34" s="37"/>
      <c r="CIS34" s="37"/>
      <c r="CIT34" s="37"/>
      <c r="CIU34" s="37"/>
      <c r="CIV34" s="37"/>
      <c r="CIW34" s="37"/>
      <c r="CIX34" s="37"/>
      <c r="CIY34" s="37"/>
      <c r="CIZ34" s="37"/>
      <c r="CJA34" s="37"/>
      <c r="CJB34" s="37"/>
      <c r="CJC34" s="37"/>
      <c r="CJD34" s="37"/>
      <c r="CJE34" s="37"/>
      <c r="CJF34" s="37"/>
      <c r="CJG34" s="37"/>
      <c r="CJH34" s="37"/>
      <c r="CJI34" s="37"/>
      <c r="CJJ34" s="37"/>
      <c r="CJK34" s="37"/>
      <c r="CJL34" s="37"/>
      <c r="CJM34" s="37"/>
      <c r="CJN34" s="37"/>
      <c r="CJO34" s="37"/>
      <c r="CJP34" s="37"/>
      <c r="CJQ34" s="37"/>
      <c r="CJR34" s="37"/>
      <c r="CJS34" s="37"/>
      <c r="CJT34" s="37"/>
      <c r="CJU34" s="37"/>
      <c r="CJV34" s="37"/>
      <c r="CJW34" s="37"/>
      <c r="CJX34" s="37"/>
      <c r="CJY34" s="37"/>
      <c r="CJZ34" s="37"/>
      <c r="CKA34" s="37"/>
      <c r="CKB34" s="37"/>
      <c r="CKC34" s="37"/>
      <c r="CKD34" s="37"/>
      <c r="CKE34" s="37"/>
      <c r="CKF34" s="37"/>
      <c r="CKG34" s="37"/>
      <c r="CKH34" s="37"/>
      <c r="CKI34" s="37"/>
      <c r="CKJ34" s="37"/>
      <c r="CKK34" s="37"/>
      <c r="CKL34" s="37"/>
      <c r="CKM34" s="37"/>
      <c r="CKN34" s="37"/>
      <c r="CKO34" s="37"/>
      <c r="CKP34" s="37"/>
      <c r="CKQ34" s="37"/>
      <c r="CKR34" s="37"/>
      <c r="CKS34" s="37"/>
      <c r="CKT34" s="37"/>
      <c r="CKU34" s="37"/>
      <c r="CKV34" s="37"/>
      <c r="CKW34" s="37"/>
      <c r="CKX34" s="37"/>
      <c r="CKY34" s="37"/>
      <c r="CKZ34" s="37"/>
      <c r="CLA34" s="37"/>
      <c r="CLB34" s="37"/>
      <c r="CLC34" s="37"/>
      <c r="CLD34" s="37"/>
      <c r="CLE34" s="37"/>
      <c r="CLF34" s="37"/>
      <c r="CLG34" s="37"/>
      <c r="CLH34" s="37"/>
      <c r="CLI34" s="37"/>
      <c r="CLJ34" s="37"/>
      <c r="CLK34" s="37"/>
      <c r="CLL34" s="37"/>
      <c r="CLM34" s="37"/>
      <c r="CLN34" s="37"/>
      <c r="CLO34" s="37"/>
      <c r="CLP34" s="37"/>
      <c r="CLQ34" s="37"/>
      <c r="CLR34" s="37"/>
      <c r="CLS34" s="37"/>
      <c r="CLT34" s="37"/>
      <c r="CLU34" s="37"/>
      <c r="CLV34" s="37"/>
      <c r="CLW34" s="37"/>
      <c r="CLX34" s="37"/>
      <c r="CLY34" s="37"/>
      <c r="CLZ34" s="37"/>
      <c r="CMA34" s="37"/>
      <c r="CMB34" s="37"/>
      <c r="CMC34" s="37"/>
      <c r="CMD34" s="37"/>
      <c r="CME34" s="37"/>
      <c r="CMF34" s="37"/>
      <c r="CMG34" s="37"/>
      <c r="CMH34" s="37"/>
      <c r="CMI34" s="37"/>
      <c r="CMJ34" s="37"/>
      <c r="CMK34" s="37"/>
      <c r="CML34" s="37"/>
      <c r="CMM34" s="37"/>
      <c r="CMN34" s="37"/>
      <c r="CMO34" s="37"/>
      <c r="CMP34" s="37"/>
      <c r="CMQ34" s="37"/>
      <c r="CMR34" s="37"/>
      <c r="CMS34" s="37"/>
      <c r="CMT34" s="37"/>
      <c r="CMU34" s="37"/>
      <c r="CMV34" s="37"/>
      <c r="CMW34" s="37"/>
      <c r="CMX34" s="37"/>
      <c r="CMY34" s="37"/>
      <c r="CMZ34" s="37"/>
      <c r="CNA34" s="37"/>
      <c r="CNB34" s="37"/>
      <c r="CNC34" s="37"/>
      <c r="CND34" s="37"/>
      <c r="CNE34" s="37"/>
      <c r="CNF34" s="37"/>
      <c r="CNG34" s="37"/>
      <c r="CNH34" s="37"/>
      <c r="CNI34" s="37"/>
      <c r="CNJ34" s="37"/>
      <c r="CNK34" s="37"/>
      <c r="CNL34" s="37"/>
      <c r="CNM34" s="37"/>
      <c r="CNN34" s="37"/>
      <c r="CNO34" s="37"/>
      <c r="CNP34" s="37"/>
      <c r="CNQ34" s="37"/>
      <c r="CNR34" s="37"/>
      <c r="CNS34" s="37"/>
      <c r="CNT34" s="37"/>
      <c r="CNU34" s="37"/>
      <c r="CNV34" s="37"/>
      <c r="CNW34" s="37"/>
      <c r="CNX34" s="37"/>
      <c r="CNY34" s="37"/>
      <c r="CNZ34" s="37"/>
      <c r="COA34" s="37"/>
      <c r="COB34" s="37"/>
      <c r="COC34" s="37"/>
      <c r="COD34" s="37"/>
      <c r="COE34" s="37"/>
      <c r="COF34" s="37"/>
      <c r="COG34" s="37"/>
      <c r="COH34" s="37"/>
      <c r="COI34" s="37"/>
      <c r="COJ34" s="37"/>
      <c r="COK34" s="37"/>
      <c r="COL34" s="37"/>
      <c r="COM34" s="37"/>
      <c r="CON34" s="37"/>
      <c r="COO34" s="37"/>
      <c r="COP34" s="37"/>
      <c r="COQ34" s="37"/>
      <c r="COR34" s="37"/>
      <c r="COS34" s="37"/>
      <c r="COT34" s="37"/>
      <c r="COU34" s="37"/>
      <c r="COV34" s="37"/>
      <c r="COW34" s="37"/>
      <c r="COX34" s="37"/>
      <c r="COY34" s="37"/>
      <c r="COZ34" s="37"/>
      <c r="CPA34" s="37"/>
      <c r="CPB34" s="37"/>
      <c r="CPC34" s="37"/>
      <c r="CPD34" s="37"/>
      <c r="CPE34" s="37"/>
      <c r="CPF34" s="37"/>
      <c r="CPG34" s="37"/>
      <c r="CPH34" s="37"/>
      <c r="CPI34" s="37"/>
      <c r="CPJ34" s="37"/>
      <c r="CPK34" s="37"/>
      <c r="CPL34" s="37"/>
      <c r="CPM34" s="37"/>
      <c r="CPN34" s="37"/>
      <c r="CPO34" s="37"/>
      <c r="CPP34" s="37"/>
      <c r="CPQ34" s="37"/>
      <c r="CPR34" s="37"/>
      <c r="CPS34" s="37"/>
      <c r="CPT34" s="37"/>
      <c r="CPU34" s="37"/>
      <c r="CPV34" s="37"/>
      <c r="CPW34" s="37"/>
      <c r="CPX34" s="37"/>
      <c r="CPY34" s="37"/>
      <c r="CPZ34" s="37"/>
      <c r="CQA34" s="37"/>
      <c r="CQB34" s="37"/>
      <c r="CQC34" s="37"/>
      <c r="CQD34" s="37"/>
      <c r="CQE34" s="37"/>
      <c r="CQF34" s="37"/>
      <c r="CQG34" s="37"/>
      <c r="CQH34" s="37"/>
      <c r="CQI34" s="37"/>
      <c r="CQJ34" s="37"/>
      <c r="CQK34" s="37"/>
      <c r="CQL34" s="37"/>
      <c r="CQM34" s="37"/>
      <c r="CQN34" s="37"/>
      <c r="CQO34" s="37"/>
      <c r="CQP34" s="37"/>
      <c r="CQQ34" s="37"/>
      <c r="CQR34" s="37"/>
      <c r="CQS34" s="37"/>
      <c r="CQT34" s="37"/>
      <c r="CQU34" s="37"/>
      <c r="CQV34" s="37"/>
      <c r="CQW34" s="37"/>
      <c r="CQX34" s="37"/>
      <c r="CQY34" s="37"/>
      <c r="CQZ34" s="37"/>
      <c r="CRA34" s="37"/>
      <c r="CRB34" s="37"/>
      <c r="CRC34" s="37"/>
      <c r="CRD34" s="37"/>
      <c r="CRE34" s="37"/>
      <c r="CRF34" s="37"/>
      <c r="CRG34" s="37"/>
      <c r="CRH34" s="37"/>
      <c r="CRI34" s="37"/>
      <c r="CRJ34" s="37"/>
      <c r="CRK34" s="37"/>
      <c r="CRL34" s="37"/>
      <c r="CRM34" s="37"/>
      <c r="CRN34" s="37"/>
      <c r="CRO34" s="37"/>
      <c r="CRP34" s="37"/>
      <c r="CRQ34" s="37"/>
      <c r="CRR34" s="37"/>
      <c r="CRS34" s="37"/>
      <c r="CRT34" s="37"/>
      <c r="CRU34" s="37"/>
      <c r="CRV34" s="37"/>
      <c r="CRW34" s="37"/>
      <c r="CRX34" s="37"/>
      <c r="CRY34" s="37"/>
      <c r="CRZ34" s="37"/>
      <c r="CSA34" s="37"/>
      <c r="CSB34" s="37"/>
      <c r="CSC34" s="37"/>
      <c r="CSD34" s="37"/>
      <c r="CSE34" s="37"/>
      <c r="CSF34" s="37"/>
      <c r="CSG34" s="37"/>
      <c r="CSH34" s="37"/>
      <c r="CSI34" s="37"/>
      <c r="CSJ34" s="37"/>
      <c r="CSK34" s="37"/>
      <c r="CSL34" s="37"/>
      <c r="CSM34" s="37"/>
      <c r="CSN34" s="37"/>
      <c r="CSO34" s="37"/>
      <c r="CSP34" s="37"/>
      <c r="CSQ34" s="37"/>
      <c r="CSR34" s="37"/>
      <c r="CSS34" s="37"/>
      <c r="CST34" s="37"/>
      <c r="CSU34" s="37"/>
      <c r="CSV34" s="37"/>
      <c r="CSW34" s="37"/>
      <c r="CSX34" s="37"/>
      <c r="CSY34" s="37"/>
      <c r="CSZ34" s="37"/>
      <c r="CTA34" s="37"/>
      <c r="CTB34" s="37"/>
      <c r="CTC34" s="37"/>
      <c r="CTD34" s="37"/>
      <c r="CTE34" s="37"/>
      <c r="CTF34" s="37"/>
      <c r="CTG34" s="37"/>
      <c r="CTH34" s="37"/>
      <c r="CTI34" s="37"/>
      <c r="CTJ34" s="37"/>
      <c r="CTK34" s="37"/>
      <c r="CTL34" s="37"/>
      <c r="CTM34" s="37"/>
      <c r="CTN34" s="37"/>
      <c r="CTO34" s="37"/>
      <c r="CTP34" s="37"/>
      <c r="CTQ34" s="37"/>
      <c r="CTR34" s="37"/>
      <c r="CTS34" s="37"/>
      <c r="CTT34" s="37"/>
      <c r="CTU34" s="37"/>
      <c r="CTV34" s="37"/>
      <c r="CTW34" s="37"/>
      <c r="CTX34" s="37"/>
      <c r="CTY34" s="37"/>
      <c r="CTZ34" s="37"/>
      <c r="CUA34" s="37"/>
      <c r="CUB34" s="37"/>
      <c r="CUC34" s="37"/>
      <c r="CUD34" s="37"/>
      <c r="CUE34" s="37"/>
      <c r="CUF34" s="37"/>
      <c r="CUG34" s="37"/>
      <c r="CUH34" s="37"/>
      <c r="CUI34" s="37"/>
      <c r="CUJ34" s="37"/>
      <c r="CUK34" s="37"/>
      <c r="CUL34" s="37"/>
      <c r="CUM34" s="37"/>
      <c r="CUN34" s="37"/>
      <c r="CUO34" s="37"/>
      <c r="CUP34" s="37"/>
      <c r="CUQ34" s="37"/>
      <c r="CUR34" s="37"/>
      <c r="CUS34" s="37"/>
      <c r="CUT34" s="37"/>
      <c r="CUU34" s="37"/>
      <c r="CUV34" s="37"/>
      <c r="CUW34" s="37"/>
      <c r="CUX34" s="37"/>
      <c r="CUY34" s="37"/>
      <c r="CUZ34" s="37"/>
      <c r="CVA34" s="37"/>
      <c r="CVB34" s="37"/>
      <c r="CVC34" s="37"/>
      <c r="CVD34" s="37"/>
      <c r="CVE34" s="37"/>
      <c r="CVF34" s="37"/>
      <c r="CVG34" s="37"/>
      <c r="CVH34" s="37"/>
      <c r="CVI34" s="37"/>
      <c r="CVJ34" s="37"/>
      <c r="CVK34" s="37"/>
      <c r="CVL34" s="37"/>
      <c r="CVM34" s="37"/>
      <c r="CVN34" s="37"/>
      <c r="CVO34" s="37"/>
      <c r="CVP34" s="37"/>
      <c r="CVQ34" s="37"/>
      <c r="CVR34" s="37"/>
      <c r="CVS34" s="37"/>
      <c r="CVT34" s="37"/>
      <c r="CVU34" s="37"/>
      <c r="CVV34" s="37"/>
      <c r="CVW34" s="37"/>
      <c r="CVX34" s="37"/>
      <c r="CVY34" s="37"/>
      <c r="CVZ34" s="37"/>
      <c r="CWA34" s="37"/>
      <c r="CWB34" s="37"/>
      <c r="CWC34" s="37"/>
      <c r="CWD34" s="37"/>
      <c r="CWE34" s="37"/>
      <c r="CWF34" s="37"/>
      <c r="CWG34" s="37"/>
      <c r="CWH34" s="37"/>
      <c r="CWI34" s="37"/>
      <c r="CWJ34" s="37"/>
      <c r="CWK34" s="37"/>
      <c r="CWL34" s="37"/>
      <c r="CWM34" s="37"/>
      <c r="CWN34" s="37"/>
      <c r="CWO34" s="37"/>
      <c r="CWP34" s="37"/>
      <c r="CWQ34" s="37"/>
      <c r="CWR34" s="37"/>
      <c r="CWS34" s="37"/>
      <c r="CWT34" s="37"/>
      <c r="CWU34" s="37"/>
      <c r="CWV34" s="37"/>
      <c r="CWW34" s="37"/>
      <c r="CWX34" s="37"/>
      <c r="CWY34" s="37"/>
      <c r="CWZ34" s="37"/>
      <c r="CXA34" s="37"/>
      <c r="CXB34" s="37"/>
      <c r="CXC34" s="37"/>
      <c r="CXD34" s="37"/>
      <c r="CXE34" s="37"/>
      <c r="CXF34" s="37"/>
      <c r="CXG34" s="37"/>
      <c r="CXH34" s="37"/>
      <c r="CXI34" s="37"/>
      <c r="CXJ34" s="37"/>
      <c r="CXK34" s="37"/>
      <c r="CXL34" s="37"/>
      <c r="CXM34" s="37"/>
      <c r="CXN34" s="37"/>
      <c r="CXO34" s="37"/>
      <c r="CXP34" s="37"/>
      <c r="CXQ34" s="37"/>
      <c r="CXR34" s="37"/>
      <c r="CXS34" s="37"/>
      <c r="CXT34" s="37"/>
      <c r="CXU34" s="37"/>
      <c r="CXV34" s="37"/>
      <c r="CXW34" s="37"/>
      <c r="CXX34" s="37"/>
      <c r="CXY34" s="37"/>
      <c r="CXZ34" s="37"/>
      <c r="CYA34" s="37"/>
      <c r="CYB34" s="37"/>
      <c r="CYC34" s="37"/>
      <c r="CYD34" s="37"/>
      <c r="CYE34" s="37"/>
      <c r="CYF34" s="37"/>
      <c r="CYG34" s="37"/>
      <c r="CYH34" s="37"/>
      <c r="CYI34" s="37"/>
      <c r="CYJ34" s="37"/>
      <c r="CYK34" s="37"/>
      <c r="CYL34" s="37"/>
      <c r="CYM34" s="37"/>
      <c r="CYN34" s="37"/>
      <c r="CYO34" s="37"/>
      <c r="CYP34" s="37"/>
      <c r="CYQ34" s="37"/>
      <c r="CYR34" s="37"/>
      <c r="CYS34" s="37"/>
      <c r="CYT34" s="37"/>
      <c r="CYU34" s="37"/>
      <c r="CYV34" s="37"/>
      <c r="CYW34" s="37"/>
      <c r="CYX34" s="37"/>
      <c r="CYY34" s="37"/>
      <c r="CYZ34" s="37"/>
      <c r="CZA34" s="37"/>
      <c r="CZB34" s="37"/>
      <c r="CZC34" s="37"/>
      <c r="CZD34" s="37"/>
      <c r="CZE34" s="37"/>
      <c r="CZF34" s="37"/>
      <c r="CZG34" s="37"/>
      <c r="CZH34" s="37"/>
      <c r="CZI34" s="37"/>
      <c r="CZJ34" s="37"/>
      <c r="CZK34" s="37"/>
      <c r="CZL34" s="37"/>
      <c r="CZM34" s="37"/>
      <c r="CZN34" s="37"/>
      <c r="CZO34" s="37"/>
      <c r="CZP34" s="37"/>
      <c r="CZQ34" s="37"/>
      <c r="CZR34" s="37"/>
      <c r="CZS34" s="37"/>
      <c r="CZT34" s="37"/>
      <c r="CZU34" s="37"/>
      <c r="CZV34" s="37"/>
      <c r="CZW34" s="37"/>
      <c r="CZX34" s="37"/>
      <c r="CZY34" s="37"/>
      <c r="CZZ34" s="37"/>
      <c r="DAA34" s="37"/>
      <c r="DAB34" s="37"/>
      <c r="DAC34" s="37"/>
      <c r="DAD34" s="37"/>
      <c r="DAE34" s="37"/>
      <c r="DAF34" s="37"/>
      <c r="DAG34" s="37"/>
      <c r="DAH34" s="37"/>
      <c r="DAI34" s="37"/>
      <c r="DAJ34" s="37"/>
      <c r="DAK34" s="37"/>
      <c r="DAL34" s="37"/>
      <c r="DAM34" s="37"/>
      <c r="DAN34" s="37"/>
      <c r="DAO34" s="37"/>
      <c r="DAP34" s="37"/>
      <c r="DAQ34" s="37"/>
      <c r="DAR34" s="37"/>
      <c r="DAS34" s="37"/>
      <c r="DAT34" s="37"/>
      <c r="DAU34" s="37"/>
      <c r="DAV34" s="37"/>
      <c r="DAW34" s="37"/>
      <c r="DAX34" s="37"/>
      <c r="DAY34" s="37"/>
      <c r="DAZ34" s="37"/>
      <c r="DBA34" s="37"/>
      <c r="DBB34" s="37"/>
      <c r="DBC34" s="37"/>
      <c r="DBD34" s="37"/>
      <c r="DBE34" s="37"/>
      <c r="DBF34" s="37"/>
      <c r="DBG34" s="37"/>
      <c r="DBH34" s="37"/>
      <c r="DBI34" s="37"/>
      <c r="DBJ34" s="37"/>
      <c r="DBK34" s="37"/>
      <c r="DBL34" s="37"/>
      <c r="DBM34" s="37"/>
      <c r="DBN34" s="37"/>
      <c r="DBO34" s="37"/>
      <c r="DBP34" s="37"/>
      <c r="DBQ34" s="37"/>
      <c r="DBR34" s="37"/>
      <c r="DBS34" s="37"/>
      <c r="DBT34" s="37"/>
      <c r="DBU34" s="37"/>
      <c r="DBV34" s="37"/>
      <c r="DBW34" s="37"/>
      <c r="DBX34" s="37"/>
      <c r="DBY34" s="37"/>
      <c r="DBZ34" s="37"/>
      <c r="DCA34" s="37"/>
      <c r="DCB34" s="37"/>
      <c r="DCC34" s="37"/>
      <c r="DCD34" s="37"/>
      <c r="DCE34" s="37"/>
      <c r="DCF34" s="37"/>
      <c r="DCG34" s="37"/>
      <c r="DCH34" s="37"/>
      <c r="DCI34" s="37"/>
      <c r="DCJ34" s="37"/>
      <c r="DCK34" s="37"/>
      <c r="DCL34" s="37"/>
      <c r="DCM34" s="37"/>
      <c r="DCN34" s="37"/>
      <c r="DCO34" s="37"/>
      <c r="DCP34" s="37"/>
      <c r="DCQ34" s="37"/>
      <c r="DCR34" s="37"/>
      <c r="DCS34" s="37"/>
      <c r="DCT34" s="37"/>
      <c r="DCU34" s="37"/>
      <c r="DCV34" s="37"/>
      <c r="DCW34" s="37"/>
      <c r="DCX34" s="37"/>
      <c r="DCY34" s="37"/>
      <c r="DCZ34" s="37"/>
      <c r="DDA34" s="37"/>
      <c r="DDB34" s="37"/>
      <c r="DDC34" s="37"/>
      <c r="DDD34" s="37"/>
      <c r="DDE34" s="37"/>
      <c r="DDF34" s="37"/>
      <c r="DDG34" s="37"/>
      <c r="DDH34" s="37"/>
      <c r="DDI34" s="37"/>
      <c r="DDJ34" s="37"/>
      <c r="DDK34" s="37"/>
      <c r="DDL34" s="37"/>
      <c r="DDM34" s="37"/>
      <c r="DDN34" s="37"/>
      <c r="DDO34" s="37"/>
      <c r="DDP34" s="37"/>
      <c r="DDQ34" s="37"/>
      <c r="DDR34" s="37"/>
      <c r="DDS34" s="37"/>
      <c r="DDT34" s="37"/>
      <c r="DDU34" s="37"/>
      <c r="DDV34" s="37"/>
      <c r="DDW34" s="37"/>
      <c r="DDX34" s="37"/>
      <c r="DDY34" s="37"/>
      <c r="DDZ34" s="37"/>
      <c r="DEA34" s="37"/>
      <c r="DEB34" s="37"/>
      <c r="DEC34" s="37"/>
      <c r="DED34" s="37"/>
      <c r="DEE34" s="37"/>
      <c r="DEF34" s="37"/>
      <c r="DEG34" s="37"/>
      <c r="DEH34" s="37"/>
      <c r="DEI34" s="37"/>
      <c r="DEJ34" s="37"/>
      <c r="DEK34" s="37"/>
      <c r="DEL34" s="37"/>
      <c r="DEM34" s="37"/>
      <c r="DEN34" s="37"/>
      <c r="DEO34" s="37"/>
      <c r="DEP34" s="37"/>
      <c r="DEQ34" s="37"/>
      <c r="DER34" s="37"/>
      <c r="DES34" s="37"/>
      <c r="DET34" s="37"/>
      <c r="DEU34" s="37"/>
      <c r="DEV34" s="37"/>
      <c r="DEW34" s="37"/>
      <c r="DEX34" s="37"/>
      <c r="DEY34" s="37"/>
      <c r="DEZ34" s="37"/>
      <c r="DFA34" s="37"/>
      <c r="DFB34" s="37"/>
      <c r="DFC34" s="37"/>
      <c r="DFD34" s="37"/>
      <c r="DFE34" s="37"/>
      <c r="DFF34" s="37"/>
      <c r="DFG34" s="37"/>
      <c r="DFH34" s="37"/>
      <c r="DFI34" s="37"/>
      <c r="DFJ34" s="37"/>
      <c r="DFK34" s="37"/>
      <c r="DFL34" s="37"/>
      <c r="DFM34" s="37"/>
      <c r="DFN34" s="37"/>
      <c r="DFO34" s="37"/>
      <c r="DFP34" s="37"/>
      <c r="DFQ34" s="37"/>
      <c r="DFR34" s="37"/>
      <c r="DFS34" s="37"/>
      <c r="DFT34" s="37"/>
      <c r="DFU34" s="37"/>
      <c r="DFV34" s="37"/>
      <c r="DFW34" s="37"/>
      <c r="DFX34" s="37"/>
      <c r="DFY34" s="37"/>
      <c r="DFZ34" s="37"/>
      <c r="DGA34" s="37"/>
      <c r="DGB34" s="37"/>
      <c r="DGC34" s="37"/>
      <c r="DGD34" s="37"/>
      <c r="DGE34" s="37"/>
      <c r="DGF34" s="37"/>
      <c r="DGG34" s="37"/>
      <c r="DGH34" s="37"/>
      <c r="DGI34" s="37"/>
      <c r="DGJ34" s="37"/>
      <c r="DGK34" s="37"/>
      <c r="DGL34" s="37"/>
      <c r="DGM34" s="37"/>
      <c r="DGN34" s="37"/>
      <c r="DGO34" s="37"/>
      <c r="DGP34" s="37"/>
      <c r="DGQ34" s="37"/>
      <c r="DGR34" s="37"/>
      <c r="DGS34" s="37"/>
      <c r="DGT34" s="37"/>
      <c r="DGU34" s="37"/>
      <c r="DGV34" s="37"/>
      <c r="DGW34" s="37"/>
      <c r="DGX34" s="37"/>
      <c r="DGY34" s="37"/>
      <c r="DGZ34" s="37"/>
      <c r="DHA34" s="37"/>
      <c r="DHB34" s="37"/>
      <c r="DHC34" s="37"/>
      <c r="DHD34" s="37"/>
      <c r="DHE34" s="37"/>
      <c r="DHF34" s="37"/>
      <c r="DHG34" s="37"/>
      <c r="DHH34" s="37"/>
      <c r="DHI34" s="37"/>
      <c r="DHJ34" s="37"/>
      <c r="DHK34" s="37"/>
      <c r="DHL34" s="37"/>
      <c r="DHM34" s="37"/>
      <c r="DHN34" s="37"/>
      <c r="DHO34" s="37"/>
      <c r="DHP34" s="37"/>
      <c r="DHQ34" s="37"/>
      <c r="DHR34" s="37"/>
      <c r="DHS34" s="37"/>
      <c r="DHT34" s="37"/>
      <c r="DHU34" s="37"/>
      <c r="DHV34" s="37"/>
      <c r="DHW34" s="37"/>
      <c r="DHX34" s="37"/>
      <c r="DHY34" s="37"/>
      <c r="DHZ34" s="37"/>
      <c r="DIA34" s="37"/>
      <c r="DIB34" s="37"/>
      <c r="DIC34" s="37"/>
      <c r="DID34" s="37"/>
      <c r="DIE34" s="37"/>
      <c r="DIF34" s="37"/>
      <c r="DIG34" s="37"/>
      <c r="DIH34" s="37"/>
      <c r="DII34" s="37"/>
      <c r="DIJ34" s="37"/>
      <c r="DIK34" s="37"/>
      <c r="DIL34" s="37"/>
      <c r="DIM34" s="37"/>
      <c r="DIN34" s="37"/>
      <c r="DIO34" s="37"/>
      <c r="DIP34" s="37"/>
      <c r="DIQ34" s="37"/>
      <c r="DIR34" s="37"/>
      <c r="DIS34" s="37"/>
      <c r="DIT34" s="37"/>
      <c r="DIU34" s="37"/>
      <c r="DIV34" s="37"/>
      <c r="DIW34" s="37"/>
      <c r="DIX34" s="37"/>
      <c r="DIY34" s="37"/>
      <c r="DIZ34" s="37"/>
      <c r="DJA34" s="37"/>
      <c r="DJB34" s="37"/>
      <c r="DJC34" s="37"/>
      <c r="DJD34" s="37"/>
      <c r="DJE34" s="37"/>
      <c r="DJF34" s="37"/>
      <c r="DJG34" s="37"/>
      <c r="DJH34" s="37"/>
      <c r="DJI34" s="37"/>
      <c r="DJJ34" s="37"/>
      <c r="DJK34" s="37"/>
      <c r="DJL34" s="37"/>
      <c r="DJM34" s="37"/>
      <c r="DJN34" s="37"/>
      <c r="DJO34" s="37"/>
      <c r="DJP34" s="37"/>
      <c r="DJQ34" s="37"/>
      <c r="DJR34" s="37"/>
      <c r="DJS34" s="37"/>
      <c r="DJT34" s="37"/>
      <c r="DJU34" s="37"/>
      <c r="DJV34" s="37"/>
      <c r="DJW34" s="37"/>
      <c r="DJX34" s="37"/>
      <c r="DJY34" s="37"/>
      <c r="DJZ34" s="37"/>
      <c r="DKA34" s="37"/>
      <c r="DKB34" s="37"/>
      <c r="DKC34" s="37"/>
      <c r="DKD34" s="37"/>
      <c r="DKE34" s="37"/>
      <c r="DKF34" s="37"/>
      <c r="DKG34" s="37"/>
      <c r="DKH34" s="37"/>
      <c r="DKI34" s="37"/>
      <c r="DKJ34" s="37"/>
      <c r="DKK34" s="37"/>
      <c r="DKL34" s="37"/>
      <c r="DKM34" s="37"/>
      <c r="DKN34" s="37"/>
      <c r="DKO34" s="37"/>
      <c r="DKP34" s="37"/>
      <c r="DKQ34" s="37"/>
      <c r="DKR34" s="37"/>
      <c r="DKS34" s="37"/>
      <c r="DKT34" s="37"/>
      <c r="DKU34" s="37"/>
      <c r="DKV34" s="37"/>
      <c r="DKW34" s="37"/>
      <c r="DKX34" s="37"/>
      <c r="DKY34" s="37"/>
      <c r="DKZ34" s="37"/>
      <c r="DLA34" s="37"/>
      <c r="DLB34" s="37"/>
      <c r="DLC34" s="37"/>
      <c r="DLD34" s="37"/>
      <c r="DLE34" s="37"/>
      <c r="DLF34" s="37"/>
      <c r="DLG34" s="37"/>
      <c r="DLH34" s="37"/>
      <c r="DLI34" s="37"/>
      <c r="DLJ34" s="37"/>
      <c r="DLK34" s="37"/>
      <c r="DLL34" s="37"/>
      <c r="DLM34" s="37"/>
      <c r="DLN34" s="37"/>
      <c r="DLO34" s="37"/>
      <c r="DLP34" s="37"/>
      <c r="DLQ34" s="37"/>
      <c r="DLR34" s="37"/>
      <c r="DLS34" s="37"/>
      <c r="DLT34" s="37"/>
      <c r="DLU34" s="37"/>
      <c r="DLV34" s="37"/>
      <c r="DLW34" s="37"/>
      <c r="DLX34" s="37"/>
      <c r="DLY34" s="37"/>
      <c r="DLZ34" s="37"/>
      <c r="DMA34" s="37"/>
      <c r="DMB34" s="37"/>
      <c r="DMC34" s="37"/>
      <c r="DMD34" s="37"/>
      <c r="DME34" s="37"/>
      <c r="DMF34" s="37"/>
      <c r="DMG34" s="37"/>
      <c r="DMH34" s="37"/>
      <c r="DMI34" s="37"/>
      <c r="DMJ34" s="37"/>
      <c r="DMK34" s="37"/>
      <c r="DML34" s="37"/>
      <c r="DMM34" s="37"/>
      <c r="DMN34" s="37"/>
      <c r="DMO34" s="37"/>
      <c r="DMP34" s="37"/>
      <c r="DMQ34" s="37"/>
      <c r="DMR34" s="37"/>
      <c r="DMS34" s="37"/>
      <c r="DMT34" s="37"/>
      <c r="DMU34" s="37"/>
      <c r="DMV34" s="37"/>
      <c r="DMW34" s="37"/>
      <c r="DMX34" s="37"/>
      <c r="DMY34" s="37"/>
      <c r="DMZ34" s="37"/>
      <c r="DNA34" s="37"/>
      <c r="DNB34" s="37"/>
      <c r="DNC34" s="37"/>
      <c r="DND34" s="37"/>
      <c r="DNE34" s="37"/>
      <c r="DNF34" s="37"/>
      <c r="DNG34" s="37"/>
      <c r="DNH34" s="37"/>
      <c r="DNI34" s="37"/>
      <c r="DNJ34" s="37"/>
      <c r="DNK34" s="37"/>
      <c r="DNL34" s="37"/>
      <c r="DNM34" s="37"/>
      <c r="DNN34" s="37"/>
      <c r="DNO34" s="37"/>
      <c r="DNP34" s="37"/>
      <c r="DNQ34" s="37"/>
      <c r="DNR34" s="37"/>
      <c r="DNS34" s="37"/>
      <c r="DNT34" s="37"/>
      <c r="DNU34" s="37"/>
      <c r="DNV34" s="37"/>
      <c r="DNW34" s="37"/>
      <c r="DNX34" s="37"/>
      <c r="DNY34" s="37"/>
      <c r="DNZ34" s="37"/>
      <c r="DOA34" s="37"/>
      <c r="DOB34" s="37"/>
      <c r="DOC34" s="37"/>
      <c r="DOD34" s="37"/>
      <c r="DOE34" s="37"/>
      <c r="DOF34" s="37"/>
      <c r="DOG34" s="37"/>
      <c r="DOH34" s="37"/>
      <c r="DOI34" s="37"/>
      <c r="DOJ34" s="37"/>
      <c r="DOK34" s="37"/>
      <c r="DOL34" s="37"/>
      <c r="DOM34" s="37"/>
      <c r="DON34" s="37"/>
      <c r="DOO34" s="37"/>
      <c r="DOP34" s="37"/>
      <c r="DOQ34" s="37"/>
      <c r="DOR34" s="37"/>
      <c r="DOS34" s="37"/>
      <c r="DOT34" s="37"/>
      <c r="DOU34" s="37"/>
      <c r="DOV34" s="37"/>
      <c r="DOW34" s="37"/>
      <c r="DOX34" s="37"/>
      <c r="DOY34" s="37"/>
      <c r="DOZ34" s="37"/>
      <c r="DPA34" s="37"/>
      <c r="DPB34" s="37"/>
      <c r="DPC34" s="37"/>
      <c r="DPD34" s="37"/>
      <c r="DPE34" s="37"/>
      <c r="DPF34" s="37"/>
      <c r="DPG34" s="37"/>
      <c r="DPH34" s="37"/>
      <c r="DPI34" s="37"/>
      <c r="DPJ34" s="37"/>
      <c r="DPK34" s="37"/>
      <c r="DPL34" s="37"/>
      <c r="DPM34" s="37"/>
      <c r="DPN34" s="37"/>
      <c r="DPO34" s="37"/>
      <c r="DPP34" s="37"/>
      <c r="DPQ34" s="37"/>
      <c r="DPR34" s="37"/>
      <c r="DPS34" s="37"/>
      <c r="DPT34" s="37"/>
      <c r="DPU34" s="37"/>
      <c r="DPV34" s="37"/>
      <c r="DPW34" s="37"/>
      <c r="DPX34" s="37"/>
      <c r="DPY34" s="37"/>
      <c r="DPZ34" s="37"/>
      <c r="DQA34" s="37"/>
      <c r="DQB34" s="37"/>
      <c r="DQC34" s="37"/>
      <c r="DQD34" s="37"/>
      <c r="DQE34" s="37"/>
      <c r="DQF34" s="37"/>
      <c r="DQG34" s="37"/>
      <c r="DQH34" s="37"/>
      <c r="DQI34" s="37"/>
      <c r="DQJ34" s="37"/>
      <c r="DQK34" s="37"/>
      <c r="DQL34" s="37"/>
      <c r="DQM34" s="37"/>
      <c r="DQN34" s="37"/>
      <c r="DQO34" s="37"/>
      <c r="DQP34" s="37"/>
      <c r="DQQ34" s="37"/>
      <c r="DQR34" s="37"/>
      <c r="DQS34" s="37"/>
      <c r="DQT34" s="37"/>
      <c r="DQU34" s="37"/>
      <c r="DQV34" s="37"/>
      <c r="DQW34" s="37"/>
      <c r="DQX34" s="37"/>
      <c r="DQY34" s="37"/>
      <c r="DQZ34" s="37"/>
      <c r="DRA34" s="37"/>
      <c r="DRB34" s="37"/>
      <c r="DRC34" s="37"/>
      <c r="DRD34" s="37"/>
      <c r="DRE34" s="37"/>
      <c r="DRF34" s="37"/>
      <c r="DRG34" s="37"/>
      <c r="DRH34" s="37"/>
      <c r="DRI34" s="37"/>
      <c r="DRJ34" s="37"/>
      <c r="DRK34" s="37"/>
      <c r="DRL34" s="37"/>
      <c r="DRM34" s="37"/>
      <c r="DRN34" s="37"/>
      <c r="DRO34" s="37"/>
      <c r="DRP34" s="37"/>
      <c r="DRQ34" s="37"/>
      <c r="DRR34" s="37"/>
      <c r="DRS34" s="37"/>
      <c r="DRT34" s="37"/>
      <c r="DRU34" s="37"/>
      <c r="DRV34" s="37"/>
      <c r="DRW34" s="37"/>
      <c r="DRX34" s="37"/>
      <c r="DRY34" s="37"/>
      <c r="DRZ34" s="37"/>
      <c r="DSA34" s="37"/>
      <c r="DSB34" s="37"/>
      <c r="DSC34" s="37"/>
      <c r="DSD34" s="37"/>
      <c r="DSE34" s="37"/>
      <c r="DSF34" s="37"/>
      <c r="DSG34" s="37"/>
      <c r="DSH34" s="37"/>
      <c r="DSI34" s="37"/>
      <c r="DSJ34" s="37"/>
      <c r="DSK34" s="37"/>
      <c r="DSL34" s="37"/>
      <c r="DSM34" s="37"/>
      <c r="DSN34" s="37"/>
      <c r="DSO34" s="37"/>
      <c r="DSP34" s="37"/>
      <c r="DSQ34" s="37"/>
      <c r="DSR34" s="37"/>
      <c r="DSS34" s="37"/>
      <c r="DST34" s="37"/>
      <c r="DSU34" s="37"/>
      <c r="DSV34" s="37"/>
      <c r="DSW34" s="37"/>
      <c r="DSX34" s="37"/>
      <c r="DSY34" s="37"/>
      <c r="DSZ34" s="37"/>
      <c r="DTA34" s="37"/>
      <c r="DTB34" s="37"/>
      <c r="DTC34" s="37"/>
      <c r="DTD34" s="37"/>
      <c r="DTE34" s="37"/>
      <c r="DTF34" s="37"/>
      <c r="DTG34" s="37"/>
      <c r="DTH34" s="37"/>
      <c r="DTI34" s="37"/>
      <c r="DTJ34" s="37"/>
      <c r="DTK34" s="37"/>
      <c r="DTL34" s="37"/>
      <c r="DTM34" s="37"/>
      <c r="DTN34" s="37"/>
      <c r="DTO34" s="37"/>
      <c r="DTP34" s="37"/>
      <c r="DTQ34" s="37"/>
      <c r="DTR34" s="37"/>
      <c r="DTS34" s="37"/>
      <c r="DTT34" s="37"/>
      <c r="DTU34" s="37"/>
      <c r="DTV34" s="37"/>
      <c r="DTW34" s="37"/>
      <c r="DTX34" s="37"/>
      <c r="DTY34" s="37"/>
      <c r="DTZ34" s="37"/>
      <c r="DUA34" s="37"/>
      <c r="DUB34" s="37"/>
      <c r="DUC34" s="37"/>
      <c r="DUD34" s="37"/>
      <c r="DUE34" s="37"/>
      <c r="DUF34" s="37"/>
      <c r="DUG34" s="37"/>
      <c r="DUH34" s="37"/>
      <c r="DUI34" s="37"/>
      <c r="DUJ34" s="37"/>
      <c r="DUK34" s="37"/>
      <c r="DUL34" s="37"/>
      <c r="DUM34" s="37"/>
      <c r="DUN34" s="37"/>
      <c r="DUO34" s="37"/>
      <c r="DUP34" s="37"/>
      <c r="DUQ34" s="37"/>
      <c r="DUR34" s="37"/>
      <c r="DUS34" s="37"/>
      <c r="DUT34" s="37"/>
      <c r="DUU34" s="37"/>
      <c r="DUV34" s="37"/>
      <c r="DUW34" s="37"/>
      <c r="DUX34" s="37"/>
      <c r="DUY34" s="37"/>
      <c r="DUZ34" s="37"/>
      <c r="DVA34" s="37"/>
      <c r="DVB34" s="37"/>
      <c r="DVC34" s="37"/>
      <c r="DVD34" s="37"/>
      <c r="DVE34" s="37"/>
      <c r="DVF34" s="37"/>
      <c r="DVG34" s="37"/>
      <c r="DVH34" s="37"/>
      <c r="DVI34" s="37"/>
      <c r="DVJ34" s="37"/>
      <c r="DVK34" s="37"/>
      <c r="DVL34" s="37"/>
      <c r="DVM34" s="37"/>
      <c r="DVN34" s="37"/>
      <c r="DVO34" s="37"/>
      <c r="DVP34" s="37"/>
      <c r="DVQ34" s="37"/>
      <c r="DVR34" s="37"/>
      <c r="DVS34" s="37"/>
      <c r="DVT34" s="37"/>
      <c r="DVU34" s="37"/>
      <c r="DVV34" s="37"/>
      <c r="DVW34" s="37"/>
      <c r="DVX34" s="37"/>
      <c r="DVY34" s="37"/>
      <c r="DVZ34" s="37"/>
      <c r="DWA34" s="37"/>
      <c r="DWB34" s="37"/>
      <c r="DWC34" s="37"/>
      <c r="DWD34" s="37"/>
      <c r="DWE34" s="37"/>
      <c r="DWF34" s="37"/>
      <c r="DWG34" s="37"/>
      <c r="DWH34" s="37"/>
      <c r="DWI34" s="37"/>
      <c r="DWJ34" s="37"/>
      <c r="DWK34" s="37"/>
      <c r="DWL34" s="37"/>
      <c r="DWM34" s="37"/>
      <c r="DWN34" s="37"/>
      <c r="DWO34" s="37"/>
      <c r="DWP34" s="37"/>
      <c r="DWQ34" s="37"/>
      <c r="DWR34" s="37"/>
      <c r="DWS34" s="37"/>
      <c r="DWT34" s="37"/>
      <c r="DWU34" s="37"/>
      <c r="DWV34" s="37"/>
      <c r="DWW34" s="37"/>
      <c r="DWX34" s="37"/>
      <c r="DWY34" s="37"/>
      <c r="DWZ34" s="37"/>
      <c r="DXA34" s="37"/>
      <c r="DXB34" s="37"/>
      <c r="DXC34" s="37"/>
      <c r="DXD34" s="37"/>
      <c r="DXE34" s="37"/>
      <c r="DXF34" s="37"/>
      <c r="DXG34" s="37"/>
      <c r="DXH34" s="37"/>
      <c r="DXI34" s="37"/>
      <c r="DXJ34" s="37"/>
      <c r="DXK34" s="37"/>
      <c r="DXL34" s="37"/>
      <c r="DXM34" s="37"/>
      <c r="DXN34" s="37"/>
      <c r="DXO34" s="37"/>
      <c r="DXP34" s="37"/>
      <c r="DXQ34" s="37"/>
      <c r="DXR34" s="37"/>
      <c r="DXS34" s="37"/>
      <c r="DXT34" s="37"/>
      <c r="DXU34" s="37"/>
      <c r="DXV34" s="37"/>
      <c r="DXW34" s="37"/>
      <c r="DXX34" s="37"/>
      <c r="DXY34" s="37"/>
      <c r="DXZ34" s="37"/>
      <c r="DYA34" s="37"/>
      <c r="DYB34" s="37"/>
      <c r="DYC34" s="37"/>
      <c r="DYD34" s="37"/>
      <c r="DYE34" s="37"/>
      <c r="DYF34" s="37"/>
      <c r="DYG34" s="37"/>
      <c r="DYH34" s="37"/>
      <c r="DYI34" s="37"/>
      <c r="DYJ34" s="37"/>
      <c r="DYK34" s="37"/>
      <c r="DYL34" s="37"/>
      <c r="DYM34" s="37"/>
      <c r="DYN34" s="37"/>
      <c r="DYO34" s="37"/>
      <c r="DYP34" s="37"/>
      <c r="DYQ34" s="37"/>
      <c r="DYR34" s="37"/>
      <c r="DYS34" s="37"/>
      <c r="DYT34" s="37"/>
      <c r="DYU34" s="37"/>
      <c r="DYV34" s="37"/>
      <c r="DYW34" s="37"/>
      <c r="DYX34" s="37"/>
      <c r="DYY34" s="37"/>
      <c r="DYZ34" s="37"/>
      <c r="DZA34" s="37"/>
      <c r="DZB34" s="37"/>
      <c r="DZC34" s="37"/>
      <c r="DZD34" s="37"/>
      <c r="DZE34" s="37"/>
      <c r="DZF34" s="37"/>
      <c r="DZG34" s="37"/>
      <c r="DZH34" s="37"/>
      <c r="DZI34" s="37"/>
      <c r="DZJ34" s="37"/>
      <c r="DZK34" s="37"/>
      <c r="DZL34" s="37"/>
      <c r="DZM34" s="37"/>
      <c r="DZN34" s="37"/>
      <c r="DZO34" s="37"/>
      <c r="DZP34" s="37"/>
      <c r="DZQ34" s="37"/>
      <c r="DZR34" s="37"/>
      <c r="DZS34" s="37"/>
      <c r="DZT34" s="37"/>
      <c r="DZU34" s="37"/>
      <c r="DZV34" s="37"/>
      <c r="DZW34" s="37"/>
      <c r="DZX34" s="37"/>
      <c r="DZY34" s="37"/>
      <c r="DZZ34" s="37"/>
      <c r="EAA34" s="37"/>
      <c r="EAB34" s="37"/>
      <c r="EAC34" s="37"/>
      <c r="EAD34" s="37"/>
      <c r="EAE34" s="37"/>
      <c r="EAF34" s="37"/>
      <c r="EAG34" s="37"/>
      <c r="EAH34" s="37"/>
      <c r="EAI34" s="37"/>
      <c r="EAJ34" s="37"/>
      <c r="EAK34" s="37"/>
      <c r="EAL34" s="37"/>
      <c r="EAM34" s="37"/>
      <c r="EAN34" s="37"/>
      <c r="EAO34" s="37"/>
      <c r="EAP34" s="37"/>
      <c r="EAQ34" s="37"/>
      <c r="EAR34" s="37"/>
      <c r="EAS34" s="37"/>
      <c r="EAT34" s="37"/>
      <c r="EAU34" s="37"/>
      <c r="EAV34" s="37"/>
      <c r="EAW34" s="37"/>
      <c r="EAX34" s="37"/>
      <c r="EAY34" s="37"/>
      <c r="EAZ34" s="37"/>
      <c r="EBA34" s="37"/>
      <c r="EBB34" s="37"/>
      <c r="EBC34" s="37"/>
      <c r="EBD34" s="37"/>
      <c r="EBE34" s="37"/>
      <c r="EBF34" s="37"/>
      <c r="EBG34" s="37"/>
      <c r="EBH34" s="37"/>
      <c r="EBI34" s="37"/>
      <c r="EBJ34" s="37"/>
      <c r="EBK34" s="37"/>
      <c r="EBL34" s="37"/>
      <c r="EBM34" s="37"/>
      <c r="EBN34" s="37"/>
      <c r="EBO34" s="37"/>
      <c r="EBP34" s="37"/>
      <c r="EBQ34" s="37"/>
      <c r="EBR34" s="37"/>
      <c r="EBS34" s="37"/>
      <c r="EBT34" s="37"/>
      <c r="EBU34" s="37"/>
      <c r="EBV34" s="37"/>
      <c r="EBW34" s="37"/>
      <c r="EBX34" s="37"/>
      <c r="EBY34" s="37"/>
      <c r="EBZ34" s="37"/>
      <c r="ECA34" s="37"/>
      <c r="ECB34" s="37"/>
      <c r="ECC34" s="37"/>
      <c r="ECD34" s="37"/>
      <c r="ECE34" s="37"/>
      <c r="ECF34" s="37"/>
      <c r="ECG34" s="37"/>
      <c r="ECH34" s="37"/>
      <c r="ECI34" s="37"/>
      <c r="ECJ34" s="37"/>
      <c r="ECK34" s="37"/>
      <c r="ECL34" s="37"/>
      <c r="ECM34" s="37"/>
      <c r="ECN34" s="37"/>
      <c r="ECO34" s="37"/>
      <c r="ECP34" s="37"/>
      <c r="ECQ34" s="37"/>
      <c r="ECR34" s="37"/>
      <c r="ECS34" s="37"/>
      <c r="ECT34" s="37"/>
      <c r="ECU34" s="37"/>
      <c r="ECV34" s="37"/>
      <c r="ECW34" s="37"/>
      <c r="ECX34" s="37"/>
      <c r="ECY34" s="37"/>
      <c r="ECZ34" s="37"/>
      <c r="EDA34" s="37"/>
      <c r="EDB34" s="37"/>
      <c r="EDC34" s="37"/>
      <c r="EDD34" s="37"/>
      <c r="EDE34" s="37"/>
      <c r="EDF34" s="37"/>
      <c r="EDG34" s="37"/>
      <c r="EDH34" s="37"/>
      <c r="EDI34" s="37"/>
      <c r="EDJ34" s="37"/>
      <c r="EDK34" s="37"/>
      <c r="EDL34" s="37"/>
      <c r="EDM34" s="37"/>
      <c r="EDN34" s="37"/>
      <c r="EDO34" s="37"/>
      <c r="EDP34" s="37"/>
      <c r="EDQ34" s="37"/>
      <c r="EDR34" s="37"/>
      <c r="EDS34" s="37"/>
      <c r="EDT34" s="37"/>
      <c r="EDU34" s="37"/>
      <c r="EDV34" s="37"/>
      <c r="EDW34" s="37"/>
      <c r="EDX34" s="37"/>
      <c r="EDY34" s="37"/>
      <c r="EDZ34" s="37"/>
      <c r="EEA34" s="37"/>
      <c r="EEB34" s="37"/>
      <c r="EEC34" s="37"/>
      <c r="EED34" s="37"/>
      <c r="EEE34" s="37"/>
      <c r="EEF34" s="37"/>
      <c r="EEG34" s="37"/>
      <c r="EEH34" s="37"/>
      <c r="EEI34" s="37"/>
      <c r="EEJ34" s="37"/>
      <c r="EEK34" s="37"/>
      <c r="EEL34" s="37"/>
      <c r="EEM34" s="37"/>
      <c r="EEN34" s="37"/>
      <c r="EEO34" s="37"/>
      <c r="EEP34" s="37"/>
      <c r="EEQ34" s="37"/>
      <c r="EER34" s="37"/>
      <c r="EES34" s="37"/>
      <c r="EET34" s="37"/>
      <c r="EEU34" s="37"/>
      <c r="EEV34" s="37"/>
      <c r="EEW34" s="37"/>
      <c r="EEX34" s="37"/>
      <c r="EEY34" s="37"/>
      <c r="EEZ34" s="37"/>
      <c r="EFA34" s="37"/>
      <c r="EFB34" s="37"/>
      <c r="EFC34" s="37"/>
      <c r="EFD34" s="37"/>
      <c r="EFE34" s="37"/>
      <c r="EFF34" s="37"/>
      <c r="EFG34" s="37"/>
      <c r="EFH34" s="37"/>
      <c r="EFI34" s="37"/>
      <c r="EFJ34" s="37"/>
      <c r="EFK34" s="37"/>
      <c r="EFL34" s="37"/>
      <c r="EFM34" s="37"/>
      <c r="EFN34" s="37"/>
      <c r="EFO34" s="37"/>
      <c r="EFP34" s="37"/>
      <c r="EFQ34" s="37"/>
      <c r="EFR34" s="37"/>
      <c r="EFS34" s="37"/>
      <c r="EFT34" s="37"/>
      <c r="EFU34" s="37"/>
      <c r="EFV34" s="37"/>
      <c r="EFW34" s="37"/>
      <c r="EFX34" s="37"/>
      <c r="EFY34" s="37"/>
      <c r="EFZ34" s="37"/>
      <c r="EGA34" s="37"/>
      <c r="EGB34" s="37"/>
      <c r="EGC34" s="37"/>
      <c r="EGD34" s="37"/>
      <c r="EGE34" s="37"/>
      <c r="EGF34" s="37"/>
      <c r="EGG34" s="37"/>
      <c r="EGH34" s="37"/>
      <c r="EGI34" s="37"/>
      <c r="EGJ34" s="37"/>
      <c r="EGK34" s="37"/>
      <c r="EGL34" s="37"/>
      <c r="EGM34" s="37"/>
      <c r="EGN34" s="37"/>
      <c r="EGO34" s="37"/>
      <c r="EGP34" s="37"/>
      <c r="EGQ34" s="37"/>
      <c r="EGR34" s="37"/>
      <c r="EGS34" s="37"/>
      <c r="EGT34" s="37"/>
      <c r="EGU34" s="37"/>
      <c r="EGV34" s="37"/>
      <c r="EGW34" s="37"/>
      <c r="EGX34" s="37"/>
      <c r="EGY34" s="37"/>
      <c r="EGZ34" s="37"/>
      <c r="EHA34" s="37"/>
      <c r="EHB34" s="37"/>
      <c r="EHC34" s="37"/>
      <c r="EHD34" s="37"/>
      <c r="EHE34" s="37"/>
      <c r="EHF34" s="37"/>
      <c r="EHG34" s="37"/>
      <c r="EHH34" s="37"/>
      <c r="EHI34" s="37"/>
      <c r="EHJ34" s="37"/>
      <c r="EHK34" s="37"/>
      <c r="EHL34" s="37"/>
      <c r="EHM34" s="37"/>
      <c r="EHN34" s="37"/>
      <c r="EHO34" s="37"/>
      <c r="EHP34" s="37"/>
      <c r="EHQ34" s="37"/>
      <c r="EHR34" s="37"/>
      <c r="EHS34" s="37"/>
      <c r="EHT34" s="37"/>
      <c r="EHU34" s="37"/>
      <c r="EHV34" s="37"/>
      <c r="EHW34" s="37"/>
      <c r="EHX34" s="37"/>
      <c r="EHY34" s="37"/>
      <c r="EHZ34" s="37"/>
      <c r="EIA34" s="37"/>
      <c r="EIB34" s="37"/>
      <c r="EIC34" s="37"/>
      <c r="EID34" s="37"/>
      <c r="EIE34" s="37"/>
      <c r="EIF34" s="37"/>
      <c r="EIG34" s="37"/>
      <c r="EIH34" s="37"/>
      <c r="EII34" s="37"/>
      <c r="EIJ34" s="37"/>
      <c r="EIK34" s="37"/>
      <c r="EIL34" s="37"/>
      <c r="EIM34" s="37"/>
      <c r="EIN34" s="37"/>
      <c r="EIO34" s="37"/>
      <c r="EIP34" s="37"/>
      <c r="EIQ34" s="37"/>
      <c r="EIR34" s="37"/>
      <c r="EIS34" s="37"/>
      <c r="EIT34" s="37"/>
      <c r="EIU34" s="37"/>
      <c r="EIV34" s="37"/>
      <c r="EIW34" s="37"/>
      <c r="EIX34" s="37"/>
      <c r="EIY34" s="37"/>
      <c r="EIZ34" s="37"/>
      <c r="EJA34" s="37"/>
      <c r="EJB34" s="37"/>
      <c r="EJC34" s="37"/>
      <c r="EJD34" s="37"/>
      <c r="EJE34" s="37"/>
      <c r="EJF34" s="37"/>
      <c r="EJG34" s="37"/>
      <c r="EJH34" s="37"/>
      <c r="EJI34" s="37"/>
      <c r="EJJ34" s="37"/>
      <c r="EJK34" s="37"/>
      <c r="EJL34" s="37"/>
      <c r="EJM34" s="37"/>
      <c r="EJN34" s="37"/>
      <c r="EJO34" s="37"/>
      <c r="EJP34" s="37"/>
      <c r="EJQ34" s="37"/>
      <c r="EJR34" s="37"/>
      <c r="EJS34" s="37"/>
      <c r="EJT34" s="37"/>
      <c r="EJU34" s="37"/>
      <c r="EJV34" s="37"/>
      <c r="EJW34" s="37"/>
      <c r="EJX34" s="37"/>
      <c r="EJY34" s="37"/>
      <c r="EJZ34" s="37"/>
      <c r="EKA34" s="37"/>
      <c r="EKB34" s="37"/>
      <c r="EKC34" s="37"/>
      <c r="EKD34" s="37"/>
      <c r="EKE34" s="37"/>
      <c r="EKF34" s="37"/>
      <c r="EKG34" s="37"/>
      <c r="EKH34" s="37"/>
      <c r="EKI34" s="37"/>
      <c r="EKJ34" s="37"/>
      <c r="EKK34" s="37"/>
      <c r="EKL34" s="37"/>
      <c r="EKM34" s="37"/>
      <c r="EKN34" s="37"/>
      <c r="EKO34" s="37"/>
      <c r="EKP34" s="37"/>
      <c r="EKQ34" s="37"/>
      <c r="EKR34" s="37"/>
      <c r="EKS34" s="37"/>
      <c r="EKT34" s="37"/>
      <c r="EKU34" s="37"/>
      <c r="EKV34" s="37"/>
      <c r="EKW34" s="37"/>
      <c r="EKX34" s="37"/>
      <c r="EKY34" s="37"/>
      <c r="EKZ34" s="37"/>
      <c r="ELA34" s="37"/>
      <c r="ELB34" s="37"/>
      <c r="ELC34" s="37"/>
      <c r="ELD34" s="37"/>
      <c r="ELE34" s="37"/>
      <c r="ELF34" s="37"/>
      <c r="ELG34" s="37"/>
      <c r="ELH34" s="37"/>
      <c r="ELI34" s="37"/>
      <c r="ELJ34" s="37"/>
      <c r="ELK34" s="37"/>
      <c r="ELL34" s="37"/>
      <c r="ELM34" s="37"/>
      <c r="ELN34" s="37"/>
      <c r="ELO34" s="37"/>
      <c r="ELP34" s="37"/>
      <c r="ELQ34" s="37"/>
      <c r="ELR34" s="37"/>
      <c r="ELS34" s="37"/>
      <c r="ELT34" s="37"/>
      <c r="ELU34" s="37"/>
      <c r="ELV34" s="37"/>
      <c r="ELW34" s="37"/>
      <c r="ELX34" s="37"/>
      <c r="ELY34" s="37"/>
      <c r="ELZ34" s="37"/>
      <c r="EMA34" s="37"/>
      <c r="EMB34" s="37"/>
      <c r="EMC34" s="37"/>
      <c r="EMD34" s="37"/>
      <c r="EME34" s="37"/>
      <c r="EMF34" s="37"/>
      <c r="EMG34" s="37"/>
      <c r="EMH34" s="37"/>
      <c r="EMI34" s="37"/>
      <c r="EMJ34" s="37"/>
      <c r="EMK34" s="37"/>
      <c r="EML34" s="37"/>
      <c r="EMM34" s="37"/>
      <c r="EMN34" s="37"/>
      <c r="EMO34" s="37"/>
      <c r="EMP34" s="37"/>
      <c r="EMQ34" s="37"/>
      <c r="EMR34" s="37"/>
      <c r="EMS34" s="37"/>
      <c r="EMT34" s="37"/>
      <c r="EMU34" s="37"/>
      <c r="EMV34" s="37"/>
      <c r="EMW34" s="37"/>
      <c r="EMX34" s="37"/>
      <c r="EMY34" s="37"/>
      <c r="EMZ34" s="37"/>
      <c r="ENA34" s="37"/>
      <c r="ENB34" s="37"/>
      <c r="ENC34" s="37"/>
      <c r="END34" s="37"/>
      <c r="ENE34" s="37"/>
      <c r="ENF34" s="37"/>
      <c r="ENG34" s="37"/>
      <c r="ENH34" s="37"/>
      <c r="ENI34" s="37"/>
      <c r="ENJ34" s="37"/>
      <c r="ENK34" s="37"/>
      <c r="ENL34" s="37"/>
      <c r="ENM34" s="37"/>
      <c r="ENN34" s="37"/>
      <c r="ENO34" s="37"/>
      <c r="ENP34" s="37"/>
      <c r="ENQ34" s="37"/>
      <c r="ENR34" s="37"/>
      <c r="ENS34" s="37"/>
      <c r="ENT34" s="37"/>
      <c r="ENU34" s="37"/>
      <c r="ENV34" s="37"/>
      <c r="ENW34" s="37"/>
      <c r="ENX34" s="37"/>
      <c r="ENY34" s="37"/>
      <c r="ENZ34" s="37"/>
      <c r="EOA34" s="37"/>
      <c r="EOB34" s="37"/>
      <c r="EOC34" s="37"/>
      <c r="EOD34" s="37"/>
      <c r="EOE34" s="37"/>
      <c r="EOF34" s="37"/>
      <c r="EOG34" s="37"/>
      <c r="EOH34" s="37"/>
      <c r="EOI34" s="37"/>
      <c r="EOJ34" s="37"/>
      <c r="EOK34" s="37"/>
      <c r="EOL34" s="37"/>
      <c r="EOM34" s="37"/>
      <c r="EON34" s="37"/>
      <c r="EOO34" s="37"/>
      <c r="EOP34" s="37"/>
      <c r="EOQ34" s="37"/>
      <c r="EOR34" s="37"/>
      <c r="EOS34" s="37"/>
      <c r="EOT34" s="37"/>
      <c r="EOU34" s="37"/>
      <c r="EOV34" s="37"/>
      <c r="EOW34" s="37"/>
      <c r="EOX34" s="37"/>
      <c r="EOY34" s="37"/>
      <c r="EOZ34" s="37"/>
      <c r="EPA34" s="37"/>
      <c r="EPB34" s="37"/>
      <c r="EPC34" s="37"/>
      <c r="EPD34" s="37"/>
      <c r="EPE34" s="37"/>
      <c r="EPF34" s="37"/>
      <c r="EPG34" s="37"/>
      <c r="EPH34" s="37"/>
      <c r="EPI34" s="37"/>
      <c r="EPJ34" s="37"/>
      <c r="EPK34" s="37"/>
      <c r="EPL34" s="37"/>
      <c r="EPM34" s="37"/>
      <c r="EPN34" s="37"/>
      <c r="EPO34" s="37"/>
      <c r="EPP34" s="37"/>
      <c r="EPQ34" s="37"/>
      <c r="EPR34" s="37"/>
      <c r="EPS34" s="37"/>
      <c r="EPT34" s="37"/>
      <c r="EPU34" s="37"/>
      <c r="EPV34" s="37"/>
      <c r="EPW34" s="37"/>
      <c r="EPX34" s="37"/>
      <c r="EPY34" s="37"/>
      <c r="EPZ34" s="37"/>
      <c r="EQA34" s="37"/>
      <c r="EQB34" s="37"/>
      <c r="EQC34" s="37"/>
      <c r="EQD34" s="37"/>
      <c r="EQE34" s="37"/>
      <c r="EQF34" s="37"/>
      <c r="EQG34" s="37"/>
      <c r="EQH34" s="37"/>
      <c r="EQI34" s="37"/>
      <c r="EQJ34" s="37"/>
      <c r="EQK34" s="37"/>
      <c r="EQL34" s="37"/>
      <c r="EQM34" s="37"/>
      <c r="EQN34" s="37"/>
      <c r="EQO34" s="37"/>
      <c r="EQP34" s="37"/>
      <c r="EQQ34" s="37"/>
      <c r="EQR34" s="37"/>
      <c r="EQS34" s="37"/>
      <c r="EQT34" s="37"/>
      <c r="EQU34" s="37"/>
      <c r="EQV34" s="37"/>
      <c r="EQW34" s="37"/>
      <c r="EQX34" s="37"/>
      <c r="EQY34" s="37"/>
      <c r="EQZ34" s="37"/>
      <c r="ERA34" s="37"/>
      <c r="ERB34" s="37"/>
      <c r="ERC34" s="37"/>
      <c r="ERD34" s="37"/>
      <c r="ERE34" s="37"/>
      <c r="ERF34" s="37"/>
      <c r="ERG34" s="37"/>
      <c r="ERH34" s="37"/>
      <c r="ERI34" s="37"/>
      <c r="ERJ34" s="37"/>
      <c r="ERK34" s="37"/>
      <c r="ERL34" s="37"/>
      <c r="ERM34" s="37"/>
      <c r="ERN34" s="37"/>
      <c r="ERO34" s="37"/>
      <c r="ERP34" s="37"/>
      <c r="ERQ34" s="37"/>
      <c r="ERR34" s="37"/>
      <c r="ERS34" s="37"/>
      <c r="ERT34" s="37"/>
      <c r="ERU34" s="37"/>
      <c r="ERV34" s="37"/>
      <c r="ERW34" s="37"/>
      <c r="ERX34" s="37"/>
      <c r="ERY34" s="37"/>
      <c r="ERZ34" s="37"/>
      <c r="ESA34" s="37"/>
      <c r="ESB34" s="37"/>
      <c r="ESC34" s="37"/>
      <c r="ESD34" s="37"/>
      <c r="ESE34" s="37"/>
      <c r="ESF34" s="37"/>
      <c r="ESG34" s="37"/>
      <c r="ESH34" s="37"/>
      <c r="ESI34" s="37"/>
      <c r="ESJ34" s="37"/>
      <c r="ESK34" s="37"/>
      <c r="ESL34" s="37"/>
      <c r="ESM34" s="37"/>
      <c r="ESN34" s="37"/>
      <c r="ESO34" s="37"/>
      <c r="ESP34" s="37"/>
      <c r="ESQ34" s="37"/>
      <c r="ESR34" s="37"/>
      <c r="ESS34" s="37"/>
      <c r="EST34" s="37"/>
      <c r="ESU34" s="37"/>
      <c r="ESV34" s="37"/>
      <c r="ESW34" s="37"/>
      <c r="ESX34" s="37"/>
      <c r="ESY34" s="37"/>
      <c r="ESZ34" s="37"/>
      <c r="ETA34" s="37"/>
      <c r="ETB34" s="37"/>
      <c r="ETC34" s="37"/>
      <c r="ETD34" s="37"/>
      <c r="ETE34" s="37"/>
      <c r="ETF34" s="37"/>
      <c r="ETG34" s="37"/>
      <c r="ETH34" s="37"/>
      <c r="ETI34" s="37"/>
      <c r="ETJ34" s="37"/>
      <c r="ETK34" s="37"/>
      <c r="ETL34" s="37"/>
      <c r="ETM34" s="37"/>
      <c r="ETN34" s="37"/>
      <c r="ETO34" s="37"/>
      <c r="ETP34" s="37"/>
      <c r="ETQ34" s="37"/>
      <c r="ETR34" s="37"/>
      <c r="ETS34" s="37"/>
      <c r="ETT34" s="37"/>
      <c r="ETU34" s="37"/>
      <c r="ETV34" s="37"/>
      <c r="ETW34" s="37"/>
      <c r="ETX34" s="37"/>
      <c r="ETY34" s="37"/>
      <c r="ETZ34" s="37"/>
      <c r="EUA34" s="37"/>
      <c r="EUB34" s="37"/>
      <c r="EUC34" s="37"/>
      <c r="EUD34" s="37"/>
      <c r="EUE34" s="37"/>
      <c r="EUF34" s="37"/>
      <c r="EUG34" s="37"/>
      <c r="EUH34" s="37"/>
      <c r="EUI34" s="37"/>
      <c r="EUJ34" s="37"/>
      <c r="EUK34" s="37"/>
      <c r="EUL34" s="37"/>
      <c r="EUM34" s="37"/>
      <c r="EUN34" s="37"/>
      <c r="EUO34" s="37"/>
      <c r="EUP34" s="37"/>
      <c r="EUQ34" s="37"/>
      <c r="EUR34" s="37"/>
      <c r="EUS34" s="37"/>
      <c r="EUT34" s="37"/>
      <c r="EUU34" s="37"/>
      <c r="EUV34" s="37"/>
      <c r="EUW34" s="37"/>
      <c r="EUX34" s="37"/>
      <c r="EUY34" s="37"/>
      <c r="EUZ34" s="37"/>
      <c r="EVA34" s="37"/>
      <c r="EVB34" s="37"/>
      <c r="EVC34" s="37"/>
      <c r="EVD34" s="37"/>
      <c r="EVE34" s="37"/>
      <c r="EVF34" s="37"/>
      <c r="EVG34" s="37"/>
      <c r="EVH34" s="37"/>
      <c r="EVI34" s="37"/>
      <c r="EVJ34" s="37"/>
      <c r="EVK34" s="37"/>
      <c r="EVL34" s="37"/>
      <c r="EVM34" s="37"/>
      <c r="EVN34" s="37"/>
      <c r="EVO34" s="37"/>
      <c r="EVP34" s="37"/>
      <c r="EVQ34" s="37"/>
      <c r="EVR34" s="37"/>
      <c r="EVS34" s="37"/>
      <c r="EVT34" s="37"/>
      <c r="EVU34" s="37"/>
      <c r="EVV34" s="37"/>
      <c r="EVW34" s="37"/>
      <c r="EVX34" s="37"/>
      <c r="EVY34" s="37"/>
      <c r="EVZ34" s="37"/>
      <c r="EWA34" s="37"/>
      <c r="EWB34" s="37"/>
      <c r="EWC34" s="37"/>
      <c r="EWD34" s="37"/>
      <c r="EWE34" s="37"/>
      <c r="EWF34" s="37"/>
      <c r="EWG34" s="37"/>
      <c r="EWH34" s="37"/>
      <c r="EWI34" s="37"/>
      <c r="EWJ34" s="37"/>
      <c r="EWK34" s="37"/>
      <c r="EWL34" s="37"/>
      <c r="EWM34" s="37"/>
      <c r="EWN34" s="37"/>
      <c r="EWO34" s="37"/>
      <c r="EWP34" s="37"/>
      <c r="EWQ34" s="37"/>
      <c r="EWR34" s="37"/>
      <c r="EWS34" s="37"/>
      <c r="EWT34" s="37"/>
      <c r="EWU34" s="37"/>
      <c r="EWV34" s="37"/>
      <c r="EWW34" s="37"/>
      <c r="EWX34" s="37"/>
      <c r="EWY34" s="37"/>
      <c r="EWZ34" s="37"/>
      <c r="EXA34" s="37"/>
      <c r="EXB34" s="37"/>
      <c r="EXC34" s="37"/>
      <c r="EXD34" s="37"/>
      <c r="EXE34" s="37"/>
      <c r="EXF34" s="37"/>
      <c r="EXG34" s="37"/>
      <c r="EXH34" s="37"/>
      <c r="EXI34" s="37"/>
      <c r="EXJ34" s="37"/>
      <c r="EXK34" s="37"/>
      <c r="EXL34" s="37"/>
      <c r="EXM34" s="37"/>
      <c r="EXN34" s="37"/>
      <c r="EXO34" s="37"/>
      <c r="EXP34" s="37"/>
      <c r="EXQ34" s="37"/>
      <c r="EXR34" s="37"/>
      <c r="EXS34" s="37"/>
      <c r="EXT34" s="37"/>
      <c r="EXU34" s="37"/>
      <c r="EXV34" s="37"/>
      <c r="EXW34" s="37"/>
      <c r="EXX34" s="37"/>
      <c r="EXY34" s="37"/>
      <c r="EXZ34" s="37"/>
      <c r="EYA34" s="37"/>
      <c r="EYB34" s="37"/>
      <c r="EYC34" s="37"/>
      <c r="EYD34" s="37"/>
      <c r="EYE34" s="37"/>
      <c r="EYF34" s="37"/>
      <c r="EYG34" s="37"/>
      <c r="EYH34" s="37"/>
      <c r="EYI34" s="37"/>
      <c r="EYJ34" s="37"/>
      <c r="EYK34" s="37"/>
      <c r="EYL34" s="37"/>
      <c r="EYM34" s="37"/>
      <c r="EYN34" s="37"/>
      <c r="EYO34" s="37"/>
      <c r="EYP34" s="37"/>
      <c r="EYQ34" s="37"/>
      <c r="EYR34" s="37"/>
      <c r="EYS34" s="37"/>
      <c r="EYT34" s="37"/>
      <c r="EYU34" s="37"/>
      <c r="EYV34" s="37"/>
      <c r="EYW34" s="37"/>
      <c r="EYX34" s="37"/>
      <c r="EYY34" s="37"/>
      <c r="EYZ34" s="37"/>
      <c r="EZA34" s="37"/>
      <c r="EZB34" s="37"/>
      <c r="EZC34" s="37"/>
      <c r="EZD34" s="37"/>
      <c r="EZE34" s="37"/>
      <c r="EZF34" s="37"/>
      <c r="EZG34" s="37"/>
      <c r="EZH34" s="37"/>
      <c r="EZI34" s="37"/>
      <c r="EZJ34" s="37"/>
      <c r="EZK34" s="37"/>
      <c r="EZL34" s="37"/>
      <c r="EZM34" s="37"/>
      <c r="EZN34" s="37"/>
      <c r="EZO34" s="37"/>
      <c r="EZP34" s="37"/>
      <c r="EZQ34" s="37"/>
      <c r="EZR34" s="37"/>
      <c r="EZS34" s="37"/>
      <c r="EZT34" s="37"/>
      <c r="EZU34" s="37"/>
      <c r="EZV34" s="37"/>
      <c r="EZW34" s="37"/>
      <c r="EZX34" s="37"/>
      <c r="EZY34" s="37"/>
      <c r="EZZ34" s="37"/>
      <c r="FAA34" s="37"/>
      <c r="FAB34" s="37"/>
      <c r="FAC34" s="37"/>
      <c r="FAD34" s="37"/>
      <c r="FAE34" s="37"/>
      <c r="FAF34" s="37"/>
      <c r="FAG34" s="37"/>
      <c r="FAH34" s="37"/>
      <c r="FAI34" s="37"/>
      <c r="FAJ34" s="37"/>
      <c r="FAK34" s="37"/>
      <c r="FAL34" s="37"/>
      <c r="FAM34" s="37"/>
      <c r="FAN34" s="37"/>
      <c r="FAO34" s="37"/>
      <c r="FAP34" s="37"/>
      <c r="FAQ34" s="37"/>
      <c r="FAR34" s="37"/>
      <c r="FAS34" s="37"/>
      <c r="FAT34" s="37"/>
      <c r="FAU34" s="37"/>
      <c r="FAV34" s="37"/>
      <c r="FAW34" s="37"/>
      <c r="FAX34" s="37"/>
      <c r="FAY34" s="37"/>
      <c r="FAZ34" s="37"/>
      <c r="FBA34" s="37"/>
      <c r="FBB34" s="37"/>
      <c r="FBC34" s="37"/>
      <c r="FBD34" s="37"/>
      <c r="FBE34" s="37"/>
      <c r="FBF34" s="37"/>
      <c r="FBG34" s="37"/>
      <c r="FBH34" s="37"/>
      <c r="FBI34" s="37"/>
      <c r="FBJ34" s="37"/>
      <c r="FBK34" s="37"/>
      <c r="FBL34" s="37"/>
      <c r="FBM34" s="37"/>
      <c r="FBN34" s="37"/>
      <c r="FBO34" s="37"/>
      <c r="FBP34" s="37"/>
      <c r="FBQ34" s="37"/>
      <c r="FBR34" s="37"/>
      <c r="FBS34" s="37"/>
      <c r="FBT34" s="37"/>
      <c r="FBU34" s="37"/>
      <c r="FBV34" s="37"/>
      <c r="FBW34" s="37"/>
      <c r="FBX34" s="37"/>
      <c r="FBY34" s="37"/>
      <c r="FBZ34" s="37"/>
      <c r="FCA34" s="37"/>
      <c r="FCB34" s="37"/>
      <c r="FCC34" s="37"/>
      <c r="FCD34" s="37"/>
      <c r="FCE34" s="37"/>
      <c r="FCF34" s="37"/>
      <c r="FCG34" s="37"/>
      <c r="FCH34" s="37"/>
      <c r="FCI34" s="37"/>
      <c r="FCJ34" s="37"/>
      <c r="FCK34" s="37"/>
      <c r="FCL34" s="37"/>
      <c r="FCM34" s="37"/>
      <c r="FCN34" s="37"/>
      <c r="FCO34" s="37"/>
      <c r="FCP34" s="37"/>
      <c r="FCQ34" s="37"/>
      <c r="FCR34" s="37"/>
      <c r="FCS34" s="37"/>
      <c r="FCT34" s="37"/>
      <c r="FCU34" s="37"/>
      <c r="FCV34" s="37"/>
      <c r="FCW34" s="37"/>
      <c r="FCX34" s="37"/>
      <c r="FCY34" s="37"/>
      <c r="FCZ34" s="37"/>
      <c r="FDA34" s="37"/>
      <c r="FDB34" s="37"/>
      <c r="FDC34" s="37"/>
      <c r="FDD34" s="37"/>
      <c r="FDE34" s="37"/>
      <c r="FDF34" s="37"/>
      <c r="FDG34" s="37"/>
      <c r="FDH34" s="37"/>
      <c r="FDI34" s="37"/>
      <c r="FDJ34" s="37"/>
      <c r="FDK34" s="37"/>
      <c r="FDL34" s="37"/>
      <c r="FDM34" s="37"/>
      <c r="FDN34" s="37"/>
      <c r="FDO34" s="37"/>
      <c r="FDP34" s="37"/>
      <c r="FDQ34" s="37"/>
      <c r="FDR34" s="37"/>
      <c r="FDS34" s="37"/>
      <c r="FDT34" s="37"/>
      <c r="FDU34" s="37"/>
      <c r="FDV34" s="37"/>
      <c r="FDW34" s="37"/>
      <c r="FDX34" s="37"/>
      <c r="FDY34" s="37"/>
      <c r="FDZ34" s="37"/>
      <c r="FEA34" s="37"/>
      <c r="FEB34" s="37"/>
      <c r="FEC34" s="37"/>
      <c r="FED34" s="37"/>
      <c r="FEE34" s="37"/>
      <c r="FEF34" s="37"/>
      <c r="FEG34" s="37"/>
      <c r="FEH34" s="37"/>
      <c r="FEI34" s="37"/>
      <c r="FEJ34" s="37"/>
      <c r="FEK34" s="37"/>
      <c r="FEL34" s="37"/>
      <c r="FEM34" s="37"/>
      <c r="FEN34" s="37"/>
      <c r="FEO34" s="37"/>
      <c r="FEP34" s="37"/>
      <c r="FEQ34" s="37"/>
      <c r="FER34" s="37"/>
      <c r="FES34" s="37"/>
      <c r="FET34" s="37"/>
      <c r="FEU34" s="37"/>
      <c r="FEV34" s="37"/>
      <c r="FEW34" s="37"/>
      <c r="FEX34" s="37"/>
      <c r="FEY34" s="37"/>
      <c r="FEZ34" s="37"/>
      <c r="FFA34" s="37"/>
      <c r="FFB34" s="37"/>
      <c r="FFC34" s="37"/>
      <c r="FFD34" s="37"/>
      <c r="FFE34" s="37"/>
      <c r="FFF34" s="37"/>
      <c r="FFG34" s="37"/>
      <c r="FFH34" s="37"/>
      <c r="FFI34" s="37"/>
      <c r="FFJ34" s="37"/>
      <c r="FFK34" s="37"/>
      <c r="FFL34" s="37"/>
      <c r="FFM34" s="37"/>
      <c r="FFN34" s="37"/>
      <c r="FFO34" s="37"/>
      <c r="FFP34" s="37"/>
      <c r="FFQ34" s="37"/>
      <c r="FFR34" s="37"/>
      <c r="FFS34" s="37"/>
      <c r="FFT34" s="37"/>
      <c r="FFU34" s="37"/>
      <c r="FFV34" s="37"/>
      <c r="FFW34" s="37"/>
      <c r="FFX34" s="37"/>
      <c r="FFY34" s="37"/>
      <c r="FFZ34" s="37"/>
      <c r="FGA34" s="37"/>
      <c r="FGB34" s="37"/>
      <c r="FGC34" s="37"/>
      <c r="FGD34" s="37"/>
      <c r="FGE34" s="37"/>
      <c r="FGF34" s="37"/>
      <c r="FGG34" s="37"/>
      <c r="FGH34" s="37"/>
      <c r="FGI34" s="37"/>
      <c r="FGJ34" s="37"/>
      <c r="FGK34" s="37"/>
      <c r="FGL34" s="37"/>
      <c r="FGM34" s="37"/>
      <c r="FGN34" s="37"/>
      <c r="FGO34" s="37"/>
      <c r="FGP34" s="37"/>
      <c r="FGQ34" s="37"/>
      <c r="FGR34" s="37"/>
      <c r="FGS34" s="37"/>
      <c r="FGT34" s="37"/>
      <c r="FGU34" s="37"/>
      <c r="FGV34" s="37"/>
      <c r="FGW34" s="37"/>
      <c r="FGX34" s="37"/>
      <c r="FGY34" s="37"/>
      <c r="FGZ34" s="37"/>
      <c r="FHA34" s="37"/>
      <c r="FHB34" s="37"/>
      <c r="FHC34" s="37"/>
      <c r="FHD34" s="37"/>
      <c r="FHE34" s="37"/>
      <c r="FHF34" s="37"/>
      <c r="FHG34" s="37"/>
      <c r="FHH34" s="37"/>
      <c r="FHI34" s="37"/>
      <c r="FHJ34" s="37"/>
      <c r="FHK34" s="37"/>
      <c r="FHL34" s="37"/>
      <c r="FHM34" s="37"/>
      <c r="FHN34" s="37"/>
      <c r="FHO34" s="37"/>
      <c r="FHP34" s="37"/>
      <c r="FHQ34" s="37"/>
      <c r="FHR34" s="37"/>
      <c r="FHS34" s="37"/>
      <c r="FHT34" s="37"/>
      <c r="FHU34" s="37"/>
      <c r="FHV34" s="37"/>
      <c r="FHW34" s="37"/>
      <c r="FHX34" s="37"/>
      <c r="FHY34" s="37"/>
      <c r="FHZ34" s="37"/>
      <c r="FIA34" s="37"/>
      <c r="FIB34" s="37"/>
      <c r="FIC34" s="37"/>
      <c r="FID34" s="37"/>
      <c r="FIE34" s="37"/>
      <c r="FIF34" s="37"/>
      <c r="FIG34" s="37"/>
      <c r="FIH34" s="37"/>
      <c r="FII34" s="37"/>
      <c r="FIJ34" s="37"/>
      <c r="FIK34" s="37"/>
      <c r="FIL34" s="37"/>
      <c r="FIM34" s="37"/>
      <c r="FIN34" s="37"/>
      <c r="FIO34" s="37"/>
      <c r="FIP34" s="37"/>
      <c r="FIQ34" s="37"/>
      <c r="FIR34" s="37"/>
      <c r="FIS34" s="37"/>
      <c r="FIT34" s="37"/>
      <c r="FIU34" s="37"/>
      <c r="FIV34" s="37"/>
      <c r="FIW34" s="37"/>
      <c r="FIX34" s="37"/>
      <c r="FIY34" s="37"/>
      <c r="FIZ34" s="37"/>
      <c r="FJA34" s="37"/>
      <c r="FJB34" s="37"/>
      <c r="FJC34" s="37"/>
      <c r="FJD34" s="37"/>
      <c r="FJE34" s="37"/>
      <c r="FJF34" s="37"/>
      <c r="FJG34" s="37"/>
      <c r="FJH34" s="37"/>
      <c r="FJI34" s="37"/>
      <c r="FJJ34" s="37"/>
      <c r="FJK34" s="37"/>
      <c r="FJL34" s="37"/>
      <c r="FJM34" s="37"/>
      <c r="FJN34" s="37"/>
      <c r="FJO34" s="37"/>
      <c r="FJP34" s="37"/>
      <c r="FJQ34" s="37"/>
      <c r="FJR34" s="37"/>
      <c r="FJS34" s="37"/>
      <c r="FJT34" s="37"/>
      <c r="FJU34" s="37"/>
      <c r="FJV34" s="37"/>
      <c r="FJW34" s="37"/>
      <c r="FJX34" s="37"/>
      <c r="FJY34" s="37"/>
      <c r="FJZ34" s="37"/>
      <c r="FKA34" s="37"/>
      <c r="FKB34" s="37"/>
      <c r="FKC34" s="37"/>
      <c r="FKD34" s="37"/>
      <c r="FKE34" s="37"/>
      <c r="FKF34" s="37"/>
      <c r="FKG34" s="37"/>
      <c r="FKH34" s="37"/>
      <c r="FKI34" s="37"/>
      <c r="FKJ34" s="37"/>
      <c r="FKK34" s="37"/>
      <c r="FKL34" s="37"/>
      <c r="FKM34" s="37"/>
      <c r="FKN34" s="37"/>
      <c r="FKO34" s="37"/>
      <c r="FKP34" s="37"/>
      <c r="FKQ34" s="37"/>
      <c r="FKR34" s="37"/>
      <c r="FKS34" s="37"/>
      <c r="FKT34" s="37"/>
      <c r="FKU34" s="37"/>
      <c r="FKV34" s="37"/>
      <c r="FKW34" s="37"/>
      <c r="FKX34" s="37"/>
      <c r="FKY34" s="37"/>
      <c r="FKZ34" s="37"/>
      <c r="FLA34" s="37"/>
      <c r="FLB34" s="37"/>
      <c r="FLC34" s="37"/>
      <c r="FLD34" s="37"/>
      <c r="FLE34" s="37"/>
      <c r="FLF34" s="37"/>
      <c r="FLG34" s="37"/>
      <c r="FLH34" s="37"/>
      <c r="FLI34" s="37"/>
      <c r="FLJ34" s="37"/>
      <c r="FLK34" s="37"/>
      <c r="FLL34" s="37"/>
      <c r="FLM34" s="37"/>
      <c r="FLN34" s="37"/>
      <c r="FLO34" s="37"/>
      <c r="FLP34" s="37"/>
      <c r="FLQ34" s="37"/>
      <c r="FLR34" s="37"/>
      <c r="FLS34" s="37"/>
      <c r="FLT34" s="37"/>
      <c r="FLU34" s="37"/>
      <c r="FLV34" s="37"/>
      <c r="FLW34" s="37"/>
      <c r="FLX34" s="37"/>
      <c r="FLY34" s="37"/>
      <c r="FLZ34" s="37"/>
      <c r="FMA34" s="37"/>
      <c r="FMB34" s="37"/>
      <c r="FMC34" s="37"/>
      <c r="FMD34" s="37"/>
      <c r="FME34" s="37"/>
      <c r="FMF34" s="37"/>
      <c r="FMG34" s="37"/>
      <c r="FMH34" s="37"/>
      <c r="FMI34" s="37"/>
      <c r="FMJ34" s="37"/>
      <c r="FMK34" s="37"/>
      <c r="FML34" s="37"/>
      <c r="FMM34" s="37"/>
      <c r="FMN34" s="37"/>
      <c r="FMO34" s="37"/>
      <c r="FMP34" s="37"/>
      <c r="FMQ34" s="37"/>
      <c r="FMR34" s="37"/>
      <c r="FMS34" s="37"/>
      <c r="FMT34" s="37"/>
      <c r="FMU34" s="37"/>
      <c r="FMV34" s="37"/>
      <c r="FMW34" s="37"/>
      <c r="FMX34" s="37"/>
      <c r="FMY34" s="37"/>
      <c r="FMZ34" s="37"/>
      <c r="FNA34" s="37"/>
      <c r="FNB34" s="37"/>
      <c r="FNC34" s="37"/>
      <c r="FND34" s="37"/>
      <c r="FNE34" s="37"/>
      <c r="FNF34" s="37"/>
      <c r="FNG34" s="37"/>
      <c r="FNH34" s="37"/>
      <c r="FNI34" s="37"/>
      <c r="FNJ34" s="37"/>
      <c r="FNK34" s="37"/>
      <c r="FNL34" s="37"/>
      <c r="FNM34" s="37"/>
      <c r="FNN34" s="37"/>
      <c r="FNO34" s="37"/>
      <c r="FNP34" s="37"/>
      <c r="FNQ34" s="37"/>
      <c r="FNR34" s="37"/>
      <c r="FNS34" s="37"/>
      <c r="FNT34" s="37"/>
      <c r="FNU34" s="37"/>
      <c r="FNV34" s="37"/>
      <c r="FNW34" s="37"/>
      <c r="FNX34" s="37"/>
      <c r="FNY34" s="37"/>
      <c r="FNZ34" s="37"/>
      <c r="FOA34" s="37"/>
      <c r="FOB34" s="37"/>
      <c r="FOC34" s="37"/>
      <c r="FOD34" s="37"/>
      <c r="FOE34" s="37"/>
      <c r="FOF34" s="37"/>
      <c r="FOG34" s="37"/>
      <c r="FOH34" s="37"/>
      <c r="FOI34" s="37"/>
      <c r="FOJ34" s="37"/>
      <c r="FOK34" s="37"/>
      <c r="FOL34" s="37"/>
      <c r="FOM34" s="37"/>
      <c r="FON34" s="37"/>
      <c r="FOO34" s="37"/>
      <c r="FOP34" s="37"/>
      <c r="FOQ34" s="37"/>
      <c r="FOR34" s="37"/>
      <c r="FOS34" s="37"/>
      <c r="FOT34" s="37"/>
      <c r="FOU34" s="37"/>
      <c r="FOV34" s="37"/>
      <c r="FOW34" s="37"/>
      <c r="FOX34" s="37"/>
      <c r="FOY34" s="37"/>
      <c r="FOZ34" s="37"/>
      <c r="FPA34" s="37"/>
      <c r="FPB34" s="37"/>
      <c r="FPC34" s="37"/>
      <c r="FPD34" s="37"/>
      <c r="FPE34" s="37"/>
      <c r="FPF34" s="37"/>
      <c r="FPG34" s="37"/>
      <c r="FPH34" s="37"/>
      <c r="FPI34" s="37"/>
      <c r="FPJ34" s="37"/>
      <c r="FPK34" s="37"/>
      <c r="FPL34" s="37"/>
      <c r="FPM34" s="37"/>
      <c r="FPN34" s="37"/>
      <c r="FPO34" s="37"/>
      <c r="FPP34" s="37"/>
      <c r="FPQ34" s="37"/>
      <c r="FPR34" s="37"/>
      <c r="FPS34" s="37"/>
      <c r="FPT34" s="37"/>
      <c r="FPU34" s="37"/>
      <c r="FPV34" s="37"/>
      <c r="FPW34" s="37"/>
      <c r="FPX34" s="37"/>
      <c r="FPY34" s="37"/>
      <c r="FPZ34" s="37"/>
      <c r="FQA34" s="37"/>
      <c r="FQB34" s="37"/>
      <c r="FQC34" s="37"/>
      <c r="FQD34" s="37"/>
      <c r="FQE34" s="37"/>
      <c r="FQF34" s="37"/>
      <c r="FQG34" s="37"/>
      <c r="FQH34" s="37"/>
      <c r="FQI34" s="37"/>
      <c r="FQJ34" s="37"/>
      <c r="FQK34" s="37"/>
      <c r="FQL34" s="37"/>
      <c r="FQM34" s="37"/>
      <c r="FQN34" s="37"/>
      <c r="FQO34" s="37"/>
      <c r="FQP34" s="37"/>
      <c r="FQQ34" s="37"/>
      <c r="FQR34" s="37"/>
      <c r="FQS34" s="37"/>
      <c r="FQT34" s="37"/>
      <c r="FQU34" s="37"/>
      <c r="FQV34" s="37"/>
      <c r="FQW34" s="37"/>
      <c r="FQX34" s="37"/>
      <c r="FQY34" s="37"/>
      <c r="FQZ34" s="37"/>
      <c r="FRA34" s="37"/>
      <c r="FRB34" s="37"/>
      <c r="FRC34" s="37"/>
      <c r="FRD34" s="37"/>
      <c r="FRE34" s="37"/>
      <c r="FRF34" s="37"/>
      <c r="FRG34" s="37"/>
      <c r="FRH34" s="37"/>
      <c r="FRI34" s="37"/>
      <c r="FRJ34" s="37"/>
      <c r="FRK34" s="37"/>
      <c r="FRL34" s="37"/>
      <c r="FRM34" s="37"/>
      <c r="FRN34" s="37"/>
      <c r="FRO34" s="37"/>
      <c r="FRP34" s="37"/>
      <c r="FRQ34" s="37"/>
      <c r="FRR34" s="37"/>
      <c r="FRS34" s="37"/>
      <c r="FRT34" s="37"/>
      <c r="FRU34" s="37"/>
      <c r="FRV34" s="37"/>
      <c r="FRW34" s="37"/>
      <c r="FRX34" s="37"/>
      <c r="FRY34" s="37"/>
      <c r="FRZ34" s="37"/>
      <c r="FSA34" s="37"/>
      <c r="FSB34" s="37"/>
      <c r="FSC34" s="37"/>
      <c r="FSD34" s="37"/>
      <c r="FSE34" s="37"/>
      <c r="FSF34" s="37"/>
      <c r="FSG34" s="37"/>
      <c r="FSH34" s="37"/>
      <c r="FSI34" s="37"/>
      <c r="FSJ34" s="37"/>
      <c r="FSK34" s="37"/>
      <c r="FSL34" s="37"/>
      <c r="FSM34" s="37"/>
      <c r="FSN34" s="37"/>
      <c r="FSO34" s="37"/>
      <c r="FSP34" s="37"/>
      <c r="FSQ34" s="37"/>
      <c r="FSR34" s="37"/>
      <c r="FSS34" s="37"/>
      <c r="FST34" s="37"/>
      <c r="FSU34" s="37"/>
      <c r="FSV34" s="37"/>
      <c r="FSW34" s="37"/>
      <c r="FSX34" s="37"/>
      <c r="FSY34" s="37"/>
      <c r="FSZ34" s="37"/>
      <c r="FTA34" s="37"/>
      <c r="FTB34" s="37"/>
      <c r="FTC34" s="37"/>
      <c r="FTD34" s="37"/>
      <c r="FTE34" s="37"/>
      <c r="FTF34" s="37"/>
      <c r="FTG34" s="37"/>
      <c r="FTH34" s="37"/>
      <c r="FTI34" s="37"/>
      <c r="FTJ34" s="37"/>
      <c r="FTK34" s="37"/>
      <c r="FTL34" s="37"/>
      <c r="FTM34" s="37"/>
      <c r="FTN34" s="37"/>
      <c r="FTO34" s="37"/>
      <c r="FTP34" s="37"/>
      <c r="FTQ34" s="37"/>
      <c r="FTR34" s="37"/>
      <c r="FTS34" s="37"/>
      <c r="FTT34" s="37"/>
      <c r="FTU34" s="37"/>
      <c r="FTV34" s="37"/>
      <c r="FTW34" s="37"/>
      <c r="FTX34" s="37"/>
      <c r="FTY34" s="37"/>
      <c r="FTZ34" s="37"/>
      <c r="FUA34" s="37"/>
      <c r="FUB34" s="37"/>
      <c r="FUC34" s="37"/>
      <c r="FUD34" s="37"/>
      <c r="FUE34" s="37"/>
      <c r="FUF34" s="37"/>
      <c r="FUG34" s="37"/>
      <c r="FUH34" s="37"/>
      <c r="FUI34" s="37"/>
      <c r="FUJ34" s="37"/>
      <c r="FUK34" s="37"/>
      <c r="FUL34" s="37"/>
      <c r="FUM34" s="37"/>
      <c r="FUN34" s="37"/>
      <c r="FUO34" s="37"/>
      <c r="FUP34" s="37"/>
      <c r="FUQ34" s="37"/>
      <c r="FUR34" s="37"/>
      <c r="FUS34" s="37"/>
      <c r="FUT34" s="37"/>
      <c r="FUU34" s="37"/>
      <c r="FUV34" s="37"/>
      <c r="FUW34" s="37"/>
      <c r="FUX34" s="37"/>
      <c r="FUY34" s="37"/>
      <c r="FUZ34" s="37"/>
      <c r="FVA34" s="37"/>
      <c r="FVB34" s="37"/>
      <c r="FVC34" s="37"/>
      <c r="FVD34" s="37"/>
      <c r="FVE34" s="37"/>
      <c r="FVF34" s="37"/>
      <c r="FVG34" s="37"/>
      <c r="FVH34" s="37"/>
      <c r="FVI34" s="37"/>
      <c r="FVJ34" s="37"/>
      <c r="FVK34" s="37"/>
      <c r="FVL34" s="37"/>
      <c r="FVM34" s="37"/>
      <c r="FVN34" s="37"/>
      <c r="FVO34" s="37"/>
      <c r="FVP34" s="37"/>
      <c r="FVQ34" s="37"/>
      <c r="FVR34" s="37"/>
      <c r="FVS34" s="37"/>
      <c r="FVT34" s="37"/>
      <c r="FVU34" s="37"/>
      <c r="FVV34" s="37"/>
      <c r="FVW34" s="37"/>
      <c r="FVX34" s="37"/>
      <c r="FVY34" s="37"/>
      <c r="FVZ34" s="37"/>
      <c r="FWA34" s="37"/>
      <c r="FWB34" s="37"/>
      <c r="FWC34" s="37"/>
      <c r="FWD34" s="37"/>
      <c r="FWE34" s="37"/>
      <c r="FWF34" s="37"/>
      <c r="FWG34" s="37"/>
      <c r="FWH34" s="37"/>
      <c r="FWI34" s="37"/>
      <c r="FWJ34" s="37"/>
      <c r="FWK34" s="37"/>
      <c r="FWL34" s="37"/>
      <c r="FWM34" s="37"/>
      <c r="FWN34" s="37"/>
      <c r="FWO34" s="37"/>
      <c r="FWP34" s="37"/>
      <c r="FWQ34" s="37"/>
      <c r="FWR34" s="37"/>
      <c r="FWS34" s="37"/>
      <c r="FWT34" s="37"/>
      <c r="FWU34" s="37"/>
      <c r="FWV34" s="37"/>
      <c r="FWW34" s="37"/>
      <c r="FWX34" s="37"/>
      <c r="FWY34" s="37"/>
      <c r="FWZ34" s="37"/>
      <c r="FXA34" s="37"/>
      <c r="FXB34" s="37"/>
      <c r="FXC34" s="37"/>
      <c r="FXD34" s="37"/>
      <c r="FXE34" s="37"/>
      <c r="FXF34" s="37"/>
      <c r="FXG34" s="37"/>
      <c r="FXH34" s="37"/>
      <c r="FXI34" s="37"/>
      <c r="FXJ34" s="37"/>
      <c r="FXK34" s="37"/>
      <c r="FXL34" s="37"/>
      <c r="FXM34" s="37"/>
      <c r="FXN34" s="37"/>
      <c r="FXO34" s="37"/>
      <c r="FXP34" s="37"/>
      <c r="FXQ34" s="37"/>
      <c r="FXR34" s="37"/>
      <c r="FXS34" s="37"/>
      <c r="FXT34" s="37"/>
      <c r="FXU34" s="37"/>
      <c r="FXV34" s="37"/>
      <c r="FXW34" s="37"/>
      <c r="FXX34" s="37"/>
      <c r="FXY34" s="37"/>
      <c r="FXZ34" s="37"/>
      <c r="FYA34" s="37"/>
      <c r="FYB34" s="37"/>
      <c r="FYC34" s="37"/>
      <c r="FYD34" s="37"/>
      <c r="FYE34" s="37"/>
      <c r="FYF34" s="37"/>
      <c r="FYG34" s="37"/>
      <c r="FYH34" s="37"/>
      <c r="FYI34" s="37"/>
      <c r="FYJ34" s="37"/>
      <c r="FYK34" s="37"/>
      <c r="FYL34" s="37"/>
      <c r="FYM34" s="37"/>
      <c r="FYN34" s="37"/>
      <c r="FYO34" s="37"/>
      <c r="FYP34" s="37"/>
      <c r="FYQ34" s="37"/>
      <c r="FYR34" s="37"/>
      <c r="FYS34" s="37"/>
      <c r="FYT34" s="37"/>
      <c r="FYU34" s="37"/>
      <c r="FYV34" s="37"/>
      <c r="FYW34" s="37"/>
      <c r="FYX34" s="37"/>
      <c r="FYY34" s="37"/>
      <c r="FYZ34" s="37"/>
      <c r="FZA34" s="37"/>
      <c r="FZB34" s="37"/>
      <c r="FZC34" s="37"/>
      <c r="FZD34" s="37"/>
      <c r="FZE34" s="37"/>
      <c r="FZF34" s="37"/>
      <c r="FZG34" s="37"/>
      <c r="FZH34" s="37"/>
      <c r="FZI34" s="37"/>
      <c r="FZJ34" s="37"/>
      <c r="FZK34" s="37"/>
      <c r="FZL34" s="37"/>
      <c r="FZM34" s="37"/>
      <c r="FZN34" s="37"/>
      <c r="FZO34" s="37"/>
      <c r="FZP34" s="37"/>
      <c r="FZQ34" s="37"/>
      <c r="FZR34" s="37"/>
      <c r="FZS34" s="37"/>
      <c r="FZT34" s="37"/>
      <c r="FZU34" s="37"/>
      <c r="FZV34" s="37"/>
      <c r="FZW34" s="37"/>
      <c r="FZX34" s="37"/>
      <c r="FZY34" s="37"/>
      <c r="FZZ34" s="37"/>
      <c r="GAA34" s="37"/>
      <c r="GAB34" s="37"/>
      <c r="GAC34" s="37"/>
      <c r="GAD34" s="37"/>
      <c r="GAE34" s="37"/>
      <c r="GAF34" s="37"/>
      <c r="GAG34" s="37"/>
      <c r="GAH34" s="37"/>
      <c r="GAI34" s="37"/>
      <c r="GAJ34" s="37"/>
      <c r="GAK34" s="37"/>
      <c r="GAL34" s="37"/>
      <c r="GAM34" s="37"/>
      <c r="GAN34" s="37"/>
      <c r="GAO34" s="37"/>
      <c r="GAP34" s="37"/>
      <c r="GAQ34" s="37"/>
      <c r="GAR34" s="37"/>
      <c r="GAS34" s="37"/>
      <c r="GAT34" s="37"/>
      <c r="GAU34" s="37"/>
      <c r="GAV34" s="37"/>
      <c r="GAW34" s="37"/>
      <c r="GAX34" s="37"/>
      <c r="GAY34" s="37"/>
      <c r="GAZ34" s="37"/>
      <c r="GBA34" s="37"/>
      <c r="GBB34" s="37"/>
      <c r="GBC34" s="37"/>
      <c r="GBD34" s="37"/>
      <c r="GBE34" s="37"/>
      <c r="GBF34" s="37"/>
      <c r="GBG34" s="37"/>
      <c r="GBH34" s="37"/>
      <c r="GBI34" s="37"/>
      <c r="GBJ34" s="37"/>
      <c r="GBK34" s="37"/>
      <c r="GBL34" s="37"/>
      <c r="GBM34" s="37"/>
      <c r="GBN34" s="37"/>
      <c r="GBO34" s="37"/>
      <c r="GBP34" s="37"/>
      <c r="GBQ34" s="37"/>
      <c r="GBR34" s="37"/>
      <c r="GBS34" s="37"/>
      <c r="GBT34" s="37"/>
      <c r="GBU34" s="37"/>
      <c r="GBV34" s="37"/>
      <c r="GBW34" s="37"/>
      <c r="GBX34" s="37"/>
      <c r="GBY34" s="37"/>
      <c r="GBZ34" s="37"/>
      <c r="GCA34" s="37"/>
      <c r="GCB34" s="37"/>
      <c r="GCC34" s="37"/>
      <c r="GCD34" s="37"/>
      <c r="GCE34" s="37"/>
      <c r="GCF34" s="37"/>
      <c r="GCG34" s="37"/>
      <c r="GCH34" s="37"/>
      <c r="GCI34" s="37"/>
      <c r="GCJ34" s="37"/>
      <c r="GCK34" s="37"/>
      <c r="GCL34" s="37"/>
      <c r="GCM34" s="37"/>
      <c r="GCN34" s="37"/>
      <c r="GCO34" s="37"/>
      <c r="GCP34" s="37"/>
      <c r="GCQ34" s="37"/>
      <c r="GCR34" s="37"/>
      <c r="GCS34" s="37"/>
      <c r="GCT34" s="37"/>
      <c r="GCU34" s="37"/>
      <c r="GCV34" s="37"/>
      <c r="GCW34" s="37"/>
      <c r="GCX34" s="37"/>
      <c r="GCY34" s="37"/>
      <c r="GCZ34" s="37"/>
      <c r="GDA34" s="37"/>
      <c r="GDB34" s="37"/>
      <c r="GDC34" s="37"/>
      <c r="GDD34" s="37"/>
      <c r="GDE34" s="37"/>
      <c r="GDF34" s="37"/>
      <c r="GDG34" s="37"/>
      <c r="GDH34" s="37"/>
      <c r="GDI34" s="37"/>
      <c r="GDJ34" s="37"/>
      <c r="GDK34" s="37"/>
      <c r="GDL34" s="37"/>
      <c r="GDM34" s="37"/>
      <c r="GDN34" s="37"/>
      <c r="GDO34" s="37"/>
      <c r="GDP34" s="37"/>
      <c r="GDQ34" s="37"/>
      <c r="GDR34" s="37"/>
      <c r="GDS34" s="37"/>
      <c r="GDT34" s="37"/>
      <c r="GDU34" s="37"/>
      <c r="GDV34" s="37"/>
      <c r="GDW34" s="37"/>
      <c r="GDX34" s="37"/>
      <c r="GDY34" s="37"/>
      <c r="GDZ34" s="37"/>
      <c r="GEA34" s="37"/>
      <c r="GEB34" s="37"/>
      <c r="GEC34" s="37"/>
      <c r="GED34" s="37"/>
      <c r="GEE34" s="37"/>
      <c r="GEF34" s="37"/>
      <c r="GEG34" s="37"/>
      <c r="GEH34" s="37"/>
      <c r="GEI34" s="37"/>
      <c r="GEJ34" s="37"/>
      <c r="GEK34" s="37"/>
      <c r="GEL34" s="37"/>
      <c r="GEM34" s="37"/>
      <c r="GEN34" s="37"/>
      <c r="GEO34" s="37"/>
      <c r="GEP34" s="37"/>
      <c r="GEQ34" s="37"/>
      <c r="GER34" s="37"/>
      <c r="GES34" s="37"/>
      <c r="GET34" s="37"/>
      <c r="GEU34" s="37"/>
      <c r="GEV34" s="37"/>
      <c r="GEW34" s="37"/>
      <c r="GEX34" s="37"/>
      <c r="GEY34" s="37"/>
      <c r="GEZ34" s="37"/>
      <c r="GFA34" s="37"/>
      <c r="GFB34" s="37"/>
      <c r="GFC34" s="37"/>
      <c r="GFD34" s="37"/>
      <c r="GFE34" s="37"/>
      <c r="GFF34" s="37"/>
      <c r="GFG34" s="37"/>
      <c r="GFH34" s="37"/>
      <c r="GFI34" s="37"/>
      <c r="GFJ34" s="37"/>
      <c r="GFK34" s="37"/>
      <c r="GFL34" s="37"/>
      <c r="GFM34" s="37"/>
      <c r="GFN34" s="37"/>
      <c r="GFO34" s="37"/>
      <c r="GFP34" s="37"/>
      <c r="GFQ34" s="37"/>
      <c r="GFR34" s="37"/>
      <c r="GFS34" s="37"/>
      <c r="GFT34" s="37"/>
      <c r="GFU34" s="37"/>
      <c r="GFV34" s="37"/>
      <c r="GFW34" s="37"/>
      <c r="GFX34" s="37"/>
      <c r="GFY34" s="37"/>
      <c r="GFZ34" s="37"/>
      <c r="GGA34" s="37"/>
      <c r="GGB34" s="37"/>
      <c r="GGC34" s="37"/>
      <c r="GGD34" s="37"/>
      <c r="GGE34" s="37"/>
      <c r="GGF34" s="37"/>
      <c r="GGG34" s="37"/>
      <c r="GGH34" s="37"/>
      <c r="GGI34" s="37"/>
      <c r="GGJ34" s="37"/>
      <c r="GGK34" s="37"/>
      <c r="GGL34" s="37"/>
      <c r="GGM34" s="37"/>
      <c r="GGN34" s="37"/>
      <c r="GGO34" s="37"/>
      <c r="GGP34" s="37"/>
      <c r="GGQ34" s="37"/>
      <c r="GGR34" s="37"/>
      <c r="GGS34" s="37"/>
      <c r="GGT34" s="37"/>
      <c r="GGU34" s="37"/>
      <c r="GGV34" s="37"/>
      <c r="GGW34" s="37"/>
      <c r="GGX34" s="37"/>
      <c r="GGY34" s="37"/>
      <c r="GGZ34" s="37"/>
      <c r="GHA34" s="37"/>
      <c r="GHB34" s="37"/>
      <c r="GHC34" s="37"/>
      <c r="GHD34" s="37"/>
      <c r="GHE34" s="37"/>
      <c r="GHF34" s="37"/>
      <c r="GHG34" s="37"/>
      <c r="GHH34" s="37"/>
      <c r="GHI34" s="37"/>
      <c r="GHJ34" s="37"/>
      <c r="GHK34" s="37"/>
      <c r="GHL34" s="37"/>
      <c r="GHM34" s="37"/>
      <c r="GHN34" s="37"/>
      <c r="GHO34" s="37"/>
      <c r="GHP34" s="37"/>
      <c r="GHQ34" s="37"/>
      <c r="GHR34" s="37"/>
      <c r="GHS34" s="37"/>
      <c r="GHT34" s="37"/>
      <c r="GHU34" s="37"/>
      <c r="GHV34" s="37"/>
      <c r="GHW34" s="37"/>
      <c r="GHX34" s="37"/>
      <c r="GHY34" s="37"/>
      <c r="GHZ34" s="37"/>
      <c r="GIA34" s="37"/>
      <c r="GIB34" s="37"/>
      <c r="GIC34" s="37"/>
      <c r="GID34" s="37"/>
      <c r="GIE34" s="37"/>
      <c r="GIF34" s="37"/>
      <c r="GIG34" s="37"/>
      <c r="GIH34" s="37"/>
      <c r="GII34" s="37"/>
      <c r="GIJ34" s="37"/>
      <c r="GIK34" s="37"/>
      <c r="GIL34" s="37"/>
      <c r="GIM34" s="37"/>
      <c r="GIN34" s="37"/>
      <c r="GIO34" s="37"/>
      <c r="GIP34" s="37"/>
      <c r="GIQ34" s="37"/>
      <c r="GIR34" s="37"/>
      <c r="GIS34" s="37"/>
      <c r="GIT34" s="37"/>
      <c r="GIU34" s="37"/>
      <c r="GIV34" s="37"/>
      <c r="GIW34" s="37"/>
      <c r="GIX34" s="37"/>
      <c r="GIY34" s="37"/>
      <c r="GIZ34" s="37"/>
      <c r="GJA34" s="37"/>
      <c r="GJB34" s="37"/>
      <c r="GJC34" s="37"/>
      <c r="GJD34" s="37"/>
      <c r="GJE34" s="37"/>
      <c r="GJF34" s="37"/>
      <c r="GJG34" s="37"/>
      <c r="GJH34" s="37"/>
      <c r="GJI34" s="37"/>
      <c r="GJJ34" s="37"/>
      <c r="GJK34" s="37"/>
      <c r="GJL34" s="37"/>
      <c r="GJM34" s="37"/>
      <c r="GJN34" s="37"/>
      <c r="GJO34" s="37"/>
      <c r="GJP34" s="37"/>
      <c r="GJQ34" s="37"/>
      <c r="GJR34" s="37"/>
      <c r="GJS34" s="37"/>
      <c r="GJT34" s="37"/>
      <c r="GJU34" s="37"/>
      <c r="GJV34" s="37"/>
      <c r="GJW34" s="37"/>
      <c r="GJX34" s="37"/>
      <c r="GJY34" s="37"/>
      <c r="GJZ34" s="37"/>
      <c r="GKA34" s="37"/>
      <c r="GKB34" s="37"/>
      <c r="GKC34" s="37"/>
      <c r="GKD34" s="37"/>
      <c r="GKE34" s="37"/>
      <c r="GKF34" s="37"/>
      <c r="GKG34" s="37"/>
      <c r="GKH34" s="37"/>
      <c r="GKI34" s="37"/>
      <c r="GKJ34" s="37"/>
      <c r="GKK34" s="37"/>
      <c r="GKL34" s="37"/>
      <c r="GKM34" s="37"/>
      <c r="GKN34" s="37"/>
      <c r="GKO34" s="37"/>
      <c r="GKP34" s="37"/>
      <c r="GKQ34" s="37"/>
      <c r="GKR34" s="37"/>
      <c r="GKS34" s="37"/>
      <c r="GKT34" s="37"/>
      <c r="GKU34" s="37"/>
      <c r="GKV34" s="37"/>
      <c r="GKW34" s="37"/>
      <c r="GKX34" s="37"/>
      <c r="GKY34" s="37"/>
      <c r="GKZ34" s="37"/>
      <c r="GLA34" s="37"/>
      <c r="GLB34" s="37"/>
      <c r="GLC34" s="37"/>
      <c r="GLD34" s="37"/>
      <c r="GLE34" s="37"/>
      <c r="GLF34" s="37"/>
      <c r="GLG34" s="37"/>
      <c r="GLH34" s="37"/>
      <c r="GLI34" s="37"/>
      <c r="GLJ34" s="37"/>
      <c r="GLK34" s="37"/>
      <c r="GLL34" s="37"/>
      <c r="GLM34" s="37"/>
      <c r="GLN34" s="37"/>
      <c r="GLO34" s="37"/>
      <c r="GLP34" s="37"/>
      <c r="GLQ34" s="37"/>
      <c r="GLR34" s="37"/>
      <c r="GLS34" s="37"/>
      <c r="GLT34" s="37"/>
      <c r="GLU34" s="37"/>
      <c r="GLV34" s="37"/>
      <c r="GLW34" s="37"/>
      <c r="GLX34" s="37"/>
      <c r="GLY34" s="37"/>
      <c r="GLZ34" s="37"/>
      <c r="GMA34" s="37"/>
      <c r="GMB34" s="37"/>
      <c r="GMC34" s="37"/>
      <c r="GMD34" s="37"/>
      <c r="GME34" s="37"/>
      <c r="GMF34" s="37"/>
      <c r="GMG34" s="37"/>
      <c r="GMH34" s="37"/>
      <c r="GMI34" s="37"/>
      <c r="GMJ34" s="37"/>
      <c r="GMK34" s="37"/>
      <c r="GML34" s="37"/>
      <c r="GMM34" s="37"/>
      <c r="GMN34" s="37"/>
      <c r="GMO34" s="37"/>
      <c r="GMP34" s="37"/>
      <c r="GMQ34" s="37"/>
      <c r="GMR34" s="37"/>
      <c r="GMS34" s="37"/>
      <c r="GMT34" s="37"/>
      <c r="GMU34" s="37"/>
      <c r="GMV34" s="37"/>
      <c r="GMW34" s="37"/>
      <c r="GMX34" s="37"/>
      <c r="GMY34" s="37"/>
      <c r="GMZ34" s="37"/>
      <c r="GNA34" s="37"/>
      <c r="GNB34" s="37"/>
      <c r="GNC34" s="37"/>
      <c r="GND34" s="37"/>
      <c r="GNE34" s="37"/>
      <c r="GNF34" s="37"/>
      <c r="GNG34" s="37"/>
      <c r="GNH34" s="37"/>
      <c r="GNI34" s="37"/>
      <c r="GNJ34" s="37"/>
      <c r="GNK34" s="37"/>
      <c r="GNL34" s="37"/>
      <c r="GNM34" s="37"/>
      <c r="GNN34" s="37"/>
      <c r="GNO34" s="37"/>
      <c r="GNP34" s="37"/>
      <c r="GNQ34" s="37"/>
      <c r="GNR34" s="37"/>
      <c r="GNS34" s="37"/>
      <c r="GNT34" s="37"/>
      <c r="GNU34" s="37"/>
      <c r="GNV34" s="37"/>
      <c r="GNW34" s="37"/>
      <c r="GNX34" s="37"/>
      <c r="GNY34" s="37"/>
      <c r="GNZ34" s="37"/>
      <c r="GOA34" s="37"/>
      <c r="GOB34" s="37"/>
      <c r="GOC34" s="37"/>
      <c r="GOD34" s="37"/>
      <c r="GOE34" s="37"/>
      <c r="GOF34" s="37"/>
      <c r="GOG34" s="37"/>
      <c r="GOH34" s="37"/>
      <c r="GOI34" s="37"/>
      <c r="GOJ34" s="37"/>
      <c r="GOK34" s="37"/>
      <c r="GOL34" s="37"/>
      <c r="GOM34" s="37"/>
      <c r="GON34" s="37"/>
      <c r="GOO34" s="37"/>
      <c r="GOP34" s="37"/>
      <c r="GOQ34" s="37"/>
      <c r="GOR34" s="37"/>
      <c r="GOS34" s="37"/>
      <c r="GOT34" s="37"/>
      <c r="GOU34" s="37"/>
      <c r="GOV34" s="37"/>
      <c r="GOW34" s="37"/>
      <c r="GOX34" s="37"/>
      <c r="GOY34" s="37"/>
      <c r="GOZ34" s="37"/>
      <c r="GPA34" s="37"/>
      <c r="GPB34" s="37"/>
      <c r="GPC34" s="37"/>
      <c r="GPD34" s="37"/>
      <c r="GPE34" s="37"/>
      <c r="GPF34" s="37"/>
      <c r="GPG34" s="37"/>
      <c r="GPH34" s="37"/>
      <c r="GPI34" s="37"/>
      <c r="GPJ34" s="37"/>
      <c r="GPK34" s="37"/>
      <c r="GPL34" s="37"/>
      <c r="GPM34" s="37"/>
      <c r="GPN34" s="37"/>
      <c r="GPO34" s="37"/>
      <c r="GPP34" s="37"/>
      <c r="GPQ34" s="37"/>
      <c r="GPR34" s="37"/>
      <c r="GPS34" s="37"/>
      <c r="GPT34" s="37"/>
      <c r="GPU34" s="37"/>
      <c r="GPV34" s="37"/>
      <c r="GPW34" s="37"/>
      <c r="GPX34" s="37"/>
      <c r="GPY34" s="37"/>
      <c r="GPZ34" s="37"/>
      <c r="GQA34" s="37"/>
      <c r="GQB34" s="37"/>
      <c r="GQC34" s="37"/>
      <c r="GQD34" s="37"/>
      <c r="GQE34" s="37"/>
      <c r="GQF34" s="37"/>
      <c r="GQG34" s="37"/>
      <c r="GQH34" s="37"/>
      <c r="GQI34" s="37"/>
      <c r="GQJ34" s="37"/>
      <c r="GQK34" s="37"/>
      <c r="GQL34" s="37"/>
      <c r="GQM34" s="37"/>
      <c r="GQN34" s="37"/>
      <c r="GQO34" s="37"/>
      <c r="GQP34" s="37"/>
      <c r="GQQ34" s="37"/>
      <c r="GQR34" s="37"/>
      <c r="GQS34" s="37"/>
      <c r="GQT34" s="37"/>
      <c r="GQU34" s="37"/>
      <c r="GQV34" s="37"/>
      <c r="GQW34" s="37"/>
      <c r="GQX34" s="37"/>
      <c r="GQY34" s="37"/>
      <c r="GQZ34" s="37"/>
      <c r="GRA34" s="37"/>
      <c r="GRB34" s="37"/>
      <c r="GRC34" s="37"/>
      <c r="GRD34" s="37"/>
      <c r="GRE34" s="37"/>
      <c r="GRF34" s="37"/>
      <c r="GRG34" s="37"/>
      <c r="GRH34" s="37"/>
      <c r="GRI34" s="37"/>
      <c r="GRJ34" s="37"/>
      <c r="GRK34" s="37"/>
      <c r="GRL34" s="37"/>
      <c r="GRM34" s="37"/>
      <c r="GRN34" s="37"/>
      <c r="GRO34" s="37"/>
      <c r="GRP34" s="37"/>
      <c r="GRQ34" s="37"/>
      <c r="GRR34" s="37"/>
      <c r="GRS34" s="37"/>
      <c r="GRT34" s="37"/>
      <c r="GRU34" s="37"/>
      <c r="GRV34" s="37"/>
      <c r="GRW34" s="37"/>
      <c r="GRX34" s="37"/>
      <c r="GRY34" s="37"/>
      <c r="GRZ34" s="37"/>
      <c r="GSA34" s="37"/>
      <c r="GSB34" s="37"/>
      <c r="GSC34" s="37"/>
      <c r="GSD34" s="37"/>
      <c r="GSE34" s="37"/>
      <c r="GSF34" s="37"/>
      <c r="GSG34" s="37"/>
      <c r="GSH34" s="37"/>
      <c r="GSI34" s="37"/>
      <c r="GSJ34" s="37"/>
      <c r="GSK34" s="37"/>
      <c r="GSL34" s="37"/>
      <c r="GSM34" s="37"/>
      <c r="GSN34" s="37"/>
      <c r="GSO34" s="37"/>
      <c r="GSP34" s="37"/>
      <c r="GSQ34" s="37"/>
      <c r="GSR34" s="37"/>
      <c r="GSS34" s="37"/>
      <c r="GST34" s="37"/>
      <c r="GSU34" s="37"/>
      <c r="GSV34" s="37"/>
      <c r="GSW34" s="37"/>
      <c r="GSX34" s="37"/>
      <c r="GSY34" s="37"/>
      <c r="GSZ34" s="37"/>
      <c r="GTA34" s="37"/>
      <c r="GTB34" s="37"/>
      <c r="GTC34" s="37"/>
      <c r="GTD34" s="37"/>
      <c r="GTE34" s="37"/>
      <c r="GTF34" s="37"/>
      <c r="GTG34" s="37"/>
      <c r="GTH34" s="37"/>
      <c r="GTI34" s="37"/>
      <c r="GTJ34" s="37"/>
      <c r="GTK34" s="37"/>
      <c r="GTL34" s="37"/>
      <c r="GTM34" s="37"/>
      <c r="GTN34" s="37"/>
      <c r="GTO34" s="37"/>
      <c r="GTP34" s="37"/>
      <c r="GTQ34" s="37"/>
      <c r="GTR34" s="37"/>
      <c r="GTS34" s="37"/>
      <c r="GTT34" s="37"/>
      <c r="GTU34" s="37"/>
      <c r="GTV34" s="37"/>
      <c r="GTW34" s="37"/>
      <c r="GTX34" s="37"/>
      <c r="GTY34" s="37"/>
      <c r="GTZ34" s="37"/>
      <c r="GUA34" s="37"/>
      <c r="GUB34" s="37"/>
      <c r="GUC34" s="37"/>
      <c r="GUD34" s="37"/>
      <c r="GUE34" s="37"/>
      <c r="GUF34" s="37"/>
      <c r="GUG34" s="37"/>
      <c r="GUH34" s="37"/>
      <c r="GUI34" s="37"/>
      <c r="GUJ34" s="37"/>
      <c r="GUK34" s="37"/>
      <c r="GUL34" s="37"/>
      <c r="GUM34" s="37"/>
      <c r="GUN34" s="37"/>
      <c r="GUO34" s="37"/>
      <c r="GUP34" s="37"/>
      <c r="GUQ34" s="37"/>
      <c r="GUR34" s="37"/>
      <c r="GUS34" s="37"/>
      <c r="GUT34" s="37"/>
      <c r="GUU34" s="37"/>
      <c r="GUV34" s="37"/>
      <c r="GUW34" s="37"/>
      <c r="GUX34" s="37"/>
      <c r="GUY34" s="37"/>
      <c r="GUZ34" s="37"/>
      <c r="GVA34" s="37"/>
      <c r="GVB34" s="37"/>
      <c r="GVC34" s="37"/>
      <c r="GVD34" s="37"/>
      <c r="GVE34" s="37"/>
      <c r="GVF34" s="37"/>
      <c r="GVG34" s="37"/>
      <c r="GVH34" s="37"/>
      <c r="GVI34" s="37"/>
      <c r="GVJ34" s="37"/>
      <c r="GVK34" s="37"/>
      <c r="GVL34" s="37"/>
      <c r="GVM34" s="37"/>
      <c r="GVN34" s="37"/>
      <c r="GVO34" s="37"/>
      <c r="GVP34" s="37"/>
      <c r="GVQ34" s="37"/>
      <c r="GVR34" s="37"/>
      <c r="GVS34" s="37"/>
      <c r="GVT34" s="37"/>
      <c r="GVU34" s="37"/>
      <c r="GVV34" s="37"/>
      <c r="GVW34" s="37"/>
      <c r="GVX34" s="37"/>
      <c r="GVY34" s="37"/>
      <c r="GVZ34" s="37"/>
      <c r="GWA34" s="37"/>
      <c r="GWB34" s="37"/>
      <c r="GWC34" s="37"/>
      <c r="GWD34" s="37"/>
      <c r="GWE34" s="37"/>
      <c r="GWF34" s="37"/>
      <c r="GWG34" s="37"/>
      <c r="GWH34" s="37"/>
      <c r="GWI34" s="37"/>
      <c r="GWJ34" s="37"/>
      <c r="GWK34" s="37"/>
      <c r="GWL34" s="37"/>
      <c r="GWM34" s="37"/>
      <c r="GWN34" s="37"/>
      <c r="GWO34" s="37"/>
      <c r="GWP34" s="37"/>
      <c r="GWQ34" s="37"/>
      <c r="GWR34" s="37"/>
      <c r="GWS34" s="37"/>
      <c r="GWT34" s="37"/>
      <c r="GWU34" s="37"/>
      <c r="GWV34" s="37"/>
      <c r="GWW34" s="37"/>
      <c r="GWX34" s="37"/>
      <c r="GWY34" s="37"/>
      <c r="GWZ34" s="37"/>
      <c r="GXA34" s="37"/>
      <c r="GXB34" s="37"/>
      <c r="GXC34" s="37"/>
      <c r="GXD34" s="37"/>
      <c r="GXE34" s="37"/>
      <c r="GXF34" s="37"/>
      <c r="GXG34" s="37"/>
      <c r="GXH34" s="37"/>
      <c r="GXI34" s="37"/>
      <c r="GXJ34" s="37"/>
      <c r="GXK34" s="37"/>
      <c r="GXL34" s="37"/>
      <c r="GXM34" s="37"/>
      <c r="GXN34" s="37"/>
      <c r="GXO34" s="37"/>
      <c r="GXP34" s="37"/>
      <c r="GXQ34" s="37"/>
      <c r="GXR34" s="37"/>
      <c r="GXS34" s="37"/>
      <c r="GXT34" s="37"/>
      <c r="GXU34" s="37"/>
      <c r="GXV34" s="37"/>
      <c r="GXW34" s="37"/>
      <c r="GXX34" s="37"/>
      <c r="GXY34" s="37"/>
      <c r="GXZ34" s="37"/>
      <c r="GYA34" s="37"/>
      <c r="GYB34" s="37"/>
      <c r="GYC34" s="37"/>
      <c r="GYD34" s="37"/>
      <c r="GYE34" s="37"/>
      <c r="GYF34" s="37"/>
      <c r="GYG34" s="37"/>
      <c r="GYH34" s="37"/>
      <c r="GYI34" s="37"/>
      <c r="GYJ34" s="37"/>
      <c r="GYK34" s="37"/>
      <c r="GYL34" s="37"/>
      <c r="GYM34" s="37"/>
      <c r="GYN34" s="37"/>
      <c r="GYO34" s="37"/>
      <c r="GYP34" s="37"/>
      <c r="GYQ34" s="37"/>
      <c r="GYR34" s="37"/>
      <c r="GYS34" s="37"/>
      <c r="GYT34" s="37"/>
      <c r="GYU34" s="37"/>
      <c r="GYV34" s="37"/>
      <c r="GYW34" s="37"/>
      <c r="GYX34" s="37"/>
      <c r="GYY34" s="37"/>
      <c r="GYZ34" s="37"/>
      <c r="GZA34" s="37"/>
      <c r="GZB34" s="37"/>
      <c r="GZC34" s="37"/>
      <c r="GZD34" s="37"/>
      <c r="GZE34" s="37"/>
      <c r="GZF34" s="37"/>
      <c r="GZG34" s="37"/>
      <c r="GZH34" s="37"/>
      <c r="GZI34" s="37"/>
      <c r="GZJ34" s="37"/>
      <c r="GZK34" s="37"/>
      <c r="GZL34" s="37"/>
      <c r="GZM34" s="37"/>
      <c r="GZN34" s="37"/>
      <c r="GZO34" s="37"/>
      <c r="GZP34" s="37"/>
      <c r="GZQ34" s="37"/>
      <c r="GZR34" s="37"/>
      <c r="GZS34" s="37"/>
      <c r="GZT34" s="37"/>
      <c r="GZU34" s="37"/>
      <c r="GZV34" s="37"/>
      <c r="GZW34" s="37"/>
      <c r="GZX34" s="37"/>
      <c r="GZY34" s="37"/>
      <c r="GZZ34" s="37"/>
      <c r="HAA34" s="37"/>
      <c r="HAB34" s="37"/>
      <c r="HAC34" s="37"/>
      <c r="HAD34" s="37"/>
      <c r="HAE34" s="37"/>
      <c r="HAF34" s="37"/>
      <c r="HAG34" s="37"/>
      <c r="HAH34" s="37"/>
      <c r="HAI34" s="37"/>
      <c r="HAJ34" s="37"/>
      <c r="HAK34" s="37"/>
      <c r="HAL34" s="37"/>
      <c r="HAM34" s="37"/>
      <c r="HAN34" s="37"/>
      <c r="HAO34" s="37"/>
      <c r="HAP34" s="37"/>
      <c r="HAQ34" s="37"/>
      <c r="HAR34" s="37"/>
      <c r="HAS34" s="37"/>
      <c r="HAT34" s="37"/>
      <c r="HAU34" s="37"/>
      <c r="HAV34" s="37"/>
      <c r="HAW34" s="37"/>
      <c r="HAX34" s="37"/>
      <c r="HAY34" s="37"/>
      <c r="HAZ34" s="37"/>
      <c r="HBA34" s="37"/>
      <c r="HBB34" s="37"/>
      <c r="HBC34" s="37"/>
      <c r="HBD34" s="37"/>
      <c r="HBE34" s="37"/>
      <c r="HBF34" s="37"/>
      <c r="HBG34" s="37"/>
      <c r="HBH34" s="37"/>
      <c r="HBI34" s="37"/>
      <c r="HBJ34" s="37"/>
      <c r="HBK34" s="37"/>
      <c r="HBL34" s="37"/>
      <c r="HBM34" s="37"/>
      <c r="HBN34" s="37"/>
      <c r="HBO34" s="37"/>
      <c r="HBP34" s="37"/>
      <c r="HBQ34" s="37"/>
      <c r="HBR34" s="37"/>
      <c r="HBS34" s="37"/>
      <c r="HBT34" s="37"/>
      <c r="HBU34" s="37"/>
      <c r="HBV34" s="37"/>
      <c r="HBW34" s="37"/>
      <c r="HBX34" s="37"/>
      <c r="HBY34" s="37"/>
      <c r="HBZ34" s="37"/>
      <c r="HCA34" s="37"/>
      <c r="HCB34" s="37"/>
      <c r="HCC34" s="37"/>
      <c r="HCD34" s="37"/>
      <c r="HCE34" s="37"/>
      <c r="HCF34" s="37"/>
      <c r="HCG34" s="37"/>
      <c r="HCH34" s="37"/>
      <c r="HCI34" s="37"/>
      <c r="HCJ34" s="37"/>
      <c r="HCK34" s="37"/>
      <c r="HCL34" s="37"/>
      <c r="HCM34" s="37"/>
      <c r="HCN34" s="37"/>
      <c r="HCO34" s="37"/>
      <c r="HCP34" s="37"/>
      <c r="HCQ34" s="37"/>
      <c r="HCR34" s="37"/>
      <c r="HCS34" s="37"/>
      <c r="HCT34" s="37"/>
      <c r="HCU34" s="37"/>
      <c r="HCV34" s="37"/>
      <c r="HCW34" s="37"/>
      <c r="HCX34" s="37"/>
      <c r="HCY34" s="37"/>
      <c r="HCZ34" s="37"/>
      <c r="HDA34" s="37"/>
      <c r="HDB34" s="37"/>
      <c r="HDC34" s="37"/>
      <c r="HDD34" s="37"/>
      <c r="HDE34" s="37"/>
      <c r="HDF34" s="37"/>
      <c r="HDG34" s="37"/>
      <c r="HDH34" s="37"/>
      <c r="HDI34" s="37"/>
      <c r="HDJ34" s="37"/>
      <c r="HDK34" s="37"/>
      <c r="HDL34" s="37"/>
      <c r="HDM34" s="37"/>
      <c r="HDN34" s="37"/>
      <c r="HDO34" s="37"/>
      <c r="HDP34" s="37"/>
      <c r="HDQ34" s="37"/>
      <c r="HDR34" s="37"/>
      <c r="HDS34" s="37"/>
      <c r="HDT34" s="37"/>
      <c r="HDU34" s="37"/>
      <c r="HDV34" s="37"/>
      <c r="HDW34" s="37"/>
      <c r="HDX34" s="37"/>
      <c r="HDY34" s="37"/>
      <c r="HDZ34" s="37"/>
      <c r="HEA34" s="37"/>
      <c r="HEB34" s="37"/>
      <c r="HEC34" s="37"/>
      <c r="HED34" s="37"/>
      <c r="HEE34" s="37"/>
      <c r="HEF34" s="37"/>
      <c r="HEG34" s="37"/>
      <c r="HEH34" s="37"/>
      <c r="HEI34" s="37"/>
      <c r="HEJ34" s="37"/>
      <c r="HEK34" s="37"/>
      <c r="HEL34" s="37"/>
      <c r="HEM34" s="37"/>
      <c r="HEN34" s="37"/>
      <c r="HEO34" s="37"/>
      <c r="HEP34" s="37"/>
      <c r="HEQ34" s="37"/>
      <c r="HER34" s="37"/>
      <c r="HES34" s="37"/>
      <c r="HET34" s="37"/>
      <c r="HEU34" s="37"/>
      <c r="HEV34" s="37"/>
      <c r="HEW34" s="37"/>
      <c r="HEX34" s="37"/>
      <c r="HEY34" s="37"/>
      <c r="HEZ34" s="37"/>
      <c r="HFA34" s="37"/>
      <c r="HFB34" s="37"/>
      <c r="HFC34" s="37"/>
      <c r="HFD34" s="37"/>
      <c r="HFE34" s="37"/>
      <c r="HFF34" s="37"/>
      <c r="HFG34" s="37"/>
      <c r="HFH34" s="37"/>
      <c r="HFI34" s="37"/>
      <c r="HFJ34" s="37"/>
      <c r="HFK34" s="37"/>
      <c r="HFL34" s="37"/>
      <c r="HFM34" s="37"/>
      <c r="HFN34" s="37"/>
      <c r="HFO34" s="37"/>
      <c r="HFP34" s="37"/>
      <c r="HFQ34" s="37"/>
      <c r="HFR34" s="37"/>
      <c r="HFS34" s="37"/>
      <c r="HFT34" s="37"/>
      <c r="HFU34" s="37"/>
      <c r="HFV34" s="37"/>
      <c r="HFW34" s="37"/>
      <c r="HFX34" s="37"/>
      <c r="HFY34" s="37"/>
      <c r="HFZ34" s="37"/>
      <c r="HGA34" s="37"/>
      <c r="HGB34" s="37"/>
      <c r="HGC34" s="37"/>
      <c r="HGD34" s="37"/>
      <c r="HGE34" s="37"/>
      <c r="HGF34" s="37"/>
      <c r="HGG34" s="37"/>
      <c r="HGH34" s="37"/>
      <c r="HGI34" s="37"/>
      <c r="HGJ34" s="37"/>
      <c r="HGK34" s="37"/>
      <c r="HGL34" s="37"/>
      <c r="HGM34" s="37"/>
      <c r="HGN34" s="37"/>
      <c r="HGO34" s="37"/>
      <c r="HGP34" s="37"/>
      <c r="HGQ34" s="37"/>
      <c r="HGR34" s="37"/>
      <c r="HGS34" s="37"/>
      <c r="HGT34" s="37"/>
      <c r="HGU34" s="37"/>
      <c r="HGV34" s="37"/>
      <c r="HGW34" s="37"/>
      <c r="HGX34" s="37"/>
      <c r="HGY34" s="37"/>
      <c r="HGZ34" s="37"/>
      <c r="HHA34" s="37"/>
      <c r="HHB34" s="37"/>
      <c r="HHC34" s="37"/>
      <c r="HHD34" s="37"/>
      <c r="HHE34" s="37"/>
      <c r="HHF34" s="37"/>
      <c r="HHG34" s="37"/>
      <c r="HHH34" s="37"/>
      <c r="HHI34" s="37"/>
      <c r="HHJ34" s="37"/>
      <c r="HHK34" s="37"/>
      <c r="HHL34" s="37"/>
      <c r="HHM34" s="37"/>
      <c r="HHN34" s="37"/>
      <c r="HHO34" s="37"/>
      <c r="HHP34" s="37"/>
      <c r="HHQ34" s="37"/>
      <c r="HHR34" s="37"/>
      <c r="HHS34" s="37"/>
      <c r="HHT34" s="37"/>
      <c r="HHU34" s="37"/>
      <c r="HHV34" s="37"/>
      <c r="HHW34" s="37"/>
      <c r="HHX34" s="37"/>
      <c r="HHY34" s="37"/>
      <c r="HHZ34" s="37"/>
      <c r="HIA34" s="37"/>
      <c r="HIB34" s="37"/>
      <c r="HIC34" s="37"/>
      <c r="HID34" s="37"/>
      <c r="HIE34" s="37"/>
      <c r="HIF34" s="37"/>
      <c r="HIG34" s="37"/>
      <c r="HIH34" s="37"/>
      <c r="HII34" s="37"/>
      <c r="HIJ34" s="37"/>
      <c r="HIK34" s="37"/>
      <c r="HIL34" s="37"/>
      <c r="HIM34" s="37"/>
      <c r="HIN34" s="37"/>
      <c r="HIO34" s="37"/>
      <c r="HIP34" s="37"/>
      <c r="HIQ34" s="37"/>
      <c r="HIR34" s="37"/>
      <c r="HIS34" s="37"/>
      <c r="HIT34" s="37"/>
      <c r="HIU34" s="37"/>
      <c r="HIV34" s="37"/>
      <c r="HIW34" s="37"/>
      <c r="HIX34" s="37"/>
      <c r="HIY34" s="37"/>
      <c r="HIZ34" s="37"/>
      <c r="HJA34" s="37"/>
      <c r="HJB34" s="37"/>
      <c r="HJC34" s="37"/>
      <c r="HJD34" s="37"/>
      <c r="HJE34" s="37"/>
      <c r="HJF34" s="37"/>
      <c r="HJG34" s="37"/>
      <c r="HJH34" s="37"/>
      <c r="HJI34" s="37"/>
      <c r="HJJ34" s="37"/>
      <c r="HJK34" s="37"/>
      <c r="HJL34" s="37"/>
      <c r="HJM34" s="37"/>
      <c r="HJN34" s="37"/>
      <c r="HJO34" s="37"/>
      <c r="HJP34" s="37"/>
      <c r="HJQ34" s="37"/>
      <c r="HJR34" s="37"/>
      <c r="HJS34" s="37"/>
      <c r="HJT34" s="37"/>
      <c r="HJU34" s="37"/>
      <c r="HJV34" s="37"/>
      <c r="HJW34" s="37"/>
      <c r="HJX34" s="37"/>
      <c r="HJY34" s="37"/>
      <c r="HJZ34" s="37"/>
      <c r="HKA34" s="37"/>
      <c r="HKB34" s="37"/>
      <c r="HKC34" s="37"/>
      <c r="HKD34" s="37"/>
      <c r="HKE34" s="37"/>
      <c r="HKF34" s="37"/>
      <c r="HKG34" s="37"/>
      <c r="HKH34" s="37"/>
      <c r="HKI34" s="37"/>
      <c r="HKJ34" s="37"/>
      <c r="HKK34" s="37"/>
      <c r="HKL34" s="37"/>
      <c r="HKM34" s="37"/>
      <c r="HKN34" s="37"/>
      <c r="HKO34" s="37"/>
      <c r="HKP34" s="37"/>
      <c r="HKQ34" s="37"/>
      <c r="HKR34" s="37"/>
      <c r="HKS34" s="37"/>
      <c r="HKT34" s="37"/>
      <c r="HKU34" s="37"/>
      <c r="HKV34" s="37"/>
      <c r="HKW34" s="37"/>
      <c r="HKX34" s="37"/>
      <c r="HKY34" s="37"/>
      <c r="HKZ34" s="37"/>
      <c r="HLA34" s="37"/>
      <c r="HLB34" s="37"/>
      <c r="HLC34" s="37"/>
      <c r="HLD34" s="37"/>
      <c r="HLE34" s="37"/>
      <c r="HLF34" s="37"/>
      <c r="HLG34" s="37"/>
      <c r="HLH34" s="37"/>
      <c r="HLI34" s="37"/>
      <c r="HLJ34" s="37"/>
      <c r="HLK34" s="37"/>
      <c r="HLL34" s="37"/>
      <c r="HLM34" s="37"/>
      <c r="HLN34" s="37"/>
      <c r="HLO34" s="37"/>
      <c r="HLP34" s="37"/>
      <c r="HLQ34" s="37"/>
      <c r="HLR34" s="37"/>
      <c r="HLS34" s="37"/>
      <c r="HLT34" s="37"/>
      <c r="HLU34" s="37"/>
      <c r="HLV34" s="37"/>
      <c r="HLW34" s="37"/>
      <c r="HLX34" s="37"/>
      <c r="HLY34" s="37"/>
      <c r="HLZ34" s="37"/>
      <c r="HMA34" s="37"/>
      <c r="HMB34" s="37"/>
      <c r="HMC34" s="37"/>
      <c r="HMD34" s="37"/>
      <c r="HME34" s="37"/>
      <c r="HMF34" s="37"/>
      <c r="HMG34" s="37"/>
      <c r="HMH34" s="37"/>
      <c r="HMI34" s="37"/>
      <c r="HMJ34" s="37"/>
      <c r="HMK34" s="37"/>
      <c r="HML34" s="37"/>
      <c r="HMM34" s="37"/>
      <c r="HMN34" s="37"/>
      <c r="HMO34" s="37"/>
      <c r="HMP34" s="37"/>
      <c r="HMQ34" s="37"/>
      <c r="HMR34" s="37"/>
      <c r="HMS34" s="37"/>
      <c r="HMT34" s="37"/>
      <c r="HMU34" s="37"/>
      <c r="HMV34" s="37"/>
      <c r="HMW34" s="37"/>
      <c r="HMX34" s="37"/>
      <c r="HMY34" s="37"/>
      <c r="HMZ34" s="37"/>
      <c r="HNA34" s="37"/>
      <c r="HNB34" s="37"/>
      <c r="HNC34" s="37"/>
      <c r="HND34" s="37"/>
      <c r="HNE34" s="37"/>
      <c r="HNF34" s="37"/>
      <c r="HNG34" s="37"/>
      <c r="HNH34" s="37"/>
      <c r="HNI34" s="37"/>
      <c r="HNJ34" s="37"/>
      <c r="HNK34" s="37"/>
      <c r="HNL34" s="37"/>
      <c r="HNM34" s="37"/>
      <c r="HNN34" s="37"/>
      <c r="HNO34" s="37"/>
      <c r="HNP34" s="37"/>
      <c r="HNQ34" s="37"/>
      <c r="HNR34" s="37"/>
      <c r="HNS34" s="37"/>
      <c r="HNT34" s="37"/>
      <c r="HNU34" s="37"/>
      <c r="HNV34" s="37"/>
      <c r="HNW34" s="37"/>
      <c r="HNX34" s="37"/>
      <c r="HNY34" s="37"/>
      <c r="HNZ34" s="37"/>
      <c r="HOA34" s="37"/>
      <c r="HOB34" s="37"/>
      <c r="HOC34" s="37"/>
      <c r="HOD34" s="37"/>
      <c r="HOE34" s="37"/>
      <c r="HOF34" s="37"/>
      <c r="HOG34" s="37"/>
      <c r="HOH34" s="37"/>
      <c r="HOI34" s="37"/>
      <c r="HOJ34" s="37"/>
      <c r="HOK34" s="37"/>
      <c r="HOL34" s="37"/>
      <c r="HOM34" s="37"/>
      <c r="HON34" s="37"/>
      <c r="HOO34" s="37"/>
      <c r="HOP34" s="37"/>
      <c r="HOQ34" s="37"/>
      <c r="HOR34" s="37"/>
      <c r="HOS34" s="37"/>
      <c r="HOT34" s="37"/>
      <c r="HOU34" s="37"/>
      <c r="HOV34" s="37"/>
      <c r="HOW34" s="37"/>
      <c r="HOX34" s="37"/>
      <c r="HOY34" s="37"/>
      <c r="HOZ34" s="37"/>
      <c r="HPA34" s="37"/>
      <c r="HPB34" s="37"/>
      <c r="HPC34" s="37"/>
      <c r="HPD34" s="37"/>
      <c r="HPE34" s="37"/>
      <c r="HPF34" s="37"/>
      <c r="HPG34" s="37"/>
      <c r="HPH34" s="37"/>
      <c r="HPI34" s="37"/>
      <c r="HPJ34" s="37"/>
      <c r="HPK34" s="37"/>
      <c r="HPL34" s="37"/>
      <c r="HPM34" s="37"/>
      <c r="HPN34" s="37"/>
      <c r="HPO34" s="37"/>
      <c r="HPP34" s="37"/>
      <c r="HPQ34" s="37"/>
      <c r="HPR34" s="37"/>
      <c r="HPS34" s="37"/>
      <c r="HPT34" s="37"/>
      <c r="HPU34" s="37"/>
      <c r="HPV34" s="37"/>
      <c r="HPW34" s="37"/>
      <c r="HPX34" s="37"/>
      <c r="HPY34" s="37"/>
      <c r="HPZ34" s="37"/>
      <c r="HQA34" s="37"/>
      <c r="HQB34" s="37"/>
      <c r="HQC34" s="37"/>
      <c r="HQD34" s="37"/>
      <c r="HQE34" s="37"/>
      <c r="HQF34" s="37"/>
      <c r="HQG34" s="37"/>
      <c r="HQH34" s="37"/>
      <c r="HQI34" s="37"/>
      <c r="HQJ34" s="37"/>
      <c r="HQK34" s="37"/>
      <c r="HQL34" s="37"/>
      <c r="HQM34" s="37"/>
      <c r="HQN34" s="37"/>
      <c r="HQO34" s="37"/>
      <c r="HQP34" s="37"/>
      <c r="HQQ34" s="37"/>
      <c r="HQR34" s="37"/>
      <c r="HQS34" s="37"/>
      <c r="HQT34" s="37"/>
      <c r="HQU34" s="37"/>
      <c r="HQV34" s="37"/>
      <c r="HQW34" s="37"/>
      <c r="HQX34" s="37"/>
      <c r="HQY34" s="37"/>
      <c r="HQZ34" s="37"/>
      <c r="HRA34" s="37"/>
      <c r="HRB34" s="37"/>
      <c r="HRC34" s="37"/>
      <c r="HRD34" s="37"/>
      <c r="HRE34" s="37"/>
      <c r="HRF34" s="37"/>
      <c r="HRG34" s="37"/>
      <c r="HRH34" s="37"/>
      <c r="HRI34" s="37"/>
      <c r="HRJ34" s="37"/>
      <c r="HRK34" s="37"/>
      <c r="HRL34" s="37"/>
      <c r="HRM34" s="37"/>
      <c r="HRN34" s="37"/>
      <c r="HRO34" s="37"/>
      <c r="HRP34" s="37"/>
      <c r="HRQ34" s="37"/>
      <c r="HRR34" s="37"/>
      <c r="HRS34" s="37"/>
      <c r="HRT34" s="37"/>
      <c r="HRU34" s="37"/>
      <c r="HRV34" s="37"/>
      <c r="HRW34" s="37"/>
      <c r="HRX34" s="37"/>
      <c r="HRY34" s="37"/>
      <c r="HRZ34" s="37"/>
      <c r="HSA34" s="37"/>
      <c r="HSB34" s="37"/>
      <c r="HSC34" s="37"/>
      <c r="HSD34" s="37"/>
      <c r="HSE34" s="37"/>
      <c r="HSF34" s="37"/>
      <c r="HSG34" s="37"/>
      <c r="HSH34" s="37"/>
      <c r="HSI34" s="37"/>
      <c r="HSJ34" s="37"/>
      <c r="HSK34" s="37"/>
      <c r="HSL34" s="37"/>
      <c r="HSM34" s="37"/>
      <c r="HSN34" s="37"/>
      <c r="HSO34" s="37"/>
      <c r="HSP34" s="37"/>
      <c r="HSQ34" s="37"/>
      <c r="HSR34" s="37"/>
      <c r="HSS34" s="37"/>
      <c r="HST34" s="37"/>
      <c r="HSU34" s="37"/>
      <c r="HSV34" s="37"/>
      <c r="HSW34" s="37"/>
      <c r="HSX34" s="37"/>
      <c r="HSY34" s="37"/>
      <c r="HSZ34" s="37"/>
      <c r="HTA34" s="37"/>
      <c r="HTB34" s="37"/>
      <c r="HTC34" s="37"/>
      <c r="HTD34" s="37"/>
      <c r="HTE34" s="37"/>
      <c r="HTF34" s="37"/>
      <c r="HTG34" s="37"/>
      <c r="HTH34" s="37"/>
      <c r="HTI34" s="37"/>
      <c r="HTJ34" s="37"/>
      <c r="HTK34" s="37"/>
      <c r="HTL34" s="37"/>
      <c r="HTM34" s="37"/>
      <c r="HTN34" s="37"/>
      <c r="HTO34" s="37"/>
      <c r="HTP34" s="37"/>
      <c r="HTQ34" s="37"/>
      <c r="HTR34" s="37"/>
      <c r="HTS34" s="37"/>
      <c r="HTT34" s="37"/>
      <c r="HTU34" s="37"/>
      <c r="HTV34" s="37"/>
      <c r="HTW34" s="37"/>
      <c r="HTX34" s="37"/>
      <c r="HTY34" s="37"/>
      <c r="HTZ34" s="37"/>
      <c r="HUA34" s="37"/>
      <c r="HUB34" s="37"/>
      <c r="HUC34" s="37"/>
      <c r="HUD34" s="37"/>
      <c r="HUE34" s="37"/>
      <c r="HUF34" s="37"/>
      <c r="HUG34" s="37"/>
      <c r="HUH34" s="37"/>
      <c r="HUI34" s="37"/>
      <c r="HUJ34" s="37"/>
      <c r="HUK34" s="37"/>
      <c r="HUL34" s="37"/>
      <c r="HUM34" s="37"/>
      <c r="HUN34" s="37"/>
      <c r="HUO34" s="37"/>
      <c r="HUP34" s="37"/>
      <c r="HUQ34" s="37"/>
      <c r="HUR34" s="37"/>
      <c r="HUS34" s="37"/>
      <c r="HUT34" s="37"/>
      <c r="HUU34" s="37"/>
      <c r="HUV34" s="37"/>
      <c r="HUW34" s="37"/>
      <c r="HUX34" s="37"/>
      <c r="HUY34" s="37"/>
      <c r="HUZ34" s="37"/>
      <c r="HVA34" s="37"/>
      <c r="HVB34" s="37"/>
      <c r="HVC34" s="37"/>
      <c r="HVD34" s="37"/>
      <c r="HVE34" s="37"/>
      <c r="HVF34" s="37"/>
      <c r="HVG34" s="37"/>
      <c r="HVH34" s="37"/>
      <c r="HVI34" s="37"/>
      <c r="HVJ34" s="37"/>
      <c r="HVK34" s="37"/>
      <c r="HVL34" s="37"/>
      <c r="HVM34" s="37"/>
      <c r="HVN34" s="37"/>
      <c r="HVO34" s="37"/>
      <c r="HVP34" s="37"/>
      <c r="HVQ34" s="37"/>
      <c r="HVR34" s="37"/>
      <c r="HVS34" s="37"/>
      <c r="HVT34" s="37"/>
      <c r="HVU34" s="37"/>
      <c r="HVV34" s="37"/>
      <c r="HVW34" s="37"/>
      <c r="HVX34" s="37"/>
      <c r="HVY34" s="37"/>
      <c r="HVZ34" s="37"/>
      <c r="HWA34" s="37"/>
      <c r="HWB34" s="37"/>
      <c r="HWC34" s="37"/>
      <c r="HWD34" s="37"/>
      <c r="HWE34" s="37"/>
      <c r="HWF34" s="37"/>
      <c r="HWG34" s="37"/>
      <c r="HWH34" s="37"/>
      <c r="HWI34" s="37"/>
      <c r="HWJ34" s="37"/>
      <c r="HWK34" s="37"/>
      <c r="HWL34" s="37"/>
      <c r="HWM34" s="37"/>
      <c r="HWN34" s="37"/>
      <c r="HWO34" s="37"/>
      <c r="HWP34" s="37"/>
      <c r="HWQ34" s="37"/>
      <c r="HWR34" s="37"/>
      <c r="HWS34" s="37"/>
      <c r="HWT34" s="37"/>
      <c r="HWU34" s="37"/>
      <c r="HWV34" s="37"/>
      <c r="HWW34" s="37"/>
      <c r="HWX34" s="37"/>
      <c r="HWY34" s="37"/>
      <c r="HWZ34" s="37"/>
      <c r="HXA34" s="37"/>
      <c r="HXB34" s="37"/>
      <c r="HXC34" s="37"/>
      <c r="HXD34" s="37"/>
      <c r="HXE34" s="37"/>
      <c r="HXF34" s="37"/>
      <c r="HXG34" s="37"/>
      <c r="HXH34" s="37"/>
      <c r="HXI34" s="37"/>
      <c r="HXJ34" s="37"/>
      <c r="HXK34" s="37"/>
      <c r="HXL34" s="37"/>
      <c r="HXM34" s="37"/>
      <c r="HXN34" s="37"/>
      <c r="HXO34" s="37"/>
      <c r="HXP34" s="37"/>
      <c r="HXQ34" s="37"/>
      <c r="HXR34" s="37"/>
      <c r="HXS34" s="37"/>
      <c r="HXT34" s="37"/>
      <c r="HXU34" s="37"/>
      <c r="HXV34" s="37"/>
      <c r="HXW34" s="37"/>
      <c r="HXX34" s="37"/>
      <c r="HXY34" s="37"/>
      <c r="HXZ34" s="37"/>
      <c r="HYA34" s="37"/>
      <c r="HYB34" s="37"/>
      <c r="HYC34" s="37"/>
      <c r="HYD34" s="37"/>
      <c r="HYE34" s="37"/>
      <c r="HYF34" s="37"/>
      <c r="HYG34" s="37"/>
      <c r="HYH34" s="37"/>
      <c r="HYI34" s="37"/>
      <c r="HYJ34" s="37"/>
      <c r="HYK34" s="37"/>
      <c r="HYL34" s="37"/>
      <c r="HYM34" s="37"/>
      <c r="HYN34" s="37"/>
      <c r="HYO34" s="37"/>
      <c r="HYP34" s="37"/>
      <c r="HYQ34" s="37"/>
      <c r="HYR34" s="37"/>
      <c r="HYS34" s="37"/>
      <c r="HYT34" s="37"/>
      <c r="HYU34" s="37"/>
      <c r="HYV34" s="37"/>
      <c r="HYW34" s="37"/>
      <c r="HYX34" s="37"/>
      <c r="HYY34" s="37"/>
      <c r="HYZ34" s="37"/>
      <c r="HZA34" s="37"/>
      <c r="HZB34" s="37"/>
      <c r="HZC34" s="37"/>
      <c r="HZD34" s="37"/>
      <c r="HZE34" s="37"/>
      <c r="HZF34" s="37"/>
      <c r="HZG34" s="37"/>
      <c r="HZH34" s="37"/>
      <c r="HZI34" s="37"/>
      <c r="HZJ34" s="37"/>
      <c r="HZK34" s="37"/>
      <c r="HZL34" s="37"/>
      <c r="HZM34" s="37"/>
      <c r="HZN34" s="37"/>
      <c r="HZO34" s="37"/>
      <c r="HZP34" s="37"/>
      <c r="HZQ34" s="37"/>
      <c r="HZR34" s="37"/>
      <c r="HZS34" s="37"/>
      <c r="HZT34" s="37"/>
      <c r="HZU34" s="37"/>
      <c r="HZV34" s="37"/>
      <c r="HZW34" s="37"/>
      <c r="HZX34" s="37"/>
      <c r="HZY34" s="37"/>
      <c r="HZZ34" s="37"/>
      <c r="IAA34" s="37"/>
      <c r="IAB34" s="37"/>
      <c r="IAC34" s="37"/>
      <c r="IAD34" s="37"/>
      <c r="IAE34" s="37"/>
      <c r="IAF34" s="37"/>
      <c r="IAG34" s="37"/>
      <c r="IAH34" s="37"/>
      <c r="IAI34" s="37"/>
      <c r="IAJ34" s="37"/>
      <c r="IAK34" s="37"/>
      <c r="IAL34" s="37"/>
      <c r="IAM34" s="37"/>
      <c r="IAN34" s="37"/>
      <c r="IAO34" s="37"/>
      <c r="IAP34" s="37"/>
      <c r="IAQ34" s="37"/>
      <c r="IAR34" s="37"/>
      <c r="IAS34" s="37"/>
      <c r="IAT34" s="37"/>
      <c r="IAU34" s="37"/>
      <c r="IAV34" s="37"/>
      <c r="IAW34" s="37"/>
      <c r="IAX34" s="37"/>
      <c r="IAY34" s="37"/>
      <c r="IAZ34" s="37"/>
      <c r="IBA34" s="37"/>
      <c r="IBB34" s="37"/>
      <c r="IBC34" s="37"/>
      <c r="IBD34" s="37"/>
      <c r="IBE34" s="37"/>
      <c r="IBF34" s="37"/>
      <c r="IBG34" s="37"/>
      <c r="IBH34" s="37"/>
      <c r="IBI34" s="37"/>
      <c r="IBJ34" s="37"/>
      <c r="IBK34" s="37"/>
      <c r="IBL34" s="37"/>
      <c r="IBM34" s="37"/>
      <c r="IBN34" s="37"/>
      <c r="IBO34" s="37"/>
      <c r="IBP34" s="37"/>
      <c r="IBQ34" s="37"/>
      <c r="IBR34" s="37"/>
      <c r="IBS34" s="37"/>
      <c r="IBT34" s="37"/>
      <c r="IBU34" s="37"/>
      <c r="IBV34" s="37"/>
      <c r="IBW34" s="37"/>
      <c r="IBX34" s="37"/>
      <c r="IBY34" s="37"/>
      <c r="IBZ34" s="37"/>
      <c r="ICA34" s="37"/>
      <c r="ICB34" s="37"/>
      <c r="ICC34" s="37"/>
      <c r="ICD34" s="37"/>
      <c r="ICE34" s="37"/>
      <c r="ICF34" s="37"/>
      <c r="ICG34" s="37"/>
      <c r="ICH34" s="37"/>
      <c r="ICI34" s="37"/>
      <c r="ICJ34" s="37"/>
      <c r="ICK34" s="37"/>
      <c r="ICL34" s="37"/>
      <c r="ICM34" s="37"/>
      <c r="ICN34" s="37"/>
      <c r="ICO34" s="37"/>
      <c r="ICP34" s="37"/>
      <c r="ICQ34" s="37"/>
      <c r="ICR34" s="37"/>
      <c r="ICS34" s="37"/>
      <c r="ICT34" s="37"/>
      <c r="ICU34" s="37"/>
      <c r="ICV34" s="37"/>
      <c r="ICW34" s="37"/>
      <c r="ICX34" s="37"/>
      <c r="ICY34" s="37"/>
      <c r="ICZ34" s="37"/>
      <c r="IDA34" s="37"/>
      <c r="IDB34" s="37"/>
      <c r="IDC34" s="37"/>
      <c r="IDD34" s="37"/>
      <c r="IDE34" s="37"/>
      <c r="IDF34" s="37"/>
      <c r="IDG34" s="37"/>
      <c r="IDH34" s="37"/>
      <c r="IDI34" s="37"/>
      <c r="IDJ34" s="37"/>
      <c r="IDK34" s="37"/>
      <c r="IDL34" s="37"/>
      <c r="IDM34" s="37"/>
      <c r="IDN34" s="37"/>
      <c r="IDO34" s="37"/>
      <c r="IDP34" s="37"/>
      <c r="IDQ34" s="37"/>
      <c r="IDR34" s="37"/>
      <c r="IDS34" s="37"/>
      <c r="IDT34" s="37"/>
      <c r="IDU34" s="37"/>
      <c r="IDV34" s="37"/>
      <c r="IDW34" s="37"/>
      <c r="IDX34" s="37"/>
      <c r="IDY34" s="37"/>
      <c r="IDZ34" s="37"/>
      <c r="IEA34" s="37"/>
      <c r="IEB34" s="37"/>
      <c r="IEC34" s="37"/>
      <c r="IED34" s="37"/>
      <c r="IEE34" s="37"/>
      <c r="IEF34" s="37"/>
      <c r="IEG34" s="37"/>
      <c r="IEH34" s="37"/>
      <c r="IEI34" s="37"/>
      <c r="IEJ34" s="37"/>
      <c r="IEK34" s="37"/>
      <c r="IEL34" s="37"/>
      <c r="IEM34" s="37"/>
      <c r="IEN34" s="37"/>
      <c r="IEO34" s="37"/>
      <c r="IEP34" s="37"/>
      <c r="IEQ34" s="37"/>
      <c r="IER34" s="37"/>
      <c r="IES34" s="37"/>
      <c r="IET34" s="37"/>
      <c r="IEU34" s="37"/>
      <c r="IEV34" s="37"/>
      <c r="IEW34" s="37"/>
      <c r="IEX34" s="37"/>
      <c r="IEY34" s="37"/>
      <c r="IEZ34" s="37"/>
      <c r="IFA34" s="37"/>
      <c r="IFB34" s="37"/>
      <c r="IFC34" s="37"/>
      <c r="IFD34" s="37"/>
      <c r="IFE34" s="37"/>
      <c r="IFF34" s="37"/>
      <c r="IFG34" s="37"/>
      <c r="IFH34" s="37"/>
      <c r="IFI34" s="37"/>
      <c r="IFJ34" s="37"/>
      <c r="IFK34" s="37"/>
      <c r="IFL34" s="37"/>
      <c r="IFM34" s="37"/>
      <c r="IFN34" s="37"/>
      <c r="IFO34" s="37"/>
      <c r="IFP34" s="37"/>
      <c r="IFQ34" s="37"/>
      <c r="IFR34" s="37"/>
      <c r="IFS34" s="37"/>
      <c r="IFT34" s="37"/>
      <c r="IFU34" s="37"/>
      <c r="IFV34" s="37"/>
      <c r="IFW34" s="37"/>
      <c r="IFX34" s="37"/>
      <c r="IFY34" s="37"/>
      <c r="IFZ34" s="37"/>
      <c r="IGA34" s="37"/>
      <c r="IGB34" s="37"/>
      <c r="IGC34" s="37"/>
      <c r="IGD34" s="37"/>
      <c r="IGE34" s="37"/>
      <c r="IGF34" s="37"/>
      <c r="IGG34" s="37"/>
      <c r="IGH34" s="37"/>
      <c r="IGI34" s="37"/>
      <c r="IGJ34" s="37"/>
      <c r="IGK34" s="37"/>
      <c r="IGL34" s="37"/>
      <c r="IGM34" s="37"/>
      <c r="IGN34" s="37"/>
      <c r="IGO34" s="37"/>
      <c r="IGP34" s="37"/>
      <c r="IGQ34" s="37"/>
      <c r="IGR34" s="37"/>
      <c r="IGS34" s="37"/>
      <c r="IGT34" s="37"/>
      <c r="IGU34" s="37"/>
      <c r="IGV34" s="37"/>
      <c r="IGW34" s="37"/>
      <c r="IGX34" s="37"/>
      <c r="IGY34" s="37"/>
      <c r="IGZ34" s="37"/>
      <c r="IHA34" s="37"/>
      <c r="IHB34" s="37"/>
      <c r="IHC34" s="37"/>
      <c r="IHD34" s="37"/>
      <c r="IHE34" s="37"/>
      <c r="IHF34" s="37"/>
      <c r="IHG34" s="37"/>
      <c r="IHH34" s="37"/>
      <c r="IHI34" s="37"/>
      <c r="IHJ34" s="37"/>
      <c r="IHK34" s="37"/>
      <c r="IHL34" s="37"/>
      <c r="IHM34" s="37"/>
      <c r="IHN34" s="37"/>
      <c r="IHO34" s="37"/>
      <c r="IHP34" s="37"/>
      <c r="IHQ34" s="37"/>
      <c r="IHR34" s="37"/>
      <c r="IHS34" s="37"/>
      <c r="IHT34" s="37"/>
      <c r="IHU34" s="37"/>
      <c r="IHV34" s="37"/>
      <c r="IHW34" s="37"/>
      <c r="IHX34" s="37"/>
      <c r="IHY34" s="37"/>
      <c r="IHZ34" s="37"/>
      <c r="IIA34" s="37"/>
      <c r="IIB34" s="37"/>
      <c r="IIC34" s="37"/>
      <c r="IID34" s="37"/>
      <c r="IIE34" s="37"/>
      <c r="IIF34" s="37"/>
      <c r="IIG34" s="37"/>
      <c r="IIH34" s="37"/>
      <c r="III34" s="37"/>
      <c r="IIJ34" s="37"/>
      <c r="IIK34" s="37"/>
      <c r="IIL34" s="37"/>
      <c r="IIM34" s="37"/>
      <c r="IIN34" s="37"/>
      <c r="IIO34" s="37"/>
      <c r="IIP34" s="37"/>
      <c r="IIQ34" s="37"/>
      <c r="IIR34" s="37"/>
      <c r="IIS34" s="37"/>
      <c r="IIT34" s="37"/>
      <c r="IIU34" s="37"/>
      <c r="IIV34" s="37"/>
      <c r="IIW34" s="37"/>
      <c r="IIX34" s="37"/>
      <c r="IIY34" s="37"/>
      <c r="IIZ34" s="37"/>
      <c r="IJA34" s="37"/>
      <c r="IJB34" s="37"/>
      <c r="IJC34" s="37"/>
      <c r="IJD34" s="37"/>
      <c r="IJE34" s="37"/>
      <c r="IJF34" s="37"/>
      <c r="IJG34" s="37"/>
      <c r="IJH34" s="37"/>
      <c r="IJI34" s="37"/>
      <c r="IJJ34" s="37"/>
      <c r="IJK34" s="37"/>
      <c r="IJL34" s="37"/>
      <c r="IJM34" s="37"/>
      <c r="IJN34" s="37"/>
      <c r="IJO34" s="37"/>
      <c r="IJP34" s="37"/>
      <c r="IJQ34" s="37"/>
      <c r="IJR34" s="37"/>
      <c r="IJS34" s="37"/>
      <c r="IJT34" s="37"/>
      <c r="IJU34" s="37"/>
      <c r="IJV34" s="37"/>
      <c r="IJW34" s="37"/>
      <c r="IJX34" s="37"/>
      <c r="IJY34" s="37"/>
      <c r="IJZ34" s="37"/>
      <c r="IKA34" s="37"/>
      <c r="IKB34" s="37"/>
      <c r="IKC34" s="37"/>
      <c r="IKD34" s="37"/>
      <c r="IKE34" s="37"/>
      <c r="IKF34" s="37"/>
      <c r="IKG34" s="37"/>
      <c r="IKH34" s="37"/>
      <c r="IKI34" s="37"/>
      <c r="IKJ34" s="37"/>
      <c r="IKK34" s="37"/>
      <c r="IKL34" s="37"/>
      <c r="IKM34" s="37"/>
      <c r="IKN34" s="37"/>
      <c r="IKO34" s="37"/>
      <c r="IKP34" s="37"/>
      <c r="IKQ34" s="37"/>
      <c r="IKR34" s="37"/>
      <c r="IKS34" s="37"/>
      <c r="IKT34" s="37"/>
      <c r="IKU34" s="37"/>
      <c r="IKV34" s="37"/>
      <c r="IKW34" s="37"/>
      <c r="IKX34" s="37"/>
      <c r="IKY34" s="37"/>
      <c r="IKZ34" s="37"/>
      <c r="ILA34" s="37"/>
      <c r="ILB34" s="37"/>
      <c r="ILC34" s="37"/>
      <c r="ILD34" s="37"/>
      <c r="ILE34" s="37"/>
      <c r="ILF34" s="37"/>
      <c r="ILG34" s="37"/>
      <c r="ILH34" s="37"/>
      <c r="ILI34" s="37"/>
      <c r="ILJ34" s="37"/>
      <c r="ILK34" s="37"/>
      <c r="ILL34" s="37"/>
      <c r="ILM34" s="37"/>
      <c r="ILN34" s="37"/>
      <c r="ILO34" s="37"/>
      <c r="ILP34" s="37"/>
      <c r="ILQ34" s="37"/>
      <c r="ILR34" s="37"/>
      <c r="ILS34" s="37"/>
      <c r="ILT34" s="37"/>
      <c r="ILU34" s="37"/>
      <c r="ILV34" s="37"/>
      <c r="ILW34" s="37"/>
      <c r="ILX34" s="37"/>
      <c r="ILY34" s="37"/>
      <c r="ILZ34" s="37"/>
      <c r="IMA34" s="37"/>
      <c r="IMB34" s="37"/>
      <c r="IMC34" s="37"/>
      <c r="IMD34" s="37"/>
      <c r="IME34" s="37"/>
      <c r="IMF34" s="37"/>
      <c r="IMG34" s="37"/>
      <c r="IMH34" s="37"/>
      <c r="IMI34" s="37"/>
      <c r="IMJ34" s="37"/>
      <c r="IMK34" s="37"/>
      <c r="IML34" s="37"/>
      <c r="IMM34" s="37"/>
      <c r="IMN34" s="37"/>
      <c r="IMO34" s="37"/>
      <c r="IMP34" s="37"/>
      <c r="IMQ34" s="37"/>
      <c r="IMR34" s="37"/>
      <c r="IMS34" s="37"/>
      <c r="IMT34" s="37"/>
      <c r="IMU34" s="37"/>
      <c r="IMV34" s="37"/>
      <c r="IMW34" s="37"/>
      <c r="IMX34" s="37"/>
      <c r="IMY34" s="37"/>
      <c r="IMZ34" s="37"/>
      <c r="INA34" s="37"/>
      <c r="INB34" s="37"/>
      <c r="INC34" s="37"/>
      <c r="IND34" s="37"/>
      <c r="INE34" s="37"/>
      <c r="INF34" s="37"/>
      <c r="ING34" s="37"/>
      <c r="INH34" s="37"/>
      <c r="INI34" s="37"/>
      <c r="INJ34" s="37"/>
      <c r="INK34" s="37"/>
      <c r="INL34" s="37"/>
      <c r="INM34" s="37"/>
      <c r="INN34" s="37"/>
      <c r="INO34" s="37"/>
      <c r="INP34" s="37"/>
      <c r="INQ34" s="37"/>
      <c r="INR34" s="37"/>
      <c r="INS34" s="37"/>
      <c r="INT34" s="37"/>
      <c r="INU34" s="37"/>
      <c r="INV34" s="37"/>
      <c r="INW34" s="37"/>
      <c r="INX34" s="37"/>
      <c r="INY34" s="37"/>
      <c r="INZ34" s="37"/>
      <c r="IOA34" s="37"/>
      <c r="IOB34" s="37"/>
      <c r="IOC34" s="37"/>
      <c r="IOD34" s="37"/>
      <c r="IOE34" s="37"/>
      <c r="IOF34" s="37"/>
      <c r="IOG34" s="37"/>
      <c r="IOH34" s="37"/>
      <c r="IOI34" s="37"/>
      <c r="IOJ34" s="37"/>
      <c r="IOK34" s="37"/>
      <c r="IOL34" s="37"/>
      <c r="IOM34" s="37"/>
      <c r="ION34" s="37"/>
      <c r="IOO34" s="37"/>
      <c r="IOP34" s="37"/>
      <c r="IOQ34" s="37"/>
      <c r="IOR34" s="37"/>
      <c r="IOS34" s="37"/>
      <c r="IOT34" s="37"/>
      <c r="IOU34" s="37"/>
      <c r="IOV34" s="37"/>
      <c r="IOW34" s="37"/>
      <c r="IOX34" s="37"/>
      <c r="IOY34" s="37"/>
      <c r="IOZ34" s="37"/>
      <c r="IPA34" s="37"/>
      <c r="IPB34" s="37"/>
      <c r="IPC34" s="37"/>
      <c r="IPD34" s="37"/>
      <c r="IPE34" s="37"/>
      <c r="IPF34" s="37"/>
      <c r="IPG34" s="37"/>
      <c r="IPH34" s="37"/>
      <c r="IPI34" s="37"/>
      <c r="IPJ34" s="37"/>
      <c r="IPK34" s="37"/>
      <c r="IPL34" s="37"/>
      <c r="IPM34" s="37"/>
      <c r="IPN34" s="37"/>
      <c r="IPO34" s="37"/>
      <c r="IPP34" s="37"/>
      <c r="IPQ34" s="37"/>
      <c r="IPR34" s="37"/>
      <c r="IPS34" s="37"/>
      <c r="IPT34" s="37"/>
      <c r="IPU34" s="37"/>
      <c r="IPV34" s="37"/>
      <c r="IPW34" s="37"/>
      <c r="IPX34" s="37"/>
      <c r="IPY34" s="37"/>
      <c r="IPZ34" s="37"/>
      <c r="IQA34" s="37"/>
      <c r="IQB34" s="37"/>
      <c r="IQC34" s="37"/>
      <c r="IQD34" s="37"/>
      <c r="IQE34" s="37"/>
      <c r="IQF34" s="37"/>
      <c r="IQG34" s="37"/>
      <c r="IQH34" s="37"/>
      <c r="IQI34" s="37"/>
      <c r="IQJ34" s="37"/>
      <c r="IQK34" s="37"/>
      <c r="IQL34" s="37"/>
      <c r="IQM34" s="37"/>
      <c r="IQN34" s="37"/>
      <c r="IQO34" s="37"/>
      <c r="IQP34" s="37"/>
      <c r="IQQ34" s="37"/>
      <c r="IQR34" s="37"/>
      <c r="IQS34" s="37"/>
      <c r="IQT34" s="37"/>
      <c r="IQU34" s="37"/>
      <c r="IQV34" s="37"/>
      <c r="IQW34" s="37"/>
      <c r="IQX34" s="37"/>
      <c r="IQY34" s="37"/>
      <c r="IQZ34" s="37"/>
      <c r="IRA34" s="37"/>
      <c r="IRB34" s="37"/>
      <c r="IRC34" s="37"/>
      <c r="IRD34" s="37"/>
      <c r="IRE34" s="37"/>
      <c r="IRF34" s="37"/>
      <c r="IRG34" s="37"/>
      <c r="IRH34" s="37"/>
      <c r="IRI34" s="37"/>
      <c r="IRJ34" s="37"/>
      <c r="IRK34" s="37"/>
      <c r="IRL34" s="37"/>
      <c r="IRM34" s="37"/>
      <c r="IRN34" s="37"/>
      <c r="IRO34" s="37"/>
      <c r="IRP34" s="37"/>
      <c r="IRQ34" s="37"/>
      <c r="IRR34" s="37"/>
      <c r="IRS34" s="37"/>
      <c r="IRT34" s="37"/>
      <c r="IRU34" s="37"/>
      <c r="IRV34" s="37"/>
      <c r="IRW34" s="37"/>
      <c r="IRX34" s="37"/>
      <c r="IRY34" s="37"/>
      <c r="IRZ34" s="37"/>
      <c r="ISA34" s="37"/>
      <c r="ISB34" s="37"/>
      <c r="ISC34" s="37"/>
      <c r="ISD34" s="37"/>
      <c r="ISE34" s="37"/>
      <c r="ISF34" s="37"/>
      <c r="ISG34" s="37"/>
      <c r="ISH34" s="37"/>
      <c r="ISI34" s="37"/>
      <c r="ISJ34" s="37"/>
      <c r="ISK34" s="37"/>
      <c r="ISL34" s="37"/>
      <c r="ISM34" s="37"/>
      <c r="ISN34" s="37"/>
      <c r="ISO34" s="37"/>
      <c r="ISP34" s="37"/>
      <c r="ISQ34" s="37"/>
      <c r="ISR34" s="37"/>
      <c r="ISS34" s="37"/>
      <c r="IST34" s="37"/>
      <c r="ISU34" s="37"/>
      <c r="ISV34" s="37"/>
      <c r="ISW34" s="37"/>
      <c r="ISX34" s="37"/>
      <c r="ISY34" s="37"/>
      <c r="ISZ34" s="37"/>
      <c r="ITA34" s="37"/>
      <c r="ITB34" s="37"/>
      <c r="ITC34" s="37"/>
      <c r="ITD34" s="37"/>
      <c r="ITE34" s="37"/>
      <c r="ITF34" s="37"/>
      <c r="ITG34" s="37"/>
      <c r="ITH34" s="37"/>
      <c r="ITI34" s="37"/>
      <c r="ITJ34" s="37"/>
      <c r="ITK34" s="37"/>
      <c r="ITL34" s="37"/>
      <c r="ITM34" s="37"/>
      <c r="ITN34" s="37"/>
      <c r="ITO34" s="37"/>
      <c r="ITP34" s="37"/>
      <c r="ITQ34" s="37"/>
      <c r="ITR34" s="37"/>
      <c r="ITS34" s="37"/>
      <c r="ITT34" s="37"/>
      <c r="ITU34" s="37"/>
      <c r="ITV34" s="37"/>
      <c r="ITW34" s="37"/>
      <c r="ITX34" s="37"/>
      <c r="ITY34" s="37"/>
      <c r="ITZ34" s="37"/>
      <c r="IUA34" s="37"/>
      <c r="IUB34" s="37"/>
      <c r="IUC34" s="37"/>
      <c r="IUD34" s="37"/>
      <c r="IUE34" s="37"/>
      <c r="IUF34" s="37"/>
      <c r="IUG34" s="37"/>
      <c r="IUH34" s="37"/>
      <c r="IUI34" s="37"/>
      <c r="IUJ34" s="37"/>
      <c r="IUK34" s="37"/>
      <c r="IUL34" s="37"/>
      <c r="IUM34" s="37"/>
      <c r="IUN34" s="37"/>
      <c r="IUO34" s="37"/>
      <c r="IUP34" s="37"/>
      <c r="IUQ34" s="37"/>
      <c r="IUR34" s="37"/>
      <c r="IUS34" s="37"/>
      <c r="IUT34" s="37"/>
      <c r="IUU34" s="37"/>
      <c r="IUV34" s="37"/>
      <c r="IUW34" s="37"/>
      <c r="IUX34" s="37"/>
      <c r="IUY34" s="37"/>
      <c r="IUZ34" s="37"/>
      <c r="IVA34" s="37"/>
      <c r="IVB34" s="37"/>
      <c r="IVC34" s="37"/>
      <c r="IVD34" s="37"/>
      <c r="IVE34" s="37"/>
      <c r="IVF34" s="37"/>
      <c r="IVG34" s="37"/>
      <c r="IVH34" s="37"/>
      <c r="IVI34" s="37"/>
      <c r="IVJ34" s="37"/>
      <c r="IVK34" s="37"/>
      <c r="IVL34" s="37"/>
      <c r="IVM34" s="37"/>
      <c r="IVN34" s="37"/>
      <c r="IVO34" s="37"/>
      <c r="IVP34" s="37"/>
      <c r="IVQ34" s="37"/>
      <c r="IVR34" s="37"/>
      <c r="IVS34" s="37"/>
      <c r="IVT34" s="37"/>
      <c r="IVU34" s="37"/>
      <c r="IVV34" s="37"/>
      <c r="IVW34" s="37"/>
      <c r="IVX34" s="37"/>
      <c r="IVY34" s="37"/>
      <c r="IVZ34" s="37"/>
      <c r="IWA34" s="37"/>
      <c r="IWB34" s="37"/>
      <c r="IWC34" s="37"/>
      <c r="IWD34" s="37"/>
      <c r="IWE34" s="37"/>
      <c r="IWF34" s="37"/>
      <c r="IWG34" s="37"/>
      <c r="IWH34" s="37"/>
      <c r="IWI34" s="37"/>
      <c r="IWJ34" s="37"/>
      <c r="IWK34" s="37"/>
      <c r="IWL34" s="37"/>
      <c r="IWM34" s="37"/>
      <c r="IWN34" s="37"/>
      <c r="IWO34" s="37"/>
      <c r="IWP34" s="37"/>
      <c r="IWQ34" s="37"/>
      <c r="IWR34" s="37"/>
      <c r="IWS34" s="37"/>
      <c r="IWT34" s="37"/>
      <c r="IWU34" s="37"/>
      <c r="IWV34" s="37"/>
      <c r="IWW34" s="37"/>
      <c r="IWX34" s="37"/>
      <c r="IWY34" s="37"/>
      <c r="IWZ34" s="37"/>
      <c r="IXA34" s="37"/>
      <c r="IXB34" s="37"/>
      <c r="IXC34" s="37"/>
      <c r="IXD34" s="37"/>
      <c r="IXE34" s="37"/>
      <c r="IXF34" s="37"/>
      <c r="IXG34" s="37"/>
      <c r="IXH34" s="37"/>
      <c r="IXI34" s="37"/>
      <c r="IXJ34" s="37"/>
      <c r="IXK34" s="37"/>
      <c r="IXL34" s="37"/>
      <c r="IXM34" s="37"/>
      <c r="IXN34" s="37"/>
      <c r="IXO34" s="37"/>
      <c r="IXP34" s="37"/>
      <c r="IXQ34" s="37"/>
      <c r="IXR34" s="37"/>
      <c r="IXS34" s="37"/>
      <c r="IXT34" s="37"/>
      <c r="IXU34" s="37"/>
      <c r="IXV34" s="37"/>
      <c r="IXW34" s="37"/>
      <c r="IXX34" s="37"/>
      <c r="IXY34" s="37"/>
      <c r="IXZ34" s="37"/>
      <c r="IYA34" s="37"/>
      <c r="IYB34" s="37"/>
      <c r="IYC34" s="37"/>
      <c r="IYD34" s="37"/>
      <c r="IYE34" s="37"/>
      <c r="IYF34" s="37"/>
      <c r="IYG34" s="37"/>
      <c r="IYH34" s="37"/>
      <c r="IYI34" s="37"/>
      <c r="IYJ34" s="37"/>
      <c r="IYK34" s="37"/>
      <c r="IYL34" s="37"/>
      <c r="IYM34" s="37"/>
      <c r="IYN34" s="37"/>
      <c r="IYO34" s="37"/>
      <c r="IYP34" s="37"/>
      <c r="IYQ34" s="37"/>
      <c r="IYR34" s="37"/>
      <c r="IYS34" s="37"/>
      <c r="IYT34" s="37"/>
      <c r="IYU34" s="37"/>
      <c r="IYV34" s="37"/>
      <c r="IYW34" s="37"/>
      <c r="IYX34" s="37"/>
      <c r="IYY34" s="37"/>
      <c r="IYZ34" s="37"/>
      <c r="IZA34" s="37"/>
      <c r="IZB34" s="37"/>
      <c r="IZC34" s="37"/>
      <c r="IZD34" s="37"/>
      <c r="IZE34" s="37"/>
      <c r="IZF34" s="37"/>
      <c r="IZG34" s="37"/>
      <c r="IZH34" s="37"/>
      <c r="IZI34" s="37"/>
      <c r="IZJ34" s="37"/>
      <c r="IZK34" s="37"/>
      <c r="IZL34" s="37"/>
      <c r="IZM34" s="37"/>
      <c r="IZN34" s="37"/>
      <c r="IZO34" s="37"/>
      <c r="IZP34" s="37"/>
      <c r="IZQ34" s="37"/>
      <c r="IZR34" s="37"/>
      <c r="IZS34" s="37"/>
      <c r="IZT34" s="37"/>
      <c r="IZU34" s="37"/>
      <c r="IZV34" s="37"/>
      <c r="IZW34" s="37"/>
      <c r="IZX34" s="37"/>
      <c r="IZY34" s="37"/>
      <c r="IZZ34" s="37"/>
      <c r="JAA34" s="37"/>
      <c r="JAB34" s="37"/>
      <c r="JAC34" s="37"/>
      <c r="JAD34" s="37"/>
      <c r="JAE34" s="37"/>
      <c r="JAF34" s="37"/>
      <c r="JAG34" s="37"/>
      <c r="JAH34" s="37"/>
      <c r="JAI34" s="37"/>
      <c r="JAJ34" s="37"/>
      <c r="JAK34" s="37"/>
      <c r="JAL34" s="37"/>
      <c r="JAM34" s="37"/>
      <c r="JAN34" s="37"/>
      <c r="JAO34" s="37"/>
      <c r="JAP34" s="37"/>
      <c r="JAQ34" s="37"/>
      <c r="JAR34" s="37"/>
      <c r="JAS34" s="37"/>
      <c r="JAT34" s="37"/>
      <c r="JAU34" s="37"/>
      <c r="JAV34" s="37"/>
      <c r="JAW34" s="37"/>
      <c r="JAX34" s="37"/>
      <c r="JAY34" s="37"/>
      <c r="JAZ34" s="37"/>
      <c r="JBA34" s="37"/>
      <c r="JBB34" s="37"/>
      <c r="JBC34" s="37"/>
      <c r="JBD34" s="37"/>
      <c r="JBE34" s="37"/>
      <c r="JBF34" s="37"/>
      <c r="JBG34" s="37"/>
      <c r="JBH34" s="37"/>
      <c r="JBI34" s="37"/>
      <c r="JBJ34" s="37"/>
      <c r="JBK34" s="37"/>
      <c r="JBL34" s="37"/>
      <c r="JBM34" s="37"/>
      <c r="JBN34" s="37"/>
      <c r="JBO34" s="37"/>
      <c r="JBP34" s="37"/>
      <c r="JBQ34" s="37"/>
      <c r="JBR34" s="37"/>
      <c r="JBS34" s="37"/>
      <c r="JBT34" s="37"/>
      <c r="JBU34" s="37"/>
      <c r="JBV34" s="37"/>
      <c r="JBW34" s="37"/>
      <c r="JBX34" s="37"/>
      <c r="JBY34" s="37"/>
      <c r="JBZ34" s="37"/>
      <c r="JCA34" s="37"/>
      <c r="JCB34" s="37"/>
      <c r="JCC34" s="37"/>
      <c r="JCD34" s="37"/>
      <c r="JCE34" s="37"/>
      <c r="JCF34" s="37"/>
      <c r="JCG34" s="37"/>
      <c r="JCH34" s="37"/>
      <c r="JCI34" s="37"/>
      <c r="JCJ34" s="37"/>
      <c r="JCK34" s="37"/>
      <c r="JCL34" s="37"/>
      <c r="JCM34" s="37"/>
      <c r="JCN34" s="37"/>
      <c r="JCO34" s="37"/>
      <c r="JCP34" s="37"/>
      <c r="JCQ34" s="37"/>
      <c r="JCR34" s="37"/>
      <c r="JCS34" s="37"/>
      <c r="JCT34" s="37"/>
      <c r="JCU34" s="37"/>
      <c r="JCV34" s="37"/>
      <c r="JCW34" s="37"/>
      <c r="JCX34" s="37"/>
      <c r="JCY34" s="37"/>
      <c r="JCZ34" s="37"/>
      <c r="JDA34" s="37"/>
      <c r="JDB34" s="37"/>
      <c r="JDC34" s="37"/>
      <c r="JDD34" s="37"/>
      <c r="JDE34" s="37"/>
      <c r="JDF34" s="37"/>
      <c r="JDG34" s="37"/>
      <c r="JDH34" s="37"/>
      <c r="JDI34" s="37"/>
      <c r="JDJ34" s="37"/>
      <c r="JDK34" s="37"/>
      <c r="JDL34" s="37"/>
      <c r="JDM34" s="37"/>
      <c r="JDN34" s="37"/>
      <c r="JDO34" s="37"/>
      <c r="JDP34" s="37"/>
      <c r="JDQ34" s="37"/>
      <c r="JDR34" s="37"/>
      <c r="JDS34" s="37"/>
      <c r="JDT34" s="37"/>
      <c r="JDU34" s="37"/>
      <c r="JDV34" s="37"/>
      <c r="JDW34" s="37"/>
      <c r="JDX34" s="37"/>
      <c r="JDY34" s="37"/>
      <c r="JDZ34" s="37"/>
      <c r="JEA34" s="37"/>
      <c r="JEB34" s="37"/>
      <c r="JEC34" s="37"/>
      <c r="JED34" s="37"/>
      <c r="JEE34" s="37"/>
      <c r="JEF34" s="37"/>
      <c r="JEG34" s="37"/>
      <c r="JEH34" s="37"/>
      <c r="JEI34" s="37"/>
      <c r="JEJ34" s="37"/>
      <c r="JEK34" s="37"/>
      <c r="JEL34" s="37"/>
      <c r="JEM34" s="37"/>
      <c r="JEN34" s="37"/>
      <c r="JEO34" s="37"/>
      <c r="JEP34" s="37"/>
      <c r="JEQ34" s="37"/>
      <c r="JER34" s="37"/>
      <c r="JES34" s="37"/>
      <c r="JET34" s="37"/>
      <c r="JEU34" s="37"/>
      <c r="JEV34" s="37"/>
      <c r="JEW34" s="37"/>
      <c r="JEX34" s="37"/>
      <c r="JEY34" s="37"/>
      <c r="JEZ34" s="37"/>
      <c r="JFA34" s="37"/>
      <c r="JFB34" s="37"/>
      <c r="JFC34" s="37"/>
      <c r="JFD34" s="37"/>
      <c r="JFE34" s="37"/>
      <c r="JFF34" s="37"/>
      <c r="JFG34" s="37"/>
      <c r="JFH34" s="37"/>
      <c r="JFI34" s="37"/>
      <c r="JFJ34" s="37"/>
      <c r="JFK34" s="37"/>
      <c r="JFL34" s="37"/>
      <c r="JFM34" s="37"/>
      <c r="JFN34" s="37"/>
      <c r="JFO34" s="37"/>
      <c r="JFP34" s="37"/>
      <c r="JFQ34" s="37"/>
      <c r="JFR34" s="37"/>
      <c r="JFS34" s="37"/>
      <c r="JFT34" s="37"/>
      <c r="JFU34" s="37"/>
      <c r="JFV34" s="37"/>
      <c r="JFW34" s="37"/>
      <c r="JFX34" s="37"/>
      <c r="JFY34" s="37"/>
      <c r="JFZ34" s="37"/>
      <c r="JGA34" s="37"/>
      <c r="JGB34" s="37"/>
      <c r="JGC34" s="37"/>
      <c r="JGD34" s="37"/>
      <c r="JGE34" s="37"/>
      <c r="JGF34" s="37"/>
      <c r="JGG34" s="37"/>
      <c r="JGH34" s="37"/>
      <c r="JGI34" s="37"/>
      <c r="JGJ34" s="37"/>
      <c r="JGK34" s="37"/>
      <c r="JGL34" s="37"/>
      <c r="JGM34" s="37"/>
      <c r="JGN34" s="37"/>
      <c r="JGO34" s="37"/>
      <c r="JGP34" s="37"/>
      <c r="JGQ34" s="37"/>
      <c r="JGR34" s="37"/>
      <c r="JGS34" s="37"/>
      <c r="JGT34" s="37"/>
      <c r="JGU34" s="37"/>
      <c r="JGV34" s="37"/>
      <c r="JGW34" s="37"/>
      <c r="JGX34" s="37"/>
      <c r="JGY34" s="37"/>
      <c r="JGZ34" s="37"/>
      <c r="JHA34" s="37"/>
      <c r="JHB34" s="37"/>
      <c r="JHC34" s="37"/>
      <c r="JHD34" s="37"/>
      <c r="JHE34" s="37"/>
      <c r="JHF34" s="37"/>
      <c r="JHG34" s="37"/>
      <c r="JHH34" s="37"/>
      <c r="JHI34" s="37"/>
      <c r="JHJ34" s="37"/>
      <c r="JHK34" s="37"/>
      <c r="JHL34" s="37"/>
      <c r="JHM34" s="37"/>
      <c r="JHN34" s="37"/>
      <c r="JHO34" s="37"/>
      <c r="JHP34" s="37"/>
      <c r="JHQ34" s="37"/>
      <c r="JHR34" s="37"/>
      <c r="JHS34" s="37"/>
      <c r="JHT34" s="37"/>
      <c r="JHU34" s="37"/>
      <c r="JHV34" s="37"/>
      <c r="JHW34" s="37"/>
      <c r="JHX34" s="37"/>
      <c r="JHY34" s="37"/>
      <c r="JHZ34" s="37"/>
      <c r="JIA34" s="37"/>
      <c r="JIB34" s="37"/>
      <c r="JIC34" s="37"/>
      <c r="JID34" s="37"/>
      <c r="JIE34" s="37"/>
      <c r="JIF34" s="37"/>
      <c r="JIG34" s="37"/>
      <c r="JIH34" s="37"/>
      <c r="JII34" s="37"/>
      <c r="JIJ34" s="37"/>
      <c r="JIK34" s="37"/>
      <c r="JIL34" s="37"/>
      <c r="JIM34" s="37"/>
      <c r="JIN34" s="37"/>
      <c r="JIO34" s="37"/>
      <c r="JIP34" s="37"/>
      <c r="JIQ34" s="37"/>
      <c r="JIR34" s="37"/>
      <c r="JIS34" s="37"/>
      <c r="JIT34" s="37"/>
      <c r="JIU34" s="37"/>
      <c r="JIV34" s="37"/>
      <c r="JIW34" s="37"/>
      <c r="JIX34" s="37"/>
      <c r="JIY34" s="37"/>
      <c r="JIZ34" s="37"/>
      <c r="JJA34" s="37"/>
      <c r="JJB34" s="37"/>
      <c r="JJC34" s="37"/>
      <c r="JJD34" s="37"/>
      <c r="JJE34" s="37"/>
      <c r="JJF34" s="37"/>
      <c r="JJG34" s="37"/>
      <c r="JJH34" s="37"/>
      <c r="JJI34" s="37"/>
      <c r="JJJ34" s="37"/>
      <c r="JJK34" s="37"/>
      <c r="JJL34" s="37"/>
      <c r="JJM34" s="37"/>
      <c r="JJN34" s="37"/>
      <c r="JJO34" s="37"/>
      <c r="JJP34" s="37"/>
      <c r="JJQ34" s="37"/>
      <c r="JJR34" s="37"/>
      <c r="JJS34" s="37"/>
      <c r="JJT34" s="37"/>
      <c r="JJU34" s="37"/>
      <c r="JJV34" s="37"/>
      <c r="JJW34" s="37"/>
      <c r="JJX34" s="37"/>
      <c r="JJY34" s="37"/>
      <c r="JJZ34" s="37"/>
      <c r="JKA34" s="37"/>
      <c r="JKB34" s="37"/>
      <c r="JKC34" s="37"/>
      <c r="JKD34" s="37"/>
      <c r="JKE34" s="37"/>
      <c r="JKF34" s="37"/>
      <c r="JKG34" s="37"/>
      <c r="JKH34" s="37"/>
      <c r="JKI34" s="37"/>
      <c r="JKJ34" s="37"/>
      <c r="JKK34" s="37"/>
      <c r="JKL34" s="37"/>
      <c r="JKM34" s="37"/>
      <c r="JKN34" s="37"/>
      <c r="JKO34" s="37"/>
      <c r="JKP34" s="37"/>
      <c r="JKQ34" s="37"/>
      <c r="JKR34" s="37"/>
      <c r="JKS34" s="37"/>
      <c r="JKT34" s="37"/>
      <c r="JKU34" s="37"/>
      <c r="JKV34" s="37"/>
      <c r="JKW34" s="37"/>
      <c r="JKX34" s="37"/>
      <c r="JKY34" s="37"/>
      <c r="JKZ34" s="37"/>
      <c r="JLA34" s="37"/>
      <c r="JLB34" s="37"/>
      <c r="JLC34" s="37"/>
      <c r="JLD34" s="37"/>
      <c r="JLE34" s="37"/>
      <c r="JLF34" s="37"/>
      <c r="JLG34" s="37"/>
      <c r="JLH34" s="37"/>
      <c r="JLI34" s="37"/>
      <c r="JLJ34" s="37"/>
      <c r="JLK34" s="37"/>
      <c r="JLL34" s="37"/>
      <c r="JLM34" s="37"/>
      <c r="JLN34" s="37"/>
      <c r="JLO34" s="37"/>
      <c r="JLP34" s="37"/>
      <c r="JLQ34" s="37"/>
      <c r="JLR34" s="37"/>
      <c r="JLS34" s="37"/>
      <c r="JLT34" s="37"/>
      <c r="JLU34" s="37"/>
      <c r="JLV34" s="37"/>
      <c r="JLW34" s="37"/>
      <c r="JLX34" s="37"/>
      <c r="JLY34" s="37"/>
      <c r="JLZ34" s="37"/>
      <c r="JMA34" s="37"/>
      <c r="JMB34" s="37"/>
      <c r="JMC34" s="37"/>
      <c r="JMD34" s="37"/>
      <c r="JME34" s="37"/>
      <c r="JMF34" s="37"/>
      <c r="JMG34" s="37"/>
      <c r="JMH34" s="37"/>
      <c r="JMI34" s="37"/>
      <c r="JMJ34" s="37"/>
      <c r="JMK34" s="37"/>
      <c r="JML34" s="37"/>
      <c r="JMM34" s="37"/>
      <c r="JMN34" s="37"/>
      <c r="JMO34" s="37"/>
      <c r="JMP34" s="37"/>
      <c r="JMQ34" s="37"/>
      <c r="JMR34" s="37"/>
      <c r="JMS34" s="37"/>
      <c r="JMT34" s="37"/>
      <c r="JMU34" s="37"/>
      <c r="JMV34" s="37"/>
      <c r="JMW34" s="37"/>
      <c r="JMX34" s="37"/>
      <c r="JMY34" s="37"/>
      <c r="JMZ34" s="37"/>
      <c r="JNA34" s="37"/>
      <c r="JNB34" s="37"/>
      <c r="JNC34" s="37"/>
      <c r="JND34" s="37"/>
      <c r="JNE34" s="37"/>
      <c r="JNF34" s="37"/>
      <c r="JNG34" s="37"/>
      <c r="JNH34" s="37"/>
      <c r="JNI34" s="37"/>
      <c r="JNJ34" s="37"/>
      <c r="JNK34" s="37"/>
      <c r="JNL34" s="37"/>
      <c r="JNM34" s="37"/>
      <c r="JNN34" s="37"/>
      <c r="JNO34" s="37"/>
      <c r="JNP34" s="37"/>
      <c r="JNQ34" s="37"/>
      <c r="JNR34" s="37"/>
      <c r="JNS34" s="37"/>
      <c r="JNT34" s="37"/>
      <c r="JNU34" s="37"/>
      <c r="JNV34" s="37"/>
      <c r="JNW34" s="37"/>
      <c r="JNX34" s="37"/>
      <c r="JNY34" s="37"/>
      <c r="JNZ34" s="37"/>
      <c r="JOA34" s="37"/>
      <c r="JOB34" s="37"/>
      <c r="JOC34" s="37"/>
      <c r="JOD34" s="37"/>
      <c r="JOE34" s="37"/>
      <c r="JOF34" s="37"/>
      <c r="JOG34" s="37"/>
      <c r="JOH34" s="37"/>
      <c r="JOI34" s="37"/>
      <c r="JOJ34" s="37"/>
      <c r="JOK34" s="37"/>
      <c r="JOL34" s="37"/>
      <c r="JOM34" s="37"/>
      <c r="JON34" s="37"/>
      <c r="JOO34" s="37"/>
      <c r="JOP34" s="37"/>
      <c r="JOQ34" s="37"/>
      <c r="JOR34" s="37"/>
      <c r="JOS34" s="37"/>
      <c r="JOT34" s="37"/>
      <c r="JOU34" s="37"/>
      <c r="JOV34" s="37"/>
      <c r="JOW34" s="37"/>
      <c r="JOX34" s="37"/>
      <c r="JOY34" s="37"/>
      <c r="JOZ34" s="37"/>
      <c r="JPA34" s="37"/>
      <c r="JPB34" s="37"/>
      <c r="JPC34" s="37"/>
      <c r="JPD34" s="37"/>
      <c r="JPE34" s="37"/>
      <c r="JPF34" s="37"/>
      <c r="JPG34" s="37"/>
      <c r="JPH34" s="37"/>
      <c r="JPI34" s="37"/>
      <c r="JPJ34" s="37"/>
      <c r="JPK34" s="37"/>
      <c r="JPL34" s="37"/>
      <c r="JPM34" s="37"/>
      <c r="JPN34" s="37"/>
      <c r="JPO34" s="37"/>
      <c r="JPP34" s="37"/>
      <c r="JPQ34" s="37"/>
      <c r="JPR34" s="37"/>
      <c r="JPS34" s="37"/>
      <c r="JPT34" s="37"/>
      <c r="JPU34" s="37"/>
      <c r="JPV34" s="37"/>
      <c r="JPW34" s="37"/>
      <c r="JPX34" s="37"/>
      <c r="JPY34" s="37"/>
      <c r="JPZ34" s="37"/>
      <c r="JQA34" s="37"/>
      <c r="JQB34" s="37"/>
      <c r="JQC34" s="37"/>
      <c r="JQD34" s="37"/>
      <c r="JQE34" s="37"/>
      <c r="JQF34" s="37"/>
      <c r="JQG34" s="37"/>
      <c r="JQH34" s="37"/>
      <c r="JQI34" s="37"/>
      <c r="JQJ34" s="37"/>
      <c r="JQK34" s="37"/>
      <c r="JQL34" s="37"/>
      <c r="JQM34" s="37"/>
      <c r="JQN34" s="37"/>
      <c r="JQO34" s="37"/>
      <c r="JQP34" s="37"/>
      <c r="JQQ34" s="37"/>
      <c r="JQR34" s="37"/>
      <c r="JQS34" s="37"/>
      <c r="JQT34" s="37"/>
      <c r="JQU34" s="37"/>
      <c r="JQV34" s="37"/>
      <c r="JQW34" s="37"/>
      <c r="JQX34" s="37"/>
      <c r="JQY34" s="37"/>
      <c r="JQZ34" s="37"/>
      <c r="JRA34" s="37"/>
      <c r="JRB34" s="37"/>
      <c r="JRC34" s="37"/>
      <c r="JRD34" s="37"/>
      <c r="JRE34" s="37"/>
      <c r="JRF34" s="37"/>
      <c r="JRG34" s="37"/>
      <c r="JRH34" s="37"/>
      <c r="JRI34" s="37"/>
      <c r="JRJ34" s="37"/>
      <c r="JRK34" s="37"/>
      <c r="JRL34" s="37"/>
      <c r="JRM34" s="37"/>
      <c r="JRN34" s="37"/>
      <c r="JRO34" s="37"/>
      <c r="JRP34" s="37"/>
      <c r="JRQ34" s="37"/>
      <c r="JRR34" s="37"/>
      <c r="JRS34" s="37"/>
      <c r="JRT34" s="37"/>
      <c r="JRU34" s="37"/>
      <c r="JRV34" s="37"/>
      <c r="JRW34" s="37"/>
      <c r="JRX34" s="37"/>
      <c r="JRY34" s="37"/>
      <c r="JRZ34" s="37"/>
      <c r="JSA34" s="37"/>
      <c r="JSB34" s="37"/>
      <c r="JSC34" s="37"/>
      <c r="JSD34" s="37"/>
      <c r="JSE34" s="37"/>
      <c r="JSF34" s="37"/>
      <c r="JSG34" s="37"/>
      <c r="JSH34" s="37"/>
      <c r="JSI34" s="37"/>
      <c r="JSJ34" s="37"/>
      <c r="JSK34" s="37"/>
      <c r="JSL34" s="37"/>
      <c r="JSM34" s="37"/>
      <c r="JSN34" s="37"/>
      <c r="JSO34" s="37"/>
      <c r="JSP34" s="37"/>
      <c r="JSQ34" s="37"/>
      <c r="JSR34" s="37"/>
      <c r="JSS34" s="37"/>
      <c r="JST34" s="37"/>
      <c r="JSU34" s="37"/>
      <c r="JSV34" s="37"/>
      <c r="JSW34" s="37"/>
      <c r="JSX34" s="37"/>
      <c r="JSY34" s="37"/>
      <c r="JSZ34" s="37"/>
      <c r="JTA34" s="37"/>
      <c r="JTB34" s="37"/>
      <c r="JTC34" s="37"/>
      <c r="JTD34" s="37"/>
      <c r="JTE34" s="37"/>
      <c r="JTF34" s="37"/>
      <c r="JTG34" s="37"/>
      <c r="JTH34" s="37"/>
      <c r="JTI34" s="37"/>
      <c r="JTJ34" s="37"/>
      <c r="JTK34" s="37"/>
      <c r="JTL34" s="37"/>
      <c r="JTM34" s="37"/>
      <c r="JTN34" s="37"/>
      <c r="JTO34" s="37"/>
      <c r="JTP34" s="37"/>
      <c r="JTQ34" s="37"/>
      <c r="JTR34" s="37"/>
      <c r="JTS34" s="37"/>
      <c r="JTT34" s="37"/>
      <c r="JTU34" s="37"/>
      <c r="JTV34" s="37"/>
      <c r="JTW34" s="37"/>
      <c r="JTX34" s="37"/>
      <c r="JTY34" s="37"/>
      <c r="JTZ34" s="37"/>
      <c r="JUA34" s="37"/>
      <c r="JUB34" s="37"/>
      <c r="JUC34" s="37"/>
      <c r="JUD34" s="37"/>
      <c r="JUE34" s="37"/>
      <c r="JUF34" s="37"/>
      <c r="JUG34" s="37"/>
      <c r="JUH34" s="37"/>
      <c r="JUI34" s="37"/>
      <c r="JUJ34" s="37"/>
      <c r="JUK34" s="37"/>
      <c r="JUL34" s="37"/>
      <c r="JUM34" s="37"/>
      <c r="JUN34" s="37"/>
      <c r="JUO34" s="37"/>
      <c r="JUP34" s="37"/>
      <c r="JUQ34" s="37"/>
      <c r="JUR34" s="37"/>
      <c r="JUS34" s="37"/>
      <c r="JUT34" s="37"/>
      <c r="JUU34" s="37"/>
      <c r="JUV34" s="37"/>
      <c r="JUW34" s="37"/>
      <c r="JUX34" s="37"/>
      <c r="JUY34" s="37"/>
      <c r="JUZ34" s="37"/>
      <c r="JVA34" s="37"/>
      <c r="JVB34" s="37"/>
      <c r="JVC34" s="37"/>
      <c r="JVD34" s="37"/>
      <c r="JVE34" s="37"/>
      <c r="JVF34" s="37"/>
      <c r="JVG34" s="37"/>
      <c r="JVH34" s="37"/>
      <c r="JVI34" s="37"/>
      <c r="JVJ34" s="37"/>
      <c r="JVK34" s="37"/>
      <c r="JVL34" s="37"/>
      <c r="JVM34" s="37"/>
      <c r="JVN34" s="37"/>
      <c r="JVO34" s="37"/>
      <c r="JVP34" s="37"/>
      <c r="JVQ34" s="37"/>
      <c r="JVR34" s="37"/>
      <c r="JVS34" s="37"/>
      <c r="JVT34" s="37"/>
      <c r="JVU34" s="37"/>
      <c r="JVV34" s="37"/>
      <c r="JVW34" s="37"/>
      <c r="JVX34" s="37"/>
      <c r="JVY34" s="37"/>
      <c r="JVZ34" s="37"/>
      <c r="JWA34" s="37"/>
      <c r="JWB34" s="37"/>
      <c r="JWC34" s="37"/>
      <c r="JWD34" s="37"/>
      <c r="JWE34" s="37"/>
      <c r="JWF34" s="37"/>
      <c r="JWG34" s="37"/>
      <c r="JWH34" s="37"/>
      <c r="JWI34" s="37"/>
      <c r="JWJ34" s="37"/>
      <c r="JWK34" s="37"/>
      <c r="JWL34" s="37"/>
      <c r="JWM34" s="37"/>
      <c r="JWN34" s="37"/>
      <c r="JWO34" s="37"/>
      <c r="JWP34" s="37"/>
      <c r="JWQ34" s="37"/>
      <c r="JWR34" s="37"/>
      <c r="JWS34" s="37"/>
      <c r="JWT34" s="37"/>
      <c r="JWU34" s="37"/>
      <c r="JWV34" s="37"/>
      <c r="JWW34" s="37"/>
      <c r="JWX34" s="37"/>
      <c r="JWY34" s="37"/>
      <c r="JWZ34" s="37"/>
      <c r="JXA34" s="37"/>
      <c r="JXB34" s="37"/>
      <c r="JXC34" s="37"/>
      <c r="JXD34" s="37"/>
      <c r="JXE34" s="37"/>
      <c r="JXF34" s="37"/>
      <c r="JXG34" s="37"/>
      <c r="JXH34" s="37"/>
      <c r="JXI34" s="37"/>
      <c r="JXJ34" s="37"/>
      <c r="JXK34" s="37"/>
      <c r="JXL34" s="37"/>
      <c r="JXM34" s="37"/>
      <c r="JXN34" s="37"/>
      <c r="JXO34" s="37"/>
      <c r="JXP34" s="37"/>
      <c r="JXQ34" s="37"/>
      <c r="JXR34" s="37"/>
      <c r="JXS34" s="37"/>
      <c r="JXT34" s="37"/>
      <c r="JXU34" s="37"/>
      <c r="JXV34" s="37"/>
      <c r="JXW34" s="37"/>
      <c r="JXX34" s="37"/>
      <c r="JXY34" s="37"/>
      <c r="JXZ34" s="37"/>
      <c r="JYA34" s="37"/>
      <c r="JYB34" s="37"/>
      <c r="JYC34" s="37"/>
      <c r="JYD34" s="37"/>
      <c r="JYE34" s="37"/>
      <c r="JYF34" s="37"/>
      <c r="JYG34" s="37"/>
      <c r="JYH34" s="37"/>
      <c r="JYI34" s="37"/>
      <c r="JYJ34" s="37"/>
      <c r="JYK34" s="37"/>
      <c r="JYL34" s="37"/>
      <c r="JYM34" s="37"/>
      <c r="JYN34" s="37"/>
      <c r="JYO34" s="37"/>
      <c r="JYP34" s="37"/>
      <c r="JYQ34" s="37"/>
      <c r="JYR34" s="37"/>
      <c r="JYS34" s="37"/>
      <c r="JYT34" s="37"/>
      <c r="JYU34" s="37"/>
      <c r="JYV34" s="37"/>
      <c r="JYW34" s="37"/>
      <c r="JYX34" s="37"/>
      <c r="JYY34" s="37"/>
      <c r="JYZ34" s="37"/>
      <c r="JZA34" s="37"/>
      <c r="JZB34" s="37"/>
      <c r="JZC34" s="37"/>
      <c r="JZD34" s="37"/>
      <c r="JZE34" s="37"/>
      <c r="JZF34" s="37"/>
      <c r="JZG34" s="37"/>
      <c r="JZH34" s="37"/>
      <c r="JZI34" s="37"/>
      <c r="JZJ34" s="37"/>
      <c r="JZK34" s="37"/>
      <c r="JZL34" s="37"/>
      <c r="JZM34" s="37"/>
      <c r="JZN34" s="37"/>
      <c r="JZO34" s="37"/>
      <c r="JZP34" s="37"/>
      <c r="JZQ34" s="37"/>
      <c r="JZR34" s="37"/>
      <c r="JZS34" s="37"/>
      <c r="JZT34" s="37"/>
      <c r="JZU34" s="37"/>
      <c r="JZV34" s="37"/>
      <c r="JZW34" s="37"/>
      <c r="JZX34" s="37"/>
      <c r="JZY34" s="37"/>
      <c r="JZZ34" s="37"/>
      <c r="KAA34" s="37"/>
      <c r="KAB34" s="37"/>
      <c r="KAC34" s="37"/>
      <c r="KAD34" s="37"/>
      <c r="KAE34" s="37"/>
      <c r="KAF34" s="37"/>
      <c r="KAG34" s="37"/>
      <c r="KAH34" s="37"/>
      <c r="KAI34" s="37"/>
      <c r="KAJ34" s="37"/>
      <c r="KAK34" s="37"/>
      <c r="KAL34" s="37"/>
      <c r="KAM34" s="37"/>
      <c r="KAN34" s="37"/>
      <c r="KAO34" s="37"/>
      <c r="KAP34" s="37"/>
      <c r="KAQ34" s="37"/>
      <c r="KAR34" s="37"/>
      <c r="KAS34" s="37"/>
      <c r="KAT34" s="37"/>
      <c r="KAU34" s="37"/>
      <c r="KAV34" s="37"/>
      <c r="KAW34" s="37"/>
      <c r="KAX34" s="37"/>
      <c r="KAY34" s="37"/>
      <c r="KAZ34" s="37"/>
      <c r="KBA34" s="37"/>
      <c r="KBB34" s="37"/>
      <c r="KBC34" s="37"/>
      <c r="KBD34" s="37"/>
      <c r="KBE34" s="37"/>
      <c r="KBF34" s="37"/>
      <c r="KBG34" s="37"/>
      <c r="KBH34" s="37"/>
      <c r="KBI34" s="37"/>
      <c r="KBJ34" s="37"/>
      <c r="KBK34" s="37"/>
      <c r="KBL34" s="37"/>
      <c r="KBM34" s="37"/>
      <c r="KBN34" s="37"/>
      <c r="KBO34" s="37"/>
      <c r="KBP34" s="37"/>
      <c r="KBQ34" s="37"/>
      <c r="KBR34" s="37"/>
      <c r="KBS34" s="37"/>
      <c r="KBT34" s="37"/>
      <c r="KBU34" s="37"/>
      <c r="KBV34" s="37"/>
      <c r="KBW34" s="37"/>
      <c r="KBX34" s="37"/>
      <c r="KBY34" s="37"/>
      <c r="KBZ34" s="37"/>
      <c r="KCA34" s="37"/>
      <c r="KCB34" s="37"/>
      <c r="KCC34" s="37"/>
      <c r="KCD34" s="37"/>
      <c r="KCE34" s="37"/>
      <c r="KCF34" s="37"/>
      <c r="KCG34" s="37"/>
      <c r="KCH34" s="37"/>
      <c r="KCI34" s="37"/>
      <c r="KCJ34" s="37"/>
      <c r="KCK34" s="37"/>
      <c r="KCL34" s="37"/>
      <c r="KCM34" s="37"/>
      <c r="KCN34" s="37"/>
      <c r="KCO34" s="37"/>
      <c r="KCP34" s="37"/>
      <c r="KCQ34" s="37"/>
      <c r="KCR34" s="37"/>
      <c r="KCS34" s="37"/>
      <c r="KCT34" s="37"/>
      <c r="KCU34" s="37"/>
      <c r="KCV34" s="37"/>
      <c r="KCW34" s="37"/>
      <c r="KCX34" s="37"/>
      <c r="KCY34" s="37"/>
      <c r="KCZ34" s="37"/>
      <c r="KDA34" s="37"/>
      <c r="KDB34" s="37"/>
      <c r="KDC34" s="37"/>
      <c r="KDD34" s="37"/>
      <c r="KDE34" s="37"/>
      <c r="KDF34" s="37"/>
      <c r="KDG34" s="37"/>
      <c r="KDH34" s="37"/>
      <c r="KDI34" s="37"/>
      <c r="KDJ34" s="37"/>
      <c r="KDK34" s="37"/>
      <c r="KDL34" s="37"/>
      <c r="KDM34" s="37"/>
      <c r="KDN34" s="37"/>
      <c r="KDO34" s="37"/>
      <c r="KDP34" s="37"/>
      <c r="KDQ34" s="37"/>
      <c r="KDR34" s="37"/>
      <c r="KDS34" s="37"/>
      <c r="KDT34" s="37"/>
      <c r="KDU34" s="37"/>
      <c r="KDV34" s="37"/>
      <c r="KDW34" s="37"/>
      <c r="KDX34" s="37"/>
      <c r="KDY34" s="37"/>
      <c r="KDZ34" s="37"/>
      <c r="KEA34" s="37"/>
      <c r="KEB34" s="37"/>
      <c r="KEC34" s="37"/>
      <c r="KED34" s="37"/>
      <c r="KEE34" s="37"/>
      <c r="KEF34" s="37"/>
      <c r="KEG34" s="37"/>
      <c r="KEH34" s="37"/>
      <c r="KEI34" s="37"/>
      <c r="KEJ34" s="37"/>
      <c r="KEK34" s="37"/>
      <c r="KEL34" s="37"/>
      <c r="KEM34" s="37"/>
      <c r="KEN34" s="37"/>
      <c r="KEO34" s="37"/>
      <c r="KEP34" s="37"/>
      <c r="KEQ34" s="37"/>
      <c r="KER34" s="37"/>
      <c r="KES34" s="37"/>
      <c r="KET34" s="37"/>
      <c r="KEU34" s="37"/>
      <c r="KEV34" s="37"/>
      <c r="KEW34" s="37"/>
      <c r="KEX34" s="37"/>
      <c r="KEY34" s="37"/>
      <c r="KEZ34" s="37"/>
      <c r="KFA34" s="37"/>
      <c r="KFB34" s="37"/>
      <c r="KFC34" s="37"/>
      <c r="KFD34" s="37"/>
      <c r="KFE34" s="37"/>
      <c r="KFF34" s="37"/>
      <c r="KFG34" s="37"/>
      <c r="KFH34" s="37"/>
      <c r="KFI34" s="37"/>
      <c r="KFJ34" s="37"/>
      <c r="KFK34" s="37"/>
      <c r="KFL34" s="37"/>
      <c r="KFM34" s="37"/>
      <c r="KFN34" s="37"/>
      <c r="KFO34" s="37"/>
      <c r="KFP34" s="37"/>
      <c r="KFQ34" s="37"/>
      <c r="KFR34" s="37"/>
      <c r="KFS34" s="37"/>
      <c r="KFT34" s="37"/>
      <c r="KFU34" s="37"/>
      <c r="KFV34" s="37"/>
      <c r="KFW34" s="37"/>
      <c r="KFX34" s="37"/>
      <c r="KFY34" s="37"/>
      <c r="KFZ34" s="37"/>
      <c r="KGA34" s="37"/>
      <c r="KGB34" s="37"/>
      <c r="KGC34" s="37"/>
      <c r="KGD34" s="37"/>
      <c r="KGE34" s="37"/>
      <c r="KGF34" s="37"/>
      <c r="KGG34" s="37"/>
      <c r="KGH34" s="37"/>
      <c r="KGI34" s="37"/>
      <c r="KGJ34" s="37"/>
      <c r="KGK34" s="37"/>
      <c r="KGL34" s="37"/>
      <c r="KGM34" s="37"/>
      <c r="KGN34" s="37"/>
      <c r="KGO34" s="37"/>
      <c r="KGP34" s="37"/>
      <c r="KGQ34" s="37"/>
      <c r="KGR34" s="37"/>
      <c r="KGS34" s="37"/>
      <c r="KGT34" s="37"/>
      <c r="KGU34" s="37"/>
      <c r="KGV34" s="37"/>
      <c r="KGW34" s="37"/>
      <c r="KGX34" s="37"/>
      <c r="KGY34" s="37"/>
      <c r="KGZ34" s="37"/>
      <c r="KHA34" s="37"/>
      <c r="KHB34" s="37"/>
      <c r="KHC34" s="37"/>
      <c r="KHD34" s="37"/>
      <c r="KHE34" s="37"/>
      <c r="KHF34" s="37"/>
      <c r="KHG34" s="37"/>
      <c r="KHH34" s="37"/>
      <c r="KHI34" s="37"/>
      <c r="KHJ34" s="37"/>
      <c r="KHK34" s="37"/>
      <c r="KHL34" s="37"/>
      <c r="KHM34" s="37"/>
      <c r="KHN34" s="37"/>
      <c r="KHO34" s="37"/>
      <c r="KHP34" s="37"/>
      <c r="KHQ34" s="37"/>
      <c r="KHR34" s="37"/>
      <c r="KHS34" s="37"/>
      <c r="KHT34" s="37"/>
      <c r="KHU34" s="37"/>
      <c r="KHV34" s="37"/>
      <c r="KHW34" s="37"/>
      <c r="KHX34" s="37"/>
      <c r="KHY34" s="37"/>
      <c r="KHZ34" s="37"/>
      <c r="KIA34" s="37"/>
      <c r="KIB34" s="37"/>
      <c r="KIC34" s="37"/>
      <c r="KID34" s="37"/>
      <c r="KIE34" s="37"/>
      <c r="KIF34" s="37"/>
      <c r="KIG34" s="37"/>
      <c r="KIH34" s="37"/>
      <c r="KII34" s="37"/>
      <c r="KIJ34" s="37"/>
      <c r="KIK34" s="37"/>
      <c r="KIL34" s="37"/>
      <c r="KIM34" s="37"/>
      <c r="KIN34" s="37"/>
      <c r="KIO34" s="37"/>
      <c r="KIP34" s="37"/>
      <c r="KIQ34" s="37"/>
      <c r="KIR34" s="37"/>
      <c r="KIS34" s="37"/>
      <c r="KIT34" s="37"/>
      <c r="KIU34" s="37"/>
      <c r="KIV34" s="37"/>
      <c r="KIW34" s="37"/>
      <c r="KIX34" s="37"/>
      <c r="KIY34" s="37"/>
      <c r="KIZ34" s="37"/>
      <c r="KJA34" s="37"/>
      <c r="KJB34" s="37"/>
      <c r="KJC34" s="37"/>
      <c r="KJD34" s="37"/>
      <c r="KJE34" s="37"/>
      <c r="KJF34" s="37"/>
      <c r="KJG34" s="37"/>
      <c r="KJH34" s="37"/>
      <c r="KJI34" s="37"/>
      <c r="KJJ34" s="37"/>
      <c r="KJK34" s="37"/>
      <c r="KJL34" s="37"/>
      <c r="KJM34" s="37"/>
      <c r="KJN34" s="37"/>
      <c r="KJO34" s="37"/>
      <c r="KJP34" s="37"/>
      <c r="KJQ34" s="37"/>
      <c r="KJR34" s="37"/>
      <c r="KJS34" s="37"/>
      <c r="KJT34" s="37"/>
      <c r="KJU34" s="37"/>
      <c r="KJV34" s="37"/>
      <c r="KJW34" s="37"/>
      <c r="KJX34" s="37"/>
      <c r="KJY34" s="37"/>
      <c r="KJZ34" s="37"/>
      <c r="KKA34" s="37"/>
      <c r="KKB34" s="37"/>
      <c r="KKC34" s="37"/>
      <c r="KKD34" s="37"/>
      <c r="KKE34" s="37"/>
      <c r="KKF34" s="37"/>
      <c r="KKG34" s="37"/>
      <c r="KKH34" s="37"/>
      <c r="KKI34" s="37"/>
      <c r="KKJ34" s="37"/>
      <c r="KKK34" s="37"/>
      <c r="KKL34" s="37"/>
      <c r="KKM34" s="37"/>
      <c r="KKN34" s="37"/>
      <c r="KKO34" s="37"/>
      <c r="KKP34" s="37"/>
      <c r="KKQ34" s="37"/>
      <c r="KKR34" s="37"/>
      <c r="KKS34" s="37"/>
      <c r="KKT34" s="37"/>
      <c r="KKU34" s="37"/>
      <c r="KKV34" s="37"/>
      <c r="KKW34" s="37"/>
      <c r="KKX34" s="37"/>
      <c r="KKY34" s="37"/>
      <c r="KKZ34" s="37"/>
      <c r="KLA34" s="37"/>
      <c r="KLB34" s="37"/>
      <c r="KLC34" s="37"/>
      <c r="KLD34" s="37"/>
      <c r="KLE34" s="37"/>
      <c r="KLF34" s="37"/>
      <c r="KLG34" s="37"/>
      <c r="KLH34" s="37"/>
      <c r="KLI34" s="37"/>
      <c r="KLJ34" s="37"/>
      <c r="KLK34" s="37"/>
      <c r="KLL34" s="37"/>
      <c r="KLM34" s="37"/>
      <c r="KLN34" s="37"/>
      <c r="KLO34" s="37"/>
      <c r="KLP34" s="37"/>
      <c r="KLQ34" s="37"/>
      <c r="KLR34" s="37"/>
      <c r="KLS34" s="37"/>
      <c r="KLT34" s="37"/>
      <c r="KLU34" s="37"/>
      <c r="KLV34" s="37"/>
      <c r="KLW34" s="37"/>
      <c r="KLX34" s="37"/>
      <c r="KLY34" s="37"/>
      <c r="KLZ34" s="37"/>
      <c r="KMA34" s="37"/>
      <c r="KMB34" s="37"/>
      <c r="KMC34" s="37"/>
      <c r="KMD34" s="37"/>
      <c r="KME34" s="37"/>
      <c r="KMF34" s="37"/>
      <c r="KMG34" s="37"/>
      <c r="KMH34" s="37"/>
      <c r="KMI34" s="37"/>
      <c r="KMJ34" s="37"/>
      <c r="KMK34" s="37"/>
      <c r="KML34" s="37"/>
      <c r="KMM34" s="37"/>
      <c r="KMN34" s="37"/>
      <c r="KMO34" s="37"/>
      <c r="KMP34" s="37"/>
      <c r="KMQ34" s="37"/>
      <c r="KMR34" s="37"/>
      <c r="KMS34" s="37"/>
      <c r="KMT34" s="37"/>
      <c r="KMU34" s="37"/>
      <c r="KMV34" s="37"/>
      <c r="KMW34" s="37"/>
      <c r="KMX34" s="37"/>
      <c r="KMY34" s="37"/>
      <c r="KMZ34" s="37"/>
      <c r="KNA34" s="37"/>
      <c r="KNB34" s="37"/>
      <c r="KNC34" s="37"/>
      <c r="KND34" s="37"/>
      <c r="KNE34" s="37"/>
      <c r="KNF34" s="37"/>
      <c r="KNG34" s="37"/>
      <c r="KNH34" s="37"/>
      <c r="KNI34" s="37"/>
      <c r="KNJ34" s="37"/>
      <c r="KNK34" s="37"/>
      <c r="KNL34" s="37"/>
      <c r="KNM34" s="37"/>
      <c r="KNN34" s="37"/>
      <c r="KNO34" s="37"/>
      <c r="KNP34" s="37"/>
      <c r="KNQ34" s="37"/>
      <c r="KNR34" s="37"/>
      <c r="KNS34" s="37"/>
      <c r="KNT34" s="37"/>
      <c r="KNU34" s="37"/>
      <c r="KNV34" s="37"/>
      <c r="KNW34" s="37"/>
      <c r="KNX34" s="37"/>
      <c r="KNY34" s="37"/>
      <c r="KNZ34" s="37"/>
      <c r="KOA34" s="37"/>
      <c r="KOB34" s="37"/>
      <c r="KOC34" s="37"/>
      <c r="KOD34" s="37"/>
      <c r="KOE34" s="37"/>
      <c r="KOF34" s="37"/>
      <c r="KOG34" s="37"/>
      <c r="KOH34" s="37"/>
      <c r="KOI34" s="37"/>
      <c r="KOJ34" s="37"/>
      <c r="KOK34" s="37"/>
      <c r="KOL34" s="37"/>
      <c r="KOM34" s="37"/>
      <c r="KON34" s="37"/>
      <c r="KOO34" s="37"/>
      <c r="KOP34" s="37"/>
      <c r="KOQ34" s="37"/>
      <c r="KOR34" s="37"/>
      <c r="KOS34" s="37"/>
      <c r="KOT34" s="37"/>
      <c r="KOU34" s="37"/>
      <c r="KOV34" s="37"/>
      <c r="KOW34" s="37"/>
      <c r="KOX34" s="37"/>
      <c r="KOY34" s="37"/>
      <c r="KOZ34" s="37"/>
      <c r="KPA34" s="37"/>
      <c r="KPB34" s="37"/>
      <c r="KPC34" s="37"/>
      <c r="KPD34" s="37"/>
      <c r="KPE34" s="37"/>
      <c r="KPF34" s="37"/>
      <c r="KPG34" s="37"/>
      <c r="KPH34" s="37"/>
      <c r="KPI34" s="37"/>
      <c r="KPJ34" s="37"/>
      <c r="KPK34" s="37"/>
      <c r="KPL34" s="37"/>
      <c r="KPM34" s="37"/>
      <c r="KPN34" s="37"/>
      <c r="KPO34" s="37"/>
      <c r="KPP34" s="37"/>
      <c r="KPQ34" s="37"/>
      <c r="KPR34" s="37"/>
      <c r="KPS34" s="37"/>
      <c r="KPT34" s="37"/>
      <c r="KPU34" s="37"/>
      <c r="KPV34" s="37"/>
      <c r="KPW34" s="37"/>
      <c r="KPX34" s="37"/>
      <c r="KPY34" s="37"/>
      <c r="KPZ34" s="37"/>
      <c r="KQA34" s="37"/>
      <c r="KQB34" s="37"/>
      <c r="KQC34" s="37"/>
      <c r="KQD34" s="37"/>
      <c r="KQE34" s="37"/>
      <c r="KQF34" s="37"/>
      <c r="KQG34" s="37"/>
      <c r="KQH34" s="37"/>
      <c r="KQI34" s="37"/>
      <c r="KQJ34" s="37"/>
      <c r="KQK34" s="37"/>
      <c r="KQL34" s="37"/>
      <c r="KQM34" s="37"/>
      <c r="KQN34" s="37"/>
      <c r="KQO34" s="37"/>
      <c r="KQP34" s="37"/>
      <c r="KQQ34" s="37"/>
      <c r="KQR34" s="37"/>
      <c r="KQS34" s="37"/>
      <c r="KQT34" s="37"/>
      <c r="KQU34" s="37"/>
      <c r="KQV34" s="37"/>
      <c r="KQW34" s="37"/>
      <c r="KQX34" s="37"/>
      <c r="KQY34" s="37"/>
      <c r="KQZ34" s="37"/>
      <c r="KRA34" s="37"/>
      <c r="KRB34" s="37"/>
      <c r="KRC34" s="37"/>
      <c r="KRD34" s="37"/>
      <c r="KRE34" s="37"/>
      <c r="KRF34" s="37"/>
      <c r="KRG34" s="37"/>
      <c r="KRH34" s="37"/>
      <c r="KRI34" s="37"/>
      <c r="KRJ34" s="37"/>
      <c r="KRK34" s="37"/>
      <c r="KRL34" s="37"/>
      <c r="KRM34" s="37"/>
      <c r="KRN34" s="37"/>
      <c r="KRO34" s="37"/>
      <c r="KRP34" s="37"/>
      <c r="KRQ34" s="37"/>
      <c r="KRR34" s="37"/>
      <c r="KRS34" s="37"/>
      <c r="KRT34" s="37"/>
      <c r="KRU34" s="37"/>
      <c r="KRV34" s="37"/>
      <c r="KRW34" s="37"/>
      <c r="KRX34" s="37"/>
      <c r="KRY34" s="37"/>
      <c r="KRZ34" s="37"/>
      <c r="KSA34" s="37"/>
      <c r="KSB34" s="37"/>
      <c r="KSC34" s="37"/>
      <c r="KSD34" s="37"/>
      <c r="KSE34" s="37"/>
      <c r="KSF34" s="37"/>
      <c r="KSG34" s="37"/>
      <c r="KSH34" s="37"/>
      <c r="KSI34" s="37"/>
      <c r="KSJ34" s="37"/>
      <c r="KSK34" s="37"/>
      <c r="KSL34" s="37"/>
      <c r="KSM34" s="37"/>
      <c r="KSN34" s="37"/>
      <c r="KSO34" s="37"/>
      <c r="KSP34" s="37"/>
      <c r="KSQ34" s="37"/>
      <c r="KSR34" s="37"/>
      <c r="KSS34" s="37"/>
      <c r="KST34" s="37"/>
      <c r="KSU34" s="37"/>
      <c r="KSV34" s="37"/>
      <c r="KSW34" s="37"/>
      <c r="KSX34" s="37"/>
      <c r="KSY34" s="37"/>
      <c r="KSZ34" s="37"/>
      <c r="KTA34" s="37"/>
      <c r="KTB34" s="37"/>
      <c r="KTC34" s="37"/>
      <c r="KTD34" s="37"/>
      <c r="KTE34" s="37"/>
      <c r="KTF34" s="37"/>
      <c r="KTG34" s="37"/>
      <c r="KTH34" s="37"/>
      <c r="KTI34" s="37"/>
      <c r="KTJ34" s="37"/>
      <c r="KTK34" s="37"/>
      <c r="KTL34" s="37"/>
      <c r="KTM34" s="37"/>
      <c r="KTN34" s="37"/>
      <c r="KTO34" s="37"/>
      <c r="KTP34" s="37"/>
      <c r="KTQ34" s="37"/>
      <c r="KTR34" s="37"/>
      <c r="KTS34" s="37"/>
      <c r="KTT34" s="37"/>
      <c r="KTU34" s="37"/>
      <c r="KTV34" s="37"/>
      <c r="KTW34" s="37"/>
      <c r="KTX34" s="37"/>
      <c r="KTY34" s="37"/>
      <c r="KTZ34" s="37"/>
      <c r="KUA34" s="37"/>
      <c r="KUB34" s="37"/>
      <c r="KUC34" s="37"/>
      <c r="KUD34" s="37"/>
      <c r="KUE34" s="37"/>
      <c r="KUF34" s="37"/>
      <c r="KUG34" s="37"/>
      <c r="KUH34" s="37"/>
      <c r="KUI34" s="37"/>
      <c r="KUJ34" s="37"/>
      <c r="KUK34" s="37"/>
      <c r="KUL34" s="37"/>
      <c r="KUM34" s="37"/>
      <c r="KUN34" s="37"/>
      <c r="KUO34" s="37"/>
      <c r="KUP34" s="37"/>
      <c r="KUQ34" s="37"/>
      <c r="KUR34" s="37"/>
      <c r="KUS34" s="37"/>
      <c r="KUT34" s="37"/>
      <c r="KUU34" s="37"/>
      <c r="KUV34" s="37"/>
      <c r="KUW34" s="37"/>
      <c r="KUX34" s="37"/>
      <c r="KUY34" s="37"/>
      <c r="KUZ34" s="37"/>
      <c r="KVA34" s="37"/>
      <c r="KVB34" s="37"/>
      <c r="KVC34" s="37"/>
      <c r="KVD34" s="37"/>
      <c r="KVE34" s="37"/>
      <c r="KVF34" s="37"/>
      <c r="KVG34" s="37"/>
      <c r="KVH34" s="37"/>
      <c r="KVI34" s="37"/>
      <c r="KVJ34" s="37"/>
      <c r="KVK34" s="37"/>
      <c r="KVL34" s="37"/>
      <c r="KVM34" s="37"/>
      <c r="KVN34" s="37"/>
      <c r="KVO34" s="37"/>
      <c r="KVP34" s="37"/>
      <c r="KVQ34" s="37"/>
      <c r="KVR34" s="37"/>
      <c r="KVS34" s="37"/>
      <c r="KVT34" s="37"/>
      <c r="KVU34" s="37"/>
      <c r="KVV34" s="37"/>
      <c r="KVW34" s="37"/>
      <c r="KVX34" s="37"/>
      <c r="KVY34" s="37"/>
      <c r="KVZ34" s="37"/>
      <c r="KWA34" s="37"/>
      <c r="KWB34" s="37"/>
      <c r="KWC34" s="37"/>
      <c r="KWD34" s="37"/>
      <c r="KWE34" s="37"/>
      <c r="KWF34" s="37"/>
      <c r="KWG34" s="37"/>
      <c r="KWH34" s="37"/>
      <c r="KWI34" s="37"/>
      <c r="KWJ34" s="37"/>
      <c r="KWK34" s="37"/>
      <c r="KWL34" s="37"/>
      <c r="KWM34" s="37"/>
      <c r="KWN34" s="37"/>
      <c r="KWO34" s="37"/>
      <c r="KWP34" s="37"/>
      <c r="KWQ34" s="37"/>
      <c r="KWR34" s="37"/>
      <c r="KWS34" s="37"/>
      <c r="KWT34" s="37"/>
      <c r="KWU34" s="37"/>
      <c r="KWV34" s="37"/>
      <c r="KWW34" s="37"/>
      <c r="KWX34" s="37"/>
      <c r="KWY34" s="37"/>
      <c r="KWZ34" s="37"/>
      <c r="KXA34" s="37"/>
      <c r="KXB34" s="37"/>
      <c r="KXC34" s="37"/>
      <c r="KXD34" s="37"/>
      <c r="KXE34" s="37"/>
      <c r="KXF34" s="37"/>
      <c r="KXG34" s="37"/>
      <c r="KXH34" s="37"/>
      <c r="KXI34" s="37"/>
      <c r="KXJ34" s="37"/>
      <c r="KXK34" s="37"/>
      <c r="KXL34" s="37"/>
      <c r="KXM34" s="37"/>
      <c r="KXN34" s="37"/>
      <c r="KXO34" s="37"/>
      <c r="KXP34" s="37"/>
      <c r="KXQ34" s="37"/>
      <c r="KXR34" s="37"/>
      <c r="KXS34" s="37"/>
      <c r="KXT34" s="37"/>
      <c r="KXU34" s="37"/>
      <c r="KXV34" s="37"/>
      <c r="KXW34" s="37"/>
      <c r="KXX34" s="37"/>
      <c r="KXY34" s="37"/>
      <c r="KXZ34" s="37"/>
      <c r="KYA34" s="37"/>
      <c r="KYB34" s="37"/>
      <c r="KYC34" s="37"/>
      <c r="KYD34" s="37"/>
      <c r="KYE34" s="37"/>
      <c r="KYF34" s="37"/>
      <c r="KYG34" s="37"/>
      <c r="KYH34" s="37"/>
      <c r="KYI34" s="37"/>
      <c r="KYJ34" s="37"/>
      <c r="KYK34" s="37"/>
      <c r="KYL34" s="37"/>
      <c r="KYM34" s="37"/>
      <c r="KYN34" s="37"/>
      <c r="KYO34" s="37"/>
      <c r="KYP34" s="37"/>
      <c r="KYQ34" s="37"/>
      <c r="KYR34" s="37"/>
      <c r="KYS34" s="37"/>
      <c r="KYT34" s="37"/>
      <c r="KYU34" s="37"/>
      <c r="KYV34" s="37"/>
      <c r="KYW34" s="37"/>
      <c r="KYX34" s="37"/>
      <c r="KYY34" s="37"/>
      <c r="KYZ34" s="37"/>
      <c r="KZA34" s="37"/>
      <c r="KZB34" s="37"/>
      <c r="KZC34" s="37"/>
      <c r="KZD34" s="37"/>
      <c r="KZE34" s="37"/>
      <c r="KZF34" s="37"/>
      <c r="KZG34" s="37"/>
      <c r="KZH34" s="37"/>
      <c r="KZI34" s="37"/>
      <c r="KZJ34" s="37"/>
      <c r="KZK34" s="37"/>
      <c r="KZL34" s="37"/>
      <c r="KZM34" s="37"/>
      <c r="KZN34" s="37"/>
      <c r="KZO34" s="37"/>
      <c r="KZP34" s="37"/>
      <c r="KZQ34" s="37"/>
      <c r="KZR34" s="37"/>
      <c r="KZS34" s="37"/>
      <c r="KZT34" s="37"/>
      <c r="KZU34" s="37"/>
      <c r="KZV34" s="37"/>
      <c r="KZW34" s="37"/>
      <c r="KZX34" s="37"/>
      <c r="KZY34" s="37"/>
      <c r="KZZ34" s="37"/>
      <c r="LAA34" s="37"/>
      <c r="LAB34" s="37"/>
      <c r="LAC34" s="37"/>
      <c r="LAD34" s="37"/>
      <c r="LAE34" s="37"/>
      <c r="LAF34" s="37"/>
      <c r="LAG34" s="37"/>
      <c r="LAH34" s="37"/>
      <c r="LAI34" s="37"/>
      <c r="LAJ34" s="37"/>
      <c r="LAK34" s="37"/>
      <c r="LAL34" s="37"/>
      <c r="LAM34" s="37"/>
      <c r="LAN34" s="37"/>
      <c r="LAO34" s="37"/>
      <c r="LAP34" s="37"/>
      <c r="LAQ34" s="37"/>
      <c r="LAR34" s="37"/>
      <c r="LAS34" s="37"/>
      <c r="LAT34" s="37"/>
      <c r="LAU34" s="37"/>
      <c r="LAV34" s="37"/>
      <c r="LAW34" s="37"/>
      <c r="LAX34" s="37"/>
      <c r="LAY34" s="37"/>
      <c r="LAZ34" s="37"/>
      <c r="LBA34" s="37"/>
      <c r="LBB34" s="37"/>
      <c r="LBC34" s="37"/>
      <c r="LBD34" s="37"/>
      <c r="LBE34" s="37"/>
      <c r="LBF34" s="37"/>
      <c r="LBG34" s="37"/>
      <c r="LBH34" s="37"/>
      <c r="LBI34" s="37"/>
      <c r="LBJ34" s="37"/>
      <c r="LBK34" s="37"/>
      <c r="LBL34" s="37"/>
      <c r="LBM34" s="37"/>
      <c r="LBN34" s="37"/>
      <c r="LBO34" s="37"/>
      <c r="LBP34" s="37"/>
      <c r="LBQ34" s="37"/>
      <c r="LBR34" s="37"/>
      <c r="LBS34" s="37"/>
      <c r="LBT34" s="37"/>
      <c r="LBU34" s="37"/>
      <c r="LBV34" s="37"/>
      <c r="LBW34" s="37"/>
      <c r="LBX34" s="37"/>
      <c r="LBY34" s="37"/>
      <c r="LBZ34" s="37"/>
      <c r="LCA34" s="37"/>
      <c r="LCB34" s="37"/>
      <c r="LCC34" s="37"/>
      <c r="LCD34" s="37"/>
      <c r="LCE34" s="37"/>
      <c r="LCF34" s="37"/>
      <c r="LCG34" s="37"/>
      <c r="LCH34" s="37"/>
      <c r="LCI34" s="37"/>
      <c r="LCJ34" s="37"/>
      <c r="LCK34" s="37"/>
      <c r="LCL34" s="37"/>
      <c r="LCM34" s="37"/>
      <c r="LCN34" s="37"/>
      <c r="LCO34" s="37"/>
      <c r="LCP34" s="37"/>
      <c r="LCQ34" s="37"/>
      <c r="LCR34" s="37"/>
      <c r="LCS34" s="37"/>
      <c r="LCT34" s="37"/>
      <c r="LCU34" s="37"/>
      <c r="LCV34" s="37"/>
      <c r="LCW34" s="37"/>
      <c r="LCX34" s="37"/>
      <c r="LCY34" s="37"/>
      <c r="LCZ34" s="37"/>
      <c r="LDA34" s="37"/>
      <c r="LDB34" s="37"/>
      <c r="LDC34" s="37"/>
      <c r="LDD34" s="37"/>
      <c r="LDE34" s="37"/>
      <c r="LDF34" s="37"/>
      <c r="LDG34" s="37"/>
      <c r="LDH34" s="37"/>
      <c r="LDI34" s="37"/>
      <c r="LDJ34" s="37"/>
      <c r="LDK34" s="37"/>
      <c r="LDL34" s="37"/>
      <c r="LDM34" s="37"/>
      <c r="LDN34" s="37"/>
      <c r="LDO34" s="37"/>
      <c r="LDP34" s="37"/>
      <c r="LDQ34" s="37"/>
      <c r="LDR34" s="37"/>
      <c r="LDS34" s="37"/>
      <c r="LDT34" s="37"/>
      <c r="LDU34" s="37"/>
      <c r="LDV34" s="37"/>
      <c r="LDW34" s="37"/>
      <c r="LDX34" s="37"/>
      <c r="LDY34" s="37"/>
      <c r="LDZ34" s="37"/>
      <c r="LEA34" s="37"/>
      <c r="LEB34" s="37"/>
      <c r="LEC34" s="37"/>
      <c r="LED34" s="37"/>
      <c r="LEE34" s="37"/>
      <c r="LEF34" s="37"/>
      <c r="LEG34" s="37"/>
      <c r="LEH34" s="37"/>
      <c r="LEI34" s="37"/>
      <c r="LEJ34" s="37"/>
      <c r="LEK34" s="37"/>
      <c r="LEL34" s="37"/>
      <c r="LEM34" s="37"/>
      <c r="LEN34" s="37"/>
      <c r="LEO34" s="37"/>
      <c r="LEP34" s="37"/>
      <c r="LEQ34" s="37"/>
      <c r="LER34" s="37"/>
      <c r="LES34" s="37"/>
      <c r="LET34" s="37"/>
      <c r="LEU34" s="37"/>
      <c r="LEV34" s="37"/>
      <c r="LEW34" s="37"/>
      <c r="LEX34" s="37"/>
      <c r="LEY34" s="37"/>
      <c r="LEZ34" s="37"/>
      <c r="LFA34" s="37"/>
      <c r="LFB34" s="37"/>
      <c r="LFC34" s="37"/>
      <c r="LFD34" s="37"/>
      <c r="LFE34" s="37"/>
      <c r="LFF34" s="37"/>
      <c r="LFG34" s="37"/>
      <c r="LFH34" s="37"/>
      <c r="LFI34" s="37"/>
      <c r="LFJ34" s="37"/>
      <c r="LFK34" s="37"/>
      <c r="LFL34" s="37"/>
      <c r="LFM34" s="37"/>
      <c r="LFN34" s="37"/>
      <c r="LFO34" s="37"/>
      <c r="LFP34" s="37"/>
      <c r="LFQ34" s="37"/>
      <c r="LFR34" s="37"/>
      <c r="LFS34" s="37"/>
      <c r="LFT34" s="37"/>
      <c r="LFU34" s="37"/>
      <c r="LFV34" s="37"/>
      <c r="LFW34" s="37"/>
      <c r="LFX34" s="37"/>
      <c r="LFY34" s="37"/>
      <c r="LFZ34" s="37"/>
      <c r="LGA34" s="37"/>
      <c r="LGB34" s="37"/>
      <c r="LGC34" s="37"/>
      <c r="LGD34" s="37"/>
      <c r="LGE34" s="37"/>
      <c r="LGF34" s="37"/>
      <c r="LGG34" s="37"/>
      <c r="LGH34" s="37"/>
      <c r="LGI34" s="37"/>
      <c r="LGJ34" s="37"/>
      <c r="LGK34" s="37"/>
      <c r="LGL34" s="37"/>
      <c r="LGM34" s="37"/>
      <c r="LGN34" s="37"/>
      <c r="LGO34" s="37"/>
      <c r="LGP34" s="37"/>
      <c r="LGQ34" s="37"/>
      <c r="LGR34" s="37"/>
      <c r="LGS34" s="37"/>
      <c r="LGT34" s="37"/>
      <c r="LGU34" s="37"/>
      <c r="LGV34" s="37"/>
      <c r="LGW34" s="37"/>
      <c r="LGX34" s="37"/>
      <c r="LGY34" s="37"/>
      <c r="LGZ34" s="37"/>
      <c r="LHA34" s="37"/>
      <c r="LHB34" s="37"/>
      <c r="LHC34" s="37"/>
      <c r="LHD34" s="37"/>
      <c r="LHE34" s="37"/>
      <c r="LHF34" s="37"/>
      <c r="LHG34" s="37"/>
      <c r="LHH34" s="37"/>
      <c r="LHI34" s="37"/>
      <c r="LHJ34" s="37"/>
      <c r="LHK34" s="37"/>
      <c r="LHL34" s="37"/>
      <c r="LHM34" s="37"/>
      <c r="LHN34" s="37"/>
      <c r="LHO34" s="37"/>
      <c r="LHP34" s="37"/>
      <c r="LHQ34" s="37"/>
      <c r="LHR34" s="37"/>
      <c r="LHS34" s="37"/>
      <c r="LHT34" s="37"/>
      <c r="LHU34" s="37"/>
      <c r="LHV34" s="37"/>
      <c r="LHW34" s="37"/>
      <c r="LHX34" s="37"/>
      <c r="LHY34" s="37"/>
      <c r="LHZ34" s="37"/>
      <c r="LIA34" s="37"/>
      <c r="LIB34" s="37"/>
      <c r="LIC34" s="37"/>
      <c r="LID34" s="37"/>
      <c r="LIE34" s="37"/>
      <c r="LIF34" s="37"/>
      <c r="LIG34" s="37"/>
      <c r="LIH34" s="37"/>
      <c r="LII34" s="37"/>
      <c r="LIJ34" s="37"/>
      <c r="LIK34" s="37"/>
      <c r="LIL34" s="37"/>
      <c r="LIM34" s="37"/>
      <c r="LIN34" s="37"/>
      <c r="LIO34" s="37"/>
      <c r="LIP34" s="37"/>
      <c r="LIQ34" s="37"/>
      <c r="LIR34" s="37"/>
      <c r="LIS34" s="37"/>
      <c r="LIT34" s="37"/>
      <c r="LIU34" s="37"/>
      <c r="LIV34" s="37"/>
      <c r="LIW34" s="37"/>
      <c r="LIX34" s="37"/>
      <c r="LIY34" s="37"/>
      <c r="LIZ34" s="37"/>
      <c r="LJA34" s="37"/>
      <c r="LJB34" s="37"/>
      <c r="LJC34" s="37"/>
      <c r="LJD34" s="37"/>
      <c r="LJE34" s="37"/>
      <c r="LJF34" s="37"/>
      <c r="LJG34" s="37"/>
      <c r="LJH34" s="37"/>
      <c r="LJI34" s="37"/>
      <c r="LJJ34" s="37"/>
      <c r="LJK34" s="37"/>
      <c r="LJL34" s="37"/>
      <c r="LJM34" s="37"/>
      <c r="LJN34" s="37"/>
      <c r="LJO34" s="37"/>
      <c r="LJP34" s="37"/>
      <c r="LJQ34" s="37"/>
      <c r="LJR34" s="37"/>
      <c r="LJS34" s="37"/>
      <c r="LJT34" s="37"/>
      <c r="LJU34" s="37"/>
      <c r="LJV34" s="37"/>
      <c r="LJW34" s="37"/>
      <c r="LJX34" s="37"/>
      <c r="LJY34" s="37"/>
      <c r="LJZ34" s="37"/>
      <c r="LKA34" s="37"/>
      <c r="LKB34" s="37"/>
      <c r="LKC34" s="37"/>
      <c r="LKD34" s="37"/>
      <c r="LKE34" s="37"/>
      <c r="LKF34" s="37"/>
      <c r="LKG34" s="37"/>
      <c r="LKH34" s="37"/>
      <c r="LKI34" s="37"/>
      <c r="LKJ34" s="37"/>
      <c r="LKK34" s="37"/>
      <c r="LKL34" s="37"/>
      <c r="LKM34" s="37"/>
      <c r="LKN34" s="37"/>
      <c r="LKO34" s="37"/>
      <c r="LKP34" s="37"/>
      <c r="LKQ34" s="37"/>
      <c r="LKR34" s="37"/>
      <c r="LKS34" s="37"/>
      <c r="LKT34" s="37"/>
      <c r="LKU34" s="37"/>
      <c r="LKV34" s="37"/>
      <c r="LKW34" s="37"/>
      <c r="LKX34" s="37"/>
      <c r="LKY34" s="37"/>
      <c r="LKZ34" s="37"/>
      <c r="LLA34" s="37"/>
      <c r="LLB34" s="37"/>
      <c r="LLC34" s="37"/>
      <c r="LLD34" s="37"/>
      <c r="LLE34" s="37"/>
      <c r="LLF34" s="37"/>
      <c r="LLG34" s="37"/>
      <c r="LLH34" s="37"/>
      <c r="LLI34" s="37"/>
      <c r="LLJ34" s="37"/>
      <c r="LLK34" s="37"/>
      <c r="LLL34" s="37"/>
      <c r="LLM34" s="37"/>
      <c r="LLN34" s="37"/>
      <c r="LLO34" s="37"/>
      <c r="LLP34" s="37"/>
      <c r="LLQ34" s="37"/>
      <c r="LLR34" s="37"/>
      <c r="LLS34" s="37"/>
      <c r="LLT34" s="37"/>
      <c r="LLU34" s="37"/>
      <c r="LLV34" s="37"/>
      <c r="LLW34" s="37"/>
      <c r="LLX34" s="37"/>
      <c r="LLY34" s="37"/>
      <c r="LLZ34" s="37"/>
      <c r="LMA34" s="37"/>
      <c r="LMB34" s="37"/>
      <c r="LMC34" s="37"/>
      <c r="LMD34" s="37"/>
      <c r="LME34" s="37"/>
      <c r="LMF34" s="37"/>
      <c r="LMG34" s="37"/>
      <c r="LMH34" s="37"/>
      <c r="LMI34" s="37"/>
      <c r="LMJ34" s="37"/>
      <c r="LMK34" s="37"/>
      <c r="LML34" s="37"/>
      <c r="LMM34" s="37"/>
      <c r="LMN34" s="37"/>
      <c r="LMO34" s="37"/>
      <c r="LMP34" s="37"/>
      <c r="LMQ34" s="37"/>
      <c r="LMR34" s="37"/>
      <c r="LMS34" s="37"/>
      <c r="LMT34" s="37"/>
      <c r="LMU34" s="37"/>
      <c r="LMV34" s="37"/>
      <c r="LMW34" s="37"/>
      <c r="LMX34" s="37"/>
      <c r="LMY34" s="37"/>
      <c r="LMZ34" s="37"/>
      <c r="LNA34" s="37"/>
      <c r="LNB34" s="37"/>
      <c r="LNC34" s="37"/>
      <c r="LND34" s="37"/>
      <c r="LNE34" s="37"/>
      <c r="LNF34" s="37"/>
      <c r="LNG34" s="37"/>
      <c r="LNH34" s="37"/>
      <c r="LNI34" s="37"/>
      <c r="LNJ34" s="37"/>
      <c r="LNK34" s="37"/>
      <c r="LNL34" s="37"/>
      <c r="LNM34" s="37"/>
      <c r="LNN34" s="37"/>
      <c r="LNO34" s="37"/>
      <c r="LNP34" s="37"/>
      <c r="LNQ34" s="37"/>
      <c r="LNR34" s="37"/>
      <c r="LNS34" s="37"/>
      <c r="LNT34" s="37"/>
      <c r="LNU34" s="37"/>
      <c r="LNV34" s="37"/>
      <c r="LNW34" s="37"/>
      <c r="LNX34" s="37"/>
      <c r="LNY34" s="37"/>
      <c r="LNZ34" s="37"/>
      <c r="LOA34" s="37"/>
      <c r="LOB34" s="37"/>
      <c r="LOC34" s="37"/>
      <c r="LOD34" s="37"/>
      <c r="LOE34" s="37"/>
      <c r="LOF34" s="37"/>
      <c r="LOG34" s="37"/>
      <c r="LOH34" s="37"/>
      <c r="LOI34" s="37"/>
      <c r="LOJ34" s="37"/>
      <c r="LOK34" s="37"/>
      <c r="LOL34" s="37"/>
      <c r="LOM34" s="37"/>
      <c r="LON34" s="37"/>
      <c r="LOO34" s="37"/>
      <c r="LOP34" s="37"/>
      <c r="LOQ34" s="37"/>
      <c r="LOR34" s="37"/>
      <c r="LOS34" s="37"/>
      <c r="LOT34" s="37"/>
      <c r="LOU34" s="37"/>
      <c r="LOV34" s="37"/>
      <c r="LOW34" s="37"/>
      <c r="LOX34" s="37"/>
      <c r="LOY34" s="37"/>
      <c r="LOZ34" s="37"/>
      <c r="LPA34" s="37"/>
      <c r="LPB34" s="37"/>
      <c r="LPC34" s="37"/>
      <c r="LPD34" s="37"/>
      <c r="LPE34" s="37"/>
      <c r="LPF34" s="37"/>
      <c r="LPG34" s="37"/>
      <c r="LPH34" s="37"/>
      <c r="LPI34" s="37"/>
      <c r="LPJ34" s="37"/>
      <c r="LPK34" s="37"/>
      <c r="LPL34" s="37"/>
      <c r="LPM34" s="37"/>
      <c r="LPN34" s="37"/>
      <c r="LPO34" s="37"/>
      <c r="LPP34" s="37"/>
      <c r="LPQ34" s="37"/>
      <c r="LPR34" s="37"/>
      <c r="LPS34" s="37"/>
      <c r="LPT34" s="37"/>
      <c r="LPU34" s="37"/>
      <c r="LPV34" s="37"/>
      <c r="LPW34" s="37"/>
      <c r="LPX34" s="37"/>
      <c r="LPY34" s="37"/>
      <c r="LPZ34" s="37"/>
      <c r="LQA34" s="37"/>
      <c r="LQB34" s="37"/>
      <c r="LQC34" s="37"/>
      <c r="LQD34" s="37"/>
      <c r="LQE34" s="37"/>
      <c r="LQF34" s="37"/>
      <c r="LQG34" s="37"/>
      <c r="LQH34" s="37"/>
      <c r="LQI34" s="37"/>
      <c r="LQJ34" s="37"/>
      <c r="LQK34" s="37"/>
      <c r="LQL34" s="37"/>
      <c r="LQM34" s="37"/>
      <c r="LQN34" s="37"/>
      <c r="LQO34" s="37"/>
      <c r="LQP34" s="37"/>
      <c r="LQQ34" s="37"/>
      <c r="LQR34" s="37"/>
      <c r="LQS34" s="37"/>
      <c r="LQT34" s="37"/>
      <c r="LQU34" s="37"/>
      <c r="LQV34" s="37"/>
      <c r="LQW34" s="37"/>
      <c r="LQX34" s="37"/>
      <c r="LQY34" s="37"/>
      <c r="LQZ34" s="37"/>
      <c r="LRA34" s="37"/>
      <c r="LRB34" s="37"/>
      <c r="LRC34" s="37"/>
      <c r="LRD34" s="37"/>
      <c r="LRE34" s="37"/>
      <c r="LRF34" s="37"/>
      <c r="LRG34" s="37"/>
      <c r="LRH34" s="37"/>
      <c r="LRI34" s="37"/>
      <c r="LRJ34" s="37"/>
      <c r="LRK34" s="37"/>
      <c r="LRL34" s="37"/>
      <c r="LRM34" s="37"/>
      <c r="LRN34" s="37"/>
      <c r="LRO34" s="37"/>
      <c r="LRP34" s="37"/>
      <c r="LRQ34" s="37"/>
      <c r="LRR34" s="37"/>
      <c r="LRS34" s="37"/>
      <c r="LRT34" s="37"/>
      <c r="LRU34" s="37"/>
      <c r="LRV34" s="37"/>
      <c r="LRW34" s="37"/>
      <c r="LRX34" s="37"/>
      <c r="LRY34" s="37"/>
      <c r="LRZ34" s="37"/>
      <c r="LSA34" s="37"/>
      <c r="LSB34" s="37"/>
      <c r="LSC34" s="37"/>
      <c r="LSD34" s="37"/>
      <c r="LSE34" s="37"/>
      <c r="LSF34" s="37"/>
      <c r="LSG34" s="37"/>
      <c r="LSH34" s="37"/>
      <c r="LSI34" s="37"/>
      <c r="LSJ34" s="37"/>
      <c r="LSK34" s="37"/>
      <c r="LSL34" s="37"/>
      <c r="LSM34" s="37"/>
      <c r="LSN34" s="37"/>
      <c r="LSO34" s="37"/>
      <c r="LSP34" s="37"/>
      <c r="LSQ34" s="37"/>
      <c r="LSR34" s="37"/>
      <c r="LSS34" s="37"/>
      <c r="LST34" s="37"/>
      <c r="LSU34" s="37"/>
      <c r="LSV34" s="37"/>
      <c r="LSW34" s="37"/>
      <c r="LSX34" s="37"/>
      <c r="LSY34" s="37"/>
      <c r="LSZ34" s="37"/>
      <c r="LTA34" s="37"/>
      <c r="LTB34" s="37"/>
      <c r="LTC34" s="37"/>
      <c r="LTD34" s="37"/>
      <c r="LTE34" s="37"/>
      <c r="LTF34" s="37"/>
      <c r="LTG34" s="37"/>
      <c r="LTH34" s="37"/>
      <c r="LTI34" s="37"/>
      <c r="LTJ34" s="37"/>
      <c r="LTK34" s="37"/>
      <c r="LTL34" s="37"/>
      <c r="LTM34" s="37"/>
      <c r="LTN34" s="37"/>
      <c r="LTO34" s="37"/>
      <c r="LTP34" s="37"/>
      <c r="LTQ34" s="37"/>
      <c r="LTR34" s="37"/>
      <c r="LTS34" s="37"/>
      <c r="LTT34" s="37"/>
      <c r="LTU34" s="37"/>
      <c r="LTV34" s="37"/>
      <c r="LTW34" s="37"/>
      <c r="LTX34" s="37"/>
      <c r="LTY34" s="37"/>
      <c r="LTZ34" s="37"/>
      <c r="LUA34" s="37"/>
      <c r="LUB34" s="37"/>
      <c r="LUC34" s="37"/>
      <c r="LUD34" s="37"/>
      <c r="LUE34" s="37"/>
      <c r="LUF34" s="37"/>
      <c r="LUG34" s="37"/>
      <c r="LUH34" s="37"/>
      <c r="LUI34" s="37"/>
      <c r="LUJ34" s="37"/>
      <c r="LUK34" s="37"/>
      <c r="LUL34" s="37"/>
      <c r="LUM34" s="37"/>
      <c r="LUN34" s="37"/>
      <c r="LUO34" s="37"/>
      <c r="LUP34" s="37"/>
      <c r="LUQ34" s="37"/>
      <c r="LUR34" s="37"/>
      <c r="LUS34" s="37"/>
      <c r="LUT34" s="37"/>
      <c r="LUU34" s="37"/>
      <c r="LUV34" s="37"/>
      <c r="LUW34" s="37"/>
      <c r="LUX34" s="37"/>
      <c r="LUY34" s="37"/>
      <c r="LUZ34" s="37"/>
      <c r="LVA34" s="37"/>
      <c r="LVB34" s="37"/>
      <c r="LVC34" s="37"/>
      <c r="LVD34" s="37"/>
      <c r="LVE34" s="37"/>
      <c r="LVF34" s="37"/>
      <c r="LVG34" s="37"/>
      <c r="LVH34" s="37"/>
      <c r="LVI34" s="37"/>
      <c r="LVJ34" s="37"/>
      <c r="LVK34" s="37"/>
      <c r="LVL34" s="37"/>
      <c r="LVM34" s="37"/>
      <c r="LVN34" s="37"/>
      <c r="LVO34" s="37"/>
      <c r="LVP34" s="37"/>
      <c r="LVQ34" s="37"/>
      <c r="LVR34" s="37"/>
      <c r="LVS34" s="37"/>
      <c r="LVT34" s="37"/>
      <c r="LVU34" s="37"/>
      <c r="LVV34" s="37"/>
      <c r="LVW34" s="37"/>
      <c r="LVX34" s="37"/>
      <c r="LVY34" s="37"/>
      <c r="LVZ34" s="37"/>
      <c r="LWA34" s="37"/>
      <c r="LWB34" s="37"/>
      <c r="LWC34" s="37"/>
      <c r="LWD34" s="37"/>
      <c r="LWE34" s="37"/>
      <c r="LWF34" s="37"/>
      <c r="LWG34" s="37"/>
      <c r="LWH34" s="37"/>
      <c r="LWI34" s="37"/>
      <c r="LWJ34" s="37"/>
      <c r="LWK34" s="37"/>
      <c r="LWL34" s="37"/>
      <c r="LWM34" s="37"/>
      <c r="LWN34" s="37"/>
      <c r="LWO34" s="37"/>
      <c r="LWP34" s="37"/>
      <c r="LWQ34" s="37"/>
      <c r="LWR34" s="37"/>
      <c r="LWS34" s="37"/>
      <c r="LWT34" s="37"/>
      <c r="LWU34" s="37"/>
      <c r="LWV34" s="37"/>
      <c r="LWW34" s="37"/>
      <c r="LWX34" s="37"/>
      <c r="LWY34" s="37"/>
      <c r="LWZ34" s="37"/>
      <c r="LXA34" s="37"/>
      <c r="LXB34" s="37"/>
      <c r="LXC34" s="37"/>
      <c r="LXD34" s="37"/>
      <c r="LXE34" s="37"/>
      <c r="LXF34" s="37"/>
      <c r="LXG34" s="37"/>
      <c r="LXH34" s="37"/>
      <c r="LXI34" s="37"/>
      <c r="LXJ34" s="37"/>
      <c r="LXK34" s="37"/>
      <c r="LXL34" s="37"/>
      <c r="LXM34" s="37"/>
      <c r="LXN34" s="37"/>
      <c r="LXO34" s="37"/>
      <c r="LXP34" s="37"/>
      <c r="LXQ34" s="37"/>
      <c r="LXR34" s="37"/>
      <c r="LXS34" s="37"/>
      <c r="LXT34" s="37"/>
      <c r="LXU34" s="37"/>
      <c r="LXV34" s="37"/>
      <c r="LXW34" s="37"/>
      <c r="LXX34" s="37"/>
      <c r="LXY34" s="37"/>
      <c r="LXZ34" s="37"/>
      <c r="LYA34" s="37"/>
      <c r="LYB34" s="37"/>
      <c r="LYC34" s="37"/>
      <c r="LYD34" s="37"/>
      <c r="LYE34" s="37"/>
      <c r="LYF34" s="37"/>
      <c r="LYG34" s="37"/>
      <c r="LYH34" s="37"/>
      <c r="LYI34" s="37"/>
      <c r="LYJ34" s="37"/>
      <c r="LYK34" s="37"/>
      <c r="LYL34" s="37"/>
      <c r="LYM34" s="37"/>
      <c r="LYN34" s="37"/>
      <c r="LYO34" s="37"/>
      <c r="LYP34" s="37"/>
      <c r="LYQ34" s="37"/>
      <c r="LYR34" s="37"/>
      <c r="LYS34" s="37"/>
      <c r="LYT34" s="37"/>
      <c r="LYU34" s="37"/>
      <c r="LYV34" s="37"/>
      <c r="LYW34" s="37"/>
      <c r="LYX34" s="37"/>
      <c r="LYY34" s="37"/>
      <c r="LYZ34" s="37"/>
      <c r="LZA34" s="37"/>
      <c r="LZB34" s="37"/>
      <c r="LZC34" s="37"/>
      <c r="LZD34" s="37"/>
      <c r="LZE34" s="37"/>
      <c r="LZF34" s="37"/>
      <c r="LZG34" s="37"/>
      <c r="LZH34" s="37"/>
      <c r="LZI34" s="37"/>
      <c r="LZJ34" s="37"/>
      <c r="LZK34" s="37"/>
      <c r="LZL34" s="37"/>
      <c r="LZM34" s="37"/>
      <c r="LZN34" s="37"/>
      <c r="LZO34" s="37"/>
      <c r="LZP34" s="37"/>
      <c r="LZQ34" s="37"/>
      <c r="LZR34" s="37"/>
      <c r="LZS34" s="37"/>
      <c r="LZT34" s="37"/>
      <c r="LZU34" s="37"/>
      <c r="LZV34" s="37"/>
      <c r="LZW34" s="37"/>
      <c r="LZX34" s="37"/>
      <c r="LZY34" s="37"/>
      <c r="LZZ34" s="37"/>
      <c r="MAA34" s="37"/>
      <c r="MAB34" s="37"/>
      <c r="MAC34" s="37"/>
      <c r="MAD34" s="37"/>
      <c r="MAE34" s="37"/>
      <c r="MAF34" s="37"/>
      <c r="MAG34" s="37"/>
      <c r="MAH34" s="37"/>
      <c r="MAI34" s="37"/>
      <c r="MAJ34" s="37"/>
      <c r="MAK34" s="37"/>
      <c r="MAL34" s="37"/>
      <c r="MAM34" s="37"/>
      <c r="MAN34" s="37"/>
      <c r="MAO34" s="37"/>
      <c r="MAP34" s="37"/>
      <c r="MAQ34" s="37"/>
      <c r="MAR34" s="37"/>
      <c r="MAS34" s="37"/>
      <c r="MAT34" s="37"/>
      <c r="MAU34" s="37"/>
      <c r="MAV34" s="37"/>
      <c r="MAW34" s="37"/>
      <c r="MAX34" s="37"/>
      <c r="MAY34" s="37"/>
      <c r="MAZ34" s="37"/>
      <c r="MBA34" s="37"/>
      <c r="MBB34" s="37"/>
      <c r="MBC34" s="37"/>
      <c r="MBD34" s="37"/>
      <c r="MBE34" s="37"/>
      <c r="MBF34" s="37"/>
      <c r="MBG34" s="37"/>
      <c r="MBH34" s="37"/>
      <c r="MBI34" s="37"/>
      <c r="MBJ34" s="37"/>
      <c r="MBK34" s="37"/>
      <c r="MBL34" s="37"/>
      <c r="MBM34" s="37"/>
      <c r="MBN34" s="37"/>
      <c r="MBO34" s="37"/>
      <c r="MBP34" s="37"/>
      <c r="MBQ34" s="37"/>
      <c r="MBR34" s="37"/>
      <c r="MBS34" s="37"/>
      <c r="MBT34" s="37"/>
      <c r="MBU34" s="37"/>
      <c r="MBV34" s="37"/>
      <c r="MBW34" s="37"/>
      <c r="MBX34" s="37"/>
      <c r="MBY34" s="37"/>
      <c r="MBZ34" s="37"/>
      <c r="MCA34" s="37"/>
      <c r="MCB34" s="37"/>
      <c r="MCC34" s="37"/>
      <c r="MCD34" s="37"/>
      <c r="MCE34" s="37"/>
      <c r="MCF34" s="37"/>
      <c r="MCG34" s="37"/>
      <c r="MCH34" s="37"/>
      <c r="MCI34" s="37"/>
      <c r="MCJ34" s="37"/>
      <c r="MCK34" s="37"/>
      <c r="MCL34" s="37"/>
      <c r="MCM34" s="37"/>
      <c r="MCN34" s="37"/>
      <c r="MCO34" s="37"/>
      <c r="MCP34" s="37"/>
      <c r="MCQ34" s="37"/>
      <c r="MCR34" s="37"/>
      <c r="MCS34" s="37"/>
      <c r="MCT34" s="37"/>
      <c r="MCU34" s="37"/>
      <c r="MCV34" s="37"/>
      <c r="MCW34" s="37"/>
      <c r="MCX34" s="37"/>
      <c r="MCY34" s="37"/>
      <c r="MCZ34" s="37"/>
      <c r="MDA34" s="37"/>
      <c r="MDB34" s="37"/>
      <c r="MDC34" s="37"/>
      <c r="MDD34" s="37"/>
      <c r="MDE34" s="37"/>
      <c r="MDF34" s="37"/>
      <c r="MDG34" s="37"/>
      <c r="MDH34" s="37"/>
      <c r="MDI34" s="37"/>
      <c r="MDJ34" s="37"/>
      <c r="MDK34" s="37"/>
      <c r="MDL34" s="37"/>
      <c r="MDM34" s="37"/>
      <c r="MDN34" s="37"/>
      <c r="MDO34" s="37"/>
      <c r="MDP34" s="37"/>
      <c r="MDQ34" s="37"/>
      <c r="MDR34" s="37"/>
      <c r="MDS34" s="37"/>
      <c r="MDT34" s="37"/>
      <c r="MDU34" s="37"/>
      <c r="MDV34" s="37"/>
      <c r="MDW34" s="37"/>
      <c r="MDX34" s="37"/>
      <c r="MDY34" s="37"/>
      <c r="MDZ34" s="37"/>
      <c r="MEA34" s="37"/>
      <c r="MEB34" s="37"/>
      <c r="MEC34" s="37"/>
      <c r="MED34" s="37"/>
      <c r="MEE34" s="37"/>
      <c r="MEF34" s="37"/>
      <c r="MEG34" s="37"/>
      <c r="MEH34" s="37"/>
      <c r="MEI34" s="37"/>
      <c r="MEJ34" s="37"/>
      <c r="MEK34" s="37"/>
      <c r="MEL34" s="37"/>
      <c r="MEM34" s="37"/>
      <c r="MEN34" s="37"/>
      <c r="MEO34" s="37"/>
      <c r="MEP34" s="37"/>
      <c r="MEQ34" s="37"/>
      <c r="MER34" s="37"/>
      <c r="MES34" s="37"/>
      <c r="MET34" s="37"/>
      <c r="MEU34" s="37"/>
      <c r="MEV34" s="37"/>
      <c r="MEW34" s="37"/>
      <c r="MEX34" s="37"/>
      <c r="MEY34" s="37"/>
      <c r="MEZ34" s="37"/>
      <c r="MFA34" s="37"/>
      <c r="MFB34" s="37"/>
      <c r="MFC34" s="37"/>
      <c r="MFD34" s="37"/>
      <c r="MFE34" s="37"/>
      <c r="MFF34" s="37"/>
      <c r="MFG34" s="37"/>
      <c r="MFH34" s="37"/>
      <c r="MFI34" s="37"/>
      <c r="MFJ34" s="37"/>
      <c r="MFK34" s="37"/>
      <c r="MFL34" s="37"/>
      <c r="MFM34" s="37"/>
      <c r="MFN34" s="37"/>
      <c r="MFO34" s="37"/>
      <c r="MFP34" s="37"/>
      <c r="MFQ34" s="37"/>
      <c r="MFR34" s="37"/>
      <c r="MFS34" s="37"/>
      <c r="MFT34" s="37"/>
      <c r="MFU34" s="37"/>
      <c r="MFV34" s="37"/>
      <c r="MFW34" s="37"/>
      <c r="MFX34" s="37"/>
      <c r="MFY34" s="37"/>
      <c r="MFZ34" s="37"/>
      <c r="MGA34" s="37"/>
      <c r="MGB34" s="37"/>
      <c r="MGC34" s="37"/>
      <c r="MGD34" s="37"/>
      <c r="MGE34" s="37"/>
      <c r="MGF34" s="37"/>
      <c r="MGG34" s="37"/>
      <c r="MGH34" s="37"/>
      <c r="MGI34" s="37"/>
      <c r="MGJ34" s="37"/>
      <c r="MGK34" s="37"/>
      <c r="MGL34" s="37"/>
      <c r="MGM34" s="37"/>
      <c r="MGN34" s="37"/>
      <c r="MGO34" s="37"/>
      <c r="MGP34" s="37"/>
      <c r="MGQ34" s="37"/>
      <c r="MGR34" s="37"/>
      <c r="MGS34" s="37"/>
      <c r="MGT34" s="37"/>
      <c r="MGU34" s="37"/>
      <c r="MGV34" s="37"/>
      <c r="MGW34" s="37"/>
      <c r="MGX34" s="37"/>
      <c r="MGY34" s="37"/>
      <c r="MGZ34" s="37"/>
      <c r="MHA34" s="37"/>
      <c r="MHB34" s="37"/>
      <c r="MHC34" s="37"/>
      <c r="MHD34" s="37"/>
      <c r="MHE34" s="37"/>
      <c r="MHF34" s="37"/>
      <c r="MHG34" s="37"/>
      <c r="MHH34" s="37"/>
      <c r="MHI34" s="37"/>
      <c r="MHJ34" s="37"/>
      <c r="MHK34" s="37"/>
      <c r="MHL34" s="37"/>
      <c r="MHM34" s="37"/>
      <c r="MHN34" s="37"/>
      <c r="MHO34" s="37"/>
      <c r="MHP34" s="37"/>
      <c r="MHQ34" s="37"/>
      <c r="MHR34" s="37"/>
      <c r="MHS34" s="37"/>
      <c r="MHT34" s="37"/>
      <c r="MHU34" s="37"/>
      <c r="MHV34" s="37"/>
      <c r="MHW34" s="37"/>
      <c r="MHX34" s="37"/>
      <c r="MHY34" s="37"/>
      <c r="MHZ34" s="37"/>
      <c r="MIA34" s="37"/>
      <c r="MIB34" s="37"/>
      <c r="MIC34" s="37"/>
      <c r="MID34" s="37"/>
      <c r="MIE34" s="37"/>
      <c r="MIF34" s="37"/>
      <c r="MIG34" s="37"/>
      <c r="MIH34" s="37"/>
      <c r="MII34" s="37"/>
      <c r="MIJ34" s="37"/>
      <c r="MIK34" s="37"/>
      <c r="MIL34" s="37"/>
      <c r="MIM34" s="37"/>
      <c r="MIN34" s="37"/>
      <c r="MIO34" s="37"/>
      <c r="MIP34" s="37"/>
      <c r="MIQ34" s="37"/>
      <c r="MIR34" s="37"/>
      <c r="MIS34" s="37"/>
      <c r="MIT34" s="37"/>
      <c r="MIU34" s="37"/>
      <c r="MIV34" s="37"/>
      <c r="MIW34" s="37"/>
      <c r="MIX34" s="37"/>
      <c r="MIY34" s="37"/>
      <c r="MIZ34" s="37"/>
      <c r="MJA34" s="37"/>
      <c r="MJB34" s="37"/>
      <c r="MJC34" s="37"/>
      <c r="MJD34" s="37"/>
      <c r="MJE34" s="37"/>
      <c r="MJF34" s="37"/>
      <c r="MJG34" s="37"/>
      <c r="MJH34" s="37"/>
      <c r="MJI34" s="37"/>
      <c r="MJJ34" s="37"/>
      <c r="MJK34" s="37"/>
      <c r="MJL34" s="37"/>
      <c r="MJM34" s="37"/>
      <c r="MJN34" s="37"/>
      <c r="MJO34" s="37"/>
      <c r="MJP34" s="37"/>
      <c r="MJQ34" s="37"/>
      <c r="MJR34" s="37"/>
      <c r="MJS34" s="37"/>
      <c r="MJT34" s="37"/>
      <c r="MJU34" s="37"/>
      <c r="MJV34" s="37"/>
      <c r="MJW34" s="37"/>
      <c r="MJX34" s="37"/>
      <c r="MJY34" s="37"/>
      <c r="MJZ34" s="37"/>
      <c r="MKA34" s="37"/>
      <c r="MKB34" s="37"/>
      <c r="MKC34" s="37"/>
      <c r="MKD34" s="37"/>
      <c r="MKE34" s="37"/>
      <c r="MKF34" s="37"/>
      <c r="MKG34" s="37"/>
      <c r="MKH34" s="37"/>
      <c r="MKI34" s="37"/>
      <c r="MKJ34" s="37"/>
      <c r="MKK34" s="37"/>
      <c r="MKL34" s="37"/>
      <c r="MKM34" s="37"/>
      <c r="MKN34" s="37"/>
      <c r="MKO34" s="37"/>
      <c r="MKP34" s="37"/>
      <c r="MKQ34" s="37"/>
      <c r="MKR34" s="37"/>
      <c r="MKS34" s="37"/>
      <c r="MKT34" s="37"/>
      <c r="MKU34" s="37"/>
      <c r="MKV34" s="37"/>
      <c r="MKW34" s="37"/>
      <c r="MKX34" s="37"/>
      <c r="MKY34" s="37"/>
      <c r="MKZ34" s="37"/>
      <c r="MLA34" s="37"/>
      <c r="MLB34" s="37"/>
      <c r="MLC34" s="37"/>
      <c r="MLD34" s="37"/>
      <c r="MLE34" s="37"/>
      <c r="MLF34" s="37"/>
      <c r="MLG34" s="37"/>
      <c r="MLH34" s="37"/>
      <c r="MLI34" s="37"/>
      <c r="MLJ34" s="37"/>
      <c r="MLK34" s="37"/>
      <c r="MLL34" s="37"/>
      <c r="MLM34" s="37"/>
      <c r="MLN34" s="37"/>
      <c r="MLO34" s="37"/>
      <c r="MLP34" s="37"/>
      <c r="MLQ34" s="37"/>
      <c r="MLR34" s="37"/>
      <c r="MLS34" s="37"/>
      <c r="MLT34" s="37"/>
      <c r="MLU34" s="37"/>
      <c r="MLV34" s="37"/>
      <c r="MLW34" s="37"/>
      <c r="MLX34" s="37"/>
      <c r="MLY34" s="37"/>
      <c r="MLZ34" s="37"/>
      <c r="MMA34" s="37"/>
      <c r="MMB34" s="37"/>
      <c r="MMC34" s="37"/>
      <c r="MMD34" s="37"/>
      <c r="MME34" s="37"/>
      <c r="MMF34" s="37"/>
      <c r="MMG34" s="37"/>
      <c r="MMH34" s="37"/>
      <c r="MMI34" s="37"/>
      <c r="MMJ34" s="37"/>
      <c r="MMK34" s="37"/>
      <c r="MML34" s="37"/>
      <c r="MMM34" s="37"/>
      <c r="MMN34" s="37"/>
      <c r="MMO34" s="37"/>
      <c r="MMP34" s="37"/>
      <c r="MMQ34" s="37"/>
      <c r="MMR34" s="37"/>
      <c r="MMS34" s="37"/>
      <c r="MMT34" s="37"/>
      <c r="MMU34" s="37"/>
      <c r="MMV34" s="37"/>
      <c r="MMW34" s="37"/>
      <c r="MMX34" s="37"/>
      <c r="MMY34" s="37"/>
      <c r="MMZ34" s="37"/>
      <c r="MNA34" s="37"/>
      <c r="MNB34" s="37"/>
      <c r="MNC34" s="37"/>
      <c r="MND34" s="37"/>
      <c r="MNE34" s="37"/>
      <c r="MNF34" s="37"/>
      <c r="MNG34" s="37"/>
      <c r="MNH34" s="37"/>
      <c r="MNI34" s="37"/>
      <c r="MNJ34" s="37"/>
      <c r="MNK34" s="37"/>
      <c r="MNL34" s="37"/>
      <c r="MNM34" s="37"/>
      <c r="MNN34" s="37"/>
      <c r="MNO34" s="37"/>
      <c r="MNP34" s="37"/>
      <c r="MNQ34" s="37"/>
      <c r="MNR34" s="37"/>
      <c r="MNS34" s="37"/>
      <c r="MNT34" s="37"/>
      <c r="MNU34" s="37"/>
      <c r="MNV34" s="37"/>
      <c r="MNW34" s="37"/>
      <c r="MNX34" s="37"/>
      <c r="MNY34" s="37"/>
      <c r="MNZ34" s="37"/>
      <c r="MOA34" s="37"/>
      <c r="MOB34" s="37"/>
      <c r="MOC34" s="37"/>
      <c r="MOD34" s="37"/>
      <c r="MOE34" s="37"/>
      <c r="MOF34" s="37"/>
      <c r="MOG34" s="37"/>
      <c r="MOH34" s="37"/>
      <c r="MOI34" s="37"/>
      <c r="MOJ34" s="37"/>
      <c r="MOK34" s="37"/>
      <c r="MOL34" s="37"/>
      <c r="MOM34" s="37"/>
      <c r="MON34" s="37"/>
      <c r="MOO34" s="37"/>
      <c r="MOP34" s="37"/>
      <c r="MOQ34" s="37"/>
      <c r="MOR34" s="37"/>
      <c r="MOS34" s="37"/>
      <c r="MOT34" s="37"/>
      <c r="MOU34" s="37"/>
      <c r="MOV34" s="37"/>
      <c r="MOW34" s="37"/>
      <c r="MOX34" s="37"/>
      <c r="MOY34" s="37"/>
      <c r="MOZ34" s="37"/>
      <c r="MPA34" s="37"/>
      <c r="MPB34" s="37"/>
      <c r="MPC34" s="37"/>
      <c r="MPD34" s="37"/>
      <c r="MPE34" s="37"/>
      <c r="MPF34" s="37"/>
      <c r="MPG34" s="37"/>
      <c r="MPH34" s="37"/>
      <c r="MPI34" s="37"/>
      <c r="MPJ34" s="37"/>
      <c r="MPK34" s="37"/>
      <c r="MPL34" s="37"/>
      <c r="MPM34" s="37"/>
      <c r="MPN34" s="37"/>
      <c r="MPO34" s="37"/>
      <c r="MPP34" s="37"/>
      <c r="MPQ34" s="37"/>
      <c r="MPR34" s="37"/>
      <c r="MPS34" s="37"/>
      <c r="MPT34" s="37"/>
      <c r="MPU34" s="37"/>
      <c r="MPV34" s="37"/>
      <c r="MPW34" s="37"/>
      <c r="MPX34" s="37"/>
      <c r="MPY34" s="37"/>
      <c r="MPZ34" s="37"/>
      <c r="MQA34" s="37"/>
      <c r="MQB34" s="37"/>
      <c r="MQC34" s="37"/>
      <c r="MQD34" s="37"/>
      <c r="MQE34" s="37"/>
      <c r="MQF34" s="37"/>
      <c r="MQG34" s="37"/>
      <c r="MQH34" s="37"/>
      <c r="MQI34" s="37"/>
      <c r="MQJ34" s="37"/>
      <c r="MQK34" s="37"/>
      <c r="MQL34" s="37"/>
      <c r="MQM34" s="37"/>
      <c r="MQN34" s="37"/>
      <c r="MQO34" s="37"/>
      <c r="MQP34" s="37"/>
      <c r="MQQ34" s="37"/>
      <c r="MQR34" s="37"/>
      <c r="MQS34" s="37"/>
      <c r="MQT34" s="37"/>
      <c r="MQU34" s="37"/>
      <c r="MQV34" s="37"/>
      <c r="MQW34" s="37"/>
      <c r="MQX34" s="37"/>
      <c r="MQY34" s="37"/>
      <c r="MQZ34" s="37"/>
      <c r="MRA34" s="37"/>
      <c r="MRB34" s="37"/>
      <c r="MRC34" s="37"/>
      <c r="MRD34" s="37"/>
      <c r="MRE34" s="37"/>
      <c r="MRF34" s="37"/>
      <c r="MRG34" s="37"/>
      <c r="MRH34" s="37"/>
      <c r="MRI34" s="37"/>
      <c r="MRJ34" s="37"/>
      <c r="MRK34" s="37"/>
      <c r="MRL34" s="37"/>
      <c r="MRM34" s="37"/>
      <c r="MRN34" s="37"/>
      <c r="MRO34" s="37"/>
      <c r="MRP34" s="37"/>
      <c r="MRQ34" s="37"/>
      <c r="MRR34" s="37"/>
      <c r="MRS34" s="37"/>
      <c r="MRT34" s="37"/>
      <c r="MRU34" s="37"/>
      <c r="MRV34" s="37"/>
      <c r="MRW34" s="37"/>
      <c r="MRX34" s="37"/>
      <c r="MRY34" s="37"/>
      <c r="MRZ34" s="37"/>
      <c r="MSA34" s="37"/>
      <c r="MSB34" s="37"/>
      <c r="MSC34" s="37"/>
      <c r="MSD34" s="37"/>
      <c r="MSE34" s="37"/>
      <c r="MSF34" s="37"/>
      <c r="MSG34" s="37"/>
      <c r="MSH34" s="37"/>
      <c r="MSI34" s="37"/>
      <c r="MSJ34" s="37"/>
      <c r="MSK34" s="37"/>
      <c r="MSL34" s="37"/>
      <c r="MSM34" s="37"/>
      <c r="MSN34" s="37"/>
      <c r="MSO34" s="37"/>
      <c r="MSP34" s="37"/>
      <c r="MSQ34" s="37"/>
      <c r="MSR34" s="37"/>
      <c r="MSS34" s="37"/>
      <c r="MST34" s="37"/>
      <c r="MSU34" s="37"/>
      <c r="MSV34" s="37"/>
      <c r="MSW34" s="37"/>
      <c r="MSX34" s="37"/>
      <c r="MSY34" s="37"/>
      <c r="MSZ34" s="37"/>
      <c r="MTA34" s="37"/>
      <c r="MTB34" s="37"/>
      <c r="MTC34" s="37"/>
      <c r="MTD34" s="37"/>
      <c r="MTE34" s="37"/>
      <c r="MTF34" s="37"/>
      <c r="MTG34" s="37"/>
      <c r="MTH34" s="37"/>
      <c r="MTI34" s="37"/>
      <c r="MTJ34" s="37"/>
      <c r="MTK34" s="37"/>
      <c r="MTL34" s="37"/>
      <c r="MTM34" s="37"/>
      <c r="MTN34" s="37"/>
      <c r="MTO34" s="37"/>
      <c r="MTP34" s="37"/>
      <c r="MTQ34" s="37"/>
      <c r="MTR34" s="37"/>
      <c r="MTS34" s="37"/>
      <c r="MTT34" s="37"/>
      <c r="MTU34" s="37"/>
      <c r="MTV34" s="37"/>
      <c r="MTW34" s="37"/>
      <c r="MTX34" s="37"/>
      <c r="MTY34" s="37"/>
      <c r="MTZ34" s="37"/>
      <c r="MUA34" s="37"/>
      <c r="MUB34" s="37"/>
      <c r="MUC34" s="37"/>
      <c r="MUD34" s="37"/>
      <c r="MUE34" s="37"/>
      <c r="MUF34" s="37"/>
      <c r="MUG34" s="37"/>
      <c r="MUH34" s="37"/>
      <c r="MUI34" s="37"/>
      <c r="MUJ34" s="37"/>
      <c r="MUK34" s="37"/>
      <c r="MUL34" s="37"/>
      <c r="MUM34" s="37"/>
      <c r="MUN34" s="37"/>
      <c r="MUO34" s="37"/>
      <c r="MUP34" s="37"/>
      <c r="MUQ34" s="37"/>
      <c r="MUR34" s="37"/>
      <c r="MUS34" s="37"/>
      <c r="MUT34" s="37"/>
      <c r="MUU34" s="37"/>
      <c r="MUV34" s="37"/>
      <c r="MUW34" s="37"/>
      <c r="MUX34" s="37"/>
      <c r="MUY34" s="37"/>
      <c r="MUZ34" s="37"/>
      <c r="MVA34" s="37"/>
      <c r="MVB34" s="37"/>
      <c r="MVC34" s="37"/>
      <c r="MVD34" s="37"/>
      <c r="MVE34" s="37"/>
      <c r="MVF34" s="37"/>
      <c r="MVG34" s="37"/>
      <c r="MVH34" s="37"/>
      <c r="MVI34" s="37"/>
      <c r="MVJ34" s="37"/>
      <c r="MVK34" s="37"/>
      <c r="MVL34" s="37"/>
      <c r="MVM34" s="37"/>
      <c r="MVN34" s="37"/>
      <c r="MVO34" s="37"/>
      <c r="MVP34" s="37"/>
      <c r="MVQ34" s="37"/>
      <c r="MVR34" s="37"/>
      <c r="MVS34" s="37"/>
      <c r="MVT34" s="37"/>
      <c r="MVU34" s="37"/>
      <c r="MVV34" s="37"/>
      <c r="MVW34" s="37"/>
      <c r="MVX34" s="37"/>
      <c r="MVY34" s="37"/>
      <c r="MVZ34" s="37"/>
      <c r="MWA34" s="37"/>
      <c r="MWB34" s="37"/>
      <c r="MWC34" s="37"/>
      <c r="MWD34" s="37"/>
      <c r="MWE34" s="37"/>
      <c r="MWF34" s="37"/>
      <c r="MWG34" s="37"/>
      <c r="MWH34" s="37"/>
      <c r="MWI34" s="37"/>
      <c r="MWJ34" s="37"/>
      <c r="MWK34" s="37"/>
      <c r="MWL34" s="37"/>
      <c r="MWM34" s="37"/>
      <c r="MWN34" s="37"/>
      <c r="MWO34" s="37"/>
      <c r="MWP34" s="37"/>
      <c r="MWQ34" s="37"/>
      <c r="MWR34" s="37"/>
      <c r="MWS34" s="37"/>
      <c r="MWT34" s="37"/>
      <c r="MWU34" s="37"/>
      <c r="MWV34" s="37"/>
      <c r="MWW34" s="37"/>
      <c r="MWX34" s="37"/>
      <c r="MWY34" s="37"/>
      <c r="MWZ34" s="37"/>
      <c r="MXA34" s="37"/>
      <c r="MXB34" s="37"/>
      <c r="MXC34" s="37"/>
      <c r="MXD34" s="37"/>
      <c r="MXE34" s="37"/>
      <c r="MXF34" s="37"/>
      <c r="MXG34" s="37"/>
      <c r="MXH34" s="37"/>
      <c r="MXI34" s="37"/>
      <c r="MXJ34" s="37"/>
      <c r="MXK34" s="37"/>
      <c r="MXL34" s="37"/>
      <c r="MXM34" s="37"/>
      <c r="MXN34" s="37"/>
      <c r="MXO34" s="37"/>
      <c r="MXP34" s="37"/>
      <c r="MXQ34" s="37"/>
      <c r="MXR34" s="37"/>
      <c r="MXS34" s="37"/>
      <c r="MXT34" s="37"/>
      <c r="MXU34" s="37"/>
      <c r="MXV34" s="37"/>
      <c r="MXW34" s="37"/>
      <c r="MXX34" s="37"/>
      <c r="MXY34" s="37"/>
      <c r="MXZ34" s="37"/>
      <c r="MYA34" s="37"/>
      <c r="MYB34" s="37"/>
      <c r="MYC34" s="37"/>
      <c r="MYD34" s="37"/>
      <c r="MYE34" s="37"/>
      <c r="MYF34" s="37"/>
      <c r="MYG34" s="37"/>
      <c r="MYH34" s="37"/>
      <c r="MYI34" s="37"/>
      <c r="MYJ34" s="37"/>
      <c r="MYK34" s="37"/>
      <c r="MYL34" s="37"/>
      <c r="MYM34" s="37"/>
      <c r="MYN34" s="37"/>
      <c r="MYO34" s="37"/>
      <c r="MYP34" s="37"/>
      <c r="MYQ34" s="37"/>
      <c r="MYR34" s="37"/>
      <c r="MYS34" s="37"/>
      <c r="MYT34" s="37"/>
      <c r="MYU34" s="37"/>
      <c r="MYV34" s="37"/>
      <c r="MYW34" s="37"/>
      <c r="MYX34" s="37"/>
      <c r="MYY34" s="37"/>
      <c r="MYZ34" s="37"/>
      <c r="MZA34" s="37"/>
      <c r="MZB34" s="37"/>
      <c r="MZC34" s="37"/>
      <c r="MZD34" s="37"/>
      <c r="MZE34" s="37"/>
      <c r="MZF34" s="37"/>
      <c r="MZG34" s="37"/>
      <c r="MZH34" s="37"/>
      <c r="MZI34" s="37"/>
      <c r="MZJ34" s="37"/>
      <c r="MZK34" s="37"/>
      <c r="MZL34" s="37"/>
      <c r="MZM34" s="37"/>
      <c r="MZN34" s="37"/>
      <c r="MZO34" s="37"/>
      <c r="MZP34" s="37"/>
      <c r="MZQ34" s="37"/>
      <c r="MZR34" s="37"/>
      <c r="MZS34" s="37"/>
      <c r="MZT34" s="37"/>
      <c r="MZU34" s="37"/>
      <c r="MZV34" s="37"/>
      <c r="MZW34" s="37"/>
      <c r="MZX34" s="37"/>
      <c r="MZY34" s="37"/>
      <c r="MZZ34" s="37"/>
      <c r="NAA34" s="37"/>
      <c r="NAB34" s="37"/>
      <c r="NAC34" s="37"/>
      <c r="NAD34" s="37"/>
      <c r="NAE34" s="37"/>
      <c r="NAF34" s="37"/>
      <c r="NAG34" s="37"/>
      <c r="NAH34" s="37"/>
      <c r="NAI34" s="37"/>
      <c r="NAJ34" s="37"/>
      <c r="NAK34" s="37"/>
      <c r="NAL34" s="37"/>
      <c r="NAM34" s="37"/>
      <c r="NAN34" s="37"/>
      <c r="NAO34" s="37"/>
      <c r="NAP34" s="37"/>
      <c r="NAQ34" s="37"/>
      <c r="NAR34" s="37"/>
      <c r="NAS34" s="37"/>
      <c r="NAT34" s="37"/>
      <c r="NAU34" s="37"/>
      <c r="NAV34" s="37"/>
      <c r="NAW34" s="37"/>
      <c r="NAX34" s="37"/>
      <c r="NAY34" s="37"/>
      <c r="NAZ34" s="37"/>
      <c r="NBA34" s="37"/>
      <c r="NBB34" s="37"/>
      <c r="NBC34" s="37"/>
      <c r="NBD34" s="37"/>
      <c r="NBE34" s="37"/>
      <c r="NBF34" s="37"/>
      <c r="NBG34" s="37"/>
      <c r="NBH34" s="37"/>
      <c r="NBI34" s="37"/>
      <c r="NBJ34" s="37"/>
      <c r="NBK34" s="37"/>
      <c r="NBL34" s="37"/>
      <c r="NBM34" s="37"/>
      <c r="NBN34" s="37"/>
      <c r="NBO34" s="37"/>
      <c r="NBP34" s="37"/>
      <c r="NBQ34" s="37"/>
      <c r="NBR34" s="37"/>
      <c r="NBS34" s="37"/>
      <c r="NBT34" s="37"/>
      <c r="NBU34" s="37"/>
      <c r="NBV34" s="37"/>
      <c r="NBW34" s="37"/>
      <c r="NBX34" s="37"/>
      <c r="NBY34" s="37"/>
      <c r="NBZ34" s="37"/>
      <c r="NCA34" s="37"/>
      <c r="NCB34" s="37"/>
      <c r="NCC34" s="37"/>
      <c r="NCD34" s="37"/>
      <c r="NCE34" s="37"/>
      <c r="NCF34" s="37"/>
      <c r="NCG34" s="37"/>
      <c r="NCH34" s="37"/>
      <c r="NCI34" s="37"/>
      <c r="NCJ34" s="37"/>
      <c r="NCK34" s="37"/>
      <c r="NCL34" s="37"/>
      <c r="NCM34" s="37"/>
      <c r="NCN34" s="37"/>
      <c r="NCO34" s="37"/>
      <c r="NCP34" s="37"/>
      <c r="NCQ34" s="37"/>
      <c r="NCR34" s="37"/>
      <c r="NCS34" s="37"/>
      <c r="NCT34" s="37"/>
      <c r="NCU34" s="37"/>
      <c r="NCV34" s="37"/>
      <c r="NCW34" s="37"/>
      <c r="NCX34" s="37"/>
      <c r="NCY34" s="37"/>
      <c r="NCZ34" s="37"/>
      <c r="NDA34" s="37"/>
      <c r="NDB34" s="37"/>
      <c r="NDC34" s="37"/>
      <c r="NDD34" s="37"/>
      <c r="NDE34" s="37"/>
      <c r="NDF34" s="37"/>
      <c r="NDG34" s="37"/>
      <c r="NDH34" s="37"/>
      <c r="NDI34" s="37"/>
      <c r="NDJ34" s="37"/>
      <c r="NDK34" s="37"/>
      <c r="NDL34" s="37"/>
      <c r="NDM34" s="37"/>
      <c r="NDN34" s="37"/>
      <c r="NDO34" s="37"/>
      <c r="NDP34" s="37"/>
      <c r="NDQ34" s="37"/>
      <c r="NDR34" s="37"/>
      <c r="NDS34" s="37"/>
      <c r="NDT34" s="37"/>
      <c r="NDU34" s="37"/>
      <c r="NDV34" s="37"/>
      <c r="NDW34" s="37"/>
      <c r="NDX34" s="37"/>
      <c r="NDY34" s="37"/>
      <c r="NDZ34" s="37"/>
      <c r="NEA34" s="37"/>
      <c r="NEB34" s="37"/>
      <c r="NEC34" s="37"/>
      <c r="NED34" s="37"/>
      <c r="NEE34" s="37"/>
      <c r="NEF34" s="37"/>
      <c r="NEG34" s="37"/>
      <c r="NEH34" s="37"/>
      <c r="NEI34" s="37"/>
      <c r="NEJ34" s="37"/>
      <c r="NEK34" s="37"/>
      <c r="NEL34" s="37"/>
      <c r="NEM34" s="37"/>
      <c r="NEN34" s="37"/>
      <c r="NEO34" s="37"/>
      <c r="NEP34" s="37"/>
      <c r="NEQ34" s="37"/>
      <c r="NER34" s="37"/>
      <c r="NES34" s="37"/>
      <c r="NET34" s="37"/>
      <c r="NEU34" s="37"/>
      <c r="NEV34" s="37"/>
      <c r="NEW34" s="37"/>
      <c r="NEX34" s="37"/>
      <c r="NEY34" s="37"/>
      <c r="NEZ34" s="37"/>
      <c r="NFA34" s="37"/>
      <c r="NFB34" s="37"/>
      <c r="NFC34" s="37"/>
      <c r="NFD34" s="37"/>
      <c r="NFE34" s="37"/>
      <c r="NFF34" s="37"/>
      <c r="NFG34" s="37"/>
      <c r="NFH34" s="37"/>
      <c r="NFI34" s="37"/>
      <c r="NFJ34" s="37"/>
      <c r="NFK34" s="37"/>
      <c r="NFL34" s="37"/>
      <c r="NFM34" s="37"/>
      <c r="NFN34" s="37"/>
      <c r="NFO34" s="37"/>
      <c r="NFP34" s="37"/>
      <c r="NFQ34" s="37"/>
      <c r="NFR34" s="37"/>
      <c r="NFS34" s="37"/>
      <c r="NFT34" s="37"/>
      <c r="NFU34" s="37"/>
      <c r="NFV34" s="37"/>
      <c r="NFW34" s="37"/>
      <c r="NFX34" s="37"/>
      <c r="NFY34" s="37"/>
      <c r="NFZ34" s="37"/>
      <c r="NGA34" s="37"/>
      <c r="NGB34" s="37"/>
      <c r="NGC34" s="37"/>
      <c r="NGD34" s="37"/>
      <c r="NGE34" s="37"/>
      <c r="NGF34" s="37"/>
      <c r="NGG34" s="37"/>
      <c r="NGH34" s="37"/>
      <c r="NGI34" s="37"/>
      <c r="NGJ34" s="37"/>
      <c r="NGK34" s="37"/>
      <c r="NGL34" s="37"/>
      <c r="NGM34" s="37"/>
      <c r="NGN34" s="37"/>
      <c r="NGO34" s="37"/>
      <c r="NGP34" s="37"/>
      <c r="NGQ34" s="37"/>
      <c r="NGR34" s="37"/>
      <c r="NGS34" s="37"/>
      <c r="NGT34" s="37"/>
      <c r="NGU34" s="37"/>
      <c r="NGV34" s="37"/>
      <c r="NGW34" s="37"/>
      <c r="NGX34" s="37"/>
      <c r="NGY34" s="37"/>
      <c r="NGZ34" s="37"/>
      <c r="NHA34" s="37"/>
      <c r="NHB34" s="37"/>
      <c r="NHC34" s="37"/>
      <c r="NHD34" s="37"/>
      <c r="NHE34" s="37"/>
      <c r="NHF34" s="37"/>
      <c r="NHG34" s="37"/>
      <c r="NHH34" s="37"/>
      <c r="NHI34" s="37"/>
      <c r="NHJ34" s="37"/>
      <c r="NHK34" s="37"/>
      <c r="NHL34" s="37"/>
      <c r="NHM34" s="37"/>
      <c r="NHN34" s="37"/>
      <c r="NHO34" s="37"/>
      <c r="NHP34" s="37"/>
      <c r="NHQ34" s="37"/>
      <c r="NHR34" s="37"/>
      <c r="NHS34" s="37"/>
      <c r="NHT34" s="37"/>
      <c r="NHU34" s="37"/>
      <c r="NHV34" s="37"/>
      <c r="NHW34" s="37"/>
      <c r="NHX34" s="37"/>
      <c r="NHY34" s="37"/>
      <c r="NHZ34" s="37"/>
      <c r="NIA34" s="37"/>
      <c r="NIB34" s="37"/>
      <c r="NIC34" s="37"/>
      <c r="NID34" s="37"/>
      <c r="NIE34" s="37"/>
      <c r="NIF34" s="37"/>
      <c r="NIG34" s="37"/>
      <c r="NIH34" s="37"/>
      <c r="NII34" s="37"/>
      <c r="NIJ34" s="37"/>
      <c r="NIK34" s="37"/>
      <c r="NIL34" s="37"/>
      <c r="NIM34" s="37"/>
      <c r="NIN34" s="37"/>
      <c r="NIO34" s="37"/>
      <c r="NIP34" s="37"/>
      <c r="NIQ34" s="37"/>
      <c r="NIR34" s="37"/>
      <c r="NIS34" s="37"/>
      <c r="NIT34" s="37"/>
      <c r="NIU34" s="37"/>
      <c r="NIV34" s="37"/>
      <c r="NIW34" s="37"/>
      <c r="NIX34" s="37"/>
      <c r="NIY34" s="37"/>
      <c r="NIZ34" s="37"/>
      <c r="NJA34" s="37"/>
      <c r="NJB34" s="37"/>
      <c r="NJC34" s="37"/>
      <c r="NJD34" s="37"/>
      <c r="NJE34" s="37"/>
      <c r="NJF34" s="37"/>
      <c r="NJG34" s="37"/>
      <c r="NJH34" s="37"/>
      <c r="NJI34" s="37"/>
      <c r="NJJ34" s="37"/>
      <c r="NJK34" s="37"/>
      <c r="NJL34" s="37"/>
      <c r="NJM34" s="37"/>
      <c r="NJN34" s="37"/>
      <c r="NJO34" s="37"/>
      <c r="NJP34" s="37"/>
      <c r="NJQ34" s="37"/>
      <c r="NJR34" s="37"/>
      <c r="NJS34" s="37"/>
      <c r="NJT34" s="37"/>
      <c r="NJU34" s="37"/>
      <c r="NJV34" s="37"/>
      <c r="NJW34" s="37"/>
      <c r="NJX34" s="37"/>
      <c r="NJY34" s="37"/>
      <c r="NJZ34" s="37"/>
      <c r="NKA34" s="37"/>
      <c r="NKB34" s="37"/>
      <c r="NKC34" s="37"/>
      <c r="NKD34" s="37"/>
      <c r="NKE34" s="37"/>
      <c r="NKF34" s="37"/>
      <c r="NKG34" s="37"/>
      <c r="NKH34" s="37"/>
      <c r="NKI34" s="37"/>
      <c r="NKJ34" s="37"/>
      <c r="NKK34" s="37"/>
      <c r="NKL34" s="37"/>
      <c r="NKM34" s="37"/>
      <c r="NKN34" s="37"/>
      <c r="NKO34" s="37"/>
      <c r="NKP34" s="37"/>
      <c r="NKQ34" s="37"/>
      <c r="NKR34" s="37"/>
      <c r="NKS34" s="37"/>
      <c r="NKT34" s="37"/>
      <c r="NKU34" s="37"/>
      <c r="NKV34" s="37"/>
      <c r="NKW34" s="37"/>
      <c r="NKX34" s="37"/>
      <c r="NKY34" s="37"/>
      <c r="NKZ34" s="37"/>
      <c r="NLA34" s="37"/>
      <c r="NLB34" s="37"/>
      <c r="NLC34" s="37"/>
      <c r="NLD34" s="37"/>
      <c r="NLE34" s="37"/>
      <c r="NLF34" s="37"/>
      <c r="NLG34" s="37"/>
      <c r="NLH34" s="37"/>
      <c r="NLI34" s="37"/>
      <c r="NLJ34" s="37"/>
      <c r="NLK34" s="37"/>
      <c r="NLL34" s="37"/>
      <c r="NLM34" s="37"/>
      <c r="NLN34" s="37"/>
      <c r="NLO34" s="37"/>
      <c r="NLP34" s="37"/>
      <c r="NLQ34" s="37"/>
      <c r="NLR34" s="37"/>
      <c r="NLS34" s="37"/>
      <c r="NLT34" s="37"/>
      <c r="NLU34" s="37"/>
      <c r="NLV34" s="37"/>
      <c r="NLW34" s="37"/>
      <c r="NLX34" s="37"/>
      <c r="NLY34" s="37"/>
      <c r="NLZ34" s="37"/>
      <c r="NMA34" s="37"/>
      <c r="NMB34" s="37"/>
      <c r="NMC34" s="37"/>
      <c r="NMD34" s="37"/>
      <c r="NME34" s="37"/>
      <c r="NMF34" s="37"/>
      <c r="NMG34" s="37"/>
      <c r="NMH34" s="37"/>
      <c r="NMI34" s="37"/>
      <c r="NMJ34" s="37"/>
      <c r="NMK34" s="37"/>
      <c r="NML34" s="37"/>
      <c r="NMM34" s="37"/>
      <c r="NMN34" s="37"/>
      <c r="NMO34" s="37"/>
      <c r="NMP34" s="37"/>
      <c r="NMQ34" s="37"/>
      <c r="NMR34" s="37"/>
      <c r="NMS34" s="37"/>
      <c r="NMT34" s="37"/>
      <c r="NMU34" s="37"/>
      <c r="NMV34" s="37"/>
      <c r="NMW34" s="37"/>
      <c r="NMX34" s="37"/>
      <c r="NMY34" s="37"/>
      <c r="NMZ34" s="37"/>
      <c r="NNA34" s="37"/>
      <c r="NNB34" s="37"/>
      <c r="NNC34" s="37"/>
      <c r="NND34" s="37"/>
      <c r="NNE34" s="37"/>
      <c r="NNF34" s="37"/>
      <c r="NNG34" s="37"/>
      <c r="NNH34" s="37"/>
      <c r="NNI34" s="37"/>
      <c r="NNJ34" s="37"/>
      <c r="NNK34" s="37"/>
      <c r="NNL34" s="37"/>
      <c r="NNM34" s="37"/>
      <c r="NNN34" s="37"/>
      <c r="NNO34" s="37"/>
      <c r="NNP34" s="37"/>
      <c r="NNQ34" s="37"/>
      <c r="NNR34" s="37"/>
      <c r="NNS34" s="37"/>
      <c r="NNT34" s="37"/>
      <c r="NNU34" s="37"/>
      <c r="NNV34" s="37"/>
      <c r="NNW34" s="37"/>
      <c r="NNX34" s="37"/>
      <c r="NNY34" s="37"/>
      <c r="NNZ34" s="37"/>
      <c r="NOA34" s="37"/>
      <c r="NOB34" s="37"/>
      <c r="NOC34" s="37"/>
      <c r="NOD34" s="37"/>
      <c r="NOE34" s="37"/>
      <c r="NOF34" s="37"/>
      <c r="NOG34" s="37"/>
      <c r="NOH34" s="37"/>
      <c r="NOI34" s="37"/>
      <c r="NOJ34" s="37"/>
      <c r="NOK34" s="37"/>
      <c r="NOL34" s="37"/>
      <c r="NOM34" s="37"/>
      <c r="NON34" s="37"/>
      <c r="NOO34" s="37"/>
      <c r="NOP34" s="37"/>
      <c r="NOQ34" s="37"/>
      <c r="NOR34" s="37"/>
      <c r="NOS34" s="37"/>
      <c r="NOT34" s="37"/>
      <c r="NOU34" s="37"/>
      <c r="NOV34" s="37"/>
      <c r="NOW34" s="37"/>
      <c r="NOX34" s="37"/>
      <c r="NOY34" s="37"/>
      <c r="NOZ34" s="37"/>
      <c r="NPA34" s="37"/>
      <c r="NPB34" s="37"/>
      <c r="NPC34" s="37"/>
      <c r="NPD34" s="37"/>
      <c r="NPE34" s="37"/>
      <c r="NPF34" s="37"/>
      <c r="NPG34" s="37"/>
      <c r="NPH34" s="37"/>
      <c r="NPI34" s="37"/>
      <c r="NPJ34" s="37"/>
      <c r="NPK34" s="37"/>
      <c r="NPL34" s="37"/>
      <c r="NPM34" s="37"/>
      <c r="NPN34" s="37"/>
      <c r="NPO34" s="37"/>
      <c r="NPP34" s="37"/>
      <c r="NPQ34" s="37"/>
      <c r="NPR34" s="37"/>
      <c r="NPS34" s="37"/>
      <c r="NPT34" s="37"/>
      <c r="NPU34" s="37"/>
      <c r="NPV34" s="37"/>
      <c r="NPW34" s="37"/>
      <c r="NPX34" s="37"/>
      <c r="NPY34" s="37"/>
      <c r="NPZ34" s="37"/>
      <c r="NQA34" s="37"/>
      <c r="NQB34" s="37"/>
      <c r="NQC34" s="37"/>
      <c r="NQD34" s="37"/>
      <c r="NQE34" s="37"/>
      <c r="NQF34" s="37"/>
      <c r="NQG34" s="37"/>
      <c r="NQH34" s="37"/>
      <c r="NQI34" s="37"/>
      <c r="NQJ34" s="37"/>
      <c r="NQK34" s="37"/>
      <c r="NQL34" s="37"/>
      <c r="NQM34" s="37"/>
      <c r="NQN34" s="37"/>
      <c r="NQO34" s="37"/>
      <c r="NQP34" s="37"/>
      <c r="NQQ34" s="37"/>
      <c r="NQR34" s="37"/>
      <c r="NQS34" s="37"/>
      <c r="NQT34" s="37"/>
      <c r="NQU34" s="37"/>
      <c r="NQV34" s="37"/>
      <c r="NQW34" s="37"/>
      <c r="NQX34" s="37"/>
      <c r="NQY34" s="37"/>
      <c r="NQZ34" s="37"/>
      <c r="NRA34" s="37"/>
      <c r="NRB34" s="37"/>
      <c r="NRC34" s="37"/>
      <c r="NRD34" s="37"/>
      <c r="NRE34" s="37"/>
      <c r="NRF34" s="37"/>
      <c r="NRG34" s="37"/>
      <c r="NRH34" s="37"/>
      <c r="NRI34" s="37"/>
      <c r="NRJ34" s="37"/>
      <c r="NRK34" s="37"/>
      <c r="NRL34" s="37"/>
      <c r="NRM34" s="37"/>
      <c r="NRN34" s="37"/>
      <c r="NRO34" s="37"/>
      <c r="NRP34" s="37"/>
      <c r="NRQ34" s="37"/>
      <c r="NRR34" s="37"/>
      <c r="NRS34" s="37"/>
      <c r="NRT34" s="37"/>
      <c r="NRU34" s="37"/>
      <c r="NRV34" s="37"/>
      <c r="NRW34" s="37"/>
      <c r="NRX34" s="37"/>
      <c r="NRY34" s="37"/>
      <c r="NRZ34" s="37"/>
      <c r="NSA34" s="37"/>
      <c r="NSB34" s="37"/>
      <c r="NSC34" s="37"/>
      <c r="NSD34" s="37"/>
      <c r="NSE34" s="37"/>
      <c r="NSF34" s="37"/>
      <c r="NSG34" s="37"/>
      <c r="NSH34" s="37"/>
      <c r="NSI34" s="37"/>
      <c r="NSJ34" s="37"/>
      <c r="NSK34" s="37"/>
      <c r="NSL34" s="37"/>
      <c r="NSM34" s="37"/>
      <c r="NSN34" s="37"/>
      <c r="NSO34" s="37"/>
      <c r="NSP34" s="37"/>
      <c r="NSQ34" s="37"/>
      <c r="NSR34" s="37"/>
      <c r="NSS34" s="37"/>
      <c r="NST34" s="37"/>
      <c r="NSU34" s="37"/>
      <c r="NSV34" s="37"/>
      <c r="NSW34" s="37"/>
      <c r="NSX34" s="37"/>
      <c r="NSY34" s="37"/>
      <c r="NSZ34" s="37"/>
      <c r="NTA34" s="37"/>
      <c r="NTB34" s="37"/>
      <c r="NTC34" s="37"/>
      <c r="NTD34" s="37"/>
      <c r="NTE34" s="37"/>
      <c r="NTF34" s="37"/>
      <c r="NTG34" s="37"/>
      <c r="NTH34" s="37"/>
      <c r="NTI34" s="37"/>
      <c r="NTJ34" s="37"/>
      <c r="NTK34" s="37"/>
      <c r="NTL34" s="37"/>
      <c r="NTM34" s="37"/>
      <c r="NTN34" s="37"/>
      <c r="NTO34" s="37"/>
      <c r="NTP34" s="37"/>
      <c r="NTQ34" s="37"/>
      <c r="NTR34" s="37"/>
      <c r="NTS34" s="37"/>
      <c r="NTT34" s="37"/>
      <c r="NTU34" s="37"/>
      <c r="NTV34" s="37"/>
      <c r="NTW34" s="37"/>
      <c r="NTX34" s="37"/>
      <c r="NTY34" s="37"/>
      <c r="NTZ34" s="37"/>
      <c r="NUA34" s="37"/>
      <c r="NUB34" s="37"/>
      <c r="NUC34" s="37"/>
      <c r="NUD34" s="37"/>
      <c r="NUE34" s="37"/>
      <c r="NUF34" s="37"/>
      <c r="NUG34" s="37"/>
      <c r="NUH34" s="37"/>
      <c r="NUI34" s="37"/>
      <c r="NUJ34" s="37"/>
      <c r="NUK34" s="37"/>
      <c r="NUL34" s="37"/>
      <c r="NUM34" s="37"/>
      <c r="NUN34" s="37"/>
      <c r="NUO34" s="37"/>
      <c r="NUP34" s="37"/>
      <c r="NUQ34" s="37"/>
      <c r="NUR34" s="37"/>
      <c r="NUS34" s="37"/>
      <c r="NUT34" s="37"/>
      <c r="NUU34" s="37"/>
      <c r="NUV34" s="37"/>
      <c r="NUW34" s="37"/>
      <c r="NUX34" s="37"/>
      <c r="NUY34" s="37"/>
      <c r="NUZ34" s="37"/>
      <c r="NVA34" s="37"/>
      <c r="NVB34" s="37"/>
      <c r="NVC34" s="37"/>
      <c r="NVD34" s="37"/>
      <c r="NVE34" s="37"/>
      <c r="NVF34" s="37"/>
      <c r="NVG34" s="37"/>
      <c r="NVH34" s="37"/>
      <c r="NVI34" s="37"/>
      <c r="NVJ34" s="37"/>
      <c r="NVK34" s="37"/>
      <c r="NVL34" s="37"/>
      <c r="NVM34" s="37"/>
      <c r="NVN34" s="37"/>
      <c r="NVO34" s="37"/>
      <c r="NVP34" s="37"/>
      <c r="NVQ34" s="37"/>
      <c r="NVR34" s="37"/>
      <c r="NVS34" s="37"/>
      <c r="NVT34" s="37"/>
      <c r="NVU34" s="37"/>
      <c r="NVV34" s="37"/>
      <c r="NVW34" s="37"/>
      <c r="NVX34" s="37"/>
      <c r="NVY34" s="37"/>
      <c r="NVZ34" s="37"/>
      <c r="NWA34" s="37"/>
      <c r="NWB34" s="37"/>
      <c r="NWC34" s="37"/>
      <c r="NWD34" s="37"/>
      <c r="NWE34" s="37"/>
      <c r="NWF34" s="37"/>
      <c r="NWG34" s="37"/>
      <c r="NWH34" s="37"/>
      <c r="NWI34" s="37"/>
      <c r="NWJ34" s="37"/>
      <c r="NWK34" s="37"/>
      <c r="NWL34" s="37"/>
      <c r="NWM34" s="37"/>
      <c r="NWN34" s="37"/>
      <c r="NWO34" s="37"/>
      <c r="NWP34" s="37"/>
      <c r="NWQ34" s="37"/>
      <c r="NWR34" s="37"/>
      <c r="NWS34" s="37"/>
      <c r="NWT34" s="37"/>
      <c r="NWU34" s="37"/>
      <c r="NWV34" s="37"/>
      <c r="NWW34" s="37"/>
      <c r="NWX34" s="37"/>
      <c r="NWY34" s="37"/>
      <c r="NWZ34" s="37"/>
      <c r="NXA34" s="37"/>
      <c r="NXB34" s="37"/>
      <c r="NXC34" s="37"/>
      <c r="NXD34" s="37"/>
      <c r="NXE34" s="37"/>
      <c r="NXF34" s="37"/>
      <c r="NXG34" s="37"/>
      <c r="NXH34" s="37"/>
      <c r="NXI34" s="37"/>
      <c r="NXJ34" s="37"/>
      <c r="NXK34" s="37"/>
      <c r="NXL34" s="37"/>
      <c r="NXM34" s="37"/>
      <c r="NXN34" s="37"/>
      <c r="NXO34" s="37"/>
      <c r="NXP34" s="37"/>
      <c r="NXQ34" s="37"/>
      <c r="NXR34" s="37"/>
      <c r="NXS34" s="37"/>
      <c r="NXT34" s="37"/>
      <c r="NXU34" s="37"/>
      <c r="NXV34" s="37"/>
      <c r="NXW34" s="37"/>
      <c r="NXX34" s="37"/>
      <c r="NXY34" s="37"/>
      <c r="NXZ34" s="37"/>
      <c r="NYA34" s="37"/>
      <c r="NYB34" s="37"/>
      <c r="NYC34" s="37"/>
      <c r="NYD34" s="37"/>
      <c r="NYE34" s="37"/>
      <c r="NYF34" s="37"/>
      <c r="NYG34" s="37"/>
      <c r="NYH34" s="37"/>
      <c r="NYI34" s="37"/>
      <c r="NYJ34" s="37"/>
      <c r="NYK34" s="37"/>
      <c r="NYL34" s="37"/>
      <c r="NYM34" s="37"/>
      <c r="NYN34" s="37"/>
      <c r="NYO34" s="37"/>
      <c r="NYP34" s="37"/>
      <c r="NYQ34" s="37"/>
      <c r="NYR34" s="37"/>
      <c r="NYS34" s="37"/>
      <c r="NYT34" s="37"/>
      <c r="NYU34" s="37"/>
      <c r="NYV34" s="37"/>
      <c r="NYW34" s="37"/>
      <c r="NYX34" s="37"/>
      <c r="NYY34" s="37"/>
      <c r="NYZ34" s="37"/>
      <c r="NZA34" s="37"/>
      <c r="NZB34" s="37"/>
      <c r="NZC34" s="37"/>
      <c r="NZD34" s="37"/>
      <c r="NZE34" s="37"/>
      <c r="NZF34" s="37"/>
      <c r="NZG34" s="37"/>
      <c r="NZH34" s="37"/>
      <c r="NZI34" s="37"/>
      <c r="NZJ34" s="37"/>
      <c r="NZK34" s="37"/>
      <c r="NZL34" s="37"/>
      <c r="NZM34" s="37"/>
      <c r="NZN34" s="37"/>
      <c r="NZO34" s="37"/>
      <c r="NZP34" s="37"/>
      <c r="NZQ34" s="37"/>
      <c r="NZR34" s="37"/>
      <c r="NZS34" s="37"/>
      <c r="NZT34" s="37"/>
      <c r="NZU34" s="37"/>
      <c r="NZV34" s="37"/>
      <c r="NZW34" s="37"/>
      <c r="NZX34" s="37"/>
      <c r="NZY34" s="37"/>
      <c r="NZZ34" s="37"/>
      <c r="OAA34" s="37"/>
      <c r="OAB34" s="37"/>
      <c r="OAC34" s="37"/>
      <c r="OAD34" s="37"/>
      <c r="OAE34" s="37"/>
      <c r="OAF34" s="37"/>
      <c r="OAG34" s="37"/>
      <c r="OAH34" s="37"/>
      <c r="OAI34" s="37"/>
      <c r="OAJ34" s="37"/>
      <c r="OAK34" s="37"/>
      <c r="OAL34" s="37"/>
      <c r="OAM34" s="37"/>
      <c r="OAN34" s="37"/>
      <c r="OAO34" s="37"/>
      <c r="OAP34" s="37"/>
      <c r="OAQ34" s="37"/>
      <c r="OAR34" s="37"/>
      <c r="OAS34" s="37"/>
      <c r="OAT34" s="37"/>
      <c r="OAU34" s="37"/>
      <c r="OAV34" s="37"/>
      <c r="OAW34" s="37"/>
      <c r="OAX34" s="37"/>
      <c r="OAY34" s="37"/>
      <c r="OAZ34" s="37"/>
      <c r="OBA34" s="37"/>
      <c r="OBB34" s="37"/>
      <c r="OBC34" s="37"/>
      <c r="OBD34" s="37"/>
      <c r="OBE34" s="37"/>
      <c r="OBF34" s="37"/>
      <c r="OBG34" s="37"/>
      <c r="OBH34" s="37"/>
      <c r="OBI34" s="37"/>
      <c r="OBJ34" s="37"/>
      <c r="OBK34" s="37"/>
      <c r="OBL34" s="37"/>
      <c r="OBM34" s="37"/>
      <c r="OBN34" s="37"/>
      <c r="OBO34" s="37"/>
      <c r="OBP34" s="37"/>
      <c r="OBQ34" s="37"/>
      <c r="OBR34" s="37"/>
      <c r="OBS34" s="37"/>
      <c r="OBT34" s="37"/>
      <c r="OBU34" s="37"/>
      <c r="OBV34" s="37"/>
      <c r="OBW34" s="37"/>
      <c r="OBX34" s="37"/>
      <c r="OBY34" s="37"/>
      <c r="OBZ34" s="37"/>
      <c r="OCA34" s="37"/>
      <c r="OCB34" s="37"/>
      <c r="OCC34" s="37"/>
      <c r="OCD34" s="37"/>
      <c r="OCE34" s="37"/>
      <c r="OCF34" s="37"/>
      <c r="OCG34" s="37"/>
      <c r="OCH34" s="37"/>
      <c r="OCI34" s="37"/>
      <c r="OCJ34" s="37"/>
      <c r="OCK34" s="37"/>
      <c r="OCL34" s="37"/>
      <c r="OCM34" s="37"/>
      <c r="OCN34" s="37"/>
      <c r="OCO34" s="37"/>
      <c r="OCP34" s="37"/>
      <c r="OCQ34" s="37"/>
      <c r="OCR34" s="37"/>
      <c r="OCS34" s="37"/>
      <c r="OCT34" s="37"/>
      <c r="OCU34" s="37"/>
      <c r="OCV34" s="37"/>
      <c r="OCW34" s="37"/>
      <c r="OCX34" s="37"/>
      <c r="OCY34" s="37"/>
      <c r="OCZ34" s="37"/>
      <c r="ODA34" s="37"/>
      <c r="ODB34" s="37"/>
      <c r="ODC34" s="37"/>
      <c r="ODD34" s="37"/>
      <c r="ODE34" s="37"/>
      <c r="ODF34" s="37"/>
      <c r="ODG34" s="37"/>
      <c r="ODH34" s="37"/>
      <c r="ODI34" s="37"/>
      <c r="ODJ34" s="37"/>
      <c r="ODK34" s="37"/>
      <c r="ODL34" s="37"/>
      <c r="ODM34" s="37"/>
      <c r="ODN34" s="37"/>
      <c r="ODO34" s="37"/>
      <c r="ODP34" s="37"/>
      <c r="ODQ34" s="37"/>
      <c r="ODR34" s="37"/>
      <c r="ODS34" s="37"/>
      <c r="ODT34" s="37"/>
      <c r="ODU34" s="37"/>
      <c r="ODV34" s="37"/>
      <c r="ODW34" s="37"/>
      <c r="ODX34" s="37"/>
      <c r="ODY34" s="37"/>
      <c r="ODZ34" s="37"/>
      <c r="OEA34" s="37"/>
      <c r="OEB34" s="37"/>
      <c r="OEC34" s="37"/>
      <c r="OED34" s="37"/>
      <c r="OEE34" s="37"/>
      <c r="OEF34" s="37"/>
      <c r="OEG34" s="37"/>
      <c r="OEH34" s="37"/>
      <c r="OEI34" s="37"/>
      <c r="OEJ34" s="37"/>
      <c r="OEK34" s="37"/>
      <c r="OEL34" s="37"/>
      <c r="OEM34" s="37"/>
      <c r="OEN34" s="37"/>
      <c r="OEO34" s="37"/>
      <c r="OEP34" s="37"/>
      <c r="OEQ34" s="37"/>
      <c r="OER34" s="37"/>
      <c r="OES34" s="37"/>
      <c r="OET34" s="37"/>
      <c r="OEU34" s="37"/>
      <c r="OEV34" s="37"/>
      <c r="OEW34" s="37"/>
      <c r="OEX34" s="37"/>
      <c r="OEY34" s="37"/>
      <c r="OEZ34" s="37"/>
      <c r="OFA34" s="37"/>
      <c r="OFB34" s="37"/>
      <c r="OFC34" s="37"/>
      <c r="OFD34" s="37"/>
      <c r="OFE34" s="37"/>
      <c r="OFF34" s="37"/>
      <c r="OFG34" s="37"/>
      <c r="OFH34" s="37"/>
      <c r="OFI34" s="37"/>
      <c r="OFJ34" s="37"/>
      <c r="OFK34" s="37"/>
      <c r="OFL34" s="37"/>
      <c r="OFM34" s="37"/>
      <c r="OFN34" s="37"/>
      <c r="OFO34" s="37"/>
      <c r="OFP34" s="37"/>
      <c r="OFQ34" s="37"/>
      <c r="OFR34" s="37"/>
      <c r="OFS34" s="37"/>
      <c r="OFT34" s="37"/>
      <c r="OFU34" s="37"/>
      <c r="OFV34" s="37"/>
      <c r="OFW34" s="37"/>
      <c r="OFX34" s="37"/>
      <c r="OFY34" s="37"/>
      <c r="OFZ34" s="37"/>
      <c r="OGA34" s="37"/>
      <c r="OGB34" s="37"/>
      <c r="OGC34" s="37"/>
      <c r="OGD34" s="37"/>
      <c r="OGE34" s="37"/>
      <c r="OGF34" s="37"/>
      <c r="OGG34" s="37"/>
      <c r="OGH34" s="37"/>
      <c r="OGI34" s="37"/>
      <c r="OGJ34" s="37"/>
      <c r="OGK34" s="37"/>
      <c r="OGL34" s="37"/>
      <c r="OGM34" s="37"/>
      <c r="OGN34" s="37"/>
      <c r="OGO34" s="37"/>
      <c r="OGP34" s="37"/>
      <c r="OGQ34" s="37"/>
      <c r="OGR34" s="37"/>
      <c r="OGS34" s="37"/>
      <c r="OGT34" s="37"/>
      <c r="OGU34" s="37"/>
      <c r="OGV34" s="37"/>
      <c r="OGW34" s="37"/>
      <c r="OGX34" s="37"/>
      <c r="OGY34" s="37"/>
      <c r="OGZ34" s="37"/>
      <c r="OHA34" s="37"/>
      <c r="OHB34" s="37"/>
      <c r="OHC34" s="37"/>
      <c r="OHD34" s="37"/>
      <c r="OHE34" s="37"/>
      <c r="OHF34" s="37"/>
      <c r="OHG34" s="37"/>
      <c r="OHH34" s="37"/>
      <c r="OHI34" s="37"/>
      <c r="OHJ34" s="37"/>
      <c r="OHK34" s="37"/>
      <c r="OHL34" s="37"/>
      <c r="OHM34" s="37"/>
      <c r="OHN34" s="37"/>
      <c r="OHO34" s="37"/>
      <c r="OHP34" s="37"/>
      <c r="OHQ34" s="37"/>
      <c r="OHR34" s="37"/>
      <c r="OHS34" s="37"/>
      <c r="OHT34" s="37"/>
      <c r="OHU34" s="37"/>
      <c r="OHV34" s="37"/>
      <c r="OHW34" s="37"/>
      <c r="OHX34" s="37"/>
      <c r="OHY34" s="37"/>
      <c r="OHZ34" s="37"/>
      <c r="OIA34" s="37"/>
      <c r="OIB34" s="37"/>
      <c r="OIC34" s="37"/>
      <c r="OID34" s="37"/>
      <c r="OIE34" s="37"/>
      <c r="OIF34" s="37"/>
      <c r="OIG34" s="37"/>
      <c r="OIH34" s="37"/>
      <c r="OII34" s="37"/>
      <c r="OIJ34" s="37"/>
      <c r="OIK34" s="37"/>
      <c r="OIL34" s="37"/>
      <c r="OIM34" s="37"/>
      <c r="OIN34" s="37"/>
      <c r="OIO34" s="37"/>
      <c r="OIP34" s="37"/>
      <c r="OIQ34" s="37"/>
      <c r="OIR34" s="37"/>
      <c r="OIS34" s="37"/>
      <c r="OIT34" s="37"/>
      <c r="OIU34" s="37"/>
      <c r="OIV34" s="37"/>
      <c r="OIW34" s="37"/>
      <c r="OIX34" s="37"/>
      <c r="OIY34" s="37"/>
      <c r="OIZ34" s="37"/>
      <c r="OJA34" s="37"/>
      <c r="OJB34" s="37"/>
      <c r="OJC34" s="37"/>
      <c r="OJD34" s="37"/>
      <c r="OJE34" s="37"/>
      <c r="OJF34" s="37"/>
      <c r="OJG34" s="37"/>
      <c r="OJH34" s="37"/>
      <c r="OJI34" s="37"/>
      <c r="OJJ34" s="37"/>
      <c r="OJK34" s="37"/>
      <c r="OJL34" s="37"/>
      <c r="OJM34" s="37"/>
      <c r="OJN34" s="37"/>
      <c r="OJO34" s="37"/>
      <c r="OJP34" s="37"/>
      <c r="OJQ34" s="37"/>
      <c r="OJR34" s="37"/>
      <c r="OJS34" s="37"/>
      <c r="OJT34" s="37"/>
      <c r="OJU34" s="37"/>
      <c r="OJV34" s="37"/>
      <c r="OJW34" s="37"/>
      <c r="OJX34" s="37"/>
      <c r="OJY34" s="37"/>
      <c r="OJZ34" s="37"/>
      <c r="OKA34" s="37"/>
      <c r="OKB34" s="37"/>
      <c r="OKC34" s="37"/>
      <c r="OKD34" s="37"/>
      <c r="OKE34" s="37"/>
      <c r="OKF34" s="37"/>
      <c r="OKG34" s="37"/>
      <c r="OKH34" s="37"/>
      <c r="OKI34" s="37"/>
      <c r="OKJ34" s="37"/>
      <c r="OKK34" s="37"/>
      <c r="OKL34" s="37"/>
      <c r="OKM34" s="37"/>
      <c r="OKN34" s="37"/>
      <c r="OKO34" s="37"/>
      <c r="OKP34" s="37"/>
      <c r="OKQ34" s="37"/>
      <c r="OKR34" s="37"/>
      <c r="OKS34" s="37"/>
      <c r="OKT34" s="37"/>
      <c r="OKU34" s="37"/>
      <c r="OKV34" s="37"/>
      <c r="OKW34" s="37"/>
      <c r="OKX34" s="37"/>
      <c r="OKY34" s="37"/>
      <c r="OKZ34" s="37"/>
      <c r="OLA34" s="37"/>
      <c r="OLB34" s="37"/>
      <c r="OLC34" s="37"/>
      <c r="OLD34" s="37"/>
      <c r="OLE34" s="37"/>
      <c r="OLF34" s="37"/>
      <c r="OLG34" s="37"/>
      <c r="OLH34" s="37"/>
      <c r="OLI34" s="37"/>
      <c r="OLJ34" s="37"/>
      <c r="OLK34" s="37"/>
      <c r="OLL34" s="37"/>
      <c r="OLM34" s="37"/>
      <c r="OLN34" s="37"/>
      <c r="OLO34" s="37"/>
      <c r="OLP34" s="37"/>
      <c r="OLQ34" s="37"/>
      <c r="OLR34" s="37"/>
      <c r="OLS34" s="37"/>
      <c r="OLT34" s="37"/>
      <c r="OLU34" s="37"/>
      <c r="OLV34" s="37"/>
      <c r="OLW34" s="37"/>
      <c r="OLX34" s="37"/>
      <c r="OLY34" s="37"/>
      <c r="OLZ34" s="37"/>
      <c r="OMA34" s="37"/>
      <c r="OMB34" s="37"/>
      <c r="OMC34" s="37"/>
      <c r="OMD34" s="37"/>
      <c r="OME34" s="37"/>
      <c r="OMF34" s="37"/>
      <c r="OMG34" s="37"/>
      <c r="OMH34" s="37"/>
      <c r="OMI34" s="37"/>
      <c r="OMJ34" s="37"/>
      <c r="OMK34" s="37"/>
      <c r="OML34" s="37"/>
      <c r="OMM34" s="37"/>
      <c r="OMN34" s="37"/>
      <c r="OMO34" s="37"/>
      <c r="OMP34" s="37"/>
      <c r="OMQ34" s="37"/>
      <c r="OMR34" s="37"/>
      <c r="OMS34" s="37"/>
      <c r="OMT34" s="37"/>
      <c r="OMU34" s="37"/>
      <c r="OMV34" s="37"/>
      <c r="OMW34" s="37"/>
      <c r="OMX34" s="37"/>
      <c r="OMY34" s="37"/>
      <c r="OMZ34" s="37"/>
      <c r="ONA34" s="37"/>
      <c r="ONB34" s="37"/>
      <c r="ONC34" s="37"/>
      <c r="OND34" s="37"/>
      <c r="ONE34" s="37"/>
      <c r="ONF34" s="37"/>
      <c r="ONG34" s="37"/>
      <c r="ONH34" s="37"/>
      <c r="ONI34" s="37"/>
      <c r="ONJ34" s="37"/>
      <c r="ONK34" s="37"/>
      <c r="ONL34" s="37"/>
      <c r="ONM34" s="37"/>
      <c r="ONN34" s="37"/>
      <c r="ONO34" s="37"/>
      <c r="ONP34" s="37"/>
      <c r="ONQ34" s="37"/>
      <c r="ONR34" s="37"/>
      <c r="ONS34" s="37"/>
      <c r="ONT34" s="37"/>
      <c r="ONU34" s="37"/>
      <c r="ONV34" s="37"/>
      <c r="ONW34" s="37"/>
      <c r="ONX34" s="37"/>
      <c r="ONY34" s="37"/>
      <c r="ONZ34" s="37"/>
      <c r="OOA34" s="37"/>
      <c r="OOB34" s="37"/>
      <c r="OOC34" s="37"/>
      <c r="OOD34" s="37"/>
      <c r="OOE34" s="37"/>
      <c r="OOF34" s="37"/>
      <c r="OOG34" s="37"/>
      <c r="OOH34" s="37"/>
      <c r="OOI34" s="37"/>
      <c r="OOJ34" s="37"/>
      <c r="OOK34" s="37"/>
      <c r="OOL34" s="37"/>
      <c r="OOM34" s="37"/>
      <c r="OON34" s="37"/>
      <c r="OOO34" s="37"/>
      <c r="OOP34" s="37"/>
      <c r="OOQ34" s="37"/>
      <c r="OOR34" s="37"/>
      <c r="OOS34" s="37"/>
      <c r="OOT34" s="37"/>
      <c r="OOU34" s="37"/>
      <c r="OOV34" s="37"/>
      <c r="OOW34" s="37"/>
      <c r="OOX34" s="37"/>
      <c r="OOY34" s="37"/>
      <c r="OOZ34" s="37"/>
      <c r="OPA34" s="37"/>
      <c r="OPB34" s="37"/>
      <c r="OPC34" s="37"/>
      <c r="OPD34" s="37"/>
      <c r="OPE34" s="37"/>
      <c r="OPF34" s="37"/>
      <c r="OPG34" s="37"/>
      <c r="OPH34" s="37"/>
      <c r="OPI34" s="37"/>
      <c r="OPJ34" s="37"/>
      <c r="OPK34" s="37"/>
      <c r="OPL34" s="37"/>
      <c r="OPM34" s="37"/>
      <c r="OPN34" s="37"/>
      <c r="OPO34" s="37"/>
      <c r="OPP34" s="37"/>
      <c r="OPQ34" s="37"/>
      <c r="OPR34" s="37"/>
      <c r="OPS34" s="37"/>
      <c r="OPT34" s="37"/>
      <c r="OPU34" s="37"/>
      <c r="OPV34" s="37"/>
      <c r="OPW34" s="37"/>
      <c r="OPX34" s="37"/>
      <c r="OPY34" s="37"/>
      <c r="OPZ34" s="37"/>
      <c r="OQA34" s="37"/>
      <c r="OQB34" s="37"/>
      <c r="OQC34" s="37"/>
      <c r="OQD34" s="37"/>
      <c r="OQE34" s="37"/>
      <c r="OQF34" s="37"/>
      <c r="OQG34" s="37"/>
      <c r="OQH34" s="37"/>
      <c r="OQI34" s="37"/>
      <c r="OQJ34" s="37"/>
      <c r="OQK34" s="37"/>
      <c r="OQL34" s="37"/>
      <c r="OQM34" s="37"/>
      <c r="OQN34" s="37"/>
      <c r="OQO34" s="37"/>
      <c r="OQP34" s="37"/>
      <c r="OQQ34" s="37"/>
      <c r="OQR34" s="37"/>
      <c r="OQS34" s="37"/>
      <c r="OQT34" s="37"/>
      <c r="OQU34" s="37"/>
      <c r="OQV34" s="37"/>
      <c r="OQW34" s="37"/>
      <c r="OQX34" s="37"/>
      <c r="OQY34" s="37"/>
      <c r="OQZ34" s="37"/>
      <c r="ORA34" s="37"/>
      <c r="ORB34" s="37"/>
      <c r="ORC34" s="37"/>
      <c r="ORD34" s="37"/>
      <c r="ORE34" s="37"/>
      <c r="ORF34" s="37"/>
      <c r="ORG34" s="37"/>
      <c r="ORH34" s="37"/>
      <c r="ORI34" s="37"/>
      <c r="ORJ34" s="37"/>
      <c r="ORK34" s="37"/>
      <c r="ORL34" s="37"/>
      <c r="ORM34" s="37"/>
      <c r="ORN34" s="37"/>
      <c r="ORO34" s="37"/>
      <c r="ORP34" s="37"/>
      <c r="ORQ34" s="37"/>
      <c r="ORR34" s="37"/>
      <c r="ORS34" s="37"/>
      <c r="ORT34" s="37"/>
      <c r="ORU34" s="37"/>
      <c r="ORV34" s="37"/>
      <c r="ORW34" s="37"/>
      <c r="ORX34" s="37"/>
      <c r="ORY34" s="37"/>
      <c r="ORZ34" s="37"/>
      <c r="OSA34" s="37"/>
      <c r="OSB34" s="37"/>
      <c r="OSC34" s="37"/>
      <c r="OSD34" s="37"/>
      <c r="OSE34" s="37"/>
      <c r="OSF34" s="37"/>
      <c r="OSG34" s="37"/>
      <c r="OSH34" s="37"/>
      <c r="OSI34" s="37"/>
      <c r="OSJ34" s="37"/>
      <c r="OSK34" s="37"/>
      <c r="OSL34" s="37"/>
      <c r="OSM34" s="37"/>
      <c r="OSN34" s="37"/>
      <c r="OSO34" s="37"/>
      <c r="OSP34" s="37"/>
      <c r="OSQ34" s="37"/>
      <c r="OSR34" s="37"/>
      <c r="OSS34" s="37"/>
      <c r="OST34" s="37"/>
      <c r="OSU34" s="37"/>
      <c r="OSV34" s="37"/>
      <c r="OSW34" s="37"/>
      <c r="OSX34" s="37"/>
      <c r="OSY34" s="37"/>
      <c r="OSZ34" s="37"/>
      <c r="OTA34" s="37"/>
      <c r="OTB34" s="37"/>
      <c r="OTC34" s="37"/>
      <c r="OTD34" s="37"/>
      <c r="OTE34" s="37"/>
      <c r="OTF34" s="37"/>
      <c r="OTG34" s="37"/>
      <c r="OTH34" s="37"/>
      <c r="OTI34" s="37"/>
      <c r="OTJ34" s="37"/>
      <c r="OTK34" s="37"/>
      <c r="OTL34" s="37"/>
      <c r="OTM34" s="37"/>
      <c r="OTN34" s="37"/>
      <c r="OTO34" s="37"/>
      <c r="OTP34" s="37"/>
      <c r="OTQ34" s="37"/>
      <c r="OTR34" s="37"/>
      <c r="OTS34" s="37"/>
      <c r="OTT34" s="37"/>
      <c r="OTU34" s="37"/>
      <c r="OTV34" s="37"/>
      <c r="OTW34" s="37"/>
      <c r="OTX34" s="37"/>
      <c r="OTY34" s="37"/>
      <c r="OTZ34" s="37"/>
      <c r="OUA34" s="37"/>
      <c r="OUB34" s="37"/>
      <c r="OUC34" s="37"/>
      <c r="OUD34" s="37"/>
      <c r="OUE34" s="37"/>
      <c r="OUF34" s="37"/>
      <c r="OUG34" s="37"/>
      <c r="OUH34" s="37"/>
      <c r="OUI34" s="37"/>
      <c r="OUJ34" s="37"/>
      <c r="OUK34" s="37"/>
      <c r="OUL34" s="37"/>
      <c r="OUM34" s="37"/>
      <c r="OUN34" s="37"/>
      <c r="OUO34" s="37"/>
      <c r="OUP34" s="37"/>
      <c r="OUQ34" s="37"/>
      <c r="OUR34" s="37"/>
      <c r="OUS34" s="37"/>
      <c r="OUT34" s="37"/>
      <c r="OUU34" s="37"/>
      <c r="OUV34" s="37"/>
      <c r="OUW34" s="37"/>
      <c r="OUX34" s="37"/>
      <c r="OUY34" s="37"/>
      <c r="OUZ34" s="37"/>
      <c r="OVA34" s="37"/>
      <c r="OVB34" s="37"/>
      <c r="OVC34" s="37"/>
      <c r="OVD34" s="37"/>
      <c r="OVE34" s="37"/>
      <c r="OVF34" s="37"/>
      <c r="OVG34" s="37"/>
      <c r="OVH34" s="37"/>
      <c r="OVI34" s="37"/>
      <c r="OVJ34" s="37"/>
      <c r="OVK34" s="37"/>
      <c r="OVL34" s="37"/>
      <c r="OVM34" s="37"/>
      <c r="OVN34" s="37"/>
      <c r="OVO34" s="37"/>
      <c r="OVP34" s="37"/>
      <c r="OVQ34" s="37"/>
      <c r="OVR34" s="37"/>
      <c r="OVS34" s="37"/>
      <c r="OVT34" s="37"/>
      <c r="OVU34" s="37"/>
      <c r="OVV34" s="37"/>
      <c r="OVW34" s="37"/>
      <c r="OVX34" s="37"/>
      <c r="OVY34" s="37"/>
      <c r="OVZ34" s="37"/>
      <c r="OWA34" s="37"/>
      <c r="OWB34" s="37"/>
      <c r="OWC34" s="37"/>
      <c r="OWD34" s="37"/>
      <c r="OWE34" s="37"/>
      <c r="OWF34" s="37"/>
      <c r="OWG34" s="37"/>
      <c r="OWH34" s="37"/>
      <c r="OWI34" s="37"/>
      <c r="OWJ34" s="37"/>
      <c r="OWK34" s="37"/>
      <c r="OWL34" s="37"/>
      <c r="OWM34" s="37"/>
      <c r="OWN34" s="37"/>
      <c r="OWO34" s="37"/>
      <c r="OWP34" s="37"/>
      <c r="OWQ34" s="37"/>
      <c r="OWR34" s="37"/>
      <c r="OWS34" s="37"/>
      <c r="OWT34" s="37"/>
      <c r="OWU34" s="37"/>
      <c r="OWV34" s="37"/>
      <c r="OWW34" s="37"/>
      <c r="OWX34" s="37"/>
      <c r="OWY34" s="37"/>
      <c r="OWZ34" s="37"/>
      <c r="OXA34" s="37"/>
      <c r="OXB34" s="37"/>
      <c r="OXC34" s="37"/>
      <c r="OXD34" s="37"/>
      <c r="OXE34" s="37"/>
      <c r="OXF34" s="37"/>
      <c r="OXG34" s="37"/>
      <c r="OXH34" s="37"/>
      <c r="OXI34" s="37"/>
      <c r="OXJ34" s="37"/>
      <c r="OXK34" s="37"/>
      <c r="OXL34" s="37"/>
      <c r="OXM34" s="37"/>
      <c r="OXN34" s="37"/>
      <c r="OXO34" s="37"/>
      <c r="OXP34" s="37"/>
      <c r="OXQ34" s="37"/>
      <c r="OXR34" s="37"/>
      <c r="OXS34" s="37"/>
      <c r="OXT34" s="37"/>
      <c r="OXU34" s="37"/>
      <c r="OXV34" s="37"/>
      <c r="OXW34" s="37"/>
      <c r="OXX34" s="37"/>
      <c r="OXY34" s="37"/>
      <c r="OXZ34" s="37"/>
      <c r="OYA34" s="37"/>
      <c r="OYB34" s="37"/>
      <c r="OYC34" s="37"/>
      <c r="OYD34" s="37"/>
      <c r="OYE34" s="37"/>
      <c r="OYF34" s="37"/>
      <c r="OYG34" s="37"/>
      <c r="OYH34" s="37"/>
      <c r="OYI34" s="37"/>
      <c r="OYJ34" s="37"/>
      <c r="OYK34" s="37"/>
      <c r="OYL34" s="37"/>
      <c r="OYM34" s="37"/>
      <c r="OYN34" s="37"/>
      <c r="OYO34" s="37"/>
      <c r="OYP34" s="37"/>
      <c r="OYQ34" s="37"/>
      <c r="OYR34" s="37"/>
      <c r="OYS34" s="37"/>
      <c r="OYT34" s="37"/>
      <c r="OYU34" s="37"/>
      <c r="OYV34" s="37"/>
      <c r="OYW34" s="37"/>
      <c r="OYX34" s="37"/>
      <c r="OYY34" s="37"/>
      <c r="OYZ34" s="37"/>
      <c r="OZA34" s="37"/>
      <c r="OZB34" s="37"/>
      <c r="OZC34" s="37"/>
      <c r="OZD34" s="37"/>
      <c r="OZE34" s="37"/>
      <c r="OZF34" s="37"/>
      <c r="OZG34" s="37"/>
      <c r="OZH34" s="37"/>
      <c r="OZI34" s="37"/>
      <c r="OZJ34" s="37"/>
      <c r="OZK34" s="37"/>
      <c r="OZL34" s="37"/>
      <c r="OZM34" s="37"/>
      <c r="OZN34" s="37"/>
      <c r="OZO34" s="37"/>
      <c r="OZP34" s="37"/>
      <c r="OZQ34" s="37"/>
      <c r="OZR34" s="37"/>
      <c r="OZS34" s="37"/>
      <c r="OZT34" s="37"/>
      <c r="OZU34" s="37"/>
      <c r="OZV34" s="37"/>
      <c r="OZW34" s="37"/>
      <c r="OZX34" s="37"/>
      <c r="OZY34" s="37"/>
      <c r="OZZ34" s="37"/>
      <c r="PAA34" s="37"/>
      <c r="PAB34" s="37"/>
      <c r="PAC34" s="37"/>
      <c r="PAD34" s="37"/>
      <c r="PAE34" s="37"/>
      <c r="PAF34" s="37"/>
      <c r="PAG34" s="37"/>
      <c r="PAH34" s="37"/>
      <c r="PAI34" s="37"/>
      <c r="PAJ34" s="37"/>
      <c r="PAK34" s="37"/>
      <c r="PAL34" s="37"/>
      <c r="PAM34" s="37"/>
      <c r="PAN34" s="37"/>
      <c r="PAO34" s="37"/>
      <c r="PAP34" s="37"/>
      <c r="PAQ34" s="37"/>
      <c r="PAR34" s="37"/>
      <c r="PAS34" s="37"/>
      <c r="PAT34" s="37"/>
      <c r="PAU34" s="37"/>
      <c r="PAV34" s="37"/>
      <c r="PAW34" s="37"/>
      <c r="PAX34" s="37"/>
      <c r="PAY34" s="37"/>
      <c r="PAZ34" s="37"/>
      <c r="PBA34" s="37"/>
      <c r="PBB34" s="37"/>
      <c r="PBC34" s="37"/>
      <c r="PBD34" s="37"/>
      <c r="PBE34" s="37"/>
      <c r="PBF34" s="37"/>
      <c r="PBG34" s="37"/>
      <c r="PBH34" s="37"/>
      <c r="PBI34" s="37"/>
      <c r="PBJ34" s="37"/>
      <c r="PBK34" s="37"/>
      <c r="PBL34" s="37"/>
      <c r="PBM34" s="37"/>
      <c r="PBN34" s="37"/>
      <c r="PBO34" s="37"/>
      <c r="PBP34" s="37"/>
      <c r="PBQ34" s="37"/>
      <c r="PBR34" s="37"/>
      <c r="PBS34" s="37"/>
      <c r="PBT34" s="37"/>
      <c r="PBU34" s="37"/>
      <c r="PBV34" s="37"/>
      <c r="PBW34" s="37"/>
      <c r="PBX34" s="37"/>
      <c r="PBY34" s="37"/>
      <c r="PBZ34" s="37"/>
      <c r="PCA34" s="37"/>
      <c r="PCB34" s="37"/>
      <c r="PCC34" s="37"/>
      <c r="PCD34" s="37"/>
      <c r="PCE34" s="37"/>
      <c r="PCF34" s="37"/>
      <c r="PCG34" s="37"/>
      <c r="PCH34" s="37"/>
      <c r="PCI34" s="37"/>
      <c r="PCJ34" s="37"/>
      <c r="PCK34" s="37"/>
      <c r="PCL34" s="37"/>
      <c r="PCM34" s="37"/>
      <c r="PCN34" s="37"/>
      <c r="PCO34" s="37"/>
      <c r="PCP34" s="37"/>
      <c r="PCQ34" s="37"/>
      <c r="PCR34" s="37"/>
      <c r="PCS34" s="37"/>
      <c r="PCT34" s="37"/>
      <c r="PCU34" s="37"/>
      <c r="PCV34" s="37"/>
      <c r="PCW34" s="37"/>
      <c r="PCX34" s="37"/>
      <c r="PCY34" s="37"/>
      <c r="PCZ34" s="37"/>
      <c r="PDA34" s="37"/>
      <c r="PDB34" s="37"/>
      <c r="PDC34" s="37"/>
      <c r="PDD34" s="37"/>
      <c r="PDE34" s="37"/>
      <c r="PDF34" s="37"/>
      <c r="PDG34" s="37"/>
      <c r="PDH34" s="37"/>
      <c r="PDI34" s="37"/>
      <c r="PDJ34" s="37"/>
      <c r="PDK34" s="37"/>
      <c r="PDL34" s="37"/>
      <c r="PDM34" s="37"/>
      <c r="PDN34" s="37"/>
      <c r="PDO34" s="37"/>
      <c r="PDP34" s="37"/>
      <c r="PDQ34" s="37"/>
      <c r="PDR34" s="37"/>
      <c r="PDS34" s="37"/>
      <c r="PDT34" s="37"/>
      <c r="PDU34" s="37"/>
      <c r="PDV34" s="37"/>
      <c r="PDW34" s="37"/>
      <c r="PDX34" s="37"/>
      <c r="PDY34" s="37"/>
      <c r="PDZ34" s="37"/>
      <c r="PEA34" s="37"/>
      <c r="PEB34" s="37"/>
      <c r="PEC34" s="37"/>
      <c r="PED34" s="37"/>
      <c r="PEE34" s="37"/>
      <c r="PEF34" s="37"/>
      <c r="PEG34" s="37"/>
      <c r="PEH34" s="37"/>
      <c r="PEI34" s="37"/>
      <c r="PEJ34" s="37"/>
      <c r="PEK34" s="37"/>
      <c r="PEL34" s="37"/>
      <c r="PEM34" s="37"/>
      <c r="PEN34" s="37"/>
      <c r="PEO34" s="37"/>
      <c r="PEP34" s="37"/>
      <c r="PEQ34" s="37"/>
      <c r="PER34" s="37"/>
      <c r="PES34" s="37"/>
      <c r="PET34" s="37"/>
      <c r="PEU34" s="37"/>
      <c r="PEV34" s="37"/>
      <c r="PEW34" s="37"/>
      <c r="PEX34" s="37"/>
      <c r="PEY34" s="37"/>
      <c r="PEZ34" s="37"/>
      <c r="PFA34" s="37"/>
      <c r="PFB34" s="37"/>
      <c r="PFC34" s="37"/>
      <c r="PFD34" s="37"/>
      <c r="PFE34" s="37"/>
      <c r="PFF34" s="37"/>
      <c r="PFG34" s="37"/>
      <c r="PFH34" s="37"/>
      <c r="PFI34" s="37"/>
      <c r="PFJ34" s="37"/>
      <c r="PFK34" s="37"/>
      <c r="PFL34" s="37"/>
      <c r="PFM34" s="37"/>
      <c r="PFN34" s="37"/>
      <c r="PFO34" s="37"/>
      <c r="PFP34" s="37"/>
      <c r="PFQ34" s="37"/>
      <c r="PFR34" s="37"/>
      <c r="PFS34" s="37"/>
      <c r="PFT34" s="37"/>
      <c r="PFU34" s="37"/>
      <c r="PFV34" s="37"/>
      <c r="PFW34" s="37"/>
      <c r="PFX34" s="37"/>
      <c r="PFY34" s="37"/>
      <c r="PFZ34" s="37"/>
      <c r="PGA34" s="37"/>
      <c r="PGB34" s="37"/>
      <c r="PGC34" s="37"/>
      <c r="PGD34" s="37"/>
      <c r="PGE34" s="37"/>
      <c r="PGF34" s="37"/>
      <c r="PGG34" s="37"/>
      <c r="PGH34" s="37"/>
      <c r="PGI34" s="37"/>
      <c r="PGJ34" s="37"/>
      <c r="PGK34" s="37"/>
      <c r="PGL34" s="37"/>
      <c r="PGM34" s="37"/>
      <c r="PGN34" s="37"/>
      <c r="PGO34" s="37"/>
      <c r="PGP34" s="37"/>
      <c r="PGQ34" s="37"/>
      <c r="PGR34" s="37"/>
      <c r="PGS34" s="37"/>
      <c r="PGT34" s="37"/>
      <c r="PGU34" s="37"/>
      <c r="PGV34" s="37"/>
      <c r="PGW34" s="37"/>
      <c r="PGX34" s="37"/>
      <c r="PGY34" s="37"/>
      <c r="PGZ34" s="37"/>
      <c r="PHA34" s="37"/>
      <c r="PHB34" s="37"/>
      <c r="PHC34" s="37"/>
      <c r="PHD34" s="37"/>
      <c r="PHE34" s="37"/>
      <c r="PHF34" s="37"/>
      <c r="PHG34" s="37"/>
      <c r="PHH34" s="37"/>
      <c r="PHI34" s="37"/>
      <c r="PHJ34" s="37"/>
      <c r="PHK34" s="37"/>
      <c r="PHL34" s="37"/>
      <c r="PHM34" s="37"/>
      <c r="PHN34" s="37"/>
      <c r="PHO34" s="37"/>
      <c r="PHP34" s="37"/>
      <c r="PHQ34" s="37"/>
      <c r="PHR34" s="37"/>
      <c r="PHS34" s="37"/>
      <c r="PHT34" s="37"/>
      <c r="PHU34" s="37"/>
      <c r="PHV34" s="37"/>
      <c r="PHW34" s="37"/>
      <c r="PHX34" s="37"/>
      <c r="PHY34" s="37"/>
      <c r="PHZ34" s="37"/>
      <c r="PIA34" s="37"/>
      <c r="PIB34" s="37"/>
      <c r="PIC34" s="37"/>
      <c r="PID34" s="37"/>
      <c r="PIE34" s="37"/>
      <c r="PIF34" s="37"/>
      <c r="PIG34" s="37"/>
      <c r="PIH34" s="37"/>
      <c r="PII34" s="37"/>
      <c r="PIJ34" s="37"/>
      <c r="PIK34" s="37"/>
      <c r="PIL34" s="37"/>
      <c r="PIM34" s="37"/>
      <c r="PIN34" s="37"/>
      <c r="PIO34" s="37"/>
      <c r="PIP34" s="37"/>
      <c r="PIQ34" s="37"/>
      <c r="PIR34" s="37"/>
      <c r="PIS34" s="37"/>
      <c r="PIT34" s="37"/>
      <c r="PIU34" s="37"/>
      <c r="PIV34" s="37"/>
      <c r="PIW34" s="37"/>
      <c r="PIX34" s="37"/>
      <c r="PIY34" s="37"/>
      <c r="PIZ34" s="37"/>
      <c r="PJA34" s="37"/>
      <c r="PJB34" s="37"/>
      <c r="PJC34" s="37"/>
      <c r="PJD34" s="37"/>
      <c r="PJE34" s="37"/>
      <c r="PJF34" s="37"/>
      <c r="PJG34" s="37"/>
      <c r="PJH34" s="37"/>
      <c r="PJI34" s="37"/>
      <c r="PJJ34" s="37"/>
      <c r="PJK34" s="37"/>
      <c r="PJL34" s="37"/>
      <c r="PJM34" s="37"/>
      <c r="PJN34" s="37"/>
      <c r="PJO34" s="37"/>
      <c r="PJP34" s="37"/>
      <c r="PJQ34" s="37"/>
      <c r="PJR34" s="37"/>
      <c r="PJS34" s="37"/>
      <c r="PJT34" s="37"/>
      <c r="PJU34" s="37"/>
      <c r="PJV34" s="37"/>
      <c r="PJW34" s="37"/>
      <c r="PJX34" s="37"/>
      <c r="PJY34" s="37"/>
      <c r="PJZ34" s="37"/>
      <c r="PKA34" s="37"/>
      <c r="PKB34" s="37"/>
      <c r="PKC34" s="37"/>
      <c r="PKD34" s="37"/>
      <c r="PKE34" s="37"/>
      <c r="PKF34" s="37"/>
      <c r="PKG34" s="37"/>
      <c r="PKH34" s="37"/>
      <c r="PKI34" s="37"/>
      <c r="PKJ34" s="37"/>
      <c r="PKK34" s="37"/>
      <c r="PKL34" s="37"/>
      <c r="PKM34" s="37"/>
      <c r="PKN34" s="37"/>
      <c r="PKO34" s="37"/>
      <c r="PKP34" s="37"/>
      <c r="PKQ34" s="37"/>
      <c r="PKR34" s="37"/>
      <c r="PKS34" s="37"/>
      <c r="PKT34" s="37"/>
      <c r="PKU34" s="37"/>
      <c r="PKV34" s="37"/>
      <c r="PKW34" s="37"/>
      <c r="PKX34" s="37"/>
      <c r="PKY34" s="37"/>
      <c r="PKZ34" s="37"/>
      <c r="PLA34" s="37"/>
      <c r="PLB34" s="37"/>
      <c r="PLC34" s="37"/>
      <c r="PLD34" s="37"/>
      <c r="PLE34" s="37"/>
      <c r="PLF34" s="37"/>
      <c r="PLG34" s="37"/>
      <c r="PLH34" s="37"/>
      <c r="PLI34" s="37"/>
      <c r="PLJ34" s="37"/>
      <c r="PLK34" s="37"/>
      <c r="PLL34" s="37"/>
      <c r="PLM34" s="37"/>
      <c r="PLN34" s="37"/>
      <c r="PLO34" s="37"/>
      <c r="PLP34" s="37"/>
      <c r="PLQ34" s="37"/>
      <c r="PLR34" s="37"/>
      <c r="PLS34" s="37"/>
      <c r="PLT34" s="37"/>
      <c r="PLU34" s="37"/>
      <c r="PLV34" s="37"/>
      <c r="PLW34" s="37"/>
      <c r="PLX34" s="37"/>
      <c r="PLY34" s="37"/>
      <c r="PLZ34" s="37"/>
      <c r="PMA34" s="37"/>
      <c r="PMB34" s="37"/>
      <c r="PMC34" s="37"/>
      <c r="PMD34" s="37"/>
      <c r="PME34" s="37"/>
      <c r="PMF34" s="37"/>
      <c r="PMG34" s="37"/>
      <c r="PMH34" s="37"/>
      <c r="PMI34" s="37"/>
      <c r="PMJ34" s="37"/>
      <c r="PMK34" s="37"/>
      <c r="PML34" s="37"/>
      <c r="PMM34" s="37"/>
      <c r="PMN34" s="37"/>
      <c r="PMO34" s="37"/>
      <c r="PMP34" s="37"/>
      <c r="PMQ34" s="37"/>
      <c r="PMR34" s="37"/>
      <c r="PMS34" s="37"/>
      <c r="PMT34" s="37"/>
      <c r="PMU34" s="37"/>
      <c r="PMV34" s="37"/>
      <c r="PMW34" s="37"/>
      <c r="PMX34" s="37"/>
      <c r="PMY34" s="37"/>
      <c r="PMZ34" s="37"/>
      <c r="PNA34" s="37"/>
      <c r="PNB34" s="37"/>
      <c r="PNC34" s="37"/>
      <c r="PND34" s="37"/>
      <c r="PNE34" s="37"/>
      <c r="PNF34" s="37"/>
      <c r="PNG34" s="37"/>
      <c r="PNH34" s="37"/>
      <c r="PNI34" s="37"/>
      <c r="PNJ34" s="37"/>
      <c r="PNK34" s="37"/>
      <c r="PNL34" s="37"/>
      <c r="PNM34" s="37"/>
      <c r="PNN34" s="37"/>
      <c r="PNO34" s="37"/>
      <c r="PNP34" s="37"/>
      <c r="PNQ34" s="37"/>
      <c r="PNR34" s="37"/>
      <c r="PNS34" s="37"/>
      <c r="PNT34" s="37"/>
      <c r="PNU34" s="37"/>
      <c r="PNV34" s="37"/>
      <c r="PNW34" s="37"/>
      <c r="PNX34" s="37"/>
      <c r="PNY34" s="37"/>
      <c r="PNZ34" s="37"/>
      <c r="POA34" s="37"/>
      <c r="POB34" s="37"/>
      <c r="POC34" s="37"/>
      <c r="POD34" s="37"/>
      <c r="POE34" s="37"/>
      <c r="POF34" s="37"/>
      <c r="POG34" s="37"/>
      <c r="POH34" s="37"/>
      <c r="POI34" s="37"/>
      <c r="POJ34" s="37"/>
      <c r="POK34" s="37"/>
      <c r="POL34" s="37"/>
      <c r="POM34" s="37"/>
      <c r="PON34" s="37"/>
      <c r="POO34" s="37"/>
      <c r="POP34" s="37"/>
      <c r="POQ34" s="37"/>
      <c r="POR34" s="37"/>
      <c r="POS34" s="37"/>
      <c r="POT34" s="37"/>
      <c r="POU34" s="37"/>
      <c r="POV34" s="37"/>
      <c r="POW34" s="37"/>
      <c r="POX34" s="37"/>
      <c r="POY34" s="37"/>
      <c r="POZ34" s="37"/>
      <c r="PPA34" s="37"/>
      <c r="PPB34" s="37"/>
      <c r="PPC34" s="37"/>
      <c r="PPD34" s="37"/>
      <c r="PPE34" s="37"/>
      <c r="PPF34" s="37"/>
      <c r="PPG34" s="37"/>
      <c r="PPH34" s="37"/>
      <c r="PPI34" s="37"/>
      <c r="PPJ34" s="37"/>
      <c r="PPK34" s="37"/>
      <c r="PPL34" s="37"/>
      <c r="PPM34" s="37"/>
      <c r="PPN34" s="37"/>
      <c r="PPO34" s="37"/>
      <c r="PPP34" s="37"/>
      <c r="PPQ34" s="37"/>
      <c r="PPR34" s="37"/>
      <c r="PPS34" s="37"/>
      <c r="PPT34" s="37"/>
      <c r="PPU34" s="37"/>
      <c r="PPV34" s="37"/>
      <c r="PPW34" s="37"/>
      <c r="PPX34" s="37"/>
      <c r="PPY34" s="37"/>
      <c r="PPZ34" s="37"/>
      <c r="PQA34" s="37"/>
      <c r="PQB34" s="37"/>
      <c r="PQC34" s="37"/>
      <c r="PQD34" s="37"/>
      <c r="PQE34" s="37"/>
      <c r="PQF34" s="37"/>
      <c r="PQG34" s="37"/>
      <c r="PQH34" s="37"/>
      <c r="PQI34" s="37"/>
      <c r="PQJ34" s="37"/>
      <c r="PQK34" s="37"/>
      <c r="PQL34" s="37"/>
      <c r="PQM34" s="37"/>
      <c r="PQN34" s="37"/>
      <c r="PQO34" s="37"/>
      <c r="PQP34" s="37"/>
      <c r="PQQ34" s="37"/>
      <c r="PQR34" s="37"/>
      <c r="PQS34" s="37"/>
      <c r="PQT34" s="37"/>
      <c r="PQU34" s="37"/>
      <c r="PQV34" s="37"/>
      <c r="PQW34" s="37"/>
      <c r="PQX34" s="37"/>
      <c r="PQY34" s="37"/>
      <c r="PQZ34" s="37"/>
      <c r="PRA34" s="37"/>
      <c r="PRB34" s="37"/>
      <c r="PRC34" s="37"/>
      <c r="PRD34" s="37"/>
      <c r="PRE34" s="37"/>
      <c r="PRF34" s="37"/>
      <c r="PRG34" s="37"/>
      <c r="PRH34" s="37"/>
      <c r="PRI34" s="37"/>
      <c r="PRJ34" s="37"/>
      <c r="PRK34" s="37"/>
      <c r="PRL34" s="37"/>
      <c r="PRM34" s="37"/>
      <c r="PRN34" s="37"/>
      <c r="PRO34" s="37"/>
      <c r="PRP34" s="37"/>
      <c r="PRQ34" s="37"/>
      <c r="PRR34" s="37"/>
      <c r="PRS34" s="37"/>
      <c r="PRT34" s="37"/>
      <c r="PRU34" s="37"/>
      <c r="PRV34" s="37"/>
      <c r="PRW34" s="37"/>
      <c r="PRX34" s="37"/>
      <c r="PRY34" s="37"/>
      <c r="PRZ34" s="37"/>
      <c r="PSA34" s="37"/>
      <c r="PSB34" s="37"/>
      <c r="PSC34" s="37"/>
      <c r="PSD34" s="37"/>
      <c r="PSE34" s="37"/>
      <c r="PSF34" s="37"/>
      <c r="PSG34" s="37"/>
      <c r="PSH34" s="37"/>
      <c r="PSI34" s="37"/>
      <c r="PSJ34" s="37"/>
      <c r="PSK34" s="37"/>
      <c r="PSL34" s="37"/>
      <c r="PSM34" s="37"/>
      <c r="PSN34" s="37"/>
      <c r="PSO34" s="37"/>
      <c r="PSP34" s="37"/>
      <c r="PSQ34" s="37"/>
      <c r="PSR34" s="37"/>
      <c r="PSS34" s="37"/>
      <c r="PST34" s="37"/>
      <c r="PSU34" s="37"/>
      <c r="PSV34" s="37"/>
      <c r="PSW34" s="37"/>
      <c r="PSX34" s="37"/>
      <c r="PSY34" s="37"/>
      <c r="PSZ34" s="37"/>
      <c r="PTA34" s="37"/>
      <c r="PTB34" s="37"/>
      <c r="PTC34" s="37"/>
      <c r="PTD34" s="37"/>
      <c r="PTE34" s="37"/>
      <c r="PTF34" s="37"/>
      <c r="PTG34" s="37"/>
      <c r="PTH34" s="37"/>
      <c r="PTI34" s="37"/>
      <c r="PTJ34" s="37"/>
      <c r="PTK34" s="37"/>
      <c r="PTL34" s="37"/>
      <c r="PTM34" s="37"/>
      <c r="PTN34" s="37"/>
      <c r="PTO34" s="37"/>
      <c r="PTP34" s="37"/>
      <c r="PTQ34" s="37"/>
      <c r="PTR34" s="37"/>
      <c r="PTS34" s="37"/>
      <c r="PTT34" s="37"/>
      <c r="PTU34" s="37"/>
      <c r="PTV34" s="37"/>
      <c r="PTW34" s="37"/>
      <c r="PTX34" s="37"/>
      <c r="PTY34" s="37"/>
      <c r="PTZ34" s="37"/>
      <c r="PUA34" s="37"/>
      <c r="PUB34" s="37"/>
      <c r="PUC34" s="37"/>
      <c r="PUD34" s="37"/>
      <c r="PUE34" s="37"/>
      <c r="PUF34" s="37"/>
      <c r="PUG34" s="37"/>
      <c r="PUH34" s="37"/>
      <c r="PUI34" s="37"/>
      <c r="PUJ34" s="37"/>
      <c r="PUK34" s="37"/>
      <c r="PUL34" s="37"/>
      <c r="PUM34" s="37"/>
      <c r="PUN34" s="37"/>
      <c r="PUO34" s="37"/>
      <c r="PUP34" s="37"/>
      <c r="PUQ34" s="37"/>
      <c r="PUR34" s="37"/>
      <c r="PUS34" s="37"/>
      <c r="PUT34" s="37"/>
      <c r="PUU34" s="37"/>
      <c r="PUV34" s="37"/>
      <c r="PUW34" s="37"/>
      <c r="PUX34" s="37"/>
      <c r="PUY34" s="37"/>
      <c r="PUZ34" s="37"/>
      <c r="PVA34" s="37"/>
      <c r="PVB34" s="37"/>
      <c r="PVC34" s="37"/>
      <c r="PVD34" s="37"/>
      <c r="PVE34" s="37"/>
      <c r="PVF34" s="37"/>
      <c r="PVG34" s="37"/>
      <c r="PVH34" s="37"/>
      <c r="PVI34" s="37"/>
      <c r="PVJ34" s="37"/>
      <c r="PVK34" s="37"/>
      <c r="PVL34" s="37"/>
      <c r="PVM34" s="37"/>
      <c r="PVN34" s="37"/>
      <c r="PVO34" s="37"/>
      <c r="PVP34" s="37"/>
      <c r="PVQ34" s="37"/>
      <c r="PVR34" s="37"/>
      <c r="PVS34" s="37"/>
      <c r="PVT34" s="37"/>
      <c r="PVU34" s="37"/>
      <c r="PVV34" s="37"/>
      <c r="PVW34" s="37"/>
      <c r="PVX34" s="37"/>
      <c r="PVY34" s="37"/>
      <c r="PVZ34" s="37"/>
      <c r="PWA34" s="37"/>
      <c r="PWB34" s="37"/>
      <c r="PWC34" s="37"/>
      <c r="PWD34" s="37"/>
      <c r="PWE34" s="37"/>
      <c r="PWF34" s="37"/>
      <c r="PWG34" s="37"/>
      <c r="PWH34" s="37"/>
      <c r="PWI34" s="37"/>
      <c r="PWJ34" s="37"/>
      <c r="PWK34" s="37"/>
      <c r="PWL34" s="37"/>
      <c r="PWM34" s="37"/>
      <c r="PWN34" s="37"/>
      <c r="PWO34" s="37"/>
      <c r="PWP34" s="37"/>
      <c r="PWQ34" s="37"/>
      <c r="PWR34" s="37"/>
      <c r="PWS34" s="37"/>
      <c r="PWT34" s="37"/>
      <c r="PWU34" s="37"/>
      <c r="PWV34" s="37"/>
      <c r="PWW34" s="37"/>
      <c r="PWX34" s="37"/>
      <c r="PWY34" s="37"/>
      <c r="PWZ34" s="37"/>
      <c r="PXA34" s="37"/>
      <c r="PXB34" s="37"/>
      <c r="PXC34" s="37"/>
      <c r="PXD34" s="37"/>
      <c r="PXE34" s="37"/>
      <c r="PXF34" s="37"/>
      <c r="PXG34" s="37"/>
      <c r="PXH34" s="37"/>
      <c r="PXI34" s="37"/>
      <c r="PXJ34" s="37"/>
      <c r="PXK34" s="37"/>
      <c r="PXL34" s="37"/>
      <c r="PXM34" s="37"/>
      <c r="PXN34" s="37"/>
      <c r="PXO34" s="37"/>
      <c r="PXP34" s="37"/>
      <c r="PXQ34" s="37"/>
      <c r="PXR34" s="37"/>
      <c r="PXS34" s="37"/>
      <c r="PXT34" s="37"/>
      <c r="PXU34" s="37"/>
      <c r="PXV34" s="37"/>
      <c r="PXW34" s="37"/>
      <c r="PXX34" s="37"/>
      <c r="PXY34" s="37"/>
      <c r="PXZ34" s="37"/>
      <c r="PYA34" s="37"/>
      <c r="PYB34" s="37"/>
      <c r="PYC34" s="37"/>
      <c r="PYD34" s="37"/>
      <c r="PYE34" s="37"/>
      <c r="PYF34" s="37"/>
      <c r="PYG34" s="37"/>
      <c r="PYH34" s="37"/>
      <c r="PYI34" s="37"/>
      <c r="PYJ34" s="37"/>
      <c r="PYK34" s="37"/>
      <c r="PYL34" s="37"/>
      <c r="PYM34" s="37"/>
      <c r="PYN34" s="37"/>
      <c r="PYO34" s="37"/>
      <c r="PYP34" s="37"/>
      <c r="PYQ34" s="37"/>
      <c r="PYR34" s="37"/>
      <c r="PYS34" s="37"/>
      <c r="PYT34" s="37"/>
      <c r="PYU34" s="37"/>
      <c r="PYV34" s="37"/>
      <c r="PYW34" s="37"/>
      <c r="PYX34" s="37"/>
      <c r="PYY34" s="37"/>
      <c r="PYZ34" s="37"/>
      <c r="PZA34" s="37"/>
      <c r="PZB34" s="37"/>
      <c r="PZC34" s="37"/>
      <c r="PZD34" s="37"/>
      <c r="PZE34" s="37"/>
      <c r="PZF34" s="37"/>
      <c r="PZG34" s="37"/>
      <c r="PZH34" s="37"/>
      <c r="PZI34" s="37"/>
      <c r="PZJ34" s="37"/>
      <c r="PZK34" s="37"/>
      <c r="PZL34" s="37"/>
      <c r="PZM34" s="37"/>
      <c r="PZN34" s="37"/>
      <c r="PZO34" s="37"/>
      <c r="PZP34" s="37"/>
      <c r="PZQ34" s="37"/>
      <c r="PZR34" s="37"/>
      <c r="PZS34" s="37"/>
      <c r="PZT34" s="37"/>
      <c r="PZU34" s="37"/>
      <c r="PZV34" s="37"/>
      <c r="PZW34" s="37"/>
      <c r="PZX34" s="37"/>
      <c r="PZY34" s="37"/>
      <c r="PZZ34" s="37"/>
      <c r="QAA34" s="37"/>
      <c r="QAB34" s="37"/>
      <c r="QAC34" s="37"/>
      <c r="QAD34" s="37"/>
      <c r="QAE34" s="37"/>
      <c r="QAF34" s="37"/>
      <c r="QAG34" s="37"/>
      <c r="QAH34" s="37"/>
      <c r="QAI34" s="37"/>
      <c r="QAJ34" s="37"/>
      <c r="QAK34" s="37"/>
      <c r="QAL34" s="37"/>
      <c r="QAM34" s="37"/>
      <c r="QAN34" s="37"/>
      <c r="QAO34" s="37"/>
      <c r="QAP34" s="37"/>
      <c r="QAQ34" s="37"/>
      <c r="QAR34" s="37"/>
      <c r="QAS34" s="37"/>
      <c r="QAT34" s="37"/>
      <c r="QAU34" s="37"/>
      <c r="QAV34" s="37"/>
      <c r="QAW34" s="37"/>
      <c r="QAX34" s="37"/>
      <c r="QAY34" s="37"/>
      <c r="QAZ34" s="37"/>
      <c r="QBA34" s="37"/>
      <c r="QBB34" s="37"/>
      <c r="QBC34" s="37"/>
      <c r="QBD34" s="37"/>
      <c r="QBE34" s="37"/>
      <c r="QBF34" s="37"/>
      <c r="QBG34" s="37"/>
      <c r="QBH34" s="37"/>
      <c r="QBI34" s="37"/>
      <c r="QBJ34" s="37"/>
      <c r="QBK34" s="37"/>
      <c r="QBL34" s="37"/>
      <c r="QBM34" s="37"/>
      <c r="QBN34" s="37"/>
      <c r="QBO34" s="37"/>
      <c r="QBP34" s="37"/>
      <c r="QBQ34" s="37"/>
      <c r="QBR34" s="37"/>
      <c r="QBS34" s="37"/>
      <c r="QBT34" s="37"/>
      <c r="QBU34" s="37"/>
      <c r="QBV34" s="37"/>
      <c r="QBW34" s="37"/>
      <c r="QBX34" s="37"/>
      <c r="QBY34" s="37"/>
      <c r="QBZ34" s="37"/>
      <c r="QCA34" s="37"/>
      <c r="QCB34" s="37"/>
      <c r="QCC34" s="37"/>
      <c r="QCD34" s="37"/>
      <c r="QCE34" s="37"/>
      <c r="QCF34" s="37"/>
      <c r="QCG34" s="37"/>
      <c r="QCH34" s="37"/>
      <c r="QCI34" s="37"/>
      <c r="QCJ34" s="37"/>
      <c r="QCK34" s="37"/>
      <c r="QCL34" s="37"/>
      <c r="QCM34" s="37"/>
      <c r="QCN34" s="37"/>
      <c r="QCO34" s="37"/>
      <c r="QCP34" s="37"/>
      <c r="QCQ34" s="37"/>
      <c r="QCR34" s="37"/>
      <c r="QCS34" s="37"/>
      <c r="QCT34" s="37"/>
      <c r="QCU34" s="37"/>
      <c r="QCV34" s="37"/>
      <c r="QCW34" s="37"/>
      <c r="QCX34" s="37"/>
      <c r="QCY34" s="37"/>
      <c r="QCZ34" s="37"/>
      <c r="QDA34" s="37"/>
      <c r="QDB34" s="37"/>
      <c r="QDC34" s="37"/>
      <c r="QDD34" s="37"/>
      <c r="QDE34" s="37"/>
      <c r="QDF34" s="37"/>
      <c r="QDG34" s="37"/>
      <c r="QDH34" s="37"/>
      <c r="QDI34" s="37"/>
      <c r="QDJ34" s="37"/>
      <c r="QDK34" s="37"/>
      <c r="QDL34" s="37"/>
      <c r="QDM34" s="37"/>
      <c r="QDN34" s="37"/>
      <c r="QDO34" s="37"/>
      <c r="QDP34" s="37"/>
      <c r="QDQ34" s="37"/>
      <c r="QDR34" s="37"/>
      <c r="QDS34" s="37"/>
      <c r="QDT34" s="37"/>
      <c r="QDU34" s="37"/>
      <c r="QDV34" s="37"/>
      <c r="QDW34" s="37"/>
      <c r="QDX34" s="37"/>
      <c r="QDY34" s="37"/>
      <c r="QDZ34" s="37"/>
      <c r="QEA34" s="37"/>
      <c r="QEB34" s="37"/>
      <c r="QEC34" s="37"/>
      <c r="QED34" s="37"/>
      <c r="QEE34" s="37"/>
      <c r="QEF34" s="37"/>
      <c r="QEG34" s="37"/>
      <c r="QEH34" s="37"/>
      <c r="QEI34" s="37"/>
      <c r="QEJ34" s="37"/>
      <c r="QEK34" s="37"/>
      <c r="QEL34" s="37"/>
      <c r="QEM34" s="37"/>
      <c r="QEN34" s="37"/>
      <c r="QEO34" s="37"/>
      <c r="QEP34" s="37"/>
      <c r="QEQ34" s="37"/>
      <c r="QER34" s="37"/>
      <c r="QES34" s="37"/>
      <c r="QET34" s="37"/>
      <c r="QEU34" s="37"/>
      <c r="QEV34" s="37"/>
      <c r="QEW34" s="37"/>
      <c r="QEX34" s="37"/>
      <c r="QEY34" s="37"/>
      <c r="QEZ34" s="37"/>
      <c r="QFA34" s="37"/>
      <c r="QFB34" s="37"/>
      <c r="QFC34" s="37"/>
      <c r="QFD34" s="37"/>
      <c r="QFE34" s="37"/>
      <c r="QFF34" s="37"/>
      <c r="QFG34" s="37"/>
      <c r="QFH34" s="37"/>
      <c r="QFI34" s="37"/>
      <c r="QFJ34" s="37"/>
      <c r="QFK34" s="37"/>
      <c r="QFL34" s="37"/>
      <c r="QFM34" s="37"/>
      <c r="QFN34" s="37"/>
      <c r="QFO34" s="37"/>
      <c r="QFP34" s="37"/>
      <c r="QFQ34" s="37"/>
      <c r="QFR34" s="37"/>
      <c r="QFS34" s="37"/>
      <c r="QFT34" s="37"/>
      <c r="QFU34" s="37"/>
      <c r="QFV34" s="37"/>
      <c r="QFW34" s="37"/>
      <c r="QFX34" s="37"/>
      <c r="QFY34" s="37"/>
      <c r="QFZ34" s="37"/>
      <c r="QGA34" s="37"/>
      <c r="QGB34" s="37"/>
      <c r="QGC34" s="37"/>
      <c r="QGD34" s="37"/>
      <c r="QGE34" s="37"/>
      <c r="QGF34" s="37"/>
      <c r="QGG34" s="37"/>
      <c r="QGH34" s="37"/>
      <c r="QGI34" s="37"/>
      <c r="QGJ34" s="37"/>
      <c r="QGK34" s="37"/>
      <c r="QGL34" s="37"/>
      <c r="QGM34" s="37"/>
      <c r="QGN34" s="37"/>
      <c r="QGO34" s="37"/>
      <c r="QGP34" s="37"/>
      <c r="QGQ34" s="37"/>
      <c r="QGR34" s="37"/>
      <c r="QGS34" s="37"/>
      <c r="QGT34" s="37"/>
      <c r="QGU34" s="37"/>
      <c r="QGV34" s="37"/>
      <c r="QGW34" s="37"/>
      <c r="QGX34" s="37"/>
      <c r="QGY34" s="37"/>
      <c r="QGZ34" s="37"/>
      <c r="QHA34" s="37"/>
      <c r="QHB34" s="37"/>
      <c r="QHC34" s="37"/>
      <c r="QHD34" s="37"/>
      <c r="QHE34" s="37"/>
      <c r="QHF34" s="37"/>
      <c r="QHG34" s="37"/>
      <c r="QHH34" s="37"/>
      <c r="QHI34" s="37"/>
      <c r="QHJ34" s="37"/>
      <c r="QHK34" s="37"/>
      <c r="QHL34" s="37"/>
      <c r="QHM34" s="37"/>
      <c r="QHN34" s="37"/>
      <c r="QHO34" s="37"/>
      <c r="QHP34" s="37"/>
      <c r="QHQ34" s="37"/>
      <c r="QHR34" s="37"/>
      <c r="QHS34" s="37"/>
      <c r="QHT34" s="37"/>
      <c r="QHU34" s="37"/>
      <c r="QHV34" s="37"/>
      <c r="QHW34" s="37"/>
      <c r="QHX34" s="37"/>
      <c r="QHY34" s="37"/>
      <c r="QHZ34" s="37"/>
      <c r="QIA34" s="37"/>
      <c r="QIB34" s="37"/>
      <c r="QIC34" s="37"/>
      <c r="QID34" s="37"/>
      <c r="QIE34" s="37"/>
      <c r="QIF34" s="37"/>
      <c r="QIG34" s="37"/>
      <c r="QIH34" s="37"/>
      <c r="QII34" s="37"/>
      <c r="QIJ34" s="37"/>
      <c r="QIK34" s="37"/>
      <c r="QIL34" s="37"/>
      <c r="QIM34" s="37"/>
      <c r="QIN34" s="37"/>
      <c r="QIO34" s="37"/>
      <c r="QIP34" s="37"/>
      <c r="QIQ34" s="37"/>
      <c r="QIR34" s="37"/>
      <c r="QIS34" s="37"/>
      <c r="QIT34" s="37"/>
      <c r="QIU34" s="37"/>
      <c r="QIV34" s="37"/>
      <c r="QIW34" s="37"/>
      <c r="QIX34" s="37"/>
      <c r="QIY34" s="37"/>
      <c r="QIZ34" s="37"/>
      <c r="QJA34" s="37"/>
      <c r="QJB34" s="37"/>
      <c r="QJC34" s="37"/>
      <c r="QJD34" s="37"/>
      <c r="QJE34" s="37"/>
      <c r="QJF34" s="37"/>
      <c r="QJG34" s="37"/>
      <c r="QJH34" s="37"/>
      <c r="QJI34" s="37"/>
      <c r="QJJ34" s="37"/>
      <c r="QJK34" s="37"/>
      <c r="QJL34" s="37"/>
      <c r="QJM34" s="37"/>
      <c r="QJN34" s="37"/>
      <c r="QJO34" s="37"/>
      <c r="QJP34" s="37"/>
      <c r="QJQ34" s="37"/>
      <c r="QJR34" s="37"/>
      <c r="QJS34" s="37"/>
      <c r="QJT34" s="37"/>
      <c r="QJU34" s="37"/>
      <c r="QJV34" s="37"/>
      <c r="QJW34" s="37"/>
      <c r="QJX34" s="37"/>
      <c r="QJY34" s="37"/>
      <c r="QJZ34" s="37"/>
      <c r="QKA34" s="37"/>
      <c r="QKB34" s="37"/>
      <c r="QKC34" s="37"/>
      <c r="QKD34" s="37"/>
      <c r="QKE34" s="37"/>
      <c r="QKF34" s="37"/>
      <c r="QKG34" s="37"/>
      <c r="QKH34" s="37"/>
      <c r="QKI34" s="37"/>
      <c r="QKJ34" s="37"/>
      <c r="QKK34" s="37"/>
      <c r="QKL34" s="37"/>
      <c r="QKM34" s="37"/>
      <c r="QKN34" s="37"/>
      <c r="QKO34" s="37"/>
      <c r="QKP34" s="37"/>
      <c r="QKQ34" s="37"/>
      <c r="QKR34" s="37"/>
      <c r="QKS34" s="37"/>
      <c r="QKT34" s="37"/>
      <c r="QKU34" s="37"/>
      <c r="QKV34" s="37"/>
      <c r="QKW34" s="37"/>
      <c r="QKX34" s="37"/>
      <c r="QKY34" s="37"/>
      <c r="QKZ34" s="37"/>
      <c r="QLA34" s="37"/>
      <c r="QLB34" s="37"/>
      <c r="QLC34" s="37"/>
      <c r="QLD34" s="37"/>
      <c r="QLE34" s="37"/>
      <c r="QLF34" s="37"/>
      <c r="QLG34" s="37"/>
      <c r="QLH34" s="37"/>
      <c r="QLI34" s="37"/>
      <c r="QLJ34" s="37"/>
      <c r="QLK34" s="37"/>
      <c r="QLL34" s="37"/>
      <c r="QLM34" s="37"/>
      <c r="QLN34" s="37"/>
      <c r="QLO34" s="37"/>
      <c r="QLP34" s="37"/>
      <c r="QLQ34" s="37"/>
      <c r="QLR34" s="37"/>
      <c r="QLS34" s="37"/>
      <c r="QLT34" s="37"/>
      <c r="QLU34" s="37"/>
      <c r="QLV34" s="37"/>
      <c r="QLW34" s="37"/>
      <c r="QLX34" s="37"/>
      <c r="QLY34" s="37"/>
      <c r="QLZ34" s="37"/>
      <c r="QMA34" s="37"/>
      <c r="QMB34" s="37"/>
      <c r="QMC34" s="37"/>
      <c r="QMD34" s="37"/>
      <c r="QME34" s="37"/>
      <c r="QMF34" s="37"/>
      <c r="QMG34" s="37"/>
      <c r="QMH34" s="37"/>
      <c r="QMI34" s="37"/>
      <c r="QMJ34" s="37"/>
      <c r="QMK34" s="37"/>
      <c r="QML34" s="37"/>
      <c r="QMM34" s="37"/>
      <c r="QMN34" s="37"/>
      <c r="QMO34" s="37"/>
      <c r="QMP34" s="37"/>
      <c r="QMQ34" s="37"/>
      <c r="QMR34" s="37"/>
      <c r="QMS34" s="37"/>
      <c r="QMT34" s="37"/>
      <c r="QMU34" s="37"/>
      <c r="QMV34" s="37"/>
      <c r="QMW34" s="37"/>
      <c r="QMX34" s="37"/>
      <c r="QMY34" s="37"/>
      <c r="QMZ34" s="37"/>
      <c r="QNA34" s="37"/>
      <c r="QNB34" s="37"/>
      <c r="QNC34" s="37"/>
      <c r="QND34" s="37"/>
      <c r="QNE34" s="37"/>
      <c r="QNF34" s="37"/>
      <c r="QNG34" s="37"/>
      <c r="QNH34" s="37"/>
      <c r="QNI34" s="37"/>
      <c r="QNJ34" s="37"/>
      <c r="QNK34" s="37"/>
      <c r="QNL34" s="37"/>
      <c r="QNM34" s="37"/>
      <c r="QNN34" s="37"/>
      <c r="QNO34" s="37"/>
      <c r="QNP34" s="37"/>
      <c r="QNQ34" s="37"/>
      <c r="QNR34" s="37"/>
      <c r="QNS34" s="37"/>
      <c r="QNT34" s="37"/>
      <c r="QNU34" s="37"/>
      <c r="QNV34" s="37"/>
      <c r="QNW34" s="37"/>
      <c r="QNX34" s="37"/>
      <c r="QNY34" s="37"/>
      <c r="QNZ34" s="37"/>
      <c r="QOA34" s="37"/>
      <c r="QOB34" s="37"/>
      <c r="QOC34" s="37"/>
      <c r="QOD34" s="37"/>
      <c r="QOE34" s="37"/>
      <c r="QOF34" s="37"/>
      <c r="QOG34" s="37"/>
      <c r="QOH34" s="37"/>
      <c r="QOI34" s="37"/>
      <c r="QOJ34" s="37"/>
      <c r="QOK34" s="37"/>
      <c r="QOL34" s="37"/>
      <c r="QOM34" s="37"/>
      <c r="QON34" s="37"/>
      <c r="QOO34" s="37"/>
      <c r="QOP34" s="37"/>
      <c r="QOQ34" s="37"/>
      <c r="QOR34" s="37"/>
      <c r="QOS34" s="37"/>
      <c r="QOT34" s="37"/>
      <c r="QOU34" s="37"/>
      <c r="QOV34" s="37"/>
      <c r="QOW34" s="37"/>
      <c r="QOX34" s="37"/>
      <c r="QOY34" s="37"/>
      <c r="QOZ34" s="37"/>
      <c r="QPA34" s="37"/>
      <c r="QPB34" s="37"/>
      <c r="QPC34" s="37"/>
      <c r="QPD34" s="37"/>
      <c r="QPE34" s="37"/>
      <c r="QPF34" s="37"/>
      <c r="QPG34" s="37"/>
      <c r="QPH34" s="37"/>
      <c r="QPI34" s="37"/>
      <c r="QPJ34" s="37"/>
      <c r="QPK34" s="37"/>
      <c r="QPL34" s="37"/>
      <c r="QPM34" s="37"/>
      <c r="QPN34" s="37"/>
      <c r="QPO34" s="37"/>
      <c r="QPP34" s="37"/>
      <c r="QPQ34" s="37"/>
      <c r="QPR34" s="37"/>
      <c r="QPS34" s="37"/>
      <c r="QPT34" s="37"/>
      <c r="QPU34" s="37"/>
      <c r="QPV34" s="37"/>
      <c r="QPW34" s="37"/>
      <c r="QPX34" s="37"/>
      <c r="QPY34" s="37"/>
      <c r="QPZ34" s="37"/>
      <c r="QQA34" s="37"/>
      <c r="QQB34" s="37"/>
      <c r="QQC34" s="37"/>
      <c r="QQD34" s="37"/>
      <c r="QQE34" s="37"/>
      <c r="QQF34" s="37"/>
      <c r="QQG34" s="37"/>
      <c r="QQH34" s="37"/>
      <c r="QQI34" s="37"/>
      <c r="QQJ34" s="37"/>
      <c r="QQK34" s="37"/>
      <c r="QQL34" s="37"/>
      <c r="QQM34" s="37"/>
      <c r="QQN34" s="37"/>
      <c r="QQO34" s="37"/>
      <c r="QQP34" s="37"/>
      <c r="QQQ34" s="37"/>
      <c r="QQR34" s="37"/>
      <c r="QQS34" s="37"/>
      <c r="QQT34" s="37"/>
      <c r="QQU34" s="37"/>
      <c r="QQV34" s="37"/>
      <c r="QQW34" s="37"/>
      <c r="QQX34" s="37"/>
      <c r="QQY34" s="37"/>
      <c r="QQZ34" s="37"/>
      <c r="QRA34" s="37"/>
      <c r="QRB34" s="37"/>
      <c r="QRC34" s="37"/>
      <c r="QRD34" s="37"/>
      <c r="QRE34" s="37"/>
      <c r="QRF34" s="37"/>
      <c r="QRG34" s="37"/>
      <c r="QRH34" s="37"/>
      <c r="QRI34" s="37"/>
      <c r="QRJ34" s="37"/>
      <c r="QRK34" s="37"/>
      <c r="QRL34" s="37"/>
      <c r="QRM34" s="37"/>
      <c r="QRN34" s="37"/>
      <c r="QRO34" s="37"/>
      <c r="QRP34" s="37"/>
      <c r="QRQ34" s="37"/>
      <c r="QRR34" s="37"/>
      <c r="QRS34" s="37"/>
      <c r="QRT34" s="37"/>
      <c r="QRU34" s="37"/>
      <c r="QRV34" s="37"/>
      <c r="QRW34" s="37"/>
      <c r="QRX34" s="37"/>
      <c r="QRY34" s="37"/>
      <c r="QRZ34" s="37"/>
      <c r="QSA34" s="37"/>
      <c r="QSB34" s="37"/>
      <c r="QSC34" s="37"/>
      <c r="QSD34" s="37"/>
      <c r="QSE34" s="37"/>
      <c r="QSF34" s="37"/>
      <c r="QSG34" s="37"/>
      <c r="QSH34" s="37"/>
      <c r="QSI34" s="37"/>
      <c r="QSJ34" s="37"/>
      <c r="QSK34" s="37"/>
      <c r="QSL34" s="37"/>
      <c r="QSM34" s="37"/>
      <c r="QSN34" s="37"/>
      <c r="QSO34" s="37"/>
      <c r="QSP34" s="37"/>
      <c r="QSQ34" s="37"/>
      <c r="QSR34" s="37"/>
      <c r="QSS34" s="37"/>
      <c r="QST34" s="37"/>
      <c r="QSU34" s="37"/>
      <c r="QSV34" s="37"/>
      <c r="QSW34" s="37"/>
      <c r="QSX34" s="37"/>
      <c r="QSY34" s="37"/>
      <c r="QSZ34" s="37"/>
      <c r="QTA34" s="37"/>
      <c r="QTB34" s="37"/>
      <c r="QTC34" s="37"/>
      <c r="QTD34" s="37"/>
      <c r="QTE34" s="37"/>
      <c r="QTF34" s="37"/>
      <c r="QTG34" s="37"/>
      <c r="QTH34" s="37"/>
      <c r="QTI34" s="37"/>
      <c r="QTJ34" s="37"/>
      <c r="QTK34" s="37"/>
      <c r="QTL34" s="37"/>
      <c r="QTM34" s="37"/>
      <c r="QTN34" s="37"/>
      <c r="QTO34" s="37"/>
      <c r="QTP34" s="37"/>
      <c r="QTQ34" s="37"/>
      <c r="QTR34" s="37"/>
      <c r="QTS34" s="37"/>
      <c r="QTT34" s="37"/>
      <c r="QTU34" s="37"/>
      <c r="QTV34" s="37"/>
      <c r="QTW34" s="37"/>
      <c r="QTX34" s="37"/>
      <c r="QTY34" s="37"/>
      <c r="QTZ34" s="37"/>
      <c r="QUA34" s="37"/>
      <c r="QUB34" s="37"/>
      <c r="QUC34" s="37"/>
      <c r="QUD34" s="37"/>
      <c r="QUE34" s="37"/>
      <c r="QUF34" s="37"/>
      <c r="QUG34" s="37"/>
      <c r="QUH34" s="37"/>
      <c r="QUI34" s="37"/>
      <c r="QUJ34" s="37"/>
      <c r="QUK34" s="37"/>
      <c r="QUL34" s="37"/>
      <c r="QUM34" s="37"/>
      <c r="QUN34" s="37"/>
      <c r="QUO34" s="37"/>
      <c r="QUP34" s="37"/>
      <c r="QUQ34" s="37"/>
      <c r="QUR34" s="37"/>
      <c r="QUS34" s="37"/>
      <c r="QUT34" s="37"/>
      <c r="QUU34" s="37"/>
      <c r="QUV34" s="37"/>
      <c r="QUW34" s="37"/>
      <c r="QUX34" s="37"/>
      <c r="QUY34" s="37"/>
      <c r="QUZ34" s="37"/>
      <c r="QVA34" s="37"/>
      <c r="QVB34" s="37"/>
      <c r="QVC34" s="37"/>
      <c r="QVD34" s="37"/>
      <c r="QVE34" s="37"/>
      <c r="QVF34" s="37"/>
      <c r="QVG34" s="37"/>
      <c r="QVH34" s="37"/>
      <c r="QVI34" s="37"/>
      <c r="QVJ34" s="37"/>
      <c r="QVK34" s="37"/>
      <c r="QVL34" s="37"/>
      <c r="QVM34" s="37"/>
      <c r="QVN34" s="37"/>
      <c r="QVO34" s="37"/>
      <c r="QVP34" s="37"/>
      <c r="QVQ34" s="37"/>
      <c r="QVR34" s="37"/>
      <c r="QVS34" s="37"/>
      <c r="QVT34" s="37"/>
      <c r="QVU34" s="37"/>
      <c r="QVV34" s="37"/>
      <c r="QVW34" s="37"/>
      <c r="QVX34" s="37"/>
      <c r="QVY34" s="37"/>
      <c r="QVZ34" s="37"/>
      <c r="QWA34" s="37"/>
      <c r="QWB34" s="37"/>
      <c r="QWC34" s="37"/>
      <c r="QWD34" s="37"/>
      <c r="QWE34" s="37"/>
      <c r="QWF34" s="37"/>
      <c r="QWG34" s="37"/>
      <c r="QWH34" s="37"/>
      <c r="QWI34" s="37"/>
      <c r="QWJ34" s="37"/>
      <c r="QWK34" s="37"/>
      <c r="QWL34" s="37"/>
      <c r="QWM34" s="37"/>
      <c r="QWN34" s="37"/>
      <c r="QWO34" s="37"/>
      <c r="QWP34" s="37"/>
      <c r="QWQ34" s="37"/>
      <c r="QWR34" s="37"/>
      <c r="QWS34" s="37"/>
      <c r="QWT34" s="37"/>
      <c r="QWU34" s="37"/>
      <c r="QWV34" s="37"/>
      <c r="QWW34" s="37"/>
      <c r="QWX34" s="37"/>
      <c r="QWY34" s="37"/>
      <c r="QWZ34" s="37"/>
      <c r="QXA34" s="37"/>
      <c r="QXB34" s="37"/>
      <c r="QXC34" s="37"/>
      <c r="QXD34" s="37"/>
      <c r="QXE34" s="37"/>
      <c r="QXF34" s="37"/>
      <c r="QXG34" s="37"/>
      <c r="QXH34" s="37"/>
      <c r="QXI34" s="37"/>
      <c r="QXJ34" s="37"/>
      <c r="QXK34" s="37"/>
      <c r="QXL34" s="37"/>
      <c r="QXM34" s="37"/>
      <c r="QXN34" s="37"/>
      <c r="QXO34" s="37"/>
      <c r="QXP34" s="37"/>
      <c r="QXQ34" s="37"/>
      <c r="QXR34" s="37"/>
      <c r="QXS34" s="37"/>
      <c r="QXT34" s="37"/>
      <c r="QXU34" s="37"/>
      <c r="QXV34" s="37"/>
      <c r="QXW34" s="37"/>
      <c r="QXX34" s="37"/>
      <c r="QXY34" s="37"/>
      <c r="QXZ34" s="37"/>
      <c r="QYA34" s="37"/>
      <c r="QYB34" s="37"/>
      <c r="QYC34" s="37"/>
      <c r="QYD34" s="37"/>
      <c r="QYE34" s="37"/>
      <c r="QYF34" s="37"/>
      <c r="QYG34" s="37"/>
      <c r="QYH34" s="37"/>
      <c r="QYI34" s="37"/>
      <c r="QYJ34" s="37"/>
      <c r="QYK34" s="37"/>
      <c r="QYL34" s="37"/>
      <c r="QYM34" s="37"/>
      <c r="QYN34" s="37"/>
      <c r="QYO34" s="37"/>
      <c r="QYP34" s="37"/>
      <c r="QYQ34" s="37"/>
      <c r="QYR34" s="37"/>
      <c r="QYS34" s="37"/>
      <c r="QYT34" s="37"/>
      <c r="QYU34" s="37"/>
      <c r="QYV34" s="37"/>
      <c r="QYW34" s="37"/>
      <c r="QYX34" s="37"/>
      <c r="QYY34" s="37"/>
      <c r="QYZ34" s="37"/>
      <c r="QZA34" s="37"/>
      <c r="QZB34" s="37"/>
      <c r="QZC34" s="37"/>
      <c r="QZD34" s="37"/>
      <c r="QZE34" s="37"/>
      <c r="QZF34" s="37"/>
      <c r="QZG34" s="37"/>
      <c r="QZH34" s="37"/>
      <c r="QZI34" s="37"/>
      <c r="QZJ34" s="37"/>
      <c r="QZK34" s="37"/>
      <c r="QZL34" s="37"/>
      <c r="QZM34" s="37"/>
      <c r="QZN34" s="37"/>
      <c r="QZO34" s="37"/>
      <c r="QZP34" s="37"/>
      <c r="QZQ34" s="37"/>
      <c r="QZR34" s="37"/>
      <c r="QZS34" s="37"/>
      <c r="QZT34" s="37"/>
      <c r="QZU34" s="37"/>
      <c r="QZV34" s="37"/>
      <c r="QZW34" s="37"/>
      <c r="QZX34" s="37"/>
      <c r="QZY34" s="37"/>
      <c r="QZZ34" s="37"/>
      <c r="RAA34" s="37"/>
      <c r="RAB34" s="37"/>
      <c r="RAC34" s="37"/>
      <c r="RAD34" s="37"/>
      <c r="RAE34" s="37"/>
      <c r="RAF34" s="37"/>
      <c r="RAG34" s="37"/>
      <c r="RAH34" s="37"/>
      <c r="RAI34" s="37"/>
      <c r="RAJ34" s="37"/>
      <c r="RAK34" s="37"/>
      <c r="RAL34" s="37"/>
      <c r="RAM34" s="37"/>
      <c r="RAN34" s="37"/>
      <c r="RAO34" s="37"/>
      <c r="RAP34" s="37"/>
      <c r="RAQ34" s="37"/>
      <c r="RAR34" s="37"/>
      <c r="RAS34" s="37"/>
      <c r="RAT34" s="37"/>
      <c r="RAU34" s="37"/>
      <c r="RAV34" s="37"/>
      <c r="RAW34" s="37"/>
      <c r="RAX34" s="37"/>
      <c r="RAY34" s="37"/>
      <c r="RAZ34" s="37"/>
      <c r="RBA34" s="37"/>
      <c r="RBB34" s="37"/>
      <c r="RBC34" s="37"/>
      <c r="RBD34" s="37"/>
      <c r="RBE34" s="37"/>
      <c r="RBF34" s="37"/>
      <c r="RBG34" s="37"/>
      <c r="RBH34" s="37"/>
      <c r="RBI34" s="37"/>
      <c r="RBJ34" s="37"/>
      <c r="RBK34" s="37"/>
      <c r="RBL34" s="37"/>
      <c r="RBM34" s="37"/>
      <c r="RBN34" s="37"/>
      <c r="RBO34" s="37"/>
      <c r="RBP34" s="37"/>
      <c r="RBQ34" s="37"/>
      <c r="RBR34" s="37"/>
      <c r="RBS34" s="37"/>
      <c r="RBT34" s="37"/>
      <c r="RBU34" s="37"/>
      <c r="RBV34" s="37"/>
      <c r="RBW34" s="37"/>
      <c r="RBX34" s="37"/>
      <c r="RBY34" s="37"/>
      <c r="RBZ34" s="37"/>
      <c r="RCA34" s="37"/>
      <c r="RCB34" s="37"/>
      <c r="RCC34" s="37"/>
      <c r="RCD34" s="37"/>
      <c r="RCE34" s="37"/>
      <c r="RCF34" s="37"/>
      <c r="RCG34" s="37"/>
      <c r="RCH34" s="37"/>
      <c r="RCI34" s="37"/>
      <c r="RCJ34" s="37"/>
      <c r="RCK34" s="37"/>
      <c r="RCL34" s="37"/>
      <c r="RCM34" s="37"/>
      <c r="RCN34" s="37"/>
      <c r="RCO34" s="37"/>
      <c r="RCP34" s="37"/>
      <c r="RCQ34" s="37"/>
      <c r="RCR34" s="37"/>
      <c r="RCS34" s="37"/>
      <c r="RCT34" s="37"/>
      <c r="RCU34" s="37"/>
      <c r="RCV34" s="37"/>
      <c r="RCW34" s="37"/>
      <c r="RCX34" s="37"/>
      <c r="RCY34" s="37"/>
      <c r="RCZ34" s="37"/>
      <c r="RDA34" s="37"/>
      <c r="RDB34" s="37"/>
      <c r="RDC34" s="37"/>
      <c r="RDD34" s="37"/>
      <c r="RDE34" s="37"/>
      <c r="RDF34" s="37"/>
      <c r="RDG34" s="37"/>
      <c r="RDH34" s="37"/>
      <c r="RDI34" s="37"/>
      <c r="RDJ34" s="37"/>
      <c r="RDK34" s="37"/>
      <c r="RDL34" s="37"/>
      <c r="RDM34" s="37"/>
      <c r="RDN34" s="37"/>
      <c r="RDO34" s="37"/>
      <c r="RDP34" s="37"/>
      <c r="RDQ34" s="37"/>
      <c r="RDR34" s="37"/>
      <c r="RDS34" s="37"/>
      <c r="RDT34" s="37"/>
      <c r="RDU34" s="37"/>
      <c r="RDV34" s="37"/>
      <c r="RDW34" s="37"/>
      <c r="RDX34" s="37"/>
      <c r="RDY34" s="37"/>
      <c r="RDZ34" s="37"/>
      <c r="REA34" s="37"/>
      <c r="REB34" s="37"/>
      <c r="REC34" s="37"/>
      <c r="RED34" s="37"/>
      <c r="REE34" s="37"/>
      <c r="REF34" s="37"/>
      <c r="REG34" s="37"/>
      <c r="REH34" s="37"/>
      <c r="REI34" s="37"/>
      <c r="REJ34" s="37"/>
      <c r="REK34" s="37"/>
      <c r="REL34" s="37"/>
      <c r="REM34" s="37"/>
      <c r="REN34" s="37"/>
      <c r="REO34" s="37"/>
      <c r="REP34" s="37"/>
      <c r="REQ34" s="37"/>
      <c r="RER34" s="37"/>
      <c r="RES34" s="37"/>
      <c r="RET34" s="37"/>
      <c r="REU34" s="37"/>
      <c r="REV34" s="37"/>
      <c r="REW34" s="37"/>
      <c r="REX34" s="37"/>
      <c r="REY34" s="37"/>
      <c r="REZ34" s="37"/>
      <c r="RFA34" s="37"/>
      <c r="RFB34" s="37"/>
      <c r="RFC34" s="37"/>
      <c r="RFD34" s="37"/>
      <c r="RFE34" s="37"/>
      <c r="RFF34" s="37"/>
      <c r="RFG34" s="37"/>
      <c r="RFH34" s="37"/>
      <c r="RFI34" s="37"/>
      <c r="RFJ34" s="37"/>
      <c r="RFK34" s="37"/>
      <c r="RFL34" s="37"/>
      <c r="RFM34" s="37"/>
      <c r="RFN34" s="37"/>
      <c r="RFO34" s="37"/>
      <c r="RFP34" s="37"/>
      <c r="RFQ34" s="37"/>
      <c r="RFR34" s="37"/>
      <c r="RFS34" s="37"/>
      <c r="RFT34" s="37"/>
      <c r="RFU34" s="37"/>
      <c r="RFV34" s="37"/>
      <c r="RFW34" s="37"/>
      <c r="RFX34" s="37"/>
      <c r="RFY34" s="37"/>
      <c r="RFZ34" s="37"/>
      <c r="RGA34" s="37"/>
      <c r="RGB34" s="37"/>
      <c r="RGC34" s="37"/>
      <c r="RGD34" s="37"/>
      <c r="RGE34" s="37"/>
      <c r="RGF34" s="37"/>
      <c r="RGG34" s="37"/>
      <c r="RGH34" s="37"/>
      <c r="RGI34" s="37"/>
      <c r="RGJ34" s="37"/>
      <c r="RGK34" s="37"/>
      <c r="RGL34" s="37"/>
      <c r="RGM34" s="37"/>
      <c r="RGN34" s="37"/>
      <c r="RGO34" s="37"/>
      <c r="RGP34" s="37"/>
      <c r="RGQ34" s="37"/>
      <c r="RGR34" s="37"/>
      <c r="RGS34" s="37"/>
      <c r="RGT34" s="37"/>
      <c r="RGU34" s="37"/>
      <c r="RGV34" s="37"/>
      <c r="RGW34" s="37"/>
      <c r="RGX34" s="37"/>
      <c r="RGY34" s="37"/>
      <c r="RGZ34" s="37"/>
      <c r="RHA34" s="37"/>
      <c r="RHB34" s="37"/>
      <c r="RHC34" s="37"/>
      <c r="RHD34" s="37"/>
      <c r="RHE34" s="37"/>
      <c r="RHF34" s="37"/>
      <c r="RHG34" s="37"/>
      <c r="RHH34" s="37"/>
      <c r="RHI34" s="37"/>
      <c r="RHJ34" s="37"/>
      <c r="RHK34" s="37"/>
      <c r="RHL34" s="37"/>
      <c r="RHM34" s="37"/>
      <c r="RHN34" s="37"/>
      <c r="RHO34" s="37"/>
      <c r="RHP34" s="37"/>
      <c r="RHQ34" s="37"/>
      <c r="RHR34" s="37"/>
      <c r="RHS34" s="37"/>
      <c r="RHT34" s="37"/>
      <c r="RHU34" s="37"/>
      <c r="RHV34" s="37"/>
      <c r="RHW34" s="37"/>
      <c r="RHX34" s="37"/>
      <c r="RHY34" s="37"/>
      <c r="RHZ34" s="37"/>
      <c r="RIA34" s="37"/>
      <c r="RIB34" s="37"/>
      <c r="RIC34" s="37"/>
      <c r="RID34" s="37"/>
      <c r="RIE34" s="37"/>
      <c r="RIF34" s="37"/>
      <c r="RIG34" s="37"/>
      <c r="RIH34" s="37"/>
      <c r="RII34" s="37"/>
      <c r="RIJ34" s="37"/>
      <c r="RIK34" s="37"/>
      <c r="RIL34" s="37"/>
      <c r="RIM34" s="37"/>
      <c r="RIN34" s="37"/>
      <c r="RIO34" s="37"/>
      <c r="RIP34" s="37"/>
      <c r="RIQ34" s="37"/>
      <c r="RIR34" s="37"/>
      <c r="RIS34" s="37"/>
      <c r="RIT34" s="37"/>
      <c r="RIU34" s="37"/>
      <c r="RIV34" s="37"/>
      <c r="RIW34" s="37"/>
      <c r="RIX34" s="37"/>
      <c r="RIY34" s="37"/>
      <c r="RIZ34" s="37"/>
      <c r="RJA34" s="37"/>
      <c r="RJB34" s="37"/>
      <c r="RJC34" s="37"/>
      <c r="RJD34" s="37"/>
      <c r="RJE34" s="37"/>
      <c r="RJF34" s="37"/>
      <c r="RJG34" s="37"/>
      <c r="RJH34" s="37"/>
      <c r="RJI34" s="37"/>
      <c r="RJJ34" s="37"/>
      <c r="RJK34" s="37"/>
      <c r="RJL34" s="37"/>
      <c r="RJM34" s="37"/>
      <c r="RJN34" s="37"/>
      <c r="RJO34" s="37"/>
      <c r="RJP34" s="37"/>
      <c r="RJQ34" s="37"/>
      <c r="RJR34" s="37"/>
      <c r="RJS34" s="37"/>
      <c r="RJT34" s="37"/>
      <c r="RJU34" s="37"/>
      <c r="RJV34" s="37"/>
      <c r="RJW34" s="37"/>
      <c r="RJX34" s="37"/>
      <c r="RJY34" s="37"/>
      <c r="RJZ34" s="37"/>
      <c r="RKA34" s="37"/>
      <c r="RKB34" s="37"/>
      <c r="RKC34" s="37"/>
      <c r="RKD34" s="37"/>
      <c r="RKE34" s="37"/>
      <c r="RKF34" s="37"/>
      <c r="RKG34" s="37"/>
      <c r="RKH34" s="37"/>
      <c r="RKI34" s="37"/>
      <c r="RKJ34" s="37"/>
      <c r="RKK34" s="37"/>
      <c r="RKL34" s="37"/>
      <c r="RKM34" s="37"/>
      <c r="RKN34" s="37"/>
      <c r="RKO34" s="37"/>
      <c r="RKP34" s="37"/>
      <c r="RKQ34" s="37"/>
      <c r="RKR34" s="37"/>
      <c r="RKS34" s="37"/>
      <c r="RKT34" s="37"/>
      <c r="RKU34" s="37"/>
      <c r="RKV34" s="37"/>
      <c r="RKW34" s="37"/>
      <c r="RKX34" s="37"/>
      <c r="RKY34" s="37"/>
      <c r="RKZ34" s="37"/>
      <c r="RLA34" s="37"/>
      <c r="RLB34" s="37"/>
      <c r="RLC34" s="37"/>
      <c r="RLD34" s="37"/>
      <c r="RLE34" s="37"/>
      <c r="RLF34" s="37"/>
      <c r="RLG34" s="37"/>
      <c r="RLH34" s="37"/>
      <c r="RLI34" s="37"/>
      <c r="RLJ34" s="37"/>
      <c r="RLK34" s="37"/>
      <c r="RLL34" s="37"/>
      <c r="RLM34" s="37"/>
      <c r="RLN34" s="37"/>
      <c r="RLO34" s="37"/>
      <c r="RLP34" s="37"/>
      <c r="RLQ34" s="37"/>
      <c r="RLR34" s="37"/>
      <c r="RLS34" s="37"/>
      <c r="RLT34" s="37"/>
      <c r="RLU34" s="37"/>
      <c r="RLV34" s="37"/>
      <c r="RLW34" s="37"/>
      <c r="RLX34" s="37"/>
      <c r="RLY34" s="37"/>
      <c r="RLZ34" s="37"/>
      <c r="RMA34" s="37"/>
      <c r="RMB34" s="37"/>
      <c r="RMC34" s="37"/>
      <c r="RMD34" s="37"/>
      <c r="RME34" s="37"/>
      <c r="RMF34" s="37"/>
      <c r="RMG34" s="37"/>
      <c r="RMH34" s="37"/>
      <c r="RMI34" s="37"/>
      <c r="RMJ34" s="37"/>
      <c r="RMK34" s="37"/>
      <c r="RML34" s="37"/>
      <c r="RMM34" s="37"/>
      <c r="RMN34" s="37"/>
      <c r="RMO34" s="37"/>
      <c r="RMP34" s="37"/>
      <c r="RMQ34" s="37"/>
      <c r="RMR34" s="37"/>
      <c r="RMS34" s="37"/>
      <c r="RMT34" s="37"/>
      <c r="RMU34" s="37"/>
      <c r="RMV34" s="37"/>
      <c r="RMW34" s="37"/>
      <c r="RMX34" s="37"/>
      <c r="RMY34" s="37"/>
      <c r="RMZ34" s="37"/>
      <c r="RNA34" s="37"/>
      <c r="RNB34" s="37"/>
      <c r="RNC34" s="37"/>
      <c r="RND34" s="37"/>
      <c r="RNE34" s="37"/>
      <c r="RNF34" s="37"/>
      <c r="RNG34" s="37"/>
      <c r="RNH34" s="37"/>
      <c r="RNI34" s="37"/>
      <c r="RNJ34" s="37"/>
      <c r="RNK34" s="37"/>
      <c r="RNL34" s="37"/>
      <c r="RNM34" s="37"/>
      <c r="RNN34" s="37"/>
      <c r="RNO34" s="37"/>
      <c r="RNP34" s="37"/>
      <c r="RNQ34" s="37"/>
      <c r="RNR34" s="37"/>
      <c r="RNS34" s="37"/>
      <c r="RNT34" s="37"/>
      <c r="RNU34" s="37"/>
      <c r="RNV34" s="37"/>
      <c r="RNW34" s="37"/>
      <c r="RNX34" s="37"/>
      <c r="RNY34" s="37"/>
      <c r="RNZ34" s="37"/>
      <c r="ROA34" s="37"/>
      <c r="ROB34" s="37"/>
      <c r="ROC34" s="37"/>
      <c r="ROD34" s="37"/>
      <c r="ROE34" s="37"/>
      <c r="ROF34" s="37"/>
      <c r="ROG34" s="37"/>
      <c r="ROH34" s="37"/>
      <c r="ROI34" s="37"/>
      <c r="ROJ34" s="37"/>
      <c r="ROK34" s="37"/>
      <c r="ROL34" s="37"/>
      <c r="ROM34" s="37"/>
      <c r="RON34" s="37"/>
      <c r="ROO34" s="37"/>
      <c r="ROP34" s="37"/>
      <c r="ROQ34" s="37"/>
      <c r="ROR34" s="37"/>
      <c r="ROS34" s="37"/>
      <c r="ROT34" s="37"/>
      <c r="ROU34" s="37"/>
      <c r="ROV34" s="37"/>
      <c r="ROW34" s="37"/>
      <c r="ROX34" s="37"/>
      <c r="ROY34" s="37"/>
      <c r="ROZ34" s="37"/>
      <c r="RPA34" s="37"/>
      <c r="RPB34" s="37"/>
      <c r="RPC34" s="37"/>
      <c r="RPD34" s="37"/>
      <c r="RPE34" s="37"/>
      <c r="RPF34" s="37"/>
      <c r="RPG34" s="37"/>
      <c r="RPH34" s="37"/>
      <c r="RPI34" s="37"/>
      <c r="RPJ34" s="37"/>
      <c r="RPK34" s="37"/>
      <c r="RPL34" s="37"/>
      <c r="RPM34" s="37"/>
      <c r="RPN34" s="37"/>
      <c r="RPO34" s="37"/>
      <c r="RPP34" s="37"/>
      <c r="RPQ34" s="37"/>
      <c r="RPR34" s="37"/>
      <c r="RPS34" s="37"/>
      <c r="RPT34" s="37"/>
      <c r="RPU34" s="37"/>
      <c r="RPV34" s="37"/>
      <c r="RPW34" s="37"/>
      <c r="RPX34" s="37"/>
      <c r="RPY34" s="37"/>
      <c r="RPZ34" s="37"/>
      <c r="RQA34" s="37"/>
      <c r="RQB34" s="37"/>
      <c r="RQC34" s="37"/>
      <c r="RQD34" s="37"/>
      <c r="RQE34" s="37"/>
      <c r="RQF34" s="37"/>
      <c r="RQG34" s="37"/>
      <c r="RQH34" s="37"/>
      <c r="RQI34" s="37"/>
      <c r="RQJ34" s="37"/>
      <c r="RQK34" s="37"/>
      <c r="RQL34" s="37"/>
      <c r="RQM34" s="37"/>
      <c r="RQN34" s="37"/>
      <c r="RQO34" s="37"/>
      <c r="RQP34" s="37"/>
      <c r="RQQ34" s="37"/>
      <c r="RQR34" s="37"/>
      <c r="RQS34" s="37"/>
      <c r="RQT34" s="37"/>
      <c r="RQU34" s="37"/>
      <c r="RQV34" s="37"/>
      <c r="RQW34" s="37"/>
      <c r="RQX34" s="37"/>
      <c r="RQY34" s="37"/>
      <c r="RQZ34" s="37"/>
      <c r="RRA34" s="37"/>
      <c r="RRB34" s="37"/>
      <c r="RRC34" s="37"/>
      <c r="RRD34" s="37"/>
      <c r="RRE34" s="37"/>
      <c r="RRF34" s="37"/>
      <c r="RRG34" s="37"/>
      <c r="RRH34" s="37"/>
      <c r="RRI34" s="37"/>
      <c r="RRJ34" s="37"/>
      <c r="RRK34" s="37"/>
      <c r="RRL34" s="37"/>
      <c r="RRM34" s="37"/>
      <c r="RRN34" s="37"/>
      <c r="RRO34" s="37"/>
      <c r="RRP34" s="37"/>
      <c r="RRQ34" s="37"/>
      <c r="RRR34" s="37"/>
      <c r="RRS34" s="37"/>
      <c r="RRT34" s="37"/>
      <c r="RRU34" s="37"/>
      <c r="RRV34" s="37"/>
      <c r="RRW34" s="37"/>
      <c r="RRX34" s="37"/>
      <c r="RRY34" s="37"/>
      <c r="RRZ34" s="37"/>
      <c r="RSA34" s="37"/>
      <c r="RSB34" s="37"/>
      <c r="RSC34" s="37"/>
      <c r="RSD34" s="37"/>
      <c r="RSE34" s="37"/>
      <c r="RSF34" s="37"/>
      <c r="RSG34" s="37"/>
      <c r="RSH34" s="37"/>
      <c r="RSI34" s="37"/>
      <c r="RSJ34" s="37"/>
      <c r="RSK34" s="37"/>
      <c r="RSL34" s="37"/>
      <c r="RSM34" s="37"/>
      <c r="RSN34" s="37"/>
      <c r="RSO34" s="37"/>
      <c r="RSP34" s="37"/>
      <c r="RSQ34" s="37"/>
      <c r="RSR34" s="37"/>
      <c r="RSS34" s="37"/>
      <c r="RST34" s="37"/>
      <c r="RSU34" s="37"/>
      <c r="RSV34" s="37"/>
      <c r="RSW34" s="37"/>
      <c r="RSX34" s="37"/>
      <c r="RSY34" s="37"/>
      <c r="RSZ34" s="37"/>
      <c r="RTA34" s="37"/>
      <c r="RTB34" s="37"/>
      <c r="RTC34" s="37"/>
      <c r="RTD34" s="37"/>
      <c r="RTE34" s="37"/>
      <c r="RTF34" s="37"/>
      <c r="RTG34" s="37"/>
      <c r="RTH34" s="37"/>
      <c r="RTI34" s="37"/>
      <c r="RTJ34" s="37"/>
      <c r="RTK34" s="37"/>
      <c r="RTL34" s="37"/>
      <c r="RTM34" s="37"/>
      <c r="RTN34" s="37"/>
      <c r="RTO34" s="37"/>
      <c r="RTP34" s="37"/>
      <c r="RTQ34" s="37"/>
      <c r="RTR34" s="37"/>
      <c r="RTS34" s="37"/>
      <c r="RTT34" s="37"/>
      <c r="RTU34" s="37"/>
      <c r="RTV34" s="37"/>
      <c r="RTW34" s="37"/>
      <c r="RTX34" s="37"/>
      <c r="RTY34" s="37"/>
      <c r="RTZ34" s="37"/>
      <c r="RUA34" s="37"/>
      <c r="RUB34" s="37"/>
      <c r="RUC34" s="37"/>
      <c r="RUD34" s="37"/>
      <c r="RUE34" s="37"/>
      <c r="RUF34" s="37"/>
      <c r="RUG34" s="37"/>
      <c r="RUH34" s="37"/>
      <c r="RUI34" s="37"/>
      <c r="RUJ34" s="37"/>
      <c r="RUK34" s="37"/>
      <c r="RUL34" s="37"/>
      <c r="RUM34" s="37"/>
      <c r="RUN34" s="37"/>
      <c r="RUO34" s="37"/>
      <c r="RUP34" s="37"/>
      <c r="RUQ34" s="37"/>
      <c r="RUR34" s="37"/>
      <c r="RUS34" s="37"/>
      <c r="RUT34" s="37"/>
      <c r="RUU34" s="37"/>
      <c r="RUV34" s="37"/>
      <c r="RUW34" s="37"/>
      <c r="RUX34" s="37"/>
      <c r="RUY34" s="37"/>
      <c r="RUZ34" s="37"/>
      <c r="RVA34" s="37"/>
      <c r="RVB34" s="37"/>
      <c r="RVC34" s="37"/>
      <c r="RVD34" s="37"/>
      <c r="RVE34" s="37"/>
      <c r="RVF34" s="37"/>
      <c r="RVG34" s="37"/>
      <c r="RVH34" s="37"/>
      <c r="RVI34" s="37"/>
      <c r="RVJ34" s="37"/>
      <c r="RVK34" s="37"/>
      <c r="RVL34" s="37"/>
      <c r="RVM34" s="37"/>
      <c r="RVN34" s="37"/>
      <c r="RVO34" s="37"/>
      <c r="RVP34" s="37"/>
      <c r="RVQ34" s="37"/>
      <c r="RVR34" s="37"/>
      <c r="RVS34" s="37"/>
      <c r="RVT34" s="37"/>
      <c r="RVU34" s="37"/>
      <c r="RVV34" s="37"/>
      <c r="RVW34" s="37"/>
      <c r="RVX34" s="37"/>
      <c r="RVY34" s="37"/>
      <c r="RVZ34" s="37"/>
      <c r="RWA34" s="37"/>
      <c r="RWB34" s="37"/>
      <c r="RWC34" s="37"/>
      <c r="RWD34" s="37"/>
      <c r="RWE34" s="37"/>
      <c r="RWF34" s="37"/>
      <c r="RWG34" s="37"/>
      <c r="RWH34" s="37"/>
      <c r="RWI34" s="37"/>
      <c r="RWJ34" s="37"/>
      <c r="RWK34" s="37"/>
      <c r="RWL34" s="37"/>
      <c r="RWM34" s="37"/>
      <c r="RWN34" s="37"/>
      <c r="RWO34" s="37"/>
      <c r="RWP34" s="37"/>
      <c r="RWQ34" s="37"/>
      <c r="RWR34" s="37"/>
      <c r="RWS34" s="37"/>
      <c r="RWT34" s="37"/>
      <c r="RWU34" s="37"/>
      <c r="RWV34" s="37"/>
      <c r="RWW34" s="37"/>
      <c r="RWX34" s="37"/>
      <c r="RWY34" s="37"/>
      <c r="RWZ34" s="37"/>
      <c r="RXA34" s="37"/>
      <c r="RXB34" s="37"/>
      <c r="RXC34" s="37"/>
      <c r="RXD34" s="37"/>
      <c r="RXE34" s="37"/>
      <c r="RXF34" s="37"/>
      <c r="RXG34" s="37"/>
      <c r="RXH34" s="37"/>
      <c r="RXI34" s="37"/>
      <c r="RXJ34" s="37"/>
      <c r="RXK34" s="37"/>
      <c r="RXL34" s="37"/>
      <c r="RXM34" s="37"/>
      <c r="RXN34" s="37"/>
      <c r="RXO34" s="37"/>
      <c r="RXP34" s="37"/>
      <c r="RXQ34" s="37"/>
      <c r="RXR34" s="37"/>
      <c r="RXS34" s="37"/>
      <c r="RXT34" s="37"/>
      <c r="RXU34" s="37"/>
      <c r="RXV34" s="37"/>
      <c r="RXW34" s="37"/>
      <c r="RXX34" s="37"/>
      <c r="RXY34" s="37"/>
      <c r="RXZ34" s="37"/>
      <c r="RYA34" s="37"/>
      <c r="RYB34" s="37"/>
      <c r="RYC34" s="37"/>
      <c r="RYD34" s="37"/>
      <c r="RYE34" s="37"/>
      <c r="RYF34" s="37"/>
      <c r="RYG34" s="37"/>
      <c r="RYH34" s="37"/>
      <c r="RYI34" s="37"/>
      <c r="RYJ34" s="37"/>
      <c r="RYK34" s="37"/>
      <c r="RYL34" s="37"/>
      <c r="RYM34" s="37"/>
      <c r="RYN34" s="37"/>
      <c r="RYO34" s="37"/>
      <c r="RYP34" s="37"/>
      <c r="RYQ34" s="37"/>
      <c r="RYR34" s="37"/>
      <c r="RYS34" s="37"/>
      <c r="RYT34" s="37"/>
      <c r="RYU34" s="37"/>
      <c r="RYV34" s="37"/>
      <c r="RYW34" s="37"/>
      <c r="RYX34" s="37"/>
      <c r="RYY34" s="37"/>
      <c r="RYZ34" s="37"/>
      <c r="RZA34" s="37"/>
      <c r="RZB34" s="37"/>
      <c r="RZC34" s="37"/>
      <c r="RZD34" s="37"/>
      <c r="RZE34" s="37"/>
      <c r="RZF34" s="37"/>
      <c r="RZG34" s="37"/>
      <c r="RZH34" s="37"/>
      <c r="RZI34" s="37"/>
      <c r="RZJ34" s="37"/>
      <c r="RZK34" s="37"/>
      <c r="RZL34" s="37"/>
      <c r="RZM34" s="37"/>
      <c r="RZN34" s="37"/>
      <c r="RZO34" s="37"/>
      <c r="RZP34" s="37"/>
      <c r="RZQ34" s="37"/>
      <c r="RZR34" s="37"/>
      <c r="RZS34" s="37"/>
      <c r="RZT34" s="37"/>
      <c r="RZU34" s="37"/>
      <c r="RZV34" s="37"/>
      <c r="RZW34" s="37"/>
      <c r="RZX34" s="37"/>
      <c r="RZY34" s="37"/>
      <c r="RZZ34" s="37"/>
      <c r="SAA34" s="37"/>
      <c r="SAB34" s="37"/>
      <c r="SAC34" s="37"/>
      <c r="SAD34" s="37"/>
      <c r="SAE34" s="37"/>
      <c r="SAF34" s="37"/>
      <c r="SAG34" s="37"/>
      <c r="SAH34" s="37"/>
      <c r="SAI34" s="37"/>
      <c r="SAJ34" s="37"/>
      <c r="SAK34" s="37"/>
      <c r="SAL34" s="37"/>
      <c r="SAM34" s="37"/>
      <c r="SAN34" s="37"/>
      <c r="SAO34" s="37"/>
      <c r="SAP34" s="37"/>
      <c r="SAQ34" s="37"/>
      <c r="SAR34" s="37"/>
      <c r="SAS34" s="37"/>
      <c r="SAT34" s="37"/>
      <c r="SAU34" s="37"/>
      <c r="SAV34" s="37"/>
      <c r="SAW34" s="37"/>
      <c r="SAX34" s="37"/>
      <c r="SAY34" s="37"/>
      <c r="SAZ34" s="37"/>
      <c r="SBA34" s="37"/>
      <c r="SBB34" s="37"/>
      <c r="SBC34" s="37"/>
      <c r="SBD34" s="37"/>
      <c r="SBE34" s="37"/>
      <c r="SBF34" s="37"/>
      <c r="SBG34" s="37"/>
      <c r="SBH34" s="37"/>
      <c r="SBI34" s="37"/>
      <c r="SBJ34" s="37"/>
      <c r="SBK34" s="37"/>
      <c r="SBL34" s="37"/>
      <c r="SBM34" s="37"/>
      <c r="SBN34" s="37"/>
      <c r="SBO34" s="37"/>
      <c r="SBP34" s="37"/>
      <c r="SBQ34" s="37"/>
      <c r="SBR34" s="37"/>
      <c r="SBS34" s="37"/>
      <c r="SBT34" s="37"/>
      <c r="SBU34" s="37"/>
      <c r="SBV34" s="37"/>
      <c r="SBW34" s="37"/>
      <c r="SBX34" s="37"/>
      <c r="SBY34" s="37"/>
      <c r="SBZ34" s="37"/>
      <c r="SCA34" s="37"/>
      <c r="SCB34" s="37"/>
      <c r="SCC34" s="37"/>
      <c r="SCD34" s="37"/>
      <c r="SCE34" s="37"/>
      <c r="SCF34" s="37"/>
      <c r="SCG34" s="37"/>
      <c r="SCH34" s="37"/>
      <c r="SCI34" s="37"/>
      <c r="SCJ34" s="37"/>
      <c r="SCK34" s="37"/>
      <c r="SCL34" s="37"/>
      <c r="SCM34" s="37"/>
      <c r="SCN34" s="37"/>
      <c r="SCO34" s="37"/>
      <c r="SCP34" s="37"/>
      <c r="SCQ34" s="37"/>
      <c r="SCR34" s="37"/>
      <c r="SCS34" s="37"/>
      <c r="SCT34" s="37"/>
      <c r="SCU34" s="37"/>
      <c r="SCV34" s="37"/>
      <c r="SCW34" s="37"/>
      <c r="SCX34" s="37"/>
      <c r="SCY34" s="37"/>
      <c r="SCZ34" s="37"/>
      <c r="SDA34" s="37"/>
      <c r="SDB34" s="37"/>
      <c r="SDC34" s="37"/>
      <c r="SDD34" s="37"/>
      <c r="SDE34" s="37"/>
      <c r="SDF34" s="37"/>
      <c r="SDG34" s="37"/>
      <c r="SDH34" s="37"/>
      <c r="SDI34" s="37"/>
      <c r="SDJ34" s="37"/>
      <c r="SDK34" s="37"/>
      <c r="SDL34" s="37"/>
      <c r="SDM34" s="37"/>
      <c r="SDN34" s="37"/>
      <c r="SDO34" s="37"/>
      <c r="SDP34" s="37"/>
      <c r="SDQ34" s="37"/>
      <c r="SDR34" s="37"/>
      <c r="SDS34" s="37"/>
      <c r="SDT34" s="37"/>
      <c r="SDU34" s="37"/>
      <c r="SDV34" s="37"/>
      <c r="SDW34" s="37"/>
      <c r="SDX34" s="37"/>
      <c r="SDY34" s="37"/>
      <c r="SDZ34" s="37"/>
      <c r="SEA34" s="37"/>
      <c r="SEB34" s="37"/>
      <c r="SEC34" s="37"/>
      <c r="SED34" s="37"/>
      <c r="SEE34" s="37"/>
      <c r="SEF34" s="37"/>
      <c r="SEG34" s="37"/>
      <c r="SEH34" s="37"/>
      <c r="SEI34" s="37"/>
      <c r="SEJ34" s="37"/>
      <c r="SEK34" s="37"/>
      <c r="SEL34" s="37"/>
      <c r="SEM34" s="37"/>
      <c r="SEN34" s="37"/>
      <c r="SEO34" s="37"/>
      <c r="SEP34" s="37"/>
      <c r="SEQ34" s="37"/>
      <c r="SER34" s="37"/>
      <c r="SES34" s="37"/>
      <c r="SET34" s="37"/>
      <c r="SEU34" s="37"/>
      <c r="SEV34" s="37"/>
      <c r="SEW34" s="37"/>
      <c r="SEX34" s="37"/>
      <c r="SEY34" s="37"/>
      <c r="SEZ34" s="37"/>
      <c r="SFA34" s="37"/>
      <c r="SFB34" s="37"/>
      <c r="SFC34" s="37"/>
      <c r="SFD34" s="37"/>
      <c r="SFE34" s="37"/>
      <c r="SFF34" s="37"/>
      <c r="SFG34" s="37"/>
      <c r="SFH34" s="37"/>
      <c r="SFI34" s="37"/>
      <c r="SFJ34" s="37"/>
      <c r="SFK34" s="37"/>
      <c r="SFL34" s="37"/>
      <c r="SFM34" s="37"/>
      <c r="SFN34" s="37"/>
      <c r="SFO34" s="37"/>
      <c r="SFP34" s="37"/>
      <c r="SFQ34" s="37"/>
      <c r="SFR34" s="37"/>
      <c r="SFS34" s="37"/>
      <c r="SFT34" s="37"/>
      <c r="SFU34" s="37"/>
      <c r="SFV34" s="37"/>
      <c r="SFW34" s="37"/>
      <c r="SFX34" s="37"/>
      <c r="SFY34" s="37"/>
      <c r="SFZ34" s="37"/>
      <c r="SGA34" s="37"/>
      <c r="SGB34" s="37"/>
      <c r="SGC34" s="37"/>
      <c r="SGD34" s="37"/>
      <c r="SGE34" s="37"/>
      <c r="SGF34" s="37"/>
      <c r="SGG34" s="37"/>
      <c r="SGH34" s="37"/>
      <c r="SGI34" s="37"/>
      <c r="SGJ34" s="37"/>
      <c r="SGK34" s="37"/>
      <c r="SGL34" s="37"/>
      <c r="SGM34" s="37"/>
      <c r="SGN34" s="37"/>
      <c r="SGO34" s="37"/>
      <c r="SGP34" s="37"/>
      <c r="SGQ34" s="37"/>
      <c r="SGR34" s="37"/>
      <c r="SGS34" s="37"/>
      <c r="SGT34" s="37"/>
      <c r="SGU34" s="37"/>
      <c r="SGV34" s="37"/>
      <c r="SGW34" s="37"/>
      <c r="SGX34" s="37"/>
      <c r="SGY34" s="37"/>
      <c r="SGZ34" s="37"/>
      <c r="SHA34" s="37"/>
      <c r="SHB34" s="37"/>
      <c r="SHC34" s="37"/>
      <c r="SHD34" s="37"/>
      <c r="SHE34" s="37"/>
      <c r="SHF34" s="37"/>
      <c r="SHG34" s="37"/>
      <c r="SHH34" s="37"/>
      <c r="SHI34" s="37"/>
      <c r="SHJ34" s="37"/>
      <c r="SHK34" s="37"/>
      <c r="SHL34" s="37"/>
      <c r="SHM34" s="37"/>
      <c r="SHN34" s="37"/>
      <c r="SHO34" s="37"/>
      <c r="SHP34" s="37"/>
      <c r="SHQ34" s="37"/>
      <c r="SHR34" s="37"/>
      <c r="SHS34" s="37"/>
      <c r="SHT34" s="37"/>
      <c r="SHU34" s="37"/>
      <c r="SHV34" s="37"/>
      <c r="SHW34" s="37"/>
      <c r="SHX34" s="37"/>
      <c r="SHY34" s="37"/>
      <c r="SHZ34" s="37"/>
      <c r="SIA34" s="37"/>
      <c r="SIB34" s="37"/>
      <c r="SIC34" s="37"/>
      <c r="SID34" s="37"/>
      <c r="SIE34" s="37"/>
      <c r="SIF34" s="37"/>
      <c r="SIG34" s="37"/>
      <c r="SIH34" s="37"/>
      <c r="SII34" s="37"/>
      <c r="SIJ34" s="37"/>
      <c r="SIK34" s="37"/>
      <c r="SIL34" s="37"/>
      <c r="SIM34" s="37"/>
      <c r="SIN34" s="37"/>
      <c r="SIO34" s="37"/>
      <c r="SIP34" s="37"/>
      <c r="SIQ34" s="37"/>
      <c r="SIR34" s="37"/>
      <c r="SIS34" s="37"/>
      <c r="SIT34" s="37"/>
      <c r="SIU34" s="37"/>
      <c r="SIV34" s="37"/>
      <c r="SIW34" s="37"/>
      <c r="SIX34" s="37"/>
      <c r="SIY34" s="37"/>
      <c r="SIZ34" s="37"/>
      <c r="SJA34" s="37"/>
      <c r="SJB34" s="37"/>
      <c r="SJC34" s="37"/>
      <c r="SJD34" s="37"/>
      <c r="SJE34" s="37"/>
      <c r="SJF34" s="37"/>
      <c r="SJG34" s="37"/>
      <c r="SJH34" s="37"/>
      <c r="SJI34" s="37"/>
      <c r="SJJ34" s="37"/>
      <c r="SJK34" s="37"/>
      <c r="SJL34" s="37"/>
      <c r="SJM34" s="37"/>
      <c r="SJN34" s="37"/>
      <c r="SJO34" s="37"/>
      <c r="SJP34" s="37"/>
      <c r="SJQ34" s="37"/>
      <c r="SJR34" s="37"/>
      <c r="SJS34" s="37"/>
      <c r="SJT34" s="37"/>
      <c r="SJU34" s="37"/>
      <c r="SJV34" s="37"/>
      <c r="SJW34" s="37"/>
      <c r="SJX34" s="37"/>
      <c r="SJY34" s="37"/>
      <c r="SJZ34" s="37"/>
      <c r="SKA34" s="37"/>
      <c r="SKB34" s="37"/>
      <c r="SKC34" s="37"/>
      <c r="SKD34" s="37"/>
      <c r="SKE34" s="37"/>
      <c r="SKF34" s="37"/>
      <c r="SKG34" s="37"/>
      <c r="SKH34" s="37"/>
      <c r="SKI34" s="37"/>
      <c r="SKJ34" s="37"/>
      <c r="SKK34" s="37"/>
      <c r="SKL34" s="37"/>
      <c r="SKM34" s="37"/>
      <c r="SKN34" s="37"/>
      <c r="SKO34" s="37"/>
      <c r="SKP34" s="37"/>
      <c r="SKQ34" s="37"/>
      <c r="SKR34" s="37"/>
      <c r="SKS34" s="37"/>
      <c r="SKT34" s="37"/>
      <c r="SKU34" s="37"/>
      <c r="SKV34" s="37"/>
      <c r="SKW34" s="37"/>
      <c r="SKX34" s="37"/>
      <c r="SKY34" s="37"/>
      <c r="SKZ34" s="37"/>
      <c r="SLA34" s="37"/>
      <c r="SLB34" s="37"/>
      <c r="SLC34" s="37"/>
      <c r="SLD34" s="37"/>
      <c r="SLE34" s="37"/>
      <c r="SLF34" s="37"/>
      <c r="SLG34" s="37"/>
      <c r="SLH34" s="37"/>
      <c r="SLI34" s="37"/>
      <c r="SLJ34" s="37"/>
      <c r="SLK34" s="37"/>
      <c r="SLL34" s="37"/>
      <c r="SLM34" s="37"/>
      <c r="SLN34" s="37"/>
      <c r="SLO34" s="37"/>
      <c r="SLP34" s="37"/>
      <c r="SLQ34" s="37"/>
      <c r="SLR34" s="37"/>
      <c r="SLS34" s="37"/>
      <c r="SLT34" s="37"/>
      <c r="SLU34" s="37"/>
      <c r="SLV34" s="37"/>
      <c r="SLW34" s="37"/>
      <c r="SLX34" s="37"/>
      <c r="SLY34" s="37"/>
      <c r="SLZ34" s="37"/>
      <c r="SMA34" s="37"/>
      <c r="SMB34" s="37"/>
      <c r="SMC34" s="37"/>
      <c r="SMD34" s="37"/>
      <c r="SME34" s="37"/>
      <c r="SMF34" s="37"/>
      <c r="SMG34" s="37"/>
      <c r="SMH34" s="37"/>
      <c r="SMI34" s="37"/>
      <c r="SMJ34" s="37"/>
      <c r="SMK34" s="37"/>
      <c r="SML34" s="37"/>
      <c r="SMM34" s="37"/>
      <c r="SMN34" s="37"/>
      <c r="SMO34" s="37"/>
      <c r="SMP34" s="37"/>
      <c r="SMQ34" s="37"/>
      <c r="SMR34" s="37"/>
      <c r="SMS34" s="37"/>
      <c r="SMT34" s="37"/>
      <c r="SMU34" s="37"/>
      <c r="SMV34" s="37"/>
      <c r="SMW34" s="37"/>
      <c r="SMX34" s="37"/>
      <c r="SMY34" s="37"/>
      <c r="SMZ34" s="37"/>
      <c r="SNA34" s="37"/>
      <c r="SNB34" s="37"/>
      <c r="SNC34" s="37"/>
      <c r="SND34" s="37"/>
      <c r="SNE34" s="37"/>
      <c r="SNF34" s="37"/>
      <c r="SNG34" s="37"/>
      <c r="SNH34" s="37"/>
      <c r="SNI34" s="37"/>
      <c r="SNJ34" s="37"/>
      <c r="SNK34" s="37"/>
      <c r="SNL34" s="37"/>
      <c r="SNM34" s="37"/>
      <c r="SNN34" s="37"/>
      <c r="SNO34" s="37"/>
      <c r="SNP34" s="37"/>
      <c r="SNQ34" s="37"/>
      <c r="SNR34" s="37"/>
      <c r="SNS34" s="37"/>
      <c r="SNT34" s="37"/>
      <c r="SNU34" s="37"/>
      <c r="SNV34" s="37"/>
      <c r="SNW34" s="37"/>
      <c r="SNX34" s="37"/>
      <c r="SNY34" s="37"/>
      <c r="SNZ34" s="37"/>
      <c r="SOA34" s="37"/>
      <c r="SOB34" s="37"/>
      <c r="SOC34" s="37"/>
      <c r="SOD34" s="37"/>
      <c r="SOE34" s="37"/>
      <c r="SOF34" s="37"/>
      <c r="SOG34" s="37"/>
      <c r="SOH34" s="37"/>
      <c r="SOI34" s="37"/>
      <c r="SOJ34" s="37"/>
      <c r="SOK34" s="37"/>
      <c r="SOL34" s="37"/>
      <c r="SOM34" s="37"/>
      <c r="SON34" s="37"/>
      <c r="SOO34" s="37"/>
      <c r="SOP34" s="37"/>
      <c r="SOQ34" s="37"/>
      <c r="SOR34" s="37"/>
      <c r="SOS34" s="37"/>
      <c r="SOT34" s="37"/>
      <c r="SOU34" s="37"/>
      <c r="SOV34" s="37"/>
      <c r="SOW34" s="37"/>
      <c r="SOX34" s="37"/>
      <c r="SOY34" s="37"/>
      <c r="SOZ34" s="37"/>
      <c r="SPA34" s="37"/>
      <c r="SPB34" s="37"/>
      <c r="SPC34" s="37"/>
      <c r="SPD34" s="37"/>
      <c r="SPE34" s="37"/>
      <c r="SPF34" s="37"/>
      <c r="SPG34" s="37"/>
      <c r="SPH34" s="37"/>
      <c r="SPI34" s="37"/>
      <c r="SPJ34" s="37"/>
      <c r="SPK34" s="37"/>
      <c r="SPL34" s="37"/>
      <c r="SPM34" s="37"/>
      <c r="SPN34" s="37"/>
      <c r="SPO34" s="37"/>
      <c r="SPP34" s="37"/>
      <c r="SPQ34" s="37"/>
      <c r="SPR34" s="37"/>
      <c r="SPS34" s="37"/>
      <c r="SPT34" s="37"/>
      <c r="SPU34" s="37"/>
      <c r="SPV34" s="37"/>
      <c r="SPW34" s="37"/>
      <c r="SPX34" s="37"/>
      <c r="SPY34" s="37"/>
      <c r="SPZ34" s="37"/>
      <c r="SQA34" s="37"/>
      <c r="SQB34" s="37"/>
      <c r="SQC34" s="37"/>
      <c r="SQD34" s="37"/>
      <c r="SQE34" s="37"/>
      <c r="SQF34" s="37"/>
      <c r="SQG34" s="37"/>
      <c r="SQH34" s="37"/>
      <c r="SQI34" s="37"/>
      <c r="SQJ34" s="37"/>
      <c r="SQK34" s="37"/>
      <c r="SQL34" s="37"/>
      <c r="SQM34" s="37"/>
      <c r="SQN34" s="37"/>
      <c r="SQO34" s="37"/>
      <c r="SQP34" s="37"/>
      <c r="SQQ34" s="37"/>
      <c r="SQR34" s="37"/>
      <c r="SQS34" s="37"/>
      <c r="SQT34" s="37"/>
      <c r="SQU34" s="37"/>
      <c r="SQV34" s="37"/>
      <c r="SQW34" s="37"/>
      <c r="SQX34" s="37"/>
      <c r="SQY34" s="37"/>
      <c r="SQZ34" s="37"/>
      <c r="SRA34" s="37"/>
      <c r="SRB34" s="37"/>
      <c r="SRC34" s="37"/>
      <c r="SRD34" s="37"/>
      <c r="SRE34" s="37"/>
      <c r="SRF34" s="37"/>
      <c r="SRG34" s="37"/>
      <c r="SRH34" s="37"/>
      <c r="SRI34" s="37"/>
      <c r="SRJ34" s="37"/>
      <c r="SRK34" s="37"/>
      <c r="SRL34" s="37"/>
      <c r="SRM34" s="37"/>
      <c r="SRN34" s="37"/>
      <c r="SRO34" s="37"/>
      <c r="SRP34" s="37"/>
      <c r="SRQ34" s="37"/>
      <c r="SRR34" s="37"/>
      <c r="SRS34" s="37"/>
      <c r="SRT34" s="37"/>
      <c r="SRU34" s="37"/>
      <c r="SRV34" s="37"/>
      <c r="SRW34" s="37"/>
      <c r="SRX34" s="37"/>
      <c r="SRY34" s="37"/>
      <c r="SRZ34" s="37"/>
      <c r="SSA34" s="37"/>
      <c r="SSB34" s="37"/>
      <c r="SSC34" s="37"/>
      <c r="SSD34" s="37"/>
      <c r="SSE34" s="37"/>
      <c r="SSF34" s="37"/>
      <c r="SSG34" s="37"/>
      <c r="SSH34" s="37"/>
      <c r="SSI34" s="37"/>
      <c r="SSJ34" s="37"/>
      <c r="SSK34" s="37"/>
      <c r="SSL34" s="37"/>
      <c r="SSM34" s="37"/>
      <c r="SSN34" s="37"/>
      <c r="SSO34" s="37"/>
      <c r="SSP34" s="37"/>
      <c r="SSQ34" s="37"/>
      <c r="SSR34" s="37"/>
      <c r="SSS34" s="37"/>
      <c r="SST34" s="37"/>
      <c r="SSU34" s="37"/>
      <c r="SSV34" s="37"/>
      <c r="SSW34" s="37"/>
      <c r="SSX34" s="37"/>
      <c r="SSY34" s="37"/>
      <c r="SSZ34" s="37"/>
      <c r="STA34" s="37"/>
      <c r="STB34" s="37"/>
      <c r="STC34" s="37"/>
      <c r="STD34" s="37"/>
      <c r="STE34" s="37"/>
      <c r="STF34" s="37"/>
      <c r="STG34" s="37"/>
      <c r="STH34" s="37"/>
      <c r="STI34" s="37"/>
      <c r="STJ34" s="37"/>
      <c r="STK34" s="37"/>
      <c r="STL34" s="37"/>
      <c r="STM34" s="37"/>
      <c r="STN34" s="37"/>
      <c r="STO34" s="37"/>
      <c r="STP34" s="37"/>
      <c r="STQ34" s="37"/>
      <c r="STR34" s="37"/>
      <c r="STS34" s="37"/>
      <c r="STT34" s="37"/>
      <c r="STU34" s="37"/>
      <c r="STV34" s="37"/>
      <c r="STW34" s="37"/>
      <c r="STX34" s="37"/>
      <c r="STY34" s="37"/>
      <c r="STZ34" s="37"/>
      <c r="SUA34" s="37"/>
      <c r="SUB34" s="37"/>
      <c r="SUC34" s="37"/>
      <c r="SUD34" s="37"/>
      <c r="SUE34" s="37"/>
      <c r="SUF34" s="37"/>
      <c r="SUG34" s="37"/>
      <c r="SUH34" s="37"/>
      <c r="SUI34" s="37"/>
      <c r="SUJ34" s="37"/>
      <c r="SUK34" s="37"/>
      <c r="SUL34" s="37"/>
      <c r="SUM34" s="37"/>
      <c r="SUN34" s="37"/>
      <c r="SUO34" s="37"/>
      <c r="SUP34" s="37"/>
      <c r="SUQ34" s="37"/>
      <c r="SUR34" s="37"/>
      <c r="SUS34" s="37"/>
      <c r="SUT34" s="37"/>
      <c r="SUU34" s="37"/>
      <c r="SUV34" s="37"/>
      <c r="SUW34" s="37"/>
      <c r="SUX34" s="37"/>
      <c r="SUY34" s="37"/>
      <c r="SUZ34" s="37"/>
      <c r="SVA34" s="37"/>
      <c r="SVB34" s="37"/>
      <c r="SVC34" s="37"/>
      <c r="SVD34" s="37"/>
      <c r="SVE34" s="37"/>
      <c r="SVF34" s="37"/>
      <c r="SVG34" s="37"/>
      <c r="SVH34" s="37"/>
      <c r="SVI34" s="37"/>
      <c r="SVJ34" s="37"/>
      <c r="SVK34" s="37"/>
      <c r="SVL34" s="37"/>
      <c r="SVM34" s="37"/>
      <c r="SVN34" s="37"/>
      <c r="SVO34" s="37"/>
      <c r="SVP34" s="37"/>
      <c r="SVQ34" s="37"/>
      <c r="SVR34" s="37"/>
      <c r="SVS34" s="37"/>
      <c r="SVT34" s="37"/>
      <c r="SVU34" s="37"/>
      <c r="SVV34" s="37"/>
      <c r="SVW34" s="37"/>
      <c r="SVX34" s="37"/>
      <c r="SVY34" s="37"/>
      <c r="SVZ34" s="37"/>
      <c r="SWA34" s="37"/>
      <c r="SWB34" s="37"/>
      <c r="SWC34" s="37"/>
      <c r="SWD34" s="37"/>
      <c r="SWE34" s="37"/>
      <c r="SWF34" s="37"/>
      <c r="SWG34" s="37"/>
      <c r="SWH34" s="37"/>
      <c r="SWI34" s="37"/>
      <c r="SWJ34" s="37"/>
      <c r="SWK34" s="37"/>
      <c r="SWL34" s="37"/>
      <c r="SWM34" s="37"/>
      <c r="SWN34" s="37"/>
      <c r="SWO34" s="37"/>
      <c r="SWP34" s="37"/>
      <c r="SWQ34" s="37"/>
      <c r="SWR34" s="37"/>
      <c r="SWS34" s="37"/>
      <c r="SWT34" s="37"/>
      <c r="SWU34" s="37"/>
      <c r="SWV34" s="37"/>
      <c r="SWW34" s="37"/>
      <c r="SWX34" s="37"/>
      <c r="SWY34" s="37"/>
      <c r="SWZ34" s="37"/>
      <c r="SXA34" s="37"/>
      <c r="SXB34" s="37"/>
      <c r="SXC34" s="37"/>
      <c r="SXD34" s="37"/>
      <c r="SXE34" s="37"/>
      <c r="SXF34" s="37"/>
      <c r="SXG34" s="37"/>
      <c r="SXH34" s="37"/>
      <c r="SXI34" s="37"/>
      <c r="SXJ34" s="37"/>
      <c r="SXK34" s="37"/>
      <c r="SXL34" s="37"/>
      <c r="SXM34" s="37"/>
      <c r="SXN34" s="37"/>
      <c r="SXO34" s="37"/>
      <c r="SXP34" s="37"/>
      <c r="SXQ34" s="37"/>
      <c r="SXR34" s="37"/>
      <c r="SXS34" s="37"/>
      <c r="SXT34" s="37"/>
      <c r="SXU34" s="37"/>
      <c r="SXV34" s="37"/>
      <c r="SXW34" s="37"/>
      <c r="SXX34" s="37"/>
      <c r="SXY34" s="37"/>
      <c r="SXZ34" s="37"/>
      <c r="SYA34" s="37"/>
      <c r="SYB34" s="37"/>
      <c r="SYC34" s="37"/>
      <c r="SYD34" s="37"/>
      <c r="SYE34" s="37"/>
      <c r="SYF34" s="37"/>
      <c r="SYG34" s="37"/>
      <c r="SYH34" s="37"/>
      <c r="SYI34" s="37"/>
      <c r="SYJ34" s="37"/>
      <c r="SYK34" s="37"/>
      <c r="SYL34" s="37"/>
      <c r="SYM34" s="37"/>
      <c r="SYN34" s="37"/>
      <c r="SYO34" s="37"/>
      <c r="SYP34" s="37"/>
      <c r="SYQ34" s="37"/>
      <c r="SYR34" s="37"/>
      <c r="SYS34" s="37"/>
      <c r="SYT34" s="37"/>
      <c r="SYU34" s="37"/>
      <c r="SYV34" s="37"/>
      <c r="SYW34" s="37"/>
      <c r="SYX34" s="37"/>
      <c r="SYY34" s="37"/>
      <c r="SYZ34" s="37"/>
      <c r="SZA34" s="37"/>
      <c r="SZB34" s="37"/>
      <c r="SZC34" s="37"/>
      <c r="SZD34" s="37"/>
      <c r="SZE34" s="37"/>
      <c r="SZF34" s="37"/>
      <c r="SZG34" s="37"/>
      <c r="SZH34" s="37"/>
      <c r="SZI34" s="37"/>
      <c r="SZJ34" s="37"/>
      <c r="SZK34" s="37"/>
      <c r="SZL34" s="37"/>
      <c r="SZM34" s="37"/>
      <c r="SZN34" s="37"/>
      <c r="SZO34" s="37"/>
      <c r="SZP34" s="37"/>
      <c r="SZQ34" s="37"/>
      <c r="SZR34" s="37"/>
      <c r="SZS34" s="37"/>
      <c r="SZT34" s="37"/>
      <c r="SZU34" s="37"/>
      <c r="SZV34" s="37"/>
      <c r="SZW34" s="37"/>
      <c r="SZX34" s="37"/>
      <c r="SZY34" s="37"/>
      <c r="SZZ34" s="37"/>
      <c r="TAA34" s="37"/>
      <c r="TAB34" s="37"/>
      <c r="TAC34" s="37"/>
      <c r="TAD34" s="37"/>
      <c r="TAE34" s="37"/>
      <c r="TAF34" s="37"/>
      <c r="TAG34" s="37"/>
      <c r="TAH34" s="37"/>
      <c r="TAI34" s="37"/>
      <c r="TAJ34" s="37"/>
      <c r="TAK34" s="37"/>
      <c r="TAL34" s="37"/>
      <c r="TAM34" s="37"/>
      <c r="TAN34" s="37"/>
      <c r="TAO34" s="37"/>
      <c r="TAP34" s="37"/>
      <c r="TAQ34" s="37"/>
      <c r="TAR34" s="37"/>
      <c r="TAS34" s="37"/>
      <c r="TAT34" s="37"/>
      <c r="TAU34" s="37"/>
      <c r="TAV34" s="37"/>
      <c r="TAW34" s="37"/>
      <c r="TAX34" s="37"/>
      <c r="TAY34" s="37"/>
      <c r="TAZ34" s="37"/>
      <c r="TBA34" s="37"/>
      <c r="TBB34" s="37"/>
      <c r="TBC34" s="37"/>
      <c r="TBD34" s="37"/>
      <c r="TBE34" s="37"/>
      <c r="TBF34" s="37"/>
      <c r="TBG34" s="37"/>
      <c r="TBH34" s="37"/>
      <c r="TBI34" s="37"/>
      <c r="TBJ34" s="37"/>
      <c r="TBK34" s="37"/>
      <c r="TBL34" s="37"/>
      <c r="TBM34" s="37"/>
      <c r="TBN34" s="37"/>
      <c r="TBO34" s="37"/>
      <c r="TBP34" s="37"/>
      <c r="TBQ34" s="37"/>
      <c r="TBR34" s="37"/>
      <c r="TBS34" s="37"/>
      <c r="TBT34" s="37"/>
      <c r="TBU34" s="37"/>
      <c r="TBV34" s="37"/>
      <c r="TBW34" s="37"/>
      <c r="TBX34" s="37"/>
      <c r="TBY34" s="37"/>
      <c r="TBZ34" s="37"/>
      <c r="TCA34" s="37"/>
      <c r="TCB34" s="37"/>
      <c r="TCC34" s="37"/>
      <c r="TCD34" s="37"/>
      <c r="TCE34" s="37"/>
      <c r="TCF34" s="37"/>
      <c r="TCG34" s="37"/>
      <c r="TCH34" s="37"/>
      <c r="TCI34" s="37"/>
      <c r="TCJ34" s="37"/>
      <c r="TCK34" s="37"/>
      <c r="TCL34" s="37"/>
      <c r="TCM34" s="37"/>
      <c r="TCN34" s="37"/>
      <c r="TCO34" s="37"/>
      <c r="TCP34" s="37"/>
      <c r="TCQ34" s="37"/>
      <c r="TCR34" s="37"/>
      <c r="TCS34" s="37"/>
      <c r="TCT34" s="37"/>
      <c r="TCU34" s="37"/>
      <c r="TCV34" s="37"/>
      <c r="TCW34" s="37"/>
      <c r="TCX34" s="37"/>
      <c r="TCY34" s="37"/>
      <c r="TCZ34" s="37"/>
      <c r="TDA34" s="37"/>
      <c r="TDB34" s="37"/>
      <c r="TDC34" s="37"/>
      <c r="TDD34" s="37"/>
      <c r="TDE34" s="37"/>
      <c r="TDF34" s="37"/>
      <c r="TDG34" s="37"/>
      <c r="TDH34" s="37"/>
      <c r="TDI34" s="37"/>
      <c r="TDJ34" s="37"/>
      <c r="TDK34" s="37"/>
      <c r="TDL34" s="37"/>
      <c r="TDM34" s="37"/>
      <c r="TDN34" s="37"/>
      <c r="TDO34" s="37"/>
      <c r="TDP34" s="37"/>
      <c r="TDQ34" s="37"/>
      <c r="TDR34" s="37"/>
      <c r="TDS34" s="37"/>
      <c r="TDT34" s="37"/>
      <c r="TDU34" s="37"/>
      <c r="TDV34" s="37"/>
      <c r="TDW34" s="37"/>
      <c r="TDX34" s="37"/>
      <c r="TDY34" s="37"/>
      <c r="TDZ34" s="37"/>
      <c r="TEA34" s="37"/>
      <c r="TEB34" s="37"/>
      <c r="TEC34" s="37"/>
      <c r="TED34" s="37"/>
      <c r="TEE34" s="37"/>
      <c r="TEF34" s="37"/>
      <c r="TEG34" s="37"/>
      <c r="TEH34" s="37"/>
      <c r="TEI34" s="37"/>
      <c r="TEJ34" s="37"/>
      <c r="TEK34" s="37"/>
      <c r="TEL34" s="37"/>
      <c r="TEM34" s="37"/>
      <c r="TEN34" s="37"/>
      <c r="TEO34" s="37"/>
      <c r="TEP34" s="37"/>
      <c r="TEQ34" s="37"/>
      <c r="TER34" s="37"/>
      <c r="TES34" s="37"/>
      <c r="TET34" s="37"/>
      <c r="TEU34" s="37"/>
      <c r="TEV34" s="37"/>
      <c r="TEW34" s="37"/>
      <c r="TEX34" s="37"/>
      <c r="TEY34" s="37"/>
      <c r="TEZ34" s="37"/>
      <c r="TFA34" s="37"/>
      <c r="TFB34" s="37"/>
      <c r="TFC34" s="37"/>
      <c r="TFD34" s="37"/>
      <c r="TFE34" s="37"/>
      <c r="TFF34" s="37"/>
      <c r="TFG34" s="37"/>
      <c r="TFH34" s="37"/>
      <c r="TFI34" s="37"/>
      <c r="TFJ34" s="37"/>
      <c r="TFK34" s="37"/>
      <c r="TFL34" s="37"/>
      <c r="TFM34" s="37"/>
      <c r="TFN34" s="37"/>
      <c r="TFO34" s="37"/>
      <c r="TFP34" s="37"/>
      <c r="TFQ34" s="37"/>
      <c r="TFR34" s="37"/>
      <c r="TFS34" s="37"/>
      <c r="TFT34" s="37"/>
      <c r="TFU34" s="37"/>
      <c r="TFV34" s="37"/>
      <c r="TFW34" s="37"/>
      <c r="TFX34" s="37"/>
      <c r="TFY34" s="37"/>
      <c r="TFZ34" s="37"/>
      <c r="TGA34" s="37"/>
      <c r="TGB34" s="37"/>
      <c r="TGC34" s="37"/>
      <c r="TGD34" s="37"/>
      <c r="TGE34" s="37"/>
      <c r="TGF34" s="37"/>
      <c r="TGG34" s="37"/>
      <c r="TGH34" s="37"/>
      <c r="TGI34" s="37"/>
      <c r="TGJ34" s="37"/>
      <c r="TGK34" s="37"/>
      <c r="TGL34" s="37"/>
      <c r="TGM34" s="37"/>
      <c r="TGN34" s="37"/>
      <c r="TGO34" s="37"/>
      <c r="TGP34" s="37"/>
      <c r="TGQ34" s="37"/>
      <c r="TGR34" s="37"/>
      <c r="TGS34" s="37"/>
      <c r="TGT34" s="37"/>
      <c r="TGU34" s="37"/>
      <c r="TGV34" s="37"/>
      <c r="TGW34" s="37"/>
      <c r="TGX34" s="37"/>
      <c r="TGY34" s="37"/>
      <c r="TGZ34" s="37"/>
      <c r="THA34" s="37"/>
      <c r="THB34" s="37"/>
      <c r="THC34" s="37"/>
      <c r="THD34" s="37"/>
      <c r="THE34" s="37"/>
      <c r="THF34" s="37"/>
      <c r="THG34" s="37"/>
      <c r="THH34" s="37"/>
      <c r="THI34" s="37"/>
      <c r="THJ34" s="37"/>
      <c r="THK34" s="37"/>
      <c r="THL34" s="37"/>
      <c r="THM34" s="37"/>
      <c r="THN34" s="37"/>
      <c r="THO34" s="37"/>
      <c r="THP34" s="37"/>
      <c r="THQ34" s="37"/>
      <c r="THR34" s="37"/>
      <c r="THS34" s="37"/>
      <c r="THT34" s="37"/>
      <c r="THU34" s="37"/>
      <c r="THV34" s="37"/>
      <c r="THW34" s="37"/>
      <c r="THX34" s="37"/>
      <c r="THY34" s="37"/>
      <c r="THZ34" s="37"/>
      <c r="TIA34" s="37"/>
      <c r="TIB34" s="37"/>
      <c r="TIC34" s="37"/>
      <c r="TID34" s="37"/>
      <c r="TIE34" s="37"/>
      <c r="TIF34" s="37"/>
      <c r="TIG34" s="37"/>
      <c r="TIH34" s="37"/>
      <c r="TII34" s="37"/>
      <c r="TIJ34" s="37"/>
      <c r="TIK34" s="37"/>
      <c r="TIL34" s="37"/>
      <c r="TIM34" s="37"/>
      <c r="TIN34" s="37"/>
      <c r="TIO34" s="37"/>
      <c r="TIP34" s="37"/>
      <c r="TIQ34" s="37"/>
      <c r="TIR34" s="37"/>
      <c r="TIS34" s="37"/>
      <c r="TIT34" s="37"/>
      <c r="TIU34" s="37"/>
      <c r="TIV34" s="37"/>
      <c r="TIW34" s="37"/>
      <c r="TIX34" s="37"/>
      <c r="TIY34" s="37"/>
      <c r="TIZ34" s="37"/>
      <c r="TJA34" s="37"/>
      <c r="TJB34" s="37"/>
      <c r="TJC34" s="37"/>
      <c r="TJD34" s="37"/>
      <c r="TJE34" s="37"/>
      <c r="TJF34" s="37"/>
      <c r="TJG34" s="37"/>
      <c r="TJH34" s="37"/>
      <c r="TJI34" s="37"/>
      <c r="TJJ34" s="37"/>
      <c r="TJK34" s="37"/>
      <c r="TJL34" s="37"/>
      <c r="TJM34" s="37"/>
      <c r="TJN34" s="37"/>
      <c r="TJO34" s="37"/>
      <c r="TJP34" s="37"/>
      <c r="TJQ34" s="37"/>
      <c r="TJR34" s="37"/>
      <c r="TJS34" s="37"/>
      <c r="TJT34" s="37"/>
      <c r="TJU34" s="37"/>
      <c r="TJV34" s="37"/>
      <c r="TJW34" s="37"/>
      <c r="TJX34" s="37"/>
      <c r="TJY34" s="37"/>
      <c r="TJZ34" s="37"/>
      <c r="TKA34" s="37"/>
      <c r="TKB34" s="37"/>
      <c r="TKC34" s="37"/>
      <c r="TKD34" s="37"/>
      <c r="TKE34" s="37"/>
      <c r="TKF34" s="37"/>
      <c r="TKG34" s="37"/>
      <c r="TKH34" s="37"/>
      <c r="TKI34" s="37"/>
      <c r="TKJ34" s="37"/>
      <c r="TKK34" s="37"/>
      <c r="TKL34" s="37"/>
      <c r="TKM34" s="37"/>
      <c r="TKN34" s="37"/>
      <c r="TKO34" s="37"/>
      <c r="TKP34" s="37"/>
      <c r="TKQ34" s="37"/>
      <c r="TKR34" s="37"/>
      <c r="TKS34" s="37"/>
      <c r="TKT34" s="37"/>
      <c r="TKU34" s="37"/>
      <c r="TKV34" s="37"/>
      <c r="TKW34" s="37"/>
      <c r="TKX34" s="37"/>
      <c r="TKY34" s="37"/>
      <c r="TKZ34" s="37"/>
      <c r="TLA34" s="37"/>
      <c r="TLB34" s="37"/>
      <c r="TLC34" s="37"/>
      <c r="TLD34" s="37"/>
      <c r="TLE34" s="37"/>
      <c r="TLF34" s="37"/>
      <c r="TLG34" s="37"/>
      <c r="TLH34" s="37"/>
      <c r="TLI34" s="37"/>
      <c r="TLJ34" s="37"/>
      <c r="TLK34" s="37"/>
      <c r="TLL34" s="37"/>
      <c r="TLM34" s="37"/>
      <c r="TLN34" s="37"/>
      <c r="TLO34" s="37"/>
      <c r="TLP34" s="37"/>
      <c r="TLQ34" s="37"/>
      <c r="TLR34" s="37"/>
      <c r="TLS34" s="37"/>
      <c r="TLT34" s="37"/>
      <c r="TLU34" s="37"/>
      <c r="TLV34" s="37"/>
      <c r="TLW34" s="37"/>
      <c r="TLX34" s="37"/>
      <c r="TLY34" s="37"/>
      <c r="TLZ34" s="37"/>
      <c r="TMA34" s="37"/>
      <c r="TMB34" s="37"/>
      <c r="TMC34" s="37"/>
      <c r="TMD34" s="37"/>
      <c r="TME34" s="37"/>
      <c r="TMF34" s="37"/>
      <c r="TMG34" s="37"/>
      <c r="TMH34" s="37"/>
      <c r="TMI34" s="37"/>
      <c r="TMJ34" s="37"/>
      <c r="TMK34" s="37"/>
      <c r="TML34" s="37"/>
      <c r="TMM34" s="37"/>
      <c r="TMN34" s="37"/>
      <c r="TMO34" s="37"/>
      <c r="TMP34" s="37"/>
      <c r="TMQ34" s="37"/>
      <c r="TMR34" s="37"/>
      <c r="TMS34" s="37"/>
      <c r="TMT34" s="37"/>
      <c r="TMU34" s="37"/>
      <c r="TMV34" s="37"/>
      <c r="TMW34" s="37"/>
      <c r="TMX34" s="37"/>
      <c r="TMY34" s="37"/>
      <c r="TMZ34" s="37"/>
      <c r="TNA34" s="37"/>
      <c r="TNB34" s="37"/>
      <c r="TNC34" s="37"/>
      <c r="TND34" s="37"/>
      <c r="TNE34" s="37"/>
      <c r="TNF34" s="37"/>
      <c r="TNG34" s="37"/>
      <c r="TNH34" s="37"/>
      <c r="TNI34" s="37"/>
      <c r="TNJ34" s="37"/>
      <c r="TNK34" s="37"/>
      <c r="TNL34" s="37"/>
      <c r="TNM34" s="37"/>
      <c r="TNN34" s="37"/>
      <c r="TNO34" s="37"/>
      <c r="TNP34" s="37"/>
      <c r="TNQ34" s="37"/>
      <c r="TNR34" s="37"/>
      <c r="TNS34" s="37"/>
      <c r="TNT34" s="37"/>
      <c r="TNU34" s="37"/>
      <c r="TNV34" s="37"/>
      <c r="TNW34" s="37"/>
      <c r="TNX34" s="37"/>
      <c r="TNY34" s="37"/>
      <c r="TNZ34" s="37"/>
      <c r="TOA34" s="37"/>
      <c r="TOB34" s="37"/>
      <c r="TOC34" s="37"/>
      <c r="TOD34" s="37"/>
      <c r="TOE34" s="37"/>
      <c r="TOF34" s="37"/>
      <c r="TOG34" s="37"/>
      <c r="TOH34" s="37"/>
      <c r="TOI34" s="37"/>
      <c r="TOJ34" s="37"/>
      <c r="TOK34" s="37"/>
      <c r="TOL34" s="37"/>
      <c r="TOM34" s="37"/>
      <c r="TON34" s="37"/>
      <c r="TOO34" s="37"/>
      <c r="TOP34" s="37"/>
      <c r="TOQ34" s="37"/>
      <c r="TOR34" s="37"/>
      <c r="TOS34" s="37"/>
      <c r="TOT34" s="37"/>
      <c r="TOU34" s="37"/>
      <c r="TOV34" s="37"/>
      <c r="TOW34" s="37"/>
      <c r="TOX34" s="37"/>
      <c r="TOY34" s="37"/>
      <c r="TOZ34" s="37"/>
      <c r="TPA34" s="37"/>
      <c r="TPB34" s="37"/>
      <c r="TPC34" s="37"/>
      <c r="TPD34" s="37"/>
      <c r="TPE34" s="37"/>
      <c r="TPF34" s="37"/>
      <c r="TPG34" s="37"/>
      <c r="TPH34" s="37"/>
      <c r="TPI34" s="37"/>
      <c r="TPJ34" s="37"/>
      <c r="TPK34" s="37"/>
      <c r="TPL34" s="37"/>
      <c r="TPM34" s="37"/>
      <c r="TPN34" s="37"/>
      <c r="TPO34" s="37"/>
      <c r="TPP34" s="37"/>
      <c r="TPQ34" s="37"/>
      <c r="TPR34" s="37"/>
      <c r="TPS34" s="37"/>
      <c r="TPT34" s="37"/>
      <c r="TPU34" s="37"/>
      <c r="TPV34" s="37"/>
      <c r="TPW34" s="37"/>
      <c r="TPX34" s="37"/>
      <c r="TPY34" s="37"/>
      <c r="TPZ34" s="37"/>
      <c r="TQA34" s="37"/>
      <c r="TQB34" s="37"/>
      <c r="TQC34" s="37"/>
      <c r="TQD34" s="37"/>
      <c r="TQE34" s="37"/>
      <c r="TQF34" s="37"/>
      <c r="TQG34" s="37"/>
      <c r="TQH34" s="37"/>
      <c r="TQI34" s="37"/>
      <c r="TQJ34" s="37"/>
      <c r="TQK34" s="37"/>
      <c r="TQL34" s="37"/>
      <c r="TQM34" s="37"/>
      <c r="TQN34" s="37"/>
      <c r="TQO34" s="37"/>
      <c r="TQP34" s="37"/>
      <c r="TQQ34" s="37"/>
      <c r="TQR34" s="37"/>
      <c r="TQS34" s="37"/>
      <c r="TQT34" s="37"/>
      <c r="TQU34" s="37"/>
      <c r="TQV34" s="37"/>
      <c r="TQW34" s="37"/>
      <c r="TQX34" s="37"/>
      <c r="TQY34" s="37"/>
      <c r="TQZ34" s="37"/>
      <c r="TRA34" s="37"/>
      <c r="TRB34" s="37"/>
      <c r="TRC34" s="37"/>
      <c r="TRD34" s="37"/>
      <c r="TRE34" s="37"/>
      <c r="TRF34" s="37"/>
      <c r="TRG34" s="37"/>
      <c r="TRH34" s="37"/>
      <c r="TRI34" s="37"/>
      <c r="TRJ34" s="37"/>
      <c r="TRK34" s="37"/>
      <c r="TRL34" s="37"/>
      <c r="TRM34" s="37"/>
      <c r="TRN34" s="37"/>
      <c r="TRO34" s="37"/>
      <c r="TRP34" s="37"/>
      <c r="TRQ34" s="37"/>
      <c r="TRR34" s="37"/>
      <c r="TRS34" s="37"/>
      <c r="TRT34" s="37"/>
      <c r="TRU34" s="37"/>
      <c r="TRV34" s="37"/>
      <c r="TRW34" s="37"/>
      <c r="TRX34" s="37"/>
      <c r="TRY34" s="37"/>
      <c r="TRZ34" s="37"/>
      <c r="TSA34" s="37"/>
      <c r="TSB34" s="37"/>
      <c r="TSC34" s="37"/>
      <c r="TSD34" s="37"/>
      <c r="TSE34" s="37"/>
      <c r="TSF34" s="37"/>
      <c r="TSG34" s="37"/>
      <c r="TSH34" s="37"/>
      <c r="TSI34" s="37"/>
      <c r="TSJ34" s="37"/>
      <c r="TSK34" s="37"/>
      <c r="TSL34" s="37"/>
      <c r="TSM34" s="37"/>
      <c r="TSN34" s="37"/>
      <c r="TSO34" s="37"/>
      <c r="TSP34" s="37"/>
      <c r="TSQ34" s="37"/>
      <c r="TSR34" s="37"/>
      <c r="TSS34" s="37"/>
      <c r="TST34" s="37"/>
      <c r="TSU34" s="37"/>
      <c r="TSV34" s="37"/>
      <c r="TSW34" s="37"/>
      <c r="TSX34" s="37"/>
      <c r="TSY34" s="37"/>
      <c r="TSZ34" s="37"/>
      <c r="TTA34" s="37"/>
      <c r="TTB34" s="37"/>
      <c r="TTC34" s="37"/>
      <c r="TTD34" s="37"/>
      <c r="TTE34" s="37"/>
      <c r="TTF34" s="37"/>
      <c r="TTG34" s="37"/>
      <c r="TTH34" s="37"/>
      <c r="TTI34" s="37"/>
      <c r="TTJ34" s="37"/>
      <c r="TTK34" s="37"/>
      <c r="TTL34" s="37"/>
      <c r="TTM34" s="37"/>
      <c r="TTN34" s="37"/>
      <c r="TTO34" s="37"/>
      <c r="TTP34" s="37"/>
      <c r="TTQ34" s="37"/>
      <c r="TTR34" s="37"/>
      <c r="TTS34" s="37"/>
      <c r="TTT34" s="37"/>
      <c r="TTU34" s="37"/>
      <c r="TTV34" s="37"/>
      <c r="TTW34" s="37"/>
      <c r="TTX34" s="37"/>
      <c r="TTY34" s="37"/>
      <c r="TTZ34" s="37"/>
      <c r="TUA34" s="37"/>
      <c r="TUB34" s="37"/>
      <c r="TUC34" s="37"/>
      <c r="TUD34" s="37"/>
      <c r="TUE34" s="37"/>
      <c r="TUF34" s="37"/>
      <c r="TUG34" s="37"/>
      <c r="TUH34" s="37"/>
      <c r="TUI34" s="37"/>
      <c r="TUJ34" s="37"/>
      <c r="TUK34" s="37"/>
      <c r="TUL34" s="37"/>
      <c r="TUM34" s="37"/>
      <c r="TUN34" s="37"/>
      <c r="TUO34" s="37"/>
      <c r="TUP34" s="37"/>
      <c r="TUQ34" s="37"/>
      <c r="TUR34" s="37"/>
      <c r="TUS34" s="37"/>
      <c r="TUT34" s="37"/>
      <c r="TUU34" s="37"/>
      <c r="TUV34" s="37"/>
      <c r="TUW34" s="37"/>
      <c r="TUX34" s="37"/>
      <c r="TUY34" s="37"/>
      <c r="TUZ34" s="37"/>
      <c r="TVA34" s="37"/>
      <c r="TVB34" s="37"/>
      <c r="TVC34" s="37"/>
      <c r="TVD34" s="37"/>
      <c r="TVE34" s="37"/>
      <c r="TVF34" s="37"/>
      <c r="TVG34" s="37"/>
      <c r="TVH34" s="37"/>
      <c r="TVI34" s="37"/>
      <c r="TVJ34" s="37"/>
      <c r="TVK34" s="37"/>
      <c r="TVL34" s="37"/>
      <c r="TVM34" s="37"/>
      <c r="TVN34" s="37"/>
      <c r="TVO34" s="37"/>
      <c r="TVP34" s="37"/>
      <c r="TVQ34" s="37"/>
      <c r="TVR34" s="37"/>
      <c r="TVS34" s="37"/>
      <c r="TVT34" s="37"/>
      <c r="TVU34" s="37"/>
      <c r="TVV34" s="37"/>
      <c r="TVW34" s="37"/>
      <c r="TVX34" s="37"/>
      <c r="TVY34" s="37"/>
      <c r="TVZ34" s="37"/>
      <c r="TWA34" s="37"/>
      <c r="TWB34" s="37"/>
      <c r="TWC34" s="37"/>
      <c r="TWD34" s="37"/>
      <c r="TWE34" s="37"/>
      <c r="TWF34" s="37"/>
      <c r="TWG34" s="37"/>
      <c r="TWH34" s="37"/>
      <c r="TWI34" s="37"/>
      <c r="TWJ34" s="37"/>
      <c r="TWK34" s="37"/>
      <c r="TWL34" s="37"/>
      <c r="TWM34" s="37"/>
      <c r="TWN34" s="37"/>
      <c r="TWO34" s="37"/>
      <c r="TWP34" s="37"/>
      <c r="TWQ34" s="37"/>
      <c r="TWR34" s="37"/>
      <c r="TWS34" s="37"/>
      <c r="TWT34" s="37"/>
      <c r="TWU34" s="37"/>
      <c r="TWV34" s="37"/>
      <c r="TWW34" s="37"/>
      <c r="TWX34" s="37"/>
      <c r="TWY34" s="37"/>
      <c r="TWZ34" s="37"/>
      <c r="TXA34" s="37"/>
      <c r="TXB34" s="37"/>
      <c r="TXC34" s="37"/>
      <c r="TXD34" s="37"/>
      <c r="TXE34" s="37"/>
      <c r="TXF34" s="37"/>
      <c r="TXG34" s="37"/>
      <c r="TXH34" s="37"/>
      <c r="TXI34" s="37"/>
      <c r="TXJ34" s="37"/>
      <c r="TXK34" s="37"/>
      <c r="TXL34" s="37"/>
      <c r="TXM34" s="37"/>
      <c r="TXN34" s="37"/>
      <c r="TXO34" s="37"/>
      <c r="TXP34" s="37"/>
      <c r="TXQ34" s="37"/>
      <c r="TXR34" s="37"/>
      <c r="TXS34" s="37"/>
      <c r="TXT34" s="37"/>
      <c r="TXU34" s="37"/>
      <c r="TXV34" s="37"/>
      <c r="TXW34" s="37"/>
      <c r="TXX34" s="37"/>
      <c r="TXY34" s="37"/>
      <c r="TXZ34" s="37"/>
      <c r="TYA34" s="37"/>
      <c r="TYB34" s="37"/>
      <c r="TYC34" s="37"/>
      <c r="TYD34" s="37"/>
      <c r="TYE34" s="37"/>
      <c r="TYF34" s="37"/>
      <c r="TYG34" s="37"/>
      <c r="TYH34" s="37"/>
      <c r="TYI34" s="37"/>
      <c r="TYJ34" s="37"/>
      <c r="TYK34" s="37"/>
      <c r="TYL34" s="37"/>
      <c r="TYM34" s="37"/>
      <c r="TYN34" s="37"/>
      <c r="TYO34" s="37"/>
      <c r="TYP34" s="37"/>
      <c r="TYQ34" s="37"/>
      <c r="TYR34" s="37"/>
      <c r="TYS34" s="37"/>
      <c r="TYT34" s="37"/>
      <c r="TYU34" s="37"/>
      <c r="TYV34" s="37"/>
      <c r="TYW34" s="37"/>
      <c r="TYX34" s="37"/>
      <c r="TYY34" s="37"/>
      <c r="TYZ34" s="37"/>
      <c r="TZA34" s="37"/>
      <c r="TZB34" s="37"/>
      <c r="TZC34" s="37"/>
      <c r="TZD34" s="37"/>
      <c r="TZE34" s="37"/>
      <c r="TZF34" s="37"/>
      <c r="TZG34" s="37"/>
      <c r="TZH34" s="37"/>
      <c r="TZI34" s="37"/>
      <c r="TZJ34" s="37"/>
      <c r="TZK34" s="37"/>
      <c r="TZL34" s="37"/>
      <c r="TZM34" s="37"/>
      <c r="TZN34" s="37"/>
      <c r="TZO34" s="37"/>
      <c r="TZP34" s="37"/>
      <c r="TZQ34" s="37"/>
      <c r="TZR34" s="37"/>
      <c r="TZS34" s="37"/>
      <c r="TZT34" s="37"/>
      <c r="TZU34" s="37"/>
      <c r="TZV34" s="37"/>
      <c r="TZW34" s="37"/>
      <c r="TZX34" s="37"/>
      <c r="TZY34" s="37"/>
      <c r="TZZ34" s="37"/>
      <c r="UAA34" s="37"/>
      <c r="UAB34" s="37"/>
      <c r="UAC34" s="37"/>
      <c r="UAD34" s="37"/>
      <c r="UAE34" s="37"/>
      <c r="UAF34" s="37"/>
      <c r="UAG34" s="37"/>
      <c r="UAH34" s="37"/>
      <c r="UAI34" s="37"/>
      <c r="UAJ34" s="37"/>
      <c r="UAK34" s="37"/>
      <c r="UAL34" s="37"/>
      <c r="UAM34" s="37"/>
      <c r="UAN34" s="37"/>
      <c r="UAO34" s="37"/>
      <c r="UAP34" s="37"/>
      <c r="UAQ34" s="37"/>
      <c r="UAR34" s="37"/>
      <c r="UAS34" s="37"/>
      <c r="UAT34" s="37"/>
      <c r="UAU34" s="37"/>
      <c r="UAV34" s="37"/>
      <c r="UAW34" s="37"/>
      <c r="UAX34" s="37"/>
      <c r="UAY34" s="37"/>
      <c r="UAZ34" s="37"/>
      <c r="UBA34" s="37"/>
      <c r="UBB34" s="37"/>
      <c r="UBC34" s="37"/>
      <c r="UBD34" s="37"/>
      <c r="UBE34" s="37"/>
      <c r="UBF34" s="37"/>
      <c r="UBG34" s="37"/>
      <c r="UBH34" s="37"/>
      <c r="UBI34" s="37"/>
      <c r="UBJ34" s="37"/>
      <c r="UBK34" s="37"/>
      <c r="UBL34" s="37"/>
      <c r="UBM34" s="37"/>
      <c r="UBN34" s="37"/>
      <c r="UBO34" s="37"/>
      <c r="UBP34" s="37"/>
      <c r="UBQ34" s="37"/>
      <c r="UBR34" s="37"/>
      <c r="UBS34" s="37"/>
      <c r="UBT34" s="37"/>
      <c r="UBU34" s="37"/>
      <c r="UBV34" s="37"/>
      <c r="UBW34" s="37"/>
      <c r="UBX34" s="37"/>
      <c r="UBY34" s="37"/>
      <c r="UBZ34" s="37"/>
      <c r="UCA34" s="37"/>
      <c r="UCB34" s="37"/>
      <c r="UCC34" s="37"/>
      <c r="UCD34" s="37"/>
      <c r="UCE34" s="37"/>
      <c r="UCF34" s="37"/>
      <c r="UCG34" s="37"/>
      <c r="UCH34" s="37"/>
      <c r="UCI34" s="37"/>
      <c r="UCJ34" s="37"/>
      <c r="UCK34" s="37"/>
      <c r="UCL34" s="37"/>
      <c r="UCM34" s="37"/>
      <c r="UCN34" s="37"/>
      <c r="UCO34" s="37"/>
      <c r="UCP34" s="37"/>
      <c r="UCQ34" s="37"/>
      <c r="UCR34" s="37"/>
      <c r="UCS34" s="37"/>
      <c r="UCT34" s="37"/>
      <c r="UCU34" s="37"/>
      <c r="UCV34" s="37"/>
      <c r="UCW34" s="37"/>
      <c r="UCX34" s="37"/>
      <c r="UCY34" s="37"/>
      <c r="UCZ34" s="37"/>
      <c r="UDA34" s="37"/>
      <c r="UDB34" s="37"/>
      <c r="UDC34" s="37"/>
      <c r="UDD34" s="37"/>
      <c r="UDE34" s="37"/>
      <c r="UDF34" s="37"/>
      <c r="UDG34" s="37"/>
      <c r="UDH34" s="37"/>
      <c r="UDI34" s="37"/>
      <c r="UDJ34" s="37"/>
      <c r="UDK34" s="37"/>
      <c r="UDL34" s="37"/>
      <c r="UDM34" s="37"/>
      <c r="UDN34" s="37"/>
      <c r="UDO34" s="37"/>
      <c r="UDP34" s="37"/>
      <c r="UDQ34" s="37"/>
      <c r="UDR34" s="37"/>
      <c r="UDS34" s="37"/>
      <c r="UDT34" s="37"/>
      <c r="UDU34" s="37"/>
      <c r="UDV34" s="37"/>
      <c r="UDW34" s="37"/>
      <c r="UDX34" s="37"/>
      <c r="UDY34" s="37"/>
      <c r="UDZ34" s="37"/>
      <c r="UEA34" s="37"/>
      <c r="UEB34" s="37"/>
      <c r="UEC34" s="37"/>
      <c r="UED34" s="37"/>
      <c r="UEE34" s="37"/>
      <c r="UEF34" s="37"/>
      <c r="UEG34" s="37"/>
      <c r="UEH34" s="37"/>
      <c r="UEI34" s="37"/>
      <c r="UEJ34" s="37"/>
      <c r="UEK34" s="37"/>
      <c r="UEL34" s="37"/>
      <c r="UEM34" s="37"/>
      <c r="UEN34" s="37"/>
      <c r="UEO34" s="37"/>
      <c r="UEP34" s="37"/>
      <c r="UEQ34" s="37"/>
      <c r="UER34" s="37"/>
      <c r="UES34" s="37"/>
      <c r="UET34" s="37"/>
      <c r="UEU34" s="37"/>
      <c r="UEV34" s="37"/>
      <c r="UEW34" s="37"/>
      <c r="UEX34" s="37"/>
      <c r="UEY34" s="37"/>
      <c r="UEZ34" s="37"/>
      <c r="UFA34" s="37"/>
      <c r="UFB34" s="37"/>
      <c r="UFC34" s="37"/>
      <c r="UFD34" s="37"/>
      <c r="UFE34" s="37"/>
      <c r="UFF34" s="37"/>
      <c r="UFG34" s="37"/>
      <c r="UFH34" s="37"/>
      <c r="UFI34" s="37"/>
      <c r="UFJ34" s="37"/>
      <c r="UFK34" s="37"/>
      <c r="UFL34" s="37"/>
      <c r="UFM34" s="37"/>
      <c r="UFN34" s="37"/>
      <c r="UFO34" s="37"/>
      <c r="UFP34" s="37"/>
      <c r="UFQ34" s="37"/>
      <c r="UFR34" s="37"/>
      <c r="UFS34" s="37"/>
      <c r="UFT34" s="37"/>
      <c r="UFU34" s="37"/>
      <c r="UFV34" s="37"/>
      <c r="UFW34" s="37"/>
      <c r="UFX34" s="37"/>
      <c r="UFY34" s="37"/>
      <c r="UFZ34" s="37"/>
      <c r="UGA34" s="37"/>
      <c r="UGB34" s="37"/>
      <c r="UGC34" s="37"/>
      <c r="UGD34" s="37"/>
      <c r="UGE34" s="37"/>
      <c r="UGF34" s="37"/>
      <c r="UGG34" s="37"/>
      <c r="UGH34" s="37"/>
      <c r="UGI34" s="37"/>
      <c r="UGJ34" s="37"/>
      <c r="UGK34" s="37"/>
      <c r="UGL34" s="37"/>
      <c r="UGM34" s="37"/>
      <c r="UGN34" s="37"/>
      <c r="UGO34" s="37"/>
      <c r="UGP34" s="37"/>
      <c r="UGQ34" s="37"/>
      <c r="UGR34" s="37"/>
      <c r="UGS34" s="37"/>
      <c r="UGT34" s="37"/>
      <c r="UGU34" s="37"/>
      <c r="UGV34" s="37"/>
      <c r="UGW34" s="37"/>
      <c r="UGX34" s="37"/>
      <c r="UGY34" s="37"/>
      <c r="UGZ34" s="37"/>
      <c r="UHA34" s="37"/>
      <c r="UHB34" s="37"/>
      <c r="UHC34" s="37"/>
      <c r="UHD34" s="37"/>
      <c r="UHE34" s="37"/>
      <c r="UHF34" s="37"/>
      <c r="UHG34" s="37"/>
      <c r="UHH34" s="37"/>
      <c r="UHI34" s="37"/>
      <c r="UHJ34" s="37"/>
      <c r="UHK34" s="37"/>
      <c r="UHL34" s="37"/>
      <c r="UHM34" s="37"/>
      <c r="UHN34" s="37"/>
      <c r="UHO34" s="37"/>
      <c r="UHP34" s="37"/>
      <c r="UHQ34" s="37"/>
      <c r="UHR34" s="37"/>
      <c r="UHS34" s="37"/>
      <c r="UHT34" s="37"/>
      <c r="UHU34" s="37"/>
      <c r="UHV34" s="37"/>
      <c r="UHW34" s="37"/>
      <c r="UHX34" s="37"/>
      <c r="UHY34" s="37"/>
      <c r="UHZ34" s="37"/>
      <c r="UIA34" s="37"/>
      <c r="UIB34" s="37"/>
      <c r="UIC34" s="37"/>
      <c r="UID34" s="37"/>
      <c r="UIE34" s="37"/>
      <c r="UIF34" s="37"/>
      <c r="UIG34" s="37"/>
      <c r="UIH34" s="37"/>
      <c r="UII34" s="37"/>
      <c r="UIJ34" s="37"/>
      <c r="UIK34" s="37"/>
      <c r="UIL34" s="37"/>
      <c r="UIM34" s="37"/>
      <c r="UIN34" s="37"/>
      <c r="UIO34" s="37"/>
      <c r="UIP34" s="37"/>
      <c r="UIQ34" s="37"/>
      <c r="UIR34" s="37"/>
      <c r="UIS34" s="37"/>
      <c r="UIT34" s="37"/>
      <c r="UIU34" s="37"/>
      <c r="UIV34" s="37"/>
      <c r="UIW34" s="37"/>
      <c r="UIX34" s="37"/>
      <c r="UIY34" s="37"/>
      <c r="UIZ34" s="37"/>
      <c r="UJA34" s="37"/>
      <c r="UJB34" s="37"/>
      <c r="UJC34" s="37"/>
      <c r="UJD34" s="37"/>
      <c r="UJE34" s="37"/>
      <c r="UJF34" s="37"/>
      <c r="UJG34" s="37"/>
      <c r="UJH34" s="37"/>
      <c r="UJI34" s="37"/>
      <c r="UJJ34" s="37"/>
      <c r="UJK34" s="37"/>
      <c r="UJL34" s="37"/>
      <c r="UJM34" s="37"/>
      <c r="UJN34" s="37"/>
      <c r="UJO34" s="37"/>
      <c r="UJP34" s="37"/>
      <c r="UJQ34" s="37"/>
      <c r="UJR34" s="37"/>
      <c r="UJS34" s="37"/>
      <c r="UJT34" s="37"/>
      <c r="UJU34" s="37"/>
      <c r="UJV34" s="37"/>
      <c r="UJW34" s="37"/>
      <c r="UJX34" s="37"/>
      <c r="UJY34" s="37"/>
      <c r="UJZ34" s="37"/>
      <c r="UKA34" s="37"/>
      <c r="UKB34" s="37"/>
      <c r="UKC34" s="37"/>
      <c r="UKD34" s="37"/>
      <c r="UKE34" s="37"/>
      <c r="UKF34" s="37"/>
      <c r="UKG34" s="37"/>
      <c r="UKH34" s="37"/>
      <c r="UKI34" s="37"/>
      <c r="UKJ34" s="37"/>
      <c r="UKK34" s="37"/>
      <c r="UKL34" s="37"/>
      <c r="UKM34" s="37"/>
      <c r="UKN34" s="37"/>
      <c r="UKO34" s="37"/>
      <c r="UKP34" s="37"/>
      <c r="UKQ34" s="37"/>
      <c r="UKR34" s="37"/>
      <c r="UKS34" s="37"/>
      <c r="UKT34" s="37"/>
      <c r="UKU34" s="37"/>
      <c r="UKV34" s="37"/>
      <c r="UKW34" s="37"/>
      <c r="UKX34" s="37"/>
      <c r="UKY34" s="37"/>
      <c r="UKZ34" s="37"/>
      <c r="ULA34" s="37"/>
      <c r="ULB34" s="37"/>
      <c r="ULC34" s="37"/>
      <c r="ULD34" s="37"/>
      <c r="ULE34" s="37"/>
      <c r="ULF34" s="37"/>
      <c r="ULG34" s="37"/>
      <c r="ULH34" s="37"/>
      <c r="ULI34" s="37"/>
      <c r="ULJ34" s="37"/>
      <c r="ULK34" s="37"/>
      <c r="ULL34" s="37"/>
      <c r="ULM34" s="37"/>
      <c r="ULN34" s="37"/>
      <c r="ULO34" s="37"/>
      <c r="ULP34" s="37"/>
      <c r="ULQ34" s="37"/>
      <c r="ULR34" s="37"/>
      <c r="ULS34" s="37"/>
      <c r="ULT34" s="37"/>
      <c r="ULU34" s="37"/>
      <c r="ULV34" s="37"/>
      <c r="ULW34" s="37"/>
      <c r="ULX34" s="37"/>
      <c r="ULY34" s="37"/>
      <c r="ULZ34" s="37"/>
      <c r="UMA34" s="37"/>
      <c r="UMB34" s="37"/>
      <c r="UMC34" s="37"/>
      <c r="UMD34" s="37"/>
      <c r="UME34" s="37"/>
      <c r="UMF34" s="37"/>
      <c r="UMG34" s="37"/>
      <c r="UMH34" s="37"/>
      <c r="UMI34" s="37"/>
      <c r="UMJ34" s="37"/>
      <c r="UMK34" s="37"/>
      <c r="UML34" s="37"/>
      <c r="UMM34" s="37"/>
      <c r="UMN34" s="37"/>
      <c r="UMO34" s="37"/>
      <c r="UMP34" s="37"/>
      <c r="UMQ34" s="37"/>
      <c r="UMR34" s="37"/>
      <c r="UMS34" s="37"/>
      <c r="UMT34" s="37"/>
      <c r="UMU34" s="37"/>
      <c r="UMV34" s="37"/>
      <c r="UMW34" s="37"/>
      <c r="UMX34" s="37"/>
      <c r="UMY34" s="37"/>
      <c r="UMZ34" s="37"/>
      <c r="UNA34" s="37"/>
      <c r="UNB34" s="37"/>
      <c r="UNC34" s="37"/>
      <c r="UND34" s="37"/>
      <c r="UNE34" s="37"/>
      <c r="UNF34" s="37"/>
      <c r="UNG34" s="37"/>
      <c r="UNH34" s="37"/>
      <c r="UNI34" s="37"/>
      <c r="UNJ34" s="37"/>
      <c r="UNK34" s="37"/>
      <c r="UNL34" s="37"/>
      <c r="UNM34" s="37"/>
      <c r="UNN34" s="37"/>
      <c r="UNO34" s="37"/>
      <c r="UNP34" s="37"/>
      <c r="UNQ34" s="37"/>
      <c r="UNR34" s="37"/>
      <c r="UNS34" s="37"/>
      <c r="UNT34" s="37"/>
      <c r="UNU34" s="37"/>
      <c r="UNV34" s="37"/>
      <c r="UNW34" s="37"/>
      <c r="UNX34" s="37"/>
      <c r="UNY34" s="37"/>
      <c r="UNZ34" s="37"/>
      <c r="UOA34" s="37"/>
      <c r="UOB34" s="37"/>
      <c r="UOC34" s="37"/>
      <c r="UOD34" s="37"/>
      <c r="UOE34" s="37"/>
      <c r="UOF34" s="37"/>
      <c r="UOG34" s="37"/>
      <c r="UOH34" s="37"/>
      <c r="UOI34" s="37"/>
      <c r="UOJ34" s="37"/>
      <c r="UOK34" s="37"/>
      <c r="UOL34" s="37"/>
      <c r="UOM34" s="37"/>
      <c r="UON34" s="37"/>
      <c r="UOO34" s="37"/>
      <c r="UOP34" s="37"/>
      <c r="UOQ34" s="37"/>
      <c r="UOR34" s="37"/>
      <c r="UOS34" s="37"/>
      <c r="UOT34" s="37"/>
      <c r="UOU34" s="37"/>
      <c r="UOV34" s="37"/>
      <c r="UOW34" s="37"/>
      <c r="UOX34" s="37"/>
      <c r="UOY34" s="37"/>
      <c r="UOZ34" s="37"/>
      <c r="UPA34" s="37"/>
      <c r="UPB34" s="37"/>
      <c r="UPC34" s="37"/>
      <c r="UPD34" s="37"/>
      <c r="UPE34" s="37"/>
      <c r="UPF34" s="37"/>
      <c r="UPG34" s="37"/>
      <c r="UPH34" s="37"/>
      <c r="UPI34" s="37"/>
      <c r="UPJ34" s="37"/>
      <c r="UPK34" s="37"/>
      <c r="UPL34" s="37"/>
      <c r="UPM34" s="37"/>
      <c r="UPN34" s="37"/>
      <c r="UPO34" s="37"/>
      <c r="UPP34" s="37"/>
      <c r="UPQ34" s="37"/>
      <c r="UPR34" s="37"/>
      <c r="UPS34" s="37"/>
      <c r="UPT34" s="37"/>
      <c r="UPU34" s="37"/>
      <c r="UPV34" s="37"/>
      <c r="UPW34" s="37"/>
      <c r="UPX34" s="37"/>
      <c r="UPY34" s="37"/>
      <c r="UPZ34" s="37"/>
      <c r="UQA34" s="37"/>
      <c r="UQB34" s="37"/>
      <c r="UQC34" s="37"/>
      <c r="UQD34" s="37"/>
      <c r="UQE34" s="37"/>
      <c r="UQF34" s="37"/>
      <c r="UQG34" s="37"/>
      <c r="UQH34" s="37"/>
      <c r="UQI34" s="37"/>
      <c r="UQJ34" s="37"/>
      <c r="UQK34" s="37"/>
      <c r="UQL34" s="37"/>
      <c r="UQM34" s="37"/>
      <c r="UQN34" s="37"/>
      <c r="UQO34" s="37"/>
      <c r="UQP34" s="37"/>
      <c r="UQQ34" s="37"/>
      <c r="UQR34" s="37"/>
      <c r="UQS34" s="37"/>
      <c r="UQT34" s="37"/>
      <c r="UQU34" s="37"/>
      <c r="UQV34" s="37"/>
      <c r="UQW34" s="37"/>
      <c r="UQX34" s="37"/>
      <c r="UQY34" s="37"/>
      <c r="UQZ34" s="37"/>
      <c r="URA34" s="37"/>
      <c r="URB34" s="37"/>
      <c r="URC34" s="37"/>
      <c r="URD34" s="37"/>
      <c r="URE34" s="37"/>
      <c r="URF34" s="37"/>
      <c r="URG34" s="37"/>
      <c r="URH34" s="37"/>
      <c r="URI34" s="37"/>
      <c r="URJ34" s="37"/>
      <c r="URK34" s="37"/>
      <c r="URL34" s="37"/>
      <c r="URM34" s="37"/>
      <c r="URN34" s="37"/>
      <c r="URO34" s="37"/>
      <c r="URP34" s="37"/>
      <c r="URQ34" s="37"/>
      <c r="URR34" s="37"/>
      <c r="URS34" s="37"/>
      <c r="URT34" s="37"/>
      <c r="URU34" s="37"/>
      <c r="URV34" s="37"/>
      <c r="URW34" s="37"/>
      <c r="URX34" s="37"/>
      <c r="URY34" s="37"/>
      <c r="URZ34" s="37"/>
      <c r="USA34" s="37"/>
      <c r="USB34" s="37"/>
      <c r="USC34" s="37"/>
      <c r="USD34" s="37"/>
      <c r="USE34" s="37"/>
      <c r="USF34" s="37"/>
      <c r="USG34" s="37"/>
      <c r="USH34" s="37"/>
      <c r="USI34" s="37"/>
      <c r="USJ34" s="37"/>
      <c r="USK34" s="37"/>
      <c r="USL34" s="37"/>
      <c r="USM34" s="37"/>
      <c r="USN34" s="37"/>
      <c r="USO34" s="37"/>
      <c r="USP34" s="37"/>
      <c r="USQ34" s="37"/>
      <c r="USR34" s="37"/>
      <c r="USS34" s="37"/>
      <c r="UST34" s="37"/>
      <c r="USU34" s="37"/>
      <c r="USV34" s="37"/>
      <c r="USW34" s="37"/>
      <c r="USX34" s="37"/>
      <c r="USY34" s="37"/>
      <c r="USZ34" s="37"/>
      <c r="UTA34" s="37"/>
      <c r="UTB34" s="37"/>
      <c r="UTC34" s="37"/>
      <c r="UTD34" s="37"/>
      <c r="UTE34" s="37"/>
      <c r="UTF34" s="37"/>
      <c r="UTG34" s="37"/>
      <c r="UTH34" s="37"/>
      <c r="UTI34" s="37"/>
      <c r="UTJ34" s="37"/>
      <c r="UTK34" s="37"/>
      <c r="UTL34" s="37"/>
      <c r="UTM34" s="37"/>
      <c r="UTN34" s="37"/>
      <c r="UTO34" s="37"/>
      <c r="UTP34" s="37"/>
      <c r="UTQ34" s="37"/>
      <c r="UTR34" s="37"/>
      <c r="UTS34" s="37"/>
      <c r="UTT34" s="37"/>
      <c r="UTU34" s="37"/>
      <c r="UTV34" s="37"/>
      <c r="UTW34" s="37"/>
      <c r="UTX34" s="37"/>
      <c r="UTY34" s="37"/>
      <c r="UTZ34" s="37"/>
      <c r="UUA34" s="37"/>
      <c r="UUB34" s="37"/>
      <c r="UUC34" s="37"/>
      <c r="UUD34" s="37"/>
      <c r="UUE34" s="37"/>
      <c r="UUF34" s="37"/>
      <c r="UUG34" s="37"/>
      <c r="UUH34" s="37"/>
      <c r="UUI34" s="37"/>
      <c r="UUJ34" s="37"/>
      <c r="UUK34" s="37"/>
      <c r="UUL34" s="37"/>
      <c r="UUM34" s="37"/>
      <c r="UUN34" s="37"/>
      <c r="UUO34" s="37"/>
      <c r="UUP34" s="37"/>
      <c r="UUQ34" s="37"/>
      <c r="UUR34" s="37"/>
      <c r="UUS34" s="37"/>
      <c r="UUT34" s="37"/>
      <c r="UUU34" s="37"/>
      <c r="UUV34" s="37"/>
      <c r="UUW34" s="37"/>
      <c r="UUX34" s="37"/>
      <c r="UUY34" s="37"/>
      <c r="UUZ34" s="37"/>
      <c r="UVA34" s="37"/>
      <c r="UVB34" s="37"/>
      <c r="UVC34" s="37"/>
      <c r="UVD34" s="37"/>
      <c r="UVE34" s="37"/>
      <c r="UVF34" s="37"/>
      <c r="UVG34" s="37"/>
      <c r="UVH34" s="37"/>
      <c r="UVI34" s="37"/>
      <c r="UVJ34" s="37"/>
      <c r="UVK34" s="37"/>
      <c r="UVL34" s="37"/>
      <c r="UVM34" s="37"/>
      <c r="UVN34" s="37"/>
      <c r="UVO34" s="37"/>
      <c r="UVP34" s="37"/>
      <c r="UVQ34" s="37"/>
      <c r="UVR34" s="37"/>
      <c r="UVS34" s="37"/>
      <c r="UVT34" s="37"/>
      <c r="UVU34" s="37"/>
      <c r="UVV34" s="37"/>
      <c r="UVW34" s="37"/>
      <c r="UVX34" s="37"/>
      <c r="UVY34" s="37"/>
      <c r="UVZ34" s="37"/>
      <c r="UWA34" s="37"/>
      <c r="UWB34" s="37"/>
      <c r="UWC34" s="37"/>
      <c r="UWD34" s="37"/>
      <c r="UWE34" s="37"/>
      <c r="UWF34" s="37"/>
      <c r="UWG34" s="37"/>
      <c r="UWH34" s="37"/>
      <c r="UWI34" s="37"/>
      <c r="UWJ34" s="37"/>
      <c r="UWK34" s="37"/>
      <c r="UWL34" s="37"/>
      <c r="UWM34" s="37"/>
      <c r="UWN34" s="37"/>
      <c r="UWO34" s="37"/>
      <c r="UWP34" s="37"/>
      <c r="UWQ34" s="37"/>
      <c r="UWR34" s="37"/>
      <c r="UWS34" s="37"/>
      <c r="UWT34" s="37"/>
      <c r="UWU34" s="37"/>
      <c r="UWV34" s="37"/>
      <c r="UWW34" s="37"/>
      <c r="UWX34" s="37"/>
      <c r="UWY34" s="37"/>
      <c r="UWZ34" s="37"/>
      <c r="UXA34" s="37"/>
      <c r="UXB34" s="37"/>
      <c r="UXC34" s="37"/>
      <c r="UXD34" s="37"/>
      <c r="UXE34" s="37"/>
      <c r="UXF34" s="37"/>
      <c r="UXG34" s="37"/>
      <c r="UXH34" s="37"/>
      <c r="UXI34" s="37"/>
      <c r="UXJ34" s="37"/>
      <c r="UXK34" s="37"/>
      <c r="UXL34" s="37"/>
      <c r="UXM34" s="37"/>
      <c r="UXN34" s="37"/>
      <c r="UXO34" s="37"/>
      <c r="UXP34" s="37"/>
      <c r="UXQ34" s="37"/>
      <c r="UXR34" s="37"/>
      <c r="UXS34" s="37"/>
      <c r="UXT34" s="37"/>
      <c r="UXU34" s="37"/>
      <c r="UXV34" s="37"/>
      <c r="UXW34" s="37"/>
      <c r="UXX34" s="37"/>
      <c r="UXY34" s="37"/>
      <c r="UXZ34" s="37"/>
      <c r="UYA34" s="37"/>
      <c r="UYB34" s="37"/>
      <c r="UYC34" s="37"/>
      <c r="UYD34" s="37"/>
      <c r="UYE34" s="37"/>
      <c r="UYF34" s="37"/>
      <c r="UYG34" s="37"/>
      <c r="UYH34" s="37"/>
      <c r="UYI34" s="37"/>
      <c r="UYJ34" s="37"/>
      <c r="UYK34" s="37"/>
      <c r="UYL34" s="37"/>
      <c r="UYM34" s="37"/>
      <c r="UYN34" s="37"/>
      <c r="UYO34" s="37"/>
      <c r="UYP34" s="37"/>
      <c r="UYQ34" s="37"/>
      <c r="UYR34" s="37"/>
      <c r="UYS34" s="37"/>
      <c r="UYT34" s="37"/>
      <c r="UYU34" s="37"/>
      <c r="UYV34" s="37"/>
      <c r="UYW34" s="37"/>
      <c r="UYX34" s="37"/>
      <c r="UYY34" s="37"/>
      <c r="UYZ34" s="37"/>
      <c r="UZA34" s="37"/>
      <c r="UZB34" s="37"/>
      <c r="UZC34" s="37"/>
      <c r="UZD34" s="37"/>
      <c r="UZE34" s="37"/>
      <c r="UZF34" s="37"/>
      <c r="UZG34" s="37"/>
      <c r="UZH34" s="37"/>
      <c r="UZI34" s="37"/>
      <c r="UZJ34" s="37"/>
      <c r="UZK34" s="37"/>
      <c r="UZL34" s="37"/>
      <c r="UZM34" s="37"/>
      <c r="UZN34" s="37"/>
      <c r="UZO34" s="37"/>
      <c r="UZP34" s="37"/>
      <c r="UZQ34" s="37"/>
      <c r="UZR34" s="37"/>
      <c r="UZS34" s="37"/>
      <c r="UZT34" s="37"/>
      <c r="UZU34" s="37"/>
      <c r="UZV34" s="37"/>
      <c r="UZW34" s="37"/>
      <c r="UZX34" s="37"/>
      <c r="UZY34" s="37"/>
      <c r="UZZ34" s="37"/>
      <c r="VAA34" s="37"/>
      <c r="VAB34" s="37"/>
      <c r="VAC34" s="37"/>
      <c r="VAD34" s="37"/>
      <c r="VAE34" s="37"/>
      <c r="VAF34" s="37"/>
      <c r="VAG34" s="37"/>
      <c r="VAH34" s="37"/>
      <c r="VAI34" s="37"/>
      <c r="VAJ34" s="37"/>
      <c r="VAK34" s="37"/>
      <c r="VAL34" s="37"/>
      <c r="VAM34" s="37"/>
      <c r="VAN34" s="37"/>
      <c r="VAO34" s="37"/>
      <c r="VAP34" s="37"/>
      <c r="VAQ34" s="37"/>
      <c r="VAR34" s="37"/>
      <c r="VAS34" s="37"/>
      <c r="VAT34" s="37"/>
      <c r="VAU34" s="37"/>
      <c r="VAV34" s="37"/>
      <c r="VAW34" s="37"/>
      <c r="VAX34" s="37"/>
      <c r="VAY34" s="37"/>
      <c r="VAZ34" s="37"/>
      <c r="VBA34" s="37"/>
      <c r="VBB34" s="37"/>
      <c r="VBC34" s="37"/>
      <c r="VBD34" s="37"/>
      <c r="VBE34" s="37"/>
      <c r="VBF34" s="37"/>
      <c r="VBG34" s="37"/>
      <c r="VBH34" s="37"/>
      <c r="VBI34" s="37"/>
      <c r="VBJ34" s="37"/>
      <c r="VBK34" s="37"/>
      <c r="VBL34" s="37"/>
      <c r="VBM34" s="37"/>
      <c r="VBN34" s="37"/>
      <c r="VBO34" s="37"/>
      <c r="VBP34" s="37"/>
      <c r="VBQ34" s="37"/>
      <c r="VBR34" s="37"/>
      <c r="VBS34" s="37"/>
      <c r="VBT34" s="37"/>
      <c r="VBU34" s="37"/>
      <c r="VBV34" s="37"/>
      <c r="VBW34" s="37"/>
      <c r="VBX34" s="37"/>
      <c r="VBY34" s="37"/>
      <c r="VBZ34" s="37"/>
      <c r="VCA34" s="37"/>
      <c r="VCB34" s="37"/>
      <c r="VCC34" s="37"/>
      <c r="VCD34" s="37"/>
      <c r="VCE34" s="37"/>
      <c r="VCF34" s="37"/>
      <c r="VCG34" s="37"/>
      <c r="VCH34" s="37"/>
      <c r="VCI34" s="37"/>
      <c r="VCJ34" s="37"/>
      <c r="VCK34" s="37"/>
      <c r="VCL34" s="37"/>
      <c r="VCM34" s="37"/>
      <c r="VCN34" s="37"/>
      <c r="VCO34" s="37"/>
      <c r="VCP34" s="37"/>
      <c r="VCQ34" s="37"/>
      <c r="VCR34" s="37"/>
      <c r="VCS34" s="37"/>
      <c r="VCT34" s="37"/>
      <c r="VCU34" s="37"/>
      <c r="VCV34" s="37"/>
      <c r="VCW34" s="37"/>
      <c r="VCX34" s="37"/>
      <c r="VCY34" s="37"/>
      <c r="VCZ34" s="37"/>
      <c r="VDA34" s="37"/>
      <c r="VDB34" s="37"/>
      <c r="VDC34" s="37"/>
      <c r="VDD34" s="37"/>
      <c r="VDE34" s="37"/>
      <c r="VDF34" s="37"/>
      <c r="VDG34" s="37"/>
      <c r="VDH34" s="37"/>
      <c r="VDI34" s="37"/>
      <c r="VDJ34" s="37"/>
      <c r="VDK34" s="37"/>
      <c r="VDL34" s="37"/>
      <c r="VDM34" s="37"/>
      <c r="VDN34" s="37"/>
      <c r="VDO34" s="37"/>
      <c r="VDP34" s="37"/>
      <c r="VDQ34" s="37"/>
      <c r="VDR34" s="37"/>
      <c r="VDS34" s="37"/>
      <c r="VDT34" s="37"/>
      <c r="VDU34" s="37"/>
      <c r="VDV34" s="37"/>
      <c r="VDW34" s="37"/>
      <c r="VDX34" s="37"/>
      <c r="VDY34" s="37"/>
      <c r="VDZ34" s="37"/>
      <c r="VEA34" s="37"/>
      <c r="VEB34" s="37"/>
      <c r="VEC34" s="37"/>
      <c r="VED34" s="37"/>
      <c r="VEE34" s="37"/>
      <c r="VEF34" s="37"/>
      <c r="VEG34" s="37"/>
      <c r="VEH34" s="37"/>
      <c r="VEI34" s="37"/>
      <c r="VEJ34" s="37"/>
      <c r="VEK34" s="37"/>
      <c r="VEL34" s="37"/>
      <c r="VEM34" s="37"/>
      <c r="VEN34" s="37"/>
      <c r="VEO34" s="37"/>
      <c r="VEP34" s="37"/>
      <c r="VEQ34" s="37"/>
      <c r="VER34" s="37"/>
      <c r="VES34" s="37"/>
      <c r="VET34" s="37"/>
      <c r="VEU34" s="37"/>
      <c r="VEV34" s="37"/>
      <c r="VEW34" s="37"/>
      <c r="VEX34" s="37"/>
      <c r="VEY34" s="37"/>
      <c r="VEZ34" s="37"/>
      <c r="VFA34" s="37"/>
      <c r="VFB34" s="37"/>
      <c r="VFC34" s="37"/>
      <c r="VFD34" s="37"/>
      <c r="VFE34" s="37"/>
      <c r="VFF34" s="37"/>
      <c r="VFG34" s="37"/>
      <c r="VFH34" s="37"/>
      <c r="VFI34" s="37"/>
      <c r="VFJ34" s="37"/>
      <c r="VFK34" s="37"/>
      <c r="VFL34" s="37"/>
      <c r="VFM34" s="37"/>
      <c r="VFN34" s="37"/>
      <c r="VFO34" s="37"/>
      <c r="VFP34" s="37"/>
      <c r="VFQ34" s="37"/>
      <c r="VFR34" s="37"/>
      <c r="VFS34" s="37"/>
      <c r="VFT34" s="37"/>
      <c r="VFU34" s="37"/>
      <c r="VFV34" s="37"/>
      <c r="VFW34" s="37"/>
      <c r="VFX34" s="37"/>
      <c r="VFY34" s="37"/>
      <c r="VFZ34" s="37"/>
      <c r="VGA34" s="37"/>
      <c r="VGB34" s="37"/>
      <c r="VGC34" s="37"/>
      <c r="VGD34" s="37"/>
      <c r="VGE34" s="37"/>
      <c r="VGF34" s="37"/>
      <c r="VGG34" s="37"/>
      <c r="VGH34" s="37"/>
      <c r="VGI34" s="37"/>
      <c r="VGJ34" s="37"/>
      <c r="VGK34" s="37"/>
      <c r="VGL34" s="37"/>
      <c r="VGM34" s="37"/>
      <c r="VGN34" s="37"/>
      <c r="VGO34" s="37"/>
      <c r="VGP34" s="37"/>
      <c r="VGQ34" s="37"/>
      <c r="VGR34" s="37"/>
      <c r="VGS34" s="37"/>
      <c r="VGT34" s="37"/>
      <c r="VGU34" s="37"/>
      <c r="VGV34" s="37"/>
      <c r="VGW34" s="37"/>
      <c r="VGX34" s="37"/>
      <c r="VGY34" s="37"/>
      <c r="VGZ34" s="37"/>
      <c r="VHA34" s="37"/>
      <c r="VHB34" s="37"/>
      <c r="VHC34" s="37"/>
      <c r="VHD34" s="37"/>
      <c r="VHE34" s="37"/>
      <c r="VHF34" s="37"/>
      <c r="VHG34" s="37"/>
      <c r="VHH34" s="37"/>
      <c r="VHI34" s="37"/>
      <c r="VHJ34" s="37"/>
      <c r="VHK34" s="37"/>
      <c r="VHL34" s="37"/>
      <c r="VHM34" s="37"/>
      <c r="VHN34" s="37"/>
      <c r="VHO34" s="37"/>
      <c r="VHP34" s="37"/>
      <c r="VHQ34" s="37"/>
      <c r="VHR34" s="37"/>
      <c r="VHS34" s="37"/>
      <c r="VHT34" s="37"/>
      <c r="VHU34" s="37"/>
      <c r="VHV34" s="37"/>
      <c r="VHW34" s="37"/>
      <c r="VHX34" s="37"/>
      <c r="VHY34" s="37"/>
      <c r="VHZ34" s="37"/>
      <c r="VIA34" s="37"/>
      <c r="VIB34" s="37"/>
      <c r="VIC34" s="37"/>
      <c r="VID34" s="37"/>
      <c r="VIE34" s="37"/>
      <c r="VIF34" s="37"/>
      <c r="VIG34" s="37"/>
      <c r="VIH34" s="37"/>
      <c r="VII34" s="37"/>
      <c r="VIJ34" s="37"/>
      <c r="VIK34" s="37"/>
      <c r="VIL34" s="37"/>
      <c r="VIM34" s="37"/>
      <c r="VIN34" s="37"/>
      <c r="VIO34" s="37"/>
      <c r="VIP34" s="37"/>
      <c r="VIQ34" s="37"/>
      <c r="VIR34" s="37"/>
      <c r="VIS34" s="37"/>
      <c r="VIT34" s="37"/>
      <c r="VIU34" s="37"/>
      <c r="VIV34" s="37"/>
      <c r="VIW34" s="37"/>
      <c r="VIX34" s="37"/>
      <c r="VIY34" s="37"/>
      <c r="VIZ34" s="37"/>
      <c r="VJA34" s="37"/>
      <c r="VJB34" s="37"/>
      <c r="VJC34" s="37"/>
      <c r="VJD34" s="37"/>
      <c r="VJE34" s="37"/>
      <c r="VJF34" s="37"/>
      <c r="VJG34" s="37"/>
      <c r="VJH34" s="37"/>
      <c r="VJI34" s="37"/>
      <c r="VJJ34" s="37"/>
      <c r="VJK34" s="37"/>
      <c r="VJL34" s="37"/>
      <c r="VJM34" s="37"/>
      <c r="VJN34" s="37"/>
      <c r="VJO34" s="37"/>
      <c r="VJP34" s="37"/>
      <c r="VJQ34" s="37"/>
      <c r="VJR34" s="37"/>
      <c r="VJS34" s="37"/>
      <c r="VJT34" s="37"/>
      <c r="VJU34" s="37"/>
      <c r="VJV34" s="37"/>
      <c r="VJW34" s="37"/>
      <c r="VJX34" s="37"/>
      <c r="VJY34" s="37"/>
      <c r="VJZ34" s="37"/>
      <c r="VKA34" s="37"/>
      <c r="VKB34" s="37"/>
      <c r="VKC34" s="37"/>
      <c r="VKD34" s="37"/>
      <c r="VKE34" s="37"/>
      <c r="VKF34" s="37"/>
      <c r="VKG34" s="37"/>
      <c r="VKH34" s="37"/>
      <c r="VKI34" s="37"/>
      <c r="VKJ34" s="37"/>
      <c r="VKK34" s="37"/>
      <c r="VKL34" s="37"/>
      <c r="VKM34" s="37"/>
      <c r="VKN34" s="37"/>
      <c r="VKO34" s="37"/>
      <c r="VKP34" s="37"/>
      <c r="VKQ34" s="37"/>
      <c r="VKR34" s="37"/>
      <c r="VKS34" s="37"/>
      <c r="VKT34" s="37"/>
      <c r="VKU34" s="37"/>
      <c r="VKV34" s="37"/>
      <c r="VKW34" s="37"/>
      <c r="VKX34" s="37"/>
      <c r="VKY34" s="37"/>
      <c r="VKZ34" s="37"/>
      <c r="VLA34" s="37"/>
      <c r="VLB34" s="37"/>
      <c r="VLC34" s="37"/>
      <c r="VLD34" s="37"/>
      <c r="VLE34" s="37"/>
      <c r="VLF34" s="37"/>
      <c r="VLG34" s="37"/>
      <c r="VLH34" s="37"/>
      <c r="VLI34" s="37"/>
      <c r="VLJ34" s="37"/>
      <c r="VLK34" s="37"/>
      <c r="VLL34" s="37"/>
      <c r="VLM34" s="37"/>
      <c r="VLN34" s="37"/>
      <c r="VLO34" s="37"/>
      <c r="VLP34" s="37"/>
      <c r="VLQ34" s="37"/>
      <c r="VLR34" s="37"/>
      <c r="VLS34" s="37"/>
      <c r="VLT34" s="37"/>
      <c r="VLU34" s="37"/>
      <c r="VLV34" s="37"/>
      <c r="VLW34" s="37"/>
      <c r="VLX34" s="37"/>
      <c r="VLY34" s="37"/>
      <c r="VLZ34" s="37"/>
      <c r="VMA34" s="37"/>
      <c r="VMB34" s="37"/>
      <c r="VMC34" s="37"/>
      <c r="VMD34" s="37"/>
      <c r="VME34" s="37"/>
      <c r="VMF34" s="37"/>
      <c r="VMG34" s="37"/>
      <c r="VMH34" s="37"/>
      <c r="VMI34" s="37"/>
      <c r="VMJ34" s="37"/>
      <c r="VMK34" s="37"/>
      <c r="VML34" s="37"/>
      <c r="VMM34" s="37"/>
      <c r="VMN34" s="37"/>
      <c r="VMO34" s="37"/>
      <c r="VMP34" s="37"/>
      <c r="VMQ34" s="37"/>
      <c r="VMR34" s="37"/>
      <c r="VMS34" s="37"/>
      <c r="VMT34" s="37"/>
      <c r="VMU34" s="37"/>
      <c r="VMV34" s="37"/>
      <c r="VMW34" s="37"/>
      <c r="VMX34" s="37"/>
      <c r="VMY34" s="37"/>
      <c r="VMZ34" s="37"/>
      <c r="VNA34" s="37"/>
      <c r="VNB34" s="37"/>
      <c r="VNC34" s="37"/>
      <c r="VND34" s="37"/>
      <c r="VNE34" s="37"/>
      <c r="VNF34" s="37"/>
      <c r="VNG34" s="37"/>
      <c r="VNH34" s="37"/>
      <c r="VNI34" s="37"/>
      <c r="VNJ34" s="37"/>
      <c r="VNK34" s="37"/>
      <c r="VNL34" s="37"/>
      <c r="VNM34" s="37"/>
      <c r="VNN34" s="37"/>
      <c r="VNO34" s="37"/>
      <c r="VNP34" s="37"/>
      <c r="VNQ34" s="37"/>
      <c r="VNR34" s="37"/>
      <c r="VNS34" s="37"/>
      <c r="VNT34" s="37"/>
      <c r="VNU34" s="37"/>
      <c r="VNV34" s="37"/>
      <c r="VNW34" s="37"/>
      <c r="VNX34" s="37"/>
      <c r="VNY34" s="37"/>
      <c r="VNZ34" s="37"/>
      <c r="VOA34" s="37"/>
      <c r="VOB34" s="37"/>
      <c r="VOC34" s="37"/>
      <c r="VOD34" s="37"/>
      <c r="VOE34" s="37"/>
      <c r="VOF34" s="37"/>
      <c r="VOG34" s="37"/>
      <c r="VOH34" s="37"/>
      <c r="VOI34" s="37"/>
      <c r="VOJ34" s="37"/>
      <c r="VOK34" s="37"/>
      <c r="VOL34" s="37"/>
      <c r="VOM34" s="37"/>
      <c r="VON34" s="37"/>
      <c r="VOO34" s="37"/>
      <c r="VOP34" s="37"/>
      <c r="VOQ34" s="37"/>
      <c r="VOR34" s="37"/>
      <c r="VOS34" s="37"/>
      <c r="VOT34" s="37"/>
      <c r="VOU34" s="37"/>
      <c r="VOV34" s="37"/>
      <c r="VOW34" s="37"/>
      <c r="VOX34" s="37"/>
      <c r="VOY34" s="37"/>
      <c r="VOZ34" s="37"/>
      <c r="VPA34" s="37"/>
      <c r="VPB34" s="37"/>
      <c r="VPC34" s="37"/>
      <c r="VPD34" s="37"/>
      <c r="VPE34" s="37"/>
      <c r="VPF34" s="37"/>
      <c r="VPG34" s="37"/>
      <c r="VPH34" s="37"/>
      <c r="VPI34" s="37"/>
      <c r="VPJ34" s="37"/>
      <c r="VPK34" s="37"/>
      <c r="VPL34" s="37"/>
      <c r="VPM34" s="37"/>
      <c r="VPN34" s="37"/>
      <c r="VPO34" s="37"/>
      <c r="VPP34" s="37"/>
      <c r="VPQ34" s="37"/>
      <c r="VPR34" s="37"/>
      <c r="VPS34" s="37"/>
      <c r="VPT34" s="37"/>
      <c r="VPU34" s="37"/>
      <c r="VPV34" s="37"/>
      <c r="VPW34" s="37"/>
      <c r="VPX34" s="37"/>
      <c r="VPY34" s="37"/>
      <c r="VPZ34" s="37"/>
      <c r="VQA34" s="37"/>
      <c r="VQB34" s="37"/>
      <c r="VQC34" s="37"/>
      <c r="VQD34" s="37"/>
      <c r="VQE34" s="37"/>
      <c r="VQF34" s="37"/>
      <c r="VQG34" s="37"/>
      <c r="VQH34" s="37"/>
      <c r="VQI34" s="37"/>
      <c r="VQJ34" s="37"/>
      <c r="VQK34" s="37"/>
      <c r="VQL34" s="37"/>
      <c r="VQM34" s="37"/>
      <c r="VQN34" s="37"/>
      <c r="VQO34" s="37"/>
      <c r="VQP34" s="37"/>
      <c r="VQQ34" s="37"/>
      <c r="VQR34" s="37"/>
      <c r="VQS34" s="37"/>
      <c r="VQT34" s="37"/>
      <c r="VQU34" s="37"/>
      <c r="VQV34" s="37"/>
      <c r="VQW34" s="37"/>
      <c r="VQX34" s="37"/>
      <c r="VQY34" s="37"/>
      <c r="VQZ34" s="37"/>
      <c r="VRA34" s="37"/>
      <c r="VRB34" s="37"/>
      <c r="VRC34" s="37"/>
      <c r="VRD34" s="37"/>
      <c r="VRE34" s="37"/>
      <c r="VRF34" s="37"/>
      <c r="VRG34" s="37"/>
      <c r="VRH34" s="37"/>
      <c r="VRI34" s="37"/>
      <c r="VRJ34" s="37"/>
      <c r="VRK34" s="37"/>
      <c r="VRL34" s="37"/>
      <c r="VRM34" s="37"/>
      <c r="VRN34" s="37"/>
      <c r="VRO34" s="37"/>
      <c r="VRP34" s="37"/>
      <c r="VRQ34" s="37"/>
      <c r="VRR34" s="37"/>
      <c r="VRS34" s="37"/>
      <c r="VRT34" s="37"/>
      <c r="VRU34" s="37"/>
      <c r="VRV34" s="37"/>
      <c r="VRW34" s="37"/>
      <c r="VRX34" s="37"/>
      <c r="VRY34" s="37"/>
      <c r="VRZ34" s="37"/>
      <c r="VSA34" s="37"/>
      <c r="VSB34" s="37"/>
      <c r="VSC34" s="37"/>
      <c r="VSD34" s="37"/>
      <c r="VSE34" s="37"/>
      <c r="VSF34" s="37"/>
      <c r="VSG34" s="37"/>
      <c r="VSH34" s="37"/>
      <c r="VSI34" s="37"/>
      <c r="VSJ34" s="37"/>
      <c r="VSK34" s="37"/>
      <c r="VSL34" s="37"/>
      <c r="VSM34" s="37"/>
      <c r="VSN34" s="37"/>
      <c r="VSO34" s="37"/>
      <c r="VSP34" s="37"/>
      <c r="VSQ34" s="37"/>
      <c r="VSR34" s="37"/>
      <c r="VSS34" s="37"/>
      <c r="VST34" s="37"/>
      <c r="VSU34" s="37"/>
      <c r="VSV34" s="37"/>
      <c r="VSW34" s="37"/>
      <c r="VSX34" s="37"/>
      <c r="VSY34" s="37"/>
      <c r="VSZ34" s="37"/>
      <c r="VTA34" s="37"/>
      <c r="VTB34" s="37"/>
      <c r="VTC34" s="37"/>
      <c r="VTD34" s="37"/>
      <c r="VTE34" s="37"/>
      <c r="VTF34" s="37"/>
      <c r="VTG34" s="37"/>
      <c r="VTH34" s="37"/>
      <c r="VTI34" s="37"/>
      <c r="VTJ34" s="37"/>
      <c r="VTK34" s="37"/>
      <c r="VTL34" s="37"/>
      <c r="VTM34" s="37"/>
      <c r="VTN34" s="37"/>
      <c r="VTO34" s="37"/>
      <c r="VTP34" s="37"/>
      <c r="VTQ34" s="37"/>
      <c r="VTR34" s="37"/>
      <c r="VTS34" s="37"/>
      <c r="VTT34" s="37"/>
      <c r="VTU34" s="37"/>
      <c r="VTV34" s="37"/>
      <c r="VTW34" s="37"/>
      <c r="VTX34" s="37"/>
      <c r="VTY34" s="37"/>
      <c r="VTZ34" s="37"/>
      <c r="VUA34" s="37"/>
      <c r="VUB34" s="37"/>
      <c r="VUC34" s="37"/>
      <c r="VUD34" s="37"/>
      <c r="VUE34" s="37"/>
      <c r="VUF34" s="37"/>
      <c r="VUG34" s="37"/>
      <c r="VUH34" s="37"/>
      <c r="VUI34" s="37"/>
      <c r="VUJ34" s="37"/>
      <c r="VUK34" s="37"/>
      <c r="VUL34" s="37"/>
      <c r="VUM34" s="37"/>
      <c r="VUN34" s="37"/>
      <c r="VUO34" s="37"/>
      <c r="VUP34" s="37"/>
      <c r="VUQ34" s="37"/>
      <c r="VUR34" s="37"/>
      <c r="VUS34" s="37"/>
      <c r="VUT34" s="37"/>
      <c r="VUU34" s="37"/>
      <c r="VUV34" s="37"/>
      <c r="VUW34" s="37"/>
      <c r="VUX34" s="37"/>
      <c r="VUY34" s="37"/>
      <c r="VUZ34" s="37"/>
      <c r="VVA34" s="37"/>
      <c r="VVB34" s="37"/>
      <c r="VVC34" s="37"/>
      <c r="VVD34" s="37"/>
      <c r="VVE34" s="37"/>
      <c r="VVF34" s="37"/>
      <c r="VVG34" s="37"/>
      <c r="VVH34" s="37"/>
      <c r="VVI34" s="37"/>
      <c r="VVJ34" s="37"/>
      <c r="VVK34" s="37"/>
      <c r="VVL34" s="37"/>
      <c r="VVM34" s="37"/>
      <c r="VVN34" s="37"/>
      <c r="VVO34" s="37"/>
      <c r="VVP34" s="37"/>
      <c r="VVQ34" s="37"/>
      <c r="VVR34" s="37"/>
      <c r="VVS34" s="37"/>
      <c r="VVT34" s="37"/>
      <c r="VVU34" s="37"/>
      <c r="VVV34" s="37"/>
      <c r="VVW34" s="37"/>
      <c r="VVX34" s="37"/>
      <c r="VVY34" s="37"/>
      <c r="VVZ34" s="37"/>
      <c r="VWA34" s="37"/>
      <c r="VWB34" s="37"/>
      <c r="VWC34" s="37"/>
      <c r="VWD34" s="37"/>
      <c r="VWE34" s="37"/>
      <c r="VWF34" s="37"/>
      <c r="VWG34" s="37"/>
      <c r="VWH34" s="37"/>
      <c r="VWI34" s="37"/>
      <c r="VWJ34" s="37"/>
      <c r="VWK34" s="37"/>
      <c r="VWL34" s="37"/>
      <c r="VWM34" s="37"/>
      <c r="VWN34" s="37"/>
      <c r="VWO34" s="37"/>
      <c r="VWP34" s="37"/>
      <c r="VWQ34" s="37"/>
      <c r="VWR34" s="37"/>
      <c r="VWS34" s="37"/>
      <c r="VWT34" s="37"/>
      <c r="VWU34" s="37"/>
      <c r="VWV34" s="37"/>
      <c r="VWW34" s="37"/>
      <c r="VWX34" s="37"/>
      <c r="VWY34" s="37"/>
      <c r="VWZ34" s="37"/>
      <c r="VXA34" s="37"/>
      <c r="VXB34" s="37"/>
      <c r="VXC34" s="37"/>
      <c r="VXD34" s="37"/>
      <c r="VXE34" s="37"/>
      <c r="VXF34" s="37"/>
      <c r="VXG34" s="37"/>
      <c r="VXH34" s="37"/>
      <c r="VXI34" s="37"/>
      <c r="VXJ34" s="37"/>
      <c r="VXK34" s="37"/>
      <c r="VXL34" s="37"/>
      <c r="VXM34" s="37"/>
      <c r="VXN34" s="37"/>
      <c r="VXO34" s="37"/>
      <c r="VXP34" s="37"/>
      <c r="VXQ34" s="37"/>
      <c r="VXR34" s="37"/>
      <c r="VXS34" s="37"/>
      <c r="VXT34" s="37"/>
      <c r="VXU34" s="37"/>
      <c r="VXV34" s="37"/>
      <c r="VXW34" s="37"/>
      <c r="VXX34" s="37"/>
      <c r="VXY34" s="37"/>
      <c r="VXZ34" s="37"/>
      <c r="VYA34" s="37"/>
      <c r="VYB34" s="37"/>
      <c r="VYC34" s="37"/>
      <c r="VYD34" s="37"/>
      <c r="VYE34" s="37"/>
      <c r="VYF34" s="37"/>
      <c r="VYG34" s="37"/>
      <c r="VYH34" s="37"/>
      <c r="VYI34" s="37"/>
      <c r="VYJ34" s="37"/>
      <c r="VYK34" s="37"/>
      <c r="VYL34" s="37"/>
      <c r="VYM34" s="37"/>
      <c r="VYN34" s="37"/>
      <c r="VYO34" s="37"/>
      <c r="VYP34" s="37"/>
      <c r="VYQ34" s="37"/>
      <c r="VYR34" s="37"/>
      <c r="VYS34" s="37"/>
      <c r="VYT34" s="37"/>
      <c r="VYU34" s="37"/>
      <c r="VYV34" s="37"/>
      <c r="VYW34" s="37"/>
      <c r="VYX34" s="37"/>
      <c r="VYY34" s="37"/>
      <c r="VYZ34" s="37"/>
      <c r="VZA34" s="37"/>
      <c r="VZB34" s="37"/>
      <c r="VZC34" s="37"/>
      <c r="VZD34" s="37"/>
      <c r="VZE34" s="37"/>
      <c r="VZF34" s="37"/>
      <c r="VZG34" s="37"/>
      <c r="VZH34" s="37"/>
      <c r="VZI34" s="37"/>
      <c r="VZJ34" s="37"/>
      <c r="VZK34" s="37"/>
      <c r="VZL34" s="37"/>
      <c r="VZM34" s="37"/>
      <c r="VZN34" s="37"/>
      <c r="VZO34" s="37"/>
      <c r="VZP34" s="37"/>
      <c r="VZQ34" s="37"/>
      <c r="VZR34" s="37"/>
      <c r="VZS34" s="37"/>
      <c r="VZT34" s="37"/>
      <c r="VZU34" s="37"/>
      <c r="VZV34" s="37"/>
      <c r="VZW34" s="37"/>
      <c r="VZX34" s="37"/>
      <c r="VZY34" s="37"/>
      <c r="VZZ34" s="37"/>
      <c r="WAA34" s="37"/>
      <c r="WAB34" s="37"/>
      <c r="WAC34" s="37"/>
      <c r="WAD34" s="37"/>
      <c r="WAE34" s="37"/>
      <c r="WAF34" s="37"/>
      <c r="WAG34" s="37"/>
      <c r="WAH34" s="37"/>
      <c r="WAI34" s="37"/>
      <c r="WAJ34" s="37"/>
      <c r="WAK34" s="37"/>
      <c r="WAL34" s="37"/>
      <c r="WAM34" s="37"/>
      <c r="WAN34" s="37"/>
      <c r="WAO34" s="37"/>
      <c r="WAP34" s="37"/>
      <c r="WAQ34" s="37"/>
      <c r="WAR34" s="37"/>
      <c r="WAS34" s="37"/>
      <c r="WAT34" s="37"/>
      <c r="WAU34" s="37"/>
      <c r="WAV34" s="37"/>
      <c r="WAW34" s="37"/>
      <c r="WAX34" s="37"/>
      <c r="WAY34" s="37"/>
      <c r="WAZ34" s="37"/>
      <c r="WBA34" s="37"/>
      <c r="WBB34" s="37"/>
      <c r="WBC34" s="37"/>
      <c r="WBD34" s="37"/>
      <c r="WBE34" s="37"/>
      <c r="WBF34" s="37"/>
      <c r="WBG34" s="37"/>
      <c r="WBH34" s="37"/>
      <c r="WBI34" s="37"/>
      <c r="WBJ34" s="37"/>
      <c r="WBK34" s="37"/>
      <c r="WBL34" s="37"/>
      <c r="WBM34" s="37"/>
      <c r="WBN34" s="37"/>
      <c r="WBO34" s="37"/>
      <c r="WBP34" s="37"/>
      <c r="WBQ34" s="37"/>
      <c r="WBR34" s="37"/>
      <c r="WBS34" s="37"/>
      <c r="WBT34" s="37"/>
      <c r="WBU34" s="37"/>
      <c r="WBV34" s="37"/>
      <c r="WBW34" s="37"/>
      <c r="WBX34" s="37"/>
      <c r="WBY34" s="37"/>
      <c r="WBZ34" s="37"/>
      <c r="WCA34" s="37"/>
      <c r="WCB34" s="37"/>
      <c r="WCC34" s="37"/>
      <c r="WCD34" s="37"/>
      <c r="WCE34" s="37"/>
      <c r="WCF34" s="37"/>
      <c r="WCG34" s="37"/>
      <c r="WCH34" s="37"/>
      <c r="WCI34" s="37"/>
      <c r="WCJ34" s="37"/>
      <c r="WCK34" s="37"/>
      <c r="WCL34" s="37"/>
      <c r="WCM34" s="37"/>
      <c r="WCN34" s="37"/>
      <c r="WCO34" s="37"/>
      <c r="WCP34" s="37"/>
      <c r="WCQ34" s="37"/>
      <c r="WCR34" s="37"/>
      <c r="WCS34" s="37"/>
      <c r="WCT34" s="37"/>
      <c r="WCU34" s="37"/>
      <c r="WCV34" s="37"/>
      <c r="WCW34" s="37"/>
      <c r="WCX34" s="37"/>
      <c r="WCY34" s="37"/>
      <c r="WCZ34" s="37"/>
      <c r="WDA34" s="37"/>
      <c r="WDB34" s="37"/>
      <c r="WDC34" s="37"/>
      <c r="WDD34" s="37"/>
      <c r="WDE34" s="37"/>
      <c r="WDF34" s="37"/>
      <c r="WDG34" s="37"/>
      <c r="WDH34" s="37"/>
      <c r="WDI34" s="37"/>
      <c r="WDJ34" s="37"/>
      <c r="WDK34" s="37"/>
      <c r="WDL34" s="37"/>
      <c r="WDM34" s="37"/>
      <c r="WDN34" s="37"/>
      <c r="WDO34" s="37"/>
      <c r="WDP34" s="37"/>
      <c r="WDQ34" s="37"/>
      <c r="WDR34" s="37"/>
      <c r="WDS34" s="37"/>
      <c r="WDT34" s="37"/>
      <c r="WDU34" s="37"/>
      <c r="WDV34" s="37"/>
      <c r="WDW34" s="37"/>
      <c r="WDX34" s="37"/>
      <c r="WDY34" s="37"/>
      <c r="WDZ34" s="37"/>
      <c r="WEA34" s="37"/>
      <c r="WEB34" s="37"/>
      <c r="WEC34" s="37"/>
      <c r="WED34" s="37"/>
      <c r="WEE34" s="37"/>
      <c r="WEF34" s="37"/>
      <c r="WEG34" s="37"/>
      <c r="WEH34" s="37"/>
      <c r="WEI34" s="37"/>
      <c r="WEJ34" s="37"/>
      <c r="WEK34" s="37"/>
      <c r="WEL34" s="37"/>
      <c r="WEM34" s="37"/>
      <c r="WEN34" s="37"/>
      <c r="WEO34" s="37"/>
      <c r="WEP34" s="37"/>
      <c r="WEQ34" s="37"/>
      <c r="WER34" s="37"/>
      <c r="WES34" s="37"/>
      <c r="WET34" s="37"/>
      <c r="WEU34" s="37"/>
      <c r="WEV34" s="37"/>
      <c r="WEW34" s="37"/>
      <c r="WEX34" s="37"/>
      <c r="WEY34" s="37"/>
      <c r="WEZ34" s="37"/>
      <c r="WFA34" s="37"/>
      <c r="WFB34" s="37"/>
      <c r="WFC34" s="37"/>
      <c r="WFD34" s="37"/>
      <c r="WFE34" s="37"/>
      <c r="WFF34" s="37"/>
      <c r="WFG34" s="37"/>
      <c r="WFH34" s="37"/>
      <c r="WFI34" s="37"/>
      <c r="WFJ34" s="37"/>
      <c r="WFK34" s="37"/>
      <c r="WFL34" s="37"/>
      <c r="WFM34" s="37"/>
      <c r="WFN34" s="37"/>
      <c r="WFO34" s="37"/>
      <c r="WFP34" s="37"/>
      <c r="WFQ34" s="37"/>
      <c r="WFR34" s="37"/>
      <c r="WFS34" s="37"/>
      <c r="WFT34" s="37"/>
      <c r="WFU34" s="37"/>
      <c r="WFV34" s="37"/>
      <c r="WFW34" s="37"/>
      <c r="WFX34" s="37"/>
      <c r="WFY34" s="37"/>
      <c r="WFZ34" s="37"/>
      <c r="WGA34" s="37"/>
      <c r="WGB34" s="37"/>
      <c r="WGC34" s="37"/>
      <c r="WGD34" s="37"/>
      <c r="WGE34" s="37"/>
      <c r="WGF34" s="37"/>
      <c r="WGG34" s="37"/>
      <c r="WGH34" s="37"/>
      <c r="WGI34" s="37"/>
      <c r="WGJ34" s="37"/>
      <c r="WGK34" s="37"/>
      <c r="WGL34" s="37"/>
      <c r="WGM34" s="37"/>
      <c r="WGN34" s="37"/>
      <c r="WGO34" s="37"/>
      <c r="WGP34" s="37"/>
      <c r="WGQ34" s="37"/>
      <c r="WGR34" s="37"/>
      <c r="WGS34" s="37"/>
      <c r="WGT34" s="37"/>
      <c r="WGU34" s="37"/>
      <c r="WGV34" s="37"/>
      <c r="WGW34" s="37"/>
      <c r="WGX34" s="37"/>
      <c r="WGY34" s="37"/>
      <c r="WGZ34" s="37"/>
      <c r="WHA34" s="37"/>
      <c r="WHB34" s="37"/>
      <c r="WHC34" s="37"/>
      <c r="WHD34" s="37"/>
      <c r="WHE34" s="37"/>
      <c r="WHF34" s="37"/>
      <c r="WHG34" s="37"/>
      <c r="WHH34" s="37"/>
      <c r="WHI34" s="37"/>
      <c r="WHJ34" s="37"/>
      <c r="WHK34" s="37"/>
      <c r="WHL34" s="37"/>
      <c r="WHM34" s="37"/>
      <c r="WHN34" s="37"/>
      <c r="WHO34" s="37"/>
      <c r="WHP34" s="37"/>
      <c r="WHQ34" s="37"/>
      <c r="WHR34" s="37"/>
      <c r="WHS34" s="37"/>
      <c r="WHT34" s="37"/>
      <c r="WHU34" s="37"/>
      <c r="WHV34" s="37"/>
      <c r="WHW34" s="37"/>
      <c r="WHX34" s="37"/>
      <c r="WHY34" s="37"/>
      <c r="WHZ34" s="37"/>
      <c r="WIA34" s="37"/>
      <c r="WIB34" s="37"/>
      <c r="WIC34" s="37"/>
      <c r="WID34" s="37"/>
      <c r="WIE34" s="37"/>
      <c r="WIF34" s="37"/>
      <c r="WIG34" s="37"/>
      <c r="WIH34" s="37"/>
      <c r="WII34" s="37"/>
      <c r="WIJ34" s="37"/>
      <c r="WIK34" s="37"/>
      <c r="WIL34" s="37"/>
      <c r="WIM34" s="37"/>
      <c r="WIN34" s="37"/>
      <c r="WIO34" s="37"/>
      <c r="WIP34" s="37"/>
      <c r="WIQ34" s="37"/>
      <c r="WIR34" s="37"/>
      <c r="WIS34" s="37"/>
      <c r="WIT34" s="37"/>
      <c r="WIU34" s="37"/>
      <c r="WIV34" s="37"/>
      <c r="WIW34" s="37"/>
      <c r="WIX34" s="37"/>
      <c r="WIY34" s="37"/>
      <c r="WIZ34" s="37"/>
      <c r="WJA34" s="37"/>
      <c r="WJB34" s="37"/>
      <c r="WJC34" s="37"/>
      <c r="WJD34" s="37"/>
      <c r="WJE34" s="37"/>
      <c r="WJF34" s="37"/>
      <c r="WJG34" s="37"/>
      <c r="WJH34" s="37"/>
      <c r="WJI34" s="37"/>
      <c r="WJJ34" s="37"/>
      <c r="WJK34" s="37"/>
      <c r="WJL34" s="37"/>
      <c r="WJM34" s="37"/>
      <c r="WJN34" s="37"/>
      <c r="WJO34" s="37"/>
      <c r="WJP34" s="37"/>
      <c r="WJQ34" s="37"/>
      <c r="WJR34" s="37"/>
      <c r="WJS34" s="37"/>
      <c r="WJT34" s="37"/>
      <c r="WJU34" s="37"/>
      <c r="WJV34" s="37"/>
      <c r="WJW34" s="37"/>
      <c r="WJX34" s="37"/>
      <c r="WJY34" s="37"/>
      <c r="WJZ34" s="37"/>
      <c r="WKA34" s="37"/>
      <c r="WKB34" s="37"/>
      <c r="WKC34" s="37"/>
      <c r="WKD34" s="37"/>
      <c r="WKE34" s="37"/>
      <c r="WKF34" s="37"/>
      <c r="WKG34" s="37"/>
      <c r="WKH34" s="37"/>
      <c r="WKI34" s="37"/>
      <c r="WKJ34" s="37"/>
      <c r="WKK34" s="37"/>
      <c r="WKL34" s="37"/>
      <c r="WKM34" s="37"/>
      <c r="WKN34" s="37"/>
      <c r="WKO34" s="37"/>
      <c r="WKP34" s="37"/>
      <c r="WKQ34" s="37"/>
      <c r="WKR34" s="37"/>
      <c r="WKS34" s="37"/>
      <c r="WKT34" s="37"/>
      <c r="WKU34" s="37"/>
      <c r="WKV34" s="37"/>
      <c r="WKW34" s="37"/>
      <c r="WKX34" s="37"/>
      <c r="WKY34" s="37"/>
      <c r="WKZ34" s="37"/>
      <c r="WLA34" s="37"/>
      <c r="WLB34" s="37"/>
      <c r="WLC34" s="37"/>
      <c r="WLD34" s="37"/>
      <c r="WLE34" s="37"/>
      <c r="WLF34" s="37"/>
      <c r="WLG34" s="37"/>
      <c r="WLH34" s="37"/>
      <c r="WLI34" s="37"/>
      <c r="WLJ34" s="37"/>
      <c r="WLK34" s="37"/>
      <c r="WLL34" s="37"/>
      <c r="WLM34" s="37"/>
      <c r="WLN34" s="37"/>
      <c r="WLO34" s="37"/>
      <c r="WLP34" s="37"/>
      <c r="WLQ34" s="37"/>
      <c r="WLR34" s="37"/>
      <c r="WLS34" s="37"/>
      <c r="WLT34" s="37"/>
      <c r="WLU34" s="37"/>
      <c r="WLV34" s="37"/>
      <c r="WLW34" s="37"/>
      <c r="WLX34" s="37"/>
      <c r="WLY34" s="37"/>
      <c r="WLZ34" s="37"/>
      <c r="WMA34" s="37"/>
      <c r="WMB34" s="37"/>
      <c r="WMC34" s="37"/>
      <c r="WMD34" s="37"/>
      <c r="WME34" s="37"/>
      <c r="WMF34" s="37"/>
      <c r="WMG34" s="37"/>
      <c r="WMH34" s="37"/>
      <c r="WMI34" s="37"/>
      <c r="WMJ34" s="37"/>
      <c r="WMK34" s="37"/>
      <c r="WML34" s="37"/>
      <c r="WMM34" s="37"/>
      <c r="WMN34" s="37"/>
      <c r="WMO34" s="37"/>
      <c r="WMP34" s="37"/>
      <c r="WMQ34" s="37"/>
      <c r="WMR34" s="37"/>
      <c r="WMS34" s="37"/>
      <c r="WMT34" s="37"/>
      <c r="WMU34" s="37"/>
      <c r="WMV34" s="37"/>
      <c r="WMW34" s="37"/>
      <c r="WMX34" s="37"/>
      <c r="WMY34" s="37"/>
      <c r="WMZ34" s="37"/>
      <c r="WNA34" s="37"/>
      <c r="WNB34" s="37"/>
      <c r="WNC34" s="37"/>
      <c r="WND34" s="37"/>
      <c r="WNE34" s="37"/>
      <c r="WNF34" s="37"/>
      <c r="WNG34" s="37"/>
      <c r="WNH34" s="37"/>
      <c r="WNI34" s="37"/>
      <c r="WNJ34" s="37"/>
      <c r="WNK34" s="37"/>
      <c r="WNL34" s="37"/>
      <c r="WNM34" s="37"/>
      <c r="WNN34" s="37"/>
      <c r="WNO34" s="37"/>
      <c r="WNP34" s="37"/>
      <c r="WNQ34" s="37"/>
      <c r="WNR34" s="37"/>
      <c r="WNS34" s="37"/>
      <c r="WNT34" s="37"/>
      <c r="WNU34" s="37"/>
      <c r="WNV34" s="37"/>
      <c r="WNW34" s="37"/>
      <c r="WNX34" s="37"/>
      <c r="WNY34" s="37"/>
      <c r="WNZ34" s="37"/>
      <c r="WOA34" s="37"/>
      <c r="WOB34" s="37"/>
      <c r="WOC34" s="37"/>
      <c r="WOD34" s="37"/>
      <c r="WOE34" s="37"/>
      <c r="WOF34" s="37"/>
      <c r="WOG34" s="37"/>
      <c r="WOH34" s="37"/>
      <c r="WOI34" s="37"/>
      <c r="WOJ34" s="37"/>
      <c r="WOK34" s="37"/>
      <c r="WOL34" s="37"/>
      <c r="WOM34" s="37"/>
      <c r="WON34" s="37"/>
      <c r="WOO34" s="37"/>
      <c r="WOP34" s="37"/>
      <c r="WOQ34" s="37"/>
      <c r="WOR34" s="37"/>
      <c r="WOS34" s="37"/>
      <c r="WOT34" s="37"/>
      <c r="WOU34" s="37"/>
      <c r="WOV34" s="37"/>
      <c r="WOW34" s="37"/>
      <c r="WOX34" s="37"/>
      <c r="WOY34" s="37"/>
      <c r="WOZ34" s="37"/>
      <c r="WPA34" s="37"/>
      <c r="WPB34" s="37"/>
      <c r="WPC34" s="37"/>
      <c r="WPD34" s="37"/>
      <c r="WPE34" s="37"/>
      <c r="WPF34" s="37"/>
      <c r="WPG34" s="37"/>
      <c r="WPH34" s="37"/>
      <c r="WPI34" s="37"/>
      <c r="WPJ34" s="37"/>
      <c r="WPK34" s="37"/>
      <c r="WPL34" s="37"/>
      <c r="WPM34" s="37"/>
      <c r="WPN34" s="37"/>
      <c r="WPO34" s="37"/>
      <c r="WPP34" s="37"/>
      <c r="WPQ34" s="37"/>
      <c r="WPR34" s="37"/>
      <c r="WPS34" s="37"/>
      <c r="WPT34" s="37"/>
      <c r="WPU34" s="37"/>
      <c r="WPV34" s="37"/>
      <c r="WPW34" s="37"/>
      <c r="WPX34" s="37"/>
      <c r="WPY34" s="37"/>
      <c r="WPZ34" s="37"/>
      <c r="WQA34" s="37"/>
      <c r="WQB34" s="37"/>
      <c r="WQC34" s="37"/>
      <c r="WQD34" s="37"/>
      <c r="WQE34" s="37"/>
      <c r="WQF34" s="37"/>
      <c r="WQG34" s="37"/>
      <c r="WQH34" s="37"/>
      <c r="WQI34" s="37"/>
      <c r="WQJ34" s="37"/>
      <c r="WQK34" s="37"/>
      <c r="WQL34" s="37"/>
      <c r="WQM34" s="37"/>
      <c r="WQN34" s="37"/>
      <c r="WQO34" s="37"/>
      <c r="WQP34" s="37"/>
      <c r="WQQ34" s="37"/>
      <c r="WQR34" s="37"/>
      <c r="WQS34" s="37"/>
      <c r="WQT34" s="37"/>
      <c r="WQU34" s="37"/>
      <c r="WQV34" s="37"/>
      <c r="WQW34" s="37"/>
      <c r="WQX34" s="37"/>
      <c r="WQY34" s="37"/>
      <c r="WQZ34" s="37"/>
      <c r="WRA34" s="37"/>
      <c r="WRB34" s="37"/>
      <c r="WRC34" s="37"/>
      <c r="WRD34" s="37"/>
      <c r="WRE34" s="37"/>
      <c r="WRF34" s="37"/>
      <c r="WRG34" s="37"/>
      <c r="WRH34" s="37"/>
      <c r="WRI34" s="37"/>
      <c r="WRJ34" s="37"/>
      <c r="WRK34" s="37"/>
      <c r="WRL34" s="37"/>
      <c r="WRM34" s="37"/>
      <c r="WRN34" s="37"/>
      <c r="WRO34" s="37"/>
      <c r="WRP34" s="37"/>
      <c r="WRQ34" s="37"/>
      <c r="WRR34" s="37"/>
      <c r="WRS34" s="37"/>
      <c r="WRT34" s="37"/>
      <c r="WRU34" s="37"/>
      <c r="WRV34" s="37"/>
      <c r="WRW34" s="37"/>
      <c r="WRX34" s="37"/>
      <c r="WRY34" s="37"/>
      <c r="WRZ34" s="37"/>
      <c r="WSA34" s="37"/>
      <c r="WSB34" s="37"/>
      <c r="WSC34" s="37"/>
      <c r="WSD34" s="37"/>
      <c r="WSE34" s="37"/>
      <c r="WSF34" s="37"/>
      <c r="WSG34" s="37"/>
      <c r="WSH34" s="37"/>
      <c r="WSI34" s="37"/>
      <c r="WSJ34" s="37"/>
      <c r="WSK34" s="37"/>
      <c r="WSL34" s="37"/>
      <c r="WSM34" s="37"/>
      <c r="WSN34" s="37"/>
      <c r="WSO34" s="37"/>
      <c r="WSP34" s="37"/>
      <c r="WSQ34" s="37"/>
      <c r="WSR34" s="37"/>
      <c r="WSS34" s="37"/>
      <c r="WST34" s="37"/>
      <c r="WSU34" s="37"/>
      <c r="WSV34" s="37"/>
      <c r="WSW34" s="37"/>
      <c r="WSX34" s="37"/>
      <c r="WSY34" s="37"/>
      <c r="WSZ34" s="37"/>
      <c r="WTA34" s="37"/>
      <c r="WTB34" s="37"/>
      <c r="WTC34" s="37"/>
      <c r="WTD34" s="37"/>
      <c r="WTE34" s="37"/>
      <c r="WTF34" s="37"/>
      <c r="WTG34" s="37"/>
      <c r="WTH34" s="37"/>
      <c r="WTI34" s="37"/>
      <c r="WTJ34" s="37"/>
      <c r="WTK34" s="37"/>
      <c r="WTL34" s="37"/>
      <c r="WTM34" s="37"/>
      <c r="WTN34" s="37"/>
      <c r="WTO34" s="37"/>
      <c r="WTP34" s="37"/>
      <c r="WTQ34" s="37"/>
      <c r="WTR34" s="37"/>
      <c r="WTS34" s="37"/>
      <c r="WTT34" s="37"/>
      <c r="WTU34" s="37"/>
      <c r="WTV34" s="37"/>
      <c r="WTW34" s="37"/>
      <c r="WTX34" s="37"/>
      <c r="WTY34" s="37"/>
      <c r="WTZ34" s="37"/>
      <c r="WUA34" s="37"/>
      <c r="WUB34" s="37"/>
      <c r="WUC34" s="37"/>
      <c r="WUD34" s="37"/>
      <c r="WUE34" s="37"/>
      <c r="WUF34" s="37"/>
      <c r="WUG34" s="37"/>
      <c r="WUH34" s="37"/>
      <c r="WUI34" s="37"/>
      <c r="WUJ34" s="37"/>
      <c r="WUK34" s="37"/>
      <c r="WUL34" s="37"/>
      <c r="WUM34" s="37"/>
      <c r="WUN34" s="37"/>
      <c r="WUO34" s="37"/>
      <c r="WUP34" s="37"/>
      <c r="WUQ34" s="37"/>
      <c r="WUR34" s="37"/>
      <c r="WUS34" s="37"/>
      <c r="WUT34" s="37"/>
      <c r="WUU34" s="37"/>
      <c r="WUV34" s="37"/>
      <c r="WUW34" s="37"/>
      <c r="WUX34" s="37"/>
      <c r="WUY34" s="37"/>
      <c r="WUZ34" s="37"/>
      <c r="WVA34" s="37"/>
      <c r="WVB34" s="37"/>
      <c r="WVC34" s="37"/>
      <c r="WVD34" s="37"/>
      <c r="WVE34" s="37"/>
      <c r="WVF34" s="37"/>
      <c r="WVG34" s="37"/>
      <c r="WVH34" s="37"/>
      <c r="WVI34" s="37"/>
      <c r="WVJ34" s="37"/>
      <c r="WVK34" s="37"/>
      <c r="WVL34" s="37"/>
      <c r="WVM34" s="37"/>
      <c r="WVN34" s="37"/>
      <c r="WVO34" s="37"/>
      <c r="WVP34" s="37"/>
      <c r="WVQ34" s="37"/>
      <c r="WVR34" s="37"/>
      <c r="WVS34" s="37"/>
      <c r="WVT34" s="37"/>
      <c r="WVU34" s="37"/>
      <c r="WVV34" s="37"/>
      <c r="WVW34" s="37"/>
      <c r="WVX34" s="37"/>
      <c r="WVY34" s="37"/>
      <c r="WVZ34" s="37"/>
      <c r="WWA34" s="37"/>
      <c r="WWB34" s="37"/>
      <c r="WWC34" s="37"/>
      <c r="WWD34" s="37"/>
      <c r="WWE34" s="37"/>
      <c r="WWF34" s="37"/>
      <c r="WWG34" s="37"/>
      <c r="WWH34" s="37"/>
      <c r="WWI34" s="37"/>
      <c r="WWJ34" s="37"/>
      <c r="WWK34" s="37"/>
      <c r="WWL34" s="37"/>
      <c r="WWM34" s="37"/>
      <c r="WWN34" s="37"/>
      <c r="WWO34" s="37"/>
      <c r="WWP34" s="37"/>
      <c r="WWQ34" s="37"/>
      <c r="WWR34" s="37"/>
      <c r="WWS34" s="37"/>
      <c r="WWT34" s="37"/>
      <c r="WWU34" s="37"/>
      <c r="WWV34" s="37"/>
      <c r="WWW34" s="37"/>
      <c r="WWX34" s="37"/>
      <c r="WWY34" s="37"/>
      <c r="WWZ34" s="37"/>
      <c r="WXA34" s="37"/>
      <c r="WXB34" s="37"/>
      <c r="WXC34" s="37"/>
      <c r="WXD34" s="37"/>
      <c r="WXE34" s="37"/>
      <c r="WXF34" s="37"/>
      <c r="WXG34" s="37"/>
      <c r="WXH34" s="37"/>
      <c r="WXI34" s="37"/>
      <c r="WXJ34" s="37"/>
      <c r="WXK34" s="37"/>
      <c r="WXL34" s="37"/>
      <c r="WXM34" s="37"/>
      <c r="WXN34" s="37"/>
      <c r="WXO34" s="37"/>
      <c r="WXP34" s="37"/>
      <c r="WXQ34" s="37"/>
      <c r="WXR34" s="37"/>
      <c r="WXS34" s="37"/>
      <c r="WXT34" s="37"/>
      <c r="WXU34" s="37"/>
      <c r="WXV34" s="37"/>
      <c r="WXW34" s="37"/>
      <c r="WXX34" s="37"/>
      <c r="WXY34" s="37"/>
      <c r="WXZ34" s="37"/>
      <c r="WYA34" s="37"/>
      <c r="WYB34" s="37"/>
      <c r="WYC34" s="37"/>
      <c r="WYD34" s="37"/>
      <c r="WYE34" s="37"/>
      <c r="WYF34" s="37"/>
      <c r="WYG34" s="37"/>
      <c r="WYH34" s="37"/>
      <c r="WYI34" s="37"/>
      <c r="WYJ34" s="37"/>
      <c r="WYK34" s="37"/>
      <c r="WYL34" s="37"/>
      <c r="WYM34" s="37"/>
      <c r="WYN34" s="37"/>
      <c r="WYO34" s="37"/>
      <c r="WYP34" s="37"/>
      <c r="WYQ34" s="37"/>
      <c r="WYR34" s="37"/>
      <c r="WYS34" s="37"/>
      <c r="WYT34" s="37"/>
      <c r="WYU34" s="37"/>
      <c r="WYV34" s="37"/>
      <c r="WYW34" s="37"/>
      <c r="WYX34" s="37"/>
      <c r="WYY34" s="37"/>
      <c r="WYZ34" s="37"/>
      <c r="WZA34" s="37"/>
      <c r="WZB34" s="37"/>
      <c r="WZC34" s="37"/>
      <c r="WZD34" s="37"/>
      <c r="WZE34" s="37"/>
      <c r="WZF34" s="37"/>
      <c r="WZG34" s="37"/>
      <c r="WZH34" s="37"/>
      <c r="WZI34" s="37"/>
      <c r="WZJ34" s="37"/>
      <c r="WZK34" s="37"/>
      <c r="WZL34" s="37"/>
      <c r="WZM34" s="37"/>
      <c r="WZN34" s="37"/>
      <c r="WZO34" s="37"/>
      <c r="WZP34" s="37"/>
      <c r="WZQ34" s="37"/>
      <c r="WZR34" s="37"/>
      <c r="WZS34" s="37"/>
      <c r="WZT34" s="37"/>
      <c r="WZU34" s="37"/>
      <c r="WZV34" s="37"/>
      <c r="WZW34" s="37"/>
      <c r="WZX34" s="37"/>
      <c r="WZY34" s="37"/>
      <c r="WZZ34" s="37"/>
      <c r="XAA34" s="37"/>
      <c r="XAB34" s="37"/>
      <c r="XAC34" s="37"/>
      <c r="XAD34" s="37"/>
      <c r="XAE34" s="37"/>
      <c r="XAF34" s="37"/>
      <c r="XAG34" s="37"/>
      <c r="XAH34" s="37"/>
      <c r="XAI34" s="37"/>
      <c r="XAJ34" s="37"/>
      <c r="XAK34" s="37"/>
      <c r="XAL34" s="37"/>
      <c r="XAM34" s="37"/>
      <c r="XAN34" s="37"/>
      <c r="XAO34" s="37"/>
      <c r="XAP34" s="37"/>
      <c r="XAQ34" s="37"/>
      <c r="XAR34" s="37"/>
      <c r="XAS34" s="37"/>
      <c r="XAT34" s="37"/>
      <c r="XAU34" s="37"/>
      <c r="XAV34" s="37"/>
      <c r="XAW34" s="37"/>
      <c r="XAX34" s="37"/>
      <c r="XAY34" s="37"/>
      <c r="XAZ34" s="37"/>
      <c r="XBA34" s="37"/>
      <c r="XBB34" s="37"/>
      <c r="XBC34" s="37"/>
      <c r="XBD34" s="37"/>
      <c r="XBE34" s="37"/>
      <c r="XBF34" s="37"/>
      <c r="XBG34" s="37"/>
      <c r="XBH34" s="37"/>
      <c r="XBI34" s="37"/>
      <c r="XBJ34" s="37"/>
      <c r="XBK34" s="37"/>
      <c r="XBL34" s="37"/>
      <c r="XBM34" s="37"/>
      <c r="XBN34" s="37"/>
      <c r="XBO34" s="37"/>
      <c r="XBP34" s="37"/>
      <c r="XBQ34" s="37"/>
      <c r="XBR34" s="37"/>
      <c r="XBS34" s="37"/>
      <c r="XBT34" s="37"/>
      <c r="XBU34" s="37"/>
      <c r="XBV34" s="37"/>
      <c r="XBW34" s="37"/>
      <c r="XBX34" s="37"/>
      <c r="XBY34" s="37"/>
      <c r="XBZ34" s="37"/>
      <c r="XCA34" s="37"/>
      <c r="XCB34" s="37"/>
      <c r="XCC34" s="37"/>
      <c r="XCD34" s="37"/>
      <c r="XCE34" s="37"/>
      <c r="XCF34" s="37"/>
      <c r="XCG34" s="37"/>
      <c r="XCH34" s="37"/>
      <c r="XCI34" s="37"/>
      <c r="XCJ34" s="37"/>
      <c r="XCK34" s="37"/>
      <c r="XCL34" s="37"/>
      <c r="XCM34" s="37"/>
      <c r="XCN34" s="37"/>
      <c r="XCO34" s="37"/>
      <c r="XCP34" s="37"/>
      <c r="XCQ34" s="37"/>
      <c r="XCR34" s="37"/>
      <c r="XCS34" s="37"/>
      <c r="XCT34" s="37"/>
      <c r="XCU34" s="37"/>
      <c r="XCV34" s="37"/>
      <c r="XCW34" s="37"/>
      <c r="XCX34" s="37"/>
      <c r="XCY34" s="37"/>
      <c r="XCZ34" s="37"/>
      <c r="XDA34" s="37"/>
      <c r="XDB34" s="37"/>
      <c r="XDC34" s="37"/>
      <c r="XDD34" s="37"/>
      <c r="XDE34" s="37"/>
      <c r="XDF34" s="37"/>
      <c r="XDG34" s="37"/>
      <c r="XDH34" s="37"/>
      <c r="XDI34" s="37"/>
      <c r="XDJ34" s="37"/>
      <c r="XDK34" s="37"/>
      <c r="XDL34" s="37"/>
      <c r="XDM34" s="37"/>
      <c r="XDN34" s="37"/>
      <c r="XDO34" s="37"/>
      <c r="XDP34" s="37"/>
      <c r="XDQ34" s="37"/>
      <c r="XDR34" s="37"/>
      <c r="XDS34" s="37"/>
      <c r="XDT34" s="37"/>
      <c r="XDU34" s="37"/>
      <c r="XDV34" s="37"/>
      <c r="XDW34" s="37"/>
      <c r="XDX34" s="37"/>
      <c r="XDY34" s="37"/>
      <c r="XDZ34" s="37"/>
      <c r="XEA34" s="37"/>
      <c r="XEB34" s="37"/>
      <c r="XEC34" s="37"/>
      <c r="XED34" s="37"/>
      <c r="XEE34" s="37"/>
      <c r="XEF34" s="37"/>
      <c r="XEG34" s="37"/>
      <c r="XEH34" s="37"/>
      <c r="XEI34" s="37"/>
      <c r="XEJ34" s="37"/>
      <c r="XEK34" s="37"/>
      <c r="XEL34" s="37"/>
      <c r="XEM34" s="37"/>
      <c r="XEN34" s="37"/>
      <c r="XEO34" s="37"/>
      <c r="XEP34" s="37"/>
      <c r="XEQ34" s="37"/>
      <c r="XER34" s="37"/>
      <c r="XES34" s="37"/>
      <c r="XET34" s="37"/>
      <c r="XEU34" s="37"/>
      <c r="XEV34" s="37"/>
      <c r="XEW34" s="37"/>
      <c r="XEX34" s="37"/>
      <c r="XEY34" s="37"/>
      <c r="XEZ34" s="37"/>
      <c r="XFA34" s="37"/>
      <c r="XFB34" s="37"/>
      <c r="XFC34" s="37"/>
      <c r="XFD34" s="37"/>
    </row>
    <row r="35" spans="2:16384" ht="21" thickTop="1">
      <c r="B35" s="78"/>
    </row>
    <row r="36" spans="2:16384">
      <c r="B36" s="77" t="s">
        <v>199</v>
      </c>
      <c r="C36" s="290" t="s">
        <v>196</v>
      </c>
      <c r="D36" s="290"/>
      <c r="E36" s="290"/>
      <c r="F36" s="290"/>
      <c r="G36" s="290"/>
      <c r="H36" s="290"/>
      <c r="I36" s="290"/>
      <c r="J36" s="290"/>
      <c r="K36" s="290"/>
      <c r="L36" s="290"/>
    </row>
    <row r="37" spans="2:16384">
      <c r="B37" s="85" t="s">
        <v>202</v>
      </c>
      <c r="C37" s="76">
        <f t="shared" ref="C37:L37" si="0">IF(C5&lt;&gt;"",C5,"")</f>
        <v>45291</v>
      </c>
      <c r="D37" s="76">
        <f t="shared" si="0"/>
        <v>44926</v>
      </c>
      <c r="E37" s="76">
        <f t="shared" si="0"/>
        <v>44561</v>
      </c>
      <c r="F37" s="76">
        <f t="shared" si="0"/>
        <v>44196</v>
      </c>
      <c r="G37" s="76">
        <f t="shared" si="0"/>
        <v>43830</v>
      </c>
      <c r="H37" s="76" t="str">
        <f t="shared" si="0"/>
        <v/>
      </c>
      <c r="I37" s="76" t="str">
        <f t="shared" si="0"/>
        <v/>
      </c>
      <c r="J37" s="76" t="str">
        <f t="shared" si="0"/>
        <v/>
      </c>
      <c r="K37" s="76" t="str">
        <f t="shared" si="0"/>
        <v/>
      </c>
      <c r="L37" s="76" t="str">
        <f t="shared" si="0"/>
        <v/>
      </c>
    </row>
    <row r="38" spans="2:16384">
      <c r="B38" t="s">
        <v>40</v>
      </c>
      <c r="C38" s="80">
        <f t="shared" ref="C38:L38" si="1">IF(C8&lt;&gt;"",C8,"")</f>
        <v>13626</v>
      </c>
      <c r="D38" s="80">
        <f t="shared" si="1"/>
        <v>12839</v>
      </c>
      <c r="E38" s="80">
        <f t="shared" si="1"/>
        <v>5757</v>
      </c>
      <c r="F38" s="80">
        <f t="shared" si="1"/>
        <v>4101</v>
      </c>
      <c r="G38" s="80">
        <f t="shared" si="1"/>
        <v>3552</v>
      </c>
      <c r="H38" s="80" t="str">
        <f t="shared" si="1"/>
        <v/>
      </c>
      <c r="I38" s="80" t="str">
        <f t="shared" si="1"/>
        <v/>
      </c>
      <c r="J38" s="80" t="str">
        <f t="shared" si="1"/>
        <v/>
      </c>
      <c r="K38" s="80" t="str">
        <f t="shared" si="1"/>
        <v/>
      </c>
      <c r="L38" s="80" t="str">
        <f t="shared" si="1"/>
        <v/>
      </c>
    </row>
    <row r="39" spans="2:16384">
      <c r="B39" t="s">
        <v>41</v>
      </c>
      <c r="C39" s="80">
        <f t="shared" ref="C39:L39" si="2">IF(C7&lt;&gt;"",C7,"")</f>
        <v>3702</v>
      </c>
      <c r="D39" s="80">
        <f t="shared" si="2"/>
        <v>3123</v>
      </c>
      <c r="E39" s="80">
        <f t="shared" si="2"/>
        <v>1997</v>
      </c>
      <c r="F39" s="80">
        <f t="shared" si="2"/>
        <v>1912</v>
      </c>
      <c r="G39" s="80">
        <f t="shared" si="2"/>
        <v>1324</v>
      </c>
      <c r="H39" s="80" t="str">
        <f t="shared" si="2"/>
        <v/>
      </c>
      <c r="I39" s="80" t="str">
        <f t="shared" si="2"/>
        <v/>
      </c>
      <c r="J39" s="80" t="str">
        <f t="shared" si="2"/>
        <v/>
      </c>
      <c r="K39" s="80" t="str">
        <f t="shared" si="2"/>
        <v/>
      </c>
      <c r="L39" s="80" t="str">
        <f t="shared" si="2"/>
        <v/>
      </c>
    </row>
    <row r="40" spans="2:16384" ht="17" customHeight="1">
      <c r="B40" t="s">
        <v>42</v>
      </c>
      <c r="C40" s="80">
        <f t="shared" ref="C40:L40" si="3">IF(C19&lt;&gt;"",-C19,"")</f>
        <v>-14431</v>
      </c>
      <c r="D40" s="80">
        <f t="shared" si="3"/>
        <v>-15255</v>
      </c>
      <c r="E40" s="80">
        <f t="shared" si="3"/>
        <v>-10025</v>
      </c>
      <c r="F40" s="80">
        <f t="shared" si="3"/>
        <v>-6051</v>
      </c>
      <c r="G40" s="80">
        <f t="shared" si="3"/>
        <v>-3771</v>
      </c>
      <c r="H40" s="80" t="str">
        <f t="shared" si="3"/>
        <v/>
      </c>
      <c r="I40" s="80" t="str">
        <f t="shared" si="3"/>
        <v/>
      </c>
      <c r="J40" s="80" t="str">
        <f t="shared" si="3"/>
        <v/>
      </c>
      <c r="K40" s="80" t="str">
        <f t="shared" si="3"/>
        <v/>
      </c>
      <c r="L40" s="80" t="str">
        <f t="shared" si="3"/>
        <v/>
      </c>
    </row>
    <row r="41" spans="2:16384" ht="17" customHeight="1">
      <c r="C41" s="80"/>
      <c r="D41" s="80"/>
      <c r="E41" s="80"/>
      <c r="F41" s="80"/>
      <c r="G41" s="80"/>
      <c r="H41" s="80"/>
      <c r="I41" s="80"/>
      <c r="J41" s="80"/>
      <c r="K41" s="80"/>
      <c r="L41" s="80"/>
    </row>
    <row r="42" spans="2:16384" ht="17" customHeight="1" thickBot="1">
      <c r="B42" s="71" t="s">
        <v>39</v>
      </c>
      <c r="C42" s="81">
        <f t="shared" ref="C42:L42" si="4">IF(SUM(C38:C40)=0,"",SUM(C38:C40))</f>
        <v>2897</v>
      </c>
      <c r="D42" s="81">
        <f t="shared" si="4"/>
        <v>707</v>
      </c>
      <c r="E42" s="81">
        <f t="shared" si="4"/>
        <v>-2271</v>
      </c>
      <c r="F42" s="81">
        <f t="shared" si="4"/>
        <v>-38</v>
      </c>
      <c r="G42" s="81">
        <f t="shared" si="4"/>
        <v>1105</v>
      </c>
      <c r="H42" s="81" t="str">
        <f t="shared" si="4"/>
        <v/>
      </c>
      <c r="I42" s="81" t="str">
        <f t="shared" si="4"/>
        <v/>
      </c>
      <c r="J42" s="81" t="str">
        <f t="shared" si="4"/>
        <v/>
      </c>
      <c r="K42" s="81" t="str">
        <f t="shared" si="4"/>
        <v/>
      </c>
      <c r="L42" s="81" t="str">
        <f t="shared" si="4"/>
        <v/>
      </c>
    </row>
    <row r="43" spans="2:16384" ht="17" customHeight="1" thickTop="1">
      <c r="C43" s="80"/>
      <c r="D43" s="80"/>
      <c r="E43" s="80"/>
      <c r="F43" s="80"/>
      <c r="G43" s="80"/>
      <c r="H43" s="80"/>
      <c r="I43" s="80"/>
      <c r="J43" s="80"/>
      <c r="K43" s="80"/>
      <c r="L43" s="80"/>
    </row>
    <row r="44" spans="2:16384" ht="17" thickBot="1">
      <c r="B44" s="71" t="s">
        <v>43</v>
      </c>
      <c r="C44" s="81">
        <f t="shared" ref="C44:L44" si="5">IF(AND(D42=""),"",(C42-D42))</f>
        <v>2190</v>
      </c>
      <c r="D44" s="81">
        <f t="shared" si="5"/>
        <v>2978</v>
      </c>
      <c r="E44" s="81">
        <f t="shared" si="5"/>
        <v>-2233</v>
      </c>
      <c r="F44" s="81">
        <f t="shared" si="5"/>
        <v>-1143</v>
      </c>
      <c r="G44" s="81" t="str">
        <f t="shared" si="5"/>
        <v/>
      </c>
      <c r="H44" s="81" t="str">
        <f t="shared" si="5"/>
        <v/>
      </c>
      <c r="I44" s="81" t="str">
        <f t="shared" si="5"/>
        <v/>
      </c>
      <c r="J44" s="81" t="str">
        <f t="shared" si="5"/>
        <v/>
      </c>
      <c r="K44" s="81" t="str">
        <f t="shared" si="5"/>
        <v/>
      </c>
      <c r="L44" s="81" t="str">
        <f t="shared" si="5"/>
        <v/>
      </c>
    </row>
    <row r="45" spans="2:16384" ht="17" thickTop="1"/>
    <row r="48" spans="2:16384" ht="21" thickBot="1">
      <c r="B48" s="38" t="s">
        <v>109</v>
      </c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  <c r="AW48" s="37"/>
      <c r="AX48" s="37"/>
      <c r="AY48" s="37"/>
      <c r="AZ48" s="37"/>
      <c r="BA48" s="37"/>
      <c r="BB48" s="37"/>
      <c r="BC48" s="37"/>
      <c r="BD48" s="37"/>
      <c r="BE48" s="37"/>
      <c r="BF48" s="37"/>
      <c r="BG48" s="37"/>
      <c r="BH48" s="37"/>
      <c r="BI48" s="37"/>
      <c r="BJ48" s="37"/>
      <c r="BK48" s="37"/>
      <c r="BL48" s="37"/>
      <c r="BM48" s="37"/>
      <c r="BN48" s="37"/>
      <c r="BO48" s="37"/>
      <c r="BP48" s="37"/>
      <c r="BQ48" s="37"/>
      <c r="BR48" s="37"/>
      <c r="BS48" s="37"/>
      <c r="BT48" s="37"/>
      <c r="BU48" s="37"/>
      <c r="BV48" s="37"/>
      <c r="BW48" s="37"/>
      <c r="BX48" s="37"/>
      <c r="BY48" s="37"/>
      <c r="BZ48" s="37"/>
      <c r="CA48" s="37"/>
      <c r="CB48" s="37"/>
      <c r="CC48" s="37"/>
      <c r="CD48" s="37"/>
      <c r="CE48" s="37"/>
      <c r="CF48" s="37"/>
      <c r="CG48" s="37"/>
      <c r="CH48" s="37"/>
      <c r="CI48" s="37"/>
      <c r="CJ48" s="37"/>
      <c r="CK48" s="37"/>
      <c r="CL48" s="37"/>
      <c r="CM48" s="37"/>
      <c r="CN48" s="37"/>
      <c r="CO48" s="37"/>
      <c r="CP48" s="37"/>
      <c r="CQ48" s="37"/>
      <c r="CR48" s="37"/>
      <c r="CS48" s="37"/>
      <c r="CT48" s="37"/>
      <c r="CU48" s="37"/>
      <c r="CV48" s="37"/>
      <c r="CW48" s="37"/>
      <c r="CX48" s="37"/>
      <c r="CY48" s="37"/>
      <c r="CZ48" s="37"/>
      <c r="DA48" s="37"/>
      <c r="DB48" s="37"/>
      <c r="DC48" s="37"/>
      <c r="DD48" s="37"/>
      <c r="DE48" s="37"/>
      <c r="DF48" s="37"/>
      <c r="DG48" s="37"/>
      <c r="DH48" s="37"/>
      <c r="DI48" s="37"/>
      <c r="DJ48" s="37"/>
      <c r="DK48" s="37"/>
      <c r="DL48" s="37"/>
      <c r="DM48" s="37"/>
      <c r="DN48" s="37"/>
      <c r="DO48" s="37"/>
      <c r="DP48" s="37"/>
      <c r="DQ48" s="37"/>
      <c r="DR48" s="37"/>
      <c r="DS48" s="37"/>
      <c r="DT48" s="37"/>
      <c r="DU48" s="37"/>
      <c r="DV48" s="37"/>
      <c r="DW48" s="37"/>
      <c r="DX48" s="37"/>
      <c r="DY48" s="37"/>
      <c r="DZ48" s="37"/>
      <c r="EA48" s="37"/>
      <c r="EB48" s="37"/>
      <c r="EC48" s="37"/>
      <c r="ED48" s="37"/>
      <c r="EE48" s="37"/>
      <c r="EF48" s="37"/>
      <c r="EG48" s="37"/>
      <c r="EH48" s="37"/>
      <c r="EI48" s="37"/>
      <c r="EJ48" s="37"/>
      <c r="EK48" s="37"/>
      <c r="EL48" s="37"/>
      <c r="EM48" s="37"/>
      <c r="EN48" s="37"/>
      <c r="EO48" s="37"/>
      <c r="EP48" s="37"/>
      <c r="EQ48" s="37"/>
      <c r="ER48" s="37"/>
      <c r="ES48" s="37"/>
      <c r="ET48" s="37"/>
      <c r="EU48" s="37"/>
      <c r="EV48" s="37"/>
      <c r="EW48" s="37"/>
      <c r="EX48" s="37"/>
      <c r="EY48" s="37"/>
      <c r="EZ48" s="37"/>
      <c r="FA48" s="37"/>
      <c r="FB48" s="37"/>
      <c r="FC48" s="37"/>
      <c r="FD48" s="37"/>
      <c r="FE48" s="37"/>
      <c r="FF48" s="37"/>
      <c r="FG48" s="37"/>
      <c r="FH48" s="37"/>
      <c r="FI48" s="37"/>
      <c r="FJ48" s="37"/>
      <c r="FK48" s="37"/>
      <c r="FL48" s="37"/>
      <c r="FM48" s="37"/>
      <c r="FN48" s="37"/>
      <c r="FO48" s="37"/>
      <c r="FP48" s="37"/>
      <c r="FQ48" s="37"/>
      <c r="FR48" s="37"/>
      <c r="FS48" s="37"/>
      <c r="FT48" s="37"/>
      <c r="FU48" s="37"/>
      <c r="FV48" s="37"/>
      <c r="FW48" s="37"/>
      <c r="FX48" s="37"/>
      <c r="FY48" s="37"/>
      <c r="FZ48" s="37"/>
      <c r="GA48" s="37"/>
      <c r="GB48" s="37"/>
      <c r="GC48" s="37"/>
      <c r="GD48" s="37"/>
      <c r="GE48" s="37"/>
      <c r="GF48" s="37"/>
      <c r="GG48" s="37"/>
      <c r="GH48" s="37"/>
      <c r="GI48" s="37"/>
      <c r="GJ48" s="37"/>
      <c r="GK48" s="37"/>
      <c r="GL48" s="37"/>
      <c r="GM48" s="37"/>
      <c r="GN48" s="37"/>
      <c r="GO48" s="37"/>
      <c r="GP48" s="37"/>
      <c r="GQ48" s="37"/>
      <c r="GR48" s="37"/>
      <c r="GS48" s="37"/>
      <c r="GT48" s="37"/>
      <c r="GU48" s="37"/>
      <c r="GV48" s="37"/>
      <c r="GW48" s="37"/>
      <c r="GX48" s="37"/>
      <c r="GY48" s="37"/>
      <c r="GZ48" s="37"/>
      <c r="HA48" s="37"/>
      <c r="HB48" s="37"/>
      <c r="HC48" s="37"/>
      <c r="HD48" s="37"/>
      <c r="HE48" s="37"/>
      <c r="HF48" s="37"/>
      <c r="HG48" s="37"/>
      <c r="HH48" s="37"/>
      <c r="HI48" s="37"/>
      <c r="HJ48" s="37"/>
      <c r="HK48" s="37"/>
      <c r="HL48" s="37"/>
      <c r="HM48" s="37"/>
      <c r="HN48" s="37"/>
      <c r="HO48" s="37"/>
      <c r="HP48" s="37"/>
      <c r="HQ48" s="37"/>
      <c r="HR48" s="37"/>
      <c r="HS48" s="37"/>
      <c r="HT48" s="37"/>
      <c r="HU48" s="37"/>
      <c r="HV48" s="37"/>
      <c r="HW48" s="37"/>
      <c r="HX48" s="37"/>
      <c r="HY48" s="37"/>
      <c r="HZ48" s="37"/>
      <c r="IA48" s="37"/>
      <c r="IB48" s="37"/>
      <c r="IC48" s="37"/>
      <c r="ID48" s="37"/>
      <c r="IE48" s="37"/>
      <c r="IF48" s="37"/>
      <c r="IG48" s="37"/>
      <c r="IH48" s="37"/>
      <c r="II48" s="37"/>
      <c r="IJ48" s="37"/>
      <c r="IK48" s="37"/>
      <c r="IL48" s="37"/>
      <c r="IM48" s="37"/>
      <c r="IN48" s="37"/>
      <c r="IO48" s="37"/>
      <c r="IP48" s="37"/>
      <c r="IQ48" s="37"/>
      <c r="IR48" s="37"/>
      <c r="IS48" s="37"/>
      <c r="IT48" s="37"/>
      <c r="IU48" s="37"/>
      <c r="IV48" s="37"/>
      <c r="IW48" s="37"/>
      <c r="IX48" s="37"/>
      <c r="IY48" s="37"/>
      <c r="IZ48" s="37"/>
      <c r="JA48" s="37"/>
      <c r="JB48" s="37"/>
      <c r="JC48" s="37"/>
      <c r="JD48" s="37"/>
      <c r="JE48" s="37"/>
      <c r="JF48" s="37"/>
      <c r="JG48" s="37"/>
      <c r="JH48" s="37"/>
      <c r="JI48" s="37"/>
      <c r="JJ48" s="37"/>
      <c r="JK48" s="37"/>
      <c r="JL48" s="37"/>
      <c r="JM48" s="37"/>
      <c r="JN48" s="37"/>
      <c r="JO48" s="37"/>
      <c r="JP48" s="37"/>
      <c r="JQ48" s="37"/>
      <c r="JR48" s="37"/>
      <c r="JS48" s="37"/>
      <c r="JT48" s="37"/>
      <c r="JU48" s="37"/>
      <c r="JV48" s="37"/>
      <c r="JW48" s="37"/>
      <c r="JX48" s="37"/>
      <c r="JY48" s="37"/>
      <c r="JZ48" s="37"/>
      <c r="KA48" s="37"/>
      <c r="KB48" s="37"/>
      <c r="KC48" s="37"/>
      <c r="KD48" s="37"/>
      <c r="KE48" s="37"/>
      <c r="KF48" s="37"/>
      <c r="KG48" s="37"/>
      <c r="KH48" s="37"/>
      <c r="KI48" s="37"/>
      <c r="KJ48" s="37"/>
      <c r="KK48" s="37"/>
      <c r="KL48" s="37"/>
      <c r="KM48" s="37"/>
      <c r="KN48" s="37"/>
      <c r="KO48" s="37"/>
      <c r="KP48" s="37"/>
      <c r="KQ48" s="37"/>
      <c r="KR48" s="37"/>
      <c r="KS48" s="37"/>
      <c r="KT48" s="37"/>
      <c r="KU48" s="37"/>
      <c r="KV48" s="37"/>
      <c r="KW48" s="37"/>
      <c r="KX48" s="37"/>
      <c r="KY48" s="37"/>
      <c r="KZ48" s="37"/>
      <c r="LA48" s="37"/>
      <c r="LB48" s="37"/>
      <c r="LC48" s="37"/>
      <c r="LD48" s="37"/>
      <c r="LE48" s="37"/>
      <c r="LF48" s="37"/>
      <c r="LG48" s="37"/>
      <c r="LH48" s="37"/>
      <c r="LI48" s="37"/>
      <c r="LJ48" s="37"/>
      <c r="LK48" s="37"/>
      <c r="LL48" s="37"/>
      <c r="LM48" s="37"/>
      <c r="LN48" s="37"/>
      <c r="LO48" s="37"/>
      <c r="LP48" s="37"/>
      <c r="LQ48" s="37"/>
      <c r="LR48" s="37"/>
      <c r="LS48" s="37"/>
      <c r="LT48" s="37"/>
      <c r="LU48" s="37"/>
      <c r="LV48" s="37"/>
      <c r="LW48" s="37"/>
      <c r="LX48" s="37"/>
      <c r="LY48" s="37"/>
      <c r="LZ48" s="37"/>
      <c r="MA48" s="37"/>
      <c r="MB48" s="37"/>
      <c r="MC48" s="37"/>
      <c r="MD48" s="37"/>
      <c r="ME48" s="37"/>
      <c r="MF48" s="37"/>
      <c r="MG48" s="37"/>
      <c r="MH48" s="37"/>
      <c r="MI48" s="37"/>
      <c r="MJ48" s="37"/>
      <c r="MK48" s="37"/>
      <c r="ML48" s="37"/>
      <c r="MM48" s="37"/>
      <c r="MN48" s="37"/>
      <c r="MO48" s="37"/>
      <c r="MP48" s="37"/>
      <c r="MQ48" s="37"/>
      <c r="MR48" s="37"/>
      <c r="MS48" s="37"/>
      <c r="MT48" s="37"/>
      <c r="MU48" s="37"/>
      <c r="MV48" s="37"/>
      <c r="MW48" s="37"/>
      <c r="MX48" s="37"/>
      <c r="MY48" s="37"/>
      <c r="MZ48" s="37"/>
      <c r="NA48" s="37"/>
      <c r="NB48" s="37"/>
      <c r="NC48" s="37"/>
      <c r="ND48" s="37"/>
      <c r="NE48" s="37"/>
      <c r="NF48" s="37"/>
      <c r="NG48" s="37"/>
      <c r="NH48" s="37"/>
      <c r="NI48" s="37"/>
      <c r="NJ48" s="37"/>
      <c r="NK48" s="37"/>
      <c r="NL48" s="37"/>
      <c r="NM48" s="37"/>
      <c r="NN48" s="37"/>
      <c r="NO48" s="37"/>
      <c r="NP48" s="37"/>
      <c r="NQ48" s="37"/>
      <c r="NR48" s="37"/>
      <c r="NS48" s="37"/>
      <c r="NT48" s="37"/>
      <c r="NU48" s="37"/>
      <c r="NV48" s="37"/>
      <c r="NW48" s="37"/>
      <c r="NX48" s="37"/>
      <c r="NY48" s="37"/>
      <c r="NZ48" s="37"/>
      <c r="OA48" s="37"/>
      <c r="OB48" s="37"/>
      <c r="OC48" s="37"/>
      <c r="OD48" s="37"/>
      <c r="OE48" s="37"/>
      <c r="OF48" s="37"/>
      <c r="OG48" s="37"/>
      <c r="OH48" s="37"/>
      <c r="OI48" s="37"/>
      <c r="OJ48" s="37"/>
      <c r="OK48" s="37"/>
      <c r="OL48" s="37"/>
      <c r="OM48" s="37"/>
      <c r="ON48" s="37"/>
      <c r="OO48" s="37"/>
      <c r="OP48" s="37"/>
      <c r="OQ48" s="37"/>
      <c r="OR48" s="37"/>
      <c r="OS48" s="37"/>
      <c r="OT48" s="37"/>
      <c r="OU48" s="37"/>
      <c r="OV48" s="37"/>
      <c r="OW48" s="37"/>
      <c r="OX48" s="37"/>
      <c r="OY48" s="37"/>
      <c r="OZ48" s="37"/>
      <c r="PA48" s="37"/>
      <c r="PB48" s="37"/>
      <c r="PC48" s="37"/>
      <c r="PD48" s="37"/>
      <c r="PE48" s="37"/>
      <c r="PF48" s="37"/>
      <c r="PG48" s="37"/>
      <c r="PH48" s="37"/>
      <c r="PI48" s="37"/>
      <c r="PJ48" s="37"/>
      <c r="PK48" s="37"/>
      <c r="PL48" s="37"/>
      <c r="PM48" s="37"/>
      <c r="PN48" s="37"/>
      <c r="PO48" s="37"/>
      <c r="PP48" s="37"/>
      <c r="PQ48" s="37"/>
      <c r="PR48" s="37"/>
      <c r="PS48" s="37"/>
      <c r="PT48" s="37"/>
      <c r="PU48" s="37"/>
      <c r="PV48" s="37"/>
      <c r="PW48" s="37"/>
      <c r="PX48" s="37"/>
      <c r="PY48" s="37"/>
      <c r="PZ48" s="37"/>
      <c r="QA48" s="37"/>
      <c r="QB48" s="37"/>
      <c r="QC48" s="37"/>
      <c r="QD48" s="37"/>
      <c r="QE48" s="37"/>
      <c r="QF48" s="37"/>
      <c r="QG48" s="37"/>
      <c r="QH48" s="37"/>
      <c r="QI48" s="37"/>
      <c r="QJ48" s="37"/>
      <c r="QK48" s="37"/>
      <c r="QL48" s="37"/>
      <c r="QM48" s="37"/>
      <c r="QN48" s="37"/>
      <c r="QO48" s="37"/>
      <c r="QP48" s="37"/>
      <c r="QQ48" s="37"/>
      <c r="QR48" s="37"/>
      <c r="QS48" s="37"/>
      <c r="QT48" s="37"/>
      <c r="QU48" s="37"/>
      <c r="QV48" s="37"/>
      <c r="QW48" s="37"/>
      <c r="QX48" s="37"/>
      <c r="QY48" s="37"/>
      <c r="QZ48" s="37"/>
      <c r="RA48" s="37"/>
      <c r="RB48" s="37"/>
      <c r="RC48" s="37"/>
      <c r="RD48" s="37"/>
      <c r="RE48" s="37"/>
      <c r="RF48" s="37"/>
      <c r="RG48" s="37"/>
      <c r="RH48" s="37"/>
      <c r="RI48" s="37"/>
      <c r="RJ48" s="37"/>
      <c r="RK48" s="37"/>
      <c r="RL48" s="37"/>
      <c r="RM48" s="37"/>
      <c r="RN48" s="37"/>
      <c r="RO48" s="37"/>
      <c r="RP48" s="37"/>
      <c r="RQ48" s="37"/>
      <c r="RR48" s="37"/>
      <c r="RS48" s="37"/>
      <c r="RT48" s="37"/>
      <c r="RU48" s="37"/>
      <c r="RV48" s="37"/>
      <c r="RW48" s="37"/>
      <c r="RX48" s="37"/>
      <c r="RY48" s="37"/>
      <c r="RZ48" s="37"/>
      <c r="SA48" s="37"/>
      <c r="SB48" s="37"/>
      <c r="SC48" s="37"/>
      <c r="SD48" s="37"/>
      <c r="SE48" s="37"/>
      <c r="SF48" s="37"/>
      <c r="SG48" s="37"/>
      <c r="SH48" s="37"/>
      <c r="SI48" s="37"/>
      <c r="SJ48" s="37"/>
      <c r="SK48" s="37"/>
      <c r="SL48" s="37"/>
      <c r="SM48" s="37"/>
      <c r="SN48" s="37"/>
      <c r="SO48" s="37"/>
      <c r="SP48" s="37"/>
      <c r="SQ48" s="37"/>
      <c r="SR48" s="37"/>
      <c r="SS48" s="37"/>
      <c r="ST48" s="37"/>
      <c r="SU48" s="37"/>
      <c r="SV48" s="37"/>
      <c r="SW48" s="37"/>
      <c r="SX48" s="37"/>
      <c r="SY48" s="37"/>
      <c r="SZ48" s="37"/>
      <c r="TA48" s="37"/>
      <c r="TB48" s="37"/>
      <c r="TC48" s="37"/>
      <c r="TD48" s="37"/>
      <c r="TE48" s="37"/>
      <c r="TF48" s="37"/>
      <c r="TG48" s="37"/>
      <c r="TH48" s="37"/>
      <c r="TI48" s="37"/>
      <c r="TJ48" s="37"/>
      <c r="TK48" s="37"/>
      <c r="TL48" s="37"/>
      <c r="TM48" s="37"/>
      <c r="TN48" s="37"/>
      <c r="TO48" s="37"/>
      <c r="TP48" s="37"/>
      <c r="TQ48" s="37"/>
      <c r="TR48" s="37"/>
      <c r="TS48" s="37"/>
      <c r="TT48" s="37"/>
      <c r="TU48" s="37"/>
      <c r="TV48" s="37"/>
      <c r="TW48" s="37"/>
      <c r="TX48" s="37"/>
      <c r="TY48" s="37"/>
      <c r="TZ48" s="37"/>
      <c r="UA48" s="37"/>
      <c r="UB48" s="37"/>
      <c r="UC48" s="37"/>
      <c r="UD48" s="37"/>
      <c r="UE48" s="37"/>
      <c r="UF48" s="37"/>
      <c r="UG48" s="37"/>
      <c r="UH48" s="37"/>
      <c r="UI48" s="37"/>
      <c r="UJ48" s="37"/>
      <c r="UK48" s="37"/>
      <c r="UL48" s="37"/>
      <c r="UM48" s="37"/>
      <c r="UN48" s="37"/>
      <c r="UO48" s="37"/>
      <c r="UP48" s="37"/>
      <c r="UQ48" s="37"/>
      <c r="UR48" s="37"/>
      <c r="US48" s="37"/>
      <c r="UT48" s="37"/>
      <c r="UU48" s="37"/>
      <c r="UV48" s="37"/>
      <c r="UW48" s="37"/>
      <c r="UX48" s="37"/>
      <c r="UY48" s="37"/>
      <c r="UZ48" s="37"/>
      <c r="VA48" s="37"/>
      <c r="VB48" s="37"/>
      <c r="VC48" s="37"/>
      <c r="VD48" s="37"/>
      <c r="VE48" s="37"/>
      <c r="VF48" s="37"/>
      <c r="VG48" s="37"/>
      <c r="VH48" s="37"/>
      <c r="VI48" s="37"/>
      <c r="VJ48" s="37"/>
      <c r="VK48" s="37"/>
      <c r="VL48" s="37"/>
      <c r="VM48" s="37"/>
      <c r="VN48" s="37"/>
      <c r="VO48" s="37"/>
      <c r="VP48" s="37"/>
      <c r="VQ48" s="37"/>
      <c r="VR48" s="37"/>
      <c r="VS48" s="37"/>
      <c r="VT48" s="37"/>
      <c r="VU48" s="37"/>
      <c r="VV48" s="37"/>
      <c r="VW48" s="37"/>
      <c r="VX48" s="37"/>
      <c r="VY48" s="37"/>
      <c r="VZ48" s="37"/>
      <c r="WA48" s="37"/>
      <c r="WB48" s="37"/>
      <c r="WC48" s="37"/>
      <c r="WD48" s="37"/>
      <c r="WE48" s="37"/>
      <c r="WF48" s="37"/>
      <c r="WG48" s="37"/>
      <c r="WH48" s="37"/>
      <c r="WI48" s="37"/>
      <c r="WJ48" s="37"/>
      <c r="WK48" s="37"/>
      <c r="WL48" s="37"/>
      <c r="WM48" s="37"/>
      <c r="WN48" s="37"/>
      <c r="WO48" s="37"/>
      <c r="WP48" s="37"/>
      <c r="WQ48" s="37"/>
      <c r="WR48" s="37"/>
      <c r="WS48" s="37"/>
      <c r="WT48" s="37"/>
      <c r="WU48" s="37"/>
      <c r="WV48" s="37"/>
      <c r="WW48" s="37"/>
      <c r="WX48" s="37"/>
      <c r="WY48" s="37"/>
      <c r="WZ48" s="37"/>
      <c r="XA48" s="37"/>
      <c r="XB48" s="37"/>
      <c r="XC48" s="37"/>
      <c r="XD48" s="37"/>
      <c r="XE48" s="37"/>
      <c r="XF48" s="37"/>
      <c r="XG48" s="37"/>
      <c r="XH48" s="37"/>
      <c r="XI48" s="37"/>
      <c r="XJ48" s="37"/>
      <c r="XK48" s="37"/>
      <c r="XL48" s="37"/>
      <c r="XM48" s="37"/>
      <c r="XN48" s="37"/>
      <c r="XO48" s="37"/>
      <c r="XP48" s="37"/>
      <c r="XQ48" s="37"/>
      <c r="XR48" s="37"/>
      <c r="XS48" s="37"/>
      <c r="XT48" s="37"/>
      <c r="XU48" s="37"/>
      <c r="XV48" s="37"/>
      <c r="XW48" s="37"/>
      <c r="XX48" s="37"/>
      <c r="XY48" s="37"/>
      <c r="XZ48" s="37"/>
      <c r="YA48" s="37"/>
      <c r="YB48" s="37"/>
      <c r="YC48" s="37"/>
      <c r="YD48" s="37"/>
      <c r="YE48" s="37"/>
      <c r="YF48" s="37"/>
      <c r="YG48" s="37"/>
      <c r="YH48" s="37"/>
      <c r="YI48" s="37"/>
      <c r="YJ48" s="37"/>
      <c r="YK48" s="37"/>
      <c r="YL48" s="37"/>
      <c r="YM48" s="37"/>
      <c r="YN48" s="37"/>
      <c r="YO48" s="37"/>
      <c r="YP48" s="37"/>
      <c r="YQ48" s="37"/>
      <c r="YR48" s="37"/>
      <c r="YS48" s="37"/>
      <c r="YT48" s="37"/>
      <c r="YU48" s="37"/>
      <c r="YV48" s="37"/>
      <c r="YW48" s="37"/>
      <c r="YX48" s="37"/>
      <c r="YY48" s="37"/>
      <c r="YZ48" s="37"/>
      <c r="ZA48" s="37"/>
      <c r="ZB48" s="37"/>
      <c r="ZC48" s="37"/>
      <c r="ZD48" s="37"/>
      <c r="ZE48" s="37"/>
      <c r="ZF48" s="37"/>
      <c r="ZG48" s="37"/>
      <c r="ZH48" s="37"/>
      <c r="ZI48" s="37"/>
      <c r="ZJ48" s="37"/>
      <c r="ZK48" s="37"/>
      <c r="ZL48" s="37"/>
      <c r="ZM48" s="37"/>
      <c r="ZN48" s="37"/>
      <c r="ZO48" s="37"/>
      <c r="ZP48" s="37"/>
      <c r="ZQ48" s="37"/>
      <c r="ZR48" s="37"/>
      <c r="ZS48" s="37"/>
      <c r="ZT48" s="37"/>
      <c r="ZU48" s="37"/>
      <c r="ZV48" s="37"/>
      <c r="ZW48" s="37"/>
      <c r="ZX48" s="37"/>
      <c r="ZY48" s="37"/>
      <c r="ZZ48" s="37"/>
      <c r="AAA48" s="37"/>
      <c r="AAB48" s="37"/>
      <c r="AAC48" s="37"/>
      <c r="AAD48" s="37"/>
      <c r="AAE48" s="37"/>
      <c r="AAF48" s="37"/>
      <c r="AAG48" s="37"/>
      <c r="AAH48" s="37"/>
      <c r="AAI48" s="37"/>
      <c r="AAJ48" s="37"/>
      <c r="AAK48" s="37"/>
      <c r="AAL48" s="37"/>
      <c r="AAM48" s="37"/>
      <c r="AAN48" s="37"/>
      <c r="AAO48" s="37"/>
      <c r="AAP48" s="37"/>
      <c r="AAQ48" s="37"/>
      <c r="AAR48" s="37"/>
      <c r="AAS48" s="37"/>
      <c r="AAT48" s="37"/>
      <c r="AAU48" s="37"/>
      <c r="AAV48" s="37"/>
      <c r="AAW48" s="37"/>
      <c r="AAX48" s="37"/>
      <c r="AAY48" s="37"/>
      <c r="AAZ48" s="37"/>
      <c r="ABA48" s="37"/>
      <c r="ABB48" s="37"/>
      <c r="ABC48" s="37"/>
      <c r="ABD48" s="37"/>
      <c r="ABE48" s="37"/>
      <c r="ABF48" s="37"/>
      <c r="ABG48" s="37"/>
      <c r="ABH48" s="37"/>
      <c r="ABI48" s="37"/>
      <c r="ABJ48" s="37"/>
      <c r="ABK48" s="37"/>
      <c r="ABL48" s="37"/>
      <c r="ABM48" s="37"/>
      <c r="ABN48" s="37"/>
      <c r="ABO48" s="37"/>
      <c r="ABP48" s="37"/>
      <c r="ABQ48" s="37"/>
      <c r="ABR48" s="37"/>
      <c r="ABS48" s="37"/>
      <c r="ABT48" s="37"/>
      <c r="ABU48" s="37"/>
      <c r="ABV48" s="37"/>
      <c r="ABW48" s="37"/>
      <c r="ABX48" s="37"/>
      <c r="ABY48" s="37"/>
      <c r="ABZ48" s="37"/>
      <c r="ACA48" s="37"/>
      <c r="ACB48" s="37"/>
      <c r="ACC48" s="37"/>
      <c r="ACD48" s="37"/>
      <c r="ACE48" s="37"/>
      <c r="ACF48" s="37"/>
      <c r="ACG48" s="37"/>
      <c r="ACH48" s="37"/>
      <c r="ACI48" s="37"/>
      <c r="ACJ48" s="37"/>
      <c r="ACK48" s="37"/>
      <c r="ACL48" s="37"/>
      <c r="ACM48" s="37"/>
      <c r="ACN48" s="37"/>
      <c r="ACO48" s="37"/>
      <c r="ACP48" s="37"/>
      <c r="ACQ48" s="37"/>
      <c r="ACR48" s="37"/>
      <c r="ACS48" s="37"/>
      <c r="ACT48" s="37"/>
      <c r="ACU48" s="37"/>
      <c r="ACV48" s="37"/>
      <c r="ACW48" s="37"/>
      <c r="ACX48" s="37"/>
      <c r="ACY48" s="37"/>
      <c r="ACZ48" s="37"/>
      <c r="ADA48" s="37"/>
      <c r="ADB48" s="37"/>
      <c r="ADC48" s="37"/>
      <c r="ADD48" s="37"/>
      <c r="ADE48" s="37"/>
      <c r="ADF48" s="37"/>
      <c r="ADG48" s="37"/>
      <c r="ADH48" s="37"/>
      <c r="ADI48" s="37"/>
      <c r="ADJ48" s="37"/>
      <c r="ADK48" s="37"/>
      <c r="ADL48" s="37"/>
      <c r="ADM48" s="37"/>
      <c r="ADN48" s="37"/>
      <c r="ADO48" s="37"/>
      <c r="ADP48" s="37"/>
      <c r="ADQ48" s="37"/>
      <c r="ADR48" s="37"/>
      <c r="ADS48" s="37"/>
      <c r="ADT48" s="37"/>
      <c r="ADU48" s="37"/>
      <c r="ADV48" s="37"/>
      <c r="ADW48" s="37"/>
      <c r="ADX48" s="37"/>
      <c r="ADY48" s="37"/>
      <c r="ADZ48" s="37"/>
      <c r="AEA48" s="37"/>
      <c r="AEB48" s="37"/>
      <c r="AEC48" s="37"/>
      <c r="AED48" s="37"/>
      <c r="AEE48" s="37"/>
      <c r="AEF48" s="37"/>
      <c r="AEG48" s="37"/>
      <c r="AEH48" s="37"/>
      <c r="AEI48" s="37"/>
      <c r="AEJ48" s="37"/>
      <c r="AEK48" s="37"/>
      <c r="AEL48" s="37"/>
      <c r="AEM48" s="37"/>
      <c r="AEN48" s="37"/>
      <c r="AEO48" s="37"/>
      <c r="AEP48" s="37"/>
      <c r="AEQ48" s="37"/>
      <c r="AER48" s="37"/>
      <c r="AES48" s="37"/>
      <c r="AET48" s="37"/>
      <c r="AEU48" s="37"/>
      <c r="AEV48" s="37"/>
      <c r="AEW48" s="37"/>
      <c r="AEX48" s="37"/>
      <c r="AEY48" s="37"/>
      <c r="AEZ48" s="37"/>
      <c r="AFA48" s="37"/>
      <c r="AFB48" s="37"/>
      <c r="AFC48" s="37"/>
      <c r="AFD48" s="37"/>
      <c r="AFE48" s="37"/>
      <c r="AFF48" s="37"/>
      <c r="AFG48" s="37"/>
      <c r="AFH48" s="37"/>
      <c r="AFI48" s="37"/>
      <c r="AFJ48" s="37"/>
      <c r="AFK48" s="37"/>
      <c r="AFL48" s="37"/>
      <c r="AFM48" s="37"/>
      <c r="AFN48" s="37"/>
      <c r="AFO48" s="37"/>
      <c r="AFP48" s="37"/>
      <c r="AFQ48" s="37"/>
      <c r="AFR48" s="37"/>
      <c r="AFS48" s="37"/>
      <c r="AFT48" s="37"/>
      <c r="AFU48" s="37"/>
      <c r="AFV48" s="37"/>
      <c r="AFW48" s="37"/>
      <c r="AFX48" s="37"/>
      <c r="AFY48" s="37"/>
      <c r="AFZ48" s="37"/>
      <c r="AGA48" s="37"/>
      <c r="AGB48" s="37"/>
      <c r="AGC48" s="37"/>
      <c r="AGD48" s="37"/>
      <c r="AGE48" s="37"/>
      <c r="AGF48" s="37"/>
      <c r="AGG48" s="37"/>
      <c r="AGH48" s="37"/>
      <c r="AGI48" s="37"/>
      <c r="AGJ48" s="37"/>
      <c r="AGK48" s="37"/>
      <c r="AGL48" s="37"/>
      <c r="AGM48" s="37"/>
      <c r="AGN48" s="37"/>
      <c r="AGO48" s="37"/>
      <c r="AGP48" s="37"/>
      <c r="AGQ48" s="37"/>
      <c r="AGR48" s="37"/>
      <c r="AGS48" s="37"/>
      <c r="AGT48" s="37"/>
      <c r="AGU48" s="37"/>
      <c r="AGV48" s="37"/>
      <c r="AGW48" s="37"/>
      <c r="AGX48" s="37"/>
      <c r="AGY48" s="37"/>
      <c r="AGZ48" s="37"/>
      <c r="AHA48" s="37"/>
      <c r="AHB48" s="37"/>
      <c r="AHC48" s="37"/>
      <c r="AHD48" s="37"/>
      <c r="AHE48" s="37"/>
      <c r="AHF48" s="37"/>
      <c r="AHG48" s="37"/>
      <c r="AHH48" s="37"/>
      <c r="AHI48" s="37"/>
      <c r="AHJ48" s="37"/>
      <c r="AHK48" s="37"/>
      <c r="AHL48" s="37"/>
      <c r="AHM48" s="37"/>
      <c r="AHN48" s="37"/>
      <c r="AHO48" s="37"/>
      <c r="AHP48" s="37"/>
      <c r="AHQ48" s="37"/>
      <c r="AHR48" s="37"/>
      <c r="AHS48" s="37"/>
      <c r="AHT48" s="37"/>
      <c r="AHU48" s="37"/>
      <c r="AHV48" s="37"/>
      <c r="AHW48" s="37"/>
      <c r="AHX48" s="37"/>
      <c r="AHY48" s="37"/>
      <c r="AHZ48" s="37"/>
      <c r="AIA48" s="37"/>
      <c r="AIB48" s="37"/>
      <c r="AIC48" s="37"/>
      <c r="AID48" s="37"/>
      <c r="AIE48" s="37"/>
      <c r="AIF48" s="37"/>
      <c r="AIG48" s="37"/>
      <c r="AIH48" s="37"/>
      <c r="AII48" s="37"/>
      <c r="AIJ48" s="37"/>
      <c r="AIK48" s="37"/>
      <c r="AIL48" s="37"/>
      <c r="AIM48" s="37"/>
      <c r="AIN48" s="37"/>
      <c r="AIO48" s="37"/>
      <c r="AIP48" s="37"/>
      <c r="AIQ48" s="37"/>
      <c r="AIR48" s="37"/>
      <c r="AIS48" s="37"/>
      <c r="AIT48" s="37"/>
      <c r="AIU48" s="37"/>
      <c r="AIV48" s="37"/>
      <c r="AIW48" s="37"/>
      <c r="AIX48" s="37"/>
      <c r="AIY48" s="37"/>
      <c r="AIZ48" s="37"/>
      <c r="AJA48" s="37"/>
      <c r="AJB48" s="37"/>
      <c r="AJC48" s="37"/>
      <c r="AJD48" s="37"/>
      <c r="AJE48" s="37"/>
      <c r="AJF48" s="37"/>
      <c r="AJG48" s="37"/>
      <c r="AJH48" s="37"/>
      <c r="AJI48" s="37"/>
      <c r="AJJ48" s="37"/>
      <c r="AJK48" s="37"/>
      <c r="AJL48" s="37"/>
      <c r="AJM48" s="37"/>
      <c r="AJN48" s="37"/>
      <c r="AJO48" s="37"/>
      <c r="AJP48" s="37"/>
      <c r="AJQ48" s="37"/>
      <c r="AJR48" s="37"/>
      <c r="AJS48" s="37"/>
      <c r="AJT48" s="37"/>
      <c r="AJU48" s="37"/>
      <c r="AJV48" s="37"/>
      <c r="AJW48" s="37"/>
      <c r="AJX48" s="37"/>
      <c r="AJY48" s="37"/>
      <c r="AJZ48" s="37"/>
      <c r="AKA48" s="37"/>
      <c r="AKB48" s="37"/>
      <c r="AKC48" s="37"/>
      <c r="AKD48" s="37"/>
      <c r="AKE48" s="37"/>
      <c r="AKF48" s="37"/>
      <c r="AKG48" s="37"/>
      <c r="AKH48" s="37"/>
      <c r="AKI48" s="37"/>
      <c r="AKJ48" s="37"/>
      <c r="AKK48" s="37"/>
      <c r="AKL48" s="37"/>
      <c r="AKM48" s="37"/>
      <c r="AKN48" s="37"/>
      <c r="AKO48" s="37"/>
      <c r="AKP48" s="37"/>
      <c r="AKQ48" s="37"/>
      <c r="AKR48" s="37"/>
      <c r="AKS48" s="37"/>
      <c r="AKT48" s="37"/>
      <c r="AKU48" s="37"/>
      <c r="AKV48" s="37"/>
      <c r="AKW48" s="37"/>
      <c r="AKX48" s="37"/>
      <c r="AKY48" s="37"/>
      <c r="AKZ48" s="37"/>
      <c r="ALA48" s="37"/>
      <c r="ALB48" s="37"/>
      <c r="ALC48" s="37"/>
      <c r="ALD48" s="37"/>
      <c r="ALE48" s="37"/>
      <c r="ALF48" s="37"/>
      <c r="ALG48" s="37"/>
      <c r="ALH48" s="37"/>
      <c r="ALI48" s="37"/>
      <c r="ALJ48" s="37"/>
      <c r="ALK48" s="37"/>
      <c r="ALL48" s="37"/>
      <c r="ALM48" s="37"/>
      <c r="ALN48" s="37"/>
      <c r="ALO48" s="37"/>
      <c r="ALP48" s="37"/>
      <c r="ALQ48" s="37"/>
      <c r="ALR48" s="37"/>
      <c r="ALS48" s="37"/>
      <c r="ALT48" s="37"/>
      <c r="ALU48" s="37"/>
      <c r="ALV48" s="37"/>
      <c r="ALW48" s="37"/>
      <c r="ALX48" s="37"/>
      <c r="ALY48" s="37"/>
      <c r="ALZ48" s="37"/>
      <c r="AMA48" s="37"/>
      <c r="AMB48" s="37"/>
      <c r="AMC48" s="37"/>
      <c r="AMD48" s="37"/>
      <c r="AME48" s="37"/>
      <c r="AMF48" s="37"/>
      <c r="AMG48" s="37"/>
      <c r="AMH48" s="37"/>
      <c r="AMI48" s="37"/>
      <c r="AMJ48" s="37"/>
      <c r="AMK48" s="37"/>
      <c r="AML48" s="37"/>
      <c r="AMM48" s="37"/>
      <c r="AMN48" s="37"/>
      <c r="AMO48" s="37"/>
      <c r="AMP48" s="37"/>
      <c r="AMQ48" s="37"/>
      <c r="AMR48" s="37"/>
      <c r="AMS48" s="37"/>
      <c r="AMT48" s="37"/>
      <c r="AMU48" s="37"/>
      <c r="AMV48" s="37"/>
      <c r="AMW48" s="37"/>
      <c r="AMX48" s="37"/>
      <c r="AMY48" s="37"/>
      <c r="AMZ48" s="37"/>
      <c r="ANA48" s="37"/>
      <c r="ANB48" s="37"/>
      <c r="ANC48" s="37"/>
      <c r="AND48" s="37"/>
      <c r="ANE48" s="37"/>
      <c r="ANF48" s="37"/>
      <c r="ANG48" s="37"/>
      <c r="ANH48" s="37"/>
      <c r="ANI48" s="37"/>
      <c r="ANJ48" s="37"/>
      <c r="ANK48" s="37"/>
      <c r="ANL48" s="37"/>
      <c r="ANM48" s="37"/>
      <c r="ANN48" s="37"/>
      <c r="ANO48" s="37"/>
      <c r="ANP48" s="37"/>
      <c r="ANQ48" s="37"/>
      <c r="ANR48" s="37"/>
      <c r="ANS48" s="37"/>
      <c r="ANT48" s="37"/>
      <c r="ANU48" s="37"/>
      <c r="ANV48" s="37"/>
      <c r="ANW48" s="37"/>
      <c r="ANX48" s="37"/>
      <c r="ANY48" s="37"/>
      <c r="ANZ48" s="37"/>
      <c r="AOA48" s="37"/>
      <c r="AOB48" s="37"/>
      <c r="AOC48" s="37"/>
      <c r="AOD48" s="37"/>
      <c r="AOE48" s="37"/>
      <c r="AOF48" s="37"/>
      <c r="AOG48" s="37"/>
      <c r="AOH48" s="37"/>
      <c r="AOI48" s="37"/>
      <c r="AOJ48" s="37"/>
      <c r="AOK48" s="37"/>
      <c r="AOL48" s="37"/>
      <c r="AOM48" s="37"/>
      <c r="AON48" s="37"/>
      <c r="AOO48" s="37"/>
      <c r="AOP48" s="37"/>
      <c r="AOQ48" s="37"/>
      <c r="AOR48" s="37"/>
      <c r="AOS48" s="37"/>
      <c r="AOT48" s="37"/>
      <c r="AOU48" s="37"/>
      <c r="AOV48" s="37"/>
      <c r="AOW48" s="37"/>
      <c r="AOX48" s="37"/>
      <c r="AOY48" s="37"/>
      <c r="AOZ48" s="37"/>
      <c r="APA48" s="37"/>
      <c r="APB48" s="37"/>
      <c r="APC48" s="37"/>
      <c r="APD48" s="37"/>
      <c r="APE48" s="37"/>
      <c r="APF48" s="37"/>
      <c r="APG48" s="37"/>
      <c r="APH48" s="37"/>
      <c r="API48" s="37"/>
      <c r="APJ48" s="37"/>
      <c r="APK48" s="37"/>
      <c r="APL48" s="37"/>
      <c r="APM48" s="37"/>
      <c r="APN48" s="37"/>
      <c r="APO48" s="37"/>
      <c r="APP48" s="37"/>
      <c r="APQ48" s="37"/>
      <c r="APR48" s="37"/>
      <c r="APS48" s="37"/>
      <c r="APT48" s="37"/>
      <c r="APU48" s="37"/>
      <c r="APV48" s="37"/>
      <c r="APW48" s="37"/>
      <c r="APX48" s="37"/>
      <c r="APY48" s="37"/>
      <c r="APZ48" s="37"/>
      <c r="AQA48" s="37"/>
      <c r="AQB48" s="37"/>
      <c r="AQC48" s="37"/>
      <c r="AQD48" s="37"/>
      <c r="AQE48" s="37"/>
      <c r="AQF48" s="37"/>
      <c r="AQG48" s="37"/>
      <c r="AQH48" s="37"/>
      <c r="AQI48" s="37"/>
      <c r="AQJ48" s="37"/>
      <c r="AQK48" s="37"/>
      <c r="AQL48" s="37"/>
      <c r="AQM48" s="37"/>
      <c r="AQN48" s="37"/>
      <c r="AQO48" s="37"/>
      <c r="AQP48" s="37"/>
      <c r="AQQ48" s="37"/>
      <c r="AQR48" s="37"/>
      <c r="AQS48" s="37"/>
      <c r="AQT48" s="37"/>
      <c r="AQU48" s="37"/>
      <c r="AQV48" s="37"/>
      <c r="AQW48" s="37"/>
      <c r="AQX48" s="37"/>
      <c r="AQY48" s="37"/>
      <c r="AQZ48" s="37"/>
      <c r="ARA48" s="37"/>
      <c r="ARB48" s="37"/>
      <c r="ARC48" s="37"/>
      <c r="ARD48" s="37"/>
      <c r="ARE48" s="37"/>
      <c r="ARF48" s="37"/>
      <c r="ARG48" s="37"/>
      <c r="ARH48" s="37"/>
      <c r="ARI48" s="37"/>
      <c r="ARJ48" s="37"/>
      <c r="ARK48" s="37"/>
      <c r="ARL48" s="37"/>
      <c r="ARM48" s="37"/>
      <c r="ARN48" s="37"/>
      <c r="ARO48" s="37"/>
      <c r="ARP48" s="37"/>
      <c r="ARQ48" s="37"/>
      <c r="ARR48" s="37"/>
      <c r="ARS48" s="37"/>
      <c r="ART48" s="37"/>
      <c r="ARU48" s="37"/>
      <c r="ARV48" s="37"/>
      <c r="ARW48" s="37"/>
      <c r="ARX48" s="37"/>
      <c r="ARY48" s="37"/>
      <c r="ARZ48" s="37"/>
      <c r="ASA48" s="37"/>
      <c r="ASB48" s="37"/>
      <c r="ASC48" s="37"/>
      <c r="ASD48" s="37"/>
      <c r="ASE48" s="37"/>
      <c r="ASF48" s="37"/>
      <c r="ASG48" s="37"/>
      <c r="ASH48" s="37"/>
      <c r="ASI48" s="37"/>
      <c r="ASJ48" s="37"/>
      <c r="ASK48" s="37"/>
      <c r="ASL48" s="37"/>
      <c r="ASM48" s="37"/>
      <c r="ASN48" s="37"/>
      <c r="ASO48" s="37"/>
      <c r="ASP48" s="37"/>
      <c r="ASQ48" s="37"/>
      <c r="ASR48" s="37"/>
      <c r="ASS48" s="37"/>
      <c r="AST48" s="37"/>
      <c r="ASU48" s="37"/>
      <c r="ASV48" s="37"/>
      <c r="ASW48" s="37"/>
      <c r="ASX48" s="37"/>
      <c r="ASY48" s="37"/>
      <c r="ASZ48" s="37"/>
      <c r="ATA48" s="37"/>
      <c r="ATB48" s="37"/>
      <c r="ATC48" s="37"/>
      <c r="ATD48" s="37"/>
      <c r="ATE48" s="37"/>
      <c r="ATF48" s="37"/>
      <c r="ATG48" s="37"/>
      <c r="ATH48" s="37"/>
      <c r="ATI48" s="37"/>
      <c r="ATJ48" s="37"/>
      <c r="ATK48" s="37"/>
      <c r="ATL48" s="37"/>
      <c r="ATM48" s="37"/>
      <c r="ATN48" s="37"/>
      <c r="ATO48" s="37"/>
      <c r="ATP48" s="37"/>
      <c r="ATQ48" s="37"/>
      <c r="ATR48" s="37"/>
      <c r="ATS48" s="37"/>
      <c r="ATT48" s="37"/>
      <c r="ATU48" s="37"/>
      <c r="ATV48" s="37"/>
      <c r="ATW48" s="37"/>
      <c r="ATX48" s="37"/>
      <c r="ATY48" s="37"/>
      <c r="ATZ48" s="37"/>
      <c r="AUA48" s="37"/>
      <c r="AUB48" s="37"/>
      <c r="AUC48" s="37"/>
      <c r="AUD48" s="37"/>
      <c r="AUE48" s="37"/>
      <c r="AUF48" s="37"/>
      <c r="AUG48" s="37"/>
      <c r="AUH48" s="37"/>
      <c r="AUI48" s="37"/>
      <c r="AUJ48" s="37"/>
      <c r="AUK48" s="37"/>
      <c r="AUL48" s="37"/>
      <c r="AUM48" s="37"/>
      <c r="AUN48" s="37"/>
      <c r="AUO48" s="37"/>
      <c r="AUP48" s="37"/>
      <c r="AUQ48" s="37"/>
      <c r="AUR48" s="37"/>
      <c r="AUS48" s="37"/>
      <c r="AUT48" s="37"/>
      <c r="AUU48" s="37"/>
      <c r="AUV48" s="37"/>
      <c r="AUW48" s="37"/>
      <c r="AUX48" s="37"/>
      <c r="AUY48" s="37"/>
      <c r="AUZ48" s="37"/>
      <c r="AVA48" s="37"/>
      <c r="AVB48" s="37"/>
      <c r="AVC48" s="37"/>
      <c r="AVD48" s="37"/>
      <c r="AVE48" s="37"/>
      <c r="AVF48" s="37"/>
      <c r="AVG48" s="37"/>
      <c r="AVH48" s="37"/>
      <c r="AVI48" s="37"/>
      <c r="AVJ48" s="37"/>
      <c r="AVK48" s="37"/>
      <c r="AVL48" s="37"/>
      <c r="AVM48" s="37"/>
      <c r="AVN48" s="37"/>
      <c r="AVO48" s="37"/>
      <c r="AVP48" s="37"/>
      <c r="AVQ48" s="37"/>
      <c r="AVR48" s="37"/>
      <c r="AVS48" s="37"/>
      <c r="AVT48" s="37"/>
      <c r="AVU48" s="37"/>
      <c r="AVV48" s="37"/>
      <c r="AVW48" s="37"/>
      <c r="AVX48" s="37"/>
      <c r="AVY48" s="37"/>
      <c r="AVZ48" s="37"/>
      <c r="AWA48" s="37"/>
      <c r="AWB48" s="37"/>
      <c r="AWC48" s="37"/>
      <c r="AWD48" s="37"/>
      <c r="AWE48" s="37"/>
      <c r="AWF48" s="37"/>
      <c r="AWG48" s="37"/>
      <c r="AWH48" s="37"/>
      <c r="AWI48" s="37"/>
      <c r="AWJ48" s="37"/>
      <c r="AWK48" s="37"/>
      <c r="AWL48" s="37"/>
      <c r="AWM48" s="37"/>
      <c r="AWN48" s="37"/>
      <c r="AWO48" s="37"/>
      <c r="AWP48" s="37"/>
      <c r="AWQ48" s="37"/>
      <c r="AWR48" s="37"/>
      <c r="AWS48" s="37"/>
      <c r="AWT48" s="37"/>
      <c r="AWU48" s="37"/>
      <c r="AWV48" s="37"/>
      <c r="AWW48" s="37"/>
      <c r="AWX48" s="37"/>
      <c r="AWY48" s="37"/>
      <c r="AWZ48" s="37"/>
      <c r="AXA48" s="37"/>
      <c r="AXB48" s="37"/>
      <c r="AXC48" s="37"/>
      <c r="AXD48" s="37"/>
      <c r="AXE48" s="37"/>
      <c r="AXF48" s="37"/>
      <c r="AXG48" s="37"/>
      <c r="AXH48" s="37"/>
      <c r="AXI48" s="37"/>
      <c r="AXJ48" s="37"/>
      <c r="AXK48" s="37"/>
      <c r="AXL48" s="37"/>
      <c r="AXM48" s="37"/>
      <c r="AXN48" s="37"/>
      <c r="AXO48" s="37"/>
      <c r="AXP48" s="37"/>
      <c r="AXQ48" s="37"/>
      <c r="AXR48" s="37"/>
      <c r="AXS48" s="37"/>
      <c r="AXT48" s="37"/>
      <c r="AXU48" s="37"/>
      <c r="AXV48" s="37"/>
      <c r="AXW48" s="37"/>
      <c r="AXX48" s="37"/>
      <c r="AXY48" s="37"/>
      <c r="AXZ48" s="37"/>
      <c r="AYA48" s="37"/>
      <c r="AYB48" s="37"/>
      <c r="AYC48" s="37"/>
      <c r="AYD48" s="37"/>
      <c r="AYE48" s="37"/>
      <c r="AYF48" s="37"/>
      <c r="AYG48" s="37"/>
      <c r="AYH48" s="37"/>
      <c r="AYI48" s="37"/>
      <c r="AYJ48" s="37"/>
      <c r="AYK48" s="37"/>
      <c r="AYL48" s="37"/>
      <c r="AYM48" s="37"/>
      <c r="AYN48" s="37"/>
      <c r="AYO48" s="37"/>
      <c r="AYP48" s="37"/>
      <c r="AYQ48" s="37"/>
      <c r="AYR48" s="37"/>
      <c r="AYS48" s="37"/>
      <c r="AYT48" s="37"/>
      <c r="AYU48" s="37"/>
      <c r="AYV48" s="37"/>
      <c r="AYW48" s="37"/>
      <c r="AYX48" s="37"/>
      <c r="AYY48" s="37"/>
      <c r="AYZ48" s="37"/>
      <c r="AZA48" s="37"/>
      <c r="AZB48" s="37"/>
      <c r="AZC48" s="37"/>
      <c r="AZD48" s="37"/>
      <c r="AZE48" s="37"/>
      <c r="AZF48" s="37"/>
      <c r="AZG48" s="37"/>
      <c r="AZH48" s="37"/>
      <c r="AZI48" s="37"/>
      <c r="AZJ48" s="37"/>
      <c r="AZK48" s="37"/>
      <c r="AZL48" s="37"/>
      <c r="AZM48" s="37"/>
      <c r="AZN48" s="37"/>
      <c r="AZO48" s="37"/>
      <c r="AZP48" s="37"/>
      <c r="AZQ48" s="37"/>
      <c r="AZR48" s="37"/>
      <c r="AZS48" s="37"/>
      <c r="AZT48" s="37"/>
      <c r="AZU48" s="37"/>
      <c r="AZV48" s="37"/>
      <c r="AZW48" s="37"/>
      <c r="AZX48" s="37"/>
      <c r="AZY48" s="37"/>
      <c r="AZZ48" s="37"/>
      <c r="BAA48" s="37"/>
      <c r="BAB48" s="37"/>
      <c r="BAC48" s="37"/>
      <c r="BAD48" s="37"/>
      <c r="BAE48" s="37"/>
      <c r="BAF48" s="37"/>
      <c r="BAG48" s="37"/>
      <c r="BAH48" s="37"/>
      <c r="BAI48" s="37"/>
      <c r="BAJ48" s="37"/>
      <c r="BAK48" s="37"/>
      <c r="BAL48" s="37"/>
      <c r="BAM48" s="37"/>
      <c r="BAN48" s="37"/>
      <c r="BAO48" s="37"/>
      <c r="BAP48" s="37"/>
      <c r="BAQ48" s="37"/>
      <c r="BAR48" s="37"/>
      <c r="BAS48" s="37"/>
      <c r="BAT48" s="37"/>
      <c r="BAU48" s="37"/>
      <c r="BAV48" s="37"/>
      <c r="BAW48" s="37"/>
      <c r="BAX48" s="37"/>
      <c r="BAY48" s="37"/>
      <c r="BAZ48" s="37"/>
      <c r="BBA48" s="37"/>
      <c r="BBB48" s="37"/>
      <c r="BBC48" s="37"/>
      <c r="BBD48" s="37"/>
      <c r="BBE48" s="37"/>
      <c r="BBF48" s="37"/>
      <c r="BBG48" s="37"/>
      <c r="BBH48" s="37"/>
      <c r="BBI48" s="37"/>
      <c r="BBJ48" s="37"/>
      <c r="BBK48" s="37"/>
      <c r="BBL48" s="37"/>
      <c r="BBM48" s="37"/>
      <c r="BBN48" s="37"/>
      <c r="BBO48" s="37"/>
      <c r="BBP48" s="37"/>
      <c r="BBQ48" s="37"/>
      <c r="BBR48" s="37"/>
      <c r="BBS48" s="37"/>
      <c r="BBT48" s="37"/>
      <c r="BBU48" s="37"/>
      <c r="BBV48" s="37"/>
      <c r="BBW48" s="37"/>
      <c r="BBX48" s="37"/>
      <c r="BBY48" s="37"/>
      <c r="BBZ48" s="37"/>
      <c r="BCA48" s="37"/>
      <c r="BCB48" s="37"/>
      <c r="BCC48" s="37"/>
      <c r="BCD48" s="37"/>
      <c r="BCE48" s="37"/>
      <c r="BCF48" s="37"/>
      <c r="BCG48" s="37"/>
      <c r="BCH48" s="37"/>
      <c r="BCI48" s="37"/>
      <c r="BCJ48" s="37"/>
      <c r="BCK48" s="37"/>
      <c r="BCL48" s="37"/>
      <c r="BCM48" s="37"/>
      <c r="BCN48" s="37"/>
      <c r="BCO48" s="37"/>
      <c r="BCP48" s="37"/>
      <c r="BCQ48" s="37"/>
      <c r="BCR48" s="37"/>
      <c r="BCS48" s="37"/>
      <c r="BCT48" s="37"/>
      <c r="BCU48" s="37"/>
      <c r="BCV48" s="37"/>
      <c r="BCW48" s="37"/>
      <c r="BCX48" s="37"/>
      <c r="BCY48" s="37"/>
      <c r="BCZ48" s="37"/>
      <c r="BDA48" s="37"/>
      <c r="BDB48" s="37"/>
      <c r="BDC48" s="37"/>
      <c r="BDD48" s="37"/>
      <c r="BDE48" s="37"/>
      <c r="BDF48" s="37"/>
      <c r="BDG48" s="37"/>
      <c r="BDH48" s="37"/>
      <c r="BDI48" s="37"/>
      <c r="BDJ48" s="37"/>
      <c r="BDK48" s="37"/>
      <c r="BDL48" s="37"/>
      <c r="BDM48" s="37"/>
      <c r="BDN48" s="37"/>
      <c r="BDO48" s="37"/>
      <c r="BDP48" s="37"/>
      <c r="BDQ48" s="37"/>
      <c r="BDR48" s="37"/>
      <c r="BDS48" s="37"/>
      <c r="BDT48" s="37"/>
      <c r="BDU48" s="37"/>
      <c r="BDV48" s="37"/>
      <c r="BDW48" s="37"/>
      <c r="BDX48" s="37"/>
      <c r="BDY48" s="37"/>
      <c r="BDZ48" s="37"/>
      <c r="BEA48" s="37"/>
      <c r="BEB48" s="37"/>
      <c r="BEC48" s="37"/>
      <c r="BED48" s="37"/>
      <c r="BEE48" s="37"/>
      <c r="BEF48" s="37"/>
      <c r="BEG48" s="37"/>
      <c r="BEH48" s="37"/>
      <c r="BEI48" s="37"/>
      <c r="BEJ48" s="37"/>
      <c r="BEK48" s="37"/>
      <c r="BEL48" s="37"/>
      <c r="BEM48" s="37"/>
      <c r="BEN48" s="37"/>
      <c r="BEO48" s="37"/>
      <c r="BEP48" s="37"/>
      <c r="BEQ48" s="37"/>
      <c r="BER48" s="37"/>
      <c r="BES48" s="37"/>
      <c r="BET48" s="37"/>
      <c r="BEU48" s="37"/>
      <c r="BEV48" s="37"/>
      <c r="BEW48" s="37"/>
      <c r="BEX48" s="37"/>
      <c r="BEY48" s="37"/>
      <c r="BEZ48" s="37"/>
      <c r="BFA48" s="37"/>
      <c r="BFB48" s="37"/>
      <c r="BFC48" s="37"/>
      <c r="BFD48" s="37"/>
      <c r="BFE48" s="37"/>
      <c r="BFF48" s="37"/>
      <c r="BFG48" s="37"/>
      <c r="BFH48" s="37"/>
      <c r="BFI48" s="37"/>
      <c r="BFJ48" s="37"/>
      <c r="BFK48" s="37"/>
      <c r="BFL48" s="37"/>
      <c r="BFM48" s="37"/>
      <c r="BFN48" s="37"/>
      <c r="BFO48" s="37"/>
      <c r="BFP48" s="37"/>
      <c r="BFQ48" s="37"/>
      <c r="BFR48" s="37"/>
      <c r="BFS48" s="37"/>
      <c r="BFT48" s="37"/>
      <c r="BFU48" s="37"/>
      <c r="BFV48" s="37"/>
      <c r="BFW48" s="37"/>
      <c r="BFX48" s="37"/>
      <c r="BFY48" s="37"/>
      <c r="BFZ48" s="37"/>
      <c r="BGA48" s="37"/>
      <c r="BGB48" s="37"/>
      <c r="BGC48" s="37"/>
      <c r="BGD48" s="37"/>
      <c r="BGE48" s="37"/>
      <c r="BGF48" s="37"/>
      <c r="BGG48" s="37"/>
      <c r="BGH48" s="37"/>
      <c r="BGI48" s="37"/>
      <c r="BGJ48" s="37"/>
      <c r="BGK48" s="37"/>
      <c r="BGL48" s="37"/>
      <c r="BGM48" s="37"/>
      <c r="BGN48" s="37"/>
      <c r="BGO48" s="37"/>
      <c r="BGP48" s="37"/>
      <c r="BGQ48" s="37"/>
      <c r="BGR48" s="37"/>
      <c r="BGS48" s="37"/>
      <c r="BGT48" s="37"/>
      <c r="BGU48" s="37"/>
      <c r="BGV48" s="37"/>
      <c r="BGW48" s="37"/>
      <c r="BGX48" s="37"/>
      <c r="BGY48" s="37"/>
      <c r="BGZ48" s="37"/>
      <c r="BHA48" s="37"/>
      <c r="BHB48" s="37"/>
      <c r="BHC48" s="37"/>
      <c r="BHD48" s="37"/>
      <c r="BHE48" s="37"/>
      <c r="BHF48" s="37"/>
      <c r="BHG48" s="37"/>
      <c r="BHH48" s="37"/>
      <c r="BHI48" s="37"/>
      <c r="BHJ48" s="37"/>
      <c r="BHK48" s="37"/>
      <c r="BHL48" s="37"/>
      <c r="BHM48" s="37"/>
      <c r="BHN48" s="37"/>
      <c r="BHO48" s="37"/>
      <c r="BHP48" s="37"/>
      <c r="BHQ48" s="37"/>
      <c r="BHR48" s="37"/>
      <c r="BHS48" s="37"/>
      <c r="BHT48" s="37"/>
      <c r="BHU48" s="37"/>
      <c r="BHV48" s="37"/>
      <c r="BHW48" s="37"/>
      <c r="BHX48" s="37"/>
      <c r="BHY48" s="37"/>
      <c r="BHZ48" s="37"/>
      <c r="BIA48" s="37"/>
      <c r="BIB48" s="37"/>
      <c r="BIC48" s="37"/>
      <c r="BID48" s="37"/>
      <c r="BIE48" s="37"/>
      <c r="BIF48" s="37"/>
      <c r="BIG48" s="37"/>
      <c r="BIH48" s="37"/>
      <c r="BII48" s="37"/>
      <c r="BIJ48" s="37"/>
      <c r="BIK48" s="37"/>
      <c r="BIL48" s="37"/>
      <c r="BIM48" s="37"/>
      <c r="BIN48" s="37"/>
      <c r="BIO48" s="37"/>
      <c r="BIP48" s="37"/>
      <c r="BIQ48" s="37"/>
      <c r="BIR48" s="37"/>
      <c r="BIS48" s="37"/>
      <c r="BIT48" s="37"/>
      <c r="BIU48" s="37"/>
      <c r="BIV48" s="37"/>
      <c r="BIW48" s="37"/>
      <c r="BIX48" s="37"/>
      <c r="BIY48" s="37"/>
      <c r="BIZ48" s="37"/>
      <c r="BJA48" s="37"/>
      <c r="BJB48" s="37"/>
      <c r="BJC48" s="37"/>
      <c r="BJD48" s="37"/>
      <c r="BJE48" s="37"/>
      <c r="BJF48" s="37"/>
      <c r="BJG48" s="37"/>
      <c r="BJH48" s="37"/>
      <c r="BJI48" s="37"/>
      <c r="BJJ48" s="37"/>
      <c r="BJK48" s="37"/>
      <c r="BJL48" s="37"/>
      <c r="BJM48" s="37"/>
      <c r="BJN48" s="37"/>
      <c r="BJO48" s="37"/>
      <c r="BJP48" s="37"/>
      <c r="BJQ48" s="37"/>
      <c r="BJR48" s="37"/>
      <c r="BJS48" s="37"/>
      <c r="BJT48" s="37"/>
      <c r="BJU48" s="37"/>
      <c r="BJV48" s="37"/>
      <c r="BJW48" s="37"/>
      <c r="BJX48" s="37"/>
      <c r="BJY48" s="37"/>
      <c r="BJZ48" s="37"/>
      <c r="BKA48" s="37"/>
      <c r="BKB48" s="37"/>
      <c r="BKC48" s="37"/>
      <c r="BKD48" s="37"/>
      <c r="BKE48" s="37"/>
      <c r="BKF48" s="37"/>
      <c r="BKG48" s="37"/>
      <c r="BKH48" s="37"/>
      <c r="BKI48" s="37"/>
      <c r="BKJ48" s="37"/>
      <c r="BKK48" s="37"/>
      <c r="BKL48" s="37"/>
      <c r="BKM48" s="37"/>
      <c r="BKN48" s="37"/>
      <c r="BKO48" s="37"/>
      <c r="BKP48" s="37"/>
      <c r="BKQ48" s="37"/>
      <c r="BKR48" s="37"/>
      <c r="BKS48" s="37"/>
      <c r="BKT48" s="37"/>
      <c r="BKU48" s="37"/>
      <c r="BKV48" s="37"/>
      <c r="BKW48" s="37"/>
      <c r="BKX48" s="37"/>
      <c r="BKY48" s="37"/>
      <c r="BKZ48" s="37"/>
      <c r="BLA48" s="37"/>
      <c r="BLB48" s="37"/>
      <c r="BLC48" s="37"/>
      <c r="BLD48" s="37"/>
      <c r="BLE48" s="37"/>
      <c r="BLF48" s="37"/>
      <c r="BLG48" s="37"/>
      <c r="BLH48" s="37"/>
      <c r="BLI48" s="37"/>
      <c r="BLJ48" s="37"/>
      <c r="BLK48" s="37"/>
      <c r="BLL48" s="37"/>
      <c r="BLM48" s="37"/>
      <c r="BLN48" s="37"/>
      <c r="BLO48" s="37"/>
      <c r="BLP48" s="37"/>
      <c r="BLQ48" s="37"/>
      <c r="BLR48" s="37"/>
      <c r="BLS48" s="37"/>
      <c r="BLT48" s="37"/>
      <c r="BLU48" s="37"/>
      <c r="BLV48" s="37"/>
      <c r="BLW48" s="37"/>
      <c r="BLX48" s="37"/>
      <c r="BLY48" s="37"/>
      <c r="BLZ48" s="37"/>
      <c r="BMA48" s="37"/>
      <c r="BMB48" s="37"/>
      <c r="BMC48" s="37"/>
      <c r="BMD48" s="37"/>
      <c r="BME48" s="37"/>
      <c r="BMF48" s="37"/>
      <c r="BMG48" s="37"/>
      <c r="BMH48" s="37"/>
      <c r="BMI48" s="37"/>
      <c r="BMJ48" s="37"/>
      <c r="BMK48" s="37"/>
      <c r="BML48" s="37"/>
      <c r="BMM48" s="37"/>
      <c r="BMN48" s="37"/>
      <c r="BMO48" s="37"/>
      <c r="BMP48" s="37"/>
      <c r="BMQ48" s="37"/>
      <c r="BMR48" s="37"/>
      <c r="BMS48" s="37"/>
      <c r="BMT48" s="37"/>
      <c r="BMU48" s="37"/>
      <c r="BMV48" s="37"/>
      <c r="BMW48" s="37"/>
      <c r="BMX48" s="37"/>
      <c r="BMY48" s="37"/>
      <c r="BMZ48" s="37"/>
      <c r="BNA48" s="37"/>
      <c r="BNB48" s="37"/>
      <c r="BNC48" s="37"/>
      <c r="BND48" s="37"/>
      <c r="BNE48" s="37"/>
      <c r="BNF48" s="37"/>
      <c r="BNG48" s="37"/>
      <c r="BNH48" s="37"/>
      <c r="BNI48" s="37"/>
      <c r="BNJ48" s="37"/>
      <c r="BNK48" s="37"/>
      <c r="BNL48" s="37"/>
      <c r="BNM48" s="37"/>
      <c r="BNN48" s="37"/>
      <c r="BNO48" s="37"/>
      <c r="BNP48" s="37"/>
      <c r="BNQ48" s="37"/>
      <c r="BNR48" s="37"/>
      <c r="BNS48" s="37"/>
      <c r="BNT48" s="37"/>
      <c r="BNU48" s="37"/>
      <c r="BNV48" s="37"/>
      <c r="BNW48" s="37"/>
      <c r="BNX48" s="37"/>
      <c r="BNY48" s="37"/>
      <c r="BNZ48" s="37"/>
      <c r="BOA48" s="37"/>
      <c r="BOB48" s="37"/>
      <c r="BOC48" s="37"/>
      <c r="BOD48" s="37"/>
      <c r="BOE48" s="37"/>
      <c r="BOF48" s="37"/>
      <c r="BOG48" s="37"/>
      <c r="BOH48" s="37"/>
      <c r="BOI48" s="37"/>
      <c r="BOJ48" s="37"/>
      <c r="BOK48" s="37"/>
      <c r="BOL48" s="37"/>
      <c r="BOM48" s="37"/>
      <c r="BON48" s="37"/>
      <c r="BOO48" s="37"/>
      <c r="BOP48" s="37"/>
      <c r="BOQ48" s="37"/>
      <c r="BOR48" s="37"/>
      <c r="BOS48" s="37"/>
      <c r="BOT48" s="37"/>
      <c r="BOU48" s="37"/>
      <c r="BOV48" s="37"/>
      <c r="BOW48" s="37"/>
      <c r="BOX48" s="37"/>
      <c r="BOY48" s="37"/>
      <c r="BOZ48" s="37"/>
      <c r="BPA48" s="37"/>
      <c r="BPB48" s="37"/>
      <c r="BPC48" s="37"/>
      <c r="BPD48" s="37"/>
      <c r="BPE48" s="37"/>
      <c r="BPF48" s="37"/>
      <c r="BPG48" s="37"/>
      <c r="BPH48" s="37"/>
      <c r="BPI48" s="37"/>
      <c r="BPJ48" s="37"/>
      <c r="BPK48" s="37"/>
      <c r="BPL48" s="37"/>
      <c r="BPM48" s="37"/>
      <c r="BPN48" s="37"/>
      <c r="BPO48" s="37"/>
      <c r="BPP48" s="37"/>
      <c r="BPQ48" s="37"/>
      <c r="BPR48" s="37"/>
      <c r="BPS48" s="37"/>
      <c r="BPT48" s="37"/>
      <c r="BPU48" s="37"/>
      <c r="BPV48" s="37"/>
      <c r="BPW48" s="37"/>
      <c r="BPX48" s="37"/>
      <c r="BPY48" s="37"/>
      <c r="BPZ48" s="37"/>
      <c r="BQA48" s="37"/>
      <c r="BQB48" s="37"/>
      <c r="BQC48" s="37"/>
      <c r="BQD48" s="37"/>
      <c r="BQE48" s="37"/>
      <c r="BQF48" s="37"/>
      <c r="BQG48" s="37"/>
      <c r="BQH48" s="37"/>
      <c r="BQI48" s="37"/>
      <c r="BQJ48" s="37"/>
      <c r="BQK48" s="37"/>
      <c r="BQL48" s="37"/>
      <c r="BQM48" s="37"/>
      <c r="BQN48" s="37"/>
      <c r="BQO48" s="37"/>
      <c r="BQP48" s="37"/>
      <c r="BQQ48" s="37"/>
      <c r="BQR48" s="37"/>
      <c r="BQS48" s="37"/>
      <c r="BQT48" s="37"/>
      <c r="BQU48" s="37"/>
      <c r="BQV48" s="37"/>
      <c r="BQW48" s="37"/>
      <c r="BQX48" s="37"/>
      <c r="BQY48" s="37"/>
      <c r="BQZ48" s="37"/>
      <c r="BRA48" s="37"/>
      <c r="BRB48" s="37"/>
      <c r="BRC48" s="37"/>
      <c r="BRD48" s="37"/>
      <c r="BRE48" s="37"/>
      <c r="BRF48" s="37"/>
      <c r="BRG48" s="37"/>
      <c r="BRH48" s="37"/>
      <c r="BRI48" s="37"/>
      <c r="BRJ48" s="37"/>
      <c r="BRK48" s="37"/>
      <c r="BRL48" s="37"/>
      <c r="BRM48" s="37"/>
      <c r="BRN48" s="37"/>
      <c r="BRO48" s="37"/>
      <c r="BRP48" s="37"/>
      <c r="BRQ48" s="37"/>
      <c r="BRR48" s="37"/>
      <c r="BRS48" s="37"/>
      <c r="BRT48" s="37"/>
      <c r="BRU48" s="37"/>
      <c r="BRV48" s="37"/>
      <c r="BRW48" s="37"/>
      <c r="BRX48" s="37"/>
      <c r="BRY48" s="37"/>
      <c r="BRZ48" s="37"/>
      <c r="BSA48" s="37"/>
      <c r="BSB48" s="37"/>
      <c r="BSC48" s="37"/>
      <c r="BSD48" s="37"/>
      <c r="BSE48" s="37"/>
      <c r="BSF48" s="37"/>
      <c r="BSG48" s="37"/>
      <c r="BSH48" s="37"/>
      <c r="BSI48" s="37"/>
      <c r="BSJ48" s="37"/>
      <c r="BSK48" s="37"/>
      <c r="BSL48" s="37"/>
      <c r="BSM48" s="37"/>
      <c r="BSN48" s="37"/>
      <c r="BSO48" s="37"/>
      <c r="BSP48" s="37"/>
      <c r="BSQ48" s="37"/>
      <c r="BSR48" s="37"/>
      <c r="BSS48" s="37"/>
      <c r="BST48" s="37"/>
      <c r="BSU48" s="37"/>
      <c r="BSV48" s="37"/>
      <c r="BSW48" s="37"/>
      <c r="BSX48" s="37"/>
      <c r="BSY48" s="37"/>
      <c r="BSZ48" s="37"/>
      <c r="BTA48" s="37"/>
      <c r="BTB48" s="37"/>
      <c r="BTC48" s="37"/>
      <c r="BTD48" s="37"/>
      <c r="BTE48" s="37"/>
      <c r="BTF48" s="37"/>
      <c r="BTG48" s="37"/>
      <c r="BTH48" s="37"/>
      <c r="BTI48" s="37"/>
      <c r="BTJ48" s="37"/>
      <c r="BTK48" s="37"/>
      <c r="BTL48" s="37"/>
      <c r="BTM48" s="37"/>
      <c r="BTN48" s="37"/>
      <c r="BTO48" s="37"/>
      <c r="BTP48" s="37"/>
      <c r="BTQ48" s="37"/>
      <c r="BTR48" s="37"/>
      <c r="BTS48" s="37"/>
      <c r="BTT48" s="37"/>
      <c r="BTU48" s="37"/>
      <c r="BTV48" s="37"/>
      <c r="BTW48" s="37"/>
      <c r="BTX48" s="37"/>
      <c r="BTY48" s="37"/>
      <c r="BTZ48" s="37"/>
      <c r="BUA48" s="37"/>
      <c r="BUB48" s="37"/>
      <c r="BUC48" s="37"/>
      <c r="BUD48" s="37"/>
      <c r="BUE48" s="37"/>
      <c r="BUF48" s="37"/>
      <c r="BUG48" s="37"/>
      <c r="BUH48" s="37"/>
      <c r="BUI48" s="37"/>
      <c r="BUJ48" s="37"/>
      <c r="BUK48" s="37"/>
      <c r="BUL48" s="37"/>
      <c r="BUM48" s="37"/>
      <c r="BUN48" s="37"/>
      <c r="BUO48" s="37"/>
      <c r="BUP48" s="37"/>
      <c r="BUQ48" s="37"/>
      <c r="BUR48" s="37"/>
      <c r="BUS48" s="37"/>
      <c r="BUT48" s="37"/>
      <c r="BUU48" s="37"/>
      <c r="BUV48" s="37"/>
      <c r="BUW48" s="37"/>
      <c r="BUX48" s="37"/>
      <c r="BUY48" s="37"/>
      <c r="BUZ48" s="37"/>
      <c r="BVA48" s="37"/>
      <c r="BVB48" s="37"/>
      <c r="BVC48" s="37"/>
      <c r="BVD48" s="37"/>
      <c r="BVE48" s="37"/>
      <c r="BVF48" s="37"/>
      <c r="BVG48" s="37"/>
      <c r="BVH48" s="37"/>
      <c r="BVI48" s="37"/>
      <c r="BVJ48" s="37"/>
      <c r="BVK48" s="37"/>
      <c r="BVL48" s="37"/>
      <c r="BVM48" s="37"/>
      <c r="BVN48" s="37"/>
      <c r="BVO48" s="37"/>
      <c r="BVP48" s="37"/>
      <c r="BVQ48" s="37"/>
      <c r="BVR48" s="37"/>
      <c r="BVS48" s="37"/>
      <c r="BVT48" s="37"/>
      <c r="BVU48" s="37"/>
      <c r="BVV48" s="37"/>
      <c r="BVW48" s="37"/>
      <c r="BVX48" s="37"/>
      <c r="BVY48" s="37"/>
      <c r="BVZ48" s="37"/>
      <c r="BWA48" s="37"/>
      <c r="BWB48" s="37"/>
      <c r="BWC48" s="37"/>
      <c r="BWD48" s="37"/>
      <c r="BWE48" s="37"/>
      <c r="BWF48" s="37"/>
      <c r="BWG48" s="37"/>
      <c r="BWH48" s="37"/>
      <c r="BWI48" s="37"/>
      <c r="BWJ48" s="37"/>
      <c r="BWK48" s="37"/>
      <c r="BWL48" s="37"/>
      <c r="BWM48" s="37"/>
      <c r="BWN48" s="37"/>
      <c r="BWO48" s="37"/>
      <c r="BWP48" s="37"/>
      <c r="BWQ48" s="37"/>
      <c r="BWR48" s="37"/>
      <c r="BWS48" s="37"/>
      <c r="BWT48" s="37"/>
      <c r="BWU48" s="37"/>
      <c r="BWV48" s="37"/>
      <c r="BWW48" s="37"/>
      <c r="BWX48" s="37"/>
      <c r="BWY48" s="37"/>
      <c r="BWZ48" s="37"/>
      <c r="BXA48" s="37"/>
      <c r="BXB48" s="37"/>
      <c r="BXC48" s="37"/>
      <c r="BXD48" s="37"/>
      <c r="BXE48" s="37"/>
      <c r="BXF48" s="37"/>
      <c r="BXG48" s="37"/>
      <c r="BXH48" s="37"/>
      <c r="BXI48" s="37"/>
      <c r="BXJ48" s="37"/>
      <c r="BXK48" s="37"/>
      <c r="BXL48" s="37"/>
      <c r="BXM48" s="37"/>
      <c r="BXN48" s="37"/>
      <c r="BXO48" s="37"/>
      <c r="BXP48" s="37"/>
      <c r="BXQ48" s="37"/>
      <c r="BXR48" s="37"/>
      <c r="BXS48" s="37"/>
      <c r="BXT48" s="37"/>
      <c r="BXU48" s="37"/>
      <c r="BXV48" s="37"/>
      <c r="BXW48" s="37"/>
      <c r="BXX48" s="37"/>
      <c r="BXY48" s="37"/>
      <c r="BXZ48" s="37"/>
      <c r="BYA48" s="37"/>
      <c r="BYB48" s="37"/>
      <c r="BYC48" s="37"/>
      <c r="BYD48" s="37"/>
      <c r="BYE48" s="37"/>
      <c r="BYF48" s="37"/>
      <c r="BYG48" s="37"/>
      <c r="BYH48" s="37"/>
      <c r="BYI48" s="37"/>
      <c r="BYJ48" s="37"/>
      <c r="BYK48" s="37"/>
      <c r="BYL48" s="37"/>
      <c r="BYM48" s="37"/>
      <c r="BYN48" s="37"/>
      <c r="BYO48" s="37"/>
      <c r="BYP48" s="37"/>
      <c r="BYQ48" s="37"/>
      <c r="BYR48" s="37"/>
      <c r="BYS48" s="37"/>
      <c r="BYT48" s="37"/>
      <c r="BYU48" s="37"/>
      <c r="BYV48" s="37"/>
      <c r="BYW48" s="37"/>
      <c r="BYX48" s="37"/>
      <c r="BYY48" s="37"/>
      <c r="BYZ48" s="37"/>
      <c r="BZA48" s="37"/>
      <c r="BZB48" s="37"/>
      <c r="BZC48" s="37"/>
      <c r="BZD48" s="37"/>
      <c r="BZE48" s="37"/>
      <c r="BZF48" s="37"/>
      <c r="BZG48" s="37"/>
      <c r="BZH48" s="37"/>
      <c r="BZI48" s="37"/>
      <c r="BZJ48" s="37"/>
      <c r="BZK48" s="37"/>
      <c r="BZL48" s="37"/>
      <c r="BZM48" s="37"/>
      <c r="BZN48" s="37"/>
      <c r="BZO48" s="37"/>
      <c r="BZP48" s="37"/>
      <c r="BZQ48" s="37"/>
      <c r="BZR48" s="37"/>
      <c r="BZS48" s="37"/>
      <c r="BZT48" s="37"/>
      <c r="BZU48" s="37"/>
      <c r="BZV48" s="37"/>
      <c r="BZW48" s="37"/>
      <c r="BZX48" s="37"/>
      <c r="BZY48" s="37"/>
      <c r="BZZ48" s="37"/>
      <c r="CAA48" s="37"/>
      <c r="CAB48" s="37"/>
      <c r="CAC48" s="37"/>
      <c r="CAD48" s="37"/>
      <c r="CAE48" s="37"/>
      <c r="CAF48" s="37"/>
      <c r="CAG48" s="37"/>
      <c r="CAH48" s="37"/>
      <c r="CAI48" s="37"/>
      <c r="CAJ48" s="37"/>
      <c r="CAK48" s="37"/>
      <c r="CAL48" s="37"/>
      <c r="CAM48" s="37"/>
      <c r="CAN48" s="37"/>
      <c r="CAO48" s="37"/>
      <c r="CAP48" s="37"/>
      <c r="CAQ48" s="37"/>
      <c r="CAR48" s="37"/>
      <c r="CAS48" s="37"/>
      <c r="CAT48" s="37"/>
      <c r="CAU48" s="37"/>
      <c r="CAV48" s="37"/>
      <c r="CAW48" s="37"/>
      <c r="CAX48" s="37"/>
      <c r="CAY48" s="37"/>
      <c r="CAZ48" s="37"/>
      <c r="CBA48" s="37"/>
      <c r="CBB48" s="37"/>
      <c r="CBC48" s="37"/>
      <c r="CBD48" s="37"/>
      <c r="CBE48" s="37"/>
      <c r="CBF48" s="37"/>
      <c r="CBG48" s="37"/>
      <c r="CBH48" s="37"/>
      <c r="CBI48" s="37"/>
      <c r="CBJ48" s="37"/>
      <c r="CBK48" s="37"/>
      <c r="CBL48" s="37"/>
      <c r="CBM48" s="37"/>
      <c r="CBN48" s="37"/>
      <c r="CBO48" s="37"/>
      <c r="CBP48" s="37"/>
      <c r="CBQ48" s="37"/>
      <c r="CBR48" s="37"/>
      <c r="CBS48" s="37"/>
      <c r="CBT48" s="37"/>
      <c r="CBU48" s="37"/>
      <c r="CBV48" s="37"/>
      <c r="CBW48" s="37"/>
      <c r="CBX48" s="37"/>
      <c r="CBY48" s="37"/>
      <c r="CBZ48" s="37"/>
      <c r="CCA48" s="37"/>
      <c r="CCB48" s="37"/>
      <c r="CCC48" s="37"/>
      <c r="CCD48" s="37"/>
      <c r="CCE48" s="37"/>
      <c r="CCF48" s="37"/>
      <c r="CCG48" s="37"/>
      <c r="CCH48" s="37"/>
      <c r="CCI48" s="37"/>
      <c r="CCJ48" s="37"/>
      <c r="CCK48" s="37"/>
      <c r="CCL48" s="37"/>
      <c r="CCM48" s="37"/>
      <c r="CCN48" s="37"/>
      <c r="CCO48" s="37"/>
      <c r="CCP48" s="37"/>
      <c r="CCQ48" s="37"/>
      <c r="CCR48" s="37"/>
      <c r="CCS48" s="37"/>
      <c r="CCT48" s="37"/>
      <c r="CCU48" s="37"/>
      <c r="CCV48" s="37"/>
      <c r="CCW48" s="37"/>
      <c r="CCX48" s="37"/>
      <c r="CCY48" s="37"/>
      <c r="CCZ48" s="37"/>
      <c r="CDA48" s="37"/>
      <c r="CDB48" s="37"/>
      <c r="CDC48" s="37"/>
      <c r="CDD48" s="37"/>
      <c r="CDE48" s="37"/>
      <c r="CDF48" s="37"/>
      <c r="CDG48" s="37"/>
      <c r="CDH48" s="37"/>
      <c r="CDI48" s="37"/>
      <c r="CDJ48" s="37"/>
      <c r="CDK48" s="37"/>
      <c r="CDL48" s="37"/>
      <c r="CDM48" s="37"/>
      <c r="CDN48" s="37"/>
      <c r="CDO48" s="37"/>
      <c r="CDP48" s="37"/>
      <c r="CDQ48" s="37"/>
      <c r="CDR48" s="37"/>
      <c r="CDS48" s="37"/>
      <c r="CDT48" s="37"/>
      <c r="CDU48" s="37"/>
      <c r="CDV48" s="37"/>
      <c r="CDW48" s="37"/>
      <c r="CDX48" s="37"/>
      <c r="CDY48" s="37"/>
      <c r="CDZ48" s="37"/>
      <c r="CEA48" s="37"/>
      <c r="CEB48" s="37"/>
      <c r="CEC48" s="37"/>
      <c r="CED48" s="37"/>
      <c r="CEE48" s="37"/>
      <c r="CEF48" s="37"/>
      <c r="CEG48" s="37"/>
      <c r="CEH48" s="37"/>
      <c r="CEI48" s="37"/>
      <c r="CEJ48" s="37"/>
      <c r="CEK48" s="37"/>
      <c r="CEL48" s="37"/>
      <c r="CEM48" s="37"/>
      <c r="CEN48" s="37"/>
      <c r="CEO48" s="37"/>
      <c r="CEP48" s="37"/>
      <c r="CEQ48" s="37"/>
      <c r="CER48" s="37"/>
      <c r="CES48" s="37"/>
      <c r="CET48" s="37"/>
      <c r="CEU48" s="37"/>
      <c r="CEV48" s="37"/>
      <c r="CEW48" s="37"/>
      <c r="CEX48" s="37"/>
      <c r="CEY48" s="37"/>
      <c r="CEZ48" s="37"/>
      <c r="CFA48" s="37"/>
      <c r="CFB48" s="37"/>
      <c r="CFC48" s="37"/>
      <c r="CFD48" s="37"/>
      <c r="CFE48" s="37"/>
      <c r="CFF48" s="37"/>
      <c r="CFG48" s="37"/>
      <c r="CFH48" s="37"/>
      <c r="CFI48" s="37"/>
      <c r="CFJ48" s="37"/>
      <c r="CFK48" s="37"/>
      <c r="CFL48" s="37"/>
      <c r="CFM48" s="37"/>
      <c r="CFN48" s="37"/>
      <c r="CFO48" s="37"/>
      <c r="CFP48" s="37"/>
      <c r="CFQ48" s="37"/>
      <c r="CFR48" s="37"/>
      <c r="CFS48" s="37"/>
      <c r="CFT48" s="37"/>
      <c r="CFU48" s="37"/>
      <c r="CFV48" s="37"/>
      <c r="CFW48" s="37"/>
      <c r="CFX48" s="37"/>
      <c r="CFY48" s="37"/>
      <c r="CFZ48" s="37"/>
      <c r="CGA48" s="37"/>
      <c r="CGB48" s="37"/>
      <c r="CGC48" s="37"/>
      <c r="CGD48" s="37"/>
      <c r="CGE48" s="37"/>
      <c r="CGF48" s="37"/>
      <c r="CGG48" s="37"/>
      <c r="CGH48" s="37"/>
      <c r="CGI48" s="37"/>
      <c r="CGJ48" s="37"/>
      <c r="CGK48" s="37"/>
      <c r="CGL48" s="37"/>
      <c r="CGM48" s="37"/>
      <c r="CGN48" s="37"/>
      <c r="CGO48" s="37"/>
      <c r="CGP48" s="37"/>
      <c r="CGQ48" s="37"/>
      <c r="CGR48" s="37"/>
      <c r="CGS48" s="37"/>
      <c r="CGT48" s="37"/>
      <c r="CGU48" s="37"/>
      <c r="CGV48" s="37"/>
      <c r="CGW48" s="37"/>
      <c r="CGX48" s="37"/>
      <c r="CGY48" s="37"/>
      <c r="CGZ48" s="37"/>
      <c r="CHA48" s="37"/>
      <c r="CHB48" s="37"/>
      <c r="CHC48" s="37"/>
      <c r="CHD48" s="37"/>
      <c r="CHE48" s="37"/>
      <c r="CHF48" s="37"/>
      <c r="CHG48" s="37"/>
      <c r="CHH48" s="37"/>
      <c r="CHI48" s="37"/>
      <c r="CHJ48" s="37"/>
      <c r="CHK48" s="37"/>
      <c r="CHL48" s="37"/>
      <c r="CHM48" s="37"/>
      <c r="CHN48" s="37"/>
      <c r="CHO48" s="37"/>
      <c r="CHP48" s="37"/>
      <c r="CHQ48" s="37"/>
      <c r="CHR48" s="37"/>
      <c r="CHS48" s="37"/>
      <c r="CHT48" s="37"/>
      <c r="CHU48" s="37"/>
      <c r="CHV48" s="37"/>
      <c r="CHW48" s="37"/>
      <c r="CHX48" s="37"/>
      <c r="CHY48" s="37"/>
      <c r="CHZ48" s="37"/>
      <c r="CIA48" s="37"/>
      <c r="CIB48" s="37"/>
      <c r="CIC48" s="37"/>
      <c r="CID48" s="37"/>
      <c r="CIE48" s="37"/>
      <c r="CIF48" s="37"/>
      <c r="CIG48" s="37"/>
      <c r="CIH48" s="37"/>
      <c r="CII48" s="37"/>
      <c r="CIJ48" s="37"/>
      <c r="CIK48" s="37"/>
      <c r="CIL48" s="37"/>
      <c r="CIM48" s="37"/>
      <c r="CIN48" s="37"/>
      <c r="CIO48" s="37"/>
      <c r="CIP48" s="37"/>
      <c r="CIQ48" s="37"/>
      <c r="CIR48" s="37"/>
      <c r="CIS48" s="37"/>
      <c r="CIT48" s="37"/>
      <c r="CIU48" s="37"/>
      <c r="CIV48" s="37"/>
      <c r="CIW48" s="37"/>
      <c r="CIX48" s="37"/>
      <c r="CIY48" s="37"/>
      <c r="CIZ48" s="37"/>
      <c r="CJA48" s="37"/>
      <c r="CJB48" s="37"/>
      <c r="CJC48" s="37"/>
      <c r="CJD48" s="37"/>
      <c r="CJE48" s="37"/>
      <c r="CJF48" s="37"/>
      <c r="CJG48" s="37"/>
      <c r="CJH48" s="37"/>
      <c r="CJI48" s="37"/>
      <c r="CJJ48" s="37"/>
      <c r="CJK48" s="37"/>
      <c r="CJL48" s="37"/>
      <c r="CJM48" s="37"/>
      <c r="CJN48" s="37"/>
      <c r="CJO48" s="37"/>
      <c r="CJP48" s="37"/>
      <c r="CJQ48" s="37"/>
      <c r="CJR48" s="37"/>
      <c r="CJS48" s="37"/>
      <c r="CJT48" s="37"/>
      <c r="CJU48" s="37"/>
      <c r="CJV48" s="37"/>
      <c r="CJW48" s="37"/>
      <c r="CJX48" s="37"/>
      <c r="CJY48" s="37"/>
      <c r="CJZ48" s="37"/>
      <c r="CKA48" s="37"/>
      <c r="CKB48" s="37"/>
      <c r="CKC48" s="37"/>
      <c r="CKD48" s="37"/>
      <c r="CKE48" s="37"/>
      <c r="CKF48" s="37"/>
      <c r="CKG48" s="37"/>
      <c r="CKH48" s="37"/>
      <c r="CKI48" s="37"/>
      <c r="CKJ48" s="37"/>
      <c r="CKK48" s="37"/>
      <c r="CKL48" s="37"/>
      <c r="CKM48" s="37"/>
      <c r="CKN48" s="37"/>
      <c r="CKO48" s="37"/>
      <c r="CKP48" s="37"/>
      <c r="CKQ48" s="37"/>
      <c r="CKR48" s="37"/>
      <c r="CKS48" s="37"/>
      <c r="CKT48" s="37"/>
      <c r="CKU48" s="37"/>
      <c r="CKV48" s="37"/>
      <c r="CKW48" s="37"/>
      <c r="CKX48" s="37"/>
      <c r="CKY48" s="37"/>
      <c r="CKZ48" s="37"/>
      <c r="CLA48" s="37"/>
      <c r="CLB48" s="37"/>
      <c r="CLC48" s="37"/>
      <c r="CLD48" s="37"/>
      <c r="CLE48" s="37"/>
      <c r="CLF48" s="37"/>
      <c r="CLG48" s="37"/>
      <c r="CLH48" s="37"/>
      <c r="CLI48" s="37"/>
      <c r="CLJ48" s="37"/>
      <c r="CLK48" s="37"/>
      <c r="CLL48" s="37"/>
      <c r="CLM48" s="37"/>
      <c r="CLN48" s="37"/>
      <c r="CLO48" s="37"/>
      <c r="CLP48" s="37"/>
      <c r="CLQ48" s="37"/>
      <c r="CLR48" s="37"/>
      <c r="CLS48" s="37"/>
      <c r="CLT48" s="37"/>
      <c r="CLU48" s="37"/>
      <c r="CLV48" s="37"/>
      <c r="CLW48" s="37"/>
      <c r="CLX48" s="37"/>
      <c r="CLY48" s="37"/>
      <c r="CLZ48" s="37"/>
      <c r="CMA48" s="37"/>
      <c r="CMB48" s="37"/>
      <c r="CMC48" s="37"/>
      <c r="CMD48" s="37"/>
      <c r="CME48" s="37"/>
      <c r="CMF48" s="37"/>
      <c r="CMG48" s="37"/>
      <c r="CMH48" s="37"/>
      <c r="CMI48" s="37"/>
      <c r="CMJ48" s="37"/>
      <c r="CMK48" s="37"/>
      <c r="CML48" s="37"/>
      <c r="CMM48" s="37"/>
      <c r="CMN48" s="37"/>
      <c r="CMO48" s="37"/>
      <c r="CMP48" s="37"/>
      <c r="CMQ48" s="37"/>
      <c r="CMR48" s="37"/>
      <c r="CMS48" s="37"/>
      <c r="CMT48" s="37"/>
      <c r="CMU48" s="37"/>
      <c r="CMV48" s="37"/>
      <c r="CMW48" s="37"/>
      <c r="CMX48" s="37"/>
      <c r="CMY48" s="37"/>
      <c r="CMZ48" s="37"/>
      <c r="CNA48" s="37"/>
      <c r="CNB48" s="37"/>
      <c r="CNC48" s="37"/>
      <c r="CND48" s="37"/>
      <c r="CNE48" s="37"/>
      <c r="CNF48" s="37"/>
      <c r="CNG48" s="37"/>
      <c r="CNH48" s="37"/>
      <c r="CNI48" s="37"/>
      <c r="CNJ48" s="37"/>
      <c r="CNK48" s="37"/>
      <c r="CNL48" s="37"/>
      <c r="CNM48" s="37"/>
      <c r="CNN48" s="37"/>
      <c r="CNO48" s="37"/>
      <c r="CNP48" s="37"/>
      <c r="CNQ48" s="37"/>
      <c r="CNR48" s="37"/>
      <c r="CNS48" s="37"/>
      <c r="CNT48" s="37"/>
      <c r="CNU48" s="37"/>
      <c r="CNV48" s="37"/>
      <c r="CNW48" s="37"/>
      <c r="CNX48" s="37"/>
      <c r="CNY48" s="37"/>
      <c r="CNZ48" s="37"/>
      <c r="COA48" s="37"/>
      <c r="COB48" s="37"/>
      <c r="COC48" s="37"/>
      <c r="COD48" s="37"/>
      <c r="COE48" s="37"/>
      <c r="COF48" s="37"/>
      <c r="COG48" s="37"/>
      <c r="COH48" s="37"/>
      <c r="COI48" s="37"/>
      <c r="COJ48" s="37"/>
      <c r="COK48" s="37"/>
      <c r="COL48" s="37"/>
      <c r="COM48" s="37"/>
      <c r="CON48" s="37"/>
      <c r="COO48" s="37"/>
      <c r="COP48" s="37"/>
      <c r="COQ48" s="37"/>
      <c r="COR48" s="37"/>
      <c r="COS48" s="37"/>
      <c r="COT48" s="37"/>
      <c r="COU48" s="37"/>
      <c r="COV48" s="37"/>
      <c r="COW48" s="37"/>
      <c r="COX48" s="37"/>
      <c r="COY48" s="37"/>
      <c r="COZ48" s="37"/>
      <c r="CPA48" s="37"/>
      <c r="CPB48" s="37"/>
      <c r="CPC48" s="37"/>
      <c r="CPD48" s="37"/>
      <c r="CPE48" s="37"/>
      <c r="CPF48" s="37"/>
      <c r="CPG48" s="37"/>
      <c r="CPH48" s="37"/>
      <c r="CPI48" s="37"/>
      <c r="CPJ48" s="37"/>
      <c r="CPK48" s="37"/>
      <c r="CPL48" s="37"/>
      <c r="CPM48" s="37"/>
      <c r="CPN48" s="37"/>
      <c r="CPO48" s="37"/>
      <c r="CPP48" s="37"/>
      <c r="CPQ48" s="37"/>
      <c r="CPR48" s="37"/>
      <c r="CPS48" s="37"/>
      <c r="CPT48" s="37"/>
      <c r="CPU48" s="37"/>
      <c r="CPV48" s="37"/>
      <c r="CPW48" s="37"/>
      <c r="CPX48" s="37"/>
      <c r="CPY48" s="37"/>
      <c r="CPZ48" s="37"/>
      <c r="CQA48" s="37"/>
      <c r="CQB48" s="37"/>
      <c r="CQC48" s="37"/>
      <c r="CQD48" s="37"/>
      <c r="CQE48" s="37"/>
      <c r="CQF48" s="37"/>
      <c r="CQG48" s="37"/>
      <c r="CQH48" s="37"/>
      <c r="CQI48" s="37"/>
      <c r="CQJ48" s="37"/>
      <c r="CQK48" s="37"/>
      <c r="CQL48" s="37"/>
      <c r="CQM48" s="37"/>
      <c r="CQN48" s="37"/>
      <c r="CQO48" s="37"/>
      <c r="CQP48" s="37"/>
      <c r="CQQ48" s="37"/>
      <c r="CQR48" s="37"/>
      <c r="CQS48" s="37"/>
      <c r="CQT48" s="37"/>
      <c r="CQU48" s="37"/>
      <c r="CQV48" s="37"/>
      <c r="CQW48" s="37"/>
      <c r="CQX48" s="37"/>
      <c r="CQY48" s="37"/>
      <c r="CQZ48" s="37"/>
      <c r="CRA48" s="37"/>
      <c r="CRB48" s="37"/>
      <c r="CRC48" s="37"/>
      <c r="CRD48" s="37"/>
      <c r="CRE48" s="37"/>
      <c r="CRF48" s="37"/>
      <c r="CRG48" s="37"/>
      <c r="CRH48" s="37"/>
      <c r="CRI48" s="37"/>
      <c r="CRJ48" s="37"/>
      <c r="CRK48" s="37"/>
      <c r="CRL48" s="37"/>
      <c r="CRM48" s="37"/>
      <c r="CRN48" s="37"/>
      <c r="CRO48" s="37"/>
      <c r="CRP48" s="37"/>
      <c r="CRQ48" s="37"/>
      <c r="CRR48" s="37"/>
      <c r="CRS48" s="37"/>
      <c r="CRT48" s="37"/>
      <c r="CRU48" s="37"/>
      <c r="CRV48" s="37"/>
      <c r="CRW48" s="37"/>
      <c r="CRX48" s="37"/>
      <c r="CRY48" s="37"/>
      <c r="CRZ48" s="37"/>
      <c r="CSA48" s="37"/>
      <c r="CSB48" s="37"/>
      <c r="CSC48" s="37"/>
      <c r="CSD48" s="37"/>
      <c r="CSE48" s="37"/>
      <c r="CSF48" s="37"/>
      <c r="CSG48" s="37"/>
      <c r="CSH48" s="37"/>
      <c r="CSI48" s="37"/>
      <c r="CSJ48" s="37"/>
      <c r="CSK48" s="37"/>
      <c r="CSL48" s="37"/>
      <c r="CSM48" s="37"/>
      <c r="CSN48" s="37"/>
      <c r="CSO48" s="37"/>
      <c r="CSP48" s="37"/>
      <c r="CSQ48" s="37"/>
      <c r="CSR48" s="37"/>
      <c r="CSS48" s="37"/>
      <c r="CST48" s="37"/>
      <c r="CSU48" s="37"/>
      <c r="CSV48" s="37"/>
      <c r="CSW48" s="37"/>
      <c r="CSX48" s="37"/>
      <c r="CSY48" s="37"/>
      <c r="CSZ48" s="37"/>
      <c r="CTA48" s="37"/>
      <c r="CTB48" s="37"/>
      <c r="CTC48" s="37"/>
      <c r="CTD48" s="37"/>
      <c r="CTE48" s="37"/>
      <c r="CTF48" s="37"/>
      <c r="CTG48" s="37"/>
      <c r="CTH48" s="37"/>
      <c r="CTI48" s="37"/>
      <c r="CTJ48" s="37"/>
      <c r="CTK48" s="37"/>
      <c r="CTL48" s="37"/>
      <c r="CTM48" s="37"/>
      <c r="CTN48" s="37"/>
      <c r="CTO48" s="37"/>
      <c r="CTP48" s="37"/>
      <c r="CTQ48" s="37"/>
      <c r="CTR48" s="37"/>
      <c r="CTS48" s="37"/>
      <c r="CTT48" s="37"/>
      <c r="CTU48" s="37"/>
      <c r="CTV48" s="37"/>
      <c r="CTW48" s="37"/>
      <c r="CTX48" s="37"/>
      <c r="CTY48" s="37"/>
      <c r="CTZ48" s="37"/>
      <c r="CUA48" s="37"/>
      <c r="CUB48" s="37"/>
      <c r="CUC48" s="37"/>
      <c r="CUD48" s="37"/>
      <c r="CUE48" s="37"/>
      <c r="CUF48" s="37"/>
      <c r="CUG48" s="37"/>
      <c r="CUH48" s="37"/>
      <c r="CUI48" s="37"/>
      <c r="CUJ48" s="37"/>
      <c r="CUK48" s="37"/>
      <c r="CUL48" s="37"/>
      <c r="CUM48" s="37"/>
      <c r="CUN48" s="37"/>
      <c r="CUO48" s="37"/>
      <c r="CUP48" s="37"/>
      <c r="CUQ48" s="37"/>
      <c r="CUR48" s="37"/>
      <c r="CUS48" s="37"/>
      <c r="CUT48" s="37"/>
      <c r="CUU48" s="37"/>
      <c r="CUV48" s="37"/>
      <c r="CUW48" s="37"/>
      <c r="CUX48" s="37"/>
      <c r="CUY48" s="37"/>
      <c r="CUZ48" s="37"/>
      <c r="CVA48" s="37"/>
      <c r="CVB48" s="37"/>
      <c r="CVC48" s="37"/>
      <c r="CVD48" s="37"/>
      <c r="CVE48" s="37"/>
      <c r="CVF48" s="37"/>
      <c r="CVG48" s="37"/>
      <c r="CVH48" s="37"/>
      <c r="CVI48" s="37"/>
      <c r="CVJ48" s="37"/>
      <c r="CVK48" s="37"/>
      <c r="CVL48" s="37"/>
      <c r="CVM48" s="37"/>
      <c r="CVN48" s="37"/>
      <c r="CVO48" s="37"/>
      <c r="CVP48" s="37"/>
      <c r="CVQ48" s="37"/>
      <c r="CVR48" s="37"/>
      <c r="CVS48" s="37"/>
      <c r="CVT48" s="37"/>
      <c r="CVU48" s="37"/>
      <c r="CVV48" s="37"/>
      <c r="CVW48" s="37"/>
      <c r="CVX48" s="37"/>
      <c r="CVY48" s="37"/>
      <c r="CVZ48" s="37"/>
      <c r="CWA48" s="37"/>
      <c r="CWB48" s="37"/>
      <c r="CWC48" s="37"/>
      <c r="CWD48" s="37"/>
      <c r="CWE48" s="37"/>
      <c r="CWF48" s="37"/>
      <c r="CWG48" s="37"/>
      <c r="CWH48" s="37"/>
      <c r="CWI48" s="37"/>
      <c r="CWJ48" s="37"/>
      <c r="CWK48" s="37"/>
      <c r="CWL48" s="37"/>
      <c r="CWM48" s="37"/>
      <c r="CWN48" s="37"/>
      <c r="CWO48" s="37"/>
      <c r="CWP48" s="37"/>
      <c r="CWQ48" s="37"/>
      <c r="CWR48" s="37"/>
      <c r="CWS48" s="37"/>
      <c r="CWT48" s="37"/>
      <c r="CWU48" s="37"/>
      <c r="CWV48" s="37"/>
      <c r="CWW48" s="37"/>
      <c r="CWX48" s="37"/>
      <c r="CWY48" s="37"/>
      <c r="CWZ48" s="37"/>
      <c r="CXA48" s="37"/>
      <c r="CXB48" s="37"/>
      <c r="CXC48" s="37"/>
      <c r="CXD48" s="37"/>
      <c r="CXE48" s="37"/>
      <c r="CXF48" s="37"/>
      <c r="CXG48" s="37"/>
      <c r="CXH48" s="37"/>
      <c r="CXI48" s="37"/>
      <c r="CXJ48" s="37"/>
      <c r="CXK48" s="37"/>
      <c r="CXL48" s="37"/>
      <c r="CXM48" s="37"/>
      <c r="CXN48" s="37"/>
      <c r="CXO48" s="37"/>
      <c r="CXP48" s="37"/>
      <c r="CXQ48" s="37"/>
      <c r="CXR48" s="37"/>
      <c r="CXS48" s="37"/>
      <c r="CXT48" s="37"/>
      <c r="CXU48" s="37"/>
      <c r="CXV48" s="37"/>
      <c r="CXW48" s="37"/>
      <c r="CXX48" s="37"/>
      <c r="CXY48" s="37"/>
      <c r="CXZ48" s="37"/>
      <c r="CYA48" s="37"/>
      <c r="CYB48" s="37"/>
      <c r="CYC48" s="37"/>
      <c r="CYD48" s="37"/>
      <c r="CYE48" s="37"/>
      <c r="CYF48" s="37"/>
      <c r="CYG48" s="37"/>
      <c r="CYH48" s="37"/>
      <c r="CYI48" s="37"/>
      <c r="CYJ48" s="37"/>
      <c r="CYK48" s="37"/>
      <c r="CYL48" s="37"/>
      <c r="CYM48" s="37"/>
      <c r="CYN48" s="37"/>
      <c r="CYO48" s="37"/>
      <c r="CYP48" s="37"/>
      <c r="CYQ48" s="37"/>
      <c r="CYR48" s="37"/>
      <c r="CYS48" s="37"/>
      <c r="CYT48" s="37"/>
      <c r="CYU48" s="37"/>
      <c r="CYV48" s="37"/>
      <c r="CYW48" s="37"/>
      <c r="CYX48" s="37"/>
      <c r="CYY48" s="37"/>
      <c r="CYZ48" s="37"/>
      <c r="CZA48" s="37"/>
      <c r="CZB48" s="37"/>
      <c r="CZC48" s="37"/>
      <c r="CZD48" s="37"/>
      <c r="CZE48" s="37"/>
      <c r="CZF48" s="37"/>
      <c r="CZG48" s="37"/>
      <c r="CZH48" s="37"/>
      <c r="CZI48" s="37"/>
      <c r="CZJ48" s="37"/>
      <c r="CZK48" s="37"/>
      <c r="CZL48" s="37"/>
      <c r="CZM48" s="37"/>
      <c r="CZN48" s="37"/>
      <c r="CZO48" s="37"/>
      <c r="CZP48" s="37"/>
      <c r="CZQ48" s="37"/>
      <c r="CZR48" s="37"/>
      <c r="CZS48" s="37"/>
      <c r="CZT48" s="37"/>
      <c r="CZU48" s="37"/>
      <c r="CZV48" s="37"/>
      <c r="CZW48" s="37"/>
      <c r="CZX48" s="37"/>
      <c r="CZY48" s="37"/>
      <c r="CZZ48" s="37"/>
      <c r="DAA48" s="37"/>
      <c r="DAB48" s="37"/>
      <c r="DAC48" s="37"/>
      <c r="DAD48" s="37"/>
      <c r="DAE48" s="37"/>
      <c r="DAF48" s="37"/>
      <c r="DAG48" s="37"/>
      <c r="DAH48" s="37"/>
      <c r="DAI48" s="37"/>
      <c r="DAJ48" s="37"/>
      <c r="DAK48" s="37"/>
      <c r="DAL48" s="37"/>
      <c r="DAM48" s="37"/>
      <c r="DAN48" s="37"/>
      <c r="DAO48" s="37"/>
      <c r="DAP48" s="37"/>
      <c r="DAQ48" s="37"/>
      <c r="DAR48" s="37"/>
      <c r="DAS48" s="37"/>
      <c r="DAT48" s="37"/>
      <c r="DAU48" s="37"/>
      <c r="DAV48" s="37"/>
      <c r="DAW48" s="37"/>
      <c r="DAX48" s="37"/>
      <c r="DAY48" s="37"/>
      <c r="DAZ48" s="37"/>
      <c r="DBA48" s="37"/>
      <c r="DBB48" s="37"/>
      <c r="DBC48" s="37"/>
      <c r="DBD48" s="37"/>
      <c r="DBE48" s="37"/>
      <c r="DBF48" s="37"/>
      <c r="DBG48" s="37"/>
      <c r="DBH48" s="37"/>
      <c r="DBI48" s="37"/>
      <c r="DBJ48" s="37"/>
      <c r="DBK48" s="37"/>
      <c r="DBL48" s="37"/>
      <c r="DBM48" s="37"/>
      <c r="DBN48" s="37"/>
      <c r="DBO48" s="37"/>
      <c r="DBP48" s="37"/>
      <c r="DBQ48" s="37"/>
      <c r="DBR48" s="37"/>
      <c r="DBS48" s="37"/>
      <c r="DBT48" s="37"/>
      <c r="DBU48" s="37"/>
      <c r="DBV48" s="37"/>
      <c r="DBW48" s="37"/>
      <c r="DBX48" s="37"/>
      <c r="DBY48" s="37"/>
      <c r="DBZ48" s="37"/>
      <c r="DCA48" s="37"/>
      <c r="DCB48" s="37"/>
      <c r="DCC48" s="37"/>
      <c r="DCD48" s="37"/>
      <c r="DCE48" s="37"/>
      <c r="DCF48" s="37"/>
      <c r="DCG48" s="37"/>
      <c r="DCH48" s="37"/>
      <c r="DCI48" s="37"/>
      <c r="DCJ48" s="37"/>
      <c r="DCK48" s="37"/>
      <c r="DCL48" s="37"/>
      <c r="DCM48" s="37"/>
      <c r="DCN48" s="37"/>
      <c r="DCO48" s="37"/>
      <c r="DCP48" s="37"/>
      <c r="DCQ48" s="37"/>
      <c r="DCR48" s="37"/>
      <c r="DCS48" s="37"/>
      <c r="DCT48" s="37"/>
      <c r="DCU48" s="37"/>
      <c r="DCV48" s="37"/>
      <c r="DCW48" s="37"/>
      <c r="DCX48" s="37"/>
      <c r="DCY48" s="37"/>
      <c r="DCZ48" s="37"/>
      <c r="DDA48" s="37"/>
      <c r="DDB48" s="37"/>
      <c r="DDC48" s="37"/>
      <c r="DDD48" s="37"/>
      <c r="DDE48" s="37"/>
      <c r="DDF48" s="37"/>
      <c r="DDG48" s="37"/>
      <c r="DDH48" s="37"/>
      <c r="DDI48" s="37"/>
      <c r="DDJ48" s="37"/>
      <c r="DDK48" s="37"/>
      <c r="DDL48" s="37"/>
      <c r="DDM48" s="37"/>
      <c r="DDN48" s="37"/>
      <c r="DDO48" s="37"/>
      <c r="DDP48" s="37"/>
      <c r="DDQ48" s="37"/>
      <c r="DDR48" s="37"/>
      <c r="DDS48" s="37"/>
      <c r="DDT48" s="37"/>
      <c r="DDU48" s="37"/>
      <c r="DDV48" s="37"/>
      <c r="DDW48" s="37"/>
      <c r="DDX48" s="37"/>
      <c r="DDY48" s="37"/>
      <c r="DDZ48" s="37"/>
      <c r="DEA48" s="37"/>
      <c r="DEB48" s="37"/>
      <c r="DEC48" s="37"/>
      <c r="DED48" s="37"/>
      <c r="DEE48" s="37"/>
      <c r="DEF48" s="37"/>
      <c r="DEG48" s="37"/>
      <c r="DEH48" s="37"/>
      <c r="DEI48" s="37"/>
      <c r="DEJ48" s="37"/>
      <c r="DEK48" s="37"/>
      <c r="DEL48" s="37"/>
      <c r="DEM48" s="37"/>
      <c r="DEN48" s="37"/>
      <c r="DEO48" s="37"/>
      <c r="DEP48" s="37"/>
      <c r="DEQ48" s="37"/>
      <c r="DER48" s="37"/>
      <c r="DES48" s="37"/>
      <c r="DET48" s="37"/>
      <c r="DEU48" s="37"/>
      <c r="DEV48" s="37"/>
      <c r="DEW48" s="37"/>
      <c r="DEX48" s="37"/>
      <c r="DEY48" s="37"/>
      <c r="DEZ48" s="37"/>
      <c r="DFA48" s="37"/>
      <c r="DFB48" s="37"/>
      <c r="DFC48" s="37"/>
      <c r="DFD48" s="37"/>
      <c r="DFE48" s="37"/>
      <c r="DFF48" s="37"/>
      <c r="DFG48" s="37"/>
      <c r="DFH48" s="37"/>
      <c r="DFI48" s="37"/>
      <c r="DFJ48" s="37"/>
      <c r="DFK48" s="37"/>
      <c r="DFL48" s="37"/>
      <c r="DFM48" s="37"/>
      <c r="DFN48" s="37"/>
      <c r="DFO48" s="37"/>
      <c r="DFP48" s="37"/>
      <c r="DFQ48" s="37"/>
      <c r="DFR48" s="37"/>
      <c r="DFS48" s="37"/>
      <c r="DFT48" s="37"/>
      <c r="DFU48" s="37"/>
      <c r="DFV48" s="37"/>
      <c r="DFW48" s="37"/>
      <c r="DFX48" s="37"/>
      <c r="DFY48" s="37"/>
      <c r="DFZ48" s="37"/>
      <c r="DGA48" s="37"/>
      <c r="DGB48" s="37"/>
      <c r="DGC48" s="37"/>
      <c r="DGD48" s="37"/>
      <c r="DGE48" s="37"/>
      <c r="DGF48" s="37"/>
      <c r="DGG48" s="37"/>
      <c r="DGH48" s="37"/>
      <c r="DGI48" s="37"/>
      <c r="DGJ48" s="37"/>
      <c r="DGK48" s="37"/>
      <c r="DGL48" s="37"/>
      <c r="DGM48" s="37"/>
      <c r="DGN48" s="37"/>
      <c r="DGO48" s="37"/>
      <c r="DGP48" s="37"/>
      <c r="DGQ48" s="37"/>
      <c r="DGR48" s="37"/>
      <c r="DGS48" s="37"/>
      <c r="DGT48" s="37"/>
      <c r="DGU48" s="37"/>
      <c r="DGV48" s="37"/>
      <c r="DGW48" s="37"/>
      <c r="DGX48" s="37"/>
      <c r="DGY48" s="37"/>
      <c r="DGZ48" s="37"/>
      <c r="DHA48" s="37"/>
      <c r="DHB48" s="37"/>
      <c r="DHC48" s="37"/>
      <c r="DHD48" s="37"/>
      <c r="DHE48" s="37"/>
      <c r="DHF48" s="37"/>
      <c r="DHG48" s="37"/>
      <c r="DHH48" s="37"/>
      <c r="DHI48" s="37"/>
      <c r="DHJ48" s="37"/>
      <c r="DHK48" s="37"/>
      <c r="DHL48" s="37"/>
      <c r="DHM48" s="37"/>
      <c r="DHN48" s="37"/>
      <c r="DHO48" s="37"/>
      <c r="DHP48" s="37"/>
      <c r="DHQ48" s="37"/>
      <c r="DHR48" s="37"/>
      <c r="DHS48" s="37"/>
      <c r="DHT48" s="37"/>
      <c r="DHU48" s="37"/>
      <c r="DHV48" s="37"/>
      <c r="DHW48" s="37"/>
      <c r="DHX48" s="37"/>
      <c r="DHY48" s="37"/>
      <c r="DHZ48" s="37"/>
      <c r="DIA48" s="37"/>
      <c r="DIB48" s="37"/>
      <c r="DIC48" s="37"/>
      <c r="DID48" s="37"/>
      <c r="DIE48" s="37"/>
      <c r="DIF48" s="37"/>
      <c r="DIG48" s="37"/>
      <c r="DIH48" s="37"/>
      <c r="DII48" s="37"/>
      <c r="DIJ48" s="37"/>
      <c r="DIK48" s="37"/>
      <c r="DIL48" s="37"/>
      <c r="DIM48" s="37"/>
      <c r="DIN48" s="37"/>
      <c r="DIO48" s="37"/>
      <c r="DIP48" s="37"/>
      <c r="DIQ48" s="37"/>
      <c r="DIR48" s="37"/>
      <c r="DIS48" s="37"/>
      <c r="DIT48" s="37"/>
      <c r="DIU48" s="37"/>
      <c r="DIV48" s="37"/>
      <c r="DIW48" s="37"/>
      <c r="DIX48" s="37"/>
      <c r="DIY48" s="37"/>
      <c r="DIZ48" s="37"/>
      <c r="DJA48" s="37"/>
      <c r="DJB48" s="37"/>
      <c r="DJC48" s="37"/>
      <c r="DJD48" s="37"/>
      <c r="DJE48" s="37"/>
      <c r="DJF48" s="37"/>
      <c r="DJG48" s="37"/>
      <c r="DJH48" s="37"/>
      <c r="DJI48" s="37"/>
      <c r="DJJ48" s="37"/>
      <c r="DJK48" s="37"/>
      <c r="DJL48" s="37"/>
      <c r="DJM48" s="37"/>
      <c r="DJN48" s="37"/>
      <c r="DJO48" s="37"/>
      <c r="DJP48" s="37"/>
      <c r="DJQ48" s="37"/>
      <c r="DJR48" s="37"/>
      <c r="DJS48" s="37"/>
      <c r="DJT48" s="37"/>
      <c r="DJU48" s="37"/>
      <c r="DJV48" s="37"/>
      <c r="DJW48" s="37"/>
      <c r="DJX48" s="37"/>
      <c r="DJY48" s="37"/>
      <c r="DJZ48" s="37"/>
      <c r="DKA48" s="37"/>
      <c r="DKB48" s="37"/>
      <c r="DKC48" s="37"/>
      <c r="DKD48" s="37"/>
      <c r="DKE48" s="37"/>
      <c r="DKF48" s="37"/>
      <c r="DKG48" s="37"/>
      <c r="DKH48" s="37"/>
      <c r="DKI48" s="37"/>
      <c r="DKJ48" s="37"/>
      <c r="DKK48" s="37"/>
      <c r="DKL48" s="37"/>
      <c r="DKM48" s="37"/>
      <c r="DKN48" s="37"/>
      <c r="DKO48" s="37"/>
      <c r="DKP48" s="37"/>
      <c r="DKQ48" s="37"/>
      <c r="DKR48" s="37"/>
      <c r="DKS48" s="37"/>
      <c r="DKT48" s="37"/>
      <c r="DKU48" s="37"/>
      <c r="DKV48" s="37"/>
      <c r="DKW48" s="37"/>
      <c r="DKX48" s="37"/>
      <c r="DKY48" s="37"/>
      <c r="DKZ48" s="37"/>
      <c r="DLA48" s="37"/>
      <c r="DLB48" s="37"/>
      <c r="DLC48" s="37"/>
      <c r="DLD48" s="37"/>
      <c r="DLE48" s="37"/>
      <c r="DLF48" s="37"/>
      <c r="DLG48" s="37"/>
      <c r="DLH48" s="37"/>
      <c r="DLI48" s="37"/>
      <c r="DLJ48" s="37"/>
      <c r="DLK48" s="37"/>
      <c r="DLL48" s="37"/>
      <c r="DLM48" s="37"/>
      <c r="DLN48" s="37"/>
      <c r="DLO48" s="37"/>
      <c r="DLP48" s="37"/>
      <c r="DLQ48" s="37"/>
      <c r="DLR48" s="37"/>
      <c r="DLS48" s="37"/>
      <c r="DLT48" s="37"/>
      <c r="DLU48" s="37"/>
      <c r="DLV48" s="37"/>
      <c r="DLW48" s="37"/>
      <c r="DLX48" s="37"/>
      <c r="DLY48" s="37"/>
      <c r="DLZ48" s="37"/>
      <c r="DMA48" s="37"/>
      <c r="DMB48" s="37"/>
      <c r="DMC48" s="37"/>
      <c r="DMD48" s="37"/>
      <c r="DME48" s="37"/>
      <c r="DMF48" s="37"/>
      <c r="DMG48" s="37"/>
      <c r="DMH48" s="37"/>
      <c r="DMI48" s="37"/>
      <c r="DMJ48" s="37"/>
      <c r="DMK48" s="37"/>
      <c r="DML48" s="37"/>
      <c r="DMM48" s="37"/>
      <c r="DMN48" s="37"/>
      <c r="DMO48" s="37"/>
      <c r="DMP48" s="37"/>
      <c r="DMQ48" s="37"/>
      <c r="DMR48" s="37"/>
      <c r="DMS48" s="37"/>
      <c r="DMT48" s="37"/>
      <c r="DMU48" s="37"/>
      <c r="DMV48" s="37"/>
      <c r="DMW48" s="37"/>
      <c r="DMX48" s="37"/>
      <c r="DMY48" s="37"/>
      <c r="DMZ48" s="37"/>
      <c r="DNA48" s="37"/>
      <c r="DNB48" s="37"/>
      <c r="DNC48" s="37"/>
      <c r="DND48" s="37"/>
      <c r="DNE48" s="37"/>
      <c r="DNF48" s="37"/>
      <c r="DNG48" s="37"/>
      <c r="DNH48" s="37"/>
      <c r="DNI48" s="37"/>
      <c r="DNJ48" s="37"/>
      <c r="DNK48" s="37"/>
      <c r="DNL48" s="37"/>
      <c r="DNM48" s="37"/>
      <c r="DNN48" s="37"/>
      <c r="DNO48" s="37"/>
      <c r="DNP48" s="37"/>
      <c r="DNQ48" s="37"/>
      <c r="DNR48" s="37"/>
      <c r="DNS48" s="37"/>
      <c r="DNT48" s="37"/>
      <c r="DNU48" s="37"/>
      <c r="DNV48" s="37"/>
      <c r="DNW48" s="37"/>
      <c r="DNX48" s="37"/>
      <c r="DNY48" s="37"/>
      <c r="DNZ48" s="37"/>
      <c r="DOA48" s="37"/>
      <c r="DOB48" s="37"/>
      <c r="DOC48" s="37"/>
      <c r="DOD48" s="37"/>
      <c r="DOE48" s="37"/>
      <c r="DOF48" s="37"/>
      <c r="DOG48" s="37"/>
      <c r="DOH48" s="37"/>
      <c r="DOI48" s="37"/>
      <c r="DOJ48" s="37"/>
      <c r="DOK48" s="37"/>
      <c r="DOL48" s="37"/>
      <c r="DOM48" s="37"/>
      <c r="DON48" s="37"/>
      <c r="DOO48" s="37"/>
      <c r="DOP48" s="37"/>
      <c r="DOQ48" s="37"/>
      <c r="DOR48" s="37"/>
      <c r="DOS48" s="37"/>
      <c r="DOT48" s="37"/>
      <c r="DOU48" s="37"/>
      <c r="DOV48" s="37"/>
      <c r="DOW48" s="37"/>
      <c r="DOX48" s="37"/>
      <c r="DOY48" s="37"/>
      <c r="DOZ48" s="37"/>
      <c r="DPA48" s="37"/>
      <c r="DPB48" s="37"/>
      <c r="DPC48" s="37"/>
      <c r="DPD48" s="37"/>
      <c r="DPE48" s="37"/>
      <c r="DPF48" s="37"/>
      <c r="DPG48" s="37"/>
      <c r="DPH48" s="37"/>
      <c r="DPI48" s="37"/>
      <c r="DPJ48" s="37"/>
      <c r="DPK48" s="37"/>
      <c r="DPL48" s="37"/>
      <c r="DPM48" s="37"/>
      <c r="DPN48" s="37"/>
      <c r="DPO48" s="37"/>
      <c r="DPP48" s="37"/>
      <c r="DPQ48" s="37"/>
      <c r="DPR48" s="37"/>
      <c r="DPS48" s="37"/>
      <c r="DPT48" s="37"/>
      <c r="DPU48" s="37"/>
      <c r="DPV48" s="37"/>
      <c r="DPW48" s="37"/>
      <c r="DPX48" s="37"/>
      <c r="DPY48" s="37"/>
      <c r="DPZ48" s="37"/>
      <c r="DQA48" s="37"/>
      <c r="DQB48" s="37"/>
      <c r="DQC48" s="37"/>
      <c r="DQD48" s="37"/>
      <c r="DQE48" s="37"/>
      <c r="DQF48" s="37"/>
      <c r="DQG48" s="37"/>
      <c r="DQH48" s="37"/>
      <c r="DQI48" s="37"/>
      <c r="DQJ48" s="37"/>
      <c r="DQK48" s="37"/>
      <c r="DQL48" s="37"/>
      <c r="DQM48" s="37"/>
      <c r="DQN48" s="37"/>
      <c r="DQO48" s="37"/>
      <c r="DQP48" s="37"/>
      <c r="DQQ48" s="37"/>
      <c r="DQR48" s="37"/>
      <c r="DQS48" s="37"/>
      <c r="DQT48" s="37"/>
      <c r="DQU48" s="37"/>
      <c r="DQV48" s="37"/>
      <c r="DQW48" s="37"/>
      <c r="DQX48" s="37"/>
      <c r="DQY48" s="37"/>
      <c r="DQZ48" s="37"/>
      <c r="DRA48" s="37"/>
      <c r="DRB48" s="37"/>
      <c r="DRC48" s="37"/>
      <c r="DRD48" s="37"/>
      <c r="DRE48" s="37"/>
      <c r="DRF48" s="37"/>
      <c r="DRG48" s="37"/>
      <c r="DRH48" s="37"/>
      <c r="DRI48" s="37"/>
      <c r="DRJ48" s="37"/>
      <c r="DRK48" s="37"/>
      <c r="DRL48" s="37"/>
      <c r="DRM48" s="37"/>
      <c r="DRN48" s="37"/>
      <c r="DRO48" s="37"/>
      <c r="DRP48" s="37"/>
      <c r="DRQ48" s="37"/>
      <c r="DRR48" s="37"/>
      <c r="DRS48" s="37"/>
      <c r="DRT48" s="37"/>
      <c r="DRU48" s="37"/>
      <c r="DRV48" s="37"/>
      <c r="DRW48" s="37"/>
      <c r="DRX48" s="37"/>
      <c r="DRY48" s="37"/>
      <c r="DRZ48" s="37"/>
      <c r="DSA48" s="37"/>
      <c r="DSB48" s="37"/>
      <c r="DSC48" s="37"/>
      <c r="DSD48" s="37"/>
      <c r="DSE48" s="37"/>
      <c r="DSF48" s="37"/>
      <c r="DSG48" s="37"/>
      <c r="DSH48" s="37"/>
      <c r="DSI48" s="37"/>
      <c r="DSJ48" s="37"/>
      <c r="DSK48" s="37"/>
      <c r="DSL48" s="37"/>
      <c r="DSM48" s="37"/>
      <c r="DSN48" s="37"/>
      <c r="DSO48" s="37"/>
      <c r="DSP48" s="37"/>
      <c r="DSQ48" s="37"/>
      <c r="DSR48" s="37"/>
      <c r="DSS48" s="37"/>
      <c r="DST48" s="37"/>
      <c r="DSU48" s="37"/>
      <c r="DSV48" s="37"/>
      <c r="DSW48" s="37"/>
      <c r="DSX48" s="37"/>
      <c r="DSY48" s="37"/>
      <c r="DSZ48" s="37"/>
      <c r="DTA48" s="37"/>
      <c r="DTB48" s="37"/>
      <c r="DTC48" s="37"/>
      <c r="DTD48" s="37"/>
      <c r="DTE48" s="37"/>
      <c r="DTF48" s="37"/>
      <c r="DTG48" s="37"/>
      <c r="DTH48" s="37"/>
      <c r="DTI48" s="37"/>
      <c r="DTJ48" s="37"/>
      <c r="DTK48" s="37"/>
      <c r="DTL48" s="37"/>
      <c r="DTM48" s="37"/>
      <c r="DTN48" s="37"/>
      <c r="DTO48" s="37"/>
      <c r="DTP48" s="37"/>
      <c r="DTQ48" s="37"/>
      <c r="DTR48" s="37"/>
      <c r="DTS48" s="37"/>
      <c r="DTT48" s="37"/>
      <c r="DTU48" s="37"/>
      <c r="DTV48" s="37"/>
      <c r="DTW48" s="37"/>
      <c r="DTX48" s="37"/>
      <c r="DTY48" s="37"/>
      <c r="DTZ48" s="37"/>
      <c r="DUA48" s="37"/>
      <c r="DUB48" s="37"/>
      <c r="DUC48" s="37"/>
      <c r="DUD48" s="37"/>
      <c r="DUE48" s="37"/>
      <c r="DUF48" s="37"/>
      <c r="DUG48" s="37"/>
      <c r="DUH48" s="37"/>
      <c r="DUI48" s="37"/>
      <c r="DUJ48" s="37"/>
      <c r="DUK48" s="37"/>
      <c r="DUL48" s="37"/>
      <c r="DUM48" s="37"/>
      <c r="DUN48" s="37"/>
      <c r="DUO48" s="37"/>
      <c r="DUP48" s="37"/>
      <c r="DUQ48" s="37"/>
      <c r="DUR48" s="37"/>
      <c r="DUS48" s="37"/>
      <c r="DUT48" s="37"/>
      <c r="DUU48" s="37"/>
      <c r="DUV48" s="37"/>
      <c r="DUW48" s="37"/>
      <c r="DUX48" s="37"/>
      <c r="DUY48" s="37"/>
      <c r="DUZ48" s="37"/>
      <c r="DVA48" s="37"/>
      <c r="DVB48" s="37"/>
      <c r="DVC48" s="37"/>
      <c r="DVD48" s="37"/>
      <c r="DVE48" s="37"/>
      <c r="DVF48" s="37"/>
      <c r="DVG48" s="37"/>
      <c r="DVH48" s="37"/>
      <c r="DVI48" s="37"/>
      <c r="DVJ48" s="37"/>
      <c r="DVK48" s="37"/>
      <c r="DVL48" s="37"/>
      <c r="DVM48" s="37"/>
      <c r="DVN48" s="37"/>
      <c r="DVO48" s="37"/>
      <c r="DVP48" s="37"/>
      <c r="DVQ48" s="37"/>
      <c r="DVR48" s="37"/>
      <c r="DVS48" s="37"/>
      <c r="DVT48" s="37"/>
      <c r="DVU48" s="37"/>
      <c r="DVV48" s="37"/>
      <c r="DVW48" s="37"/>
      <c r="DVX48" s="37"/>
      <c r="DVY48" s="37"/>
      <c r="DVZ48" s="37"/>
      <c r="DWA48" s="37"/>
      <c r="DWB48" s="37"/>
      <c r="DWC48" s="37"/>
      <c r="DWD48" s="37"/>
      <c r="DWE48" s="37"/>
      <c r="DWF48" s="37"/>
      <c r="DWG48" s="37"/>
      <c r="DWH48" s="37"/>
      <c r="DWI48" s="37"/>
      <c r="DWJ48" s="37"/>
      <c r="DWK48" s="37"/>
      <c r="DWL48" s="37"/>
      <c r="DWM48" s="37"/>
      <c r="DWN48" s="37"/>
      <c r="DWO48" s="37"/>
      <c r="DWP48" s="37"/>
      <c r="DWQ48" s="37"/>
      <c r="DWR48" s="37"/>
      <c r="DWS48" s="37"/>
      <c r="DWT48" s="37"/>
      <c r="DWU48" s="37"/>
      <c r="DWV48" s="37"/>
      <c r="DWW48" s="37"/>
      <c r="DWX48" s="37"/>
      <c r="DWY48" s="37"/>
      <c r="DWZ48" s="37"/>
      <c r="DXA48" s="37"/>
      <c r="DXB48" s="37"/>
      <c r="DXC48" s="37"/>
      <c r="DXD48" s="37"/>
      <c r="DXE48" s="37"/>
      <c r="DXF48" s="37"/>
      <c r="DXG48" s="37"/>
      <c r="DXH48" s="37"/>
      <c r="DXI48" s="37"/>
      <c r="DXJ48" s="37"/>
      <c r="DXK48" s="37"/>
      <c r="DXL48" s="37"/>
      <c r="DXM48" s="37"/>
      <c r="DXN48" s="37"/>
      <c r="DXO48" s="37"/>
      <c r="DXP48" s="37"/>
      <c r="DXQ48" s="37"/>
      <c r="DXR48" s="37"/>
      <c r="DXS48" s="37"/>
      <c r="DXT48" s="37"/>
      <c r="DXU48" s="37"/>
      <c r="DXV48" s="37"/>
      <c r="DXW48" s="37"/>
      <c r="DXX48" s="37"/>
      <c r="DXY48" s="37"/>
      <c r="DXZ48" s="37"/>
      <c r="DYA48" s="37"/>
      <c r="DYB48" s="37"/>
      <c r="DYC48" s="37"/>
      <c r="DYD48" s="37"/>
      <c r="DYE48" s="37"/>
      <c r="DYF48" s="37"/>
      <c r="DYG48" s="37"/>
      <c r="DYH48" s="37"/>
      <c r="DYI48" s="37"/>
      <c r="DYJ48" s="37"/>
      <c r="DYK48" s="37"/>
      <c r="DYL48" s="37"/>
      <c r="DYM48" s="37"/>
      <c r="DYN48" s="37"/>
      <c r="DYO48" s="37"/>
      <c r="DYP48" s="37"/>
      <c r="DYQ48" s="37"/>
      <c r="DYR48" s="37"/>
      <c r="DYS48" s="37"/>
      <c r="DYT48" s="37"/>
      <c r="DYU48" s="37"/>
      <c r="DYV48" s="37"/>
      <c r="DYW48" s="37"/>
      <c r="DYX48" s="37"/>
      <c r="DYY48" s="37"/>
      <c r="DYZ48" s="37"/>
      <c r="DZA48" s="37"/>
      <c r="DZB48" s="37"/>
      <c r="DZC48" s="37"/>
      <c r="DZD48" s="37"/>
      <c r="DZE48" s="37"/>
      <c r="DZF48" s="37"/>
      <c r="DZG48" s="37"/>
      <c r="DZH48" s="37"/>
      <c r="DZI48" s="37"/>
      <c r="DZJ48" s="37"/>
      <c r="DZK48" s="37"/>
      <c r="DZL48" s="37"/>
      <c r="DZM48" s="37"/>
      <c r="DZN48" s="37"/>
      <c r="DZO48" s="37"/>
      <c r="DZP48" s="37"/>
      <c r="DZQ48" s="37"/>
      <c r="DZR48" s="37"/>
      <c r="DZS48" s="37"/>
      <c r="DZT48" s="37"/>
      <c r="DZU48" s="37"/>
      <c r="DZV48" s="37"/>
      <c r="DZW48" s="37"/>
      <c r="DZX48" s="37"/>
      <c r="DZY48" s="37"/>
      <c r="DZZ48" s="37"/>
      <c r="EAA48" s="37"/>
      <c r="EAB48" s="37"/>
      <c r="EAC48" s="37"/>
      <c r="EAD48" s="37"/>
      <c r="EAE48" s="37"/>
      <c r="EAF48" s="37"/>
      <c r="EAG48" s="37"/>
      <c r="EAH48" s="37"/>
      <c r="EAI48" s="37"/>
      <c r="EAJ48" s="37"/>
      <c r="EAK48" s="37"/>
      <c r="EAL48" s="37"/>
      <c r="EAM48" s="37"/>
      <c r="EAN48" s="37"/>
      <c r="EAO48" s="37"/>
      <c r="EAP48" s="37"/>
      <c r="EAQ48" s="37"/>
      <c r="EAR48" s="37"/>
      <c r="EAS48" s="37"/>
      <c r="EAT48" s="37"/>
      <c r="EAU48" s="37"/>
      <c r="EAV48" s="37"/>
      <c r="EAW48" s="37"/>
      <c r="EAX48" s="37"/>
      <c r="EAY48" s="37"/>
      <c r="EAZ48" s="37"/>
      <c r="EBA48" s="37"/>
      <c r="EBB48" s="37"/>
      <c r="EBC48" s="37"/>
      <c r="EBD48" s="37"/>
      <c r="EBE48" s="37"/>
      <c r="EBF48" s="37"/>
      <c r="EBG48" s="37"/>
      <c r="EBH48" s="37"/>
      <c r="EBI48" s="37"/>
      <c r="EBJ48" s="37"/>
      <c r="EBK48" s="37"/>
      <c r="EBL48" s="37"/>
      <c r="EBM48" s="37"/>
      <c r="EBN48" s="37"/>
      <c r="EBO48" s="37"/>
      <c r="EBP48" s="37"/>
      <c r="EBQ48" s="37"/>
      <c r="EBR48" s="37"/>
      <c r="EBS48" s="37"/>
      <c r="EBT48" s="37"/>
      <c r="EBU48" s="37"/>
      <c r="EBV48" s="37"/>
      <c r="EBW48" s="37"/>
      <c r="EBX48" s="37"/>
      <c r="EBY48" s="37"/>
      <c r="EBZ48" s="37"/>
      <c r="ECA48" s="37"/>
      <c r="ECB48" s="37"/>
      <c r="ECC48" s="37"/>
      <c r="ECD48" s="37"/>
      <c r="ECE48" s="37"/>
      <c r="ECF48" s="37"/>
      <c r="ECG48" s="37"/>
      <c r="ECH48" s="37"/>
      <c r="ECI48" s="37"/>
      <c r="ECJ48" s="37"/>
      <c r="ECK48" s="37"/>
      <c r="ECL48" s="37"/>
      <c r="ECM48" s="37"/>
      <c r="ECN48" s="37"/>
      <c r="ECO48" s="37"/>
      <c r="ECP48" s="37"/>
      <c r="ECQ48" s="37"/>
      <c r="ECR48" s="37"/>
      <c r="ECS48" s="37"/>
      <c r="ECT48" s="37"/>
      <c r="ECU48" s="37"/>
      <c r="ECV48" s="37"/>
      <c r="ECW48" s="37"/>
      <c r="ECX48" s="37"/>
      <c r="ECY48" s="37"/>
      <c r="ECZ48" s="37"/>
      <c r="EDA48" s="37"/>
      <c r="EDB48" s="37"/>
      <c r="EDC48" s="37"/>
      <c r="EDD48" s="37"/>
      <c r="EDE48" s="37"/>
      <c r="EDF48" s="37"/>
      <c r="EDG48" s="37"/>
      <c r="EDH48" s="37"/>
      <c r="EDI48" s="37"/>
      <c r="EDJ48" s="37"/>
      <c r="EDK48" s="37"/>
      <c r="EDL48" s="37"/>
      <c r="EDM48" s="37"/>
      <c r="EDN48" s="37"/>
      <c r="EDO48" s="37"/>
      <c r="EDP48" s="37"/>
      <c r="EDQ48" s="37"/>
      <c r="EDR48" s="37"/>
      <c r="EDS48" s="37"/>
      <c r="EDT48" s="37"/>
      <c r="EDU48" s="37"/>
      <c r="EDV48" s="37"/>
      <c r="EDW48" s="37"/>
      <c r="EDX48" s="37"/>
      <c r="EDY48" s="37"/>
      <c r="EDZ48" s="37"/>
      <c r="EEA48" s="37"/>
      <c r="EEB48" s="37"/>
      <c r="EEC48" s="37"/>
      <c r="EED48" s="37"/>
      <c r="EEE48" s="37"/>
      <c r="EEF48" s="37"/>
      <c r="EEG48" s="37"/>
      <c r="EEH48" s="37"/>
      <c r="EEI48" s="37"/>
      <c r="EEJ48" s="37"/>
      <c r="EEK48" s="37"/>
      <c r="EEL48" s="37"/>
      <c r="EEM48" s="37"/>
      <c r="EEN48" s="37"/>
      <c r="EEO48" s="37"/>
      <c r="EEP48" s="37"/>
      <c r="EEQ48" s="37"/>
      <c r="EER48" s="37"/>
      <c r="EES48" s="37"/>
      <c r="EET48" s="37"/>
      <c r="EEU48" s="37"/>
      <c r="EEV48" s="37"/>
      <c r="EEW48" s="37"/>
      <c r="EEX48" s="37"/>
      <c r="EEY48" s="37"/>
      <c r="EEZ48" s="37"/>
      <c r="EFA48" s="37"/>
      <c r="EFB48" s="37"/>
      <c r="EFC48" s="37"/>
      <c r="EFD48" s="37"/>
      <c r="EFE48" s="37"/>
      <c r="EFF48" s="37"/>
      <c r="EFG48" s="37"/>
      <c r="EFH48" s="37"/>
      <c r="EFI48" s="37"/>
      <c r="EFJ48" s="37"/>
      <c r="EFK48" s="37"/>
      <c r="EFL48" s="37"/>
      <c r="EFM48" s="37"/>
      <c r="EFN48" s="37"/>
      <c r="EFO48" s="37"/>
      <c r="EFP48" s="37"/>
      <c r="EFQ48" s="37"/>
      <c r="EFR48" s="37"/>
      <c r="EFS48" s="37"/>
      <c r="EFT48" s="37"/>
      <c r="EFU48" s="37"/>
      <c r="EFV48" s="37"/>
      <c r="EFW48" s="37"/>
      <c r="EFX48" s="37"/>
      <c r="EFY48" s="37"/>
      <c r="EFZ48" s="37"/>
      <c r="EGA48" s="37"/>
      <c r="EGB48" s="37"/>
      <c r="EGC48" s="37"/>
      <c r="EGD48" s="37"/>
      <c r="EGE48" s="37"/>
      <c r="EGF48" s="37"/>
      <c r="EGG48" s="37"/>
      <c r="EGH48" s="37"/>
      <c r="EGI48" s="37"/>
      <c r="EGJ48" s="37"/>
      <c r="EGK48" s="37"/>
      <c r="EGL48" s="37"/>
      <c r="EGM48" s="37"/>
      <c r="EGN48" s="37"/>
      <c r="EGO48" s="37"/>
      <c r="EGP48" s="37"/>
      <c r="EGQ48" s="37"/>
      <c r="EGR48" s="37"/>
      <c r="EGS48" s="37"/>
      <c r="EGT48" s="37"/>
      <c r="EGU48" s="37"/>
      <c r="EGV48" s="37"/>
      <c r="EGW48" s="37"/>
      <c r="EGX48" s="37"/>
      <c r="EGY48" s="37"/>
      <c r="EGZ48" s="37"/>
      <c r="EHA48" s="37"/>
      <c r="EHB48" s="37"/>
      <c r="EHC48" s="37"/>
      <c r="EHD48" s="37"/>
      <c r="EHE48" s="37"/>
      <c r="EHF48" s="37"/>
      <c r="EHG48" s="37"/>
      <c r="EHH48" s="37"/>
      <c r="EHI48" s="37"/>
      <c r="EHJ48" s="37"/>
      <c r="EHK48" s="37"/>
      <c r="EHL48" s="37"/>
      <c r="EHM48" s="37"/>
      <c r="EHN48" s="37"/>
      <c r="EHO48" s="37"/>
      <c r="EHP48" s="37"/>
      <c r="EHQ48" s="37"/>
      <c r="EHR48" s="37"/>
      <c r="EHS48" s="37"/>
      <c r="EHT48" s="37"/>
      <c r="EHU48" s="37"/>
      <c r="EHV48" s="37"/>
      <c r="EHW48" s="37"/>
      <c r="EHX48" s="37"/>
      <c r="EHY48" s="37"/>
      <c r="EHZ48" s="37"/>
      <c r="EIA48" s="37"/>
      <c r="EIB48" s="37"/>
      <c r="EIC48" s="37"/>
      <c r="EID48" s="37"/>
      <c r="EIE48" s="37"/>
      <c r="EIF48" s="37"/>
      <c r="EIG48" s="37"/>
      <c r="EIH48" s="37"/>
      <c r="EII48" s="37"/>
      <c r="EIJ48" s="37"/>
      <c r="EIK48" s="37"/>
      <c r="EIL48" s="37"/>
      <c r="EIM48" s="37"/>
      <c r="EIN48" s="37"/>
      <c r="EIO48" s="37"/>
      <c r="EIP48" s="37"/>
      <c r="EIQ48" s="37"/>
      <c r="EIR48" s="37"/>
      <c r="EIS48" s="37"/>
      <c r="EIT48" s="37"/>
      <c r="EIU48" s="37"/>
      <c r="EIV48" s="37"/>
      <c r="EIW48" s="37"/>
      <c r="EIX48" s="37"/>
      <c r="EIY48" s="37"/>
      <c r="EIZ48" s="37"/>
      <c r="EJA48" s="37"/>
      <c r="EJB48" s="37"/>
      <c r="EJC48" s="37"/>
      <c r="EJD48" s="37"/>
      <c r="EJE48" s="37"/>
      <c r="EJF48" s="37"/>
      <c r="EJG48" s="37"/>
      <c r="EJH48" s="37"/>
      <c r="EJI48" s="37"/>
      <c r="EJJ48" s="37"/>
      <c r="EJK48" s="37"/>
      <c r="EJL48" s="37"/>
      <c r="EJM48" s="37"/>
      <c r="EJN48" s="37"/>
      <c r="EJO48" s="37"/>
      <c r="EJP48" s="37"/>
      <c r="EJQ48" s="37"/>
      <c r="EJR48" s="37"/>
      <c r="EJS48" s="37"/>
      <c r="EJT48" s="37"/>
      <c r="EJU48" s="37"/>
      <c r="EJV48" s="37"/>
      <c r="EJW48" s="37"/>
      <c r="EJX48" s="37"/>
      <c r="EJY48" s="37"/>
      <c r="EJZ48" s="37"/>
      <c r="EKA48" s="37"/>
      <c r="EKB48" s="37"/>
      <c r="EKC48" s="37"/>
      <c r="EKD48" s="37"/>
      <c r="EKE48" s="37"/>
      <c r="EKF48" s="37"/>
      <c r="EKG48" s="37"/>
      <c r="EKH48" s="37"/>
      <c r="EKI48" s="37"/>
      <c r="EKJ48" s="37"/>
      <c r="EKK48" s="37"/>
      <c r="EKL48" s="37"/>
      <c r="EKM48" s="37"/>
      <c r="EKN48" s="37"/>
      <c r="EKO48" s="37"/>
      <c r="EKP48" s="37"/>
      <c r="EKQ48" s="37"/>
      <c r="EKR48" s="37"/>
      <c r="EKS48" s="37"/>
      <c r="EKT48" s="37"/>
      <c r="EKU48" s="37"/>
      <c r="EKV48" s="37"/>
      <c r="EKW48" s="37"/>
      <c r="EKX48" s="37"/>
      <c r="EKY48" s="37"/>
      <c r="EKZ48" s="37"/>
      <c r="ELA48" s="37"/>
      <c r="ELB48" s="37"/>
      <c r="ELC48" s="37"/>
      <c r="ELD48" s="37"/>
      <c r="ELE48" s="37"/>
      <c r="ELF48" s="37"/>
      <c r="ELG48" s="37"/>
      <c r="ELH48" s="37"/>
      <c r="ELI48" s="37"/>
      <c r="ELJ48" s="37"/>
      <c r="ELK48" s="37"/>
      <c r="ELL48" s="37"/>
      <c r="ELM48" s="37"/>
      <c r="ELN48" s="37"/>
      <c r="ELO48" s="37"/>
      <c r="ELP48" s="37"/>
      <c r="ELQ48" s="37"/>
      <c r="ELR48" s="37"/>
      <c r="ELS48" s="37"/>
      <c r="ELT48" s="37"/>
      <c r="ELU48" s="37"/>
      <c r="ELV48" s="37"/>
      <c r="ELW48" s="37"/>
      <c r="ELX48" s="37"/>
      <c r="ELY48" s="37"/>
      <c r="ELZ48" s="37"/>
      <c r="EMA48" s="37"/>
      <c r="EMB48" s="37"/>
      <c r="EMC48" s="37"/>
      <c r="EMD48" s="37"/>
      <c r="EME48" s="37"/>
      <c r="EMF48" s="37"/>
      <c r="EMG48" s="37"/>
      <c r="EMH48" s="37"/>
      <c r="EMI48" s="37"/>
      <c r="EMJ48" s="37"/>
      <c r="EMK48" s="37"/>
      <c r="EML48" s="37"/>
      <c r="EMM48" s="37"/>
      <c r="EMN48" s="37"/>
      <c r="EMO48" s="37"/>
      <c r="EMP48" s="37"/>
      <c r="EMQ48" s="37"/>
      <c r="EMR48" s="37"/>
      <c r="EMS48" s="37"/>
      <c r="EMT48" s="37"/>
      <c r="EMU48" s="37"/>
      <c r="EMV48" s="37"/>
      <c r="EMW48" s="37"/>
      <c r="EMX48" s="37"/>
      <c r="EMY48" s="37"/>
      <c r="EMZ48" s="37"/>
      <c r="ENA48" s="37"/>
      <c r="ENB48" s="37"/>
      <c r="ENC48" s="37"/>
      <c r="END48" s="37"/>
      <c r="ENE48" s="37"/>
      <c r="ENF48" s="37"/>
      <c r="ENG48" s="37"/>
      <c r="ENH48" s="37"/>
      <c r="ENI48" s="37"/>
      <c r="ENJ48" s="37"/>
      <c r="ENK48" s="37"/>
      <c r="ENL48" s="37"/>
      <c r="ENM48" s="37"/>
      <c r="ENN48" s="37"/>
      <c r="ENO48" s="37"/>
      <c r="ENP48" s="37"/>
      <c r="ENQ48" s="37"/>
      <c r="ENR48" s="37"/>
      <c r="ENS48" s="37"/>
      <c r="ENT48" s="37"/>
      <c r="ENU48" s="37"/>
      <c r="ENV48" s="37"/>
      <c r="ENW48" s="37"/>
      <c r="ENX48" s="37"/>
      <c r="ENY48" s="37"/>
      <c r="ENZ48" s="37"/>
      <c r="EOA48" s="37"/>
      <c r="EOB48" s="37"/>
      <c r="EOC48" s="37"/>
      <c r="EOD48" s="37"/>
      <c r="EOE48" s="37"/>
      <c r="EOF48" s="37"/>
      <c r="EOG48" s="37"/>
      <c r="EOH48" s="37"/>
      <c r="EOI48" s="37"/>
      <c r="EOJ48" s="37"/>
      <c r="EOK48" s="37"/>
      <c r="EOL48" s="37"/>
      <c r="EOM48" s="37"/>
      <c r="EON48" s="37"/>
      <c r="EOO48" s="37"/>
      <c r="EOP48" s="37"/>
      <c r="EOQ48" s="37"/>
      <c r="EOR48" s="37"/>
      <c r="EOS48" s="37"/>
      <c r="EOT48" s="37"/>
      <c r="EOU48" s="37"/>
      <c r="EOV48" s="37"/>
      <c r="EOW48" s="37"/>
      <c r="EOX48" s="37"/>
      <c r="EOY48" s="37"/>
      <c r="EOZ48" s="37"/>
      <c r="EPA48" s="37"/>
      <c r="EPB48" s="37"/>
      <c r="EPC48" s="37"/>
      <c r="EPD48" s="37"/>
      <c r="EPE48" s="37"/>
      <c r="EPF48" s="37"/>
      <c r="EPG48" s="37"/>
      <c r="EPH48" s="37"/>
      <c r="EPI48" s="37"/>
      <c r="EPJ48" s="37"/>
      <c r="EPK48" s="37"/>
      <c r="EPL48" s="37"/>
      <c r="EPM48" s="37"/>
      <c r="EPN48" s="37"/>
      <c r="EPO48" s="37"/>
      <c r="EPP48" s="37"/>
      <c r="EPQ48" s="37"/>
      <c r="EPR48" s="37"/>
      <c r="EPS48" s="37"/>
      <c r="EPT48" s="37"/>
      <c r="EPU48" s="37"/>
      <c r="EPV48" s="37"/>
      <c r="EPW48" s="37"/>
      <c r="EPX48" s="37"/>
      <c r="EPY48" s="37"/>
      <c r="EPZ48" s="37"/>
      <c r="EQA48" s="37"/>
      <c r="EQB48" s="37"/>
      <c r="EQC48" s="37"/>
      <c r="EQD48" s="37"/>
      <c r="EQE48" s="37"/>
      <c r="EQF48" s="37"/>
      <c r="EQG48" s="37"/>
      <c r="EQH48" s="37"/>
      <c r="EQI48" s="37"/>
      <c r="EQJ48" s="37"/>
      <c r="EQK48" s="37"/>
      <c r="EQL48" s="37"/>
      <c r="EQM48" s="37"/>
      <c r="EQN48" s="37"/>
      <c r="EQO48" s="37"/>
      <c r="EQP48" s="37"/>
      <c r="EQQ48" s="37"/>
      <c r="EQR48" s="37"/>
      <c r="EQS48" s="37"/>
      <c r="EQT48" s="37"/>
      <c r="EQU48" s="37"/>
      <c r="EQV48" s="37"/>
      <c r="EQW48" s="37"/>
      <c r="EQX48" s="37"/>
      <c r="EQY48" s="37"/>
      <c r="EQZ48" s="37"/>
      <c r="ERA48" s="37"/>
      <c r="ERB48" s="37"/>
      <c r="ERC48" s="37"/>
      <c r="ERD48" s="37"/>
      <c r="ERE48" s="37"/>
      <c r="ERF48" s="37"/>
      <c r="ERG48" s="37"/>
      <c r="ERH48" s="37"/>
      <c r="ERI48" s="37"/>
      <c r="ERJ48" s="37"/>
      <c r="ERK48" s="37"/>
      <c r="ERL48" s="37"/>
      <c r="ERM48" s="37"/>
      <c r="ERN48" s="37"/>
      <c r="ERO48" s="37"/>
      <c r="ERP48" s="37"/>
      <c r="ERQ48" s="37"/>
      <c r="ERR48" s="37"/>
      <c r="ERS48" s="37"/>
      <c r="ERT48" s="37"/>
      <c r="ERU48" s="37"/>
      <c r="ERV48" s="37"/>
      <c r="ERW48" s="37"/>
      <c r="ERX48" s="37"/>
      <c r="ERY48" s="37"/>
      <c r="ERZ48" s="37"/>
      <c r="ESA48" s="37"/>
      <c r="ESB48" s="37"/>
      <c r="ESC48" s="37"/>
      <c r="ESD48" s="37"/>
      <c r="ESE48" s="37"/>
      <c r="ESF48" s="37"/>
      <c r="ESG48" s="37"/>
      <c r="ESH48" s="37"/>
      <c r="ESI48" s="37"/>
      <c r="ESJ48" s="37"/>
      <c r="ESK48" s="37"/>
      <c r="ESL48" s="37"/>
      <c r="ESM48" s="37"/>
      <c r="ESN48" s="37"/>
      <c r="ESO48" s="37"/>
      <c r="ESP48" s="37"/>
      <c r="ESQ48" s="37"/>
      <c r="ESR48" s="37"/>
      <c r="ESS48" s="37"/>
      <c r="EST48" s="37"/>
      <c r="ESU48" s="37"/>
      <c r="ESV48" s="37"/>
      <c r="ESW48" s="37"/>
      <c r="ESX48" s="37"/>
      <c r="ESY48" s="37"/>
      <c r="ESZ48" s="37"/>
      <c r="ETA48" s="37"/>
      <c r="ETB48" s="37"/>
      <c r="ETC48" s="37"/>
      <c r="ETD48" s="37"/>
      <c r="ETE48" s="37"/>
      <c r="ETF48" s="37"/>
      <c r="ETG48" s="37"/>
      <c r="ETH48" s="37"/>
      <c r="ETI48" s="37"/>
      <c r="ETJ48" s="37"/>
      <c r="ETK48" s="37"/>
      <c r="ETL48" s="37"/>
      <c r="ETM48" s="37"/>
      <c r="ETN48" s="37"/>
      <c r="ETO48" s="37"/>
      <c r="ETP48" s="37"/>
      <c r="ETQ48" s="37"/>
      <c r="ETR48" s="37"/>
      <c r="ETS48" s="37"/>
      <c r="ETT48" s="37"/>
      <c r="ETU48" s="37"/>
      <c r="ETV48" s="37"/>
      <c r="ETW48" s="37"/>
      <c r="ETX48" s="37"/>
      <c r="ETY48" s="37"/>
      <c r="ETZ48" s="37"/>
      <c r="EUA48" s="37"/>
      <c r="EUB48" s="37"/>
      <c r="EUC48" s="37"/>
      <c r="EUD48" s="37"/>
      <c r="EUE48" s="37"/>
      <c r="EUF48" s="37"/>
      <c r="EUG48" s="37"/>
      <c r="EUH48" s="37"/>
      <c r="EUI48" s="37"/>
      <c r="EUJ48" s="37"/>
      <c r="EUK48" s="37"/>
      <c r="EUL48" s="37"/>
      <c r="EUM48" s="37"/>
      <c r="EUN48" s="37"/>
      <c r="EUO48" s="37"/>
      <c r="EUP48" s="37"/>
      <c r="EUQ48" s="37"/>
      <c r="EUR48" s="37"/>
      <c r="EUS48" s="37"/>
      <c r="EUT48" s="37"/>
      <c r="EUU48" s="37"/>
      <c r="EUV48" s="37"/>
      <c r="EUW48" s="37"/>
      <c r="EUX48" s="37"/>
      <c r="EUY48" s="37"/>
      <c r="EUZ48" s="37"/>
      <c r="EVA48" s="37"/>
      <c r="EVB48" s="37"/>
      <c r="EVC48" s="37"/>
      <c r="EVD48" s="37"/>
      <c r="EVE48" s="37"/>
      <c r="EVF48" s="37"/>
      <c r="EVG48" s="37"/>
      <c r="EVH48" s="37"/>
      <c r="EVI48" s="37"/>
      <c r="EVJ48" s="37"/>
      <c r="EVK48" s="37"/>
      <c r="EVL48" s="37"/>
      <c r="EVM48" s="37"/>
      <c r="EVN48" s="37"/>
      <c r="EVO48" s="37"/>
      <c r="EVP48" s="37"/>
      <c r="EVQ48" s="37"/>
      <c r="EVR48" s="37"/>
      <c r="EVS48" s="37"/>
      <c r="EVT48" s="37"/>
      <c r="EVU48" s="37"/>
      <c r="EVV48" s="37"/>
      <c r="EVW48" s="37"/>
      <c r="EVX48" s="37"/>
      <c r="EVY48" s="37"/>
      <c r="EVZ48" s="37"/>
      <c r="EWA48" s="37"/>
      <c r="EWB48" s="37"/>
      <c r="EWC48" s="37"/>
      <c r="EWD48" s="37"/>
      <c r="EWE48" s="37"/>
      <c r="EWF48" s="37"/>
      <c r="EWG48" s="37"/>
      <c r="EWH48" s="37"/>
      <c r="EWI48" s="37"/>
      <c r="EWJ48" s="37"/>
      <c r="EWK48" s="37"/>
      <c r="EWL48" s="37"/>
      <c r="EWM48" s="37"/>
      <c r="EWN48" s="37"/>
      <c r="EWO48" s="37"/>
      <c r="EWP48" s="37"/>
      <c r="EWQ48" s="37"/>
      <c r="EWR48" s="37"/>
      <c r="EWS48" s="37"/>
      <c r="EWT48" s="37"/>
      <c r="EWU48" s="37"/>
      <c r="EWV48" s="37"/>
      <c r="EWW48" s="37"/>
      <c r="EWX48" s="37"/>
      <c r="EWY48" s="37"/>
      <c r="EWZ48" s="37"/>
      <c r="EXA48" s="37"/>
      <c r="EXB48" s="37"/>
      <c r="EXC48" s="37"/>
      <c r="EXD48" s="37"/>
      <c r="EXE48" s="37"/>
      <c r="EXF48" s="37"/>
      <c r="EXG48" s="37"/>
      <c r="EXH48" s="37"/>
      <c r="EXI48" s="37"/>
      <c r="EXJ48" s="37"/>
      <c r="EXK48" s="37"/>
      <c r="EXL48" s="37"/>
      <c r="EXM48" s="37"/>
      <c r="EXN48" s="37"/>
      <c r="EXO48" s="37"/>
      <c r="EXP48" s="37"/>
      <c r="EXQ48" s="37"/>
      <c r="EXR48" s="37"/>
      <c r="EXS48" s="37"/>
      <c r="EXT48" s="37"/>
      <c r="EXU48" s="37"/>
      <c r="EXV48" s="37"/>
      <c r="EXW48" s="37"/>
      <c r="EXX48" s="37"/>
      <c r="EXY48" s="37"/>
      <c r="EXZ48" s="37"/>
      <c r="EYA48" s="37"/>
      <c r="EYB48" s="37"/>
      <c r="EYC48" s="37"/>
      <c r="EYD48" s="37"/>
      <c r="EYE48" s="37"/>
      <c r="EYF48" s="37"/>
      <c r="EYG48" s="37"/>
      <c r="EYH48" s="37"/>
      <c r="EYI48" s="37"/>
      <c r="EYJ48" s="37"/>
      <c r="EYK48" s="37"/>
      <c r="EYL48" s="37"/>
      <c r="EYM48" s="37"/>
      <c r="EYN48" s="37"/>
      <c r="EYO48" s="37"/>
      <c r="EYP48" s="37"/>
      <c r="EYQ48" s="37"/>
      <c r="EYR48" s="37"/>
      <c r="EYS48" s="37"/>
      <c r="EYT48" s="37"/>
      <c r="EYU48" s="37"/>
      <c r="EYV48" s="37"/>
      <c r="EYW48" s="37"/>
      <c r="EYX48" s="37"/>
      <c r="EYY48" s="37"/>
      <c r="EYZ48" s="37"/>
      <c r="EZA48" s="37"/>
      <c r="EZB48" s="37"/>
      <c r="EZC48" s="37"/>
      <c r="EZD48" s="37"/>
      <c r="EZE48" s="37"/>
      <c r="EZF48" s="37"/>
      <c r="EZG48" s="37"/>
      <c r="EZH48" s="37"/>
      <c r="EZI48" s="37"/>
      <c r="EZJ48" s="37"/>
      <c r="EZK48" s="37"/>
      <c r="EZL48" s="37"/>
      <c r="EZM48" s="37"/>
      <c r="EZN48" s="37"/>
      <c r="EZO48" s="37"/>
      <c r="EZP48" s="37"/>
      <c r="EZQ48" s="37"/>
      <c r="EZR48" s="37"/>
      <c r="EZS48" s="37"/>
      <c r="EZT48" s="37"/>
      <c r="EZU48" s="37"/>
      <c r="EZV48" s="37"/>
      <c r="EZW48" s="37"/>
      <c r="EZX48" s="37"/>
      <c r="EZY48" s="37"/>
      <c r="EZZ48" s="37"/>
      <c r="FAA48" s="37"/>
      <c r="FAB48" s="37"/>
      <c r="FAC48" s="37"/>
      <c r="FAD48" s="37"/>
      <c r="FAE48" s="37"/>
      <c r="FAF48" s="37"/>
      <c r="FAG48" s="37"/>
      <c r="FAH48" s="37"/>
      <c r="FAI48" s="37"/>
      <c r="FAJ48" s="37"/>
      <c r="FAK48" s="37"/>
      <c r="FAL48" s="37"/>
      <c r="FAM48" s="37"/>
      <c r="FAN48" s="37"/>
      <c r="FAO48" s="37"/>
      <c r="FAP48" s="37"/>
      <c r="FAQ48" s="37"/>
      <c r="FAR48" s="37"/>
      <c r="FAS48" s="37"/>
      <c r="FAT48" s="37"/>
      <c r="FAU48" s="37"/>
      <c r="FAV48" s="37"/>
      <c r="FAW48" s="37"/>
      <c r="FAX48" s="37"/>
      <c r="FAY48" s="37"/>
      <c r="FAZ48" s="37"/>
      <c r="FBA48" s="37"/>
      <c r="FBB48" s="37"/>
      <c r="FBC48" s="37"/>
      <c r="FBD48" s="37"/>
      <c r="FBE48" s="37"/>
      <c r="FBF48" s="37"/>
      <c r="FBG48" s="37"/>
      <c r="FBH48" s="37"/>
      <c r="FBI48" s="37"/>
      <c r="FBJ48" s="37"/>
      <c r="FBK48" s="37"/>
      <c r="FBL48" s="37"/>
      <c r="FBM48" s="37"/>
      <c r="FBN48" s="37"/>
      <c r="FBO48" s="37"/>
      <c r="FBP48" s="37"/>
      <c r="FBQ48" s="37"/>
      <c r="FBR48" s="37"/>
      <c r="FBS48" s="37"/>
      <c r="FBT48" s="37"/>
      <c r="FBU48" s="37"/>
      <c r="FBV48" s="37"/>
      <c r="FBW48" s="37"/>
      <c r="FBX48" s="37"/>
      <c r="FBY48" s="37"/>
      <c r="FBZ48" s="37"/>
      <c r="FCA48" s="37"/>
      <c r="FCB48" s="37"/>
      <c r="FCC48" s="37"/>
      <c r="FCD48" s="37"/>
      <c r="FCE48" s="37"/>
      <c r="FCF48" s="37"/>
      <c r="FCG48" s="37"/>
      <c r="FCH48" s="37"/>
      <c r="FCI48" s="37"/>
      <c r="FCJ48" s="37"/>
      <c r="FCK48" s="37"/>
      <c r="FCL48" s="37"/>
      <c r="FCM48" s="37"/>
      <c r="FCN48" s="37"/>
      <c r="FCO48" s="37"/>
      <c r="FCP48" s="37"/>
      <c r="FCQ48" s="37"/>
      <c r="FCR48" s="37"/>
      <c r="FCS48" s="37"/>
      <c r="FCT48" s="37"/>
      <c r="FCU48" s="37"/>
      <c r="FCV48" s="37"/>
      <c r="FCW48" s="37"/>
      <c r="FCX48" s="37"/>
      <c r="FCY48" s="37"/>
      <c r="FCZ48" s="37"/>
      <c r="FDA48" s="37"/>
      <c r="FDB48" s="37"/>
      <c r="FDC48" s="37"/>
      <c r="FDD48" s="37"/>
      <c r="FDE48" s="37"/>
      <c r="FDF48" s="37"/>
      <c r="FDG48" s="37"/>
      <c r="FDH48" s="37"/>
      <c r="FDI48" s="37"/>
      <c r="FDJ48" s="37"/>
      <c r="FDK48" s="37"/>
      <c r="FDL48" s="37"/>
      <c r="FDM48" s="37"/>
      <c r="FDN48" s="37"/>
      <c r="FDO48" s="37"/>
      <c r="FDP48" s="37"/>
      <c r="FDQ48" s="37"/>
      <c r="FDR48" s="37"/>
      <c r="FDS48" s="37"/>
      <c r="FDT48" s="37"/>
      <c r="FDU48" s="37"/>
      <c r="FDV48" s="37"/>
      <c r="FDW48" s="37"/>
      <c r="FDX48" s="37"/>
      <c r="FDY48" s="37"/>
      <c r="FDZ48" s="37"/>
      <c r="FEA48" s="37"/>
      <c r="FEB48" s="37"/>
      <c r="FEC48" s="37"/>
      <c r="FED48" s="37"/>
      <c r="FEE48" s="37"/>
      <c r="FEF48" s="37"/>
      <c r="FEG48" s="37"/>
      <c r="FEH48" s="37"/>
      <c r="FEI48" s="37"/>
      <c r="FEJ48" s="37"/>
      <c r="FEK48" s="37"/>
      <c r="FEL48" s="37"/>
      <c r="FEM48" s="37"/>
      <c r="FEN48" s="37"/>
      <c r="FEO48" s="37"/>
      <c r="FEP48" s="37"/>
      <c r="FEQ48" s="37"/>
      <c r="FER48" s="37"/>
      <c r="FES48" s="37"/>
      <c r="FET48" s="37"/>
      <c r="FEU48" s="37"/>
      <c r="FEV48" s="37"/>
      <c r="FEW48" s="37"/>
      <c r="FEX48" s="37"/>
      <c r="FEY48" s="37"/>
      <c r="FEZ48" s="37"/>
      <c r="FFA48" s="37"/>
      <c r="FFB48" s="37"/>
      <c r="FFC48" s="37"/>
      <c r="FFD48" s="37"/>
      <c r="FFE48" s="37"/>
      <c r="FFF48" s="37"/>
      <c r="FFG48" s="37"/>
      <c r="FFH48" s="37"/>
      <c r="FFI48" s="37"/>
      <c r="FFJ48" s="37"/>
      <c r="FFK48" s="37"/>
      <c r="FFL48" s="37"/>
      <c r="FFM48" s="37"/>
      <c r="FFN48" s="37"/>
      <c r="FFO48" s="37"/>
      <c r="FFP48" s="37"/>
      <c r="FFQ48" s="37"/>
      <c r="FFR48" s="37"/>
      <c r="FFS48" s="37"/>
      <c r="FFT48" s="37"/>
      <c r="FFU48" s="37"/>
      <c r="FFV48" s="37"/>
      <c r="FFW48" s="37"/>
      <c r="FFX48" s="37"/>
      <c r="FFY48" s="37"/>
      <c r="FFZ48" s="37"/>
      <c r="FGA48" s="37"/>
      <c r="FGB48" s="37"/>
      <c r="FGC48" s="37"/>
      <c r="FGD48" s="37"/>
      <c r="FGE48" s="37"/>
      <c r="FGF48" s="37"/>
      <c r="FGG48" s="37"/>
      <c r="FGH48" s="37"/>
      <c r="FGI48" s="37"/>
      <c r="FGJ48" s="37"/>
      <c r="FGK48" s="37"/>
      <c r="FGL48" s="37"/>
      <c r="FGM48" s="37"/>
      <c r="FGN48" s="37"/>
      <c r="FGO48" s="37"/>
      <c r="FGP48" s="37"/>
      <c r="FGQ48" s="37"/>
      <c r="FGR48" s="37"/>
      <c r="FGS48" s="37"/>
      <c r="FGT48" s="37"/>
      <c r="FGU48" s="37"/>
      <c r="FGV48" s="37"/>
      <c r="FGW48" s="37"/>
      <c r="FGX48" s="37"/>
      <c r="FGY48" s="37"/>
      <c r="FGZ48" s="37"/>
      <c r="FHA48" s="37"/>
      <c r="FHB48" s="37"/>
      <c r="FHC48" s="37"/>
      <c r="FHD48" s="37"/>
      <c r="FHE48" s="37"/>
      <c r="FHF48" s="37"/>
      <c r="FHG48" s="37"/>
      <c r="FHH48" s="37"/>
      <c r="FHI48" s="37"/>
      <c r="FHJ48" s="37"/>
      <c r="FHK48" s="37"/>
      <c r="FHL48" s="37"/>
      <c r="FHM48" s="37"/>
      <c r="FHN48" s="37"/>
      <c r="FHO48" s="37"/>
      <c r="FHP48" s="37"/>
      <c r="FHQ48" s="37"/>
      <c r="FHR48" s="37"/>
      <c r="FHS48" s="37"/>
      <c r="FHT48" s="37"/>
      <c r="FHU48" s="37"/>
      <c r="FHV48" s="37"/>
      <c r="FHW48" s="37"/>
      <c r="FHX48" s="37"/>
      <c r="FHY48" s="37"/>
      <c r="FHZ48" s="37"/>
      <c r="FIA48" s="37"/>
      <c r="FIB48" s="37"/>
      <c r="FIC48" s="37"/>
      <c r="FID48" s="37"/>
      <c r="FIE48" s="37"/>
      <c r="FIF48" s="37"/>
      <c r="FIG48" s="37"/>
      <c r="FIH48" s="37"/>
      <c r="FII48" s="37"/>
      <c r="FIJ48" s="37"/>
      <c r="FIK48" s="37"/>
      <c r="FIL48" s="37"/>
      <c r="FIM48" s="37"/>
      <c r="FIN48" s="37"/>
      <c r="FIO48" s="37"/>
      <c r="FIP48" s="37"/>
      <c r="FIQ48" s="37"/>
      <c r="FIR48" s="37"/>
      <c r="FIS48" s="37"/>
      <c r="FIT48" s="37"/>
      <c r="FIU48" s="37"/>
      <c r="FIV48" s="37"/>
      <c r="FIW48" s="37"/>
      <c r="FIX48" s="37"/>
      <c r="FIY48" s="37"/>
      <c r="FIZ48" s="37"/>
      <c r="FJA48" s="37"/>
      <c r="FJB48" s="37"/>
      <c r="FJC48" s="37"/>
      <c r="FJD48" s="37"/>
      <c r="FJE48" s="37"/>
      <c r="FJF48" s="37"/>
      <c r="FJG48" s="37"/>
      <c r="FJH48" s="37"/>
      <c r="FJI48" s="37"/>
      <c r="FJJ48" s="37"/>
      <c r="FJK48" s="37"/>
      <c r="FJL48" s="37"/>
      <c r="FJM48" s="37"/>
      <c r="FJN48" s="37"/>
      <c r="FJO48" s="37"/>
      <c r="FJP48" s="37"/>
      <c r="FJQ48" s="37"/>
      <c r="FJR48" s="37"/>
      <c r="FJS48" s="37"/>
      <c r="FJT48" s="37"/>
      <c r="FJU48" s="37"/>
      <c r="FJV48" s="37"/>
      <c r="FJW48" s="37"/>
      <c r="FJX48" s="37"/>
      <c r="FJY48" s="37"/>
      <c r="FJZ48" s="37"/>
      <c r="FKA48" s="37"/>
      <c r="FKB48" s="37"/>
      <c r="FKC48" s="37"/>
      <c r="FKD48" s="37"/>
      <c r="FKE48" s="37"/>
      <c r="FKF48" s="37"/>
      <c r="FKG48" s="37"/>
      <c r="FKH48" s="37"/>
      <c r="FKI48" s="37"/>
      <c r="FKJ48" s="37"/>
      <c r="FKK48" s="37"/>
      <c r="FKL48" s="37"/>
      <c r="FKM48" s="37"/>
      <c r="FKN48" s="37"/>
      <c r="FKO48" s="37"/>
      <c r="FKP48" s="37"/>
      <c r="FKQ48" s="37"/>
      <c r="FKR48" s="37"/>
      <c r="FKS48" s="37"/>
      <c r="FKT48" s="37"/>
      <c r="FKU48" s="37"/>
      <c r="FKV48" s="37"/>
      <c r="FKW48" s="37"/>
      <c r="FKX48" s="37"/>
      <c r="FKY48" s="37"/>
      <c r="FKZ48" s="37"/>
      <c r="FLA48" s="37"/>
      <c r="FLB48" s="37"/>
      <c r="FLC48" s="37"/>
      <c r="FLD48" s="37"/>
      <c r="FLE48" s="37"/>
      <c r="FLF48" s="37"/>
      <c r="FLG48" s="37"/>
      <c r="FLH48" s="37"/>
      <c r="FLI48" s="37"/>
      <c r="FLJ48" s="37"/>
      <c r="FLK48" s="37"/>
      <c r="FLL48" s="37"/>
      <c r="FLM48" s="37"/>
      <c r="FLN48" s="37"/>
      <c r="FLO48" s="37"/>
      <c r="FLP48" s="37"/>
      <c r="FLQ48" s="37"/>
      <c r="FLR48" s="37"/>
      <c r="FLS48" s="37"/>
      <c r="FLT48" s="37"/>
      <c r="FLU48" s="37"/>
      <c r="FLV48" s="37"/>
      <c r="FLW48" s="37"/>
      <c r="FLX48" s="37"/>
      <c r="FLY48" s="37"/>
      <c r="FLZ48" s="37"/>
      <c r="FMA48" s="37"/>
      <c r="FMB48" s="37"/>
      <c r="FMC48" s="37"/>
      <c r="FMD48" s="37"/>
      <c r="FME48" s="37"/>
      <c r="FMF48" s="37"/>
      <c r="FMG48" s="37"/>
      <c r="FMH48" s="37"/>
      <c r="FMI48" s="37"/>
      <c r="FMJ48" s="37"/>
      <c r="FMK48" s="37"/>
      <c r="FML48" s="37"/>
      <c r="FMM48" s="37"/>
      <c r="FMN48" s="37"/>
      <c r="FMO48" s="37"/>
      <c r="FMP48" s="37"/>
      <c r="FMQ48" s="37"/>
      <c r="FMR48" s="37"/>
      <c r="FMS48" s="37"/>
      <c r="FMT48" s="37"/>
      <c r="FMU48" s="37"/>
      <c r="FMV48" s="37"/>
      <c r="FMW48" s="37"/>
      <c r="FMX48" s="37"/>
      <c r="FMY48" s="37"/>
      <c r="FMZ48" s="37"/>
      <c r="FNA48" s="37"/>
      <c r="FNB48" s="37"/>
      <c r="FNC48" s="37"/>
      <c r="FND48" s="37"/>
      <c r="FNE48" s="37"/>
      <c r="FNF48" s="37"/>
      <c r="FNG48" s="37"/>
      <c r="FNH48" s="37"/>
      <c r="FNI48" s="37"/>
      <c r="FNJ48" s="37"/>
      <c r="FNK48" s="37"/>
      <c r="FNL48" s="37"/>
      <c r="FNM48" s="37"/>
      <c r="FNN48" s="37"/>
      <c r="FNO48" s="37"/>
      <c r="FNP48" s="37"/>
      <c r="FNQ48" s="37"/>
      <c r="FNR48" s="37"/>
      <c r="FNS48" s="37"/>
      <c r="FNT48" s="37"/>
      <c r="FNU48" s="37"/>
      <c r="FNV48" s="37"/>
      <c r="FNW48" s="37"/>
      <c r="FNX48" s="37"/>
      <c r="FNY48" s="37"/>
      <c r="FNZ48" s="37"/>
      <c r="FOA48" s="37"/>
      <c r="FOB48" s="37"/>
      <c r="FOC48" s="37"/>
      <c r="FOD48" s="37"/>
      <c r="FOE48" s="37"/>
      <c r="FOF48" s="37"/>
      <c r="FOG48" s="37"/>
      <c r="FOH48" s="37"/>
      <c r="FOI48" s="37"/>
      <c r="FOJ48" s="37"/>
      <c r="FOK48" s="37"/>
      <c r="FOL48" s="37"/>
      <c r="FOM48" s="37"/>
      <c r="FON48" s="37"/>
      <c r="FOO48" s="37"/>
      <c r="FOP48" s="37"/>
      <c r="FOQ48" s="37"/>
      <c r="FOR48" s="37"/>
      <c r="FOS48" s="37"/>
      <c r="FOT48" s="37"/>
      <c r="FOU48" s="37"/>
      <c r="FOV48" s="37"/>
      <c r="FOW48" s="37"/>
      <c r="FOX48" s="37"/>
      <c r="FOY48" s="37"/>
      <c r="FOZ48" s="37"/>
      <c r="FPA48" s="37"/>
      <c r="FPB48" s="37"/>
      <c r="FPC48" s="37"/>
      <c r="FPD48" s="37"/>
      <c r="FPE48" s="37"/>
      <c r="FPF48" s="37"/>
      <c r="FPG48" s="37"/>
      <c r="FPH48" s="37"/>
      <c r="FPI48" s="37"/>
      <c r="FPJ48" s="37"/>
      <c r="FPK48" s="37"/>
      <c r="FPL48" s="37"/>
      <c r="FPM48" s="37"/>
      <c r="FPN48" s="37"/>
      <c r="FPO48" s="37"/>
      <c r="FPP48" s="37"/>
      <c r="FPQ48" s="37"/>
      <c r="FPR48" s="37"/>
      <c r="FPS48" s="37"/>
      <c r="FPT48" s="37"/>
      <c r="FPU48" s="37"/>
      <c r="FPV48" s="37"/>
      <c r="FPW48" s="37"/>
      <c r="FPX48" s="37"/>
      <c r="FPY48" s="37"/>
      <c r="FPZ48" s="37"/>
      <c r="FQA48" s="37"/>
      <c r="FQB48" s="37"/>
      <c r="FQC48" s="37"/>
      <c r="FQD48" s="37"/>
      <c r="FQE48" s="37"/>
      <c r="FQF48" s="37"/>
      <c r="FQG48" s="37"/>
      <c r="FQH48" s="37"/>
      <c r="FQI48" s="37"/>
      <c r="FQJ48" s="37"/>
      <c r="FQK48" s="37"/>
      <c r="FQL48" s="37"/>
      <c r="FQM48" s="37"/>
      <c r="FQN48" s="37"/>
      <c r="FQO48" s="37"/>
      <c r="FQP48" s="37"/>
      <c r="FQQ48" s="37"/>
      <c r="FQR48" s="37"/>
      <c r="FQS48" s="37"/>
      <c r="FQT48" s="37"/>
      <c r="FQU48" s="37"/>
      <c r="FQV48" s="37"/>
      <c r="FQW48" s="37"/>
      <c r="FQX48" s="37"/>
      <c r="FQY48" s="37"/>
      <c r="FQZ48" s="37"/>
      <c r="FRA48" s="37"/>
      <c r="FRB48" s="37"/>
      <c r="FRC48" s="37"/>
      <c r="FRD48" s="37"/>
      <c r="FRE48" s="37"/>
      <c r="FRF48" s="37"/>
      <c r="FRG48" s="37"/>
      <c r="FRH48" s="37"/>
      <c r="FRI48" s="37"/>
      <c r="FRJ48" s="37"/>
      <c r="FRK48" s="37"/>
      <c r="FRL48" s="37"/>
      <c r="FRM48" s="37"/>
      <c r="FRN48" s="37"/>
      <c r="FRO48" s="37"/>
      <c r="FRP48" s="37"/>
      <c r="FRQ48" s="37"/>
      <c r="FRR48" s="37"/>
      <c r="FRS48" s="37"/>
      <c r="FRT48" s="37"/>
      <c r="FRU48" s="37"/>
      <c r="FRV48" s="37"/>
      <c r="FRW48" s="37"/>
      <c r="FRX48" s="37"/>
      <c r="FRY48" s="37"/>
      <c r="FRZ48" s="37"/>
      <c r="FSA48" s="37"/>
      <c r="FSB48" s="37"/>
      <c r="FSC48" s="37"/>
      <c r="FSD48" s="37"/>
      <c r="FSE48" s="37"/>
      <c r="FSF48" s="37"/>
      <c r="FSG48" s="37"/>
      <c r="FSH48" s="37"/>
      <c r="FSI48" s="37"/>
      <c r="FSJ48" s="37"/>
      <c r="FSK48" s="37"/>
      <c r="FSL48" s="37"/>
      <c r="FSM48" s="37"/>
      <c r="FSN48" s="37"/>
      <c r="FSO48" s="37"/>
      <c r="FSP48" s="37"/>
      <c r="FSQ48" s="37"/>
      <c r="FSR48" s="37"/>
      <c r="FSS48" s="37"/>
      <c r="FST48" s="37"/>
      <c r="FSU48" s="37"/>
      <c r="FSV48" s="37"/>
      <c r="FSW48" s="37"/>
      <c r="FSX48" s="37"/>
      <c r="FSY48" s="37"/>
      <c r="FSZ48" s="37"/>
      <c r="FTA48" s="37"/>
      <c r="FTB48" s="37"/>
      <c r="FTC48" s="37"/>
      <c r="FTD48" s="37"/>
      <c r="FTE48" s="37"/>
      <c r="FTF48" s="37"/>
      <c r="FTG48" s="37"/>
      <c r="FTH48" s="37"/>
      <c r="FTI48" s="37"/>
      <c r="FTJ48" s="37"/>
      <c r="FTK48" s="37"/>
      <c r="FTL48" s="37"/>
      <c r="FTM48" s="37"/>
      <c r="FTN48" s="37"/>
      <c r="FTO48" s="37"/>
      <c r="FTP48" s="37"/>
      <c r="FTQ48" s="37"/>
      <c r="FTR48" s="37"/>
      <c r="FTS48" s="37"/>
      <c r="FTT48" s="37"/>
      <c r="FTU48" s="37"/>
      <c r="FTV48" s="37"/>
      <c r="FTW48" s="37"/>
      <c r="FTX48" s="37"/>
      <c r="FTY48" s="37"/>
      <c r="FTZ48" s="37"/>
      <c r="FUA48" s="37"/>
      <c r="FUB48" s="37"/>
      <c r="FUC48" s="37"/>
      <c r="FUD48" s="37"/>
      <c r="FUE48" s="37"/>
      <c r="FUF48" s="37"/>
      <c r="FUG48" s="37"/>
      <c r="FUH48" s="37"/>
      <c r="FUI48" s="37"/>
      <c r="FUJ48" s="37"/>
      <c r="FUK48" s="37"/>
      <c r="FUL48" s="37"/>
      <c r="FUM48" s="37"/>
      <c r="FUN48" s="37"/>
      <c r="FUO48" s="37"/>
      <c r="FUP48" s="37"/>
      <c r="FUQ48" s="37"/>
      <c r="FUR48" s="37"/>
      <c r="FUS48" s="37"/>
      <c r="FUT48" s="37"/>
      <c r="FUU48" s="37"/>
      <c r="FUV48" s="37"/>
      <c r="FUW48" s="37"/>
      <c r="FUX48" s="37"/>
      <c r="FUY48" s="37"/>
      <c r="FUZ48" s="37"/>
      <c r="FVA48" s="37"/>
      <c r="FVB48" s="37"/>
      <c r="FVC48" s="37"/>
      <c r="FVD48" s="37"/>
      <c r="FVE48" s="37"/>
      <c r="FVF48" s="37"/>
      <c r="FVG48" s="37"/>
      <c r="FVH48" s="37"/>
      <c r="FVI48" s="37"/>
      <c r="FVJ48" s="37"/>
      <c r="FVK48" s="37"/>
      <c r="FVL48" s="37"/>
      <c r="FVM48" s="37"/>
      <c r="FVN48" s="37"/>
      <c r="FVO48" s="37"/>
      <c r="FVP48" s="37"/>
      <c r="FVQ48" s="37"/>
      <c r="FVR48" s="37"/>
      <c r="FVS48" s="37"/>
      <c r="FVT48" s="37"/>
      <c r="FVU48" s="37"/>
      <c r="FVV48" s="37"/>
      <c r="FVW48" s="37"/>
      <c r="FVX48" s="37"/>
      <c r="FVY48" s="37"/>
      <c r="FVZ48" s="37"/>
      <c r="FWA48" s="37"/>
      <c r="FWB48" s="37"/>
      <c r="FWC48" s="37"/>
      <c r="FWD48" s="37"/>
      <c r="FWE48" s="37"/>
      <c r="FWF48" s="37"/>
      <c r="FWG48" s="37"/>
      <c r="FWH48" s="37"/>
      <c r="FWI48" s="37"/>
      <c r="FWJ48" s="37"/>
      <c r="FWK48" s="37"/>
      <c r="FWL48" s="37"/>
      <c r="FWM48" s="37"/>
      <c r="FWN48" s="37"/>
      <c r="FWO48" s="37"/>
      <c r="FWP48" s="37"/>
      <c r="FWQ48" s="37"/>
      <c r="FWR48" s="37"/>
      <c r="FWS48" s="37"/>
      <c r="FWT48" s="37"/>
      <c r="FWU48" s="37"/>
      <c r="FWV48" s="37"/>
      <c r="FWW48" s="37"/>
      <c r="FWX48" s="37"/>
      <c r="FWY48" s="37"/>
      <c r="FWZ48" s="37"/>
      <c r="FXA48" s="37"/>
      <c r="FXB48" s="37"/>
      <c r="FXC48" s="37"/>
      <c r="FXD48" s="37"/>
      <c r="FXE48" s="37"/>
      <c r="FXF48" s="37"/>
      <c r="FXG48" s="37"/>
      <c r="FXH48" s="37"/>
      <c r="FXI48" s="37"/>
      <c r="FXJ48" s="37"/>
      <c r="FXK48" s="37"/>
      <c r="FXL48" s="37"/>
      <c r="FXM48" s="37"/>
      <c r="FXN48" s="37"/>
      <c r="FXO48" s="37"/>
      <c r="FXP48" s="37"/>
      <c r="FXQ48" s="37"/>
      <c r="FXR48" s="37"/>
      <c r="FXS48" s="37"/>
      <c r="FXT48" s="37"/>
      <c r="FXU48" s="37"/>
      <c r="FXV48" s="37"/>
      <c r="FXW48" s="37"/>
      <c r="FXX48" s="37"/>
      <c r="FXY48" s="37"/>
      <c r="FXZ48" s="37"/>
      <c r="FYA48" s="37"/>
      <c r="FYB48" s="37"/>
      <c r="FYC48" s="37"/>
      <c r="FYD48" s="37"/>
      <c r="FYE48" s="37"/>
      <c r="FYF48" s="37"/>
      <c r="FYG48" s="37"/>
      <c r="FYH48" s="37"/>
      <c r="FYI48" s="37"/>
      <c r="FYJ48" s="37"/>
      <c r="FYK48" s="37"/>
      <c r="FYL48" s="37"/>
      <c r="FYM48" s="37"/>
      <c r="FYN48" s="37"/>
      <c r="FYO48" s="37"/>
      <c r="FYP48" s="37"/>
      <c r="FYQ48" s="37"/>
      <c r="FYR48" s="37"/>
      <c r="FYS48" s="37"/>
      <c r="FYT48" s="37"/>
      <c r="FYU48" s="37"/>
      <c r="FYV48" s="37"/>
      <c r="FYW48" s="37"/>
      <c r="FYX48" s="37"/>
      <c r="FYY48" s="37"/>
      <c r="FYZ48" s="37"/>
      <c r="FZA48" s="37"/>
      <c r="FZB48" s="37"/>
      <c r="FZC48" s="37"/>
      <c r="FZD48" s="37"/>
      <c r="FZE48" s="37"/>
      <c r="FZF48" s="37"/>
      <c r="FZG48" s="37"/>
      <c r="FZH48" s="37"/>
      <c r="FZI48" s="37"/>
      <c r="FZJ48" s="37"/>
      <c r="FZK48" s="37"/>
      <c r="FZL48" s="37"/>
      <c r="FZM48" s="37"/>
      <c r="FZN48" s="37"/>
      <c r="FZO48" s="37"/>
      <c r="FZP48" s="37"/>
      <c r="FZQ48" s="37"/>
      <c r="FZR48" s="37"/>
      <c r="FZS48" s="37"/>
      <c r="FZT48" s="37"/>
      <c r="FZU48" s="37"/>
      <c r="FZV48" s="37"/>
      <c r="FZW48" s="37"/>
      <c r="FZX48" s="37"/>
      <c r="FZY48" s="37"/>
      <c r="FZZ48" s="37"/>
      <c r="GAA48" s="37"/>
      <c r="GAB48" s="37"/>
      <c r="GAC48" s="37"/>
      <c r="GAD48" s="37"/>
      <c r="GAE48" s="37"/>
      <c r="GAF48" s="37"/>
      <c r="GAG48" s="37"/>
      <c r="GAH48" s="37"/>
      <c r="GAI48" s="37"/>
      <c r="GAJ48" s="37"/>
      <c r="GAK48" s="37"/>
      <c r="GAL48" s="37"/>
      <c r="GAM48" s="37"/>
      <c r="GAN48" s="37"/>
      <c r="GAO48" s="37"/>
      <c r="GAP48" s="37"/>
      <c r="GAQ48" s="37"/>
      <c r="GAR48" s="37"/>
      <c r="GAS48" s="37"/>
      <c r="GAT48" s="37"/>
      <c r="GAU48" s="37"/>
      <c r="GAV48" s="37"/>
      <c r="GAW48" s="37"/>
      <c r="GAX48" s="37"/>
      <c r="GAY48" s="37"/>
      <c r="GAZ48" s="37"/>
      <c r="GBA48" s="37"/>
      <c r="GBB48" s="37"/>
      <c r="GBC48" s="37"/>
      <c r="GBD48" s="37"/>
      <c r="GBE48" s="37"/>
      <c r="GBF48" s="37"/>
      <c r="GBG48" s="37"/>
      <c r="GBH48" s="37"/>
      <c r="GBI48" s="37"/>
      <c r="GBJ48" s="37"/>
      <c r="GBK48" s="37"/>
      <c r="GBL48" s="37"/>
      <c r="GBM48" s="37"/>
      <c r="GBN48" s="37"/>
      <c r="GBO48" s="37"/>
      <c r="GBP48" s="37"/>
      <c r="GBQ48" s="37"/>
      <c r="GBR48" s="37"/>
      <c r="GBS48" s="37"/>
      <c r="GBT48" s="37"/>
      <c r="GBU48" s="37"/>
      <c r="GBV48" s="37"/>
      <c r="GBW48" s="37"/>
      <c r="GBX48" s="37"/>
      <c r="GBY48" s="37"/>
      <c r="GBZ48" s="37"/>
      <c r="GCA48" s="37"/>
      <c r="GCB48" s="37"/>
      <c r="GCC48" s="37"/>
      <c r="GCD48" s="37"/>
      <c r="GCE48" s="37"/>
      <c r="GCF48" s="37"/>
      <c r="GCG48" s="37"/>
      <c r="GCH48" s="37"/>
      <c r="GCI48" s="37"/>
      <c r="GCJ48" s="37"/>
      <c r="GCK48" s="37"/>
      <c r="GCL48" s="37"/>
      <c r="GCM48" s="37"/>
      <c r="GCN48" s="37"/>
      <c r="GCO48" s="37"/>
      <c r="GCP48" s="37"/>
      <c r="GCQ48" s="37"/>
      <c r="GCR48" s="37"/>
      <c r="GCS48" s="37"/>
      <c r="GCT48" s="37"/>
      <c r="GCU48" s="37"/>
      <c r="GCV48" s="37"/>
      <c r="GCW48" s="37"/>
      <c r="GCX48" s="37"/>
      <c r="GCY48" s="37"/>
      <c r="GCZ48" s="37"/>
      <c r="GDA48" s="37"/>
      <c r="GDB48" s="37"/>
      <c r="GDC48" s="37"/>
      <c r="GDD48" s="37"/>
      <c r="GDE48" s="37"/>
      <c r="GDF48" s="37"/>
      <c r="GDG48" s="37"/>
      <c r="GDH48" s="37"/>
      <c r="GDI48" s="37"/>
      <c r="GDJ48" s="37"/>
      <c r="GDK48" s="37"/>
      <c r="GDL48" s="37"/>
      <c r="GDM48" s="37"/>
      <c r="GDN48" s="37"/>
      <c r="GDO48" s="37"/>
      <c r="GDP48" s="37"/>
      <c r="GDQ48" s="37"/>
      <c r="GDR48" s="37"/>
      <c r="GDS48" s="37"/>
      <c r="GDT48" s="37"/>
      <c r="GDU48" s="37"/>
      <c r="GDV48" s="37"/>
      <c r="GDW48" s="37"/>
      <c r="GDX48" s="37"/>
      <c r="GDY48" s="37"/>
      <c r="GDZ48" s="37"/>
      <c r="GEA48" s="37"/>
      <c r="GEB48" s="37"/>
      <c r="GEC48" s="37"/>
      <c r="GED48" s="37"/>
      <c r="GEE48" s="37"/>
      <c r="GEF48" s="37"/>
      <c r="GEG48" s="37"/>
      <c r="GEH48" s="37"/>
      <c r="GEI48" s="37"/>
      <c r="GEJ48" s="37"/>
      <c r="GEK48" s="37"/>
      <c r="GEL48" s="37"/>
      <c r="GEM48" s="37"/>
      <c r="GEN48" s="37"/>
      <c r="GEO48" s="37"/>
      <c r="GEP48" s="37"/>
      <c r="GEQ48" s="37"/>
      <c r="GER48" s="37"/>
      <c r="GES48" s="37"/>
      <c r="GET48" s="37"/>
      <c r="GEU48" s="37"/>
      <c r="GEV48" s="37"/>
      <c r="GEW48" s="37"/>
      <c r="GEX48" s="37"/>
      <c r="GEY48" s="37"/>
      <c r="GEZ48" s="37"/>
      <c r="GFA48" s="37"/>
      <c r="GFB48" s="37"/>
      <c r="GFC48" s="37"/>
      <c r="GFD48" s="37"/>
      <c r="GFE48" s="37"/>
      <c r="GFF48" s="37"/>
      <c r="GFG48" s="37"/>
      <c r="GFH48" s="37"/>
      <c r="GFI48" s="37"/>
      <c r="GFJ48" s="37"/>
      <c r="GFK48" s="37"/>
      <c r="GFL48" s="37"/>
      <c r="GFM48" s="37"/>
      <c r="GFN48" s="37"/>
      <c r="GFO48" s="37"/>
      <c r="GFP48" s="37"/>
      <c r="GFQ48" s="37"/>
      <c r="GFR48" s="37"/>
      <c r="GFS48" s="37"/>
      <c r="GFT48" s="37"/>
      <c r="GFU48" s="37"/>
      <c r="GFV48" s="37"/>
      <c r="GFW48" s="37"/>
      <c r="GFX48" s="37"/>
      <c r="GFY48" s="37"/>
      <c r="GFZ48" s="37"/>
      <c r="GGA48" s="37"/>
      <c r="GGB48" s="37"/>
      <c r="GGC48" s="37"/>
      <c r="GGD48" s="37"/>
      <c r="GGE48" s="37"/>
      <c r="GGF48" s="37"/>
      <c r="GGG48" s="37"/>
      <c r="GGH48" s="37"/>
      <c r="GGI48" s="37"/>
      <c r="GGJ48" s="37"/>
      <c r="GGK48" s="37"/>
      <c r="GGL48" s="37"/>
      <c r="GGM48" s="37"/>
      <c r="GGN48" s="37"/>
      <c r="GGO48" s="37"/>
      <c r="GGP48" s="37"/>
      <c r="GGQ48" s="37"/>
      <c r="GGR48" s="37"/>
      <c r="GGS48" s="37"/>
      <c r="GGT48" s="37"/>
      <c r="GGU48" s="37"/>
      <c r="GGV48" s="37"/>
      <c r="GGW48" s="37"/>
      <c r="GGX48" s="37"/>
      <c r="GGY48" s="37"/>
      <c r="GGZ48" s="37"/>
      <c r="GHA48" s="37"/>
      <c r="GHB48" s="37"/>
      <c r="GHC48" s="37"/>
      <c r="GHD48" s="37"/>
      <c r="GHE48" s="37"/>
      <c r="GHF48" s="37"/>
      <c r="GHG48" s="37"/>
      <c r="GHH48" s="37"/>
      <c r="GHI48" s="37"/>
      <c r="GHJ48" s="37"/>
      <c r="GHK48" s="37"/>
      <c r="GHL48" s="37"/>
      <c r="GHM48" s="37"/>
      <c r="GHN48" s="37"/>
      <c r="GHO48" s="37"/>
      <c r="GHP48" s="37"/>
      <c r="GHQ48" s="37"/>
      <c r="GHR48" s="37"/>
      <c r="GHS48" s="37"/>
      <c r="GHT48" s="37"/>
      <c r="GHU48" s="37"/>
      <c r="GHV48" s="37"/>
      <c r="GHW48" s="37"/>
      <c r="GHX48" s="37"/>
      <c r="GHY48" s="37"/>
      <c r="GHZ48" s="37"/>
      <c r="GIA48" s="37"/>
      <c r="GIB48" s="37"/>
      <c r="GIC48" s="37"/>
      <c r="GID48" s="37"/>
      <c r="GIE48" s="37"/>
      <c r="GIF48" s="37"/>
      <c r="GIG48" s="37"/>
      <c r="GIH48" s="37"/>
      <c r="GII48" s="37"/>
      <c r="GIJ48" s="37"/>
      <c r="GIK48" s="37"/>
      <c r="GIL48" s="37"/>
      <c r="GIM48" s="37"/>
      <c r="GIN48" s="37"/>
      <c r="GIO48" s="37"/>
      <c r="GIP48" s="37"/>
      <c r="GIQ48" s="37"/>
      <c r="GIR48" s="37"/>
      <c r="GIS48" s="37"/>
      <c r="GIT48" s="37"/>
      <c r="GIU48" s="37"/>
      <c r="GIV48" s="37"/>
      <c r="GIW48" s="37"/>
      <c r="GIX48" s="37"/>
      <c r="GIY48" s="37"/>
      <c r="GIZ48" s="37"/>
      <c r="GJA48" s="37"/>
      <c r="GJB48" s="37"/>
      <c r="GJC48" s="37"/>
      <c r="GJD48" s="37"/>
      <c r="GJE48" s="37"/>
      <c r="GJF48" s="37"/>
      <c r="GJG48" s="37"/>
      <c r="GJH48" s="37"/>
      <c r="GJI48" s="37"/>
      <c r="GJJ48" s="37"/>
      <c r="GJK48" s="37"/>
      <c r="GJL48" s="37"/>
      <c r="GJM48" s="37"/>
      <c r="GJN48" s="37"/>
      <c r="GJO48" s="37"/>
      <c r="GJP48" s="37"/>
      <c r="GJQ48" s="37"/>
      <c r="GJR48" s="37"/>
      <c r="GJS48" s="37"/>
      <c r="GJT48" s="37"/>
      <c r="GJU48" s="37"/>
      <c r="GJV48" s="37"/>
      <c r="GJW48" s="37"/>
      <c r="GJX48" s="37"/>
      <c r="GJY48" s="37"/>
      <c r="GJZ48" s="37"/>
      <c r="GKA48" s="37"/>
      <c r="GKB48" s="37"/>
      <c r="GKC48" s="37"/>
      <c r="GKD48" s="37"/>
      <c r="GKE48" s="37"/>
      <c r="GKF48" s="37"/>
      <c r="GKG48" s="37"/>
      <c r="GKH48" s="37"/>
      <c r="GKI48" s="37"/>
      <c r="GKJ48" s="37"/>
      <c r="GKK48" s="37"/>
      <c r="GKL48" s="37"/>
      <c r="GKM48" s="37"/>
      <c r="GKN48" s="37"/>
      <c r="GKO48" s="37"/>
      <c r="GKP48" s="37"/>
      <c r="GKQ48" s="37"/>
      <c r="GKR48" s="37"/>
      <c r="GKS48" s="37"/>
      <c r="GKT48" s="37"/>
      <c r="GKU48" s="37"/>
      <c r="GKV48" s="37"/>
      <c r="GKW48" s="37"/>
      <c r="GKX48" s="37"/>
      <c r="GKY48" s="37"/>
      <c r="GKZ48" s="37"/>
      <c r="GLA48" s="37"/>
      <c r="GLB48" s="37"/>
      <c r="GLC48" s="37"/>
      <c r="GLD48" s="37"/>
      <c r="GLE48" s="37"/>
      <c r="GLF48" s="37"/>
      <c r="GLG48" s="37"/>
      <c r="GLH48" s="37"/>
      <c r="GLI48" s="37"/>
      <c r="GLJ48" s="37"/>
      <c r="GLK48" s="37"/>
      <c r="GLL48" s="37"/>
      <c r="GLM48" s="37"/>
      <c r="GLN48" s="37"/>
      <c r="GLO48" s="37"/>
      <c r="GLP48" s="37"/>
      <c r="GLQ48" s="37"/>
      <c r="GLR48" s="37"/>
      <c r="GLS48" s="37"/>
      <c r="GLT48" s="37"/>
      <c r="GLU48" s="37"/>
      <c r="GLV48" s="37"/>
      <c r="GLW48" s="37"/>
      <c r="GLX48" s="37"/>
      <c r="GLY48" s="37"/>
      <c r="GLZ48" s="37"/>
      <c r="GMA48" s="37"/>
      <c r="GMB48" s="37"/>
      <c r="GMC48" s="37"/>
      <c r="GMD48" s="37"/>
      <c r="GME48" s="37"/>
      <c r="GMF48" s="37"/>
      <c r="GMG48" s="37"/>
      <c r="GMH48" s="37"/>
      <c r="GMI48" s="37"/>
      <c r="GMJ48" s="37"/>
      <c r="GMK48" s="37"/>
      <c r="GML48" s="37"/>
      <c r="GMM48" s="37"/>
      <c r="GMN48" s="37"/>
      <c r="GMO48" s="37"/>
      <c r="GMP48" s="37"/>
      <c r="GMQ48" s="37"/>
      <c r="GMR48" s="37"/>
      <c r="GMS48" s="37"/>
      <c r="GMT48" s="37"/>
      <c r="GMU48" s="37"/>
      <c r="GMV48" s="37"/>
      <c r="GMW48" s="37"/>
      <c r="GMX48" s="37"/>
      <c r="GMY48" s="37"/>
      <c r="GMZ48" s="37"/>
      <c r="GNA48" s="37"/>
      <c r="GNB48" s="37"/>
      <c r="GNC48" s="37"/>
      <c r="GND48" s="37"/>
      <c r="GNE48" s="37"/>
      <c r="GNF48" s="37"/>
      <c r="GNG48" s="37"/>
      <c r="GNH48" s="37"/>
      <c r="GNI48" s="37"/>
      <c r="GNJ48" s="37"/>
      <c r="GNK48" s="37"/>
      <c r="GNL48" s="37"/>
      <c r="GNM48" s="37"/>
      <c r="GNN48" s="37"/>
      <c r="GNO48" s="37"/>
      <c r="GNP48" s="37"/>
      <c r="GNQ48" s="37"/>
      <c r="GNR48" s="37"/>
      <c r="GNS48" s="37"/>
      <c r="GNT48" s="37"/>
      <c r="GNU48" s="37"/>
      <c r="GNV48" s="37"/>
      <c r="GNW48" s="37"/>
      <c r="GNX48" s="37"/>
      <c r="GNY48" s="37"/>
      <c r="GNZ48" s="37"/>
      <c r="GOA48" s="37"/>
      <c r="GOB48" s="37"/>
      <c r="GOC48" s="37"/>
      <c r="GOD48" s="37"/>
      <c r="GOE48" s="37"/>
      <c r="GOF48" s="37"/>
      <c r="GOG48" s="37"/>
      <c r="GOH48" s="37"/>
      <c r="GOI48" s="37"/>
      <c r="GOJ48" s="37"/>
      <c r="GOK48" s="37"/>
      <c r="GOL48" s="37"/>
      <c r="GOM48" s="37"/>
      <c r="GON48" s="37"/>
      <c r="GOO48" s="37"/>
      <c r="GOP48" s="37"/>
      <c r="GOQ48" s="37"/>
      <c r="GOR48" s="37"/>
      <c r="GOS48" s="37"/>
      <c r="GOT48" s="37"/>
      <c r="GOU48" s="37"/>
      <c r="GOV48" s="37"/>
      <c r="GOW48" s="37"/>
      <c r="GOX48" s="37"/>
      <c r="GOY48" s="37"/>
      <c r="GOZ48" s="37"/>
      <c r="GPA48" s="37"/>
      <c r="GPB48" s="37"/>
      <c r="GPC48" s="37"/>
      <c r="GPD48" s="37"/>
      <c r="GPE48" s="37"/>
      <c r="GPF48" s="37"/>
      <c r="GPG48" s="37"/>
      <c r="GPH48" s="37"/>
      <c r="GPI48" s="37"/>
      <c r="GPJ48" s="37"/>
      <c r="GPK48" s="37"/>
      <c r="GPL48" s="37"/>
      <c r="GPM48" s="37"/>
      <c r="GPN48" s="37"/>
      <c r="GPO48" s="37"/>
      <c r="GPP48" s="37"/>
      <c r="GPQ48" s="37"/>
      <c r="GPR48" s="37"/>
      <c r="GPS48" s="37"/>
      <c r="GPT48" s="37"/>
      <c r="GPU48" s="37"/>
      <c r="GPV48" s="37"/>
      <c r="GPW48" s="37"/>
      <c r="GPX48" s="37"/>
      <c r="GPY48" s="37"/>
      <c r="GPZ48" s="37"/>
      <c r="GQA48" s="37"/>
      <c r="GQB48" s="37"/>
      <c r="GQC48" s="37"/>
      <c r="GQD48" s="37"/>
      <c r="GQE48" s="37"/>
      <c r="GQF48" s="37"/>
      <c r="GQG48" s="37"/>
      <c r="GQH48" s="37"/>
      <c r="GQI48" s="37"/>
      <c r="GQJ48" s="37"/>
      <c r="GQK48" s="37"/>
      <c r="GQL48" s="37"/>
      <c r="GQM48" s="37"/>
      <c r="GQN48" s="37"/>
      <c r="GQO48" s="37"/>
      <c r="GQP48" s="37"/>
      <c r="GQQ48" s="37"/>
      <c r="GQR48" s="37"/>
      <c r="GQS48" s="37"/>
      <c r="GQT48" s="37"/>
      <c r="GQU48" s="37"/>
      <c r="GQV48" s="37"/>
      <c r="GQW48" s="37"/>
      <c r="GQX48" s="37"/>
      <c r="GQY48" s="37"/>
      <c r="GQZ48" s="37"/>
      <c r="GRA48" s="37"/>
      <c r="GRB48" s="37"/>
      <c r="GRC48" s="37"/>
      <c r="GRD48" s="37"/>
      <c r="GRE48" s="37"/>
      <c r="GRF48" s="37"/>
      <c r="GRG48" s="37"/>
      <c r="GRH48" s="37"/>
      <c r="GRI48" s="37"/>
      <c r="GRJ48" s="37"/>
      <c r="GRK48" s="37"/>
      <c r="GRL48" s="37"/>
      <c r="GRM48" s="37"/>
      <c r="GRN48" s="37"/>
      <c r="GRO48" s="37"/>
      <c r="GRP48" s="37"/>
      <c r="GRQ48" s="37"/>
      <c r="GRR48" s="37"/>
      <c r="GRS48" s="37"/>
      <c r="GRT48" s="37"/>
      <c r="GRU48" s="37"/>
      <c r="GRV48" s="37"/>
      <c r="GRW48" s="37"/>
      <c r="GRX48" s="37"/>
      <c r="GRY48" s="37"/>
      <c r="GRZ48" s="37"/>
      <c r="GSA48" s="37"/>
      <c r="GSB48" s="37"/>
      <c r="GSC48" s="37"/>
      <c r="GSD48" s="37"/>
      <c r="GSE48" s="37"/>
      <c r="GSF48" s="37"/>
      <c r="GSG48" s="37"/>
      <c r="GSH48" s="37"/>
      <c r="GSI48" s="37"/>
      <c r="GSJ48" s="37"/>
      <c r="GSK48" s="37"/>
      <c r="GSL48" s="37"/>
      <c r="GSM48" s="37"/>
      <c r="GSN48" s="37"/>
      <c r="GSO48" s="37"/>
      <c r="GSP48" s="37"/>
      <c r="GSQ48" s="37"/>
      <c r="GSR48" s="37"/>
      <c r="GSS48" s="37"/>
      <c r="GST48" s="37"/>
      <c r="GSU48" s="37"/>
      <c r="GSV48" s="37"/>
      <c r="GSW48" s="37"/>
      <c r="GSX48" s="37"/>
      <c r="GSY48" s="37"/>
      <c r="GSZ48" s="37"/>
      <c r="GTA48" s="37"/>
      <c r="GTB48" s="37"/>
      <c r="GTC48" s="37"/>
      <c r="GTD48" s="37"/>
      <c r="GTE48" s="37"/>
      <c r="GTF48" s="37"/>
      <c r="GTG48" s="37"/>
      <c r="GTH48" s="37"/>
      <c r="GTI48" s="37"/>
      <c r="GTJ48" s="37"/>
      <c r="GTK48" s="37"/>
      <c r="GTL48" s="37"/>
      <c r="GTM48" s="37"/>
      <c r="GTN48" s="37"/>
      <c r="GTO48" s="37"/>
      <c r="GTP48" s="37"/>
      <c r="GTQ48" s="37"/>
      <c r="GTR48" s="37"/>
      <c r="GTS48" s="37"/>
      <c r="GTT48" s="37"/>
      <c r="GTU48" s="37"/>
      <c r="GTV48" s="37"/>
      <c r="GTW48" s="37"/>
      <c r="GTX48" s="37"/>
      <c r="GTY48" s="37"/>
      <c r="GTZ48" s="37"/>
      <c r="GUA48" s="37"/>
      <c r="GUB48" s="37"/>
      <c r="GUC48" s="37"/>
      <c r="GUD48" s="37"/>
      <c r="GUE48" s="37"/>
      <c r="GUF48" s="37"/>
      <c r="GUG48" s="37"/>
      <c r="GUH48" s="37"/>
      <c r="GUI48" s="37"/>
      <c r="GUJ48" s="37"/>
      <c r="GUK48" s="37"/>
      <c r="GUL48" s="37"/>
      <c r="GUM48" s="37"/>
      <c r="GUN48" s="37"/>
      <c r="GUO48" s="37"/>
      <c r="GUP48" s="37"/>
      <c r="GUQ48" s="37"/>
      <c r="GUR48" s="37"/>
      <c r="GUS48" s="37"/>
      <c r="GUT48" s="37"/>
      <c r="GUU48" s="37"/>
      <c r="GUV48" s="37"/>
      <c r="GUW48" s="37"/>
      <c r="GUX48" s="37"/>
      <c r="GUY48" s="37"/>
      <c r="GUZ48" s="37"/>
      <c r="GVA48" s="37"/>
      <c r="GVB48" s="37"/>
      <c r="GVC48" s="37"/>
      <c r="GVD48" s="37"/>
      <c r="GVE48" s="37"/>
      <c r="GVF48" s="37"/>
      <c r="GVG48" s="37"/>
      <c r="GVH48" s="37"/>
      <c r="GVI48" s="37"/>
      <c r="GVJ48" s="37"/>
      <c r="GVK48" s="37"/>
      <c r="GVL48" s="37"/>
      <c r="GVM48" s="37"/>
      <c r="GVN48" s="37"/>
      <c r="GVO48" s="37"/>
      <c r="GVP48" s="37"/>
      <c r="GVQ48" s="37"/>
      <c r="GVR48" s="37"/>
      <c r="GVS48" s="37"/>
      <c r="GVT48" s="37"/>
      <c r="GVU48" s="37"/>
      <c r="GVV48" s="37"/>
      <c r="GVW48" s="37"/>
      <c r="GVX48" s="37"/>
      <c r="GVY48" s="37"/>
      <c r="GVZ48" s="37"/>
      <c r="GWA48" s="37"/>
      <c r="GWB48" s="37"/>
      <c r="GWC48" s="37"/>
      <c r="GWD48" s="37"/>
      <c r="GWE48" s="37"/>
      <c r="GWF48" s="37"/>
      <c r="GWG48" s="37"/>
      <c r="GWH48" s="37"/>
      <c r="GWI48" s="37"/>
      <c r="GWJ48" s="37"/>
      <c r="GWK48" s="37"/>
      <c r="GWL48" s="37"/>
      <c r="GWM48" s="37"/>
      <c r="GWN48" s="37"/>
      <c r="GWO48" s="37"/>
      <c r="GWP48" s="37"/>
      <c r="GWQ48" s="37"/>
      <c r="GWR48" s="37"/>
      <c r="GWS48" s="37"/>
      <c r="GWT48" s="37"/>
      <c r="GWU48" s="37"/>
      <c r="GWV48" s="37"/>
      <c r="GWW48" s="37"/>
      <c r="GWX48" s="37"/>
      <c r="GWY48" s="37"/>
      <c r="GWZ48" s="37"/>
      <c r="GXA48" s="37"/>
      <c r="GXB48" s="37"/>
      <c r="GXC48" s="37"/>
      <c r="GXD48" s="37"/>
      <c r="GXE48" s="37"/>
      <c r="GXF48" s="37"/>
      <c r="GXG48" s="37"/>
      <c r="GXH48" s="37"/>
      <c r="GXI48" s="37"/>
      <c r="GXJ48" s="37"/>
      <c r="GXK48" s="37"/>
      <c r="GXL48" s="37"/>
      <c r="GXM48" s="37"/>
      <c r="GXN48" s="37"/>
      <c r="GXO48" s="37"/>
      <c r="GXP48" s="37"/>
      <c r="GXQ48" s="37"/>
      <c r="GXR48" s="37"/>
      <c r="GXS48" s="37"/>
      <c r="GXT48" s="37"/>
      <c r="GXU48" s="37"/>
      <c r="GXV48" s="37"/>
      <c r="GXW48" s="37"/>
      <c r="GXX48" s="37"/>
      <c r="GXY48" s="37"/>
      <c r="GXZ48" s="37"/>
      <c r="GYA48" s="37"/>
      <c r="GYB48" s="37"/>
      <c r="GYC48" s="37"/>
      <c r="GYD48" s="37"/>
      <c r="GYE48" s="37"/>
      <c r="GYF48" s="37"/>
      <c r="GYG48" s="37"/>
      <c r="GYH48" s="37"/>
      <c r="GYI48" s="37"/>
      <c r="GYJ48" s="37"/>
      <c r="GYK48" s="37"/>
      <c r="GYL48" s="37"/>
      <c r="GYM48" s="37"/>
      <c r="GYN48" s="37"/>
      <c r="GYO48" s="37"/>
      <c r="GYP48" s="37"/>
      <c r="GYQ48" s="37"/>
      <c r="GYR48" s="37"/>
      <c r="GYS48" s="37"/>
      <c r="GYT48" s="37"/>
      <c r="GYU48" s="37"/>
      <c r="GYV48" s="37"/>
      <c r="GYW48" s="37"/>
      <c r="GYX48" s="37"/>
      <c r="GYY48" s="37"/>
      <c r="GYZ48" s="37"/>
      <c r="GZA48" s="37"/>
      <c r="GZB48" s="37"/>
      <c r="GZC48" s="37"/>
      <c r="GZD48" s="37"/>
      <c r="GZE48" s="37"/>
      <c r="GZF48" s="37"/>
      <c r="GZG48" s="37"/>
      <c r="GZH48" s="37"/>
      <c r="GZI48" s="37"/>
      <c r="GZJ48" s="37"/>
      <c r="GZK48" s="37"/>
      <c r="GZL48" s="37"/>
      <c r="GZM48" s="37"/>
      <c r="GZN48" s="37"/>
      <c r="GZO48" s="37"/>
      <c r="GZP48" s="37"/>
      <c r="GZQ48" s="37"/>
      <c r="GZR48" s="37"/>
      <c r="GZS48" s="37"/>
      <c r="GZT48" s="37"/>
      <c r="GZU48" s="37"/>
      <c r="GZV48" s="37"/>
      <c r="GZW48" s="37"/>
      <c r="GZX48" s="37"/>
      <c r="GZY48" s="37"/>
      <c r="GZZ48" s="37"/>
      <c r="HAA48" s="37"/>
      <c r="HAB48" s="37"/>
      <c r="HAC48" s="37"/>
      <c r="HAD48" s="37"/>
      <c r="HAE48" s="37"/>
      <c r="HAF48" s="37"/>
      <c r="HAG48" s="37"/>
      <c r="HAH48" s="37"/>
      <c r="HAI48" s="37"/>
      <c r="HAJ48" s="37"/>
      <c r="HAK48" s="37"/>
      <c r="HAL48" s="37"/>
      <c r="HAM48" s="37"/>
      <c r="HAN48" s="37"/>
      <c r="HAO48" s="37"/>
      <c r="HAP48" s="37"/>
      <c r="HAQ48" s="37"/>
      <c r="HAR48" s="37"/>
      <c r="HAS48" s="37"/>
      <c r="HAT48" s="37"/>
      <c r="HAU48" s="37"/>
      <c r="HAV48" s="37"/>
      <c r="HAW48" s="37"/>
      <c r="HAX48" s="37"/>
      <c r="HAY48" s="37"/>
      <c r="HAZ48" s="37"/>
      <c r="HBA48" s="37"/>
      <c r="HBB48" s="37"/>
      <c r="HBC48" s="37"/>
      <c r="HBD48" s="37"/>
      <c r="HBE48" s="37"/>
      <c r="HBF48" s="37"/>
      <c r="HBG48" s="37"/>
      <c r="HBH48" s="37"/>
      <c r="HBI48" s="37"/>
      <c r="HBJ48" s="37"/>
      <c r="HBK48" s="37"/>
      <c r="HBL48" s="37"/>
      <c r="HBM48" s="37"/>
      <c r="HBN48" s="37"/>
      <c r="HBO48" s="37"/>
      <c r="HBP48" s="37"/>
      <c r="HBQ48" s="37"/>
      <c r="HBR48" s="37"/>
      <c r="HBS48" s="37"/>
      <c r="HBT48" s="37"/>
      <c r="HBU48" s="37"/>
      <c r="HBV48" s="37"/>
      <c r="HBW48" s="37"/>
      <c r="HBX48" s="37"/>
      <c r="HBY48" s="37"/>
      <c r="HBZ48" s="37"/>
      <c r="HCA48" s="37"/>
      <c r="HCB48" s="37"/>
      <c r="HCC48" s="37"/>
      <c r="HCD48" s="37"/>
      <c r="HCE48" s="37"/>
      <c r="HCF48" s="37"/>
      <c r="HCG48" s="37"/>
      <c r="HCH48" s="37"/>
      <c r="HCI48" s="37"/>
      <c r="HCJ48" s="37"/>
      <c r="HCK48" s="37"/>
      <c r="HCL48" s="37"/>
      <c r="HCM48" s="37"/>
      <c r="HCN48" s="37"/>
      <c r="HCO48" s="37"/>
      <c r="HCP48" s="37"/>
      <c r="HCQ48" s="37"/>
      <c r="HCR48" s="37"/>
      <c r="HCS48" s="37"/>
      <c r="HCT48" s="37"/>
      <c r="HCU48" s="37"/>
      <c r="HCV48" s="37"/>
      <c r="HCW48" s="37"/>
      <c r="HCX48" s="37"/>
      <c r="HCY48" s="37"/>
      <c r="HCZ48" s="37"/>
      <c r="HDA48" s="37"/>
      <c r="HDB48" s="37"/>
      <c r="HDC48" s="37"/>
      <c r="HDD48" s="37"/>
      <c r="HDE48" s="37"/>
      <c r="HDF48" s="37"/>
      <c r="HDG48" s="37"/>
      <c r="HDH48" s="37"/>
      <c r="HDI48" s="37"/>
      <c r="HDJ48" s="37"/>
      <c r="HDK48" s="37"/>
      <c r="HDL48" s="37"/>
      <c r="HDM48" s="37"/>
      <c r="HDN48" s="37"/>
      <c r="HDO48" s="37"/>
      <c r="HDP48" s="37"/>
      <c r="HDQ48" s="37"/>
      <c r="HDR48" s="37"/>
      <c r="HDS48" s="37"/>
      <c r="HDT48" s="37"/>
      <c r="HDU48" s="37"/>
      <c r="HDV48" s="37"/>
      <c r="HDW48" s="37"/>
      <c r="HDX48" s="37"/>
      <c r="HDY48" s="37"/>
      <c r="HDZ48" s="37"/>
      <c r="HEA48" s="37"/>
      <c r="HEB48" s="37"/>
      <c r="HEC48" s="37"/>
      <c r="HED48" s="37"/>
      <c r="HEE48" s="37"/>
      <c r="HEF48" s="37"/>
      <c r="HEG48" s="37"/>
      <c r="HEH48" s="37"/>
      <c r="HEI48" s="37"/>
      <c r="HEJ48" s="37"/>
      <c r="HEK48" s="37"/>
      <c r="HEL48" s="37"/>
      <c r="HEM48" s="37"/>
      <c r="HEN48" s="37"/>
      <c r="HEO48" s="37"/>
      <c r="HEP48" s="37"/>
      <c r="HEQ48" s="37"/>
      <c r="HER48" s="37"/>
      <c r="HES48" s="37"/>
      <c r="HET48" s="37"/>
      <c r="HEU48" s="37"/>
      <c r="HEV48" s="37"/>
      <c r="HEW48" s="37"/>
      <c r="HEX48" s="37"/>
      <c r="HEY48" s="37"/>
      <c r="HEZ48" s="37"/>
      <c r="HFA48" s="37"/>
      <c r="HFB48" s="37"/>
      <c r="HFC48" s="37"/>
      <c r="HFD48" s="37"/>
      <c r="HFE48" s="37"/>
      <c r="HFF48" s="37"/>
      <c r="HFG48" s="37"/>
      <c r="HFH48" s="37"/>
      <c r="HFI48" s="37"/>
      <c r="HFJ48" s="37"/>
      <c r="HFK48" s="37"/>
      <c r="HFL48" s="37"/>
      <c r="HFM48" s="37"/>
      <c r="HFN48" s="37"/>
      <c r="HFO48" s="37"/>
      <c r="HFP48" s="37"/>
      <c r="HFQ48" s="37"/>
      <c r="HFR48" s="37"/>
      <c r="HFS48" s="37"/>
      <c r="HFT48" s="37"/>
      <c r="HFU48" s="37"/>
      <c r="HFV48" s="37"/>
      <c r="HFW48" s="37"/>
      <c r="HFX48" s="37"/>
      <c r="HFY48" s="37"/>
      <c r="HFZ48" s="37"/>
      <c r="HGA48" s="37"/>
      <c r="HGB48" s="37"/>
      <c r="HGC48" s="37"/>
      <c r="HGD48" s="37"/>
      <c r="HGE48" s="37"/>
      <c r="HGF48" s="37"/>
      <c r="HGG48" s="37"/>
      <c r="HGH48" s="37"/>
      <c r="HGI48" s="37"/>
      <c r="HGJ48" s="37"/>
      <c r="HGK48" s="37"/>
      <c r="HGL48" s="37"/>
      <c r="HGM48" s="37"/>
      <c r="HGN48" s="37"/>
      <c r="HGO48" s="37"/>
      <c r="HGP48" s="37"/>
      <c r="HGQ48" s="37"/>
      <c r="HGR48" s="37"/>
      <c r="HGS48" s="37"/>
      <c r="HGT48" s="37"/>
      <c r="HGU48" s="37"/>
      <c r="HGV48" s="37"/>
      <c r="HGW48" s="37"/>
      <c r="HGX48" s="37"/>
      <c r="HGY48" s="37"/>
      <c r="HGZ48" s="37"/>
      <c r="HHA48" s="37"/>
      <c r="HHB48" s="37"/>
      <c r="HHC48" s="37"/>
      <c r="HHD48" s="37"/>
      <c r="HHE48" s="37"/>
      <c r="HHF48" s="37"/>
      <c r="HHG48" s="37"/>
      <c r="HHH48" s="37"/>
      <c r="HHI48" s="37"/>
      <c r="HHJ48" s="37"/>
      <c r="HHK48" s="37"/>
      <c r="HHL48" s="37"/>
      <c r="HHM48" s="37"/>
      <c r="HHN48" s="37"/>
      <c r="HHO48" s="37"/>
      <c r="HHP48" s="37"/>
      <c r="HHQ48" s="37"/>
      <c r="HHR48" s="37"/>
      <c r="HHS48" s="37"/>
      <c r="HHT48" s="37"/>
      <c r="HHU48" s="37"/>
      <c r="HHV48" s="37"/>
      <c r="HHW48" s="37"/>
      <c r="HHX48" s="37"/>
      <c r="HHY48" s="37"/>
      <c r="HHZ48" s="37"/>
      <c r="HIA48" s="37"/>
      <c r="HIB48" s="37"/>
      <c r="HIC48" s="37"/>
      <c r="HID48" s="37"/>
      <c r="HIE48" s="37"/>
      <c r="HIF48" s="37"/>
      <c r="HIG48" s="37"/>
      <c r="HIH48" s="37"/>
      <c r="HII48" s="37"/>
      <c r="HIJ48" s="37"/>
      <c r="HIK48" s="37"/>
      <c r="HIL48" s="37"/>
      <c r="HIM48" s="37"/>
      <c r="HIN48" s="37"/>
      <c r="HIO48" s="37"/>
      <c r="HIP48" s="37"/>
      <c r="HIQ48" s="37"/>
      <c r="HIR48" s="37"/>
      <c r="HIS48" s="37"/>
      <c r="HIT48" s="37"/>
      <c r="HIU48" s="37"/>
      <c r="HIV48" s="37"/>
      <c r="HIW48" s="37"/>
      <c r="HIX48" s="37"/>
      <c r="HIY48" s="37"/>
      <c r="HIZ48" s="37"/>
      <c r="HJA48" s="37"/>
      <c r="HJB48" s="37"/>
      <c r="HJC48" s="37"/>
      <c r="HJD48" s="37"/>
      <c r="HJE48" s="37"/>
      <c r="HJF48" s="37"/>
      <c r="HJG48" s="37"/>
      <c r="HJH48" s="37"/>
      <c r="HJI48" s="37"/>
      <c r="HJJ48" s="37"/>
      <c r="HJK48" s="37"/>
      <c r="HJL48" s="37"/>
      <c r="HJM48" s="37"/>
      <c r="HJN48" s="37"/>
      <c r="HJO48" s="37"/>
      <c r="HJP48" s="37"/>
      <c r="HJQ48" s="37"/>
      <c r="HJR48" s="37"/>
      <c r="HJS48" s="37"/>
      <c r="HJT48" s="37"/>
      <c r="HJU48" s="37"/>
      <c r="HJV48" s="37"/>
      <c r="HJW48" s="37"/>
      <c r="HJX48" s="37"/>
      <c r="HJY48" s="37"/>
      <c r="HJZ48" s="37"/>
      <c r="HKA48" s="37"/>
      <c r="HKB48" s="37"/>
      <c r="HKC48" s="37"/>
      <c r="HKD48" s="37"/>
      <c r="HKE48" s="37"/>
      <c r="HKF48" s="37"/>
      <c r="HKG48" s="37"/>
      <c r="HKH48" s="37"/>
      <c r="HKI48" s="37"/>
      <c r="HKJ48" s="37"/>
      <c r="HKK48" s="37"/>
      <c r="HKL48" s="37"/>
      <c r="HKM48" s="37"/>
      <c r="HKN48" s="37"/>
      <c r="HKO48" s="37"/>
      <c r="HKP48" s="37"/>
      <c r="HKQ48" s="37"/>
      <c r="HKR48" s="37"/>
      <c r="HKS48" s="37"/>
      <c r="HKT48" s="37"/>
      <c r="HKU48" s="37"/>
      <c r="HKV48" s="37"/>
      <c r="HKW48" s="37"/>
      <c r="HKX48" s="37"/>
      <c r="HKY48" s="37"/>
      <c r="HKZ48" s="37"/>
      <c r="HLA48" s="37"/>
      <c r="HLB48" s="37"/>
      <c r="HLC48" s="37"/>
      <c r="HLD48" s="37"/>
      <c r="HLE48" s="37"/>
      <c r="HLF48" s="37"/>
      <c r="HLG48" s="37"/>
      <c r="HLH48" s="37"/>
      <c r="HLI48" s="37"/>
      <c r="HLJ48" s="37"/>
      <c r="HLK48" s="37"/>
      <c r="HLL48" s="37"/>
      <c r="HLM48" s="37"/>
      <c r="HLN48" s="37"/>
      <c r="HLO48" s="37"/>
      <c r="HLP48" s="37"/>
      <c r="HLQ48" s="37"/>
      <c r="HLR48" s="37"/>
      <c r="HLS48" s="37"/>
      <c r="HLT48" s="37"/>
      <c r="HLU48" s="37"/>
      <c r="HLV48" s="37"/>
      <c r="HLW48" s="37"/>
      <c r="HLX48" s="37"/>
      <c r="HLY48" s="37"/>
      <c r="HLZ48" s="37"/>
      <c r="HMA48" s="37"/>
      <c r="HMB48" s="37"/>
      <c r="HMC48" s="37"/>
      <c r="HMD48" s="37"/>
      <c r="HME48" s="37"/>
      <c r="HMF48" s="37"/>
      <c r="HMG48" s="37"/>
      <c r="HMH48" s="37"/>
      <c r="HMI48" s="37"/>
      <c r="HMJ48" s="37"/>
      <c r="HMK48" s="37"/>
      <c r="HML48" s="37"/>
      <c r="HMM48" s="37"/>
      <c r="HMN48" s="37"/>
      <c r="HMO48" s="37"/>
      <c r="HMP48" s="37"/>
      <c r="HMQ48" s="37"/>
      <c r="HMR48" s="37"/>
      <c r="HMS48" s="37"/>
      <c r="HMT48" s="37"/>
      <c r="HMU48" s="37"/>
      <c r="HMV48" s="37"/>
      <c r="HMW48" s="37"/>
      <c r="HMX48" s="37"/>
      <c r="HMY48" s="37"/>
      <c r="HMZ48" s="37"/>
      <c r="HNA48" s="37"/>
      <c r="HNB48" s="37"/>
      <c r="HNC48" s="37"/>
      <c r="HND48" s="37"/>
      <c r="HNE48" s="37"/>
      <c r="HNF48" s="37"/>
      <c r="HNG48" s="37"/>
      <c r="HNH48" s="37"/>
      <c r="HNI48" s="37"/>
      <c r="HNJ48" s="37"/>
      <c r="HNK48" s="37"/>
      <c r="HNL48" s="37"/>
      <c r="HNM48" s="37"/>
      <c r="HNN48" s="37"/>
      <c r="HNO48" s="37"/>
      <c r="HNP48" s="37"/>
      <c r="HNQ48" s="37"/>
      <c r="HNR48" s="37"/>
      <c r="HNS48" s="37"/>
      <c r="HNT48" s="37"/>
      <c r="HNU48" s="37"/>
      <c r="HNV48" s="37"/>
      <c r="HNW48" s="37"/>
      <c r="HNX48" s="37"/>
      <c r="HNY48" s="37"/>
      <c r="HNZ48" s="37"/>
      <c r="HOA48" s="37"/>
      <c r="HOB48" s="37"/>
      <c r="HOC48" s="37"/>
      <c r="HOD48" s="37"/>
      <c r="HOE48" s="37"/>
      <c r="HOF48" s="37"/>
      <c r="HOG48" s="37"/>
      <c r="HOH48" s="37"/>
      <c r="HOI48" s="37"/>
      <c r="HOJ48" s="37"/>
      <c r="HOK48" s="37"/>
      <c r="HOL48" s="37"/>
      <c r="HOM48" s="37"/>
      <c r="HON48" s="37"/>
      <c r="HOO48" s="37"/>
      <c r="HOP48" s="37"/>
      <c r="HOQ48" s="37"/>
      <c r="HOR48" s="37"/>
      <c r="HOS48" s="37"/>
      <c r="HOT48" s="37"/>
      <c r="HOU48" s="37"/>
      <c r="HOV48" s="37"/>
      <c r="HOW48" s="37"/>
      <c r="HOX48" s="37"/>
      <c r="HOY48" s="37"/>
      <c r="HOZ48" s="37"/>
      <c r="HPA48" s="37"/>
      <c r="HPB48" s="37"/>
      <c r="HPC48" s="37"/>
      <c r="HPD48" s="37"/>
      <c r="HPE48" s="37"/>
      <c r="HPF48" s="37"/>
      <c r="HPG48" s="37"/>
      <c r="HPH48" s="37"/>
      <c r="HPI48" s="37"/>
      <c r="HPJ48" s="37"/>
      <c r="HPK48" s="37"/>
      <c r="HPL48" s="37"/>
      <c r="HPM48" s="37"/>
      <c r="HPN48" s="37"/>
      <c r="HPO48" s="37"/>
      <c r="HPP48" s="37"/>
      <c r="HPQ48" s="37"/>
      <c r="HPR48" s="37"/>
      <c r="HPS48" s="37"/>
      <c r="HPT48" s="37"/>
      <c r="HPU48" s="37"/>
      <c r="HPV48" s="37"/>
      <c r="HPW48" s="37"/>
      <c r="HPX48" s="37"/>
      <c r="HPY48" s="37"/>
      <c r="HPZ48" s="37"/>
      <c r="HQA48" s="37"/>
      <c r="HQB48" s="37"/>
      <c r="HQC48" s="37"/>
      <c r="HQD48" s="37"/>
      <c r="HQE48" s="37"/>
      <c r="HQF48" s="37"/>
      <c r="HQG48" s="37"/>
      <c r="HQH48" s="37"/>
      <c r="HQI48" s="37"/>
      <c r="HQJ48" s="37"/>
      <c r="HQK48" s="37"/>
      <c r="HQL48" s="37"/>
      <c r="HQM48" s="37"/>
      <c r="HQN48" s="37"/>
      <c r="HQO48" s="37"/>
      <c r="HQP48" s="37"/>
      <c r="HQQ48" s="37"/>
      <c r="HQR48" s="37"/>
      <c r="HQS48" s="37"/>
      <c r="HQT48" s="37"/>
      <c r="HQU48" s="37"/>
      <c r="HQV48" s="37"/>
      <c r="HQW48" s="37"/>
      <c r="HQX48" s="37"/>
      <c r="HQY48" s="37"/>
      <c r="HQZ48" s="37"/>
      <c r="HRA48" s="37"/>
      <c r="HRB48" s="37"/>
      <c r="HRC48" s="37"/>
      <c r="HRD48" s="37"/>
      <c r="HRE48" s="37"/>
      <c r="HRF48" s="37"/>
      <c r="HRG48" s="37"/>
      <c r="HRH48" s="37"/>
      <c r="HRI48" s="37"/>
      <c r="HRJ48" s="37"/>
      <c r="HRK48" s="37"/>
      <c r="HRL48" s="37"/>
      <c r="HRM48" s="37"/>
      <c r="HRN48" s="37"/>
      <c r="HRO48" s="37"/>
      <c r="HRP48" s="37"/>
      <c r="HRQ48" s="37"/>
      <c r="HRR48" s="37"/>
      <c r="HRS48" s="37"/>
      <c r="HRT48" s="37"/>
      <c r="HRU48" s="37"/>
      <c r="HRV48" s="37"/>
      <c r="HRW48" s="37"/>
      <c r="HRX48" s="37"/>
      <c r="HRY48" s="37"/>
      <c r="HRZ48" s="37"/>
      <c r="HSA48" s="37"/>
      <c r="HSB48" s="37"/>
      <c r="HSC48" s="37"/>
      <c r="HSD48" s="37"/>
      <c r="HSE48" s="37"/>
      <c r="HSF48" s="37"/>
      <c r="HSG48" s="37"/>
      <c r="HSH48" s="37"/>
      <c r="HSI48" s="37"/>
      <c r="HSJ48" s="37"/>
      <c r="HSK48" s="37"/>
      <c r="HSL48" s="37"/>
      <c r="HSM48" s="37"/>
      <c r="HSN48" s="37"/>
      <c r="HSO48" s="37"/>
      <c r="HSP48" s="37"/>
      <c r="HSQ48" s="37"/>
      <c r="HSR48" s="37"/>
      <c r="HSS48" s="37"/>
      <c r="HST48" s="37"/>
      <c r="HSU48" s="37"/>
      <c r="HSV48" s="37"/>
      <c r="HSW48" s="37"/>
      <c r="HSX48" s="37"/>
      <c r="HSY48" s="37"/>
      <c r="HSZ48" s="37"/>
      <c r="HTA48" s="37"/>
      <c r="HTB48" s="37"/>
      <c r="HTC48" s="37"/>
      <c r="HTD48" s="37"/>
      <c r="HTE48" s="37"/>
      <c r="HTF48" s="37"/>
      <c r="HTG48" s="37"/>
      <c r="HTH48" s="37"/>
      <c r="HTI48" s="37"/>
      <c r="HTJ48" s="37"/>
      <c r="HTK48" s="37"/>
      <c r="HTL48" s="37"/>
      <c r="HTM48" s="37"/>
      <c r="HTN48" s="37"/>
      <c r="HTO48" s="37"/>
      <c r="HTP48" s="37"/>
      <c r="HTQ48" s="37"/>
      <c r="HTR48" s="37"/>
      <c r="HTS48" s="37"/>
      <c r="HTT48" s="37"/>
      <c r="HTU48" s="37"/>
      <c r="HTV48" s="37"/>
      <c r="HTW48" s="37"/>
      <c r="HTX48" s="37"/>
      <c r="HTY48" s="37"/>
      <c r="HTZ48" s="37"/>
      <c r="HUA48" s="37"/>
      <c r="HUB48" s="37"/>
      <c r="HUC48" s="37"/>
      <c r="HUD48" s="37"/>
      <c r="HUE48" s="37"/>
      <c r="HUF48" s="37"/>
      <c r="HUG48" s="37"/>
      <c r="HUH48" s="37"/>
      <c r="HUI48" s="37"/>
      <c r="HUJ48" s="37"/>
      <c r="HUK48" s="37"/>
      <c r="HUL48" s="37"/>
      <c r="HUM48" s="37"/>
      <c r="HUN48" s="37"/>
      <c r="HUO48" s="37"/>
      <c r="HUP48" s="37"/>
      <c r="HUQ48" s="37"/>
      <c r="HUR48" s="37"/>
      <c r="HUS48" s="37"/>
      <c r="HUT48" s="37"/>
      <c r="HUU48" s="37"/>
      <c r="HUV48" s="37"/>
      <c r="HUW48" s="37"/>
      <c r="HUX48" s="37"/>
      <c r="HUY48" s="37"/>
      <c r="HUZ48" s="37"/>
      <c r="HVA48" s="37"/>
      <c r="HVB48" s="37"/>
      <c r="HVC48" s="37"/>
      <c r="HVD48" s="37"/>
      <c r="HVE48" s="37"/>
      <c r="HVF48" s="37"/>
      <c r="HVG48" s="37"/>
      <c r="HVH48" s="37"/>
      <c r="HVI48" s="37"/>
      <c r="HVJ48" s="37"/>
      <c r="HVK48" s="37"/>
      <c r="HVL48" s="37"/>
      <c r="HVM48" s="37"/>
      <c r="HVN48" s="37"/>
      <c r="HVO48" s="37"/>
      <c r="HVP48" s="37"/>
      <c r="HVQ48" s="37"/>
      <c r="HVR48" s="37"/>
      <c r="HVS48" s="37"/>
      <c r="HVT48" s="37"/>
      <c r="HVU48" s="37"/>
      <c r="HVV48" s="37"/>
      <c r="HVW48" s="37"/>
      <c r="HVX48" s="37"/>
      <c r="HVY48" s="37"/>
      <c r="HVZ48" s="37"/>
      <c r="HWA48" s="37"/>
      <c r="HWB48" s="37"/>
      <c r="HWC48" s="37"/>
      <c r="HWD48" s="37"/>
      <c r="HWE48" s="37"/>
      <c r="HWF48" s="37"/>
      <c r="HWG48" s="37"/>
      <c r="HWH48" s="37"/>
      <c r="HWI48" s="37"/>
      <c r="HWJ48" s="37"/>
      <c r="HWK48" s="37"/>
      <c r="HWL48" s="37"/>
      <c r="HWM48" s="37"/>
      <c r="HWN48" s="37"/>
      <c r="HWO48" s="37"/>
      <c r="HWP48" s="37"/>
      <c r="HWQ48" s="37"/>
      <c r="HWR48" s="37"/>
      <c r="HWS48" s="37"/>
      <c r="HWT48" s="37"/>
      <c r="HWU48" s="37"/>
      <c r="HWV48" s="37"/>
      <c r="HWW48" s="37"/>
      <c r="HWX48" s="37"/>
      <c r="HWY48" s="37"/>
      <c r="HWZ48" s="37"/>
      <c r="HXA48" s="37"/>
      <c r="HXB48" s="37"/>
      <c r="HXC48" s="37"/>
      <c r="HXD48" s="37"/>
      <c r="HXE48" s="37"/>
      <c r="HXF48" s="37"/>
      <c r="HXG48" s="37"/>
      <c r="HXH48" s="37"/>
      <c r="HXI48" s="37"/>
      <c r="HXJ48" s="37"/>
      <c r="HXK48" s="37"/>
      <c r="HXL48" s="37"/>
      <c r="HXM48" s="37"/>
      <c r="HXN48" s="37"/>
      <c r="HXO48" s="37"/>
      <c r="HXP48" s="37"/>
      <c r="HXQ48" s="37"/>
      <c r="HXR48" s="37"/>
      <c r="HXS48" s="37"/>
      <c r="HXT48" s="37"/>
      <c r="HXU48" s="37"/>
      <c r="HXV48" s="37"/>
      <c r="HXW48" s="37"/>
      <c r="HXX48" s="37"/>
      <c r="HXY48" s="37"/>
      <c r="HXZ48" s="37"/>
      <c r="HYA48" s="37"/>
      <c r="HYB48" s="37"/>
      <c r="HYC48" s="37"/>
      <c r="HYD48" s="37"/>
      <c r="HYE48" s="37"/>
      <c r="HYF48" s="37"/>
      <c r="HYG48" s="37"/>
      <c r="HYH48" s="37"/>
      <c r="HYI48" s="37"/>
      <c r="HYJ48" s="37"/>
      <c r="HYK48" s="37"/>
      <c r="HYL48" s="37"/>
      <c r="HYM48" s="37"/>
      <c r="HYN48" s="37"/>
      <c r="HYO48" s="37"/>
      <c r="HYP48" s="37"/>
      <c r="HYQ48" s="37"/>
      <c r="HYR48" s="37"/>
      <c r="HYS48" s="37"/>
      <c r="HYT48" s="37"/>
      <c r="HYU48" s="37"/>
      <c r="HYV48" s="37"/>
      <c r="HYW48" s="37"/>
      <c r="HYX48" s="37"/>
      <c r="HYY48" s="37"/>
      <c r="HYZ48" s="37"/>
      <c r="HZA48" s="37"/>
      <c r="HZB48" s="37"/>
      <c r="HZC48" s="37"/>
      <c r="HZD48" s="37"/>
      <c r="HZE48" s="37"/>
      <c r="HZF48" s="37"/>
      <c r="HZG48" s="37"/>
      <c r="HZH48" s="37"/>
      <c r="HZI48" s="37"/>
      <c r="HZJ48" s="37"/>
      <c r="HZK48" s="37"/>
      <c r="HZL48" s="37"/>
      <c r="HZM48" s="37"/>
      <c r="HZN48" s="37"/>
      <c r="HZO48" s="37"/>
      <c r="HZP48" s="37"/>
      <c r="HZQ48" s="37"/>
      <c r="HZR48" s="37"/>
      <c r="HZS48" s="37"/>
      <c r="HZT48" s="37"/>
      <c r="HZU48" s="37"/>
      <c r="HZV48" s="37"/>
      <c r="HZW48" s="37"/>
      <c r="HZX48" s="37"/>
      <c r="HZY48" s="37"/>
      <c r="HZZ48" s="37"/>
      <c r="IAA48" s="37"/>
      <c r="IAB48" s="37"/>
      <c r="IAC48" s="37"/>
      <c r="IAD48" s="37"/>
      <c r="IAE48" s="37"/>
      <c r="IAF48" s="37"/>
      <c r="IAG48" s="37"/>
      <c r="IAH48" s="37"/>
      <c r="IAI48" s="37"/>
      <c r="IAJ48" s="37"/>
      <c r="IAK48" s="37"/>
      <c r="IAL48" s="37"/>
      <c r="IAM48" s="37"/>
      <c r="IAN48" s="37"/>
      <c r="IAO48" s="37"/>
      <c r="IAP48" s="37"/>
      <c r="IAQ48" s="37"/>
      <c r="IAR48" s="37"/>
      <c r="IAS48" s="37"/>
      <c r="IAT48" s="37"/>
      <c r="IAU48" s="37"/>
      <c r="IAV48" s="37"/>
      <c r="IAW48" s="37"/>
      <c r="IAX48" s="37"/>
      <c r="IAY48" s="37"/>
      <c r="IAZ48" s="37"/>
      <c r="IBA48" s="37"/>
      <c r="IBB48" s="37"/>
      <c r="IBC48" s="37"/>
      <c r="IBD48" s="37"/>
      <c r="IBE48" s="37"/>
      <c r="IBF48" s="37"/>
      <c r="IBG48" s="37"/>
      <c r="IBH48" s="37"/>
      <c r="IBI48" s="37"/>
      <c r="IBJ48" s="37"/>
      <c r="IBK48" s="37"/>
      <c r="IBL48" s="37"/>
      <c r="IBM48" s="37"/>
      <c r="IBN48" s="37"/>
      <c r="IBO48" s="37"/>
      <c r="IBP48" s="37"/>
      <c r="IBQ48" s="37"/>
      <c r="IBR48" s="37"/>
      <c r="IBS48" s="37"/>
      <c r="IBT48" s="37"/>
      <c r="IBU48" s="37"/>
      <c r="IBV48" s="37"/>
      <c r="IBW48" s="37"/>
      <c r="IBX48" s="37"/>
      <c r="IBY48" s="37"/>
      <c r="IBZ48" s="37"/>
      <c r="ICA48" s="37"/>
      <c r="ICB48" s="37"/>
      <c r="ICC48" s="37"/>
      <c r="ICD48" s="37"/>
      <c r="ICE48" s="37"/>
      <c r="ICF48" s="37"/>
      <c r="ICG48" s="37"/>
      <c r="ICH48" s="37"/>
      <c r="ICI48" s="37"/>
      <c r="ICJ48" s="37"/>
      <c r="ICK48" s="37"/>
      <c r="ICL48" s="37"/>
      <c r="ICM48" s="37"/>
      <c r="ICN48" s="37"/>
      <c r="ICO48" s="37"/>
      <c r="ICP48" s="37"/>
      <c r="ICQ48" s="37"/>
      <c r="ICR48" s="37"/>
      <c r="ICS48" s="37"/>
      <c r="ICT48" s="37"/>
      <c r="ICU48" s="37"/>
      <c r="ICV48" s="37"/>
      <c r="ICW48" s="37"/>
      <c r="ICX48" s="37"/>
      <c r="ICY48" s="37"/>
      <c r="ICZ48" s="37"/>
      <c r="IDA48" s="37"/>
      <c r="IDB48" s="37"/>
      <c r="IDC48" s="37"/>
      <c r="IDD48" s="37"/>
      <c r="IDE48" s="37"/>
      <c r="IDF48" s="37"/>
      <c r="IDG48" s="37"/>
      <c r="IDH48" s="37"/>
      <c r="IDI48" s="37"/>
      <c r="IDJ48" s="37"/>
      <c r="IDK48" s="37"/>
      <c r="IDL48" s="37"/>
      <c r="IDM48" s="37"/>
      <c r="IDN48" s="37"/>
      <c r="IDO48" s="37"/>
      <c r="IDP48" s="37"/>
      <c r="IDQ48" s="37"/>
      <c r="IDR48" s="37"/>
      <c r="IDS48" s="37"/>
      <c r="IDT48" s="37"/>
      <c r="IDU48" s="37"/>
      <c r="IDV48" s="37"/>
      <c r="IDW48" s="37"/>
      <c r="IDX48" s="37"/>
      <c r="IDY48" s="37"/>
      <c r="IDZ48" s="37"/>
      <c r="IEA48" s="37"/>
      <c r="IEB48" s="37"/>
      <c r="IEC48" s="37"/>
      <c r="IED48" s="37"/>
      <c r="IEE48" s="37"/>
      <c r="IEF48" s="37"/>
      <c r="IEG48" s="37"/>
      <c r="IEH48" s="37"/>
      <c r="IEI48" s="37"/>
      <c r="IEJ48" s="37"/>
      <c r="IEK48" s="37"/>
      <c r="IEL48" s="37"/>
      <c r="IEM48" s="37"/>
      <c r="IEN48" s="37"/>
      <c r="IEO48" s="37"/>
      <c r="IEP48" s="37"/>
      <c r="IEQ48" s="37"/>
      <c r="IER48" s="37"/>
      <c r="IES48" s="37"/>
      <c r="IET48" s="37"/>
      <c r="IEU48" s="37"/>
      <c r="IEV48" s="37"/>
      <c r="IEW48" s="37"/>
      <c r="IEX48" s="37"/>
      <c r="IEY48" s="37"/>
      <c r="IEZ48" s="37"/>
      <c r="IFA48" s="37"/>
      <c r="IFB48" s="37"/>
      <c r="IFC48" s="37"/>
      <c r="IFD48" s="37"/>
      <c r="IFE48" s="37"/>
      <c r="IFF48" s="37"/>
      <c r="IFG48" s="37"/>
      <c r="IFH48" s="37"/>
      <c r="IFI48" s="37"/>
      <c r="IFJ48" s="37"/>
      <c r="IFK48" s="37"/>
      <c r="IFL48" s="37"/>
      <c r="IFM48" s="37"/>
      <c r="IFN48" s="37"/>
      <c r="IFO48" s="37"/>
      <c r="IFP48" s="37"/>
      <c r="IFQ48" s="37"/>
      <c r="IFR48" s="37"/>
      <c r="IFS48" s="37"/>
      <c r="IFT48" s="37"/>
      <c r="IFU48" s="37"/>
      <c r="IFV48" s="37"/>
      <c r="IFW48" s="37"/>
      <c r="IFX48" s="37"/>
      <c r="IFY48" s="37"/>
      <c r="IFZ48" s="37"/>
      <c r="IGA48" s="37"/>
      <c r="IGB48" s="37"/>
      <c r="IGC48" s="37"/>
      <c r="IGD48" s="37"/>
      <c r="IGE48" s="37"/>
      <c r="IGF48" s="37"/>
      <c r="IGG48" s="37"/>
      <c r="IGH48" s="37"/>
      <c r="IGI48" s="37"/>
      <c r="IGJ48" s="37"/>
      <c r="IGK48" s="37"/>
      <c r="IGL48" s="37"/>
      <c r="IGM48" s="37"/>
      <c r="IGN48" s="37"/>
      <c r="IGO48" s="37"/>
      <c r="IGP48" s="37"/>
      <c r="IGQ48" s="37"/>
      <c r="IGR48" s="37"/>
      <c r="IGS48" s="37"/>
      <c r="IGT48" s="37"/>
      <c r="IGU48" s="37"/>
      <c r="IGV48" s="37"/>
      <c r="IGW48" s="37"/>
      <c r="IGX48" s="37"/>
      <c r="IGY48" s="37"/>
      <c r="IGZ48" s="37"/>
      <c r="IHA48" s="37"/>
      <c r="IHB48" s="37"/>
      <c r="IHC48" s="37"/>
      <c r="IHD48" s="37"/>
      <c r="IHE48" s="37"/>
      <c r="IHF48" s="37"/>
      <c r="IHG48" s="37"/>
      <c r="IHH48" s="37"/>
      <c r="IHI48" s="37"/>
      <c r="IHJ48" s="37"/>
      <c r="IHK48" s="37"/>
      <c r="IHL48" s="37"/>
      <c r="IHM48" s="37"/>
      <c r="IHN48" s="37"/>
      <c r="IHO48" s="37"/>
      <c r="IHP48" s="37"/>
      <c r="IHQ48" s="37"/>
      <c r="IHR48" s="37"/>
      <c r="IHS48" s="37"/>
      <c r="IHT48" s="37"/>
      <c r="IHU48" s="37"/>
      <c r="IHV48" s="37"/>
      <c r="IHW48" s="37"/>
      <c r="IHX48" s="37"/>
      <c r="IHY48" s="37"/>
      <c r="IHZ48" s="37"/>
      <c r="IIA48" s="37"/>
      <c r="IIB48" s="37"/>
      <c r="IIC48" s="37"/>
      <c r="IID48" s="37"/>
      <c r="IIE48" s="37"/>
      <c r="IIF48" s="37"/>
      <c r="IIG48" s="37"/>
      <c r="IIH48" s="37"/>
      <c r="III48" s="37"/>
      <c r="IIJ48" s="37"/>
      <c r="IIK48" s="37"/>
      <c r="IIL48" s="37"/>
      <c r="IIM48" s="37"/>
      <c r="IIN48" s="37"/>
      <c r="IIO48" s="37"/>
      <c r="IIP48" s="37"/>
      <c r="IIQ48" s="37"/>
      <c r="IIR48" s="37"/>
      <c r="IIS48" s="37"/>
      <c r="IIT48" s="37"/>
      <c r="IIU48" s="37"/>
      <c r="IIV48" s="37"/>
      <c r="IIW48" s="37"/>
      <c r="IIX48" s="37"/>
      <c r="IIY48" s="37"/>
      <c r="IIZ48" s="37"/>
      <c r="IJA48" s="37"/>
      <c r="IJB48" s="37"/>
      <c r="IJC48" s="37"/>
      <c r="IJD48" s="37"/>
      <c r="IJE48" s="37"/>
      <c r="IJF48" s="37"/>
      <c r="IJG48" s="37"/>
      <c r="IJH48" s="37"/>
      <c r="IJI48" s="37"/>
      <c r="IJJ48" s="37"/>
      <c r="IJK48" s="37"/>
      <c r="IJL48" s="37"/>
      <c r="IJM48" s="37"/>
      <c r="IJN48" s="37"/>
      <c r="IJO48" s="37"/>
      <c r="IJP48" s="37"/>
      <c r="IJQ48" s="37"/>
      <c r="IJR48" s="37"/>
      <c r="IJS48" s="37"/>
      <c r="IJT48" s="37"/>
      <c r="IJU48" s="37"/>
      <c r="IJV48" s="37"/>
      <c r="IJW48" s="37"/>
      <c r="IJX48" s="37"/>
      <c r="IJY48" s="37"/>
      <c r="IJZ48" s="37"/>
      <c r="IKA48" s="37"/>
      <c r="IKB48" s="37"/>
      <c r="IKC48" s="37"/>
      <c r="IKD48" s="37"/>
      <c r="IKE48" s="37"/>
      <c r="IKF48" s="37"/>
      <c r="IKG48" s="37"/>
      <c r="IKH48" s="37"/>
      <c r="IKI48" s="37"/>
      <c r="IKJ48" s="37"/>
      <c r="IKK48" s="37"/>
      <c r="IKL48" s="37"/>
      <c r="IKM48" s="37"/>
      <c r="IKN48" s="37"/>
      <c r="IKO48" s="37"/>
      <c r="IKP48" s="37"/>
      <c r="IKQ48" s="37"/>
      <c r="IKR48" s="37"/>
      <c r="IKS48" s="37"/>
      <c r="IKT48" s="37"/>
      <c r="IKU48" s="37"/>
      <c r="IKV48" s="37"/>
      <c r="IKW48" s="37"/>
      <c r="IKX48" s="37"/>
      <c r="IKY48" s="37"/>
      <c r="IKZ48" s="37"/>
      <c r="ILA48" s="37"/>
      <c r="ILB48" s="37"/>
      <c r="ILC48" s="37"/>
      <c r="ILD48" s="37"/>
      <c r="ILE48" s="37"/>
      <c r="ILF48" s="37"/>
      <c r="ILG48" s="37"/>
      <c r="ILH48" s="37"/>
      <c r="ILI48" s="37"/>
      <c r="ILJ48" s="37"/>
      <c r="ILK48" s="37"/>
      <c r="ILL48" s="37"/>
      <c r="ILM48" s="37"/>
      <c r="ILN48" s="37"/>
      <c r="ILO48" s="37"/>
      <c r="ILP48" s="37"/>
      <c r="ILQ48" s="37"/>
      <c r="ILR48" s="37"/>
      <c r="ILS48" s="37"/>
      <c r="ILT48" s="37"/>
      <c r="ILU48" s="37"/>
      <c r="ILV48" s="37"/>
      <c r="ILW48" s="37"/>
      <c r="ILX48" s="37"/>
      <c r="ILY48" s="37"/>
      <c r="ILZ48" s="37"/>
      <c r="IMA48" s="37"/>
      <c r="IMB48" s="37"/>
      <c r="IMC48" s="37"/>
      <c r="IMD48" s="37"/>
      <c r="IME48" s="37"/>
      <c r="IMF48" s="37"/>
      <c r="IMG48" s="37"/>
      <c r="IMH48" s="37"/>
      <c r="IMI48" s="37"/>
      <c r="IMJ48" s="37"/>
      <c r="IMK48" s="37"/>
      <c r="IML48" s="37"/>
      <c r="IMM48" s="37"/>
      <c r="IMN48" s="37"/>
      <c r="IMO48" s="37"/>
      <c r="IMP48" s="37"/>
      <c r="IMQ48" s="37"/>
      <c r="IMR48" s="37"/>
      <c r="IMS48" s="37"/>
      <c r="IMT48" s="37"/>
      <c r="IMU48" s="37"/>
      <c r="IMV48" s="37"/>
      <c r="IMW48" s="37"/>
      <c r="IMX48" s="37"/>
      <c r="IMY48" s="37"/>
      <c r="IMZ48" s="37"/>
      <c r="INA48" s="37"/>
      <c r="INB48" s="37"/>
      <c r="INC48" s="37"/>
      <c r="IND48" s="37"/>
      <c r="INE48" s="37"/>
      <c r="INF48" s="37"/>
      <c r="ING48" s="37"/>
      <c r="INH48" s="37"/>
      <c r="INI48" s="37"/>
      <c r="INJ48" s="37"/>
      <c r="INK48" s="37"/>
      <c r="INL48" s="37"/>
      <c r="INM48" s="37"/>
      <c r="INN48" s="37"/>
      <c r="INO48" s="37"/>
      <c r="INP48" s="37"/>
      <c r="INQ48" s="37"/>
      <c r="INR48" s="37"/>
      <c r="INS48" s="37"/>
      <c r="INT48" s="37"/>
      <c r="INU48" s="37"/>
      <c r="INV48" s="37"/>
      <c r="INW48" s="37"/>
      <c r="INX48" s="37"/>
      <c r="INY48" s="37"/>
      <c r="INZ48" s="37"/>
      <c r="IOA48" s="37"/>
      <c r="IOB48" s="37"/>
      <c r="IOC48" s="37"/>
      <c r="IOD48" s="37"/>
      <c r="IOE48" s="37"/>
      <c r="IOF48" s="37"/>
      <c r="IOG48" s="37"/>
      <c r="IOH48" s="37"/>
      <c r="IOI48" s="37"/>
      <c r="IOJ48" s="37"/>
      <c r="IOK48" s="37"/>
      <c r="IOL48" s="37"/>
      <c r="IOM48" s="37"/>
      <c r="ION48" s="37"/>
      <c r="IOO48" s="37"/>
      <c r="IOP48" s="37"/>
      <c r="IOQ48" s="37"/>
      <c r="IOR48" s="37"/>
      <c r="IOS48" s="37"/>
      <c r="IOT48" s="37"/>
      <c r="IOU48" s="37"/>
      <c r="IOV48" s="37"/>
      <c r="IOW48" s="37"/>
      <c r="IOX48" s="37"/>
      <c r="IOY48" s="37"/>
      <c r="IOZ48" s="37"/>
      <c r="IPA48" s="37"/>
      <c r="IPB48" s="37"/>
      <c r="IPC48" s="37"/>
      <c r="IPD48" s="37"/>
      <c r="IPE48" s="37"/>
      <c r="IPF48" s="37"/>
      <c r="IPG48" s="37"/>
      <c r="IPH48" s="37"/>
      <c r="IPI48" s="37"/>
      <c r="IPJ48" s="37"/>
      <c r="IPK48" s="37"/>
      <c r="IPL48" s="37"/>
      <c r="IPM48" s="37"/>
      <c r="IPN48" s="37"/>
      <c r="IPO48" s="37"/>
      <c r="IPP48" s="37"/>
      <c r="IPQ48" s="37"/>
      <c r="IPR48" s="37"/>
      <c r="IPS48" s="37"/>
      <c r="IPT48" s="37"/>
      <c r="IPU48" s="37"/>
      <c r="IPV48" s="37"/>
      <c r="IPW48" s="37"/>
      <c r="IPX48" s="37"/>
      <c r="IPY48" s="37"/>
      <c r="IPZ48" s="37"/>
      <c r="IQA48" s="37"/>
      <c r="IQB48" s="37"/>
      <c r="IQC48" s="37"/>
      <c r="IQD48" s="37"/>
      <c r="IQE48" s="37"/>
      <c r="IQF48" s="37"/>
      <c r="IQG48" s="37"/>
      <c r="IQH48" s="37"/>
      <c r="IQI48" s="37"/>
      <c r="IQJ48" s="37"/>
      <c r="IQK48" s="37"/>
      <c r="IQL48" s="37"/>
      <c r="IQM48" s="37"/>
      <c r="IQN48" s="37"/>
      <c r="IQO48" s="37"/>
      <c r="IQP48" s="37"/>
      <c r="IQQ48" s="37"/>
      <c r="IQR48" s="37"/>
      <c r="IQS48" s="37"/>
      <c r="IQT48" s="37"/>
      <c r="IQU48" s="37"/>
      <c r="IQV48" s="37"/>
      <c r="IQW48" s="37"/>
      <c r="IQX48" s="37"/>
      <c r="IQY48" s="37"/>
      <c r="IQZ48" s="37"/>
      <c r="IRA48" s="37"/>
      <c r="IRB48" s="37"/>
      <c r="IRC48" s="37"/>
      <c r="IRD48" s="37"/>
      <c r="IRE48" s="37"/>
      <c r="IRF48" s="37"/>
      <c r="IRG48" s="37"/>
      <c r="IRH48" s="37"/>
      <c r="IRI48" s="37"/>
      <c r="IRJ48" s="37"/>
      <c r="IRK48" s="37"/>
      <c r="IRL48" s="37"/>
      <c r="IRM48" s="37"/>
      <c r="IRN48" s="37"/>
      <c r="IRO48" s="37"/>
      <c r="IRP48" s="37"/>
      <c r="IRQ48" s="37"/>
      <c r="IRR48" s="37"/>
      <c r="IRS48" s="37"/>
      <c r="IRT48" s="37"/>
      <c r="IRU48" s="37"/>
      <c r="IRV48" s="37"/>
      <c r="IRW48" s="37"/>
      <c r="IRX48" s="37"/>
      <c r="IRY48" s="37"/>
      <c r="IRZ48" s="37"/>
      <c r="ISA48" s="37"/>
      <c r="ISB48" s="37"/>
      <c r="ISC48" s="37"/>
      <c r="ISD48" s="37"/>
      <c r="ISE48" s="37"/>
      <c r="ISF48" s="37"/>
      <c r="ISG48" s="37"/>
      <c r="ISH48" s="37"/>
      <c r="ISI48" s="37"/>
      <c r="ISJ48" s="37"/>
      <c r="ISK48" s="37"/>
      <c r="ISL48" s="37"/>
      <c r="ISM48" s="37"/>
      <c r="ISN48" s="37"/>
      <c r="ISO48" s="37"/>
      <c r="ISP48" s="37"/>
      <c r="ISQ48" s="37"/>
      <c r="ISR48" s="37"/>
      <c r="ISS48" s="37"/>
      <c r="IST48" s="37"/>
      <c r="ISU48" s="37"/>
      <c r="ISV48" s="37"/>
      <c r="ISW48" s="37"/>
      <c r="ISX48" s="37"/>
      <c r="ISY48" s="37"/>
      <c r="ISZ48" s="37"/>
      <c r="ITA48" s="37"/>
      <c r="ITB48" s="37"/>
      <c r="ITC48" s="37"/>
      <c r="ITD48" s="37"/>
      <c r="ITE48" s="37"/>
      <c r="ITF48" s="37"/>
      <c r="ITG48" s="37"/>
      <c r="ITH48" s="37"/>
      <c r="ITI48" s="37"/>
      <c r="ITJ48" s="37"/>
      <c r="ITK48" s="37"/>
      <c r="ITL48" s="37"/>
      <c r="ITM48" s="37"/>
      <c r="ITN48" s="37"/>
      <c r="ITO48" s="37"/>
      <c r="ITP48" s="37"/>
      <c r="ITQ48" s="37"/>
      <c r="ITR48" s="37"/>
      <c r="ITS48" s="37"/>
      <c r="ITT48" s="37"/>
      <c r="ITU48" s="37"/>
      <c r="ITV48" s="37"/>
      <c r="ITW48" s="37"/>
      <c r="ITX48" s="37"/>
      <c r="ITY48" s="37"/>
      <c r="ITZ48" s="37"/>
      <c r="IUA48" s="37"/>
      <c r="IUB48" s="37"/>
      <c r="IUC48" s="37"/>
      <c r="IUD48" s="37"/>
      <c r="IUE48" s="37"/>
      <c r="IUF48" s="37"/>
      <c r="IUG48" s="37"/>
      <c r="IUH48" s="37"/>
      <c r="IUI48" s="37"/>
      <c r="IUJ48" s="37"/>
      <c r="IUK48" s="37"/>
      <c r="IUL48" s="37"/>
      <c r="IUM48" s="37"/>
      <c r="IUN48" s="37"/>
      <c r="IUO48" s="37"/>
      <c r="IUP48" s="37"/>
      <c r="IUQ48" s="37"/>
      <c r="IUR48" s="37"/>
      <c r="IUS48" s="37"/>
      <c r="IUT48" s="37"/>
      <c r="IUU48" s="37"/>
      <c r="IUV48" s="37"/>
      <c r="IUW48" s="37"/>
      <c r="IUX48" s="37"/>
      <c r="IUY48" s="37"/>
      <c r="IUZ48" s="37"/>
      <c r="IVA48" s="37"/>
      <c r="IVB48" s="37"/>
      <c r="IVC48" s="37"/>
      <c r="IVD48" s="37"/>
      <c r="IVE48" s="37"/>
      <c r="IVF48" s="37"/>
      <c r="IVG48" s="37"/>
      <c r="IVH48" s="37"/>
      <c r="IVI48" s="37"/>
      <c r="IVJ48" s="37"/>
      <c r="IVK48" s="37"/>
      <c r="IVL48" s="37"/>
      <c r="IVM48" s="37"/>
      <c r="IVN48" s="37"/>
      <c r="IVO48" s="37"/>
      <c r="IVP48" s="37"/>
      <c r="IVQ48" s="37"/>
      <c r="IVR48" s="37"/>
      <c r="IVS48" s="37"/>
      <c r="IVT48" s="37"/>
      <c r="IVU48" s="37"/>
      <c r="IVV48" s="37"/>
      <c r="IVW48" s="37"/>
      <c r="IVX48" s="37"/>
      <c r="IVY48" s="37"/>
      <c r="IVZ48" s="37"/>
      <c r="IWA48" s="37"/>
      <c r="IWB48" s="37"/>
      <c r="IWC48" s="37"/>
      <c r="IWD48" s="37"/>
      <c r="IWE48" s="37"/>
      <c r="IWF48" s="37"/>
      <c r="IWG48" s="37"/>
      <c r="IWH48" s="37"/>
      <c r="IWI48" s="37"/>
      <c r="IWJ48" s="37"/>
      <c r="IWK48" s="37"/>
      <c r="IWL48" s="37"/>
      <c r="IWM48" s="37"/>
      <c r="IWN48" s="37"/>
      <c r="IWO48" s="37"/>
      <c r="IWP48" s="37"/>
      <c r="IWQ48" s="37"/>
      <c r="IWR48" s="37"/>
      <c r="IWS48" s="37"/>
      <c r="IWT48" s="37"/>
      <c r="IWU48" s="37"/>
      <c r="IWV48" s="37"/>
      <c r="IWW48" s="37"/>
      <c r="IWX48" s="37"/>
      <c r="IWY48" s="37"/>
      <c r="IWZ48" s="37"/>
      <c r="IXA48" s="37"/>
      <c r="IXB48" s="37"/>
      <c r="IXC48" s="37"/>
      <c r="IXD48" s="37"/>
      <c r="IXE48" s="37"/>
      <c r="IXF48" s="37"/>
      <c r="IXG48" s="37"/>
      <c r="IXH48" s="37"/>
      <c r="IXI48" s="37"/>
      <c r="IXJ48" s="37"/>
      <c r="IXK48" s="37"/>
      <c r="IXL48" s="37"/>
      <c r="IXM48" s="37"/>
      <c r="IXN48" s="37"/>
      <c r="IXO48" s="37"/>
      <c r="IXP48" s="37"/>
      <c r="IXQ48" s="37"/>
      <c r="IXR48" s="37"/>
      <c r="IXS48" s="37"/>
      <c r="IXT48" s="37"/>
      <c r="IXU48" s="37"/>
      <c r="IXV48" s="37"/>
      <c r="IXW48" s="37"/>
      <c r="IXX48" s="37"/>
      <c r="IXY48" s="37"/>
      <c r="IXZ48" s="37"/>
      <c r="IYA48" s="37"/>
      <c r="IYB48" s="37"/>
      <c r="IYC48" s="37"/>
      <c r="IYD48" s="37"/>
      <c r="IYE48" s="37"/>
      <c r="IYF48" s="37"/>
      <c r="IYG48" s="37"/>
      <c r="IYH48" s="37"/>
      <c r="IYI48" s="37"/>
      <c r="IYJ48" s="37"/>
      <c r="IYK48" s="37"/>
      <c r="IYL48" s="37"/>
      <c r="IYM48" s="37"/>
      <c r="IYN48" s="37"/>
      <c r="IYO48" s="37"/>
      <c r="IYP48" s="37"/>
      <c r="IYQ48" s="37"/>
      <c r="IYR48" s="37"/>
      <c r="IYS48" s="37"/>
      <c r="IYT48" s="37"/>
      <c r="IYU48" s="37"/>
      <c r="IYV48" s="37"/>
      <c r="IYW48" s="37"/>
      <c r="IYX48" s="37"/>
      <c r="IYY48" s="37"/>
      <c r="IYZ48" s="37"/>
      <c r="IZA48" s="37"/>
      <c r="IZB48" s="37"/>
      <c r="IZC48" s="37"/>
      <c r="IZD48" s="37"/>
      <c r="IZE48" s="37"/>
      <c r="IZF48" s="37"/>
      <c r="IZG48" s="37"/>
      <c r="IZH48" s="37"/>
      <c r="IZI48" s="37"/>
      <c r="IZJ48" s="37"/>
      <c r="IZK48" s="37"/>
      <c r="IZL48" s="37"/>
      <c r="IZM48" s="37"/>
      <c r="IZN48" s="37"/>
      <c r="IZO48" s="37"/>
      <c r="IZP48" s="37"/>
      <c r="IZQ48" s="37"/>
      <c r="IZR48" s="37"/>
      <c r="IZS48" s="37"/>
      <c r="IZT48" s="37"/>
      <c r="IZU48" s="37"/>
      <c r="IZV48" s="37"/>
      <c r="IZW48" s="37"/>
      <c r="IZX48" s="37"/>
      <c r="IZY48" s="37"/>
      <c r="IZZ48" s="37"/>
      <c r="JAA48" s="37"/>
      <c r="JAB48" s="37"/>
      <c r="JAC48" s="37"/>
      <c r="JAD48" s="37"/>
      <c r="JAE48" s="37"/>
      <c r="JAF48" s="37"/>
      <c r="JAG48" s="37"/>
      <c r="JAH48" s="37"/>
      <c r="JAI48" s="37"/>
      <c r="JAJ48" s="37"/>
      <c r="JAK48" s="37"/>
      <c r="JAL48" s="37"/>
      <c r="JAM48" s="37"/>
      <c r="JAN48" s="37"/>
      <c r="JAO48" s="37"/>
      <c r="JAP48" s="37"/>
      <c r="JAQ48" s="37"/>
      <c r="JAR48" s="37"/>
      <c r="JAS48" s="37"/>
      <c r="JAT48" s="37"/>
      <c r="JAU48" s="37"/>
      <c r="JAV48" s="37"/>
      <c r="JAW48" s="37"/>
      <c r="JAX48" s="37"/>
      <c r="JAY48" s="37"/>
      <c r="JAZ48" s="37"/>
      <c r="JBA48" s="37"/>
      <c r="JBB48" s="37"/>
      <c r="JBC48" s="37"/>
      <c r="JBD48" s="37"/>
      <c r="JBE48" s="37"/>
      <c r="JBF48" s="37"/>
      <c r="JBG48" s="37"/>
      <c r="JBH48" s="37"/>
      <c r="JBI48" s="37"/>
      <c r="JBJ48" s="37"/>
      <c r="JBK48" s="37"/>
      <c r="JBL48" s="37"/>
      <c r="JBM48" s="37"/>
      <c r="JBN48" s="37"/>
      <c r="JBO48" s="37"/>
      <c r="JBP48" s="37"/>
      <c r="JBQ48" s="37"/>
      <c r="JBR48" s="37"/>
      <c r="JBS48" s="37"/>
      <c r="JBT48" s="37"/>
      <c r="JBU48" s="37"/>
      <c r="JBV48" s="37"/>
      <c r="JBW48" s="37"/>
      <c r="JBX48" s="37"/>
      <c r="JBY48" s="37"/>
      <c r="JBZ48" s="37"/>
      <c r="JCA48" s="37"/>
      <c r="JCB48" s="37"/>
      <c r="JCC48" s="37"/>
      <c r="JCD48" s="37"/>
      <c r="JCE48" s="37"/>
      <c r="JCF48" s="37"/>
      <c r="JCG48" s="37"/>
      <c r="JCH48" s="37"/>
      <c r="JCI48" s="37"/>
      <c r="JCJ48" s="37"/>
      <c r="JCK48" s="37"/>
      <c r="JCL48" s="37"/>
      <c r="JCM48" s="37"/>
      <c r="JCN48" s="37"/>
      <c r="JCO48" s="37"/>
      <c r="JCP48" s="37"/>
      <c r="JCQ48" s="37"/>
      <c r="JCR48" s="37"/>
      <c r="JCS48" s="37"/>
      <c r="JCT48" s="37"/>
      <c r="JCU48" s="37"/>
      <c r="JCV48" s="37"/>
      <c r="JCW48" s="37"/>
      <c r="JCX48" s="37"/>
      <c r="JCY48" s="37"/>
      <c r="JCZ48" s="37"/>
      <c r="JDA48" s="37"/>
      <c r="JDB48" s="37"/>
      <c r="JDC48" s="37"/>
      <c r="JDD48" s="37"/>
      <c r="JDE48" s="37"/>
      <c r="JDF48" s="37"/>
      <c r="JDG48" s="37"/>
      <c r="JDH48" s="37"/>
      <c r="JDI48" s="37"/>
      <c r="JDJ48" s="37"/>
      <c r="JDK48" s="37"/>
      <c r="JDL48" s="37"/>
      <c r="JDM48" s="37"/>
      <c r="JDN48" s="37"/>
      <c r="JDO48" s="37"/>
      <c r="JDP48" s="37"/>
      <c r="JDQ48" s="37"/>
      <c r="JDR48" s="37"/>
      <c r="JDS48" s="37"/>
      <c r="JDT48" s="37"/>
      <c r="JDU48" s="37"/>
      <c r="JDV48" s="37"/>
      <c r="JDW48" s="37"/>
      <c r="JDX48" s="37"/>
      <c r="JDY48" s="37"/>
      <c r="JDZ48" s="37"/>
      <c r="JEA48" s="37"/>
      <c r="JEB48" s="37"/>
      <c r="JEC48" s="37"/>
      <c r="JED48" s="37"/>
      <c r="JEE48" s="37"/>
      <c r="JEF48" s="37"/>
      <c r="JEG48" s="37"/>
      <c r="JEH48" s="37"/>
      <c r="JEI48" s="37"/>
      <c r="JEJ48" s="37"/>
      <c r="JEK48" s="37"/>
      <c r="JEL48" s="37"/>
      <c r="JEM48" s="37"/>
      <c r="JEN48" s="37"/>
      <c r="JEO48" s="37"/>
      <c r="JEP48" s="37"/>
      <c r="JEQ48" s="37"/>
      <c r="JER48" s="37"/>
      <c r="JES48" s="37"/>
      <c r="JET48" s="37"/>
      <c r="JEU48" s="37"/>
      <c r="JEV48" s="37"/>
      <c r="JEW48" s="37"/>
      <c r="JEX48" s="37"/>
      <c r="JEY48" s="37"/>
      <c r="JEZ48" s="37"/>
      <c r="JFA48" s="37"/>
      <c r="JFB48" s="37"/>
      <c r="JFC48" s="37"/>
      <c r="JFD48" s="37"/>
      <c r="JFE48" s="37"/>
      <c r="JFF48" s="37"/>
      <c r="JFG48" s="37"/>
      <c r="JFH48" s="37"/>
      <c r="JFI48" s="37"/>
      <c r="JFJ48" s="37"/>
      <c r="JFK48" s="37"/>
      <c r="JFL48" s="37"/>
      <c r="JFM48" s="37"/>
      <c r="JFN48" s="37"/>
      <c r="JFO48" s="37"/>
      <c r="JFP48" s="37"/>
      <c r="JFQ48" s="37"/>
      <c r="JFR48" s="37"/>
      <c r="JFS48" s="37"/>
      <c r="JFT48" s="37"/>
      <c r="JFU48" s="37"/>
      <c r="JFV48" s="37"/>
      <c r="JFW48" s="37"/>
      <c r="JFX48" s="37"/>
      <c r="JFY48" s="37"/>
      <c r="JFZ48" s="37"/>
      <c r="JGA48" s="37"/>
      <c r="JGB48" s="37"/>
      <c r="JGC48" s="37"/>
      <c r="JGD48" s="37"/>
      <c r="JGE48" s="37"/>
      <c r="JGF48" s="37"/>
      <c r="JGG48" s="37"/>
      <c r="JGH48" s="37"/>
      <c r="JGI48" s="37"/>
      <c r="JGJ48" s="37"/>
      <c r="JGK48" s="37"/>
      <c r="JGL48" s="37"/>
      <c r="JGM48" s="37"/>
      <c r="JGN48" s="37"/>
      <c r="JGO48" s="37"/>
      <c r="JGP48" s="37"/>
      <c r="JGQ48" s="37"/>
      <c r="JGR48" s="37"/>
      <c r="JGS48" s="37"/>
      <c r="JGT48" s="37"/>
      <c r="JGU48" s="37"/>
      <c r="JGV48" s="37"/>
      <c r="JGW48" s="37"/>
      <c r="JGX48" s="37"/>
      <c r="JGY48" s="37"/>
      <c r="JGZ48" s="37"/>
      <c r="JHA48" s="37"/>
      <c r="JHB48" s="37"/>
      <c r="JHC48" s="37"/>
      <c r="JHD48" s="37"/>
      <c r="JHE48" s="37"/>
      <c r="JHF48" s="37"/>
      <c r="JHG48" s="37"/>
      <c r="JHH48" s="37"/>
      <c r="JHI48" s="37"/>
      <c r="JHJ48" s="37"/>
      <c r="JHK48" s="37"/>
      <c r="JHL48" s="37"/>
      <c r="JHM48" s="37"/>
      <c r="JHN48" s="37"/>
      <c r="JHO48" s="37"/>
      <c r="JHP48" s="37"/>
      <c r="JHQ48" s="37"/>
      <c r="JHR48" s="37"/>
      <c r="JHS48" s="37"/>
      <c r="JHT48" s="37"/>
      <c r="JHU48" s="37"/>
      <c r="JHV48" s="37"/>
      <c r="JHW48" s="37"/>
      <c r="JHX48" s="37"/>
      <c r="JHY48" s="37"/>
      <c r="JHZ48" s="37"/>
      <c r="JIA48" s="37"/>
      <c r="JIB48" s="37"/>
      <c r="JIC48" s="37"/>
      <c r="JID48" s="37"/>
      <c r="JIE48" s="37"/>
      <c r="JIF48" s="37"/>
      <c r="JIG48" s="37"/>
      <c r="JIH48" s="37"/>
      <c r="JII48" s="37"/>
      <c r="JIJ48" s="37"/>
      <c r="JIK48" s="37"/>
      <c r="JIL48" s="37"/>
      <c r="JIM48" s="37"/>
      <c r="JIN48" s="37"/>
      <c r="JIO48" s="37"/>
      <c r="JIP48" s="37"/>
      <c r="JIQ48" s="37"/>
      <c r="JIR48" s="37"/>
      <c r="JIS48" s="37"/>
      <c r="JIT48" s="37"/>
      <c r="JIU48" s="37"/>
      <c r="JIV48" s="37"/>
      <c r="JIW48" s="37"/>
      <c r="JIX48" s="37"/>
      <c r="JIY48" s="37"/>
      <c r="JIZ48" s="37"/>
      <c r="JJA48" s="37"/>
      <c r="JJB48" s="37"/>
      <c r="JJC48" s="37"/>
      <c r="JJD48" s="37"/>
      <c r="JJE48" s="37"/>
      <c r="JJF48" s="37"/>
      <c r="JJG48" s="37"/>
      <c r="JJH48" s="37"/>
      <c r="JJI48" s="37"/>
      <c r="JJJ48" s="37"/>
      <c r="JJK48" s="37"/>
      <c r="JJL48" s="37"/>
      <c r="JJM48" s="37"/>
      <c r="JJN48" s="37"/>
      <c r="JJO48" s="37"/>
      <c r="JJP48" s="37"/>
      <c r="JJQ48" s="37"/>
      <c r="JJR48" s="37"/>
      <c r="JJS48" s="37"/>
      <c r="JJT48" s="37"/>
      <c r="JJU48" s="37"/>
      <c r="JJV48" s="37"/>
      <c r="JJW48" s="37"/>
      <c r="JJX48" s="37"/>
      <c r="JJY48" s="37"/>
      <c r="JJZ48" s="37"/>
      <c r="JKA48" s="37"/>
      <c r="JKB48" s="37"/>
      <c r="JKC48" s="37"/>
      <c r="JKD48" s="37"/>
      <c r="JKE48" s="37"/>
      <c r="JKF48" s="37"/>
      <c r="JKG48" s="37"/>
      <c r="JKH48" s="37"/>
      <c r="JKI48" s="37"/>
      <c r="JKJ48" s="37"/>
      <c r="JKK48" s="37"/>
      <c r="JKL48" s="37"/>
      <c r="JKM48" s="37"/>
      <c r="JKN48" s="37"/>
      <c r="JKO48" s="37"/>
      <c r="JKP48" s="37"/>
      <c r="JKQ48" s="37"/>
      <c r="JKR48" s="37"/>
      <c r="JKS48" s="37"/>
      <c r="JKT48" s="37"/>
      <c r="JKU48" s="37"/>
      <c r="JKV48" s="37"/>
      <c r="JKW48" s="37"/>
      <c r="JKX48" s="37"/>
      <c r="JKY48" s="37"/>
      <c r="JKZ48" s="37"/>
      <c r="JLA48" s="37"/>
      <c r="JLB48" s="37"/>
      <c r="JLC48" s="37"/>
      <c r="JLD48" s="37"/>
      <c r="JLE48" s="37"/>
      <c r="JLF48" s="37"/>
      <c r="JLG48" s="37"/>
      <c r="JLH48" s="37"/>
      <c r="JLI48" s="37"/>
      <c r="JLJ48" s="37"/>
      <c r="JLK48" s="37"/>
      <c r="JLL48" s="37"/>
      <c r="JLM48" s="37"/>
      <c r="JLN48" s="37"/>
      <c r="JLO48" s="37"/>
      <c r="JLP48" s="37"/>
      <c r="JLQ48" s="37"/>
      <c r="JLR48" s="37"/>
      <c r="JLS48" s="37"/>
      <c r="JLT48" s="37"/>
      <c r="JLU48" s="37"/>
      <c r="JLV48" s="37"/>
      <c r="JLW48" s="37"/>
      <c r="JLX48" s="37"/>
      <c r="JLY48" s="37"/>
      <c r="JLZ48" s="37"/>
      <c r="JMA48" s="37"/>
      <c r="JMB48" s="37"/>
      <c r="JMC48" s="37"/>
      <c r="JMD48" s="37"/>
      <c r="JME48" s="37"/>
      <c r="JMF48" s="37"/>
      <c r="JMG48" s="37"/>
      <c r="JMH48" s="37"/>
      <c r="JMI48" s="37"/>
      <c r="JMJ48" s="37"/>
      <c r="JMK48" s="37"/>
      <c r="JML48" s="37"/>
      <c r="JMM48" s="37"/>
      <c r="JMN48" s="37"/>
      <c r="JMO48" s="37"/>
      <c r="JMP48" s="37"/>
      <c r="JMQ48" s="37"/>
      <c r="JMR48" s="37"/>
      <c r="JMS48" s="37"/>
      <c r="JMT48" s="37"/>
      <c r="JMU48" s="37"/>
      <c r="JMV48" s="37"/>
      <c r="JMW48" s="37"/>
      <c r="JMX48" s="37"/>
      <c r="JMY48" s="37"/>
      <c r="JMZ48" s="37"/>
      <c r="JNA48" s="37"/>
      <c r="JNB48" s="37"/>
      <c r="JNC48" s="37"/>
      <c r="JND48" s="37"/>
      <c r="JNE48" s="37"/>
      <c r="JNF48" s="37"/>
      <c r="JNG48" s="37"/>
      <c r="JNH48" s="37"/>
      <c r="JNI48" s="37"/>
      <c r="JNJ48" s="37"/>
      <c r="JNK48" s="37"/>
      <c r="JNL48" s="37"/>
      <c r="JNM48" s="37"/>
      <c r="JNN48" s="37"/>
      <c r="JNO48" s="37"/>
      <c r="JNP48" s="37"/>
      <c r="JNQ48" s="37"/>
      <c r="JNR48" s="37"/>
      <c r="JNS48" s="37"/>
      <c r="JNT48" s="37"/>
      <c r="JNU48" s="37"/>
      <c r="JNV48" s="37"/>
      <c r="JNW48" s="37"/>
      <c r="JNX48" s="37"/>
      <c r="JNY48" s="37"/>
      <c r="JNZ48" s="37"/>
      <c r="JOA48" s="37"/>
      <c r="JOB48" s="37"/>
      <c r="JOC48" s="37"/>
      <c r="JOD48" s="37"/>
      <c r="JOE48" s="37"/>
      <c r="JOF48" s="37"/>
      <c r="JOG48" s="37"/>
      <c r="JOH48" s="37"/>
      <c r="JOI48" s="37"/>
      <c r="JOJ48" s="37"/>
      <c r="JOK48" s="37"/>
      <c r="JOL48" s="37"/>
      <c r="JOM48" s="37"/>
      <c r="JON48" s="37"/>
      <c r="JOO48" s="37"/>
      <c r="JOP48" s="37"/>
      <c r="JOQ48" s="37"/>
      <c r="JOR48" s="37"/>
      <c r="JOS48" s="37"/>
      <c r="JOT48" s="37"/>
      <c r="JOU48" s="37"/>
      <c r="JOV48" s="37"/>
      <c r="JOW48" s="37"/>
      <c r="JOX48" s="37"/>
      <c r="JOY48" s="37"/>
      <c r="JOZ48" s="37"/>
      <c r="JPA48" s="37"/>
      <c r="JPB48" s="37"/>
      <c r="JPC48" s="37"/>
      <c r="JPD48" s="37"/>
      <c r="JPE48" s="37"/>
      <c r="JPF48" s="37"/>
      <c r="JPG48" s="37"/>
      <c r="JPH48" s="37"/>
      <c r="JPI48" s="37"/>
      <c r="JPJ48" s="37"/>
      <c r="JPK48" s="37"/>
      <c r="JPL48" s="37"/>
      <c r="JPM48" s="37"/>
      <c r="JPN48" s="37"/>
      <c r="JPO48" s="37"/>
      <c r="JPP48" s="37"/>
      <c r="JPQ48" s="37"/>
      <c r="JPR48" s="37"/>
      <c r="JPS48" s="37"/>
      <c r="JPT48" s="37"/>
      <c r="JPU48" s="37"/>
      <c r="JPV48" s="37"/>
      <c r="JPW48" s="37"/>
      <c r="JPX48" s="37"/>
      <c r="JPY48" s="37"/>
      <c r="JPZ48" s="37"/>
      <c r="JQA48" s="37"/>
      <c r="JQB48" s="37"/>
      <c r="JQC48" s="37"/>
      <c r="JQD48" s="37"/>
      <c r="JQE48" s="37"/>
      <c r="JQF48" s="37"/>
      <c r="JQG48" s="37"/>
      <c r="JQH48" s="37"/>
      <c r="JQI48" s="37"/>
      <c r="JQJ48" s="37"/>
      <c r="JQK48" s="37"/>
      <c r="JQL48" s="37"/>
      <c r="JQM48" s="37"/>
      <c r="JQN48" s="37"/>
      <c r="JQO48" s="37"/>
      <c r="JQP48" s="37"/>
      <c r="JQQ48" s="37"/>
      <c r="JQR48" s="37"/>
      <c r="JQS48" s="37"/>
      <c r="JQT48" s="37"/>
      <c r="JQU48" s="37"/>
      <c r="JQV48" s="37"/>
      <c r="JQW48" s="37"/>
      <c r="JQX48" s="37"/>
      <c r="JQY48" s="37"/>
      <c r="JQZ48" s="37"/>
      <c r="JRA48" s="37"/>
      <c r="JRB48" s="37"/>
      <c r="JRC48" s="37"/>
      <c r="JRD48" s="37"/>
      <c r="JRE48" s="37"/>
      <c r="JRF48" s="37"/>
      <c r="JRG48" s="37"/>
      <c r="JRH48" s="37"/>
      <c r="JRI48" s="37"/>
      <c r="JRJ48" s="37"/>
      <c r="JRK48" s="37"/>
      <c r="JRL48" s="37"/>
      <c r="JRM48" s="37"/>
      <c r="JRN48" s="37"/>
      <c r="JRO48" s="37"/>
      <c r="JRP48" s="37"/>
      <c r="JRQ48" s="37"/>
      <c r="JRR48" s="37"/>
      <c r="JRS48" s="37"/>
      <c r="JRT48" s="37"/>
      <c r="JRU48" s="37"/>
      <c r="JRV48" s="37"/>
      <c r="JRW48" s="37"/>
      <c r="JRX48" s="37"/>
      <c r="JRY48" s="37"/>
      <c r="JRZ48" s="37"/>
      <c r="JSA48" s="37"/>
      <c r="JSB48" s="37"/>
      <c r="JSC48" s="37"/>
      <c r="JSD48" s="37"/>
      <c r="JSE48" s="37"/>
      <c r="JSF48" s="37"/>
      <c r="JSG48" s="37"/>
      <c r="JSH48" s="37"/>
      <c r="JSI48" s="37"/>
      <c r="JSJ48" s="37"/>
      <c r="JSK48" s="37"/>
      <c r="JSL48" s="37"/>
      <c r="JSM48" s="37"/>
      <c r="JSN48" s="37"/>
      <c r="JSO48" s="37"/>
      <c r="JSP48" s="37"/>
      <c r="JSQ48" s="37"/>
      <c r="JSR48" s="37"/>
      <c r="JSS48" s="37"/>
      <c r="JST48" s="37"/>
      <c r="JSU48" s="37"/>
      <c r="JSV48" s="37"/>
      <c r="JSW48" s="37"/>
      <c r="JSX48" s="37"/>
      <c r="JSY48" s="37"/>
      <c r="JSZ48" s="37"/>
      <c r="JTA48" s="37"/>
      <c r="JTB48" s="37"/>
      <c r="JTC48" s="37"/>
      <c r="JTD48" s="37"/>
      <c r="JTE48" s="37"/>
      <c r="JTF48" s="37"/>
      <c r="JTG48" s="37"/>
      <c r="JTH48" s="37"/>
      <c r="JTI48" s="37"/>
      <c r="JTJ48" s="37"/>
      <c r="JTK48" s="37"/>
      <c r="JTL48" s="37"/>
      <c r="JTM48" s="37"/>
      <c r="JTN48" s="37"/>
      <c r="JTO48" s="37"/>
      <c r="JTP48" s="37"/>
      <c r="JTQ48" s="37"/>
      <c r="JTR48" s="37"/>
      <c r="JTS48" s="37"/>
      <c r="JTT48" s="37"/>
      <c r="JTU48" s="37"/>
      <c r="JTV48" s="37"/>
      <c r="JTW48" s="37"/>
      <c r="JTX48" s="37"/>
      <c r="JTY48" s="37"/>
      <c r="JTZ48" s="37"/>
      <c r="JUA48" s="37"/>
      <c r="JUB48" s="37"/>
      <c r="JUC48" s="37"/>
      <c r="JUD48" s="37"/>
      <c r="JUE48" s="37"/>
      <c r="JUF48" s="37"/>
      <c r="JUG48" s="37"/>
      <c r="JUH48" s="37"/>
      <c r="JUI48" s="37"/>
      <c r="JUJ48" s="37"/>
      <c r="JUK48" s="37"/>
      <c r="JUL48" s="37"/>
      <c r="JUM48" s="37"/>
      <c r="JUN48" s="37"/>
      <c r="JUO48" s="37"/>
      <c r="JUP48" s="37"/>
      <c r="JUQ48" s="37"/>
      <c r="JUR48" s="37"/>
      <c r="JUS48" s="37"/>
      <c r="JUT48" s="37"/>
      <c r="JUU48" s="37"/>
      <c r="JUV48" s="37"/>
      <c r="JUW48" s="37"/>
      <c r="JUX48" s="37"/>
      <c r="JUY48" s="37"/>
      <c r="JUZ48" s="37"/>
      <c r="JVA48" s="37"/>
      <c r="JVB48" s="37"/>
      <c r="JVC48" s="37"/>
      <c r="JVD48" s="37"/>
      <c r="JVE48" s="37"/>
      <c r="JVF48" s="37"/>
      <c r="JVG48" s="37"/>
      <c r="JVH48" s="37"/>
      <c r="JVI48" s="37"/>
      <c r="JVJ48" s="37"/>
      <c r="JVK48" s="37"/>
      <c r="JVL48" s="37"/>
      <c r="JVM48" s="37"/>
      <c r="JVN48" s="37"/>
      <c r="JVO48" s="37"/>
      <c r="JVP48" s="37"/>
      <c r="JVQ48" s="37"/>
      <c r="JVR48" s="37"/>
      <c r="JVS48" s="37"/>
      <c r="JVT48" s="37"/>
      <c r="JVU48" s="37"/>
      <c r="JVV48" s="37"/>
      <c r="JVW48" s="37"/>
      <c r="JVX48" s="37"/>
      <c r="JVY48" s="37"/>
      <c r="JVZ48" s="37"/>
      <c r="JWA48" s="37"/>
      <c r="JWB48" s="37"/>
      <c r="JWC48" s="37"/>
      <c r="JWD48" s="37"/>
      <c r="JWE48" s="37"/>
      <c r="JWF48" s="37"/>
      <c r="JWG48" s="37"/>
      <c r="JWH48" s="37"/>
      <c r="JWI48" s="37"/>
      <c r="JWJ48" s="37"/>
      <c r="JWK48" s="37"/>
      <c r="JWL48" s="37"/>
      <c r="JWM48" s="37"/>
      <c r="JWN48" s="37"/>
      <c r="JWO48" s="37"/>
      <c r="JWP48" s="37"/>
      <c r="JWQ48" s="37"/>
      <c r="JWR48" s="37"/>
      <c r="JWS48" s="37"/>
      <c r="JWT48" s="37"/>
      <c r="JWU48" s="37"/>
      <c r="JWV48" s="37"/>
      <c r="JWW48" s="37"/>
      <c r="JWX48" s="37"/>
      <c r="JWY48" s="37"/>
      <c r="JWZ48" s="37"/>
      <c r="JXA48" s="37"/>
      <c r="JXB48" s="37"/>
      <c r="JXC48" s="37"/>
      <c r="JXD48" s="37"/>
      <c r="JXE48" s="37"/>
      <c r="JXF48" s="37"/>
      <c r="JXG48" s="37"/>
      <c r="JXH48" s="37"/>
      <c r="JXI48" s="37"/>
      <c r="JXJ48" s="37"/>
      <c r="JXK48" s="37"/>
      <c r="JXL48" s="37"/>
      <c r="JXM48" s="37"/>
      <c r="JXN48" s="37"/>
      <c r="JXO48" s="37"/>
      <c r="JXP48" s="37"/>
      <c r="JXQ48" s="37"/>
      <c r="JXR48" s="37"/>
      <c r="JXS48" s="37"/>
      <c r="JXT48" s="37"/>
      <c r="JXU48" s="37"/>
      <c r="JXV48" s="37"/>
      <c r="JXW48" s="37"/>
      <c r="JXX48" s="37"/>
      <c r="JXY48" s="37"/>
      <c r="JXZ48" s="37"/>
      <c r="JYA48" s="37"/>
      <c r="JYB48" s="37"/>
      <c r="JYC48" s="37"/>
      <c r="JYD48" s="37"/>
      <c r="JYE48" s="37"/>
      <c r="JYF48" s="37"/>
      <c r="JYG48" s="37"/>
      <c r="JYH48" s="37"/>
      <c r="JYI48" s="37"/>
      <c r="JYJ48" s="37"/>
      <c r="JYK48" s="37"/>
      <c r="JYL48" s="37"/>
      <c r="JYM48" s="37"/>
      <c r="JYN48" s="37"/>
      <c r="JYO48" s="37"/>
      <c r="JYP48" s="37"/>
      <c r="JYQ48" s="37"/>
      <c r="JYR48" s="37"/>
      <c r="JYS48" s="37"/>
      <c r="JYT48" s="37"/>
      <c r="JYU48" s="37"/>
      <c r="JYV48" s="37"/>
      <c r="JYW48" s="37"/>
      <c r="JYX48" s="37"/>
      <c r="JYY48" s="37"/>
      <c r="JYZ48" s="37"/>
      <c r="JZA48" s="37"/>
      <c r="JZB48" s="37"/>
      <c r="JZC48" s="37"/>
      <c r="JZD48" s="37"/>
      <c r="JZE48" s="37"/>
      <c r="JZF48" s="37"/>
      <c r="JZG48" s="37"/>
      <c r="JZH48" s="37"/>
      <c r="JZI48" s="37"/>
      <c r="JZJ48" s="37"/>
      <c r="JZK48" s="37"/>
      <c r="JZL48" s="37"/>
      <c r="JZM48" s="37"/>
      <c r="JZN48" s="37"/>
      <c r="JZO48" s="37"/>
      <c r="JZP48" s="37"/>
      <c r="JZQ48" s="37"/>
      <c r="JZR48" s="37"/>
      <c r="JZS48" s="37"/>
      <c r="JZT48" s="37"/>
      <c r="JZU48" s="37"/>
      <c r="JZV48" s="37"/>
      <c r="JZW48" s="37"/>
      <c r="JZX48" s="37"/>
      <c r="JZY48" s="37"/>
      <c r="JZZ48" s="37"/>
      <c r="KAA48" s="37"/>
      <c r="KAB48" s="37"/>
      <c r="KAC48" s="37"/>
      <c r="KAD48" s="37"/>
      <c r="KAE48" s="37"/>
      <c r="KAF48" s="37"/>
      <c r="KAG48" s="37"/>
      <c r="KAH48" s="37"/>
      <c r="KAI48" s="37"/>
      <c r="KAJ48" s="37"/>
      <c r="KAK48" s="37"/>
      <c r="KAL48" s="37"/>
      <c r="KAM48" s="37"/>
      <c r="KAN48" s="37"/>
      <c r="KAO48" s="37"/>
      <c r="KAP48" s="37"/>
      <c r="KAQ48" s="37"/>
      <c r="KAR48" s="37"/>
      <c r="KAS48" s="37"/>
      <c r="KAT48" s="37"/>
      <c r="KAU48" s="37"/>
      <c r="KAV48" s="37"/>
      <c r="KAW48" s="37"/>
      <c r="KAX48" s="37"/>
      <c r="KAY48" s="37"/>
      <c r="KAZ48" s="37"/>
      <c r="KBA48" s="37"/>
      <c r="KBB48" s="37"/>
      <c r="KBC48" s="37"/>
      <c r="KBD48" s="37"/>
      <c r="KBE48" s="37"/>
      <c r="KBF48" s="37"/>
      <c r="KBG48" s="37"/>
      <c r="KBH48" s="37"/>
      <c r="KBI48" s="37"/>
      <c r="KBJ48" s="37"/>
      <c r="KBK48" s="37"/>
      <c r="KBL48" s="37"/>
      <c r="KBM48" s="37"/>
      <c r="KBN48" s="37"/>
      <c r="KBO48" s="37"/>
      <c r="KBP48" s="37"/>
      <c r="KBQ48" s="37"/>
      <c r="KBR48" s="37"/>
      <c r="KBS48" s="37"/>
      <c r="KBT48" s="37"/>
      <c r="KBU48" s="37"/>
      <c r="KBV48" s="37"/>
      <c r="KBW48" s="37"/>
      <c r="KBX48" s="37"/>
      <c r="KBY48" s="37"/>
      <c r="KBZ48" s="37"/>
      <c r="KCA48" s="37"/>
      <c r="KCB48" s="37"/>
      <c r="KCC48" s="37"/>
      <c r="KCD48" s="37"/>
      <c r="KCE48" s="37"/>
      <c r="KCF48" s="37"/>
      <c r="KCG48" s="37"/>
      <c r="KCH48" s="37"/>
      <c r="KCI48" s="37"/>
      <c r="KCJ48" s="37"/>
      <c r="KCK48" s="37"/>
      <c r="KCL48" s="37"/>
      <c r="KCM48" s="37"/>
      <c r="KCN48" s="37"/>
      <c r="KCO48" s="37"/>
      <c r="KCP48" s="37"/>
      <c r="KCQ48" s="37"/>
      <c r="KCR48" s="37"/>
      <c r="KCS48" s="37"/>
      <c r="KCT48" s="37"/>
      <c r="KCU48" s="37"/>
      <c r="KCV48" s="37"/>
      <c r="KCW48" s="37"/>
      <c r="KCX48" s="37"/>
      <c r="KCY48" s="37"/>
      <c r="KCZ48" s="37"/>
      <c r="KDA48" s="37"/>
      <c r="KDB48" s="37"/>
      <c r="KDC48" s="37"/>
      <c r="KDD48" s="37"/>
      <c r="KDE48" s="37"/>
      <c r="KDF48" s="37"/>
      <c r="KDG48" s="37"/>
      <c r="KDH48" s="37"/>
      <c r="KDI48" s="37"/>
      <c r="KDJ48" s="37"/>
      <c r="KDK48" s="37"/>
      <c r="KDL48" s="37"/>
      <c r="KDM48" s="37"/>
      <c r="KDN48" s="37"/>
      <c r="KDO48" s="37"/>
      <c r="KDP48" s="37"/>
      <c r="KDQ48" s="37"/>
      <c r="KDR48" s="37"/>
      <c r="KDS48" s="37"/>
      <c r="KDT48" s="37"/>
      <c r="KDU48" s="37"/>
      <c r="KDV48" s="37"/>
      <c r="KDW48" s="37"/>
      <c r="KDX48" s="37"/>
      <c r="KDY48" s="37"/>
      <c r="KDZ48" s="37"/>
      <c r="KEA48" s="37"/>
      <c r="KEB48" s="37"/>
      <c r="KEC48" s="37"/>
      <c r="KED48" s="37"/>
      <c r="KEE48" s="37"/>
      <c r="KEF48" s="37"/>
      <c r="KEG48" s="37"/>
      <c r="KEH48" s="37"/>
      <c r="KEI48" s="37"/>
      <c r="KEJ48" s="37"/>
      <c r="KEK48" s="37"/>
      <c r="KEL48" s="37"/>
      <c r="KEM48" s="37"/>
      <c r="KEN48" s="37"/>
      <c r="KEO48" s="37"/>
      <c r="KEP48" s="37"/>
      <c r="KEQ48" s="37"/>
      <c r="KER48" s="37"/>
      <c r="KES48" s="37"/>
      <c r="KET48" s="37"/>
      <c r="KEU48" s="37"/>
      <c r="KEV48" s="37"/>
      <c r="KEW48" s="37"/>
      <c r="KEX48" s="37"/>
      <c r="KEY48" s="37"/>
      <c r="KEZ48" s="37"/>
      <c r="KFA48" s="37"/>
      <c r="KFB48" s="37"/>
      <c r="KFC48" s="37"/>
      <c r="KFD48" s="37"/>
      <c r="KFE48" s="37"/>
      <c r="KFF48" s="37"/>
      <c r="KFG48" s="37"/>
      <c r="KFH48" s="37"/>
      <c r="KFI48" s="37"/>
      <c r="KFJ48" s="37"/>
      <c r="KFK48" s="37"/>
      <c r="KFL48" s="37"/>
      <c r="KFM48" s="37"/>
      <c r="KFN48" s="37"/>
      <c r="KFO48" s="37"/>
      <c r="KFP48" s="37"/>
      <c r="KFQ48" s="37"/>
      <c r="KFR48" s="37"/>
      <c r="KFS48" s="37"/>
      <c r="KFT48" s="37"/>
      <c r="KFU48" s="37"/>
      <c r="KFV48" s="37"/>
      <c r="KFW48" s="37"/>
      <c r="KFX48" s="37"/>
      <c r="KFY48" s="37"/>
      <c r="KFZ48" s="37"/>
      <c r="KGA48" s="37"/>
      <c r="KGB48" s="37"/>
      <c r="KGC48" s="37"/>
      <c r="KGD48" s="37"/>
      <c r="KGE48" s="37"/>
      <c r="KGF48" s="37"/>
      <c r="KGG48" s="37"/>
      <c r="KGH48" s="37"/>
      <c r="KGI48" s="37"/>
      <c r="KGJ48" s="37"/>
      <c r="KGK48" s="37"/>
      <c r="KGL48" s="37"/>
      <c r="KGM48" s="37"/>
      <c r="KGN48" s="37"/>
      <c r="KGO48" s="37"/>
      <c r="KGP48" s="37"/>
      <c r="KGQ48" s="37"/>
      <c r="KGR48" s="37"/>
      <c r="KGS48" s="37"/>
      <c r="KGT48" s="37"/>
      <c r="KGU48" s="37"/>
      <c r="KGV48" s="37"/>
      <c r="KGW48" s="37"/>
      <c r="KGX48" s="37"/>
      <c r="KGY48" s="37"/>
      <c r="KGZ48" s="37"/>
      <c r="KHA48" s="37"/>
      <c r="KHB48" s="37"/>
      <c r="KHC48" s="37"/>
      <c r="KHD48" s="37"/>
      <c r="KHE48" s="37"/>
      <c r="KHF48" s="37"/>
      <c r="KHG48" s="37"/>
      <c r="KHH48" s="37"/>
      <c r="KHI48" s="37"/>
      <c r="KHJ48" s="37"/>
      <c r="KHK48" s="37"/>
      <c r="KHL48" s="37"/>
      <c r="KHM48" s="37"/>
      <c r="KHN48" s="37"/>
      <c r="KHO48" s="37"/>
      <c r="KHP48" s="37"/>
      <c r="KHQ48" s="37"/>
      <c r="KHR48" s="37"/>
      <c r="KHS48" s="37"/>
      <c r="KHT48" s="37"/>
      <c r="KHU48" s="37"/>
      <c r="KHV48" s="37"/>
      <c r="KHW48" s="37"/>
      <c r="KHX48" s="37"/>
      <c r="KHY48" s="37"/>
      <c r="KHZ48" s="37"/>
      <c r="KIA48" s="37"/>
      <c r="KIB48" s="37"/>
      <c r="KIC48" s="37"/>
      <c r="KID48" s="37"/>
      <c r="KIE48" s="37"/>
      <c r="KIF48" s="37"/>
      <c r="KIG48" s="37"/>
      <c r="KIH48" s="37"/>
      <c r="KII48" s="37"/>
      <c r="KIJ48" s="37"/>
      <c r="KIK48" s="37"/>
      <c r="KIL48" s="37"/>
      <c r="KIM48" s="37"/>
      <c r="KIN48" s="37"/>
      <c r="KIO48" s="37"/>
      <c r="KIP48" s="37"/>
      <c r="KIQ48" s="37"/>
      <c r="KIR48" s="37"/>
      <c r="KIS48" s="37"/>
      <c r="KIT48" s="37"/>
      <c r="KIU48" s="37"/>
      <c r="KIV48" s="37"/>
      <c r="KIW48" s="37"/>
      <c r="KIX48" s="37"/>
      <c r="KIY48" s="37"/>
      <c r="KIZ48" s="37"/>
      <c r="KJA48" s="37"/>
      <c r="KJB48" s="37"/>
      <c r="KJC48" s="37"/>
      <c r="KJD48" s="37"/>
      <c r="KJE48" s="37"/>
      <c r="KJF48" s="37"/>
      <c r="KJG48" s="37"/>
      <c r="KJH48" s="37"/>
      <c r="KJI48" s="37"/>
      <c r="KJJ48" s="37"/>
      <c r="KJK48" s="37"/>
      <c r="KJL48" s="37"/>
      <c r="KJM48" s="37"/>
      <c r="KJN48" s="37"/>
      <c r="KJO48" s="37"/>
      <c r="KJP48" s="37"/>
      <c r="KJQ48" s="37"/>
      <c r="KJR48" s="37"/>
      <c r="KJS48" s="37"/>
      <c r="KJT48" s="37"/>
      <c r="KJU48" s="37"/>
      <c r="KJV48" s="37"/>
      <c r="KJW48" s="37"/>
      <c r="KJX48" s="37"/>
      <c r="KJY48" s="37"/>
      <c r="KJZ48" s="37"/>
      <c r="KKA48" s="37"/>
      <c r="KKB48" s="37"/>
      <c r="KKC48" s="37"/>
      <c r="KKD48" s="37"/>
      <c r="KKE48" s="37"/>
      <c r="KKF48" s="37"/>
      <c r="KKG48" s="37"/>
      <c r="KKH48" s="37"/>
      <c r="KKI48" s="37"/>
      <c r="KKJ48" s="37"/>
      <c r="KKK48" s="37"/>
      <c r="KKL48" s="37"/>
      <c r="KKM48" s="37"/>
      <c r="KKN48" s="37"/>
      <c r="KKO48" s="37"/>
      <c r="KKP48" s="37"/>
      <c r="KKQ48" s="37"/>
      <c r="KKR48" s="37"/>
      <c r="KKS48" s="37"/>
      <c r="KKT48" s="37"/>
      <c r="KKU48" s="37"/>
      <c r="KKV48" s="37"/>
      <c r="KKW48" s="37"/>
      <c r="KKX48" s="37"/>
      <c r="KKY48" s="37"/>
      <c r="KKZ48" s="37"/>
      <c r="KLA48" s="37"/>
      <c r="KLB48" s="37"/>
      <c r="KLC48" s="37"/>
      <c r="KLD48" s="37"/>
      <c r="KLE48" s="37"/>
      <c r="KLF48" s="37"/>
      <c r="KLG48" s="37"/>
      <c r="KLH48" s="37"/>
      <c r="KLI48" s="37"/>
      <c r="KLJ48" s="37"/>
      <c r="KLK48" s="37"/>
      <c r="KLL48" s="37"/>
      <c r="KLM48" s="37"/>
      <c r="KLN48" s="37"/>
      <c r="KLO48" s="37"/>
      <c r="KLP48" s="37"/>
      <c r="KLQ48" s="37"/>
      <c r="KLR48" s="37"/>
      <c r="KLS48" s="37"/>
      <c r="KLT48" s="37"/>
      <c r="KLU48" s="37"/>
      <c r="KLV48" s="37"/>
      <c r="KLW48" s="37"/>
      <c r="KLX48" s="37"/>
      <c r="KLY48" s="37"/>
      <c r="KLZ48" s="37"/>
      <c r="KMA48" s="37"/>
      <c r="KMB48" s="37"/>
      <c r="KMC48" s="37"/>
      <c r="KMD48" s="37"/>
      <c r="KME48" s="37"/>
      <c r="KMF48" s="37"/>
      <c r="KMG48" s="37"/>
      <c r="KMH48" s="37"/>
      <c r="KMI48" s="37"/>
      <c r="KMJ48" s="37"/>
      <c r="KMK48" s="37"/>
      <c r="KML48" s="37"/>
      <c r="KMM48" s="37"/>
      <c r="KMN48" s="37"/>
      <c r="KMO48" s="37"/>
      <c r="KMP48" s="37"/>
      <c r="KMQ48" s="37"/>
      <c r="KMR48" s="37"/>
      <c r="KMS48" s="37"/>
      <c r="KMT48" s="37"/>
      <c r="KMU48" s="37"/>
      <c r="KMV48" s="37"/>
      <c r="KMW48" s="37"/>
      <c r="KMX48" s="37"/>
      <c r="KMY48" s="37"/>
      <c r="KMZ48" s="37"/>
      <c r="KNA48" s="37"/>
      <c r="KNB48" s="37"/>
      <c r="KNC48" s="37"/>
      <c r="KND48" s="37"/>
      <c r="KNE48" s="37"/>
      <c r="KNF48" s="37"/>
      <c r="KNG48" s="37"/>
      <c r="KNH48" s="37"/>
      <c r="KNI48" s="37"/>
      <c r="KNJ48" s="37"/>
      <c r="KNK48" s="37"/>
      <c r="KNL48" s="37"/>
      <c r="KNM48" s="37"/>
      <c r="KNN48" s="37"/>
      <c r="KNO48" s="37"/>
      <c r="KNP48" s="37"/>
      <c r="KNQ48" s="37"/>
      <c r="KNR48" s="37"/>
      <c r="KNS48" s="37"/>
      <c r="KNT48" s="37"/>
      <c r="KNU48" s="37"/>
      <c r="KNV48" s="37"/>
      <c r="KNW48" s="37"/>
      <c r="KNX48" s="37"/>
      <c r="KNY48" s="37"/>
      <c r="KNZ48" s="37"/>
      <c r="KOA48" s="37"/>
      <c r="KOB48" s="37"/>
      <c r="KOC48" s="37"/>
      <c r="KOD48" s="37"/>
      <c r="KOE48" s="37"/>
      <c r="KOF48" s="37"/>
      <c r="KOG48" s="37"/>
      <c r="KOH48" s="37"/>
      <c r="KOI48" s="37"/>
      <c r="KOJ48" s="37"/>
      <c r="KOK48" s="37"/>
      <c r="KOL48" s="37"/>
      <c r="KOM48" s="37"/>
      <c r="KON48" s="37"/>
      <c r="KOO48" s="37"/>
      <c r="KOP48" s="37"/>
      <c r="KOQ48" s="37"/>
      <c r="KOR48" s="37"/>
      <c r="KOS48" s="37"/>
      <c r="KOT48" s="37"/>
      <c r="KOU48" s="37"/>
      <c r="KOV48" s="37"/>
      <c r="KOW48" s="37"/>
      <c r="KOX48" s="37"/>
      <c r="KOY48" s="37"/>
      <c r="KOZ48" s="37"/>
      <c r="KPA48" s="37"/>
      <c r="KPB48" s="37"/>
      <c r="KPC48" s="37"/>
      <c r="KPD48" s="37"/>
      <c r="KPE48" s="37"/>
      <c r="KPF48" s="37"/>
      <c r="KPG48" s="37"/>
      <c r="KPH48" s="37"/>
      <c r="KPI48" s="37"/>
      <c r="KPJ48" s="37"/>
      <c r="KPK48" s="37"/>
      <c r="KPL48" s="37"/>
      <c r="KPM48" s="37"/>
      <c r="KPN48" s="37"/>
      <c r="KPO48" s="37"/>
      <c r="KPP48" s="37"/>
      <c r="KPQ48" s="37"/>
      <c r="KPR48" s="37"/>
      <c r="KPS48" s="37"/>
      <c r="KPT48" s="37"/>
      <c r="KPU48" s="37"/>
      <c r="KPV48" s="37"/>
      <c r="KPW48" s="37"/>
      <c r="KPX48" s="37"/>
      <c r="KPY48" s="37"/>
      <c r="KPZ48" s="37"/>
      <c r="KQA48" s="37"/>
      <c r="KQB48" s="37"/>
      <c r="KQC48" s="37"/>
      <c r="KQD48" s="37"/>
      <c r="KQE48" s="37"/>
      <c r="KQF48" s="37"/>
      <c r="KQG48" s="37"/>
      <c r="KQH48" s="37"/>
      <c r="KQI48" s="37"/>
      <c r="KQJ48" s="37"/>
      <c r="KQK48" s="37"/>
      <c r="KQL48" s="37"/>
      <c r="KQM48" s="37"/>
      <c r="KQN48" s="37"/>
      <c r="KQO48" s="37"/>
      <c r="KQP48" s="37"/>
      <c r="KQQ48" s="37"/>
      <c r="KQR48" s="37"/>
      <c r="KQS48" s="37"/>
      <c r="KQT48" s="37"/>
      <c r="KQU48" s="37"/>
      <c r="KQV48" s="37"/>
      <c r="KQW48" s="37"/>
      <c r="KQX48" s="37"/>
      <c r="KQY48" s="37"/>
      <c r="KQZ48" s="37"/>
      <c r="KRA48" s="37"/>
      <c r="KRB48" s="37"/>
      <c r="KRC48" s="37"/>
      <c r="KRD48" s="37"/>
      <c r="KRE48" s="37"/>
      <c r="KRF48" s="37"/>
      <c r="KRG48" s="37"/>
      <c r="KRH48" s="37"/>
      <c r="KRI48" s="37"/>
      <c r="KRJ48" s="37"/>
      <c r="KRK48" s="37"/>
      <c r="KRL48" s="37"/>
      <c r="KRM48" s="37"/>
      <c r="KRN48" s="37"/>
      <c r="KRO48" s="37"/>
      <c r="KRP48" s="37"/>
      <c r="KRQ48" s="37"/>
      <c r="KRR48" s="37"/>
      <c r="KRS48" s="37"/>
      <c r="KRT48" s="37"/>
      <c r="KRU48" s="37"/>
      <c r="KRV48" s="37"/>
      <c r="KRW48" s="37"/>
      <c r="KRX48" s="37"/>
      <c r="KRY48" s="37"/>
      <c r="KRZ48" s="37"/>
      <c r="KSA48" s="37"/>
      <c r="KSB48" s="37"/>
      <c r="KSC48" s="37"/>
      <c r="KSD48" s="37"/>
      <c r="KSE48" s="37"/>
      <c r="KSF48" s="37"/>
      <c r="KSG48" s="37"/>
      <c r="KSH48" s="37"/>
      <c r="KSI48" s="37"/>
      <c r="KSJ48" s="37"/>
      <c r="KSK48" s="37"/>
      <c r="KSL48" s="37"/>
      <c r="KSM48" s="37"/>
      <c r="KSN48" s="37"/>
      <c r="KSO48" s="37"/>
      <c r="KSP48" s="37"/>
      <c r="KSQ48" s="37"/>
      <c r="KSR48" s="37"/>
      <c r="KSS48" s="37"/>
      <c r="KST48" s="37"/>
      <c r="KSU48" s="37"/>
      <c r="KSV48" s="37"/>
      <c r="KSW48" s="37"/>
      <c r="KSX48" s="37"/>
      <c r="KSY48" s="37"/>
      <c r="KSZ48" s="37"/>
      <c r="KTA48" s="37"/>
      <c r="KTB48" s="37"/>
      <c r="KTC48" s="37"/>
      <c r="KTD48" s="37"/>
      <c r="KTE48" s="37"/>
      <c r="KTF48" s="37"/>
      <c r="KTG48" s="37"/>
      <c r="KTH48" s="37"/>
      <c r="KTI48" s="37"/>
      <c r="KTJ48" s="37"/>
      <c r="KTK48" s="37"/>
      <c r="KTL48" s="37"/>
      <c r="KTM48" s="37"/>
      <c r="KTN48" s="37"/>
      <c r="KTO48" s="37"/>
      <c r="KTP48" s="37"/>
      <c r="KTQ48" s="37"/>
      <c r="KTR48" s="37"/>
      <c r="KTS48" s="37"/>
      <c r="KTT48" s="37"/>
      <c r="KTU48" s="37"/>
      <c r="KTV48" s="37"/>
      <c r="KTW48" s="37"/>
      <c r="KTX48" s="37"/>
      <c r="KTY48" s="37"/>
      <c r="KTZ48" s="37"/>
      <c r="KUA48" s="37"/>
      <c r="KUB48" s="37"/>
      <c r="KUC48" s="37"/>
      <c r="KUD48" s="37"/>
      <c r="KUE48" s="37"/>
      <c r="KUF48" s="37"/>
      <c r="KUG48" s="37"/>
      <c r="KUH48" s="37"/>
      <c r="KUI48" s="37"/>
      <c r="KUJ48" s="37"/>
      <c r="KUK48" s="37"/>
      <c r="KUL48" s="37"/>
      <c r="KUM48" s="37"/>
      <c r="KUN48" s="37"/>
      <c r="KUO48" s="37"/>
      <c r="KUP48" s="37"/>
      <c r="KUQ48" s="37"/>
      <c r="KUR48" s="37"/>
      <c r="KUS48" s="37"/>
      <c r="KUT48" s="37"/>
      <c r="KUU48" s="37"/>
      <c r="KUV48" s="37"/>
      <c r="KUW48" s="37"/>
      <c r="KUX48" s="37"/>
      <c r="KUY48" s="37"/>
      <c r="KUZ48" s="37"/>
      <c r="KVA48" s="37"/>
      <c r="KVB48" s="37"/>
      <c r="KVC48" s="37"/>
      <c r="KVD48" s="37"/>
      <c r="KVE48" s="37"/>
      <c r="KVF48" s="37"/>
      <c r="KVG48" s="37"/>
      <c r="KVH48" s="37"/>
      <c r="KVI48" s="37"/>
      <c r="KVJ48" s="37"/>
      <c r="KVK48" s="37"/>
      <c r="KVL48" s="37"/>
      <c r="KVM48" s="37"/>
      <c r="KVN48" s="37"/>
      <c r="KVO48" s="37"/>
      <c r="KVP48" s="37"/>
      <c r="KVQ48" s="37"/>
      <c r="KVR48" s="37"/>
      <c r="KVS48" s="37"/>
      <c r="KVT48" s="37"/>
      <c r="KVU48" s="37"/>
      <c r="KVV48" s="37"/>
      <c r="KVW48" s="37"/>
      <c r="KVX48" s="37"/>
      <c r="KVY48" s="37"/>
      <c r="KVZ48" s="37"/>
      <c r="KWA48" s="37"/>
      <c r="KWB48" s="37"/>
      <c r="KWC48" s="37"/>
      <c r="KWD48" s="37"/>
      <c r="KWE48" s="37"/>
      <c r="KWF48" s="37"/>
      <c r="KWG48" s="37"/>
      <c r="KWH48" s="37"/>
      <c r="KWI48" s="37"/>
      <c r="KWJ48" s="37"/>
      <c r="KWK48" s="37"/>
      <c r="KWL48" s="37"/>
      <c r="KWM48" s="37"/>
      <c r="KWN48" s="37"/>
      <c r="KWO48" s="37"/>
      <c r="KWP48" s="37"/>
      <c r="KWQ48" s="37"/>
      <c r="KWR48" s="37"/>
      <c r="KWS48" s="37"/>
      <c r="KWT48" s="37"/>
      <c r="KWU48" s="37"/>
      <c r="KWV48" s="37"/>
      <c r="KWW48" s="37"/>
      <c r="KWX48" s="37"/>
      <c r="KWY48" s="37"/>
      <c r="KWZ48" s="37"/>
      <c r="KXA48" s="37"/>
      <c r="KXB48" s="37"/>
      <c r="KXC48" s="37"/>
      <c r="KXD48" s="37"/>
      <c r="KXE48" s="37"/>
      <c r="KXF48" s="37"/>
      <c r="KXG48" s="37"/>
      <c r="KXH48" s="37"/>
      <c r="KXI48" s="37"/>
      <c r="KXJ48" s="37"/>
      <c r="KXK48" s="37"/>
      <c r="KXL48" s="37"/>
      <c r="KXM48" s="37"/>
      <c r="KXN48" s="37"/>
      <c r="KXO48" s="37"/>
      <c r="KXP48" s="37"/>
      <c r="KXQ48" s="37"/>
      <c r="KXR48" s="37"/>
      <c r="KXS48" s="37"/>
      <c r="KXT48" s="37"/>
      <c r="KXU48" s="37"/>
      <c r="KXV48" s="37"/>
      <c r="KXW48" s="37"/>
      <c r="KXX48" s="37"/>
      <c r="KXY48" s="37"/>
      <c r="KXZ48" s="37"/>
      <c r="KYA48" s="37"/>
      <c r="KYB48" s="37"/>
      <c r="KYC48" s="37"/>
      <c r="KYD48" s="37"/>
      <c r="KYE48" s="37"/>
      <c r="KYF48" s="37"/>
      <c r="KYG48" s="37"/>
      <c r="KYH48" s="37"/>
      <c r="KYI48" s="37"/>
      <c r="KYJ48" s="37"/>
      <c r="KYK48" s="37"/>
      <c r="KYL48" s="37"/>
      <c r="KYM48" s="37"/>
      <c r="KYN48" s="37"/>
      <c r="KYO48" s="37"/>
      <c r="KYP48" s="37"/>
      <c r="KYQ48" s="37"/>
      <c r="KYR48" s="37"/>
      <c r="KYS48" s="37"/>
      <c r="KYT48" s="37"/>
      <c r="KYU48" s="37"/>
      <c r="KYV48" s="37"/>
      <c r="KYW48" s="37"/>
      <c r="KYX48" s="37"/>
      <c r="KYY48" s="37"/>
      <c r="KYZ48" s="37"/>
      <c r="KZA48" s="37"/>
      <c r="KZB48" s="37"/>
      <c r="KZC48" s="37"/>
      <c r="KZD48" s="37"/>
      <c r="KZE48" s="37"/>
      <c r="KZF48" s="37"/>
      <c r="KZG48" s="37"/>
      <c r="KZH48" s="37"/>
      <c r="KZI48" s="37"/>
      <c r="KZJ48" s="37"/>
      <c r="KZK48" s="37"/>
      <c r="KZL48" s="37"/>
      <c r="KZM48" s="37"/>
      <c r="KZN48" s="37"/>
      <c r="KZO48" s="37"/>
      <c r="KZP48" s="37"/>
      <c r="KZQ48" s="37"/>
      <c r="KZR48" s="37"/>
      <c r="KZS48" s="37"/>
      <c r="KZT48" s="37"/>
      <c r="KZU48" s="37"/>
      <c r="KZV48" s="37"/>
      <c r="KZW48" s="37"/>
      <c r="KZX48" s="37"/>
      <c r="KZY48" s="37"/>
      <c r="KZZ48" s="37"/>
      <c r="LAA48" s="37"/>
      <c r="LAB48" s="37"/>
      <c r="LAC48" s="37"/>
      <c r="LAD48" s="37"/>
      <c r="LAE48" s="37"/>
      <c r="LAF48" s="37"/>
      <c r="LAG48" s="37"/>
      <c r="LAH48" s="37"/>
      <c r="LAI48" s="37"/>
      <c r="LAJ48" s="37"/>
      <c r="LAK48" s="37"/>
      <c r="LAL48" s="37"/>
      <c r="LAM48" s="37"/>
      <c r="LAN48" s="37"/>
      <c r="LAO48" s="37"/>
      <c r="LAP48" s="37"/>
      <c r="LAQ48" s="37"/>
      <c r="LAR48" s="37"/>
      <c r="LAS48" s="37"/>
      <c r="LAT48" s="37"/>
      <c r="LAU48" s="37"/>
      <c r="LAV48" s="37"/>
      <c r="LAW48" s="37"/>
      <c r="LAX48" s="37"/>
      <c r="LAY48" s="37"/>
      <c r="LAZ48" s="37"/>
      <c r="LBA48" s="37"/>
      <c r="LBB48" s="37"/>
      <c r="LBC48" s="37"/>
      <c r="LBD48" s="37"/>
      <c r="LBE48" s="37"/>
      <c r="LBF48" s="37"/>
      <c r="LBG48" s="37"/>
      <c r="LBH48" s="37"/>
      <c r="LBI48" s="37"/>
      <c r="LBJ48" s="37"/>
      <c r="LBK48" s="37"/>
      <c r="LBL48" s="37"/>
      <c r="LBM48" s="37"/>
      <c r="LBN48" s="37"/>
      <c r="LBO48" s="37"/>
      <c r="LBP48" s="37"/>
      <c r="LBQ48" s="37"/>
      <c r="LBR48" s="37"/>
      <c r="LBS48" s="37"/>
      <c r="LBT48" s="37"/>
      <c r="LBU48" s="37"/>
      <c r="LBV48" s="37"/>
      <c r="LBW48" s="37"/>
      <c r="LBX48" s="37"/>
      <c r="LBY48" s="37"/>
      <c r="LBZ48" s="37"/>
      <c r="LCA48" s="37"/>
      <c r="LCB48" s="37"/>
      <c r="LCC48" s="37"/>
      <c r="LCD48" s="37"/>
      <c r="LCE48" s="37"/>
      <c r="LCF48" s="37"/>
      <c r="LCG48" s="37"/>
      <c r="LCH48" s="37"/>
      <c r="LCI48" s="37"/>
      <c r="LCJ48" s="37"/>
      <c r="LCK48" s="37"/>
      <c r="LCL48" s="37"/>
      <c r="LCM48" s="37"/>
      <c r="LCN48" s="37"/>
      <c r="LCO48" s="37"/>
      <c r="LCP48" s="37"/>
      <c r="LCQ48" s="37"/>
      <c r="LCR48" s="37"/>
      <c r="LCS48" s="37"/>
      <c r="LCT48" s="37"/>
      <c r="LCU48" s="37"/>
      <c r="LCV48" s="37"/>
      <c r="LCW48" s="37"/>
      <c r="LCX48" s="37"/>
      <c r="LCY48" s="37"/>
      <c r="LCZ48" s="37"/>
      <c r="LDA48" s="37"/>
      <c r="LDB48" s="37"/>
      <c r="LDC48" s="37"/>
      <c r="LDD48" s="37"/>
      <c r="LDE48" s="37"/>
      <c r="LDF48" s="37"/>
      <c r="LDG48" s="37"/>
      <c r="LDH48" s="37"/>
      <c r="LDI48" s="37"/>
      <c r="LDJ48" s="37"/>
      <c r="LDK48" s="37"/>
      <c r="LDL48" s="37"/>
      <c r="LDM48" s="37"/>
      <c r="LDN48" s="37"/>
      <c r="LDO48" s="37"/>
      <c r="LDP48" s="37"/>
      <c r="LDQ48" s="37"/>
      <c r="LDR48" s="37"/>
      <c r="LDS48" s="37"/>
      <c r="LDT48" s="37"/>
      <c r="LDU48" s="37"/>
      <c r="LDV48" s="37"/>
      <c r="LDW48" s="37"/>
      <c r="LDX48" s="37"/>
      <c r="LDY48" s="37"/>
      <c r="LDZ48" s="37"/>
      <c r="LEA48" s="37"/>
      <c r="LEB48" s="37"/>
      <c r="LEC48" s="37"/>
      <c r="LED48" s="37"/>
      <c r="LEE48" s="37"/>
      <c r="LEF48" s="37"/>
      <c r="LEG48" s="37"/>
      <c r="LEH48" s="37"/>
      <c r="LEI48" s="37"/>
      <c r="LEJ48" s="37"/>
      <c r="LEK48" s="37"/>
      <c r="LEL48" s="37"/>
      <c r="LEM48" s="37"/>
      <c r="LEN48" s="37"/>
      <c r="LEO48" s="37"/>
      <c r="LEP48" s="37"/>
      <c r="LEQ48" s="37"/>
      <c r="LER48" s="37"/>
      <c r="LES48" s="37"/>
      <c r="LET48" s="37"/>
      <c r="LEU48" s="37"/>
      <c r="LEV48" s="37"/>
      <c r="LEW48" s="37"/>
      <c r="LEX48" s="37"/>
      <c r="LEY48" s="37"/>
      <c r="LEZ48" s="37"/>
      <c r="LFA48" s="37"/>
      <c r="LFB48" s="37"/>
      <c r="LFC48" s="37"/>
      <c r="LFD48" s="37"/>
      <c r="LFE48" s="37"/>
      <c r="LFF48" s="37"/>
      <c r="LFG48" s="37"/>
      <c r="LFH48" s="37"/>
      <c r="LFI48" s="37"/>
      <c r="LFJ48" s="37"/>
      <c r="LFK48" s="37"/>
      <c r="LFL48" s="37"/>
      <c r="LFM48" s="37"/>
      <c r="LFN48" s="37"/>
      <c r="LFO48" s="37"/>
      <c r="LFP48" s="37"/>
      <c r="LFQ48" s="37"/>
      <c r="LFR48" s="37"/>
      <c r="LFS48" s="37"/>
      <c r="LFT48" s="37"/>
      <c r="LFU48" s="37"/>
      <c r="LFV48" s="37"/>
      <c r="LFW48" s="37"/>
      <c r="LFX48" s="37"/>
      <c r="LFY48" s="37"/>
      <c r="LFZ48" s="37"/>
      <c r="LGA48" s="37"/>
      <c r="LGB48" s="37"/>
      <c r="LGC48" s="37"/>
      <c r="LGD48" s="37"/>
      <c r="LGE48" s="37"/>
      <c r="LGF48" s="37"/>
      <c r="LGG48" s="37"/>
      <c r="LGH48" s="37"/>
      <c r="LGI48" s="37"/>
      <c r="LGJ48" s="37"/>
      <c r="LGK48" s="37"/>
      <c r="LGL48" s="37"/>
      <c r="LGM48" s="37"/>
      <c r="LGN48" s="37"/>
      <c r="LGO48" s="37"/>
      <c r="LGP48" s="37"/>
      <c r="LGQ48" s="37"/>
      <c r="LGR48" s="37"/>
      <c r="LGS48" s="37"/>
      <c r="LGT48" s="37"/>
      <c r="LGU48" s="37"/>
      <c r="LGV48" s="37"/>
      <c r="LGW48" s="37"/>
      <c r="LGX48" s="37"/>
      <c r="LGY48" s="37"/>
      <c r="LGZ48" s="37"/>
      <c r="LHA48" s="37"/>
      <c r="LHB48" s="37"/>
      <c r="LHC48" s="37"/>
      <c r="LHD48" s="37"/>
      <c r="LHE48" s="37"/>
      <c r="LHF48" s="37"/>
      <c r="LHG48" s="37"/>
      <c r="LHH48" s="37"/>
      <c r="LHI48" s="37"/>
      <c r="LHJ48" s="37"/>
      <c r="LHK48" s="37"/>
      <c r="LHL48" s="37"/>
      <c r="LHM48" s="37"/>
      <c r="LHN48" s="37"/>
      <c r="LHO48" s="37"/>
      <c r="LHP48" s="37"/>
      <c r="LHQ48" s="37"/>
      <c r="LHR48" s="37"/>
      <c r="LHS48" s="37"/>
      <c r="LHT48" s="37"/>
      <c r="LHU48" s="37"/>
      <c r="LHV48" s="37"/>
      <c r="LHW48" s="37"/>
      <c r="LHX48" s="37"/>
      <c r="LHY48" s="37"/>
      <c r="LHZ48" s="37"/>
      <c r="LIA48" s="37"/>
      <c r="LIB48" s="37"/>
      <c r="LIC48" s="37"/>
      <c r="LID48" s="37"/>
      <c r="LIE48" s="37"/>
      <c r="LIF48" s="37"/>
      <c r="LIG48" s="37"/>
      <c r="LIH48" s="37"/>
      <c r="LII48" s="37"/>
      <c r="LIJ48" s="37"/>
      <c r="LIK48" s="37"/>
      <c r="LIL48" s="37"/>
      <c r="LIM48" s="37"/>
      <c r="LIN48" s="37"/>
      <c r="LIO48" s="37"/>
      <c r="LIP48" s="37"/>
      <c r="LIQ48" s="37"/>
      <c r="LIR48" s="37"/>
      <c r="LIS48" s="37"/>
      <c r="LIT48" s="37"/>
      <c r="LIU48" s="37"/>
      <c r="LIV48" s="37"/>
      <c r="LIW48" s="37"/>
      <c r="LIX48" s="37"/>
      <c r="LIY48" s="37"/>
      <c r="LIZ48" s="37"/>
      <c r="LJA48" s="37"/>
      <c r="LJB48" s="37"/>
      <c r="LJC48" s="37"/>
      <c r="LJD48" s="37"/>
      <c r="LJE48" s="37"/>
      <c r="LJF48" s="37"/>
      <c r="LJG48" s="37"/>
      <c r="LJH48" s="37"/>
      <c r="LJI48" s="37"/>
      <c r="LJJ48" s="37"/>
      <c r="LJK48" s="37"/>
      <c r="LJL48" s="37"/>
      <c r="LJM48" s="37"/>
      <c r="LJN48" s="37"/>
      <c r="LJO48" s="37"/>
      <c r="LJP48" s="37"/>
      <c r="LJQ48" s="37"/>
      <c r="LJR48" s="37"/>
      <c r="LJS48" s="37"/>
      <c r="LJT48" s="37"/>
      <c r="LJU48" s="37"/>
      <c r="LJV48" s="37"/>
      <c r="LJW48" s="37"/>
      <c r="LJX48" s="37"/>
      <c r="LJY48" s="37"/>
      <c r="LJZ48" s="37"/>
      <c r="LKA48" s="37"/>
      <c r="LKB48" s="37"/>
      <c r="LKC48" s="37"/>
      <c r="LKD48" s="37"/>
      <c r="LKE48" s="37"/>
      <c r="LKF48" s="37"/>
      <c r="LKG48" s="37"/>
      <c r="LKH48" s="37"/>
      <c r="LKI48" s="37"/>
      <c r="LKJ48" s="37"/>
      <c r="LKK48" s="37"/>
      <c r="LKL48" s="37"/>
      <c r="LKM48" s="37"/>
      <c r="LKN48" s="37"/>
      <c r="LKO48" s="37"/>
      <c r="LKP48" s="37"/>
      <c r="LKQ48" s="37"/>
      <c r="LKR48" s="37"/>
      <c r="LKS48" s="37"/>
      <c r="LKT48" s="37"/>
      <c r="LKU48" s="37"/>
      <c r="LKV48" s="37"/>
      <c r="LKW48" s="37"/>
      <c r="LKX48" s="37"/>
      <c r="LKY48" s="37"/>
      <c r="LKZ48" s="37"/>
      <c r="LLA48" s="37"/>
      <c r="LLB48" s="37"/>
      <c r="LLC48" s="37"/>
      <c r="LLD48" s="37"/>
      <c r="LLE48" s="37"/>
      <c r="LLF48" s="37"/>
      <c r="LLG48" s="37"/>
      <c r="LLH48" s="37"/>
      <c r="LLI48" s="37"/>
      <c r="LLJ48" s="37"/>
      <c r="LLK48" s="37"/>
      <c r="LLL48" s="37"/>
      <c r="LLM48" s="37"/>
      <c r="LLN48" s="37"/>
      <c r="LLO48" s="37"/>
      <c r="LLP48" s="37"/>
      <c r="LLQ48" s="37"/>
      <c r="LLR48" s="37"/>
      <c r="LLS48" s="37"/>
      <c r="LLT48" s="37"/>
      <c r="LLU48" s="37"/>
      <c r="LLV48" s="37"/>
      <c r="LLW48" s="37"/>
      <c r="LLX48" s="37"/>
      <c r="LLY48" s="37"/>
      <c r="LLZ48" s="37"/>
      <c r="LMA48" s="37"/>
      <c r="LMB48" s="37"/>
      <c r="LMC48" s="37"/>
      <c r="LMD48" s="37"/>
      <c r="LME48" s="37"/>
      <c r="LMF48" s="37"/>
      <c r="LMG48" s="37"/>
      <c r="LMH48" s="37"/>
      <c r="LMI48" s="37"/>
      <c r="LMJ48" s="37"/>
      <c r="LMK48" s="37"/>
      <c r="LML48" s="37"/>
      <c r="LMM48" s="37"/>
      <c r="LMN48" s="37"/>
      <c r="LMO48" s="37"/>
      <c r="LMP48" s="37"/>
      <c r="LMQ48" s="37"/>
      <c r="LMR48" s="37"/>
      <c r="LMS48" s="37"/>
      <c r="LMT48" s="37"/>
      <c r="LMU48" s="37"/>
      <c r="LMV48" s="37"/>
      <c r="LMW48" s="37"/>
      <c r="LMX48" s="37"/>
      <c r="LMY48" s="37"/>
      <c r="LMZ48" s="37"/>
      <c r="LNA48" s="37"/>
      <c r="LNB48" s="37"/>
      <c r="LNC48" s="37"/>
      <c r="LND48" s="37"/>
      <c r="LNE48" s="37"/>
      <c r="LNF48" s="37"/>
      <c r="LNG48" s="37"/>
      <c r="LNH48" s="37"/>
      <c r="LNI48" s="37"/>
      <c r="LNJ48" s="37"/>
      <c r="LNK48" s="37"/>
      <c r="LNL48" s="37"/>
      <c r="LNM48" s="37"/>
      <c r="LNN48" s="37"/>
      <c r="LNO48" s="37"/>
      <c r="LNP48" s="37"/>
      <c r="LNQ48" s="37"/>
      <c r="LNR48" s="37"/>
      <c r="LNS48" s="37"/>
      <c r="LNT48" s="37"/>
      <c r="LNU48" s="37"/>
      <c r="LNV48" s="37"/>
      <c r="LNW48" s="37"/>
      <c r="LNX48" s="37"/>
      <c r="LNY48" s="37"/>
      <c r="LNZ48" s="37"/>
      <c r="LOA48" s="37"/>
      <c r="LOB48" s="37"/>
      <c r="LOC48" s="37"/>
      <c r="LOD48" s="37"/>
      <c r="LOE48" s="37"/>
      <c r="LOF48" s="37"/>
      <c r="LOG48" s="37"/>
      <c r="LOH48" s="37"/>
      <c r="LOI48" s="37"/>
      <c r="LOJ48" s="37"/>
      <c r="LOK48" s="37"/>
      <c r="LOL48" s="37"/>
      <c r="LOM48" s="37"/>
      <c r="LON48" s="37"/>
      <c r="LOO48" s="37"/>
      <c r="LOP48" s="37"/>
      <c r="LOQ48" s="37"/>
      <c r="LOR48" s="37"/>
      <c r="LOS48" s="37"/>
      <c r="LOT48" s="37"/>
      <c r="LOU48" s="37"/>
      <c r="LOV48" s="37"/>
      <c r="LOW48" s="37"/>
      <c r="LOX48" s="37"/>
      <c r="LOY48" s="37"/>
      <c r="LOZ48" s="37"/>
      <c r="LPA48" s="37"/>
      <c r="LPB48" s="37"/>
      <c r="LPC48" s="37"/>
      <c r="LPD48" s="37"/>
      <c r="LPE48" s="37"/>
      <c r="LPF48" s="37"/>
      <c r="LPG48" s="37"/>
      <c r="LPH48" s="37"/>
      <c r="LPI48" s="37"/>
      <c r="LPJ48" s="37"/>
      <c r="LPK48" s="37"/>
      <c r="LPL48" s="37"/>
      <c r="LPM48" s="37"/>
      <c r="LPN48" s="37"/>
      <c r="LPO48" s="37"/>
      <c r="LPP48" s="37"/>
      <c r="LPQ48" s="37"/>
      <c r="LPR48" s="37"/>
      <c r="LPS48" s="37"/>
      <c r="LPT48" s="37"/>
      <c r="LPU48" s="37"/>
      <c r="LPV48" s="37"/>
      <c r="LPW48" s="37"/>
      <c r="LPX48" s="37"/>
      <c r="LPY48" s="37"/>
      <c r="LPZ48" s="37"/>
      <c r="LQA48" s="37"/>
      <c r="LQB48" s="37"/>
      <c r="LQC48" s="37"/>
      <c r="LQD48" s="37"/>
      <c r="LQE48" s="37"/>
      <c r="LQF48" s="37"/>
      <c r="LQG48" s="37"/>
      <c r="LQH48" s="37"/>
      <c r="LQI48" s="37"/>
      <c r="LQJ48" s="37"/>
      <c r="LQK48" s="37"/>
      <c r="LQL48" s="37"/>
      <c r="LQM48" s="37"/>
      <c r="LQN48" s="37"/>
      <c r="LQO48" s="37"/>
      <c r="LQP48" s="37"/>
      <c r="LQQ48" s="37"/>
      <c r="LQR48" s="37"/>
      <c r="LQS48" s="37"/>
      <c r="LQT48" s="37"/>
      <c r="LQU48" s="37"/>
      <c r="LQV48" s="37"/>
      <c r="LQW48" s="37"/>
      <c r="LQX48" s="37"/>
      <c r="LQY48" s="37"/>
      <c r="LQZ48" s="37"/>
      <c r="LRA48" s="37"/>
      <c r="LRB48" s="37"/>
      <c r="LRC48" s="37"/>
      <c r="LRD48" s="37"/>
      <c r="LRE48" s="37"/>
      <c r="LRF48" s="37"/>
      <c r="LRG48" s="37"/>
      <c r="LRH48" s="37"/>
      <c r="LRI48" s="37"/>
      <c r="LRJ48" s="37"/>
      <c r="LRK48" s="37"/>
      <c r="LRL48" s="37"/>
      <c r="LRM48" s="37"/>
      <c r="LRN48" s="37"/>
      <c r="LRO48" s="37"/>
      <c r="LRP48" s="37"/>
      <c r="LRQ48" s="37"/>
      <c r="LRR48" s="37"/>
      <c r="LRS48" s="37"/>
      <c r="LRT48" s="37"/>
      <c r="LRU48" s="37"/>
      <c r="LRV48" s="37"/>
      <c r="LRW48" s="37"/>
      <c r="LRX48" s="37"/>
      <c r="LRY48" s="37"/>
      <c r="LRZ48" s="37"/>
      <c r="LSA48" s="37"/>
      <c r="LSB48" s="37"/>
      <c r="LSC48" s="37"/>
      <c r="LSD48" s="37"/>
      <c r="LSE48" s="37"/>
      <c r="LSF48" s="37"/>
      <c r="LSG48" s="37"/>
      <c r="LSH48" s="37"/>
      <c r="LSI48" s="37"/>
      <c r="LSJ48" s="37"/>
      <c r="LSK48" s="37"/>
      <c r="LSL48" s="37"/>
      <c r="LSM48" s="37"/>
      <c r="LSN48" s="37"/>
      <c r="LSO48" s="37"/>
      <c r="LSP48" s="37"/>
      <c r="LSQ48" s="37"/>
      <c r="LSR48" s="37"/>
      <c r="LSS48" s="37"/>
      <c r="LST48" s="37"/>
      <c r="LSU48" s="37"/>
      <c r="LSV48" s="37"/>
      <c r="LSW48" s="37"/>
      <c r="LSX48" s="37"/>
      <c r="LSY48" s="37"/>
      <c r="LSZ48" s="37"/>
      <c r="LTA48" s="37"/>
      <c r="LTB48" s="37"/>
      <c r="LTC48" s="37"/>
      <c r="LTD48" s="37"/>
      <c r="LTE48" s="37"/>
      <c r="LTF48" s="37"/>
      <c r="LTG48" s="37"/>
      <c r="LTH48" s="37"/>
      <c r="LTI48" s="37"/>
      <c r="LTJ48" s="37"/>
      <c r="LTK48" s="37"/>
      <c r="LTL48" s="37"/>
      <c r="LTM48" s="37"/>
      <c r="LTN48" s="37"/>
      <c r="LTO48" s="37"/>
      <c r="LTP48" s="37"/>
      <c r="LTQ48" s="37"/>
      <c r="LTR48" s="37"/>
      <c r="LTS48" s="37"/>
      <c r="LTT48" s="37"/>
      <c r="LTU48" s="37"/>
      <c r="LTV48" s="37"/>
      <c r="LTW48" s="37"/>
      <c r="LTX48" s="37"/>
      <c r="LTY48" s="37"/>
      <c r="LTZ48" s="37"/>
      <c r="LUA48" s="37"/>
      <c r="LUB48" s="37"/>
      <c r="LUC48" s="37"/>
      <c r="LUD48" s="37"/>
      <c r="LUE48" s="37"/>
      <c r="LUF48" s="37"/>
      <c r="LUG48" s="37"/>
      <c r="LUH48" s="37"/>
      <c r="LUI48" s="37"/>
      <c r="LUJ48" s="37"/>
      <c r="LUK48" s="37"/>
      <c r="LUL48" s="37"/>
      <c r="LUM48" s="37"/>
      <c r="LUN48" s="37"/>
      <c r="LUO48" s="37"/>
      <c r="LUP48" s="37"/>
      <c r="LUQ48" s="37"/>
      <c r="LUR48" s="37"/>
      <c r="LUS48" s="37"/>
      <c r="LUT48" s="37"/>
      <c r="LUU48" s="37"/>
      <c r="LUV48" s="37"/>
      <c r="LUW48" s="37"/>
      <c r="LUX48" s="37"/>
      <c r="LUY48" s="37"/>
      <c r="LUZ48" s="37"/>
      <c r="LVA48" s="37"/>
      <c r="LVB48" s="37"/>
      <c r="LVC48" s="37"/>
      <c r="LVD48" s="37"/>
      <c r="LVE48" s="37"/>
      <c r="LVF48" s="37"/>
      <c r="LVG48" s="37"/>
      <c r="LVH48" s="37"/>
      <c r="LVI48" s="37"/>
      <c r="LVJ48" s="37"/>
      <c r="LVK48" s="37"/>
      <c r="LVL48" s="37"/>
      <c r="LVM48" s="37"/>
      <c r="LVN48" s="37"/>
      <c r="LVO48" s="37"/>
      <c r="LVP48" s="37"/>
      <c r="LVQ48" s="37"/>
      <c r="LVR48" s="37"/>
      <c r="LVS48" s="37"/>
      <c r="LVT48" s="37"/>
      <c r="LVU48" s="37"/>
      <c r="LVV48" s="37"/>
      <c r="LVW48" s="37"/>
      <c r="LVX48" s="37"/>
      <c r="LVY48" s="37"/>
      <c r="LVZ48" s="37"/>
      <c r="LWA48" s="37"/>
      <c r="LWB48" s="37"/>
      <c r="LWC48" s="37"/>
      <c r="LWD48" s="37"/>
      <c r="LWE48" s="37"/>
      <c r="LWF48" s="37"/>
      <c r="LWG48" s="37"/>
      <c r="LWH48" s="37"/>
      <c r="LWI48" s="37"/>
      <c r="LWJ48" s="37"/>
      <c r="LWK48" s="37"/>
      <c r="LWL48" s="37"/>
      <c r="LWM48" s="37"/>
      <c r="LWN48" s="37"/>
      <c r="LWO48" s="37"/>
      <c r="LWP48" s="37"/>
      <c r="LWQ48" s="37"/>
      <c r="LWR48" s="37"/>
      <c r="LWS48" s="37"/>
      <c r="LWT48" s="37"/>
      <c r="LWU48" s="37"/>
      <c r="LWV48" s="37"/>
      <c r="LWW48" s="37"/>
      <c r="LWX48" s="37"/>
      <c r="LWY48" s="37"/>
      <c r="LWZ48" s="37"/>
      <c r="LXA48" s="37"/>
      <c r="LXB48" s="37"/>
      <c r="LXC48" s="37"/>
      <c r="LXD48" s="37"/>
      <c r="LXE48" s="37"/>
      <c r="LXF48" s="37"/>
      <c r="LXG48" s="37"/>
      <c r="LXH48" s="37"/>
      <c r="LXI48" s="37"/>
      <c r="LXJ48" s="37"/>
      <c r="LXK48" s="37"/>
      <c r="LXL48" s="37"/>
      <c r="LXM48" s="37"/>
      <c r="LXN48" s="37"/>
      <c r="LXO48" s="37"/>
      <c r="LXP48" s="37"/>
      <c r="LXQ48" s="37"/>
      <c r="LXR48" s="37"/>
      <c r="LXS48" s="37"/>
      <c r="LXT48" s="37"/>
      <c r="LXU48" s="37"/>
      <c r="LXV48" s="37"/>
      <c r="LXW48" s="37"/>
      <c r="LXX48" s="37"/>
      <c r="LXY48" s="37"/>
      <c r="LXZ48" s="37"/>
      <c r="LYA48" s="37"/>
      <c r="LYB48" s="37"/>
      <c r="LYC48" s="37"/>
      <c r="LYD48" s="37"/>
      <c r="LYE48" s="37"/>
      <c r="LYF48" s="37"/>
      <c r="LYG48" s="37"/>
      <c r="LYH48" s="37"/>
      <c r="LYI48" s="37"/>
      <c r="LYJ48" s="37"/>
      <c r="LYK48" s="37"/>
      <c r="LYL48" s="37"/>
      <c r="LYM48" s="37"/>
      <c r="LYN48" s="37"/>
      <c r="LYO48" s="37"/>
      <c r="LYP48" s="37"/>
      <c r="LYQ48" s="37"/>
      <c r="LYR48" s="37"/>
      <c r="LYS48" s="37"/>
      <c r="LYT48" s="37"/>
      <c r="LYU48" s="37"/>
      <c r="LYV48" s="37"/>
      <c r="LYW48" s="37"/>
      <c r="LYX48" s="37"/>
      <c r="LYY48" s="37"/>
      <c r="LYZ48" s="37"/>
      <c r="LZA48" s="37"/>
      <c r="LZB48" s="37"/>
      <c r="LZC48" s="37"/>
      <c r="LZD48" s="37"/>
      <c r="LZE48" s="37"/>
      <c r="LZF48" s="37"/>
      <c r="LZG48" s="37"/>
      <c r="LZH48" s="37"/>
      <c r="LZI48" s="37"/>
      <c r="LZJ48" s="37"/>
      <c r="LZK48" s="37"/>
      <c r="LZL48" s="37"/>
      <c r="LZM48" s="37"/>
      <c r="LZN48" s="37"/>
      <c r="LZO48" s="37"/>
      <c r="LZP48" s="37"/>
      <c r="LZQ48" s="37"/>
      <c r="LZR48" s="37"/>
      <c r="LZS48" s="37"/>
      <c r="LZT48" s="37"/>
      <c r="LZU48" s="37"/>
      <c r="LZV48" s="37"/>
      <c r="LZW48" s="37"/>
      <c r="LZX48" s="37"/>
      <c r="LZY48" s="37"/>
      <c r="LZZ48" s="37"/>
      <c r="MAA48" s="37"/>
      <c r="MAB48" s="37"/>
      <c r="MAC48" s="37"/>
      <c r="MAD48" s="37"/>
      <c r="MAE48" s="37"/>
      <c r="MAF48" s="37"/>
      <c r="MAG48" s="37"/>
      <c r="MAH48" s="37"/>
      <c r="MAI48" s="37"/>
      <c r="MAJ48" s="37"/>
      <c r="MAK48" s="37"/>
      <c r="MAL48" s="37"/>
      <c r="MAM48" s="37"/>
      <c r="MAN48" s="37"/>
      <c r="MAO48" s="37"/>
      <c r="MAP48" s="37"/>
      <c r="MAQ48" s="37"/>
      <c r="MAR48" s="37"/>
      <c r="MAS48" s="37"/>
      <c r="MAT48" s="37"/>
      <c r="MAU48" s="37"/>
      <c r="MAV48" s="37"/>
      <c r="MAW48" s="37"/>
      <c r="MAX48" s="37"/>
      <c r="MAY48" s="37"/>
      <c r="MAZ48" s="37"/>
      <c r="MBA48" s="37"/>
      <c r="MBB48" s="37"/>
      <c r="MBC48" s="37"/>
      <c r="MBD48" s="37"/>
      <c r="MBE48" s="37"/>
      <c r="MBF48" s="37"/>
      <c r="MBG48" s="37"/>
      <c r="MBH48" s="37"/>
      <c r="MBI48" s="37"/>
      <c r="MBJ48" s="37"/>
      <c r="MBK48" s="37"/>
      <c r="MBL48" s="37"/>
      <c r="MBM48" s="37"/>
      <c r="MBN48" s="37"/>
      <c r="MBO48" s="37"/>
      <c r="MBP48" s="37"/>
      <c r="MBQ48" s="37"/>
      <c r="MBR48" s="37"/>
      <c r="MBS48" s="37"/>
      <c r="MBT48" s="37"/>
      <c r="MBU48" s="37"/>
      <c r="MBV48" s="37"/>
      <c r="MBW48" s="37"/>
      <c r="MBX48" s="37"/>
      <c r="MBY48" s="37"/>
      <c r="MBZ48" s="37"/>
      <c r="MCA48" s="37"/>
      <c r="MCB48" s="37"/>
      <c r="MCC48" s="37"/>
      <c r="MCD48" s="37"/>
      <c r="MCE48" s="37"/>
      <c r="MCF48" s="37"/>
      <c r="MCG48" s="37"/>
      <c r="MCH48" s="37"/>
      <c r="MCI48" s="37"/>
      <c r="MCJ48" s="37"/>
      <c r="MCK48" s="37"/>
      <c r="MCL48" s="37"/>
      <c r="MCM48" s="37"/>
      <c r="MCN48" s="37"/>
      <c r="MCO48" s="37"/>
      <c r="MCP48" s="37"/>
      <c r="MCQ48" s="37"/>
      <c r="MCR48" s="37"/>
      <c r="MCS48" s="37"/>
      <c r="MCT48" s="37"/>
      <c r="MCU48" s="37"/>
      <c r="MCV48" s="37"/>
      <c r="MCW48" s="37"/>
      <c r="MCX48" s="37"/>
      <c r="MCY48" s="37"/>
      <c r="MCZ48" s="37"/>
      <c r="MDA48" s="37"/>
      <c r="MDB48" s="37"/>
      <c r="MDC48" s="37"/>
      <c r="MDD48" s="37"/>
      <c r="MDE48" s="37"/>
      <c r="MDF48" s="37"/>
      <c r="MDG48" s="37"/>
      <c r="MDH48" s="37"/>
      <c r="MDI48" s="37"/>
      <c r="MDJ48" s="37"/>
      <c r="MDK48" s="37"/>
      <c r="MDL48" s="37"/>
      <c r="MDM48" s="37"/>
      <c r="MDN48" s="37"/>
      <c r="MDO48" s="37"/>
      <c r="MDP48" s="37"/>
      <c r="MDQ48" s="37"/>
      <c r="MDR48" s="37"/>
      <c r="MDS48" s="37"/>
      <c r="MDT48" s="37"/>
      <c r="MDU48" s="37"/>
      <c r="MDV48" s="37"/>
      <c r="MDW48" s="37"/>
      <c r="MDX48" s="37"/>
      <c r="MDY48" s="37"/>
      <c r="MDZ48" s="37"/>
      <c r="MEA48" s="37"/>
      <c r="MEB48" s="37"/>
      <c r="MEC48" s="37"/>
      <c r="MED48" s="37"/>
      <c r="MEE48" s="37"/>
      <c r="MEF48" s="37"/>
      <c r="MEG48" s="37"/>
      <c r="MEH48" s="37"/>
      <c r="MEI48" s="37"/>
      <c r="MEJ48" s="37"/>
      <c r="MEK48" s="37"/>
      <c r="MEL48" s="37"/>
      <c r="MEM48" s="37"/>
      <c r="MEN48" s="37"/>
      <c r="MEO48" s="37"/>
      <c r="MEP48" s="37"/>
      <c r="MEQ48" s="37"/>
      <c r="MER48" s="37"/>
      <c r="MES48" s="37"/>
      <c r="MET48" s="37"/>
      <c r="MEU48" s="37"/>
      <c r="MEV48" s="37"/>
      <c r="MEW48" s="37"/>
      <c r="MEX48" s="37"/>
      <c r="MEY48" s="37"/>
      <c r="MEZ48" s="37"/>
      <c r="MFA48" s="37"/>
      <c r="MFB48" s="37"/>
      <c r="MFC48" s="37"/>
      <c r="MFD48" s="37"/>
      <c r="MFE48" s="37"/>
      <c r="MFF48" s="37"/>
      <c r="MFG48" s="37"/>
      <c r="MFH48" s="37"/>
      <c r="MFI48" s="37"/>
      <c r="MFJ48" s="37"/>
      <c r="MFK48" s="37"/>
      <c r="MFL48" s="37"/>
      <c r="MFM48" s="37"/>
      <c r="MFN48" s="37"/>
      <c r="MFO48" s="37"/>
      <c r="MFP48" s="37"/>
      <c r="MFQ48" s="37"/>
      <c r="MFR48" s="37"/>
      <c r="MFS48" s="37"/>
      <c r="MFT48" s="37"/>
      <c r="MFU48" s="37"/>
      <c r="MFV48" s="37"/>
      <c r="MFW48" s="37"/>
      <c r="MFX48" s="37"/>
      <c r="MFY48" s="37"/>
      <c r="MFZ48" s="37"/>
      <c r="MGA48" s="37"/>
      <c r="MGB48" s="37"/>
      <c r="MGC48" s="37"/>
      <c r="MGD48" s="37"/>
      <c r="MGE48" s="37"/>
      <c r="MGF48" s="37"/>
      <c r="MGG48" s="37"/>
      <c r="MGH48" s="37"/>
      <c r="MGI48" s="37"/>
      <c r="MGJ48" s="37"/>
      <c r="MGK48" s="37"/>
      <c r="MGL48" s="37"/>
      <c r="MGM48" s="37"/>
      <c r="MGN48" s="37"/>
      <c r="MGO48" s="37"/>
      <c r="MGP48" s="37"/>
      <c r="MGQ48" s="37"/>
      <c r="MGR48" s="37"/>
      <c r="MGS48" s="37"/>
      <c r="MGT48" s="37"/>
      <c r="MGU48" s="37"/>
      <c r="MGV48" s="37"/>
      <c r="MGW48" s="37"/>
      <c r="MGX48" s="37"/>
      <c r="MGY48" s="37"/>
      <c r="MGZ48" s="37"/>
      <c r="MHA48" s="37"/>
      <c r="MHB48" s="37"/>
      <c r="MHC48" s="37"/>
      <c r="MHD48" s="37"/>
      <c r="MHE48" s="37"/>
      <c r="MHF48" s="37"/>
      <c r="MHG48" s="37"/>
      <c r="MHH48" s="37"/>
      <c r="MHI48" s="37"/>
      <c r="MHJ48" s="37"/>
      <c r="MHK48" s="37"/>
      <c r="MHL48" s="37"/>
      <c r="MHM48" s="37"/>
      <c r="MHN48" s="37"/>
      <c r="MHO48" s="37"/>
      <c r="MHP48" s="37"/>
      <c r="MHQ48" s="37"/>
      <c r="MHR48" s="37"/>
      <c r="MHS48" s="37"/>
      <c r="MHT48" s="37"/>
      <c r="MHU48" s="37"/>
      <c r="MHV48" s="37"/>
      <c r="MHW48" s="37"/>
      <c r="MHX48" s="37"/>
      <c r="MHY48" s="37"/>
      <c r="MHZ48" s="37"/>
      <c r="MIA48" s="37"/>
      <c r="MIB48" s="37"/>
      <c r="MIC48" s="37"/>
      <c r="MID48" s="37"/>
      <c r="MIE48" s="37"/>
      <c r="MIF48" s="37"/>
      <c r="MIG48" s="37"/>
      <c r="MIH48" s="37"/>
      <c r="MII48" s="37"/>
      <c r="MIJ48" s="37"/>
      <c r="MIK48" s="37"/>
      <c r="MIL48" s="37"/>
      <c r="MIM48" s="37"/>
      <c r="MIN48" s="37"/>
      <c r="MIO48" s="37"/>
      <c r="MIP48" s="37"/>
      <c r="MIQ48" s="37"/>
      <c r="MIR48" s="37"/>
      <c r="MIS48" s="37"/>
      <c r="MIT48" s="37"/>
      <c r="MIU48" s="37"/>
      <c r="MIV48" s="37"/>
      <c r="MIW48" s="37"/>
      <c r="MIX48" s="37"/>
      <c r="MIY48" s="37"/>
      <c r="MIZ48" s="37"/>
      <c r="MJA48" s="37"/>
      <c r="MJB48" s="37"/>
      <c r="MJC48" s="37"/>
      <c r="MJD48" s="37"/>
      <c r="MJE48" s="37"/>
      <c r="MJF48" s="37"/>
      <c r="MJG48" s="37"/>
      <c r="MJH48" s="37"/>
      <c r="MJI48" s="37"/>
      <c r="MJJ48" s="37"/>
      <c r="MJK48" s="37"/>
      <c r="MJL48" s="37"/>
      <c r="MJM48" s="37"/>
      <c r="MJN48" s="37"/>
      <c r="MJO48" s="37"/>
      <c r="MJP48" s="37"/>
      <c r="MJQ48" s="37"/>
      <c r="MJR48" s="37"/>
      <c r="MJS48" s="37"/>
      <c r="MJT48" s="37"/>
      <c r="MJU48" s="37"/>
      <c r="MJV48" s="37"/>
      <c r="MJW48" s="37"/>
      <c r="MJX48" s="37"/>
      <c r="MJY48" s="37"/>
      <c r="MJZ48" s="37"/>
      <c r="MKA48" s="37"/>
      <c r="MKB48" s="37"/>
      <c r="MKC48" s="37"/>
      <c r="MKD48" s="37"/>
      <c r="MKE48" s="37"/>
      <c r="MKF48" s="37"/>
      <c r="MKG48" s="37"/>
      <c r="MKH48" s="37"/>
      <c r="MKI48" s="37"/>
      <c r="MKJ48" s="37"/>
      <c r="MKK48" s="37"/>
      <c r="MKL48" s="37"/>
      <c r="MKM48" s="37"/>
      <c r="MKN48" s="37"/>
      <c r="MKO48" s="37"/>
      <c r="MKP48" s="37"/>
      <c r="MKQ48" s="37"/>
      <c r="MKR48" s="37"/>
      <c r="MKS48" s="37"/>
      <c r="MKT48" s="37"/>
      <c r="MKU48" s="37"/>
      <c r="MKV48" s="37"/>
      <c r="MKW48" s="37"/>
      <c r="MKX48" s="37"/>
      <c r="MKY48" s="37"/>
      <c r="MKZ48" s="37"/>
      <c r="MLA48" s="37"/>
      <c r="MLB48" s="37"/>
      <c r="MLC48" s="37"/>
      <c r="MLD48" s="37"/>
      <c r="MLE48" s="37"/>
      <c r="MLF48" s="37"/>
      <c r="MLG48" s="37"/>
      <c r="MLH48" s="37"/>
      <c r="MLI48" s="37"/>
      <c r="MLJ48" s="37"/>
      <c r="MLK48" s="37"/>
      <c r="MLL48" s="37"/>
      <c r="MLM48" s="37"/>
      <c r="MLN48" s="37"/>
      <c r="MLO48" s="37"/>
      <c r="MLP48" s="37"/>
      <c r="MLQ48" s="37"/>
      <c r="MLR48" s="37"/>
      <c r="MLS48" s="37"/>
      <c r="MLT48" s="37"/>
      <c r="MLU48" s="37"/>
      <c r="MLV48" s="37"/>
      <c r="MLW48" s="37"/>
      <c r="MLX48" s="37"/>
      <c r="MLY48" s="37"/>
      <c r="MLZ48" s="37"/>
      <c r="MMA48" s="37"/>
      <c r="MMB48" s="37"/>
      <c r="MMC48" s="37"/>
      <c r="MMD48" s="37"/>
      <c r="MME48" s="37"/>
      <c r="MMF48" s="37"/>
      <c r="MMG48" s="37"/>
      <c r="MMH48" s="37"/>
      <c r="MMI48" s="37"/>
      <c r="MMJ48" s="37"/>
      <c r="MMK48" s="37"/>
      <c r="MML48" s="37"/>
      <c r="MMM48" s="37"/>
      <c r="MMN48" s="37"/>
      <c r="MMO48" s="37"/>
      <c r="MMP48" s="37"/>
      <c r="MMQ48" s="37"/>
      <c r="MMR48" s="37"/>
      <c r="MMS48" s="37"/>
      <c r="MMT48" s="37"/>
      <c r="MMU48" s="37"/>
      <c r="MMV48" s="37"/>
      <c r="MMW48" s="37"/>
      <c r="MMX48" s="37"/>
      <c r="MMY48" s="37"/>
      <c r="MMZ48" s="37"/>
      <c r="MNA48" s="37"/>
      <c r="MNB48" s="37"/>
      <c r="MNC48" s="37"/>
      <c r="MND48" s="37"/>
      <c r="MNE48" s="37"/>
      <c r="MNF48" s="37"/>
      <c r="MNG48" s="37"/>
      <c r="MNH48" s="37"/>
      <c r="MNI48" s="37"/>
      <c r="MNJ48" s="37"/>
      <c r="MNK48" s="37"/>
      <c r="MNL48" s="37"/>
      <c r="MNM48" s="37"/>
      <c r="MNN48" s="37"/>
      <c r="MNO48" s="37"/>
      <c r="MNP48" s="37"/>
      <c r="MNQ48" s="37"/>
      <c r="MNR48" s="37"/>
      <c r="MNS48" s="37"/>
      <c r="MNT48" s="37"/>
      <c r="MNU48" s="37"/>
      <c r="MNV48" s="37"/>
      <c r="MNW48" s="37"/>
      <c r="MNX48" s="37"/>
      <c r="MNY48" s="37"/>
      <c r="MNZ48" s="37"/>
      <c r="MOA48" s="37"/>
      <c r="MOB48" s="37"/>
      <c r="MOC48" s="37"/>
      <c r="MOD48" s="37"/>
      <c r="MOE48" s="37"/>
      <c r="MOF48" s="37"/>
      <c r="MOG48" s="37"/>
      <c r="MOH48" s="37"/>
      <c r="MOI48" s="37"/>
      <c r="MOJ48" s="37"/>
      <c r="MOK48" s="37"/>
      <c r="MOL48" s="37"/>
      <c r="MOM48" s="37"/>
      <c r="MON48" s="37"/>
      <c r="MOO48" s="37"/>
      <c r="MOP48" s="37"/>
      <c r="MOQ48" s="37"/>
      <c r="MOR48" s="37"/>
      <c r="MOS48" s="37"/>
      <c r="MOT48" s="37"/>
      <c r="MOU48" s="37"/>
      <c r="MOV48" s="37"/>
      <c r="MOW48" s="37"/>
      <c r="MOX48" s="37"/>
      <c r="MOY48" s="37"/>
      <c r="MOZ48" s="37"/>
      <c r="MPA48" s="37"/>
      <c r="MPB48" s="37"/>
      <c r="MPC48" s="37"/>
      <c r="MPD48" s="37"/>
      <c r="MPE48" s="37"/>
      <c r="MPF48" s="37"/>
      <c r="MPG48" s="37"/>
      <c r="MPH48" s="37"/>
      <c r="MPI48" s="37"/>
      <c r="MPJ48" s="37"/>
      <c r="MPK48" s="37"/>
      <c r="MPL48" s="37"/>
      <c r="MPM48" s="37"/>
      <c r="MPN48" s="37"/>
      <c r="MPO48" s="37"/>
      <c r="MPP48" s="37"/>
      <c r="MPQ48" s="37"/>
      <c r="MPR48" s="37"/>
      <c r="MPS48" s="37"/>
      <c r="MPT48" s="37"/>
      <c r="MPU48" s="37"/>
      <c r="MPV48" s="37"/>
      <c r="MPW48" s="37"/>
      <c r="MPX48" s="37"/>
      <c r="MPY48" s="37"/>
      <c r="MPZ48" s="37"/>
      <c r="MQA48" s="37"/>
      <c r="MQB48" s="37"/>
      <c r="MQC48" s="37"/>
      <c r="MQD48" s="37"/>
      <c r="MQE48" s="37"/>
      <c r="MQF48" s="37"/>
      <c r="MQG48" s="37"/>
      <c r="MQH48" s="37"/>
      <c r="MQI48" s="37"/>
      <c r="MQJ48" s="37"/>
      <c r="MQK48" s="37"/>
      <c r="MQL48" s="37"/>
      <c r="MQM48" s="37"/>
      <c r="MQN48" s="37"/>
      <c r="MQO48" s="37"/>
      <c r="MQP48" s="37"/>
      <c r="MQQ48" s="37"/>
      <c r="MQR48" s="37"/>
      <c r="MQS48" s="37"/>
      <c r="MQT48" s="37"/>
      <c r="MQU48" s="37"/>
      <c r="MQV48" s="37"/>
      <c r="MQW48" s="37"/>
      <c r="MQX48" s="37"/>
      <c r="MQY48" s="37"/>
      <c r="MQZ48" s="37"/>
      <c r="MRA48" s="37"/>
      <c r="MRB48" s="37"/>
      <c r="MRC48" s="37"/>
      <c r="MRD48" s="37"/>
      <c r="MRE48" s="37"/>
      <c r="MRF48" s="37"/>
      <c r="MRG48" s="37"/>
      <c r="MRH48" s="37"/>
      <c r="MRI48" s="37"/>
      <c r="MRJ48" s="37"/>
      <c r="MRK48" s="37"/>
      <c r="MRL48" s="37"/>
      <c r="MRM48" s="37"/>
      <c r="MRN48" s="37"/>
      <c r="MRO48" s="37"/>
      <c r="MRP48" s="37"/>
      <c r="MRQ48" s="37"/>
      <c r="MRR48" s="37"/>
      <c r="MRS48" s="37"/>
      <c r="MRT48" s="37"/>
      <c r="MRU48" s="37"/>
      <c r="MRV48" s="37"/>
      <c r="MRW48" s="37"/>
      <c r="MRX48" s="37"/>
      <c r="MRY48" s="37"/>
      <c r="MRZ48" s="37"/>
      <c r="MSA48" s="37"/>
      <c r="MSB48" s="37"/>
      <c r="MSC48" s="37"/>
      <c r="MSD48" s="37"/>
      <c r="MSE48" s="37"/>
      <c r="MSF48" s="37"/>
      <c r="MSG48" s="37"/>
      <c r="MSH48" s="37"/>
      <c r="MSI48" s="37"/>
      <c r="MSJ48" s="37"/>
      <c r="MSK48" s="37"/>
      <c r="MSL48" s="37"/>
      <c r="MSM48" s="37"/>
      <c r="MSN48" s="37"/>
      <c r="MSO48" s="37"/>
      <c r="MSP48" s="37"/>
      <c r="MSQ48" s="37"/>
      <c r="MSR48" s="37"/>
      <c r="MSS48" s="37"/>
      <c r="MST48" s="37"/>
      <c r="MSU48" s="37"/>
      <c r="MSV48" s="37"/>
      <c r="MSW48" s="37"/>
      <c r="MSX48" s="37"/>
      <c r="MSY48" s="37"/>
      <c r="MSZ48" s="37"/>
      <c r="MTA48" s="37"/>
      <c r="MTB48" s="37"/>
      <c r="MTC48" s="37"/>
      <c r="MTD48" s="37"/>
      <c r="MTE48" s="37"/>
      <c r="MTF48" s="37"/>
      <c r="MTG48" s="37"/>
      <c r="MTH48" s="37"/>
      <c r="MTI48" s="37"/>
      <c r="MTJ48" s="37"/>
      <c r="MTK48" s="37"/>
      <c r="MTL48" s="37"/>
      <c r="MTM48" s="37"/>
      <c r="MTN48" s="37"/>
      <c r="MTO48" s="37"/>
      <c r="MTP48" s="37"/>
      <c r="MTQ48" s="37"/>
      <c r="MTR48" s="37"/>
      <c r="MTS48" s="37"/>
      <c r="MTT48" s="37"/>
      <c r="MTU48" s="37"/>
      <c r="MTV48" s="37"/>
      <c r="MTW48" s="37"/>
      <c r="MTX48" s="37"/>
      <c r="MTY48" s="37"/>
      <c r="MTZ48" s="37"/>
      <c r="MUA48" s="37"/>
      <c r="MUB48" s="37"/>
      <c r="MUC48" s="37"/>
      <c r="MUD48" s="37"/>
      <c r="MUE48" s="37"/>
      <c r="MUF48" s="37"/>
      <c r="MUG48" s="37"/>
      <c r="MUH48" s="37"/>
      <c r="MUI48" s="37"/>
      <c r="MUJ48" s="37"/>
      <c r="MUK48" s="37"/>
      <c r="MUL48" s="37"/>
      <c r="MUM48" s="37"/>
      <c r="MUN48" s="37"/>
      <c r="MUO48" s="37"/>
      <c r="MUP48" s="37"/>
      <c r="MUQ48" s="37"/>
      <c r="MUR48" s="37"/>
      <c r="MUS48" s="37"/>
      <c r="MUT48" s="37"/>
      <c r="MUU48" s="37"/>
      <c r="MUV48" s="37"/>
      <c r="MUW48" s="37"/>
      <c r="MUX48" s="37"/>
      <c r="MUY48" s="37"/>
      <c r="MUZ48" s="37"/>
      <c r="MVA48" s="37"/>
      <c r="MVB48" s="37"/>
      <c r="MVC48" s="37"/>
      <c r="MVD48" s="37"/>
      <c r="MVE48" s="37"/>
      <c r="MVF48" s="37"/>
      <c r="MVG48" s="37"/>
      <c r="MVH48" s="37"/>
      <c r="MVI48" s="37"/>
      <c r="MVJ48" s="37"/>
      <c r="MVK48" s="37"/>
      <c r="MVL48" s="37"/>
      <c r="MVM48" s="37"/>
      <c r="MVN48" s="37"/>
      <c r="MVO48" s="37"/>
      <c r="MVP48" s="37"/>
      <c r="MVQ48" s="37"/>
      <c r="MVR48" s="37"/>
      <c r="MVS48" s="37"/>
      <c r="MVT48" s="37"/>
      <c r="MVU48" s="37"/>
      <c r="MVV48" s="37"/>
      <c r="MVW48" s="37"/>
      <c r="MVX48" s="37"/>
      <c r="MVY48" s="37"/>
      <c r="MVZ48" s="37"/>
      <c r="MWA48" s="37"/>
      <c r="MWB48" s="37"/>
      <c r="MWC48" s="37"/>
      <c r="MWD48" s="37"/>
      <c r="MWE48" s="37"/>
      <c r="MWF48" s="37"/>
      <c r="MWG48" s="37"/>
      <c r="MWH48" s="37"/>
      <c r="MWI48" s="37"/>
      <c r="MWJ48" s="37"/>
      <c r="MWK48" s="37"/>
      <c r="MWL48" s="37"/>
      <c r="MWM48" s="37"/>
      <c r="MWN48" s="37"/>
      <c r="MWO48" s="37"/>
      <c r="MWP48" s="37"/>
      <c r="MWQ48" s="37"/>
      <c r="MWR48" s="37"/>
      <c r="MWS48" s="37"/>
      <c r="MWT48" s="37"/>
      <c r="MWU48" s="37"/>
      <c r="MWV48" s="37"/>
      <c r="MWW48" s="37"/>
      <c r="MWX48" s="37"/>
      <c r="MWY48" s="37"/>
      <c r="MWZ48" s="37"/>
      <c r="MXA48" s="37"/>
      <c r="MXB48" s="37"/>
      <c r="MXC48" s="37"/>
      <c r="MXD48" s="37"/>
      <c r="MXE48" s="37"/>
      <c r="MXF48" s="37"/>
      <c r="MXG48" s="37"/>
      <c r="MXH48" s="37"/>
      <c r="MXI48" s="37"/>
      <c r="MXJ48" s="37"/>
      <c r="MXK48" s="37"/>
      <c r="MXL48" s="37"/>
      <c r="MXM48" s="37"/>
      <c r="MXN48" s="37"/>
      <c r="MXO48" s="37"/>
      <c r="MXP48" s="37"/>
      <c r="MXQ48" s="37"/>
      <c r="MXR48" s="37"/>
      <c r="MXS48" s="37"/>
      <c r="MXT48" s="37"/>
      <c r="MXU48" s="37"/>
      <c r="MXV48" s="37"/>
      <c r="MXW48" s="37"/>
      <c r="MXX48" s="37"/>
      <c r="MXY48" s="37"/>
      <c r="MXZ48" s="37"/>
      <c r="MYA48" s="37"/>
      <c r="MYB48" s="37"/>
      <c r="MYC48" s="37"/>
      <c r="MYD48" s="37"/>
      <c r="MYE48" s="37"/>
      <c r="MYF48" s="37"/>
      <c r="MYG48" s="37"/>
      <c r="MYH48" s="37"/>
      <c r="MYI48" s="37"/>
      <c r="MYJ48" s="37"/>
      <c r="MYK48" s="37"/>
      <c r="MYL48" s="37"/>
      <c r="MYM48" s="37"/>
      <c r="MYN48" s="37"/>
      <c r="MYO48" s="37"/>
      <c r="MYP48" s="37"/>
      <c r="MYQ48" s="37"/>
      <c r="MYR48" s="37"/>
      <c r="MYS48" s="37"/>
      <c r="MYT48" s="37"/>
      <c r="MYU48" s="37"/>
      <c r="MYV48" s="37"/>
      <c r="MYW48" s="37"/>
      <c r="MYX48" s="37"/>
      <c r="MYY48" s="37"/>
      <c r="MYZ48" s="37"/>
      <c r="MZA48" s="37"/>
      <c r="MZB48" s="37"/>
      <c r="MZC48" s="37"/>
      <c r="MZD48" s="37"/>
      <c r="MZE48" s="37"/>
      <c r="MZF48" s="37"/>
      <c r="MZG48" s="37"/>
      <c r="MZH48" s="37"/>
      <c r="MZI48" s="37"/>
      <c r="MZJ48" s="37"/>
      <c r="MZK48" s="37"/>
      <c r="MZL48" s="37"/>
      <c r="MZM48" s="37"/>
      <c r="MZN48" s="37"/>
      <c r="MZO48" s="37"/>
      <c r="MZP48" s="37"/>
      <c r="MZQ48" s="37"/>
      <c r="MZR48" s="37"/>
      <c r="MZS48" s="37"/>
      <c r="MZT48" s="37"/>
      <c r="MZU48" s="37"/>
      <c r="MZV48" s="37"/>
      <c r="MZW48" s="37"/>
      <c r="MZX48" s="37"/>
      <c r="MZY48" s="37"/>
      <c r="MZZ48" s="37"/>
      <c r="NAA48" s="37"/>
      <c r="NAB48" s="37"/>
      <c r="NAC48" s="37"/>
      <c r="NAD48" s="37"/>
      <c r="NAE48" s="37"/>
      <c r="NAF48" s="37"/>
      <c r="NAG48" s="37"/>
      <c r="NAH48" s="37"/>
      <c r="NAI48" s="37"/>
      <c r="NAJ48" s="37"/>
      <c r="NAK48" s="37"/>
      <c r="NAL48" s="37"/>
      <c r="NAM48" s="37"/>
      <c r="NAN48" s="37"/>
      <c r="NAO48" s="37"/>
      <c r="NAP48" s="37"/>
      <c r="NAQ48" s="37"/>
      <c r="NAR48" s="37"/>
      <c r="NAS48" s="37"/>
      <c r="NAT48" s="37"/>
      <c r="NAU48" s="37"/>
      <c r="NAV48" s="37"/>
      <c r="NAW48" s="37"/>
      <c r="NAX48" s="37"/>
      <c r="NAY48" s="37"/>
      <c r="NAZ48" s="37"/>
      <c r="NBA48" s="37"/>
      <c r="NBB48" s="37"/>
      <c r="NBC48" s="37"/>
      <c r="NBD48" s="37"/>
      <c r="NBE48" s="37"/>
      <c r="NBF48" s="37"/>
      <c r="NBG48" s="37"/>
      <c r="NBH48" s="37"/>
      <c r="NBI48" s="37"/>
      <c r="NBJ48" s="37"/>
      <c r="NBK48" s="37"/>
      <c r="NBL48" s="37"/>
      <c r="NBM48" s="37"/>
      <c r="NBN48" s="37"/>
      <c r="NBO48" s="37"/>
      <c r="NBP48" s="37"/>
      <c r="NBQ48" s="37"/>
      <c r="NBR48" s="37"/>
      <c r="NBS48" s="37"/>
      <c r="NBT48" s="37"/>
      <c r="NBU48" s="37"/>
      <c r="NBV48" s="37"/>
      <c r="NBW48" s="37"/>
      <c r="NBX48" s="37"/>
      <c r="NBY48" s="37"/>
      <c r="NBZ48" s="37"/>
      <c r="NCA48" s="37"/>
      <c r="NCB48" s="37"/>
      <c r="NCC48" s="37"/>
      <c r="NCD48" s="37"/>
      <c r="NCE48" s="37"/>
      <c r="NCF48" s="37"/>
      <c r="NCG48" s="37"/>
      <c r="NCH48" s="37"/>
      <c r="NCI48" s="37"/>
      <c r="NCJ48" s="37"/>
      <c r="NCK48" s="37"/>
      <c r="NCL48" s="37"/>
      <c r="NCM48" s="37"/>
      <c r="NCN48" s="37"/>
      <c r="NCO48" s="37"/>
      <c r="NCP48" s="37"/>
      <c r="NCQ48" s="37"/>
      <c r="NCR48" s="37"/>
      <c r="NCS48" s="37"/>
      <c r="NCT48" s="37"/>
      <c r="NCU48" s="37"/>
      <c r="NCV48" s="37"/>
      <c r="NCW48" s="37"/>
      <c r="NCX48" s="37"/>
      <c r="NCY48" s="37"/>
      <c r="NCZ48" s="37"/>
      <c r="NDA48" s="37"/>
      <c r="NDB48" s="37"/>
      <c r="NDC48" s="37"/>
      <c r="NDD48" s="37"/>
      <c r="NDE48" s="37"/>
      <c r="NDF48" s="37"/>
      <c r="NDG48" s="37"/>
      <c r="NDH48" s="37"/>
      <c r="NDI48" s="37"/>
      <c r="NDJ48" s="37"/>
      <c r="NDK48" s="37"/>
      <c r="NDL48" s="37"/>
      <c r="NDM48" s="37"/>
      <c r="NDN48" s="37"/>
      <c r="NDO48" s="37"/>
      <c r="NDP48" s="37"/>
      <c r="NDQ48" s="37"/>
      <c r="NDR48" s="37"/>
      <c r="NDS48" s="37"/>
      <c r="NDT48" s="37"/>
      <c r="NDU48" s="37"/>
      <c r="NDV48" s="37"/>
      <c r="NDW48" s="37"/>
      <c r="NDX48" s="37"/>
      <c r="NDY48" s="37"/>
      <c r="NDZ48" s="37"/>
      <c r="NEA48" s="37"/>
      <c r="NEB48" s="37"/>
      <c r="NEC48" s="37"/>
      <c r="NED48" s="37"/>
      <c r="NEE48" s="37"/>
      <c r="NEF48" s="37"/>
      <c r="NEG48" s="37"/>
      <c r="NEH48" s="37"/>
      <c r="NEI48" s="37"/>
      <c r="NEJ48" s="37"/>
      <c r="NEK48" s="37"/>
      <c r="NEL48" s="37"/>
      <c r="NEM48" s="37"/>
      <c r="NEN48" s="37"/>
      <c r="NEO48" s="37"/>
      <c r="NEP48" s="37"/>
      <c r="NEQ48" s="37"/>
      <c r="NER48" s="37"/>
      <c r="NES48" s="37"/>
      <c r="NET48" s="37"/>
      <c r="NEU48" s="37"/>
      <c r="NEV48" s="37"/>
      <c r="NEW48" s="37"/>
      <c r="NEX48" s="37"/>
      <c r="NEY48" s="37"/>
      <c r="NEZ48" s="37"/>
      <c r="NFA48" s="37"/>
      <c r="NFB48" s="37"/>
      <c r="NFC48" s="37"/>
      <c r="NFD48" s="37"/>
      <c r="NFE48" s="37"/>
      <c r="NFF48" s="37"/>
      <c r="NFG48" s="37"/>
      <c r="NFH48" s="37"/>
      <c r="NFI48" s="37"/>
      <c r="NFJ48" s="37"/>
      <c r="NFK48" s="37"/>
      <c r="NFL48" s="37"/>
      <c r="NFM48" s="37"/>
      <c r="NFN48" s="37"/>
      <c r="NFO48" s="37"/>
      <c r="NFP48" s="37"/>
      <c r="NFQ48" s="37"/>
      <c r="NFR48" s="37"/>
      <c r="NFS48" s="37"/>
      <c r="NFT48" s="37"/>
      <c r="NFU48" s="37"/>
      <c r="NFV48" s="37"/>
      <c r="NFW48" s="37"/>
      <c r="NFX48" s="37"/>
      <c r="NFY48" s="37"/>
      <c r="NFZ48" s="37"/>
      <c r="NGA48" s="37"/>
      <c r="NGB48" s="37"/>
      <c r="NGC48" s="37"/>
      <c r="NGD48" s="37"/>
      <c r="NGE48" s="37"/>
      <c r="NGF48" s="37"/>
      <c r="NGG48" s="37"/>
      <c r="NGH48" s="37"/>
      <c r="NGI48" s="37"/>
      <c r="NGJ48" s="37"/>
      <c r="NGK48" s="37"/>
      <c r="NGL48" s="37"/>
      <c r="NGM48" s="37"/>
      <c r="NGN48" s="37"/>
      <c r="NGO48" s="37"/>
      <c r="NGP48" s="37"/>
      <c r="NGQ48" s="37"/>
      <c r="NGR48" s="37"/>
      <c r="NGS48" s="37"/>
      <c r="NGT48" s="37"/>
      <c r="NGU48" s="37"/>
      <c r="NGV48" s="37"/>
      <c r="NGW48" s="37"/>
      <c r="NGX48" s="37"/>
      <c r="NGY48" s="37"/>
      <c r="NGZ48" s="37"/>
      <c r="NHA48" s="37"/>
      <c r="NHB48" s="37"/>
      <c r="NHC48" s="37"/>
      <c r="NHD48" s="37"/>
      <c r="NHE48" s="37"/>
      <c r="NHF48" s="37"/>
      <c r="NHG48" s="37"/>
      <c r="NHH48" s="37"/>
      <c r="NHI48" s="37"/>
      <c r="NHJ48" s="37"/>
      <c r="NHK48" s="37"/>
      <c r="NHL48" s="37"/>
      <c r="NHM48" s="37"/>
      <c r="NHN48" s="37"/>
      <c r="NHO48" s="37"/>
      <c r="NHP48" s="37"/>
      <c r="NHQ48" s="37"/>
      <c r="NHR48" s="37"/>
      <c r="NHS48" s="37"/>
      <c r="NHT48" s="37"/>
      <c r="NHU48" s="37"/>
      <c r="NHV48" s="37"/>
      <c r="NHW48" s="37"/>
      <c r="NHX48" s="37"/>
      <c r="NHY48" s="37"/>
      <c r="NHZ48" s="37"/>
      <c r="NIA48" s="37"/>
      <c r="NIB48" s="37"/>
      <c r="NIC48" s="37"/>
      <c r="NID48" s="37"/>
      <c r="NIE48" s="37"/>
      <c r="NIF48" s="37"/>
      <c r="NIG48" s="37"/>
      <c r="NIH48" s="37"/>
      <c r="NII48" s="37"/>
      <c r="NIJ48" s="37"/>
      <c r="NIK48" s="37"/>
      <c r="NIL48" s="37"/>
      <c r="NIM48" s="37"/>
      <c r="NIN48" s="37"/>
      <c r="NIO48" s="37"/>
      <c r="NIP48" s="37"/>
      <c r="NIQ48" s="37"/>
      <c r="NIR48" s="37"/>
      <c r="NIS48" s="37"/>
      <c r="NIT48" s="37"/>
      <c r="NIU48" s="37"/>
      <c r="NIV48" s="37"/>
      <c r="NIW48" s="37"/>
      <c r="NIX48" s="37"/>
      <c r="NIY48" s="37"/>
      <c r="NIZ48" s="37"/>
      <c r="NJA48" s="37"/>
      <c r="NJB48" s="37"/>
      <c r="NJC48" s="37"/>
      <c r="NJD48" s="37"/>
      <c r="NJE48" s="37"/>
      <c r="NJF48" s="37"/>
      <c r="NJG48" s="37"/>
      <c r="NJH48" s="37"/>
      <c r="NJI48" s="37"/>
      <c r="NJJ48" s="37"/>
      <c r="NJK48" s="37"/>
      <c r="NJL48" s="37"/>
      <c r="NJM48" s="37"/>
      <c r="NJN48" s="37"/>
      <c r="NJO48" s="37"/>
      <c r="NJP48" s="37"/>
      <c r="NJQ48" s="37"/>
      <c r="NJR48" s="37"/>
      <c r="NJS48" s="37"/>
      <c r="NJT48" s="37"/>
      <c r="NJU48" s="37"/>
      <c r="NJV48" s="37"/>
      <c r="NJW48" s="37"/>
      <c r="NJX48" s="37"/>
      <c r="NJY48" s="37"/>
      <c r="NJZ48" s="37"/>
      <c r="NKA48" s="37"/>
      <c r="NKB48" s="37"/>
      <c r="NKC48" s="37"/>
      <c r="NKD48" s="37"/>
      <c r="NKE48" s="37"/>
      <c r="NKF48" s="37"/>
      <c r="NKG48" s="37"/>
      <c r="NKH48" s="37"/>
      <c r="NKI48" s="37"/>
      <c r="NKJ48" s="37"/>
      <c r="NKK48" s="37"/>
      <c r="NKL48" s="37"/>
      <c r="NKM48" s="37"/>
      <c r="NKN48" s="37"/>
      <c r="NKO48" s="37"/>
      <c r="NKP48" s="37"/>
      <c r="NKQ48" s="37"/>
      <c r="NKR48" s="37"/>
      <c r="NKS48" s="37"/>
      <c r="NKT48" s="37"/>
      <c r="NKU48" s="37"/>
      <c r="NKV48" s="37"/>
      <c r="NKW48" s="37"/>
      <c r="NKX48" s="37"/>
      <c r="NKY48" s="37"/>
      <c r="NKZ48" s="37"/>
      <c r="NLA48" s="37"/>
      <c r="NLB48" s="37"/>
      <c r="NLC48" s="37"/>
      <c r="NLD48" s="37"/>
      <c r="NLE48" s="37"/>
      <c r="NLF48" s="37"/>
      <c r="NLG48" s="37"/>
      <c r="NLH48" s="37"/>
      <c r="NLI48" s="37"/>
      <c r="NLJ48" s="37"/>
      <c r="NLK48" s="37"/>
      <c r="NLL48" s="37"/>
      <c r="NLM48" s="37"/>
      <c r="NLN48" s="37"/>
      <c r="NLO48" s="37"/>
      <c r="NLP48" s="37"/>
      <c r="NLQ48" s="37"/>
      <c r="NLR48" s="37"/>
      <c r="NLS48" s="37"/>
      <c r="NLT48" s="37"/>
      <c r="NLU48" s="37"/>
      <c r="NLV48" s="37"/>
      <c r="NLW48" s="37"/>
      <c r="NLX48" s="37"/>
      <c r="NLY48" s="37"/>
      <c r="NLZ48" s="37"/>
      <c r="NMA48" s="37"/>
      <c r="NMB48" s="37"/>
      <c r="NMC48" s="37"/>
      <c r="NMD48" s="37"/>
      <c r="NME48" s="37"/>
      <c r="NMF48" s="37"/>
      <c r="NMG48" s="37"/>
      <c r="NMH48" s="37"/>
      <c r="NMI48" s="37"/>
      <c r="NMJ48" s="37"/>
      <c r="NMK48" s="37"/>
      <c r="NML48" s="37"/>
      <c r="NMM48" s="37"/>
      <c r="NMN48" s="37"/>
      <c r="NMO48" s="37"/>
      <c r="NMP48" s="37"/>
      <c r="NMQ48" s="37"/>
      <c r="NMR48" s="37"/>
      <c r="NMS48" s="37"/>
      <c r="NMT48" s="37"/>
      <c r="NMU48" s="37"/>
      <c r="NMV48" s="37"/>
      <c r="NMW48" s="37"/>
      <c r="NMX48" s="37"/>
      <c r="NMY48" s="37"/>
      <c r="NMZ48" s="37"/>
      <c r="NNA48" s="37"/>
      <c r="NNB48" s="37"/>
      <c r="NNC48" s="37"/>
      <c r="NND48" s="37"/>
      <c r="NNE48" s="37"/>
      <c r="NNF48" s="37"/>
      <c r="NNG48" s="37"/>
      <c r="NNH48" s="37"/>
      <c r="NNI48" s="37"/>
      <c r="NNJ48" s="37"/>
      <c r="NNK48" s="37"/>
      <c r="NNL48" s="37"/>
      <c r="NNM48" s="37"/>
      <c r="NNN48" s="37"/>
      <c r="NNO48" s="37"/>
      <c r="NNP48" s="37"/>
      <c r="NNQ48" s="37"/>
      <c r="NNR48" s="37"/>
      <c r="NNS48" s="37"/>
      <c r="NNT48" s="37"/>
      <c r="NNU48" s="37"/>
      <c r="NNV48" s="37"/>
      <c r="NNW48" s="37"/>
      <c r="NNX48" s="37"/>
      <c r="NNY48" s="37"/>
      <c r="NNZ48" s="37"/>
      <c r="NOA48" s="37"/>
      <c r="NOB48" s="37"/>
      <c r="NOC48" s="37"/>
      <c r="NOD48" s="37"/>
      <c r="NOE48" s="37"/>
      <c r="NOF48" s="37"/>
      <c r="NOG48" s="37"/>
      <c r="NOH48" s="37"/>
      <c r="NOI48" s="37"/>
      <c r="NOJ48" s="37"/>
      <c r="NOK48" s="37"/>
      <c r="NOL48" s="37"/>
      <c r="NOM48" s="37"/>
      <c r="NON48" s="37"/>
      <c r="NOO48" s="37"/>
      <c r="NOP48" s="37"/>
      <c r="NOQ48" s="37"/>
      <c r="NOR48" s="37"/>
      <c r="NOS48" s="37"/>
      <c r="NOT48" s="37"/>
      <c r="NOU48" s="37"/>
      <c r="NOV48" s="37"/>
      <c r="NOW48" s="37"/>
      <c r="NOX48" s="37"/>
      <c r="NOY48" s="37"/>
      <c r="NOZ48" s="37"/>
      <c r="NPA48" s="37"/>
      <c r="NPB48" s="37"/>
      <c r="NPC48" s="37"/>
      <c r="NPD48" s="37"/>
      <c r="NPE48" s="37"/>
      <c r="NPF48" s="37"/>
      <c r="NPG48" s="37"/>
      <c r="NPH48" s="37"/>
      <c r="NPI48" s="37"/>
      <c r="NPJ48" s="37"/>
      <c r="NPK48" s="37"/>
      <c r="NPL48" s="37"/>
      <c r="NPM48" s="37"/>
      <c r="NPN48" s="37"/>
      <c r="NPO48" s="37"/>
      <c r="NPP48" s="37"/>
      <c r="NPQ48" s="37"/>
      <c r="NPR48" s="37"/>
      <c r="NPS48" s="37"/>
      <c r="NPT48" s="37"/>
      <c r="NPU48" s="37"/>
      <c r="NPV48" s="37"/>
      <c r="NPW48" s="37"/>
      <c r="NPX48" s="37"/>
      <c r="NPY48" s="37"/>
      <c r="NPZ48" s="37"/>
      <c r="NQA48" s="37"/>
      <c r="NQB48" s="37"/>
      <c r="NQC48" s="37"/>
      <c r="NQD48" s="37"/>
      <c r="NQE48" s="37"/>
      <c r="NQF48" s="37"/>
      <c r="NQG48" s="37"/>
      <c r="NQH48" s="37"/>
      <c r="NQI48" s="37"/>
      <c r="NQJ48" s="37"/>
      <c r="NQK48" s="37"/>
      <c r="NQL48" s="37"/>
      <c r="NQM48" s="37"/>
      <c r="NQN48" s="37"/>
      <c r="NQO48" s="37"/>
      <c r="NQP48" s="37"/>
      <c r="NQQ48" s="37"/>
      <c r="NQR48" s="37"/>
      <c r="NQS48" s="37"/>
      <c r="NQT48" s="37"/>
      <c r="NQU48" s="37"/>
      <c r="NQV48" s="37"/>
      <c r="NQW48" s="37"/>
      <c r="NQX48" s="37"/>
      <c r="NQY48" s="37"/>
      <c r="NQZ48" s="37"/>
      <c r="NRA48" s="37"/>
      <c r="NRB48" s="37"/>
      <c r="NRC48" s="37"/>
      <c r="NRD48" s="37"/>
      <c r="NRE48" s="37"/>
      <c r="NRF48" s="37"/>
      <c r="NRG48" s="37"/>
      <c r="NRH48" s="37"/>
      <c r="NRI48" s="37"/>
      <c r="NRJ48" s="37"/>
      <c r="NRK48" s="37"/>
      <c r="NRL48" s="37"/>
      <c r="NRM48" s="37"/>
      <c r="NRN48" s="37"/>
      <c r="NRO48" s="37"/>
      <c r="NRP48" s="37"/>
      <c r="NRQ48" s="37"/>
      <c r="NRR48" s="37"/>
      <c r="NRS48" s="37"/>
      <c r="NRT48" s="37"/>
      <c r="NRU48" s="37"/>
      <c r="NRV48" s="37"/>
      <c r="NRW48" s="37"/>
      <c r="NRX48" s="37"/>
      <c r="NRY48" s="37"/>
      <c r="NRZ48" s="37"/>
      <c r="NSA48" s="37"/>
      <c r="NSB48" s="37"/>
      <c r="NSC48" s="37"/>
      <c r="NSD48" s="37"/>
      <c r="NSE48" s="37"/>
      <c r="NSF48" s="37"/>
      <c r="NSG48" s="37"/>
      <c r="NSH48" s="37"/>
      <c r="NSI48" s="37"/>
      <c r="NSJ48" s="37"/>
      <c r="NSK48" s="37"/>
      <c r="NSL48" s="37"/>
      <c r="NSM48" s="37"/>
      <c r="NSN48" s="37"/>
      <c r="NSO48" s="37"/>
      <c r="NSP48" s="37"/>
      <c r="NSQ48" s="37"/>
      <c r="NSR48" s="37"/>
      <c r="NSS48" s="37"/>
      <c r="NST48" s="37"/>
      <c r="NSU48" s="37"/>
      <c r="NSV48" s="37"/>
      <c r="NSW48" s="37"/>
      <c r="NSX48" s="37"/>
      <c r="NSY48" s="37"/>
      <c r="NSZ48" s="37"/>
      <c r="NTA48" s="37"/>
      <c r="NTB48" s="37"/>
      <c r="NTC48" s="37"/>
      <c r="NTD48" s="37"/>
      <c r="NTE48" s="37"/>
      <c r="NTF48" s="37"/>
      <c r="NTG48" s="37"/>
      <c r="NTH48" s="37"/>
      <c r="NTI48" s="37"/>
      <c r="NTJ48" s="37"/>
      <c r="NTK48" s="37"/>
      <c r="NTL48" s="37"/>
      <c r="NTM48" s="37"/>
      <c r="NTN48" s="37"/>
      <c r="NTO48" s="37"/>
      <c r="NTP48" s="37"/>
      <c r="NTQ48" s="37"/>
      <c r="NTR48" s="37"/>
      <c r="NTS48" s="37"/>
      <c r="NTT48" s="37"/>
      <c r="NTU48" s="37"/>
      <c r="NTV48" s="37"/>
      <c r="NTW48" s="37"/>
      <c r="NTX48" s="37"/>
      <c r="NTY48" s="37"/>
      <c r="NTZ48" s="37"/>
      <c r="NUA48" s="37"/>
      <c r="NUB48" s="37"/>
      <c r="NUC48" s="37"/>
      <c r="NUD48" s="37"/>
      <c r="NUE48" s="37"/>
      <c r="NUF48" s="37"/>
      <c r="NUG48" s="37"/>
      <c r="NUH48" s="37"/>
      <c r="NUI48" s="37"/>
      <c r="NUJ48" s="37"/>
      <c r="NUK48" s="37"/>
      <c r="NUL48" s="37"/>
      <c r="NUM48" s="37"/>
      <c r="NUN48" s="37"/>
      <c r="NUO48" s="37"/>
      <c r="NUP48" s="37"/>
      <c r="NUQ48" s="37"/>
      <c r="NUR48" s="37"/>
      <c r="NUS48" s="37"/>
      <c r="NUT48" s="37"/>
      <c r="NUU48" s="37"/>
      <c r="NUV48" s="37"/>
      <c r="NUW48" s="37"/>
      <c r="NUX48" s="37"/>
      <c r="NUY48" s="37"/>
      <c r="NUZ48" s="37"/>
      <c r="NVA48" s="37"/>
      <c r="NVB48" s="37"/>
      <c r="NVC48" s="37"/>
      <c r="NVD48" s="37"/>
      <c r="NVE48" s="37"/>
      <c r="NVF48" s="37"/>
      <c r="NVG48" s="37"/>
      <c r="NVH48" s="37"/>
      <c r="NVI48" s="37"/>
      <c r="NVJ48" s="37"/>
      <c r="NVK48" s="37"/>
      <c r="NVL48" s="37"/>
      <c r="NVM48" s="37"/>
      <c r="NVN48" s="37"/>
      <c r="NVO48" s="37"/>
      <c r="NVP48" s="37"/>
      <c r="NVQ48" s="37"/>
      <c r="NVR48" s="37"/>
      <c r="NVS48" s="37"/>
      <c r="NVT48" s="37"/>
      <c r="NVU48" s="37"/>
      <c r="NVV48" s="37"/>
      <c r="NVW48" s="37"/>
      <c r="NVX48" s="37"/>
      <c r="NVY48" s="37"/>
      <c r="NVZ48" s="37"/>
      <c r="NWA48" s="37"/>
      <c r="NWB48" s="37"/>
      <c r="NWC48" s="37"/>
      <c r="NWD48" s="37"/>
      <c r="NWE48" s="37"/>
      <c r="NWF48" s="37"/>
      <c r="NWG48" s="37"/>
      <c r="NWH48" s="37"/>
      <c r="NWI48" s="37"/>
      <c r="NWJ48" s="37"/>
      <c r="NWK48" s="37"/>
      <c r="NWL48" s="37"/>
      <c r="NWM48" s="37"/>
      <c r="NWN48" s="37"/>
      <c r="NWO48" s="37"/>
      <c r="NWP48" s="37"/>
      <c r="NWQ48" s="37"/>
      <c r="NWR48" s="37"/>
      <c r="NWS48" s="37"/>
      <c r="NWT48" s="37"/>
      <c r="NWU48" s="37"/>
      <c r="NWV48" s="37"/>
      <c r="NWW48" s="37"/>
      <c r="NWX48" s="37"/>
      <c r="NWY48" s="37"/>
      <c r="NWZ48" s="37"/>
      <c r="NXA48" s="37"/>
      <c r="NXB48" s="37"/>
      <c r="NXC48" s="37"/>
      <c r="NXD48" s="37"/>
      <c r="NXE48" s="37"/>
      <c r="NXF48" s="37"/>
      <c r="NXG48" s="37"/>
      <c r="NXH48" s="37"/>
      <c r="NXI48" s="37"/>
      <c r="NXJ48" s="37"/>
      <c r="NXK48" s="37"/>
      <c r="NXL48" s="37"/>
      <c r="NXM48" s="37"/>
      <c r="NXN48" s="37"/>
      <c r="NXO48" s="37"/>
      <c r="NXP48" s="37"/>
      <c r="NXQ48" s="37"/>
      <c r="NXR48" s="37"/>
      <c r="NXS48" s="37"/>
      <c r="NXT48" s="37"/>
      <c r="NXU48" s="37"/>
      <c r="NXV48" s="37"/>
      <c r="NXW48" s="37"/>
      <c r="NXX48" s="37"/>
      <c r="NXY48" s="37"/>
      <c r="NXZ48" s="37"/>
      <c r="NYA48" s="37"/>
      <c r="NYB48" s="37"/>
      <c r="NYC48" s="37"/>
      <c r="NYD48" s="37"/>
      <c r="NYE48" s="37"/>
      <c r="NYF48" s="37"/>
      <c r="NYG48" s="37"/>
      <c r="NYH48" s="37"/>
      <c r="NYI48" s="37"/>
      <c r="NYJ48" s="37"/>
      <c r="NYK48" s="37"/>
      <c r="NYL48" s="37"/>
      <c r="NYM48" s="37"/>
      <c r="NYN48" s="37"/>
      <c r="NYO48" s="37"/>
      <c r="NYP48" s="37"/>
      <c r="NYQ48" s="37"/>
      <c r="NYR48" s="37"/>
      <c r="NYS48" s="37"/>
      <c r="NYT48" s="37"/>
      <c r="NYU48" s="37"/>
      <c r="NYV48" s="37"/>
      <c r="NYW48" s="37"/>
      <c r="NYX48" s="37"/>
      <c r="NYY48" s="37"/>
      <c r="NYZ48" s="37"/>
      <c r="NZA48" s="37"/>
      <c r="NZB48" s="37"/>
      <c r="NZC48" s="37"/>
      <c r="NZD48" s="37"/>
      <c r="NZE48" s="37"/>
      <c r="NZF48" s="37"/>
      <c r="NZG48" s="37"/>
      <c r="NZH48" s="37"/>
      <c r="NZI48" s="37"/>
      <c r="NZJ48" s="37"/>
      <c r="NZK48" s="37"/>
      <c r="NZL48" s="37"/>
      <c r="NZM48" s="37"/>
      <c r="NZN48" s="37"/>
      <c r="NZO48" s="37"/>
      <c r="NZP48" s="37"/>
      <c r="NZQ48" s="37"/>
      <c r="NZR48" s="37"/>
      <c r="NZS48" s="37"/>
      <c r="NZT48" s="37"/>
      <c r="NZU48" s="37"/>
      <c r="NZV48" s="37"/>
      <c r="NZW48" s="37"/>
      <c r="NZX48" s="37"/>
      <c r="NZY48" s="37"/>
      <c r="NZZ48" s="37"/>
      <c r="OAA48" s="37"/>
      <c r="OAB48" s="37"/>
      <c r="OAC48" s="37"/>
      <c r="OAD48" s="37"/>
      <c r="OAE48" s="37"/>
      <c r="OAF48" s="37"/>
      <c r="OAG48" s="37"/>
      <c r="OAH48" s="37"/>
      <c r="OAI48" s="37"/>
      <c r="OAJ48" s="37"/>
      <c r="OAK48" s="37"/>
      <c r="OAL48" s="37"/>
      <c r="OAM48" s="37"/>
      <c r="OAN48" s="37"/>
      <c r="OAO48" s="37"/>
      <c r="OAP48" s="37"/>
      <c r="OAQ48" s="37"/>
      <c r="OAR48" s="37"/>
      <c r="OAS48" s="37"/>
      <c r="OAT48" s="37"/>
      <c r="OAU48" s="37"/>
      <c r="OAV48" s="37"/>
      <c r="OAW48" s="37"/>
      <c r="OAX48" s="37"/>
      <c r="OAY48" s="37"/>
      <c r="OAZ48" s="37"/>
      <c r="OBA48" s="37"/>
      <c r="OBB48" s="37"/>
      <c r="OBC48" s="37"/>
      <c r="OBD48" s="37"/>
      <c r="OBE48" s="37"/>
      <c r="OBF48" s="37"/>
      <c r="OBG48" s="37"/>
      <c r="OBH48" s="37"/>
      <c r="OBI48" s="37"/>
      <c r="OBJ48" s="37"/>
      <c r="OBK48" s="37"/>
      <c r="OBL48" s="37"/>
      <c r="OBM48" s="37"/>
      <c r="OBN48" s="37"/>
      <c r="OBO48" s="37"/>
      <c r="OBP48" s="37"/>
      <c r="OBQ48" s="37"/>
      <c r="OBR48" s="37"/>
      <c r="OBS48" s="37"/>
      <c r="OBT48" s="37"/>
      <c r="OBU48" s="37"/>
      <c r="OBV48" s="37"/>
      <c r="OBW48" s="37"/>
      <c r="OBX48" s="37"/>
      <c r="OBY48" s="37"/>
      <c r="OBZ48" s="37"/>
      <c r="OCA48" s="37"/>
      <c r="OCB48" s="37"/>
      <c r="OCC48" s="37"/>
      <c r="OCD48" s="37"/>
      <c r="OCE48" s="37"/>
      <c r="OCF48" s="37"/>
      <c r="OCG48" s="37"/>
      <c r="OCH48" s="37"/>
      <c r="OCI48" s="37"/>
      <c r="OCJ48" s="37"/>
      <c r="OCK48" s="37"/>
      <c r="OCL48" s="37"/>
      <c r="OCM48" s="37"/>
      <c r="OCN48" s="37"/>
      <c r="OCO48" s="37"/>
      <c r="OCP48" s="37"/>
      <c r="OCQ48" s="37"/>
      <c r="OCR48" s="37"/>
      <c r="OCS48" s="37"/>
      <c r="OCT48" s="37"/>
      <c r="OCU48" s="37"/>
      <c r="OCV48" s="37"/>
      <c r="OCW48" s="37"/>
      <c r="OCX48" s="37"/>
      <c r="OCY48" s="37"/>
      <c r="OCZ48" s="37"/>
      <c r="ODA48" s="37"/>
      <c r="ODB48" s="37"/>
      <c r="ODC48" s="37"/>
      <c r="ODD48" s="37"/>
      <c r="ODE48" s="37"/>
      <c r="ODF48" s="37"/>
      <c r="ODG48" s="37"/>
      <c r="ODH48" s="37"/>
      <c r="ODI48" s="37"/>
      <c r="ODJ48" s="37"/>
      <c r="ODK48" s="37"/>
      <c r="ODL48" s="37"/>
      <c r="ODM48" s="37"/>
      <c r="ODN48" s="37"/>
      <c r="ODO48" s="37"/>
      <c r="ODP48" s="37"/>
      <c r="ODQ48" s="37"/>
      <c r="ODR48" s="37"/>
      <c r="ODS48" s="37"/>
      <c r="ODT48" s="37"/>
      <c r="ODU48" s="37"/>
      <c r="ODV48" s="37"/>
      <c r="ODW48" s="37"/>
      <c r="ODX48" s="37"/>
      <c r="ODY48" s="37"/>
      <c r="ODZ48" s="37"/>
      <c r="OEA48" s="37"/>
      <c r="OEB48" s="37"/>
      <c r="OEC48" s="37"/>
      <c r="OED48" s="37"/>
      <c r="OEE48" s="37"/>
      <c r="OEF48" s="37"/>
      <c r="OEG48" s="37"/>
      <c r="OEH48" s="37"/>
      <c r="OEI48" s="37"/>
      <c r="OEJ48" s="37"/>
      <c r="OEK48" s="37"/>
      <c r="OEL48" s="37"/>
      <c r="OEM48" s="37"/>
      <c r="OEN48" s="37"/>
      <c r="OEO48" s="37"/>
      <c r="OEP48" s="37"/>
      <c r="OEQ48" s="37"/>
      <c r="OER48" s="37"/>
      <c r="OES48" s="37"/>
      <c r="OET48" s="37"/>
      <c r="OEU48" s="37"/>
      <c r="OEV48" s="37"/>
      <c r="OEW48" s="37"/>
      <c r="OEX48" s="37"/>
      <c r="OEY48" s="37"/>
      <c r="OEZ48" s="37"/>
      <c r="OFA48" s="37"/>
      <c r="OFB48" s="37"/>
      <c r="OFC48" s="37"/>
      <c r="OFD48" s="37"/>
      <c r="OFE48" s="37"/>
      <c r="OFF48" s="37"/>
      <c r="OFG48" s="37"/>
      <c r="OFH48" s="37"/>
      <c r="OFI48" s="37"/>
      <c r="OFJ48" s="37"/>
      <c r="OFK48" s="37"/>
      <c r="OFL48" s="37"/>
      <c r="OFM48" s="37"/>
      <c r="OFN48" s="37"/>
      <c r="OFO48" s="37"/>
      <c r="OFP48" s="37"/>
      <c r="OFQ48" s="37"/>
      <c r="OFR48" s="37"/>
      <c r="OFS48" s="37"/>
      <c r="OFT48" s="37"/>
      <c r="OFU48" s="37"/>
      <c r="OFV48" s="37"/>
      <c r="OFW48" s="37"/>
      <c r="OFX48" s="37"/>
      <c r="OFY48" s="37"/>
      <c r="OFZ48" s="37"/>
      <c r="OGA48" s="37"/>
      <c r="OGB48" s="37"/>
      <c r="OGC48" s="37"/>
      <c r="OGD48" s="37"/>
      <c r="OGE48" s="37"/>
      <c r="OGF48" s="37"/>
      <c r="OGG48" s="37"/>
      <c r="OGH48" s="37"/>
      <c r="OGI48" s="37"/>
      <c r="OGJ48" s="37"/>
      <c r="OGK48" s="37"/>
      <c r="OGL48" s="37"/>
      <c r="OGM48" s="37"/>
      <c r="OGN48" s="37"/>
      <c r="OGO48" s="37"/>
      <c r="OGP48" s="37"/>
      <c r="OGQ48" s="37"/>
      <c r="OGR48" s="37"/>
      <c r="OGS48" s="37"/>
      <c r="OGT48" s="37"/>
      <c r="OGU48" s="37"/>
      <c r="OGV48" s="37"/>
      <c r="OGW48" s="37"/>
      <c r="OGX48" s="37"/>
      <c r="OGY48" s="37"/>
      <c r="OGZ48" s="37"/>
      <c r="OHA48" s="37"/>
      <c r="OHB48" s="37"/>
      <c r="OHC48" s="37"/>
      <c r="OHD48" s="37"/>
      <c r="OHE48" s="37"/>
      <c r="OHF48" s="37"/>
      <c r="OHG48" s="37"/>
      <c r="OHH48" s="37"/>
      <c r="OHI48" s="37"/>
      <c r="OHJ48" s="37"/>
      <c r="OHK48" s="37"/>
      <c r="OHL48" s="37"/>
      <c r="OHM48" s="37"/>
      <c r="OHN48" s="37"/>
      <c r="OHO48" s="37"/>
      <c r="OHP48" s="37"/>
      <c r="OHQ48" s="37"/>
      <c r="OHR48" s="37"/>
      <c r="OHS48" s="37"/>
      <c r="OHT48" s="37"/>
      <c r="OHU48" s="37"/>
      <c r="OHV48" s="37"/>
      <c r="OHW48" s="37"/>
      <c r="OHX48" s="37"/>
      <c r="OHY48" s="37"/>
      <c r="OHZ48" s="37"/>
      <c r="OIA48" s="37"/>
      <c r="OIB48" s="37"/>
      <c r="OIC48" s="37"/>
      <c r="OID48" s="37"/>
      <c r="OIE48" s="37"/>
      <c r="OIF48" s="37"/>
      <c r="OIG48" s="37"/>
      <c r="OIH48" s="37"/>
      <c r="OII48" s="37"/>
      <c r="OIJ48" s="37"/>
      <c r="OIK48" s="37"/>
      <c r="OIL48" s="37"/>
      <c r="OIM48" s="37"/>
      <c r="OIN48" s="37"/>
      <c r="OIO48" s="37"/>
      <c r="OIP48" s="37"/>
      <c r="OIQ48" s="37"/>
      <c r="OIR48" s="37"/>
      <c r="OIS48" s="37"/>
      <c r="OIT48" s="37"/>
      <c r="OIU48" s="37"/>
      <c r="OIV48" s="37"/>
      <c r="OIW48" s="37"/>
      <c r="OIX48" s="37"/>
      <c r="OIY48" s="37"/>
      <c r="OIZ48" s="37"/>
      <c r="OJA48" s="37"/>
      <c r="OJB48" s="37"/>
      <c r="OJC48" s="37"/>
      <c r="OJD48" s="37"/>
      <c r="OJE48" s="37"/>
      <c r="OJF48" s="37"/>
      <c r="OJG48" s="37"/>
      <c r="OJH48" s="37"/>
      <c r="OJI48" s="37"/>
      <c r="OJJ48" s="37"/>
      <c r="OJK48" s="37"/>
      <c r="OJL48" s="37"/>
      <c r="OJM48" s="37"/>
      <c r="OJN48" s="37"/>
      <c r="OJO48" s="37"/>
      <c r="OJP48" s="37"/>
      <c r="OJQ48" s="37"/>
      <c r="OJR48" s="37"/>
      <c r="OJS48" s="37"/>
      <c r="OJT48" s="37"/>
      <c r="OJU48" s="37"/>
      <c r="OJV48" s="37"/>
      <c r="OJW48" s="37"/>
      <c r="OJX48" s="37"/>
      <c r="OJY48" s="37"/>
      <c r="OJZ48" s="37"/>
      <c r="OKA48" s="37"/>
      <c r="OKB48" s="37"/>
      <c r="OKC48" s="37"/>
      <c r="OKD48" s="37"/>
      <c r="OKE48" s="37"/>
      <c r="OKF48" s="37"/>
      <c r="OKG48" s="37"/>
      <c r="OKH48" s="37"/>
      <c r="OKI48" s="37"/>
      <c r="OKJ48" s="37"/>
      <c r="OKK48" s="37"/>
      <c r="OKL48" s="37"/>
      <c r="OKM48" s="37"/>
      <c r="OKN48" s="37"/>
      <c r="OKO48" s="37"/>
      <c r="OKP48" s="37"/>
      <c r="OKQ48" s="37"/>
      <c r="OKR48" s="37"/>
      <c r="OKS48" s="37"/>
      <c r="OKT48" s="37"/>
      <c r="OKU48" s="37"/>
      <c r="OKV48" s="37"/>
      <c r="OKW48" s="37"/>
      <c r="OKX48" s="37"/>
      <c r="OKY48" s="37"/>
      <c r="OKZ48" s="37"/>
      <c r="OLA48" s="37"/>
      <c r="OLB48" s="37"/>
      <c r="OLC48" s="37"/>
      <c r="OLD48" s="37"/>
      <c r="OLE48" s="37"/>
      <c r="OLF48" s="37"/>
      <c r="OLG48" s="37"/>
      <c r="OLH48" s="37"/>
      <c r="OLI48" s="37"/>
      <c r="OLJ48" s="37"/>
      <c r="OLK48" s="37"/>
      <c r="OLL48" s="37"/>
      <c r="OLM48" s="37"/>
      <c r="OLN48" s="37"/>
      <c r="OLO48" s="37"/>
      <c r="OLP48" s="37"/>
      <c r="OLQ48" s="37"/>
      <c r="OLR48" s="37"/>
      <c r="OLS48" s="37"/>
      <c r="OLT48" s="37"/>
      <c r="OLU48" s="37"/>
      <c r="OLV48" s="37"/>
      <c r="OLW48" s="37"/>
      <c r="OLX48" s="37"/>
      <c r="OLY48" s="37"/>
      <c r="OLZ48" s="37"/>
      <c r="OMA48" s="37"/>
      <c r="OMB48" s="37"/>
      <c r="OMC48" s="37"/>
      <c r="OMD48" s="37"/>
      <c r="OME48" s="37"/>
      <c r="OMF48" s="37"/>
      <c r="OMG48" s="37"/>
      <c r="OMH48" s="37"/>
      <c r="OMI48" s="37"/>
      <c r="OMJ48" s="37"/>
      <c r="OMK48" s="37"/>
      <c r="OML48" s="37"/>
      <c r="OMM48" s="37"/>
      <c r="OMN48" s="37"/>
      <c r="OMO48" s="37"/>
      <c r="OMP48" s="37"/>
      <c r="OMQ48" s="37"/>
      <c r="OMR48" s="37"/>
      <c r="OMS48" s="37"/>
      <c r="OMT48" s="37"/>
      <c r="OMU48" s="37"/>
      <c r="OMV48" s="37"/>
      <c r="OMW48" s="37"/>
      <c r="OMX48" s="37"/>
      <c r="OMY48" s="37"/>
      <c r="OMZ48" s="37"/>
      <c r="ONA48" s="37"/>
      <c r="ONB48" s="37"/>
      <c r="ONC48" s="37"/>
      <c r="OND48" s="37"/>
      <c r="ONE48" s="37"/>
      <c r="ONF48" s="37"/>
      <c r="ONG48" s="37"/>
      <c r="ONH48" s="37"/>
      <c r="ONI48" s="37"/>
      <c r="ONJ48" s="37"/>
      <c r="ONK48" s="37"/>
      <c r="ONL48" s="37"/>
      <c r="ONM48" s="37"/>
      <c r="ONN48" s="37"/>
      <c r="ONO48" s="37"/>
      <c r="ONP48" s="37"/>
      <c r="ONQ48" s="37"/>
      <c r="ONR48" s="37"/>
      <c r="ONS48" s="37"/>
      <c r="ONT48" s="37"/>
      <c r="ONU48" s="37"/>
      <c r="ONV48" s="37"/>
      <c r="ONW48" s="37"/>
      <c r="ONX48" s="37"/>
      <c r="ONY48" s="37"/>
      <c r="ONZ48" s="37"/>
      <c r="OOA48" s="37"/>
      <c r="OOB48" s="37"/>
      <c r="OOC48" s="37"/>
      <c r="OOD48" s="37"/>
      <c r="OOE48" s="37"/>
      <c r="OOF48" s="37"/>
      <c r="OOG48" s="37"/>
      <c r="OOH48" s="37"/>
      <c r="OOI48" s="37"/>
      <c r="OOJ48" s="37"/>
      <c r="OOK48" s="37"/>
      <c r="OOL48" s="37"/>
      <c r="OOM48" s="37"/>
      <c r="OON48" s="37"/>
      <c r="OOO48" s="37"/>
      <c r="OOP48" s="37"/>
      <c r="OOQ48" s="37"/>
      <c r="OOR48" s="37"/>
      <c r="OOS48" s="37"/>
      <c r="OOT48" s="37"/>
      <c r="OOU48" s="37"/>
      <c r="OOV48" s="37"/>
      <c r="OOW48" s="37"/>
      <c r="OOX48" s="37"/>
      <c r="OOY48" s="37"/>
      <c r="OOZ48" s="37"/>
      <c r="OPA48" s="37"/>
      <c r="OPB48" s="37"/>
      <c r="OPC48" s="37"/>
      <c r="OPD48" s="37"/>
      <c r="OPE48" s="37"/>
      <c r="OPF48" s="37"/>
      <c r="OPG48" s="37"/>
      <c r="OPH48" s="37"/>
      <c r="OPI48" s="37"/>
      <c r="OPJ48" s="37"/>
      <c r="OPK48" s="37"/>
      <c r="OPL48" s="37"/>
      <c r="OPM48" s="37"/>
      <c r="OPN48" s="37"/>
      <c r="OPO48" s="37"/>
      <c r="OPP48" s="37"/>
      <c r="OPQ48" s="37"/>
      <c r="OPR48" s="37"/>
      <c r="OPS48" s="37"/>
      <c r="OPT48" s="37"/>
      <c r="OPU48" s="37"/>
      <c r="OPV48" s="37"/>
      <c r="OPW48" s="37"/>
      <c r="OPX48" s="37"/>
      <c r="OPY48" s="37"/>
      <c r="OPZ48" s="37"/>
      <c r="OQA48" s="37"/>
      <c r="OQB48" s="37"/>
      <c r="OQC48" s="37"/>
      <c r="OQD48" s="37"/>
      <c r="OQE48" s="37"/>
      <c r="OQF48" s="37"/>
      <c r="OQG48" s="37"/>
      <c r="OQH48" s="37"/>
      <c r="OQI48" s="37"/>
      <c r="OQJ48" s="37"/>
      <c r="OQK48" s="37"/>
      <c r="OQL48" s="37"/>
      <c r="OQM48" s="37"/>
      <c r="OQN48" s="37"/>
      <c r="OQO48" s="37"/>
      <c r="OQP48" s="37"/>
      <c r="OQQ48" s="37"/>
      <c r="OQR48" s="37"/>
      <c r="OQS48" s="37"/>
      <c r="OQT48" s="37"/>
      <c r="OQU48" s="37"/>
      <c r="OQV48" s="37"/>
      <c r="OQW48" s="37"/>
      <c r="OQX48" s="37"/>
      <c r="OQY48" s="37"/>
      <c r="OQZ48" s="37"/>
      <c r="ORA48" s="37"/>
      <c r="ORB48" s="37"/>
      <c r="ORC48" s="37"/>
      <c r="ORD48" s="37"/>
      <c r="ORE48" s="37"/>
      <c r="ORF48" s="37"/>
      <c r="ORG48" s="37"/>
      <c r="ORH48" s="37"/>
      <c r="ORI48" s="37"/>
      <c r="ORJ48" s="37"/>
      <c r="ORK48" s="37"/>
      <c r="ORL48" s="37"/>
      <c r="ORM48" s="37"/>
      <c r="ORN48" s="37"/>
      <c r="ORO48" s="37"/>
      <c r="ORP48" s="37"/>
      <c r="ORQ48" s="37"/>
      <c r="ORR48" s="37"/>
      <c r="ORS48" s="37"/>
      <c r="ORT48" s="37"/>
      <c r="ORU48" s="37"/>
      <c r="ORV48" s="37"/>
      <c r="ORW48" s="37"/>
      <c r="ORX48" s="37"/>
      <c r="ORY48" s="37"/>
      <c r="ORZ48" s="37"/>
      <c r="OSA48" s="37"/>
      <c r="OSB48" s="37"/>
      <c r="OSC48" s="37"/>
      <c r="OSD48" s="37"/>
      <c r="OSE48" s="37"/>
      <c r="OSF48" s="37"/>
      <c r="OSG48" s="37"/>
      <c r="OSH48" s="37"/>
      <c r="OSI48" s="37"/>
      <c r="OSJ48" s="37"/>
      <c r="OSK48" s="37"/>
      <c r="OSL48" s="37"/>
      <c r="OSM48" s="37"/>
      <c r="OSN48" s="37"/>
      <c r="OSO48" s="37"/>
      <c r="OSP48" s="37"/>
      <c r="OSQ48" s="37"/>
      <c r="OSR48" s="37"/>
      <c r="OSS48" s="37"/>
      <c r="OST48" s="37"/>
      <c r="OSU48" s="37"/>
      <c r="OSV48" s="37"/>
      <c r="OSW48" s="37"/>
      <c r="OSX48" s="37"/>
      <c r="OSY48" s="37"/>
      <c r="OSZ48" s="37"/>
      <c r="OTA48" s="37"/>
      <c r="OTB48" s="37"/>
      <c r="OTC48" s="37"/>
      <c r="OTD48" s="37"/>
      <c r="OTE48" s="37"/>
      <c r="OTF48" s="37"/>
      <c r="OTG48" s="37"/>
      <c r="OTH48" s="37"/>
      <c r="OTI48" s="37"/>
      <c r="OTJ48" s="37"/>
      <c r="OTK48" s="37"/>
      <c r="OTL48" s="37"/>
      <c r="OTM48" s="37"/>
      <c r="OTN48" s="37"/>
      <c r="OTO48" s="37"/>
      <c r="OTP48" s="37"/>
      <c r="OTQ48" s="37"/>
      <c r="OTR48" s="37"/>
      <c r="OTS48" s="37"/>
      <c r="OTT48" s="37"/>
      <c r="OTU48" s="37"/>
      <c r="OTV48" s="37"/>
      <c r="OTW48" s="37"/>
      <c r="OTX48" s="37"/>
      <c r="OTY48" s="37"/>
      <c r="OTZ48" s="37"/>
      <c r="OUA48" s="37"/>
      <c r="OUB48" s="37"/>
      <c r="OUC48" s="37"/>
      <c r="OUD48" s="37"/>
      <c r="OUE48" s="37"/>
      <c r="OUF48" s="37"/>
      <c r="OUG48" s="37"/>
      <c r="OUH48" s="37"/>
      <c r="OUI48" s="37"/>
      <c r="OUJ48" s="37"/>
      <c r="OUK48" s="37"/>
      <c r="OUL48" s="37"/>
      <c r="OUM48" s="37"/>
      <c r="OUN48" s="37"/>
      <c r="OUO48" s="37"/>
      <c r="OUP48" s="37"/>
      <c r="OUQ48" s="37"/>
      <c r="OUR48" s="37"/>
      <c r="OUS48" s="37"/>
      <c r="OUT48" s="37"/>
      <c r="OUU48" s="37"/>
      <c r="OUV48" s="37"/>
      <c r="OUW48" s="37"/>
      <c r="OUX48" s="37"/>
      <c r="OUY48" s="37"/>
      <c r="OUZ48" s="37"/>
      <c r="OVA48" s="37"/>
      <c r="OVB48" s="37"/>
      <c r="OVC48" s="37"/>
      <c r="OVD48" s="37"/>
      <c r="OVE48" s="37"/>
      <c r="OVF48" s="37"/>
      <c r="OVG48" s="37"/>
      <c r="OVH48" s="37"/>
      <c r="OVI48" s="37"/>
      <c r="OVJ48" s="37"/>
      <c r="OVK48" s="37"/>
      <c r="OVL48" s="37"/>
      <c r="OVM48" s="37"/>
      <c r="OVN48" s="37"/>
      <c r="OVO48" s="37"/>
      <c r="OVP48" s="37"/>
      <c r="OVQ48" s="37"/>
      <c r="OVR48" s="37"/>
      <c r="OVS48" s="37"/>
      <c r="OVT48" s="37"/>
      <c r="OVU48" s="37"/>
      <c r="OVV48" s="37"/>
      <c r="OVW48" s="37"/>
      <c r="OVX48" s="37"/>
      <c r="OVY48" s="37"/>
      <c r="OVZ48" s="37"/>
      <c r="OWA48" s="37"/>
      <c r="OWB48" s="37"/>
      <c r="OWC48" s="37"/>
      <c r="OWD48" s="37"/>
      <c r="OWE48" s="37"/>
      <c r="OWF48" s="37"/>
      <c r="OWG48" s="37"/>
      <c r="OWH48" s="37"/>
      <c r="OWI48" s="37"/>
      <c r="OWJ48" s="37"/>
      <c r="OWK48" s="37"/>
      <c r="OWL48" s="37"/>
      <c r="OWM48" s="37"/>
      <c r="OWN48" s="37"/>
      <c r="OWO48" s="37"/>
      <c r="OWP48" s="37"/>
      <c r="OWQ48" s="37"/>
      <c r="OWR48" s="37"/>
      <c r="OWS48" s="37"/>
      <c r="OWT48" s="37"/>
      <c r="OWU48" s="37"/>
      <c r="OWV48" s="37"/>
      <c r="OWW48" s="37"/>
      <c r="OWX48" s="37"/>
      <c r="OWY48" s="37"/>
      <c r="OWZ48" s="37"/>
      <c r="OXA48" s="37"/>
      <c r="OXB48" s="37"/>
      <c r="OXC48" s="37"/>
      <c r="OXD48" s="37"/>
      <c r="OXE48" s="37"/>
      <c r="OXF48" s="37"/>
      <c r="OXG48" s="37"/>
      <c r="OXH48" s="37"/>
      <c r="OXI48" s="37"/>
      <c r="OXJ48" s="37"/>
      <c r="OXK48" s="37"/>
      <c r="OXL48" s="37"/>
      <c r="OXM48" s="37"/>
      <c r="OXN48" s="37"/>
      <c r="OXO48" s="37"/>
      <c r="OXP48" s="37"/>
      <c r="OXQ48" s="37"/>
      <c r="OXR48" s="37"/>
      <c r="OXS48" s="37"/>
      <c r="OXT48" s="37"/>
      <c r="OXU48" s="37"/>
      <c r="OXV48" s="37"/>
      <c r="OXW48" s="37"/>
      <c r="OXX48" s="37"/>
      <c r="OXY48" s="37"/>
      <c r="OXZ48" s="37"/>
      <c r="OYA48" s="37"/>
      <c r="OYB48" s="37"/>
      <c r="OYC48" s="37"/>
      <c r="OYD48" s="37"/>
      <c r="OYE48" s="37"/>
      <c r="OYF48" s="37"/>
      <c r="OYG48" s="37"/>
      <c r="OYH48" s="37"/>
      <c r="OYI48" s="37"/>
      <c r="OYJ48" s="37"/>
      <c r="OYK48" s="37"/>
      <c r="OYL48" s="37"/>
      <c r="OYM48" s="37"/>
      <c r="OYN48" s="37"/>
      <c r="OYO48" s="37"/>
      <c r="OYP48" s="37"/>
      <c r="OYQ48" s="37"/>
      <c r="OYR48" s="37"/>
      <c r="OYS48" s="37"/>
      <c r="OYT48" s="37"/>
      <c r="OYU48" s="37"/>
      <c r="OYV48" s="37"/>
      <c r="OYW48" s="37"/>
      <c r="OYX48" s="37"/>
      <c r="OYY48" s="37"/>
      <c r="OYZ48" s="37"/>
      <c r="OZA48" s="37"/>
      <c r="OZB48" s="37"/>
      <c r="OZC48" s="37"/>
      <c r="OZD48" s="37"/>
      <c r="OZE48" s="37"/>
      <c r="OZF48" s="37"/>
      <c r="OZG48" s="37"/>
      <c r="OZH48" s="37"/>
      <c r="OZI48" s="37"/>
      <c r="OZJ48" s="37"/>
      <c r="OZK48" s="37"/>
      <c r="OZL48" s="37"/>
      <c r="OZM48" s="37"/>
      <c r="OZN48" s="37"/>
      <c r="OZO48" s="37"/>
      <c r="OZP48" s="37"/>
      <c r="OZQ48" s="37"/>
      <c r="OZR48" s="37"/>
      <c r="OZS48" s="37"/>
      <c r="OZT48" s="37"/>
      <c r="OZU48" s="37"/>
      <c r="OZV48" s="37"/>
      <c r="OZW48" s="37"/>
      <c r="OZX48" s="37"/>
      <c r="OZY48" s="37"/>
      <c r="OZZ48" s="37"/>
      <c r="PAA48" s="37"/>
      <c r="PAB48" s="37"/>
      <c r="PAC48" s="37"/>
      <c r="PAD48" s="37"/>
      <c r="PAE48" s="37"/>
      <c r="PAF48" s="37"/>
      <c r="PAG48" s="37"/>
      <c r="PAH48" s="37"/>
      <c r="PAI48" s="37"/>
      <c r="PAJ48" s="37"/>
      <c r="PAK48" s="37"/>
      <c r="PAL48" s="37"/>
      <c r="PAM48" s="37"/>
      <c r="PAN48" s="37"/>
      <c r="PAO48" s="37"/>
      <c r="PAP48" s="37"/>
      <c r="PAQ48" s="37"/>
      <c r="PAR48" s="37"/>
      <c r="PAS48" s="37"/>
      <c r="PAT48" s="37"/>
      <c r="PAU48" s="37"/>
      <c r="PAV48" s="37"/>
      <c r="PAW48" s="37"/>
      <c r="PAX48" s="37"/>
      <c r="PAY48" s="37"/>
      <c r="PAZ48" s="37"/>
      <c r="PBA48" s="37"/>
      <c r="PBB48" s="37"/>
      <c r="PBC48" s="37"/>
      <c r="PBD48" s="37"/>
      <c r="PBE48" s="37"/>
      <c r="PBF48" s="37"/>
      <c r="PBG48" s="37"/>
      <c r="PBH48" s="37"/>
      <c r="PBI48" s="37"/>
      <c r="PBJ48" s="37"/>
      <c r="PBK48" s="37"/>
      <c r="PBL48" s="37"/>
      <c r="PBM48" s="37"/>
      <c r="PBN48" s="37"/>
      <c r="PBO48" s="37"/>
      <c r="PBP48" s="37"/>
      <c r="PBQ48" s="37"/>
      <c r="PBR48" s="37"/>
      <c r="PBS48" s="37"/>
      <c r="PBT48" s="37"/>
      <c r="PBU48" s="37"/>
      <c r="PBV48" s="37"/>
      <c r="PBW48" s="37"/>
      <c r="PBX48" s="37"/>
      <c r="PBY48" s="37"/>
      <c r="PBZ48" s="37"/>
      <c r="PCA48" s="37"/>
      <c r="PCB48" s="37"/>
      <c r="PCC48" s="37"/>
      <c r="PCD48" s="37"/>
      <c r="PCE48" s="37"/>
      <c r="PCF48" s="37"/>
      <c r="PCG48" s="37"/>
      <c r="PCH48" s="37"/>
      <c r="PCI48" s="37"/>
      <c r="PCJ48" s="37"/>
      <c r="PCK48" s="37"/>
      <c r="PCL48" s="37"/>
      <c r="PCM48" s="37"/>
      <c r="PCN48" s="37"/>
      <c r="PCO48" s="37"/>
      <c r="PCP48" s="37"/>
      <c r="PCQ48" s="37"/>
      <c r="PCR48" s="37"/>
      <c r="PCS48" s="37"/>
      <c r="PCT48" s="37"/>
      <c r="PCU48" s="37"/>
      <c r="PCV48" s="37"/>
      <c r="PCW48" s="37"/>
      <c r="PCX48" s="37"/>
      <c r="PCY48" s="37"/>
      <c r="PCZ48" s="37"/>
      <c r="PDA48" s="37"/>
      <c r="PDB48" s="37"/>
      <c r="PDC48" s="37"/>
      <c r="PDD48" s="37"/>
      <c r="PDE48" s="37"/>
      <c r="PDF48" s="37"/>
      <c r="PDG48" s="37"/>
      <c r="PDH48" s="37"/>
      <c r="PDI48" s="37"/>
      <c r="PDJ48" s="37"/>
      <c r="PDK48" s="37"/>
      <c r="PDL48" s="37"/>
      <c r="PDM48" s="37"/>
      <c r="PDN48" s="37"/>
      <c r="PDO48" s="37"/>
      <c r="PDP48" s="37"/>
      <c r="PDQ48" s="37"/>
      <c r="PDR48" s="37"/>
      <c r="PDS48" s="37"/>
      <c r="PDT48" s="37"/>
      <c r="PDU48" s="37"/>
      <c r="PDV48" s="37"/>
      <c r="PDW48" s="37"/>
      <c r="PDX48" s="37"/>
      <c r="PDY48" s="37"/>
      <c r="PDZ48" s="37"/>
      <c r="PEA48" s="37"/>
      <c r="PEB48" s="37"/>
      <c r="PEC48" s="37"/>
      <c r="PED48" s="37"/>
      <c r="PEE48" s="37"/>
      <c r="PEF48" s="37"/>
      <c r="PEG48" s="37"/>
      <c r="PEH48" s="37"/>
      <c r="PEI48" s="37"/>
      <c r="PEJ48" s="37"/>
      <c r="PEK48" s="37"/>
      <c r="PEL48" s="37"/>
      <c r="PEM48" s="37"/>
      <c r="PEN48" s="37"/>
      <c r="PEO48" s="37"/>
      <c r="PEP48" s="37"/>
      <c r="PEQ48" s="37"/>
      <c r="PER48" s="37"/>
      <c r="PES48" s="37"/>
      <c r="PET48" s="37"/>
      <c r="PEU48" s="37"/>
      <c r="PEV48" s="37"/>
      <c r="PEW48" s="37"/>
      <c r="PEX48" s="37"/>
      <c r="PEY48" s="37"/>
      <c r="PEZ48" s="37"/>
      <c r="PFA48" s="37"/>
      <c r="PFB48" s="37"/>
      <c r="PFC48" s="37"/>
      <c r="PFD48" s="37"/>
      <c r="PFE48" s="37"/>
      <c r="PFF48" s="37"/>
      <c r="PFG48" s="37"/>
      <c r="PFH48" s="37"/>
      <c r="PFI48" s="37"/>
      <c r="PFJ48" s="37"/>
      <c r="PFK48" s="37"/>
      <c r="PFL48" s="37"/>
      <c r="PFM48" s="37"/>
      <c r="PFN48" s="37"/>
      <c r="PFO48" s="37"/>
      <c r="PFP48" s="37"/>
      <c r="PFQ48" s="37"/>
      <c r="PFR48" s="37"/>
      <c r="PFS48" s="37"/>
      <c r="PFT48" s="37"/>
      <c r="PFU48" s="37"/>
      <c r="PFV48" s="37"/>
      <c r="PFW48" s="37"/>
      <c r="PFX48" s="37"/>
      <c r="PFY48" s="37"/>
      <c r="PFZ48" s="37"/>
      <c r="PGA48" s="37"/>
      <c r="PGB48" s="37"/>
      <c r="PGC48" s="37"/>
      <c r="PGD48" s="37"/>
      <c r="PGE48" s="37"/>
      <c r="PGF48" s="37"/>
      <c r="PGG48" s="37"/>
      <c r="PGH48" s="37"/>
      <c r="PGI48" s="37"/>
      <c r="PGJ48" s="37"/>
      <c r="PGK48" s="37"/>
      <c r="PGL48" s="37"/>
      <c r="PGM48" s="37"/>
      <c r="PGN48" s="37"/>
      <c r="PGO48" s="37"/>
      <c r="PGP48" s="37"/>
      <c r="PGQ48" s="37"/>
      <c r="PGR48" s="37"/>
      <c r="PGS48" s="37"/>
      <c r="PGT48" s="37"/>
      <c r="PGU48" s="37"/>
      <c r="PGV48" s="37"/>
      <c r="PGW48" s="37"/>
      <c r="PGX48" s="37"/>
      <c r="PGY48" s="37"/>
      <c r="PGZ48" s="37"/>
      <c r="PHA48" s="37"/>
      <c r="PHB48" s="37"/>
      <c r="PHC48" s="37"/>
      <c r="PHD48" s="37"/>
      <c r="PHE48" s="37"/>
      <c r="PHF48" s="37"/>
      <c r="PHG48" s="37"/>
      <c r="PHH48" s="37"/>
      <c r="PHI48" s="37"/>
      <c r="PHJ48" s="37"/>
      <c r="PHK48" s="37"/>
      <c r="PHL48" s="37"/>
      <c r="PHM48" s="37"/>
      <c r="PHN48" s="37"/>
      <c r="PHO48" s="37"/>
      <c r="PHP48" s="37"/>
      <c r="PHQ48" s="37"/>
      <c r="PHR48" s="37"/>
      <c r="PHS48" s="37"/>
      <c r="PHT48" s="37"/>
      <c r="PHU48" s="37"/>
      <c r="PHV48" s="37"/>
      <c r="PHW48" s="37"/>
      <c r="PHX48" s="37"/>
      <c r="PHY48" s="37"/>
      <c r="PHZ48" s="37"/>
      <c r="PIA48" s="37"/>
      <c r="PIB48" s="37"/>
      <c r="PIC48" s="37"/>
      <c r="PID48" s="37"/>
      <c r="PIE48" s="37"/>
      <c r="PIF48" s="37"/>
      <c r="PIG48" s="37"/>
      <c r="PIH48" s="37"/>
      <c r="PII48" s="37"/>
      <c r="PIJ48" s="37"/>
      <c r="PIK48" s="37"/>
      <c r="PIL48" s="37"/>
      <c r="PIM48" s="37"/>
      <c r="PIN48" s="37"/>
      <c r="PIO48" s="37"/>
      <c r="PIP48" s="37"/>
      <c r="PIQ48" s="37"/>
      <c r="PIR48" s="37"/>
      <c r="PIS48" s="37"/>
      <c r="PIT48" s="37"/>
      <c r="PIU48" s="37"/>
      <c r="PIV48" s="37"/>
      <c r="PIW48" s="37"/>
      <c r="PIX48" s="37"/>
      <c r="PIY48" s="37"/>
      <c r="PIZ48" s="37"/>
      <c r="PJA48" s="37"/>
      <c r="PJB48" s="37"/>
      <c r="PJC48" s="37"/>
      <c r="PJD48" s="37"/>
      <c r="PJE48" s="37"/>
      <c r="PJF48" s="37"/>
      <c r="PJG48" s="37"/>
      <c r="PJH48" s="37"/>
      <c r="PJI48" s="37"/>
      <c r="PJJ48" s="37"/>
      <c r="PJK48" s="37"/>
      <c r="PJL48" s="37"/>
      <c r="PJM48" s="37"/>
      <c r="PJN48" s="37"/>
      <c r="PJO48" s="37"/>
      <c r="PJP48" s="37"/>
      <c r="PJQ48" s="37"/>
      <c r="PJR48" s="37"/>
      <c r="PJS48" s="37"/>
      <c r="PJT48" s="37"/>
      <c r="PJU48" s="37"/>
      <c r="PJV48" s="37"/>
      <c r="PJW48" s="37"/>
      <c r="PJX48" s="37"/>
      <c r="PJY48" s="37"/>
      <c r="PJZ48" s="37"/>
      <c r="PKA48" s="37"/>
      <c r="PKB48" s="37"/>
      <c r="PKC48" s="37"/>
      <c r="PKD48" s="37"/>
      <c r="PKE48" s="37"/>
      <c r="PKF48" s="37"/>
      <c r="PKG48" s="37"/>
      <c r="PKH48" s="37"/>
      <c r="PKI48" s="37"/>
      <c r="PKJ48" s="37"/>
      <c r="PKK48" s="37"/>
      <c r="PKL48" s="37"/>
      <c r="PKM48" s="37"/>
      <c r="PKN48" s="37"/>
      <c r="PKO48" s="37"/>
      <c r="PKP48" s="37"/>
      <c r="PKQ48" s="37"/>
      <c r="PKR48" s="37"/>
      <c r="PKS48" s="37"/>
      <c r="PKT48" s="37"/>
      <c r="PKU48" s="37"/>
      <c r="PKV48" s="37"/>
      <c r="PKW48" s="37"/>
      <c r="PKX48" s="37"/>
      <c r="PKY48" s="37"/>
      <c r="PKZ48" s="37"/>
      <c r="PLA48" s="37"/>
      <c r="PLB48" s="37"/>
      <c r="PLC48" s="37"/>
      <c r="PLD48" s="37"/>
      <c r="PLE48" s="37"/>
      <c r="PLF48" s="37"/>
      <c r="PLG48" s="37"/>
      <c r="PLH48" s="37"/>
      <c r="PLI48" s="37"/>
      <c r="PLJ48" s="37"/>
      <c r="PLK48" s="37"/>
      <c r="PLL48" s="37"/>
      <c r="PLM48" s="37"/>
      <c r="PLN48" s="37"/>
      <c r="PLO48" s="37"/>
      <c r="PLP48" s="37"/>
      <c r="PLQ48" s="37"/>
      <c r="PLR48" s="37"/>
      <c r="PLS48" s="37"/>
      <c r="PLT48" s="37"/>
      <c r="PLU48" s="37"/>
      <c r="PLV48" s="37"/>
      <c r="PLW48" s="37"/>
      <c r="PLX48" s="37"/>
      <c r="PLY48" s="37"/>
      <c r="PLZ48" s="37"/>
      <c r="PMA48" s="37"/>
      <c r="PMB48" s="37"/>
      <c r="PMC48" s="37"/>
      <c r="PMD48" s="37"/>
      <c r="PME48" s="37"/>
      <c r="PMF48" s="37"/>
      <c r="PMG48" s="37"/>
      <c r="PMH48" s="37"/>
      <c r="PMI48" s="37"/>
      <c r="PMJ48" s="37"/>
      <c r="PMK48" s="37"/>
      <c r="PML48" s="37"/>
      <c r="PMM48" s="37"/>
      <c r="PMN48" s="37"/>
      <c r="PMO48" s="37"/>
      <c r="PMP48" s="37"/>
      <c r="PMQ48" s="37"/>
      <c r="PMR48" s="37"/>
      <c r="PMS48" s="37"/>
      <c r="PMT48" s="37"/>
      <c r="PMU48" s="37"/>
      <c r="PMV48" s="37"/>
      <c r="PMW48" s="37"/>
      <c r="PMX48" s="37"/>
      <c r="PMY48" s="37"/>
      <c r="PMZ48" s="37"/>
      <c r="PNA48" s="37"/>
      <c r="PNB48" s="37"/>
      <c r="PNC48" s="37"/>
      <c r="PND48" s="37"/>
      <c r="PNE48" s="37"/>
      <c r="PNF48" s="37"/>
      <c r="PNG48" s="37"/>
      <c r="PNH48" s="37"/>
      <c r="PNI48" s="37"/>
      <c r="PNJ48" s="37"/>
      <c r="PNK48" s="37"/>
      <c r="PNL48" s="37"/>
      <c r="PNM48" s="37"/>
      <c r="PNN48" s="37"/>
      <c r="PNO48" s="37"/>
      <c r="PNP48" s="37"/>
      <c r="PNQ48" s="37"/>
      <c r="PNR48" s="37"/>
      <c r="PNS48" s="37"/>
      <c r="PNT48" s="37"/>
      <c r="PNU48" s="37"/>
      <c r="PNV48" s="37"/>
      <c r="PNW48" s="37"/>
      <c r="PNX48" s="37"/>
      <c r="PNY48" s="37"/>
      <c r="PNZ48" s="37"/>
      <c r="POA48" s="37"/>
      <c r="POB48" s="37"/>
      <c r="POC48" s="37"/>
      <c r="POD48" s="37"/>
      <c r="POE48" s="37"/>
      <c r="POF48" s="37"/>
      <c r="POG48" s="37"/>
      <c r="POH48" s="37"/>
      <c r="POI48" s="37"/>
      <c r="POJ48" s="37"/>
      <c r="POK48" s="37"/>
      <c r="POL48" s="37"/>
      <c r="POM48" s="37"/>
      <c r="PON48" s="37"/>
      <c r="POO48" s="37"/>
      <c r="POP48" s="37"/>
      <c r="POQ48" s="37"/>
      <c r="POR48" s="37"/>
      <c r="POS48" s="37"/>
      <c r="POT48" s="37"/>
      <c r="POU48" s="37"/>
      <c r="POV48" s="37"/>
      <c r="POW48" s="37"/>
      <c r="POX48" s="37"/>
      <c r="POY48" s="37"/>
      <c r="POZ48" s="37"/>
      <c r="PPA48" s="37"/>
      <c r="PPB48" s="37"/>
      <c r="PPC48" s="37"/>
      <c r="PPD48" s="37"/>
      <c r="PPE48" s="37"/>
      <c r="PPF48" s="37"/>
      <c r="PPG48" s="37"/>
      <c r="PPH48" s="37"/>
      <c r="PPI48" s="37"/>
      <c r="PPJ48" s="37"/>
      <c r="PPK48" s="37"/>
      <c r="PPL48" s="37"/>
      <c r="PPM48" s="37"/>
      <c r="PPN48" s="37"/>
      <c r="PPO48" s="37"/>
      <c r="PPP48" s="37"/>
      <c r="PPQ48" s="37"/>
      <c r="PPR48" s="37"/>
      <c r="PPS48" s="37"/>
      <c r="PPT48" s="37"/>
      <c r="PPU48" s="37"/>
      <c r="PPV48" s="37"/>
      <c r="PPW48" s="37"/>
      <c r="PPX48" s="37"/>
      <c r="PPY48" s="37"/>
      <c r="PPZ48" s="37"/>
      <c r="PQA48" s="37"/>
      <c r="PQB48" s="37"/>
      <c r="PQC48" s="37"/>
      <c r="PQD48" s="37"/>
      <c r="PQE48" s="37"/>
      <c r="PQF48" s="37"/>
      <c r="PQG48" s="37"/>
      <c r="PQH48" s="37"/>
      <c r="PQI48" s="37"/>
      <c r="PQJ48" s="37"/>
      <c r="PQK48" s="37"/>
      <c r="PQL48" s="37"/>
      <c r="PQM48" s="37"/>
      <c r="PQN48" s="37"/>
      <c r="PQO48" s="37"/>
      <c r="PQP48" s="37"/>
      <c r="PQQ48" s="37"/>
      <c r="PQR48" s="37"/>
      <c r="PQS48" s="37"/>
      <c r="PQT48" s="37"/>
      <c r="PQU48" s="37"/>
      <c r="PQV48" s="37"/>
      <c r="PQW48" s="37"/>
      <c r="PQX48" s="37"/>
      <c r="PQY48" s="37"/>
      <c r="PQZ48" s="37"/>
      <c r="PRA48" s="37"/>
      <c r="PRB48" s="37"/>
      <c r="PRC48" s="37"/>
      <c r="PRD48" s="37"/>
      <c r="PRE48" s="37"/>
      <c r="PRF48" s="37"/>
      <c r="PRG48" s="37"/>
      <c r="PRH48" s="37"/>
      <c r="PRI48" s="37"/>
      <c r="PRJ48" s="37"/>
      <c r="PRK48" s="37"/>
      <c r="PRL48" s="37"/>
      <c r="PRM48" s="37"/>
      <c r="PRN48" s="37"/>
      <c r="PRO48" s="37"/>
      <c r="PRP48" s="37"/>
      <c r="PRQ48" s="37"/>
      <c r="PRR48" s="37"/>
      <c r="PRS48" s="37"/>
      <c r="PRT48" s="37"/>
      <c r="PRU48" s="37"/>
      <c r="PRV48" s="37"/>
      <c r="PRW48" s="37"/>
      <c r="PRX48" s="37"/>
      <c r="PRY48" s="37"/>
      <c r="PRZ48" s="37"/>
      <c r="PSA48" s="37"/>
      <c r="PSB48" s="37"/>
      <c r="PSC48" s="37"/>
      <c r="PSD48" s="37"/>
      <c r="PSE48" s="37"/>
      <c r="PSF48" s="37"/>
      <c r="PSG48" s="37"/>
      <c r="PSH48" s="37"/>
      <c r="PSI48" s="37"/>
      <c r="PSJ48" s="37"/>
      <c r="PSK48" s="37"/>
      <c r="PSL48" s="37"/>
      <c r="PSM48" s="37"/>
      <c r="PSN48" s="37"/>
      <c r="PSO48" s="37"/>
      <c r="PSP48" s="37"/>
      <c r="PSQ48" s="37"/>
      <c r="PSR48" s="37"/>
      <c r="PSS48" s="37"/>
      <c r="PST48" s="37"/>
      <c r="PSU48" s="37"/>
      <c r="PSV48" s="37"/>
      <c r="PSW48" s="37"/>
      <c r="PSX48" s="37"/>
      <c r="PSY48" s="37"/>
      <c r="PSZ48" s="37"/>
      <c r="PTA48" s="37"/>
      <c r="PTB48" s="37"/>
      <c r="PTC48" s="37"/>
      <c r="PTD48" s="37"/>
      <c r="PTE48" s="37"/>
      <c r="PTF48" s="37"/>
      <c r="PTG48" s="37"/>
      <c r="PTH48" s="37"/>
      <c r="PTI48" s="37"/>
      <c r="PTJ48" s="37"/>
      <c r="PTK48" s="37"/>
      <c r="PTL48" s="37"/>
      <c r="PTM48" s="37"/>
      <c r="PTN48" s="37"/>
      <c r="PTO48" s="37"/>
      <c r="PTP48" s="37"/>
      <c r="PTQ48" s="37"/>
      <c r="PTR48" s="37"/>
      <c r="PTS48" s="37"/>
      <c r="PTT48" s="37"/>
      <c r="PTU48" s="37"/>
      <c r="PTV48" s="37"/>
      <c r="PTW48" s="37"/>
      <c r="PTX48" s="37"/>
      <c r="PTY48" s="37"/>
      <c r="PTZ48" s="37"/>
      <c r="PUA48" s="37"/>
      <c r="PUB48" s="37"/>
      <c r="PUC48" s="37"/>
      <c r="PUD48" s="37"/>
      <c r="PUE48" s="37"/>
      <c r="PUF48" s="37"/>
      <c r="PUG48" s="37"/>
      <c r="PUH48" s="37"/>
      <c r="PUI48" s="37"/>
      <c r="PUJ48" s="37"/>
      <c r="PUK48" s="37"/>
      <c r="PUL48" s="37"/>
      <c r="PUM48" s="37"/>
      <c r="PUN48" s="37"/>
      <c r="PUO48" s="37"/>
      <c r="PUP48" s="37"/>
      <c r="PUQ48" s="37"/>
      <c r="PUR48" s="37"/>
      <c r="PUS48" s="37"/>
      <c r="PUT48" s="37"/>
      <c r="PUU48" s="37"/>
      <c r="PUV48" s="37"/>
      <c r="PUW48" s="37"/>
      <c r="PUX48" s="37"/>
      <c r="PUY48" s="37"/>
      <c r="PUZ48" s="37"/>
      <c r="PVA48" s="37"/>
      <c r="PVB48" s="37"/>
      <c r="PVC48" s="37"/>
      <c r="PVD48" s="37"/>
      <c r="PVE48" s="37"/>
      <c r="PVF48" s="37"/>
      <c r="PVG48" s="37"/>
      <c r="PVH48" s="37"/>
      <c r="PVI48" s="37"/>
      <c r="PVJ48" s="37"/>
      <c r="PVK48" s="37"/>
      <c r="PVL48" s="37"/>
      <c r="PVM48" s="37"/>
      <c r="PVN48" s="37"/>
      <c r="PVO48" s="37"/>
      <c r="PVP48" s="37"/>
      <c r="PVQ48" s="37"/>
      <c r="PVR48" s="37"/>
      <c r="PVS48" s="37"/>
      <c r="PVT48" s="37"/>
      <c r="PVU48" s="37"/>
      <c r="PVV48" s="37"/>
      <c r="PVW48" s="37"/>
      <c r="PVX48" s="37"/>
      <c r="PVY48" s="37"/>
      <c r="PVZ48" s="37"/>
      <c r="PWA48" s="37"/>
      <c r="PWB48" s="37"/>
      <c r="PWC48" s="37"/>
      <c r="PWD48" s="37"/>
      <c r="PWE48" s="37"/>
      <c r="PWF48" s="37"/>
      <c r="PWG48" s="37"/>
      <c r="PWH48" s="37"/>
      <c r="PWI48" s="37"/>
      <c r="PWJ48" s="37"/>
      <c r="PWK48" s="37"/>
      <c r="PWL48" s="37"/>
      <c r="PWM48" s="37"/>
      <c r="PWN48" s="37"/>
      <c r="PWO48" s="37"/>
      <c r="PWP48" s="37"/>
      <c r="PWQ48" s="37"/>
      <c r="PWR48" s="37"/>
      <c r="PWS48" s="37"/>
      <c r="PWT48" s="37"/>
      <c r="PWU48" s="37"/>
      <c r="PWV48" s="37"/>
      <c r="PWW48" s="37"/>
      <c r="PWX48" s="37"/>
      <c r="PWY48" s="37"/>
      <c r="PWZ48" s="37"/>
      <c r="PXA48" s="37"/>
      <c r="PXB48" s="37"/>
      <c r="PXC48" s="37"/>
      <c r="PXD48" s="37"/>
      <c r="PXE48" s="37"/>
      <c r="PXF48" s="37"/>
      <c r="PXG48" s="37"/>
      <c r="PXH48" s="37"/>
      <c r="PXI48" s="37"/>
      <c r="PXJ48" s="37"/>
      <c r="PXK48" s="37"/>
      <c r="PXL48" s="37"/>
      <c r="PXM48" s="37"/>
      <c r="PXN48" s="37"/>
      <c r="PXO48" s="37"/>
      <c r="PXP48" s="37"/>
      <c r="PXQ48" s="37"/>
      <c r="PXR48" s="37"/>
      <c r="PXS48" s="37"/>
      <c r="PXT48" s="37"/>
      <c r="PXU48" s="37"/>
      <c r="PXV48" s="37"/>
      <c r="PXW48" s="37"/>
      <c r="PXX48" s="37"/>
      <c r="PXY48" s="37"/>
      <c r="PXZ48" s="37"/>
      <c r="PYA48" s="37"/>
      <c r="PYB48" s="37"/>
      <c r="PYC48" s="37"/>
      <c r="PYD48" s="37"/>
      <c r="PYE48" s="37"/>
      <c r="PYF48" s="37"/>
      <c r="PYG48" s="37"/>
      <c r="PYH48" s="37"/>
      <c r="PYI48" s="37"/>
      <c r="PYJ48" s="37"/>
      <c r="PYK48" s="37"/>
      <c r="PYL48" s="37"/>
      <c r="PYM48" s="37"/>
      <c r="PYN48" s="37"/>
      <c r="PYO48" s="37"/>
      <c r="PYP48" s="37"/>
      <c r="PYQ48" s="37"/>
      <c r="PYR48" s="37"/>
      <c r="PYS48" s="37"/>
      <c r="PYT48" s="37"/>
      <c r="PYU48" s="37"/>
      <c r="PYV48" s="37"/>
      <c r="PYW48" s="37"/>
      <c r="PYX48" s="37"/>
      <c r="PYY48" s="37"/>
      <c r="PYZ48" s="37"/>
      <c r="PZA48" s="37"/>
      <c r="PZB48" s="37"/>
      <c r="PZC48" s="37"/>
      <c r="PZD48" s="37"/>
      <c r="PZE48" s="37"/>
      <c r="PZF48" s="37"/>
      <c r="PZG48" s="37"/>
      <c r="PZH48" s="37"/>
      <c r="PZI48" s="37"/>
      <c r="PZJ48" s="37"/>
      <c r="PZK48" s="37"/>
      <c r="PZL48" s="37"/>
      <c r="PZM48" s="37"/>
      <c r="PZN48" s="37"/>
      <c r="PZO48" s="37"/>
      <c r="PZP48" s="37"/>
      <c r="PZQ48" s="37"/>
      <c r="PZR48" s="37"/>
      <c r="PZS48" s="37"/>
      <c r="PZT48" s="37"/>
      <c r="PZU48" s="37"/>
      <c r="PZV48" s="37"/>
      <c r="PZW48" s="37"/>
      <c r="PZX48" s="37"/>
      <c r="PZY48" s="37"/>
      <c r="PZZ48" s="37"/>
      <c r="QAA48" s="37"/>
      <c r="QAB48" s="37"/>
      <c r="QAC48" s="37"/>
      <c r="QAD48" s="37"/>
      <c r="QAE48" s="37"/>
      <c r="QAF48" s="37"/>
      <c r="QAG48" s="37"/>
      <c r="QAH48" s="37"/>
      <c r="QAI48" s="37"/>
      <c r="QAJ48" s="37"/>
      <c r="QAK48" s="37"/>
      <c r="QAL48" s="37"/>
      <c r="QAM48" s="37"/>
      <c r="QAN48" s="37"/>
      <c r="QAO48" s="37"/>
      <c r="QAP48" s="37"/>
      <c r="QAQ48" s="37"/>
      <c r="QAR48" s="37"/>
      <c r="QAS48" s="37"/>
      <c r="QAT48" s="37"/>
      <c r="QAU48" s="37"/>
      <c r="QAV48" s="37"/>
      <c r="QAW48" s="37"/>
      <c r="QAX48" s="37"/>
      <c r="QAY48" s="37"/>
      <c r="QAZ48" s="37"/>
      <c r="QBA48" s="37"/>
      <c r="QBB48" s="37"/>
      <c r="QBC48" s="37"/>
      <c r="QBD48" s="37"/>
      <c r="QBE48" s="37"/>
      <c r="QBF48" s="37"/>
      <c r="QBG48" s="37"/>
      <c r="QBH48" s="37"/>
      <c r="QBI48" s="37"/>
      <c r="QBJ48" s="37"/>
      <c r="QBK48" s="37"/>
      <c r="QBL48" s="37"/>
      <c r="QBM48" s="37"/>
      <c r="QBN48" s="37"/>
      <c r="QBO48" s="37"/>
      <c r="QBP48" s="37"/>
      <c r="QBQ48" s="37"/>
      <c r="QBR48" s="37"/>
      <c r="QBS48" s="37"/>
      <c r="QBT48" s="37"/>
      <c r="QBU48" s="37"/>
      <c r="QBV48" s="37"/>
      <c r="QBW48" s="37"/>
      <c r="QBX48" s="37"/>
      <c r="QBY48" s="37"/>
      <c r="QBZ48" s="37"/>
      <c r="QCA48" s="37"/>
      <c r="QCB48" s="37"/>
      <c r="QCC48" s="37"/>
      <c r="QCD48" s="37"/>
      <c r="QCE48" s="37"/>
      <c r="QCF48" s="37"/>
      <c r="QCG48" s="37"/>
      <c r="QCH48" s="37"/>
      <c r="QCI48" s="37"/>
      <c r="QCJ48" s="37"/>
      <c r="QCK48" s="37"/>
      <c r="QCL48" s="37"/>
      <c r="QCM48" s="37"/>
      <c r="QCN48" s="37"/>
      <c r="QCO48" s="37"/>
      <c r="QCP48" s="37"/>
      <c r="QCQ48" s="37"/>
      <c r="QCR48" s="37"/>
      <c r="QCS48" s="37"/>
      <c r="QCT48" s="37"/>
      <c r="QCU48" s="37"/>
      <c r="QCV48" s="37"/>
      <c r="QCW48" s="37"/>
      <c r="QCX48" s="37"/>
      <c r="QCY48" s="37"/>
      <c r="QCZ48" s="37"/>
      <c r="QDA48" s="37"/>
      <c r="QDB48" s="37"/>
      <c r="QDC48" s="37"/>
      <c r="QDD48" s="37"/>
      <c r="QDE48" s="37"/>
      <c r="QDF48" s="37"/>
      <c r="QDG48" s="37"/>
      <c r="QDH48" s="37"/>
      <c r="QDI48" s="37"/>
      <c r="QDJ48" s="37"/>
      <c r="QDK48" s="37"/>
      <c r="QDL48" s="37"/>
      <c r="QDM48" s="37"/>
      <c r="QDN48" s="37"/>
      <c r="QDO48" s="37"/>
      <c r="QDP48" s="37"/>
      <c r="QDQ48" s="37"/>
      <c r="QDR48" s="37"/>
      <c r="QDS48" s="37"/>
      <c r="QDT48" s="37"/>
      <c r="QDU48" s="37"/>
      <c r="QDV48" s="37"/>
      <c r="QDW48" s="37"/>
      <c r="QDX48" s="37"/>
      <c r="QDY48" s="37"/>
      <c r="QDZ48" s="37"/>
      <c r="QEA48" s="37"/>
      <c r="QEB48" s="37"/>
      <c r="QEC48" s="37"/>
      <c r="QED48" s="37"/>
      <c r="QEE48" s="37"/>
      <c r="QEF48" s="37"/>
      <c r="QEG48" s="37"/>
      <c r="QEH48" s="37"/>
      <c r="QEI48" s="37"/>
      <c r="QEJ48" s="37"/>
      <c r="QEK48" s="37"/>
      <c r="QEL48" s="37"/>
      <c r="QEM48" s="37"/>
      <c r="QEN48" s="37"/>
      <c r="QEO48" s="37"/>
      <c r="QEP48" s="37"/>
      <c r="QEQ48" s="37"/>
      <c r="QER48" s="37"/>
      <c r="QES48" s="37"/>
      <c r="QET48" s="37"/>
      <c r="QEU48" s="37"/>
      <c r="QEV48" s="37"/>
      <c r="QEW48" s="37"/>
      <c r="QEX48" s="37"/>
      <c r="QEY48" s="37"/>
      <c r="QEZ48" s="37"/>
      <c r="QFA48" s="37"/>
      <c r="QFB48" s="37"/>
      <c r="QFC48" s="37"/>
      <c r="QFD48" s="37"/>
      <c r="QFE48" s="37"/>
      <c r="QFF48" s="37"/>
      <c r="QFG48" s="37"/>
      <c r="QFH48" s="37"/>
      <c r="QFI48" s="37"/>
      <c r="QFJ48" s="37"/>
      <c r="QFK48" s="37"/>
      <c r="QFL48" s="37"/>
      <c r="QFM48" s="37"/>
      <c r="QFN48" s="37"/>
      <c r="QFO48" s="37"/>
      <c r="QFP48" s="37"/>
      <c r="QFQ48" s="37"/>
      <c r="QFR48" s="37"/>
      <c r="QFS48" s="37"/>
      <c r="QFT48" s="37"/>
      <c r="QFU48" s="37"/>
      <c r="QFV48" s="37"/>
      <c r="QFW48" s="37"/>
      <c r="QFX48" s="37"/>
      <c r="QFY48" s="37"/>
      <c r="QFZ48" s="37"/>
      <c r="QGA48" s="37"/>
      <c r="QGB48" s="37"/>
      <c r="QGC48" s="37"/>
      <c r="QGD48" s="37"/>
      <c r="QGE48" s="37"/>
      <c r="QGF48" s="37"/>
      <c r="QGG48" s="37"/>
      <c r="QGH48" s="37"/>
      <c r="QGI48" s="37"/>
      <c r="QGJ48" s="37"/>
      <c r="QGK48" s="37"/>
      <c r="QGL48" s="37"/>
      <c r="QGM48" s="37"/>
      <c r="QGN48" s="37"/>
      <c r="QGO48" s="37"/>
      <c r="QGP48" s="37"/>
      <c r="QGQ48" s="37"/>
      <c r="QGR48" s="37"/>
      <c r="QGS48" s="37"/>
      <c r="QGT48" s="37"/>
      <c r="QGU48" s="37"/>
      <c r="QGV48" s="37"/>
      <c r="QGW48" s="37"/>
      <c r="QGX48" s="37"/>
      <c r="QGY48" s="37"/>
      <c r="QGZ48" s="37"/>
      <c r="QHA48" s="37"/>
      <c r="QHB48" s="37"/>
      <c r="QHC48" s="37"/>
      <c r="QHD48" s="37"/>
      <c r="QHE48" s="37"/>
      <c r="QHF48" s="37"/>
      <c r="QHG48" s="37"/>
      <c r="QHH48" s="37"/>
      <c r="QHI48" s="37"/>
      <c r="QHJ48" s="37"/>
      <c r="QHK48" s="37"/>
      <c r="QHL48" s="37"/>
      <c r="QHM48" s="37"/>
      <c r="QHN48" s="37"/>
      <c r="QHO48" s="37"/>
      <c r="QHP48" s="37"/>
      <c r="QHQ48" s="37"/>
      <c r="QHR48" s="37"/>
      <c r="QHS48" s="37"/>
      <c r="QHT48" s="37"/>
      <c r="QHU48" s="37"/>
      <c r="QHV48" s="37"/>
      <c r="QHW48" s="37"/>
      <c r="QHX48" s="37"/>
      <c r="QHY48" s="37"/>
      <c r="QHZ48" s="37"/>
      <c r="QIA48" s="37"/>
      <c r="QIB48" s="37"/>
      <c r="QIC48" s="37"/>
      <c r="QID48" s="37"/>
      <c r="QIE48" s="37"/>
      <c r="QIF48" s="37"/>
      <c r="QIG48" s="37"/>
      <c r="QIH48" s="37"/>
      <c r="QII48" s="37"/>
      <c r="QIJ48" s="37"/>
      <c r="QIK48" s="37"/>
      <c r="QIL48" s="37"/>
      <c r="QIM48" s="37"/>
      <c r="QIN48" s="37"/>
      <c r="QIO48" s="37"/>
      <c r="QIP48" s="37"/>
      <c r="QIQ48" s="37"/>
      <c r="QIR48" s="37"/>
      <c r="QIS48" s="37"/>
      <c r="QIT48" s="37"/>
      <c r="QIU48" s="37"/>
      <c r="QIV48" s="37"/>
      <c r="QIW48" s="37"/>
      <c r="QIX48" s="37"/>
      <c r="QIY48" s="37"/>
      <c r="QIZ48" s="37"/>
      <c r="QJA48" s="37"/>
      <c r="QJB48" s="37"/>
      <c r="QJC48" s="37"/>
      <c r="QJD48" s="37"/>
      <c r="QJE48" s="37"/>
      <c r="QJF48" s="37"/>
      <c r="QJG48" s="37"/>
      <c r="QJH48" s="37"/>
      <c r="QJI48" s="37"/>
      <c r="QJJ48" s="37"/>
      <c r="QJK48" s="37"/>
      <c r="QJL48" s="37"/>
      <c r="QJM48" s="37"/>
      <c r="QJN48" s="37"/>
      <c r="QJO48" s="37"/>
      <c r="QJP48" s="37"/>
      <c r="QJQ48" s="37"/>
      <c r="QJR48" s="37"/>
      <c r="QJS48" s="37"/>
      <c r="QJT48" s="37"/>
      <c r="QJU48" s="37"/>
      <c r="QJV48" s="37"/>
      <c r="QJW48" s="37"/>
      <c r="QJX48" s="37"/>
      <c r="QJY48" s="37"/>
      <c r="QJZ48" s="37"/>
      <c r="QKA48" s="37"/>
      <c r="QKB48" s="37"/>
      <c r="QKC48" s="37"/>
      <c r="QKD48" s="37"/>
      <c r="QKE48" s="37"/>
      <c r="QKF48" s="37"/>
      <c r="QKG48" s="37"/>
      <c r="QKH48" s="37"/>
      <c r="QKI48" s="37"/>
      <c r="QKJ48" s="37"/>
      <c r="QKK48" s="37"/>
      <c r="QKL48" s="37"/>
      <c r="QKM48" s="37"/>
      <c r="QKN48" s="37"/>
      <c r="QKO48" s="37"/>
      <c r="QKP48" s="37"/>
      <c r="QKQ48" s="37"/>
      <c r="QKR48" s="37"/>
      <c r="QKS48" s="37"/>
      <c r="QKT48" s="37"/>
      <c r="QKU48" s="37"/>
      <c r="QKV48" s="37"/>
      <c r="QKW48" s="37"/>
      <c r="QKX48" s="37"/>
      <c r="QKY48" s="37"/>
      <c r="QKZ48" s="37"/>
      <c r="QLA48" s="37"/>
      <c r="QLB48" s="37"/>
      <c r="QLC48" s="37"/>
      <c r="QLD48" s="37"/>
      <c r="QLE48" s="37"/>
      <c r="QLF48" s="37"/>
      <c r="QLG48" s="37"/>
      <c r="QLH48" s="37"/>
      <c r="QLI48" s="37"/>
      <c r="QLJ48" s="37"/>
      <c r="QLK48" s="37"/>
      <c r="QLL48" s="37"/>
      <c r="QLM48" s="37"/>
      <c r="QLN48" s="37"/>
      <c r="QLO48" s="37"/>
      <c r="QLP48" s="37"/>
      <c r="QLQ48" s="37"/>
      <c r="QLR48" s="37"/>
      <c r="QLS48" s="37"/>
      <c r="QLT48" s="37"/>
      <c r="QLU48" s="37"/>
      <c r="QLV48" s="37"/>
      <c r="QLW48" s="37"/>
      <c r="QLX48" s="37"/>
      <c r="QLY48" s="37"/>
      <c r="QLZ48" s="37"/>
      <c r="QMA48" s="37"/>
      <c r="QMB48" s="37"/>
      <c r="QMC48" s="37"/>
      <c r="QMD48" s="37"/>
      <c r="QME48" s="37"/>
      <c r="QMF48" s="37"/>
      <c r="QMG48" s="37"/>
      <c r="QMH48" s="37"/>
      <c r="QMI48" s="37"/>
      <c r="QMJ48" s="37"/>
      <c r="QMK48" s="37"/>
      <c r="QML48" s="37"/>
      <c r="QMM48" s="37"/>
      <c r="QMN48" s="37"/>
      <c r="QMO48" s="37"/>
      <c r="QMP48" s="37"/>
      <c r="QMQ48" s="37"/>
      <c r="QMR48" s="37"/>
      <c r="QMS48" s="37"/>
      <c r="QMT48" s="37"/>
      <c r="QMU48" s="37"/>
      <c r="QMV48" s="37"/>
      <c r="QMW48" s="37"/>
      <c r="QMX48" s="37"/>
      <c r="QMY48" s="37"/>
      <c r="QMZ48" s="37"/>
      <c r="QNA48" s="37"/>
      <c r="QNB48" s="37"/>
      <c r="QNC48" s="37"/>
      <c r="QND48" s="37"/>
      <c r="QNE48" s="37"/>
      <c r="QNF48" s="37"/>
      <c r="QNG48" s="37"/>
      <c r="QNH48" s="37"/>
      <c r="QNI48" s="37"/>
      <c r="QNJ48" s="37"/>
      <c r="QNK48" s="37"/>
      <c r="QNL48" s="37"/>
      <c r="QNM48" s="37"/>
      <c r="QNN48" s="37"/>
      <c r="QNO48" s="37"/>
      <c r="QNP48" s="37"/>
      <c r="QNQ48" s="37"/>
      <c r="QNR48" s="37"/>
      <c r="QNS48" s="37"/>
      <c r="QNT48" s="37"/>
      <c r="QNU48" s="37"/>
      <c r="QNV48" s="37"/>
      <c r="QNW48" s="37"/>
      <c r="QNX48" s="37"/>
      <c r="QNY48" s="37"/>
      <c r="QNZ48" s="37"/>
      <c r="QOA48" s="37"/>
      <c r="QOB48" s="37"/>
      <c r="QOC48" s="37"/>
      <c r="QOD48" s="37"/>
      <c r="QOE48" s="37"/>
      <c r="QOF48" s="37"/>
      <c r="QOG48" s="37"/>
      <c r="QOH48" s="37"/>
      <c r="QOI48" s="37"/>
      <c r="QOJ48" s="37"/>
      <c r="QOK48" s="37"/>
      <c r="QOL48" s="37"/>
      <c r="QOM48" s="37"/>
      <c r="QON48" s="37"/>
      <c r="QOO48" s="37"/>
      <c r="QOP48" s="37"/>
      <c r="QOQ48" s="37"/>
      <c r="QOR48" s="37"/>
      <c r="QOS48" s="37"/>
      <c r="QOT48" s="37"/>
      <c r="QOU48" s="37"/>
      <c r="QOV48" s="37"/>
      <c r="QOW48" s="37"/>
      <c r="QOX48" s="37"/>
      <c r="QOY48" s="37"/>
      <c r="QOZ48" s="37"/>
      <c r="QPA48" s="37"/>
      <c r="QPB48" s="37"/>
      <c r="QPC48" s="37"/>
      <c r="QPD48" s="37"/>
      <c r="QPE48" s="37"/>
      <c r="QPF48" s="37"/>
      <c r="QPG48" s="37"/>
      <c r="QPH48" s="37"/>
      <c r="QPI48" s="37"/>
      <c r="QPJ48" s="37"/>
      <c r="QPK48" s="37"/>
      <c r="QPL48" s="37"/>
      <c r="QPM48" s="37"/>
      <c r="QPN48" s="37"/>
      <c r="QPO48" s="37"/>
      <c r="QPP48" s="37"/>
      <c r="QPQ48" s="37"/>
      <c r="QPR48" s="37"/>
      <c r="QPS48" s="37"/>
      <c r="QPT48" s="37"/>
      <c r="QPU48" s="37"/>
      <c r="QPV48" s="37"/>
      <c r="QPW48" s="37"/>
      <c r="QPX48" s="37"/>
      <c r="QPY48" s="37"/>
      <c r="QPZ48" s="37"/>
      <c r="QQA48" s="37"/>
      <c r="QQB48" s="37"/>
      <c r="QQC48" s="37"/>
      <c r="QQD48" s="37"/>
      <c r="QQE48" s="37"/>
      <c r="QQF48" s="37"/>
      <c r="QQG48" s="37"/>
      <c r="QQH48" s="37"/>
      <c r="QQI48" s="37"/>
      <c r="QQJ48" s="37"/>
      <c r="QQK48" s="37"/>
      <c r="QQL48" s="37"/>
      <c r="QQM48" s="37"/>
      <c r="QQN48" s="37"/>
      <c r="QQO48" s="37"/>
      <c r="QQP48" s="37"/>
      <c r="QQQ48" s="37"/>
      <c r="QQR48" s="37"/>
      <c r="QQS48" s="37"/>
      <c r="QQT48" s="37"/>
      <c r="QQU48" s="37"/>
      <c r="QQV48" s="37"/>
      <c r="QQW48" s="37"/>
      <c r="QQX48" s="37"/>
      <c r="QQY48" s="37"/>
      <c r="QQZ48" s="37"/>
      <c r="QRA48" s="37"/>
      <c r="QRB48" s="37"/>
      <c r="QRC48" s="37"/>
      <c r="QRD48" s="37"/>
      <c r="QRE48" s="37"/>
      <c r="QRF48" s="37"/>
      <c r="QRG48" s="37"/>
      <c r="QRH48" s="37"/>
      <c r="QRI48" s="37"/>
      <c r="QRJ48" s="37"/>
      <c r="QRK48" s="37"/>
      <c r="QRL48" s="37"/>
      <c r="QRM48" s="37"/>
      <c r="QRN48" s="37"/>
      <c r="QRO48" s="37"/>
      <c r="QRP48" s="37"/>
      <c r="QRQ48" s="37"/>
      <c r="QRR48" s="37"/>
      <c r="QRS48" s="37"/>
      <c r="QRT48" s="37"/>
      <c r="QRU48" s="37"/>
      <c r="QRV48" s="37"/>
      <c r="QRW48" s="37"/>
      <c r="QRX48" s="37"/>
      <c r="QRY48" s="37"/>
      <c r="QRZ48" s="37"/>
      <c r="QSA48" s="37"/>
      <c r="QSB48" s="37"/>
      <c r="QSC48" s="37"/>
      <c r="QSD48" s="37"/>
      <c r="QSE48" s="37"/>
      <c r="QSF48" s="37"/>
      <c r="QSG48" s="37"/>
      <c r="QSH48" s="37"/>
      <c r="QSI48" s="37"/>
      <c r="QSJ48" s="37"/>
      <c r="QSK48" s="37"/>
      <c r="QSL48" s="37"/>
      <c r="QSM48" s="37"/>
      <c r="QSN48" s="37"/>
      <c r="QSO48" s="37"/>
      <c r="QSP48" s="37"/>
      <c r="QSQ48" s="37"/>
      <c r="QSR48" s="37"/>
      <c r="QSS48" s="37"/>
      <c r="QST48" s="37"/>
      <c r="QSU48" s="37"/>
      <c r="QSV48" s="37"/>
      <c r="QSW48" s="37"/>
      <c r="QSX48" s="37"/>
      <c r="QSY48" s="37"/>
      <c r="QSZ48" s="37"/>
      <c r="QTA48" s="37"/>
      <c r="QTB48" s="37"/>
      <c r="QTC48" s="37"/>
      <c r="QTD48" s="37"/>
      <c r="QTE48" s="37"/>
      <c r="QTF48" s="37"/>
      <c r="QTG48" s="37"/>
      <c r="QTH48" s="37"/>
      <c r="QTI48" s="37"/>
      <c r="QTJ48" s="37"/>
      <c r="QTK48" s="37"/>
      <c r="QTL48" s="37"/>
      <c r="QTM48" s="37"/>
      <c r="QTN48" s="37"/>
      <c r="QTO48" s="37"/>
      <c r="QTP48" s="37"/>
      <c r="QTQ48" s="37"/>
      <c r="QTR48" s="37"/>
      <c r="QTS48" s="37"/>
      <c r="QTT48" s="37"/>
      <c r="QTU48" s="37"/>
      <c r="QTV48" s="37"/>
      <c r="QTW48" s="37"/>
      <c r="QTX48" s="37"/>
      <c r="QTY48" s="37"/>
      <c r="QTZ48" s="37"/>
      <c r="QUA48" s="37"/>
      <c r="QUB48" s="37"/>
      <c r="QUC48" s="37"/>
      <c r="QUD48" s="37"/>
      <c r="QUE48" s="37"/>
      <c r="QUF48" s="37"/>
      <c r="QUG48" s="37"/>
      <c r="QUH48" s="37"/>
      <c r="QUI48" s="37"/>
      <c r="QUJ48" s="37"/>
      <c r="QUK48" s="37"/>
      <c r="QUL48" s="37"/>
      <c r="QUM48" s="37"/>
      <c r="QUN48" s="37"/>
      <c r="QUO48" s="37"/>
      <c r="QUP48" s="37"/>
      <c r="QUQ48" s="37"/>
      <c r="QUR48" s="37"/>
      <c r="QUS48" s="37"/>
      <c r="QUT48" s="37"/>
      <c r="QUU48" s="37"/>
      <c r="QUV48" s="37"/>
      <c r="QUW48" s="37"/>
      <c r="QUX48" s="37"/>
      <c r="QUY48" s="37"/>
      <c r="QUZ48" s="37"/>
      <c r="QVA48" s="37"/>
      <c r="QVB48" s="37"/>
      <c r="QVC48" s="37"/>
      <c r="QVD48" s="37"/>
      <c r="QVE48" s="37"/>
      <c r="QVF48" s="37"/>
      <c r="QVG48" s="37"/>
      <c r="QVH48" s="37"/>
      <c r="QVI48" s="37"/>
      <c r="QVJ48" s="37"/>
      <c r="QVK48" s="37"/>
      <c r="QVL48" s="37"/>
      <c r="QVM48" s="37"/>
      <c r="QVN48" s="37"/>
      <c r="QVO48" s="37"/>
      <c r="QVP48" s="37"/>
      <c r="QVQ48" s="37"/>
      <c r="QVR48" s="37"/>
      <c r="QVS48" s="37"/>
      <c r="QVT48" s="37"/>
      <c r="QVU48" s="37"/>
      <c r="QVV48" s="37"/>
      <c r="QVW48" s="37"/>
      <c r="QVX48" s="37"/>
      <c r="QVY48" s="37"/>
      <c r="QVZ48" s="37"/>
      <c r="QWA48" s="37"/>
      <c r="QWB48" s="37"/>
      <c r="QWC48" s="37"/>
      <c r="QWD48" s="37"/>
      <c r="QWE48" s="37"/>
      <c r="QWF48" s="37"/>
      <c r="QWG48" s="37"/>
      <c r="QWH48" s="37"/>
      <c r="QWI48" s="37"/>
      <c r="QWJ48" s="37"/>
      <c r="QWK48" s="37"/>
      <c r="QWL48" s="37"/>
      <c r="QWM48" s="37"/>
      <c r="QWN48" s="37"/>
      <c r="QWO48" s="37"/>
      <c r="QWP48" s="37"/>
      <c r="QWQ48" s="37"/>
      <c r="QWR48" s="37"/>
      <c r="QWS48" s="37"/>
      <c r="QWT48" s="37"/>
      <c r="QWU48" s="37"/>
      <c r="QWV48" s="37"/>
      <c r="QWW48" s="37"/>
      <c r="QWX48" s="37"/>
      <c r="QWY48" s="37"/>
      <c r="QWZ48" s="37"/>
      <c r="QXA48" s="37"/>
      <c r="QXB48" s="37"/>
      <c r="QXC48" s="37"/>
      <c r="QXD48" s="37"/>
      <c r="QXE48" s="37"/>
      <c r="QXF48" s="37"/>
      <c r="QXG48" s="37"/>
      <c r="QXH48" s="37"/>
      <c r="QXI48" s="37"/>
      <c r="QXJ48" s="37"/>
      <c r="QXK48" s="37"/>
      <c r="QXL48" s="37"/>
      <c r="QXM48" s="37"/>
      <c r="QXN48" s="37"/>
      <c r="QXO48" s="37"/>
      <c r="QXP48" s="37"/>
      <c r="QXQ48" s="37"/>
      <c r="QXR48" s="37"/>
      <c r="QXS48" s="37"/>
      <c r="QXT48" s="37"/>
      <c r="QXU48" s="37"/>
      <c r="QXV48" s="37"/>
      <c r="QXW48" s="37"/>
      <c r="QXX48" s="37"/>
      <c r="QXY48" s="37"/>
      <c r="QXZ48" s="37"/>
      <c r="QYA48" s="37"/>
      <c r="QYB48" s="37"/>
      <c r="QYC48" s="37"/>
      <c r="QYD48" s="37"/>
      <c r="QYE48" s="37"/>
      <c r="QYF48" s="37"/>
      <c r="QYG48" s="37"/>
      <c r="QYH48" s="37"/>
      <c r="QYI48" s="37"/>
      <c r="QYJ48" s="37"/>
      <c r="QYK48" s="37"/>
      <c r="QYL48" s="37"/>
      <c r="QYM48" s="37"/>
      <c r="QYN48" s="37"/>
      <c r="QYO48" s="37"/>
      <c r="QYP48" s="37"/>
      <c r="QYQ48" s="37"/>
      <c r="QYR48" s="37"/>
      <c r="QYS48" s="37"/>
      <c r="QYT48" s="37"/>
      <c r="QYU48" s="37"/>
      <c r="QYV48" s="37"/>
      <c r="QYW48" s="37"/>
      <c r="QYX48" s="37"/>
      <c r="QYY48" s="37"/>
      <c r="QYZ48" s="37"/>
      <c r="QZA48" s="37"/>
      <c r="QZB48" s="37"/>
      <c r="QZC48" s="37"/>
      <c r="QZD48" s="37"/>
      <c r="QZE48" s="37"/>
      <c r="QZF48" s="37"/>
      <c r="QZG48" s="37"/>
      <c r="QZH48" s="37"/>
      <c r="QZI48" s="37"/>
      <c r="QZJ48" s="37"/>
      <c r="QZK48" s="37"/>
      <c r="QZL48" s="37"/>
      <c r="QZM48" s="37"/>
      <c r="QZN48" s="37"/>
      <c r="QZO48" s="37"/>
      <c r="QZP48" s="37"/>
      <c r="QZQ48" s="37"/>
      <c r="QZR48" s="37"/>
      <c r="QZS48" s="37"/>
      <c r="QZT48" s="37"/>
      <c r="QZU48" s="37"/>
      <c r="QZV48" s="37"/>
      <c r="QZW48" s="37"/>
      <c r="QZX48" s="37"/>
      <c r="QZY48" s="37"/>
      <c r="QZZ48" s="37"/>
      <c r="RAA48" s="37"/>
      <c r="RAB48" s="37"/>
      <c r="RAC48" s="37"/>
      <c r="RAD48" s="37"/>
      <c r="RAE48" s="37"/>
      <c r="RAF48" s="37"/>
      <c r="RAG48" s="37"/>
      <c r="RAH48" s="37"/>
      <c r="RAI48" s="37"/>
      <c r="RAJ48" s="37"/>
      <c r="RAK48" s="37"/>
      <c r="RAL48" s="37"/>
      <c r="RAM48" s="37"/>
      <c r="RAN48" s="37"/>
      <c r="RAO48" s="37"/>
      <c r="RAP48" s="37"/>
      <c r="RAQ48" s="37"/>
      <c r="RAR48" s="37"/>
      <c r="RAS48" s="37"/>
      <c r="RAT48" s="37"/>
      <c r="RAU48" s="37"/>
      <c r="RAV48" s="37"/>
      <c r="RAW48" s="37"/>
      <c r="RAX48" s="37"/>
      <c r="RAY48" s="37"/>
      <c r="RAZ48" s="37"/>
      <c r="RBA48" s="37"/>
      <c r="RBB48" s="37"/>
      <c r="RBC48" s="37"/>
      <c r="RBD48" s="37"/>
      <c r="RBE48" s="37"/>
      <c r="RBF48" s="37"/>
      <c r="RBG48" s="37"/>
      <c r="RBH48" s="37"/>
      <c r="RBI48" s="37"/>
      <c r="RBJ48" s="37"/>
      <c r="RBK48" s="37"/>
      <c r="RBL48" s="37"/>
      <c r="RBM48" s="37"/>
      <c r="RBN48" s="37"/>
      <c r="RBO48" s="37"/>
      <c r="RBP48" s="37"/>
      <c r="RBQ48" s="37"/>
      <c r="RBR48" s="37"/>
      <c r="RBS48" s="37"/>
      <c r="RBT48" s="37"/>
      <c r="RBU48" s="37"/>
      <c r="RBV48" s="37"/>
      <c r="RBW48" s="37"/>
      <c r="RBX48" s="37"/>
      <c r="RBY48" s="37"/>
      <c r="RBZ48" s="37"/>
      <c r="RCA48" s="37"/>
      <c r="RCB48" s="37"/>
      <c r="RCC48" s="37"/>
      <c r="RCD48" s="37"/>
      <c r="RCE48" s="37"/>
      <c r="RCF48" s="37"/>
      <c r="RCG48" s="37"/>
      <c r="RCH48" s="37"/>
      <c r="RCI48" s="37"/>
      <c r="RCJ48" s="37"/>
      <c r="RCK48" s="37"/>
      <c r="RCL48" s="37"/>
      <c r="RCM48" s="37"/>
      <c r="RCN48" s="37"/>
      <c r="RCO48" s="37"/>
      <c r="RCP48" s="37"/>
      <c r="RCQ48" s="37"/>
      <c r="RCR48" s="37"/>
      <c r="RCS48" s="37"/>
      <c r="RCT48" s="37"/>
      <c r="RCU48" s="37"/>
      <c r="RCV48" s="37"/>
      <c r="RCW48" s="37"/>
      <c r="RCX48" s="37"/>
      <c r="RCY48" s="37"/>
      <c r="RCZ48" s="37"/>
      <c r="RDA48" s="37"/>
      <c r="RDB48" s="37"/>
      <c r="RDC48" s="37"/>
      <c r="RDD48" s="37"/>
      <c r="RDE48" s="37"/>
      <c r="RDF48" s="37"/>
      <c r="RDG48" s="37"/>
      <c r="RDH48" s="37"/>
      <c r="RDI48" s="37"/>
      <c r="RDJ48" s="37"/>
      <c r="RDK48" s="37"/>
      <c r="RDL48" s="37"/>
      <c r="RDM48" s="37"/>
      <c r="RDN48" s="37"/>
      <c r="RDO48" s="37"/>
      <c r="RDP48" s="37"/>
      <c r="RDQ48" s="37"/>
      <c r="RDR48" s="37"/>
      <c r="RDS48" s="37"/>
      <c r="RDT48" s="37"/>
      <c r="RDU48" s="37"/>
      <c r="RDV48" s="37"/>
      <c r="RDW48" s="37"/>
      <c r="RDX48" s="37"/>
      <c r="RDY48" s="37"/>
      <c r="RDZ48" s="37"/>
      <c r="REA48" s="37"/>
      <c r="REB48" s="37"/>
      <c r="REC48" s="37"/>
      <c r="RED48" s="37"/>
      <c r="REE48" s="37"/>
      <c r="REF48" s="37"/>
      <c r="REG48" s="37"/>
      <c r="REH48" s="37"/>
      <c r="REI48" s="37"/>
      <c r="REJ48" s="37"/>
      <c r="REK48" s="37"/>
      <c r="REL48" s="37"/>
      <c r="REM48" s="37"/>
      <c r="REN48" s="37"/>
      <c r="REO48" s="37"/>
      <c r="REP48" s="37"/>
      <c r="REQ48" s="37"/>
      <c r="RER48" s="37"/>
      <c r="RES48" s="37"/>
      <c r="RET48" s="37"/>
      <c r="REU48" s="37"/>
      <c r="REV48" s="37"/>
      <c r="REW48" s="37"/>
      <c r="REX48" s="37"/>
      <c r="REY48" s="37"/>
      <c r="REZ48" s="37"/>
      <c r="RFA48" s="37"/>
      <c r="RFB48" s="37"/>
      <c r="RFC48" s="37"/>
      <c r="RFD48" s="37"/>
      <c r="RFE48" s="37"/>
      <c r="RFF48" s="37"/>
      <c r="RFG48" s="37"/>
      <c r="RFH48" s="37"/>
      <c r="RFI48" s="37"/>
      <c r="RFJ48" s="37"/>
      <c r="RFK48" s="37"/>
      <c r="RFL48" s="37"/>
      <c r="RFM48" s="37"/>
      <c r="RFN48" s="37"/>
      <c r="RFO48" s="37"/>
      <c r="RFP48" s="37"/>
      <c r="RFQ48" s="37"/>
      <c r="RFR48" s="37"/>
      <c r="RFS48" s="37"/>
      <c r="RFT48" s="37"/>
      <c r="RFU48" s="37"/>
      <c r="RFV48" s="37"/>
      <c r="RFW48" s="37"/>
      <c r="RFX48" s="37"/>
      <c r="RFY48" s="37"/>
      <c r="RFZ48" s="37"/>
      <c r="RGA48" s="37"/>
      <c r="RGB48" s="37"/>
      <c r="RGC48" s="37"/>
      <c r="RGD48" s="37"/>
      <c r="RGE48" s="37"/>
      <c r="RGF48" s="37"/>
      <c r="RGG48" s="37"/>
      <c r="RGH48" s="37"/>
      <c r="RGI48" s="37"/>
      <c r="RGJ48" s="37"/>
      <c r="RGK48" s="37"/>
      <c r="RGL48" s="37"/>
      <c r="RGM48" s="37"/>
      <c r="RGN48" s="37"/>
      <c r="RGO48" s="37"/>
      <c r="RGP48" s="37"/>
      <c r="RGQ48" s="37"/>
      <c r="RGR48" s="37"/>
      <c r="RGS48" s="37"/>
      <c r="RGT48" s="37"/>
      <c r="RGU48" s="37"/>
      <c r="RGV48" s="37"/>
      <c r="RGW48" s="37"/>
      <c r="RGX48" s="37"/>
      <c r="RGY48" s="37"/>
      <c r="RGZ48" s="37"/>
      <c r="RHA48" s="37"/>
      <c r="RHB48" s="37"/>
      <c r="RHC48" s="37"/>
      <c r="RHD48" s="37"/>
      <c r="RHE48" s="37"/>
      <c r="RHF48" s="37"/>
      <c r="RHG48" s="37"/>
      <c r="RHH48" s="37"/>
      <c r="RHI48" s="37"/>
      <c r="RHJ48" s="37"/>
      <c r="RHK48" s="37"/>
      <c r="RHL48" s="37"/>
      <c r="RHM48" s="37"/>
      <c r="RHN48" s="37"/>
      <c r="RHO48" s="37"/>
      <c r="RHP48" s="37"/>
      <c r="RHQ48" s="37"/>
      <c r="RHR48" s="37"/>
      <c r="RHS48" s="37"/>
      <c r="RHT48" s="37"/>
      <c r="RHU48" s="37"/>
      <c r="RHV48" s="37"/>
      <c r="RHW48" s="37"/>
      <c r="RHX48" s="37"/>
      <c r="RHY48" s="37"/>
      <c r="RHZ48" s="37"/>
      <c r="RIA48" s="37"/>
      <c r="RIB48" s="37"/>
      <c r="RIC48" s="37"/>
      <c r="RID48" s="37"/>
      <c r="RIE48" s="37"/>
      <c r="RIF48" s="37"/>
      <c r="RIG48" s="37"/>
      <c r="RIH48" s="37"/>
      <c r="RII48" s="37"/>
      <c r="RIJ48" s="37"/>
      <c r="RIK48" s="37"/>
      <c r="RIL48" s="37"/>
      <c r="RIM48" s="37"/>
      <c r="RIN48" s="37"/>
      <c r="RIO48" s="37"/>
      <c r="RIP48" s="37"/>
      <c r="RIQ48" s="37"/>
      <c r="RIR48" s="37"/>
      <c r="RIS48" s="37"/>
      <c r="RIT48" s="37"/>
      <c r="RIU48" s="37"/>
      <c r="RIV48" s="37"/>
      <c r="RIW48" s="37"/>
      <c r="RIX48" s="37"/>
      <c r="RIY48" s="37"/>
      <c r="RIZ48" s="37"/>
      <c r="RJA48" s="37"/>
      <c r="RJB48" s="37"/>
      <c r="RJC48" s="37"/>
      <c r="RJD48" s="37"/>
      <c r="RJE48" s="37"/>
      <c r="RJF48" s="37"/>
      <c r="RJG48" s="37"/>
      <c r="RJH48" s="37"/>
      <c r="RJI48" s="37"/>
      <c r="RJJ48" s="37"/>
      <c r="RJK48" s="37"/>
      <c r="RJL48" s="37"/>
      <c r="RJM48" s="37"/>
      <c r="RJN48" s="37"/>
      <c r="RJO48" s="37"/>
      <c r="RJP48" s="37"/>
      <c r="RJQ48" s="37"/>
      <c r="RJR48" s="37"/>
      <c r="RJS48" s="37"/>
      <c r="RJT48" s="37"/>
      <c r="RJU48" s="37"/>
      <c r="RJV48" s="37"/>
      <c r="RJW48" s="37"/>
      <c r="RJX48" s="37"/>
      <c r="RJY48" s="37"/>
      <c r="RJZ48" s="37"/>
      <c r="RKA48" s="37"/>
      <c r="RKB48" s="37"/>
      <c r="RKC48" s="37"/>
      <c r="RKD48" s="37"/>
      <c r="RKE48" s="37"/>
      <c r="RKF48" s="37"/>
      <c r="RKG48" s="37"/>
      <c r="RKH48" s="37"/>
      <c r="RKI48" s="37"/>
      <c r="RKJ48" s="37"/>
      <c r="RKK48" s="37"/>
      <c r="RKL48" s="37"/>
      <c r="RKM48" s="37"/>
      <c r="RKN48" s="37"/>
      <c r="RKO48" s="37"/>
      <c r="RKP48" s="37"/>
      <c r="RKQ48" s="37"/>
      <c r="RKR48" s="37"/>
      <c r="RKS48" s="37"/>
      <c r="RKT48" s="37"/>
      <c r="RKU48" s="37"/>
      <c r="RKV48" s="37"/>
      <c r="RKW48" s="37"/>
      <c r="RKX48" s="37"/>
      <c r="RKY48" s="37"/>
      <c r="RKZ48" s="37"/>
      <c r="RLA48" s="37"/>
      <c r="RLB48" s="37"/>
      <c r="RLC48" s="37"/>
      <c r="RLD48" s="37"/>
      <c r="RLE48" s="37"/>
      <c r="RLF48" s="37"/>
      <c r="RLG48" s="37"/>
      <c r="RLH48" s="37"/>
      <c r="RLI48" s="37"/>
      <c r="RLJ48" s="37"/>
      <c r="RLK48" s="37"/>
      <c r="RLL48" s="37"/>
      <c r="RLM48" s="37"/>
      <c r="RLN48" s="37"/>
      <c r="RLO48" s="37"/>
      <c r="RLP48" s="37"/>
      <c r="RLQ48" s="37"/>
      <c r="RLR48" s="37"/>
      <c r="RLS48" s="37"/>
      <c r="RLT48" s="37"/>
      <c r="RLU48" s="37"/>
      <c r="RLV48" s="37"/>
      <c r="RLW48" s="37"/>
      <c r="RLX48" s="37"/>
      <c r="RLY48" s="37"/>
      <c r="RLZ48" s="37"/>
      <c r="RMA48" s="37"/>
      <c r="RMB48" s="37"/>
      <c r="RMC48" s="37"/>
      <c r="RMD48" s="37"/>
      <c r="RME48" s="37"/>
      <c r="RMF48" s="37"/>
      <c r="RMG48" s="37"/>
      <c r="RMH48" s="37"/>
      <c r="RMI48" s="37"/>
      <c r="RMJ48" s="37"/>
      <c r="RMK48" s="37"/>
      <c r="RML48" s="37"/>
      <c r="RMM48" s="37"/>
      <c r="RMN48" s="37"/>
      <c r="RMO48" s="37"/>
      <c r="RMP48" s="37"/>
      <c r="RMQ48" s="37"/>
      <c r="RMR48" s="37"/>
      <c r="RMS48" s="37"/>
      <c r="RMT48" s="37"/>
      <c r="RMU48" s="37"/>
      <c r="RMV48" s="37"/>
      <c r="RMW48" s="37"/>
      <c r="RMX48" s="37"/>
      <c r="RMY48" s="37"/>
      <c r="RMZ48" s="37"/>
      <c r="RNA48" s="37"/>
      <c r="RNB48" s="37"/>
      <c r="RNC48" s="37"/>
      <c r="RND48" s="37"/>
      <c r="RNE48" s="37"/>
      <c r="RNF48" s="37"/>
      <c r="RNG48" s="37"/>
      <c r="RNH48" s="37"/>
      <c r="RNI48" s="37"/>
      <c r="RNJ48" s="37"/>
      <c r="RNK48" s="37"/>
      <c r="RNL48" s="37"/>
      <c r="RNM48" s="37"/>
      <c r="RNN48" s="37"/>
      <c r="RNO48" s="37"/>
      <c r="RNP48" s="37"/>
      <c r="RNQ48" s="37"/>
      <c r="RNR48" s="37"/>
      <c r="RNS48" s="37"/>
      <c r="RNT48" s="37"/>
      <c r="RNU48" s="37"/>
      <c r="RNV48" s="37"/>
      <c r="RNW48" s="37"/>
      <c r="RNX48" s="37"/>
      <c r="RNY48" s="37"/>
      <c r="RNZ48" s="37"/>
      <c r="ROA48" s="37"/>
      <c r="ROB48" s="37"/>
      <c r="ROC48" s="37"/>
      <c r="ROD48" s="37"/>
      <c r="ROE48" s="37"/>
      <c r="ROF48" s="37"/>
      <c r="ROG48" s="37"/>
      <c r="ROH48" s="37"/>
      <c r="ROI48" s="37"/>
      <c r="ROJ48" s="37"/>
      <c r="ROK48" s="37"/>
      <c r="ROL48" s="37"/>
      <c r="ROM48" s="37"/>
      <c r="RON48" s="37"/>
      <c r="ROO48" s="37"/>
      <c r="ROP48" s="37"/>
      <c r="ROQ48" s="37"/>
      <c r="ROR48" s="37"/>
      <c r="ROS48" s="37"/>
      <c r="ROT48" s="37"/>
      <c r="ROU48" s="37"/>
      <c r="ROV48" s="37"/>
      <c r="ROW48" s="37"/>
      <c r="ROX48" s="37"/>
      <c r="ROY48" s="37"/>
      <c r="ROZ48" s="37"/>
      <c r="RPA48" s="37"/>
      <c r="RPB48" s="37"/>
      <c r="RPC48" s="37"/>
      <c r="RPD48" s="37"/>
      <c r="RPE48" s="37"/>
      <c r="RPF48" s="37"/>
      <c r="RPG48" s="37"/>
      <c r="RPH48" s="37"/>
      <c r="RPI48" s="37"/>
      <c r="RPJ48" s="37"/>
      <c r="RPK48" s="37"/>
      <c r="RPL48" s="37"/>
      <c r="RPM48" s="37"/>
      <c r="RPN48" s="37"/>
      <c r="RPO48" s="37"/>
      <c r="RPP48" s="37"/>
      <c r="RPQ48" s="37"/>
      <c r="RPR48" s="37"/>
      <c r="RPS48" s="37"/>
      <c r="RPT48" s="37"/>
      <c r="RPU48" s="37"/>
      <c r="RPV48" s="37"/>
      <c r="RPW48" s="37"/>
      <c r="RPX48" s="37"/>
      <c r="RPY48" s="37"/>
      <c r="RPZ48" s="37"/>
      <c r="RQA48" s="37"/>
      <c r="RQB48" s="37"/>
      <c r="RQC48" s="37"/>
      <c r="RQD48" s="37"/>
      <c r="RQE48" s="37"/>
      <c r="RQF48" s="37"/>
      <c r="RQG48" s="37"/>
      <c r="RQH48" s="37"/>
      <c r="RQI48" s="37"/>
      <c r="RQJ48" s="37"/>
      <c r="RQK48" s="37"/>
      <c r="RQL48" s="37"/>
      <c r="RQM48" s="37"/>
      <c r="RQN48" s="37"/>
      <c r="RQO48" s="37"/>
      <c r="RQP48" s="37"/>
      <c r="RQQ48" s="37"/>
      <c r="RQR48" s="37"/>
      <c r="RQS48" s="37"/>
      <c r="RQT48" s="37"/>
      <c r="RQU48" s="37"/>
      <c r="RQV48" s="37"/>
      <c r="RQW48" s="37"/>
      <c r="RQX48" s="37"/>
      <c r="RQY48" s="37"/>
      <c r="RQZ48" s="37"/>
      <c r="RRA48" s="37"/>
      <c r="RRB48" s="37"/>
      <c r="RRC48" s="37"/>
      <c r="RRD48" s="37"/>
      <c r="RRE48" s="37"/>
      <c r="RRF48" s="37"/>
      <c r="RRG48" s="37"/>
      <c r="RRH48" s="37"/>
      <c r="RRI48" s="37"/>
      <c r="RRJ48" s="37"/>
      <c r="RRK48" s="37"/>
      <c r="RRL48" s="37"/>
      <c r="RRM48" s="37"/>
      <c r="RRN48" s="37"/>
      <c r="RRO48" s="37"/>
      <c r="RRP48" s="37"/>
      <c r="RRQ48" s="37"/>
      <c r="RRR48" s="37"/>
      <c r="RRS48" s="37"/>
      <c r="RRT48" s="37"/>
      <c r="RRU48" s="37"/>
      <c r="RRV48" s="37"/>
      <c r="RRW48" s="37"/>
      <c r="RRX48" s="37"/>
      <c r="RRY48" s="37"/>
      <c r="RRZ48" s="37"/>
      <c r="RSA48" s="37"/>
      <c r="RSB48" s="37"/>
      <c r="RSC48" s="37"/>
      <c r="RSD48" s="37"/>
      <c r="RSE48" s="37"/>
      <c r="RSF48" s="37"/>
      <c r="RSG48" s="37"/>
      <c r="RSH48" s="37"/>
      <c r="RSI48" s="37"/>
      <c r="RSJ48" s="37"/>
      <c r="RSK48" s="37"/>
      <c r="RSL48" s="37"/>
      <c r="RSM48" s="37"/>
      <c r="RSN48" s="37"/>
      <c r="RSO48" s="37"/>
      <c r="RSP48" s="37"/>
      <c r="RSQ48" s="37"/>
      <c r="RSR48" s="37"/>
      <c r="RSS48" s="37"/>
      <c r="RST48" s="37"/>
      <c r="RSU48" s="37"/>
      <c r="RSV48" s="37"/>
      <c r="RSW48" s="37"/>
      <c r="RSX48" s="37"/>
      <c r="RSY48" s="37"/>
      <c r="RSZ48" s="37"/>
      <c r="RTA48" s="37"/>
      <c r="RTB48" s="37"/>
      <c r="RTC48" s="37"/>
      <c r="RTD48" s="37"/>
      <c r="RTE48" s="37"/>
      <c r="RTF48" s="37"/>
      <c r="RTG48" s="37"/>
      <c r="RTH48" s="37"/>
      <c r="RTI48" s="37"/>
      <c r="RTJ48" s="37"/>
      <c r="RTK48" s="37"/>
      <c r="RTL48" s="37"/>
      <c r="RTM48" s="37"/>
      <c r="RTN48" s="37"/>
      <c r="RTO48" s="37"/>
      <c r="RTP48" s="37"/>
      <c r="RTQ48" s="37"/>
      <c r="RTR48" s="37"/>
      <c r="RTS48" s="37"/>
      <c r="RTT48" s="37"/>
      <c r="RTU48" s="37"/>
      <c r="RTV48" s="37"/>
      <c r="RTW48" s="37"/>
      <c r="RTX48" s="37"/>
      <c r="RTY48" s="37"/>
      <c r="RTZ48" s="37"/>
      <c r="RUA48" s="37"/>
      <c r="RUB48" s="37"/>
      <c r="RUC48" s="37"/>
      <c r="RUD48" s="37"/>
      <c r="RUE48" s="37"/>
      <c r="RUF48" s="37"/>
      <c r="RUG48" s="37"/>
      <c r="RUH48" s="37"/>
      <c r="RUI48" s="37"/>
      <c r="RUJ48" s="37"/>
      <c r="RUK48" s="37"/>
      <c r="RUL48" s="37"/>
      <c r="RUM48" s="37"/>
      <c r="RUN48" s="37"/>
      <c r="RUO48" s="37"/>
      <c r="RUP48" s="37"/>
      <c r="RUQ48" s="37"/>
      <c r="RUR48" s="37"/>
      <c r="RUS48" s="37"/>
      <c r="RUT48" s="37"/>
      <c r="RUU48" s="37"/>
      <c r="RUV48" s="37"/>
      <c r="RUW48" s="37"/>
      <c r="RUX48" s="37"/>
      <c r="RUY48" s="37"/>
      <c r="RUZ48" s="37"/>
      <c r="RVA48" s="37"/>
      <c r="RVB48" s="37"/>
      <c r="RVC48" s="37"/>
      <c r="RVD48" s="37"/>
      <c r="RVE48" s="37"/>
      <c r="RVF48" s="37"/>
      <c r="RVG48" s="37"/>
      <c r="RVH48" s="37"/>
      <c r="RVI48" s="37"/>
      <c r="RVJ48" s="37"/>
      <c r="RVK48" s="37"/>
      <c r="RVL48" s="37"/>
      <c r="RVM48" s="37"/>
      <c r="RVN48" s="37"/>
      <c r="RVO48" s="37"/>
      <c r="RVP48" s="37"/>
      <c r="RVQ48" s="37"/>
      <c r="RVR48" s="37"/>
      <c r="RVS48" s="37"/>
      <c r="RVT48" s="37"/>
      <c r="RVU48" s="37"/>
      <c r="RVV48" s="37"/>
      <c r="RVW48" s="37"/>
      <c r="RVX48" s="37"/>
      <c r="RVY48" s="37"/>
      <c r="RVZ48" s="37"/>
      <c r="RWA48" s="37"/>
      <c r="RWB48" s="37"/>
      <c r="RWC48" s="37"/>
      <c r="RWD48" s="37"/>
      <c r="RWE48" s="37"/>
      <c r="RWF48" s="37"/>
      <c r="RWG48" s="37"/>
      <c r="RWH48" s="37"/>
      <c r="RWI48" s="37"/>
      <c r="RWJ48" s="37"/>
      <c r="RWK48" s="37"/>
      <c r="RWL48" s="37"/>
      <c r="RWM48" s="37"/>
      <c r="RWN48" s="37"/>
      <c r="RWO48" s="37"/>
      <c r="RWP48" s="37"/>
      <c r="RWQ48" s="37"/>
      <c r="RWR48" s="37"/>
      <c r="RWS48" s="37"/>
      <c r="RWT48" s="37"/>
      <c r="RWU48" s="37"/>
      <c r="RWV48" s="37"/>
      <c r="RWW48" s="37"/>
      <c r="RWX48" s="37"/>
      <c r="RWY48" s="37"/>
      <c r="RWZ48" s="37"/>
      <c r="RXA48" s="37"/>
      <c r="RXB48" s="37"/>
      <c r="RXC48" s="37"/>
      <c r="RXD48" s="37"/>
      <c r="RXE48" s="37"/>
      <c r="RXF48" s="37"/>
      <c r="RXG48" s="37"/>
      <c r="RXH48" s="37"/>
      <c r="RXI48" s="37"/>
      <c r="RXJ48" s="37"/>
      <c r="RXK48" s="37"/>
      <c r="RXL48" s="37"/>
      <c r="RXM48" s="37"/>
      <c r="RXN48" s="37"/>
      <c r="RXO48" s="37"/>
      <c r="RXP48" s="37"/>
      <c r="RXQ48" s="37"/>
      <c r="RXR48" s="37"/>
      <c r="RXS48" s="37"/>
      <c r="RXT48" s="37"/>
      <c r="RXU48" s="37"/>
      <c r="RXV48" s="37"/>
      <c r="RXW48" s="37"/>
      <c r="RXX48" s="37"/>
      <c r="RXY48" s="37"/>
      <c r="RXZ48" s="37"/>
      <c r="RYA48" s="37"/>
      <c r="RYB48" s="37"/>
      <c r="RYC48" s="37"/>
      <c r="RYD48" s="37"/>
      <c r="RYE48" s="37"/>
      <c r="RYF48" s="37"/>
      <c r="RYG48" s="37"/>
      <c r="RYH48" s="37"/>
      <c r="RYI48" s="37"/>
      <c r="RYJ48" s="37"/>
      <c r="RYK48" s="37"/>
      <c r="RYL48" s="37"/>
      <c r="RYM48" s="37"/>
      <c r="RYN48" s="37"/>
      <c r="RYO48" s="37"/>
      <c r="RYP48" s="37"/>
      <c r="RYQ48" s="37"/>
      <c r="RYR48" s="37"/>
      <c r="RYS48" s="37"/>
      <c r="RYT48" s="37"/>
      <c r="RYU48" s="37"/>
      <c r="RYV48" s="37"/>
      <c r="RYW48" s="37"/>
      <c r="RYX48" s="37"/>
      <c r="RYY48" s="37"/>
      <c r="RYZ48" s="37"/>
      <c r="RZA48" s="37"/>
      <c r="RZB48" s="37"/>
      <c r="RZC48" s="37"/>
      <c r="RZD48" s="37"/>
      <c r="RZE48" s="37"/>
      <c r="RZF48" s="37"/>
      <c r="RZG48" s="37"/>
      <c r="RZH48" s="37"/>
      <c r="RZI48" s="37"/>
      <c r="RZJ48" s="37"/>
      <c r="RZK48" s="37"/>
      <c r="RZL48" s="37"/>
      <c r="RZM48" s="37"/>
      <c r="RZN48" s="37"/>
      <c r="RZO48" s="37"/>
      <c r="RZP48" s="37"/>
      <c r="RZQ48" s="37"/>
      <c r="RZR48" s="37"/>
      <c r="RZS48" s="37"/>
      <c r="RZT48" s="37"/>
      <c r="RZU48" s="37"/>
      <c r="RZV48" s="37"/>
      <c r="RZW48" s="37"/>
      <c r="RZX48" s="37"/>
      <c r="RZY48" s="37"/>
      <c r="RZZ48" s="37"/>
      <c r="SAA48" s="37"/>
      <c r="SAB48" s="37"/>
      <c r="SAC48" s="37"/>
      <c r="SAD48" s="37"/>
      <c r="SAE48" s="37"/>
      <c r="SAF48" s="37"/>
      <c r="SAG48" s="37"/>
      <c r="SAH48" s="37"/>
      <c r="SAI48" s="37"/>
      <c r="SAJ48" s="37"/>
      <c r="SAK48" s="37"/>
      <c r="SAL48" s="37"/>
      <c r="SAM48" s="37"/>
      <c r="SAN48" s="37"/>
      <c r="SAO48" s="37"/>
      <c r="SAP48" s="37"/>
      <c r="SAQ48" s="37"/>
      <c r="SAR48" s="37"/>
      <c r="SAS48" s="37"/>
      <c r="SAT48" s="37"/>
      <c r="SAU48" s="37"/>
      <c r="SAV48" s="37"/>
      <c r="SAW48" s="37"/>
      <c r="SAX48" s="37"/>
      <c r="SAY48" s="37"/>
      <c r="SAZ48" s="37"/>
      <c r="SBA48" s="37"/>
      <c r="SBB48" s="37"/>
      <c r="SBC48" s="37"/>
      <c r="SBD48" s="37"/>
      <c r="SBE48" s="37"/>
      <c r="SBF48" s="37"/>
      <c r="SBG48" s="37"/>
      <c r="SBH48" s="37"/>
      <c r="SBI48" s="37"/>
      <c r="SBJ48" s="37"/>
      <c r="SBK48" s="37"/>
      <c r="SBL48" s="37"/>
      <c r="SBM48" s="37"/>
      <c r="SBN48" s="37"/>
      <c r="SBO48" s="37"/>
      <c r="SBP48" s="37"/>
      <c r="SBQ48" s="37"/>
      <c r="SBR48" s="37"/>
      <c r="SBS48" s="37"/>
      <c r="SBT48" s="37"/>
      <c r="SBU48" s="37"/>
      <c r="SBV48" s="37"/>
      <c r="SBW48" s="37"/>
      <c r="SBX48" s="37"/>
      <c r="SBY48" s="37"/>
      <c r="SBZ48" s="37"/>
      <c r="SCA48" s="37"/>
      <c r="SCB48" s="37"/>
      <c r="SCC48" s="37"/>
      <c r="SCD48" s="37"/>
      <c r="SCE48" s="37"/>
      <c r="SCF48" s="37"/>
      <c r="SCG48" s="37"/>
      <c r="SCH48" s="37"/>
      <c r="SCI48" s="37"/>
      <c r="SCJ48" s="37"/>
      <c r="SCK48" s="37"/>
      <c r="SCL48" s="37"/>
      <c r="SCM48" s="37"/>
      <c r="SCN48" s="37"/>
      <c r="SCO48" s="37"/>
      <c r="SCP48" s="37"/>
      <c r="SCQ48" s="37"/>
      <c r="SCR48" s="37"/>
      <c r="SCS48" s="37"/>
      <c r="SCT48" s="37"/>
      <c r="SCU48" s="37"/>
      <c r="SCV48" s="37"/>
      <c r="SCW48" s="37"/>
      <c r="SCX48" s="37"/>
      <c r="SCY48" s="37"/>
      <c r="SCZ48" s="37"/>
      <c r="SDA48" s="37"/>
      <c r="SDB48" s="37"/>
      <c r="SDC48" s="37"/>
      <c r="SDD48" s="37"/>
      <c r="SDE48" s="37"/>
      <c r="SDF48" s="37"/>
      <c r="SDG48" s="37"/>
      <c r="SDH48" s="37"/>
      <c r="SDI48" s="37"/>
      <c r="SDJ48" s="37"/>
      <c r="SDK48" s="37"/>
      <c r="SDL48" s="37"/>
      <c r="SDM48" s="37"/>
      <c r="SDN48" s="37"/>
      <c r="SDO48" s="37"/>
      <c r="SDP48" s="37"/>
      <c r="SDQ48" s="37"/>
      <c r="SDR48" s="37"/>
      <c r="SDS48" s="37"/>
      <c r="SDT48" s="37"/>
      <c r="SDU48" s="37"/>
      <c r="SDV48" s="37"/>
      <c r="SDW48" s="37"/>
      <c r="SDX48" s="37"/>
      <c r="SDY48" s="37"/>
      <c r="SDZ48" s="37"/>
      <c r="SEA48" s="37"/>
      <c r="SEB48" s="37"/>
      <c r="SEC48" s="37"/>
      <c r="SED48" s="37"/>
      <c r="SEE48" s="37"/>
      <c r="SEF48" s="37"/>
      <c r="SEG48" s="37"/>
      <c r="SEH48" s="37"/>
      <c r="SEI48" s="37"/>
      <c r="SEJ48" s="37"/>
      <c r="SEK48" s="37"/>
      <c r="SEL48" s="37"/>
      <c r="SEM48" s="37"/>
      <c r="SEN48" s="37"/>
      <c r="SEO48" s="37"/>
      <c r="SEP48" s="37"/>
      <c r="SEQ48" s="37"/>
      <c r="SER48" s="37"/>
      <c r="SES48" s="37"/>
      <c r="SET48" s="37"/>
      <c r="SEU48" s="37"/>
      <c r="SEV48" s="37"/>
      <c r="SEW48" s="37"/>
      <c r="SEX48" s="37"/>
      <c r="SEY48" s="37"/>
      <c r="SEZ48" s="37"/>
      <c r="SFA48" s="37"/>
      <c r="SFB48" s="37"/>
      <c r="SFC48" s="37"/>
      <c r="SFD48" s="37"/>
      <c r="SFE48" s="37"/>
      <c r="SFF48" s="37"/>
      <c r="SFG48" s="37"/>
      <c r="SFH48" s="37"/>
      <c r="SFI48" s="37"/>
      <c r="SFJ48" s="37"/>
      <c r="SFK48" s="37"/>
      <c r="SFL48" s="37"/>
      <c r="SFM48" s="37"/>
      <c r="SFN48" s="37"/>
      <c r="SFO48" s="37"/>
      <c r="SFP48" s="37"/>
      <c r="SFQ48" s="37"/>
      <c r="SFR48" s="37"/>
      <c r="SFS48" s="37"/>
      <c r="SFT48" s="37"/>
      <c r="SFU48" s="37"/>
      <c r="SFV48" s="37"/>
      <c r="SFW48" s="37"/>
      <c r="SFX48" s="37"/>
      <c r="SFY48" s="37"/>
      <c r="SFZ48" s="37"/>
      <c r="SGA48" s="37"/>
      <c r="SGB48" s="37"/>
      <c r="SGC48" s="37"/>
      <c r="SGD48" s="37"/>
      <c r="SGE48" s="37"/>
      <c r="SGF48" s="37"/>
      <c r="SGG48" s="37"/>
      <c r="SGH48" s="37"/>
      <c r="SGI48" s="37"/>
      <c r="SGJ48" s="37"/>
      <c r="SGK48" s="37"/>
      <c r="SGL48" s="37"/>
      <c r="SGM48" s="37"/>
      <c r="SGN48" s="37"/>
      <c r="SGO48" s="37"/>
      <c r="SGP48" s="37"/>
      <c r="SGQ48" s="37"/>
      <c r="SGR48" s="37"/>
      <c r="SGS48" s="37"/>
      <c r="SGT48" s="37"/>
      <c r="SGU48" s="37"/>
      <c r="SGV48" s="37"/>
      <c r="SGW48" s="37"/>
      <c r="SGX48" s="37"/>
      <c r="SGY48" s="37"/>
      <c r="SGZ48" s="37"/>
      <c r="SHA48" s="37"/>
      <c r="SHB48" s="37"/>
      <c r="SHC48" s="37"/>
      <c r="SHD48" s="37"/>
      <c r="SHE48" s="37"/>
      <c r="SHF48" s="37"/>
      <c r="SHG48" s="37"/>
      <c r="SHH48" s="37"/>
      <c r="SHI48" s="37"/>
      <c r="SHJ48" s="37"/>
      <c r="SHK48" s="37"/>
      <c r="SHL48" s="37"/>
      <c r="SHM48" s="37"/>
      <c r="SHN48" s="37"/>
      <c r="SHO48" s="37"/>
      <c r="SHP48" s="37"/>
      <c r="SHQ48" s="37"/>
      <c r="SHR48" s="37"/>
      <c r="SHS48" s="37"/>
      <c r="SHT48" s="37"/>
      <c r="SHU48" s="37"/>
      <c r="SHV48" s="37"/>
      <c r="SHW48" s="37"/>
      <c r="SHX48" s="37"/>
      <c r="SHY48" s="37"/>
      <c r="SHZ48" s="37"/>
      <c r="SIA48" s="37"/>
      <c r="SIB48" s="37"/>
      <c r="SIC48" s="37"/>
      <c r="SID48" s="37"/>
      <c r="SIE48" s="37"/>
      <c r="SIF48" s="37"/>
      <c r="SIG48" s="37"/>
      <c r="SIH48" s="37"/>
      <c r="SII48" s="37"/>
      <c r="SIJ48" s="37"/>
      <c r="SIK48" s="37"/>
      <c r="SIL48" s="37"/>
      <c r="SIM48" s="37"/>
      <c r="SIN48" s="37"/>
      <c r="SIO48" s="37"/>
      <c r="SIP48" s="37"/>
      <c r="SIQ48" s="37"/>
      <c r="SIR48" s="37"/>
      <c r="SIS48" s="37"/>
      <c r="SIT48" s="37"/>
      <c r="SIU48" s="37"/>
      <c r="SIV48" s="37"/>
      <c r="SIW48" s="37"/>
      <c r="SIX48" s="37"/>
      <c r="SIY48" s="37"/>
      <c r="SIZ48" s="37"/>
      <c r="SJA48" s="37"/>
      <c r="SJB48" s="37"/>
      <c r="SJC48" s="37"/>
      <c r="SJD48" s="37"/>
      <c r="SJE48" s="37"/>
      <c r="SJF48" s="37"/>
      <c r="SJG48" s="37"/>
      <c r="SJH48" s="37"/>
      <c r="SJI48" s="37"/>
      <c r="SJJ48" s="37"/>
      <c r="SJK48" s="37"/>
      <c r="SJL48" s="37"/>
      <c r="SJM48" s="37"/>
      <c r="SJN48" s="37"/>
      <c r="SJO48" s="37"/>
      <c r="SJP48" s="37"/>
      <c r="SJQ48" s="37"/>
      <c r="SJR48" s="37"/>
      <c r="SJS48" s="37"/>
      <c r="SJT48" s="37"/>
      <c r="SJU48" s="37"/>
      <c r="SJV48" s="37"/>
      <c r="SJW48" s="37"/>
      <c r="SJX48" s="37"/>
      <c r="SJY48" s="37"/>
      <c r="SJZ48" s="37"/>
      <c r="SKA48" s="37"/>
      <c r="SKB48" s="37"/>
      <c r="SKC48" s="37"/>
      <c r="SKD48" s="37"/>
      <c r="SKE48" s="37"/>
      <c r="SKF48" s="37"/>
      <c r="SKG48" s="37"/>
      <c r="SKH48" s="37"/>
      <c r="SKI48" s="37"/>
      <c r="SKJ48" s="37"/>
      <c r="SKK48" s="37"/>
      <c r="SKL48" s="37"/>
      <c r="SKM48" s="37"/>
      <c r="SKN48" s="37"/>
      <c r="SKO48" s="37"/>
      <c r="SKP48" s="37"/>
      <c r="SKQ48" s="37"/>
      <c r="SKR48" s="37"/>
      <c r="SKS48" s="37"/>
      <c r="SKT48" s="37"/>
      <c r="SKU48" s="37"/>
      <c r="SKV48" s="37"/>
      <c r="SKW48" s="37"/>
      <c r="SKX48" s="37"/>
      <c r="SKY48" s="37"/>
      <c r="SKZ48" s="37"/>
      <c r="SLA48" s="37"/>
      <c r="SLB48" s="37"/>
      <c r="SLC48" s="37"/>
      <c r="SLD48" s="37"/>
      <c r="SLE48" s="37"/>
      <c r="SLF48" s="37"/>
      <c r="SLG48" s="37"/>
      <c r="SLH48" s="37"/>
      <c r="SLI48" s="37"/>
      <c r="SLJ48" s="37"/>
      <c r="SLK48" s="37"/>
      <c r="SLL48" s="37"/>
      <c r="SLM48" s="37"/>
      <c r="SLN48" s="37"/>
      <c r="SLO48" s="37"/>
      <c r="SLP48" s="37"/>
      <c r="SLQ48" s="37"/>
      <c r="SLR48" s="37"/>
      <c r="SLS48" s="37"/>
      <c r="SLT48" s="37"/>
      <c r="SLU48" s="37"/>
      <c r="SLV48" s="37"/>
      <c r="SLW48" s="37"/>
      <c r="SLX48" s="37"/>
      <c r="SLY48" s="37"/>
      <c r="SLZ48" s="37"/>
      <c r="SMA48" s="37"/>
      <c r="SMB48" s="37"/>
      <c r="SMC48" s="37"/>
      <c r="SMD48" s="37"/>
      <c r="SME48" s="37"/>
      <c r="SMF48" s="37"/>
      <c r="SMG48" s="37"/>
      <c r="SMH48" s="37"/>
      <c r="SMI48" s="37"/>
      <c r="SMJ48" s="37"/>
      <c r="SMK48" s="37"/>
      <c r="SML48" s="37"/>
      <c r="SMM48" s="37"/>
      <c r="SMN48" s="37"/>
      <c r="SMO48" s="37"/>
      <c r="SMP48" s="37"/>
      <c r="SMQ48" s="37"/>
      <c r="SMR48" s="37"/>
      <c r="SMS48" s="37"/>
      <c r="SMT48" s="37"/>
      <c r="SMU48" s="37"/>
      <c r="SMV48" s="37"/>
      <c r="SMW48" s="37"/>
      <c r="SMX48" s="37"/>
      <c r="SMY48" s="37"/>
      <c r="SMZ48" s="37"/>
      <c r="SNA48" s="37"/>
      <c r="SNB48" s="37"/>
      <c r="SNC48" s="37"/>
      <c r="SND48" s="37"/>
      <c r="SNE48" s="37"/>
      <c r="SNF48" s="37"/>
      <c r="SNG48" s="37"/>
      <c r="SNH48" s="37"/>
      <c r="SNI48" s="37"/>
      <c r="SNJ48" s="37"/>
      <c r="SNK48" s="37"/>
      <c r="SNL48" s="37"/>
      <c r="SNM48" s="37"/>
      <c r="SNN48" s="37"/>
      <c r="SNO48" s="37"/>
      <c r="SNP48" s="37"/>
      <c r="SNQ48" s="37"/>
      <c r="SNR48" s="37"/>
      <c r="SNS48" s="37"/>
      <c r="SNT48" s="37"/>
      <c r="SNU48" s="37"/>
      <c r="SNV48" s="37"/>
      <c r="SNW48" s="37"/>
      <c r="SNX48" s="37"/>
      <c r="SNY48" s="37"/>
      <c r="SNZ48" s="37"/>
      <c r="SOA48" s="37"/>
      <c r="SOB48" s="37"/>
      <c r="SOC48" s="37"/>
      <c r="SOD48" s="37"/>
      <c r="SOE48" s="37"/>
      <c r="SOF48" s="37"/>
      <c r="SOG48" s="37"/>
      <c r="SOH48" s="37"/>
      <c r="SOI48" s="37"/>
      <c r="SOJ48" s="37"/>
      <c r="SOK48" s="37"/>
      <c r="SOL48" s="37"/>
      <c r="SOM48" s="37"/>
      <c r="SON48" s="37"/>
      <c r="SOO48" s="37"/>
      <c r="SOP48" s="37"/>
      <c r="SOQ48" s="37"/>
      <c r="SOR48" s="37"/>
      <c r="SOS48" s="37"/>
      <c r="SOT48" s="37"/>
      <c r="SOU48" s="37"/>
      <c r="SOV48" s="37"/>
      <c r="SOW48" s="37"/>
      <c r="SOX48" s="37"/>
      <c r="SOY48" s="37"/>
      <c r="SOZ48" s="37"/>
      <c r="SPA48" s="37"/>
      <c r="SPB48" s="37"/>
      <c r="SPC48" s="37"/>
      <c r="SPD48" s="37"/>
      <c r="SPE48" s="37"/>
      <c r="SPF48" s="37"/>
      <c r="SPG48" s="37"/>
      <c r="SPH48" s="37"/>
      <c r="SPI48" s="37"/>
      <c r="SPJ48" s="37"/>
      <c r="SPK48" s="37"/>
      <c r="SPL48" s="37"/>
      <c r="SPM48" s="37"/>
      <c r="SPN48" s="37"/>
      <c r="SPO48" s="37"/>
      <c r="SPP48" s="37"/>
      <c r="SPQ48" s="37"/>
      <c r="SPR48" s="37"/>
      <c r="SPS48" s="37"/>
      <c r="SPT48" s="37"/>
      <c r="SPU48" s="37"/>
      <c r="SPV48" s="37"/>
      <c r="SPW48" s="37"/>
      <c r="SPX48" s="37"/>
      <c r="SPY48" s="37"/>
      <c r="SPZ48" s="37"/>
      <c r="SQA48" s="37"/>
      <c r="SQB48" s="37"/>
      <c r="SQC48" s="37"/>
      <c r="SQD48" s="37"/>
      <c r="SQE48" s="37"/>
      <c r="SQF48" s="37"/>
      <c r="SQG48" s="37"/>
      <c r="SQH48" s="37"/>
      <c r="SQI48" s="37"/>
      <c r="SQJ48" s="37"/>
      <c r="SQK48" s="37"/>
      <c r="SQL48" s="37"/>
      <c r="SQM48" s="37"/>
      <c r="SQN48" s="37"/>
      <c r="SQO48" s="37"/>
      <c r="SQP48" s="37"/>
      <c r="SQQ48" s="37"/>
      <c r="SQR48" s="37"/>
      <c r="SQS48" s="37"/>
      <c r="SQT48" s="37"/>
      <c r="SQU48" s="37"/>
      <c r="SQV48" s="37"/>
      <c r="SQW48" s="37"/>
      <c r="SQX48" s="37"/>
      <c r="SQY48" s="37"/>
      <c r="SQZ48" s="37"/>
      <c r="SRA48" s="37"/>
      <c r="SRB48" s="37"/>
      <c r="SRC48" s="37"/>
      <c r="SRD48" s="37"/>
      <c r="SRE48" s="37"/>
      <c r="SRF48" s="37"/>
      <c r="SRG48" s="37"/>
      <c r="SRH48" s="37"/>
      <c r="SRI48" s="37"/>
      <c r="SRJ48" s="37"/>
      <c r="SRK48" s="37"/>
      <c r="SRL48" s="37"/>
      <c r="SRM48" s="37"/>
      <c r="SRN48" s="37"/>
      <c r="SRO48" s="37"/>
      <c r="SRP48" s="37"/>
      <c r="SRQ48" s="37"/>
      <c r="SRR48" s="37"/>
      <c r="SRS48" s="37"/>
      <c r="SRT48" s="37"/>
      <c r="SRU48" s="37"/>
      <c r="SRV48" s="37"/>
      <c r="SRW48" s="37"/>
      <c r="SRX48" s="37"/>
      <c r="SRY48" s="37"/>
      <c r="SRZ48" s="37"/>
      <c r="SSA48" s="37"/>
      <c r="SSB48" s="37"/>
      <c r="SSC48" s="37"/>
      <c r="SSD48" s="37"/>
      <c r="SSE48" s="37"/>
      <c r="SSF48" s="37"/>
      <c r="SSG48" s="37"/>
      <c r="SSH48" s="37"/>
      <c r="SSI48" s="37"/>
      <c r="SSJ48" s="37"/>
      <c r="SSK48" s="37"/>
      <c r="SSL48" s="37"/>
      <c r="SSM48" s="37"/>
      <c r="SSN48" s="37"/>
      <c r="SSO48" s="37"/>
      <c r="SSP48" s="37"/>
      <c r="SSQ48" s="37"/>
      <c r="SSR48" s="37"/>
      <c r="SSS48" s="37"/>
      <c r="SST48" s="37"/>
      <c r="SSU48" s="37"/>
      <c r="SSV48" s="37"/>
      <c r="SSW48" s="37"/>
      <c r="SSX48" s="37"/>
      <c r="SSY48" s="37"/>
      <c r="SSZ48" s="37"/>
      <c r="STA48" s="37"/>
      <c r="STB48" s="37"/>
      <c r="STC48" s="37"/>
      <c r="STD48" s="37"/>
      <c r="STE48" s="37"/>
      <c r="STF48" s="37"/>
      <c r="STG48" s="37"/>
      <c r="STH48" s="37"/>
      <c r="STI48" s="37"/>
      <c r="STJ48" s="37"/>
      <c r="STK48" s="37"/>
      <c r="STL48" s="37"/>
      <c r="STM48" s="37"/>
      <c r="STN48" s="37"/>
      <c r="STO48" s="37"/>
      <c r="STP48" s="37"/>
      <c r="STQ48" s="37"/>
      <c r="STR48" s="37"/>
      <c r="STS48" s="37"/>
      <c r="STT48" s="37"/>
      <c r="STU48" s="37"/>
      <c r="STV48" s="37"/>
      <c r="STW48" s="37"/>
      <c r="STX48" s="37"/>
      <c r="STY48" s="37"/>
      <c r="STZ48" s="37"/>
      <c r="SUA48" s="37"/>
      <c r="SUB48" s="37"/>
      <c r="SUC48" s="37"/>
      <c r="SUD48" s="37"/>
      <c r="SUE48" s="37"/>
      <c r="SUF48" s="37"/>
      <c r="SUG48" s="37"/>
      <c r="SUH48" s="37"/>
      <c r="SUI48" s="37"/>
      <c r="SUJ48" s="37"/>
      <c r="SUK48" s="37"/>
      <c r="SUL48" s="37"/>
      <c r="SUM48" s="37"/>
      <c r="SUN48" s="37"/>
      <c r="SUO48" s="37"/>
      <c r="SUP48" s="37"/>
      <c r="SUQ48" s="37"/>
      <c r="SUR48" s="37"/>
      <c r="SUS48" s="37"/>
      <c r="SUT48" s="37"/>
      <c r="SUU48" s="37"/>
      <c r="SUV48" s="37"/>
      <c r="SUW48" s="37"/>
      <c r="SUX48" s="37"/>
      <c r="SUY48" s="37"/>
      <c r="SUZ48" s="37"/>
      <c r="SVA48" s="37"/>
      <c r="SVB48" s="37"/>
      <c r="SVC48" s="37"/>
      <c r="SVD48" s="37"/>
      <c r="SVE48" s="37"/>
      <c r="SVF48" s="37"/>
      <c r="SVG48" s="37"/>
      <c r="SVH48" s="37"/>
      <c r="SVI48" s="37"/>
      <c r="SVJ48" s="37"/>
      <c r="SVK48" s="37"/>
      <c r="SVL48" s="37"/>
      <c r="SVM48" s="37"/>
      <c r="SVN48" s="37"/>
      <c r="SVO48" s="37"/>
      <c r="SVP48" s="37"/>
      <c r="SVQ48" s="37"/>
      <c r="SVR48" s="37"/>
      <c r="SVS48" s="37"/>
      <c r="SVT48" s="37"/>
      <c r="SVU48" s="37"/>
      <c r="SVV48" s="37"/>
      <c r="SVW48" s="37"/>
      <c r="SVX48" s="37"/>
      <c r="SVY48" s="37"/>
      <c r="SVZ48" s="37"/>
      <c r="SWA48" s="37"/>
      <c r="SWB48" s="37"/>
      <c r="SWC48" s="37"/>
      <c r="SWD48" s="37"/>
      <c r="SWE48" s="37"/>
      <c r="SWF48" s="37"/>
      <c r="SWG48" s="37"/>
      <c r="SWH48" s="37"/>
      <c r="SWI48" s="37"/>
      <c r="SWJ48" s="37"/>
      <c r="SWK48" s="37"/>
      <c r="SWL48" s="37"/>
      <c r="SWM48" s="37"/>
      <c r="SWN48" s="37"/>
      <c r="SWO48" s="37"/>
      <c r="SWP48" s="37"/>
      <c r="SWQ48" s="37"/>
      <c r="SWR48" s="37"/>
      <c r="SWS48" s="37"/>
      <c r="SWT48" s="37"/>
      <c r="SWU48" s="37"/>
      <c r="SWV48" s="37"/>
      <c r="SWW48" s="37"/>
      <c r="SWX48" s="37"/>
      <c r="SWY48" s="37"/>
      <c r="SWZ48" s="37"/>
      <c r="SXA48" s="37"/>
      <c r="SXB48" s="37"/>
      <c r="SXC48" s="37"/>
      <c r="SXD48" s="37"/>
      <c r="SXE48" s="37"/>
      <c r="SXF48" s="37"/>
      <c r="SXG48" s="37"/>
      <c r="SXH48" s="37"/>
      <c r="SXI48" s="37"/>
      <c r="SXJ48" s="37"/>
      <c r="SXK48" s="37"/>
      <c r="SXL48" s="37"/>
      <c r="SXM48" s="37"/>
      <c r="SXN48" s="37"/>
      <c r="SXO48" s="37"/>
      <c r="SXP48" s="37"/>
      <c r="SXQ48" s="37"/>
      <c r="SXR48" s="37"/>
      <c r="SXS48" s="37"/>
      <c r="SXT48" s="37"/>
      <c r="SXU48" s="37"/>
      <c r="SXV48" s="37"/>
      <c r="SXW48" s="37"/>
      <c r="SXX48" s="37"/>
      <c r="SXY48" s="37"/>
      <c r="SXZ48" s="37"/>
      <c r="SYA48" s="37"/>
      <c r="SYB48" s="37"/>
      <c r="SYC48" s="37"/>
      <c r="SYD48" s="37"/>
      <c r="SYE48" s="37"/>
      <c r="SYF48" s="37"/>
      <c r="SYG48" s="37"/>
      <c r="SYH48" s="37"/>
      <c r="SYI48" s="37"/>
      <c r="SYJ48" s="37"/>
      <c r="SYK48" s="37"/>
      <c r="SYL48" s="37"/>
      <c r="SYM48" s="37"/>
      <c r="SYN48" s="37"/>
      <c r="SYO48" s="37"/>
      <c r="SYP48" s="37"/>
      <c r="SYQ48" s="37"/>
      <c r="SYR48" s="37"/>
      <c r="SYS48" s="37"/>
      <c r="SYT48" s="37"/>
      <c r="SYU48" s="37"/>
      <c r="SYV48" s="37"/>
      <c r="SYW48" s="37"/>
      <c r="SYX48" s="37"/>
      <c r="SYY48" s="37"/>
      <c r="SYZ48" s="37"/>
      <c r="SZA48" s="37"/>
      <c r="SZB48" s="37"/>
      <c r="SZC48" s="37"/>
      <c r="SZD48" s="37"/>
      <c r="SZE48" s="37"/>
      <c r="SZF48" s="37"/>
      <c r="SZG48" s="37"/>
      <c r="SZH48" s="37"/>
      <c r="SZI48" s="37"/>
      <c r="SZJ48" s="37"/>
      <c r="SZK48" s="37"/>
      <c r="SZL48" s="37"/>
      <c r="SZM48" s="37"/>
      <c r="SZN48" s="37"/>
      <c r="SZO48" s="37"/>
      <c r="SZP48" s="37"/>
      <c r="SZQ48" s="37"/>
      <c r="SZR48" s="37"/>
      <c r="SZS48" s="37"/>
      <c r="SZT48" s="37"/>
      <c r="SZU48" s="37"/>
      <c r="SZV48" s="37"/>
      <c r="SZW48" s="37"/>
      <c r="SZX48" s="37"/>
      <c r="SZY48" s="37"/>
      <c r="SZZ48" s="37"/>
      <c r="TAA48" s="37"/>
      <c r="TAB48" s="37"/>
      <c r="TAC48" s="37"/>
      <c r="TAD48" s="37"/>
      <c r="TAE48" s="37"/>
      <c r="TAF48" s="37"/>
      <c r="TAG48" s="37"/>
      <c r="TAH48" s="37"/>
      <c r="TAI48" s="37"/>
      <c r="TAJ48" s="37"/>
      <c r="TAK48" s="37"/>
      <c r="TAL48" s="37"/>
      <c r="TAM48" s="37"/>
      <c r="TAN48" s="37"/>
      <c r="TAO48" s="37"/>
      <c r="TAP48" s="37"/>
      <c r="TAQ48" s="37"/>
      <c r="TAR48" s="37"/>
      <c r="TAS48" s="37"/>
      <c r="TAT48" s="37"/>
      <c r="TAU48" s="37"/>
      <c r="TAV48" s="37"/>
      <c r="TAW48" s="37"/>
      <c r="TAX48" s="37"/>
      <c r="TAY48" s="37"/>
      <c r="TAZ48" s="37"/>
      <c r="TBA48" s="37"/>
      <c r="TBB48" s="37"/>
      <c r="TBC48" s="37"/>
      <c r="TBD48" s="37"/>
      <c r="TBE48" s="37"/>
      <c r="TBF48" s="37"/>
      <c r="TBG48" s="37"/>
      <c r="TBH48" s="37"/>
      <c r="TBI48" s="37"/>
      <c r="TBJ48" s="37"/>
      <c r="TBK48" s="37"/>
      <c r="TBL48" s="37"/>
      <c r="TBM48" s="37"/>
      <c r="TBN48" s="37"/>
      <c r="TBO48" s="37"/>
      <c r="TBP48" s="37"/>
      <c r="TBQ48" s="37"/>
      <c r="TBR48" s="37"/>
      <c r="TBS48" s="37"/>
      <c r="TBT48" s="37"/>
      <c r="TBU48" s="37"/>
      <c r="TBV48" s="37"/>
      <c r="TBW48" s="37"/>
      <c r="TBX48" s="37"/>
      <c r="TBY48" s="37"/>
      <c r="TBZ48" s="37"/>
      <c r="TCA48" s="37"/>
      <c r="TCB48" s="37"/>
      <c r="TCC48" s="37"/>
      <c r="TCD48" s="37"/>
      <c r="TCE48" s="37"/>
      <c r="TCF48" s="37"/>
      <c r="TCG48" s="37"/>
      <c r="TCH48" s="37"/>
      <c r="TCI48" s="37"/>
      <c r="TCJ48" s="37"/>
      <c r="TCK48" s="37"/>
      <c r="TCL48" s="37"/>
      <c r="TCM48" s="37"/>
      <c r="TCN48" s="37"/>
      <c r="TCO48" s="37"/>
      <c r="TCP48" s="37"/>
      <c r="TCQ48" s="37"/>
      <c r="TCR48" s="37"/>
      <c r="TCS48" s="37"/>
      <c r="TCT48" s="37"/>
      <c r="TCU48" s="37"/>
      <c r="TCV48" s="37"/>
      <c r="TCW48" s="37"/>
      <c r="TCX48" s="37"/>
      <c r="TCY48" s="37"/>
      <c r="TCZ48" s="37"/>
      <c r="TDA48" s="37"/>
      <c r="TDB48" s="37"/>
      <c r="TDC48" s="37"/>
      <c r="TDD48" s="37"/>
      <c r="TDE48" s="37"/>
      <c r="TDF48" s="37"/>
      <c r="TDG48" s="37"/>
      <c r="TDH48" s="37"/>
      <c r="TDI48" s="37"/>
      <c r="TDJ48" s="37"/>
      <c r="TDK48" s="37"/>
      <c r="TDL48" s="37"/>
      <c r="TDM48" s="37"/>
      <c r="TDN48" s="37"/>
      <c r="TDO48" s="37"/>
      <c r="TDP48" s="37"/>
      <c r="TDQ48" s="37"/>
      <c r="TDR48" s="37"/>
      <c r="TDS48" s="37"/>
      <c r="TDT48" s="37"/>
      <c r="TDU48" s="37"/>
      <c r="TDV48" s="37"/>
      <c r="TDW48" s="37"/>
      <c r="TDX48" s="37"/>
      <c r="TDY48" s="37"/>
      <c r="TDZ48" s="37"/>
      <c r="TEA48" s="37"/>
      <c r="TEB48" s="37"/>
      <c r="TEC48" s="37"/>
      <c r="TED48" s="37"/>
      <c r="TEE48" s="37"/>
      <c r="TEF48" s="37"/>
      <c r="TEG48" s="37"/>
      <c r="TEH48" s="37"/>
      <c r="TEI48" s="37"/>
      <c r="TEJ48" s="37"/>
      <c r="TEK48" s="37"/>
      <c r="TEL48" s="37"/>
      <c r="TEM48" s="37"/>
      <c r="TEN48" s="37"/>
      <c r="TEO48" s="37"/>
      <c r="TEP48" s="37"/>
      <c r="TEQ48" s="37"/>
      <c r="TER48" s="37"/>
      <c r="TES48" s="37"/>
      <c r="TET48" s="37"/>
      <c r="TEU48" s="37"/>
      <c r="TEV48" s="37"/>
      <c r="TEW48" s="37"/>
      <c r="TEX48" s="37"/>
      <c r="TEY48" s="37"/>
      <c r="TEZ48" s="37"/>
      <c r="TFA48" s="37"/>
      <c r="TFB48" s="37"/>
      <c r="TFC48" s="37"/>
      <c r="TFD48" s="37"/>
      <c r="TFE48" s="37"/>
      <c r="TFF48" s="37"/>
      <c r="TFG48" s="37"/>
      <c r="TFH48" s="37"/>
      <c r="TFI48" s="37"/>
      <c r="TFJ48" s="37"/>
      <c r="TFK48" s="37"/>
      <c r="TFL48" s="37"/>
      <c r="TFM48" s="37"/>
      <c r="TFN48" s="37"/>
      <c r="TFO48" s="37"/>
      <c r="TFP48" s="37"/>
      <c r="TFQ48" s="37"/>
      <c r="TFR48" s="37"/>
      <c r="TFS48" s="37"/>
      <c r="TFT48" s="37"/>
      <c r="TFU48" s="37"/>
      <c r="TFV48" s="37"/>
      <c r="TFW48" s="37"/>
      <c r="TFX48" s="37"/>
      <c r="TFY48" s="37"/>
      <c r="TFZ48" s="37"/>
      <c r="TGA48" s="37"/>
      <c r="TGB48" s="37"/>
      <c r="TGC48" s="37"/>
      <c r="TGD48" s="37"/>
      <c r="TGE48" s="37"/>
      <c r="TGF48" s="37"/>
      <c r="TGG48" s="37"/>
      <c r="TGH48" s="37"/>
      <c r="TGI48" s="37"/>
      <c r="TGJ48" s="37"/>
      <c r="TGK48" s="37"/>
      <c r="TGL48" s="37"/>
      <c r="TGM48" s="37"/>
      <c r="TGN48" s="37"/>
      <c r="TGO48" s="37"/>
      <c r="TGP48" s="37"/>
      <c r="TGQ48" s="37"/>
      <c r="TGR48" s="37"/>
      <c r="TGS48" s="37"/>
      <c r="TGT48" s="37"/>
      <c r="TGU48" s="37"/>
      <c r="TGV48" s="37"/>
      <c r="TGW48" s="37"/>
      <c r="TGX48" s="37"/>
      <c r="TGY48" s="37"/>
      <c r="TGZ48" s="37"/>
      <c r="THA48" s="37"/>
      <c r="THB48" s="37"/>
      <c r="THC48" s="37"/>
      <c r="THD48" s="37"/>
      <c r="THE48" s="37"/>
      <c r="THF48" s="37"/>
      <c r="THG48" s="37"/>
      <c r="THH48" s="37"/>
      <c r="THI48" s="37"/>
      <c r="THJ48" s="37"/>
      <c r="THK48" s="37"/>
      <c r="THL48" s="37"/>
      <c r="THM48" s="37"/>
      <c r="THN48" s="37"/>
      <c r="THO48" s="37"/>
      <c r="THP48" s="37"/>
      <c r="THQ48" s="37"/>
      <c r="THR48" s="37"/>
      <c r="THS48" s="37"/>
      <c r="THT48" s="37"/>
      <c r="THU48" s="37"/>
      <c r="THV48" s="37"/>
      <c r="THW48" s="37"/>
      <c r="THX48" s="37"/>
      <c r="THY48" s="37"/>
      <c r="THZ48" s="37"/>
      <c r="TIA48" s="37"/>
      <c r="TIB48" s="37"/>
      <c r="TIC48" s="37"/>
      <c r="TID48" s="37"/>
      <c r="TIE48" s="37"/>
      <c r="TIF48" s="37"/>
      <c r="TIG48" s="37"/>
      <c r="TIH48" s="37"/>
      <c r="TII48" s="37"/>
      <c r="TIJ48" s="37"/>
      <c r="TIK48" s="37"/>
      <c r="TIL48" s="37"/>
      <c r="TIM48" s="37"/>
      <c r="TIN48" s="37"/>
      <c r="TIO48" s="37"/>
      <c r="TIP48" s="37"/>
      <c r="TIQ48" s="37"/>
      <c r="TIR48" s="37"/>
      <c r="TIS48" s="37"/>
      <c r="TIT48" s="37"/>
      <c r="TIU48" s="37"/>
      <c r="TIV48" s="37"/>
      <c r="TIW48" s="37"/>
      <c r="TIX48" s="37"/>
      <c r="TIY48" s="37"/>
      <c r="TIZ48" s="37"/>
      <c r="TJA48" s="37"/>
      <c r="TJB48" s="37"/>
      <c r="TJC48" s="37"/>
      <c r="TJD48" s="37"/>
      <c r="TJE48" s="37"/>
      <c r="TJF48" s="37"/>
      <c r="TJG48" s="37"/>
      <c r="TJH48" s="37"/>
      <c r="TJI48" s="37"/>
      <c r="TJJ48" s="37"/>
      <c r="TJK48" s="37"/>
      <c r="TJL48" s="37"/>
      <c r="TJM48" s="37"/>
      <c r="TJN48" s="37"/>
      <c r="TJO48" s="37"/>
      <c r="TJP48" s="37"/>
      <c r="TJQ48" s="37"/>
      <c r="TJR48" s="37"/>
      <c r="TJS48" s="37"/>
      <c r="TJT48" s="37"/>
      <c r="TJU48" s="37"/>
      <c r="TJV48" s="37"/>
      <c r="TJW48" s="37"/>
      <c r="TJX48" s="37"/>
      <c r="TJY48" s="37"/>
      <c r="TJZ48" s="37"/>
      <c r="TKA48" s="37"/>
      <c r="TKB48" s="37"/>
      <c r="TKC48" s="37"/>
      <c r="TKD48" s="37"/>
      <c r="TKE48" s="37"/>
      <c r="TKF48" s="37"/>
      <c r="TKG48" s="37"/>
      <c r="TKH48" s="37"/>
      <c r="TKI48" s="37"/>
      <c r="TKJ48" s="37"/>
      <c r="TKK48" s="37"/>
      <c r="TKL48" s="37"/>
      <c r="TKM48" s="37"/>
      <c r="TKN48" s="37"/>
      <c r="TKO48" s="37"/>
      <c r="TKP48" s="37"/>
      <c r="TKQ48" s="37"/>
      <c r="TKR48" s="37"/>
      <c r="TKS48" s="37"/>
      <c r="TKT48" s="37"/>
      <c r="TKU48" s="37"/>
      <c r="TKV48" s="37"/>
      <c r="TKW48" s="37"/>
      <c r="TKX48" s="37"/>
      <c r="TKY48" s="37"/>
      <c r="TKZ48" s="37"/>
      <c r="TLA48" s="37"/>
      <c r="TLB48" s="37"/>
      <c r="TLC48" s="37"/>
      <c r="TLD48" s="37"/>
      <c r="TLE48" s="37"/>
      <c r="TLF48" s="37"/>
      <c r="TLG48" s="37"/>
      <c r="TLH48" s="37"/>
      <c r="TLI48" s="37"/>
      <c r="TLJ48" s="37"/>
      <c r="TLK48" s="37"/>
      <c r="TLL48" s="37"/>
      <c r="TLM48" s="37"/>
      <c r="TLN48" s="37"/>
      <c r="TLO48" s="37"/>
      <c r="TLP48" s="37"/>
      <c r="TLQ48" s="37"/>
      <c r="TLR48" s="37"/>
      <c r="TLS48" s="37"/>
      <c r="TLT48" s="37"/>
      <c r="TLU48" s="37"/>
      <c r="TLV48" s="37"/>
      <c r="TLW48" s="37"/>
      <c r="TLX48" s="37"/>
      <c r="TLY48" s="37"/>
      <c r="TLZ48" s="37"/>
      <c r="TMA48" s="37"/>
      <c r="TMB48" s="37"/>
      <c r="TMC48" s="37"/>
      <c r="TMD48" s="37"/>
      <c r="TME48" s="37"/>
      <c r="TMF48" s="37"/>
      <c r="TMG48" s="37"/>
      <c r="TMH48" s="37"/>
      <c r="TMI48" s="37"/>
      <c r="TMJ48" s="37"/>
      <c r="TMK48" s="37"/>
      <c r="TML48" s="37"/>
      <c r="TMM48" s="37"/>
      <c r="TMN48" s="37"/>
      <c r="TMO48" s="37"/>
      <c r="TMP48" s="37"/>
      <c r="TMQ48" s="37"/>
      <c r="TMR48" s="37"/>
      <c r="TMS48" s="37"/>
      <c r="TMT48" s="37"/>
      <c r="TMU48" s="37"/>
      <c r="TMV48" s="37"/>
      <c r="TMW48" s="37"/>
      <c r="TMX48" s="37"/>
      <c r="TMY48" s="37"/>
      <c r="TMZ48" s="37"/>
      <c r="TNA48" s="37"/>
      <c r="TNB48" s="37"/>
      <c r="TNC48" s="37"/>
      <c r="TND48" s="37"/>
      <c r="TNE48" s="37"/>
      <c r="TNF48" s="37"/>
      <c r="TNG48" s="37"/>
      <c r="TNH48" s="37"/>
      <c r="TNI48" s="37"/>
      <c r="TNJ48" s="37"/>
      <c r="TNK48" s="37"/>
      <c r="TNL48" s="37"/>
      <c r="TNM48" s="37"/>
      <c r="TNN48" s="37"/>
      <c r="TNO48" s="37"/>
      <c r="TNP48" s="37"/>
      <c r="TNQ48" s="37"/>
      <c r="TNR48" s="37"/>
      <c r="TNS48" s="37"/>
      <c r="TNT48" s="37"/>
      <c r="TNU48" s="37"/>
      <c r="TNV48" s="37"/>
      <c r="TNW48" s="37"/>
      <c r="TNX48" s="37"/>
      <c r="TNY48" s="37"/>
      <c r="TNZ48" s="37"/>
      <c r="TOA48" s="37"/>
      <c r="TOB48" s="37"/>
      <c r="TOC48" s="37"/>
      <c r="TOD48" s="37"/>
      <c r="TOE48" s="37"/>
      <c r="TOF48" s="37"/>
      <c r="TOG48" s="37"/>
      <c r="TOH48" s="37"/>
      <c r="TOI48" s="37"/>
      <c r="TOJ48" s="37"/>
      <c r="TOK48" s="37"/>
      <c r="TOL48" s="37"/>
      <c r="TOM48" s="37"/>
      <c r="TON48" s="37"/>
      <c r="TOO48" s="37"/>
      <c r="TOP48" s="37"/>
      <c r="TOQ48" s="37"/>
      <c r="TOR48" s="37"/>
      <c r="TOS48" s="37"/>
      <c r="TOT48" s="37"/>
      <c r="TOU48" s="37"/>
      <c r="TOV48" s="37"/>
      <c r="TOW48" s="37"/>
      <c r="TOX48" s="37"/>
      <c r="TOY48" s="37"/>
      <c r="TOZ48" s="37"/>
      <c r="TPA48" s="37"/>
      <c r="TPB48" s="37"/>
      <c r="TPC48" s="37"/>
      <c r="TPD48" s="37"/>
      <c r="TPE48" s="37"/>
      <c r="TPF48" s="37"/>
      <c r="TPG48" s="37"/>
      <c r="TPH48" s="37"/>
      <c r="TPI48" s="37"/>
      <c r="TPJ48" s="37"/>
      <c r="TPK48" s="37"/>
      <c r="TPL48" s="37"/>
      <c r="TPM48" s="37"/>
      <c r="TPN48" s="37"/>
      <c r="TPO48" s="37"/>
      <c r="TPP48" s="37"/>
      <c r="TPQ48" s="37"/>
      <c r="TPR48" s="37"/>
      <c r="TPS48" s="37"/>
      <c r="TPT48" s="37"/>
      <c r="TPU48" s="37"/>
      <c r="TPV48" s="37"/>
      <c r="TPW48" s="37"/>
      <c r="TPX48" s="37"/>
      <c r="TPY48" s="37"/>
      <c r="TPZ48" s="37"/>
      <c r="TQA48" s="37"/>
      <c r="TQB48" s="37"/>
      <c r="TQC48" s="37"/>
      <c r="TQD48" s="37"/>
      <c r="TQE48" s="37"/>
      <c r="TQF48" s="37"/>
      <c r="TQG48" s="37"/>
      <c r="TQH48" s="37"/>
      <c r="TQI48" s="37"/>
      <c r="TQJ48" s="37"/>
      <c r="TQK48" s="37"/>
      <c r="TQL48" s="37"/>
      <c r="TQM48" s="37"/>
      <c r="TQN48" s="37"/>
      <c r="TQO48" s="37"/>
      <c r="TQP48" s="37"/>
      <c r="TQQ48" s="37"/>
      <c r="TQR48" s="37"/>
      <c r="TQS48" s="37"/>
      <c r="TQT48" s="37"/>
      <c r="TQU48" s="37"/>
      <c r="TQV48" s="37"/>
      <c r="TQW48" s="37"/>
      <c r="TQX48" s="37"/>
      <c r="TQY48" s="37"/>
      <c r="TQZ48" s="37"/>
      <c r="TRA48" s="37"/>
      <c r="TRB48" s="37"/>
      <c r="TRC48" s="37"/>
      <c r="TRD48" s="37"/>
      <c r="TRE48" s="37"/>
      <c r="TRF48" s="37"/>
      <c r="TRG48" s="37"/>
      <c r="TRH48" s="37"/>
      <c r="TRI48" s="37"/>
      <c r="TRJ48" s="37"/>
      <c r="TRK48" s="37"/>
      <c r="TRL48" s="37"/>
      <c r="TRM48" s="37"/>
      <c r="TRN48" s="37"/>
      <c r="TRO48" s="37"/>
      <c r="TRP48" s="37"/>
      <c r="TRQ48" s="37"/>
      <c r="TRR48" s="37"/>
      <c r="TRS48" s="37"/>
      <c r="TRT48" s="37"/>
      <c r="TRU48" s="37"/>
      <c r="TRV48" s="37"/>
      <c r="TRW48" s="37"/>
      <c r="TRX48" s="37"/>
      <c r="TRY48" s="37"/>
      <c r="TRZ48" s="37"/>
      <c r="TSA48" s="37"/>
      <c r="TSB48" s="37"/>
      <c r="TSC48" s="37"/>
      <c r="TSD48" s="37"/>
      <c r="TSE48" s="37"/>
      <c r="TSF48" s="37"/>
      <c r="TSG48" s="37"/>
      <c r="TSH48" s="37"/>
      <c r="TSI48" s="37"/>
      <c r="TSJ48" s="37"/>
      <c r="TSK48" s="37"/>
      <c r="TSL48" s="37"/>
      <c r="TSM48" s="37"/>
      <c r="TSN48" s="37"/>
      <c r="TSO48" s="37"/>
      <c r="TSP48" s="37"/>
      <c r="TSQ48" s="37"/>
      <c r="TSR48" s="37"/>
      <c r="TSS48" s="37"/>
      <c r="TST48" s="37"/>
      <c r="TSU48" s="37"/>
      <c r="TSV48" s="37"/>
      <c r="TSW48" s="37"/>
      <c r="TSX48" s="37"/>
      <c r="TSY48" s="37"/>
      <c r="TSZ48" s="37"/>
      <c r="TTA48" s="37"/>
      <c r="TTB48" s="37"/>
      <c r="TTC48" s="37"/>
      <c r="TTD48" s="37"/>
      <c r="TTE48" s="37"/>
      <c r="TTF48" s="37"/>
      <c r="TTG48" s="37"/>
      <c r="TTH48" s="37"/>
      <c r="TTI48" s="37"/>
      <c r="TTJ48" s="37"/>
      <c r="TTK48" s="37"/>
      <c r="TTL48" s="37"/>
      <c r="TTM48" s="37"/>
      <c r="TTN48" s="37"/>
      <c r="TTO48" s="37"/>
      <c r="TTP48" s="37"/>
      <c r="TTQ48" s="37"/>
      <c r="TTR48" s="37"/>
      <c r="TTS48" s="37"/>
      <c r="TTT48" s="37"/>
      <c r="TTU48" s="37"/>
      <c r="TTV48" s="37"/>
      <c r="TTW48" s="37"/>
      <c r="TTX48" s="37"/>
      <c r="TTY48" s="37"/>
      <c r="TTZ48" s="37"/>
      <c r="TUA48" s="37"/>
      <c r="TUB48" s="37"/>
      <c r="TUC48" s="37"/>
      <c r="TUD48" s="37"/>
      <c r="TUE48" s="37"/>
      <c r="TUF48" s="37"/>
      <c r="TUG48" s="37"/>
      <c r="TUH48" s="37"/>
      <c r="TUI48" s="37"/>
      <c r="TUJ48" s="37"/>
      <c r="TUK48" s="37"/>
      <c r="TUL48" s="37"/>
      <c r="TUM48" s="37"/>
      <c r="TUN48" s="37"/>
      <c r="TUO48" s="37"/>
      <c r="TUP48" s="37"/>
      <c r="TUQ48" s="37"/>
      <c r="TUR48" s="37"/>
      <c r="TUS48" s="37"/>
      <c r="TUT48" s="37"/>
      <c r="TUU48" s="37"/>
      <c r="TUV48" s="37"/>
      <c r="TUW48" s="37"/>
      <c r="TUX48" s="37"/>
      <c r="TUY48" s="37"/>
      <c r="TUZ48" s="37"/>
      <c r="TVA48" s="37"/>
      <c r="TVB48" s="37"/>
      <c r="TVC48" s="37"/>
      <c r="TVD48" s="37"/>
      <c r="TVE48" s="37"/>
      <c r="TVF48" s="37"/>
      <c r="TVG48" s="37"/>
      <c r="TVH48" s="37"/>
      <c r="TVI48" s="37"/>
      <c r="TVJ48" s="37"/>
      <c r="TVK48" s="37"/>
      <c r="TVL48" s="37"/>
      <c r="TVM48" s="37"/>
      <c r="TVN48" s="37"/>
      <c r="TVO48" s="37"/>
      <c r="TVP48" s="37"/>
      <c r="TVQ48" s="37"/>
      <c r="TVR48" s="37"/>
      <c r="TVS48" s="37"/>
      <c r="TVT48" s="37"/>
      <c r="TVU48" s="37"/>
      <c r="TVV48" s="37"/>
      <c r="TVW48" s="37"/>
      <c r="TVX48" s="37"/>
      <c r="TVY48" s="37"/>
      <c r="TVZ48" s="37"/>
      <c r="TWA48" s="37"/>
      <c r="TWB48" s="37"/>
      <c r="TWC48" s="37"/>
      <c r="TWD48" s="37"/>
      <c r="TWE48" s="37"/>
      <c r="TWF48" s="37"/>
      <c r="TWG48" s="37"/>
      <c r="TWH48" s="37"/>
      <c r="TWI48" s="37"/>
      <c r="TWJ48" s="37"/>
      <c r="TWK48" s="37"/>
      <c r="TWL48" s="37"/>
      <c r="TWM48" s="37"/>
      <c r="TWN48" s="37"/>
      <c r="TWO48" s="37"/>
      <c r="TWP48" s="37"/>
      <c r="TWQ48" s="37"/>
      <c r="TWR48" s="37"/>
      <c r="TWS48" s="37"/>
      <c r="TWT48" s="37"/>
      <c r="TWU48" s="37"/>
      <c r="TWV48" s="37"/>
      <c r="TWW48" s="37"/>
      <c r="TWX48" s="37"/>
      <c r="TWY48" s="37"/>
      <c r="TWZ48" s="37"/>
      <c r="TXA48" s="37"/>
      <c r="TXB48" s="37"/>
      <c r="TXC48" s="37"/>
      <c r="TXD48" s="37"/>
      <c r="TXE48" s="37"/>
      <c r="TXF48" s="37"/>
      <c r="TXG48" s="37"/>
      <c r="TXH48" s="37"/>
      <c r="TXI48" s="37"/>
      <c r="TXJ48" s="37"/>
      <c r="TXK48" s="37"/>
      <c r="TXL48" s="37"/>
      <c r="TXM48" s="37"/>
      <c r="TXN48" s="37"/>
      <c r="TXO48" s="37"/>
      <c r="TXP48" s="37"/>
      <c r="TXQ48" s="37"/>
      <c r="TXR48" s="37"/>
      <c r="TXS48" s="37"/>
      <c r="TXT48" s="37"/>
      <c r="TXU48" s="37"/>
      <c r="TXV48" s="37"/>
      <c r="TXW48" s="37"/>
      <c r="TXX48" s="37"/>
      <c r="TXY48" s="37"/>
      <c r="TXZ48" s="37"/>
      <c r="TYA48" s="37"/>
      <c r="TYB48" s="37"/>
      <c r="TYC48" s="37"/>
      <c r="TYD48" s="37"/>
      <c r="TYE48" s="37"/>
      <c r="TYF48" s="37"/>
      <c r="TYG48" s="37"/>
      <c r="TYH48" s="37"/>
      <c r="TYI48" s="37"/>
      <c r="TYJ48" s="37"/>
      <c r="TYK48" s="37"/>
      <c r="TYL48" s="37"/>
      <c r="TYM48" s="37"/>
      <c r="TYN48" s="37"/>
      <c r="TYO48" s="37"/>
      <c r="TYP48" s="37"/>
      <c r="TYQ48" s="37"/>
      <c r="TYR48" s="37"/>
      <c r="TYS48" s="37"/>
      <c r="TYT48" s="37"/>
      <c r="TYU48" s="37"/>
      <c r="TYV48" s="37"/>
      <c r="TYW48" s="37"/>
      <c r="TYX48" s="37"/>
      <c r="TYY48" s="37"/>
      <c r="TYZ48" s="37"/>
      <c r="TZA48" s="37"/>
      <c r="TZB48" s="37"/>
      <c r="TZC48" s="37"/>
      <c r="TZD48" s="37"/>
      <c r="TZE48" s="37"/>
      <c r="TZF48" s="37"/>
      <c r="TZG48" s="37"/>
      <c r="TZH48" s="37"/>
      <c r="TZI48" s="37"/>
      <c r="TZJ48" s="37"/>
      <c r="TZK48" s="37"/>
      <c r="TZL48" s="37"/>
      <c r="TZM48" s="37"/>
      <c r="TZN48" s="37"/>
      <c r="TZO48" s="37"/>
      <c r="TZP48" s="37"/>
      <c r="TZQ48" s="37"/>
      <c r="TZR48" s="37"/>
      <c r="TZS48" s="37"/>
      <c r="TZT48" s="37"/>
      <c r="TZU48" s="37"/>
      <c r="TZV48" s="37"/>
      <c r="TZW48" s="37"/>
      <c r="TZX48" s="37"/>
      <c r="TZY48" s="37"/>
      <c r="TZZ48" s="37"/>
      <c r="UAA48" s="37"/>
      <c r="UAB48" s="37"/>
      <c r="UAC48" s="37"/>
      <c r="UAD48" s="37"/>
      <c r="UAE48" s="37"/>
      <c r="UAF48" s="37"/>
      <c r="UAG48" s="37"/>
      <c r="UAH48" s="37"/>
      <c r="UAI48" s="37"/>
      <c r="UAJ48" s="37"/>
      <c r="UAK48" s="37"/>
      <c r="UAL48" s="37"/>
      <c r="UAM48" s="37"/>
      <c r="UAN48" s="37"/>
      <c r="UAO48" s="37"/>
      <c r="UAP48" s="37"/>
      <c r="UAQ48" s="37"/>
      <c r="UAR48" s="37"/>
      <c r="UAS48" s="37"/>
      <c r="UAT48" s="37"/>
      <c r="UAU48" s="37"/>
      <c r="UAV48" s="37"/>
      <c r="UAW48" s="37"/>
      <c r="UAX48" s="37"/>
      <c r="UAY48" s="37"/>
      <c r="UAZ48" s="37"/>
      <c r="UBA48" s="37"/>
      <c r="UBB48" s="37"/>
      <c r="UBC48" s="37"/>
      <c r="UBD48" s="37"/>
      <c r="UBE48" s="37"/>
      <c r="UBF48" s="37"/>
      <c r="UBG48" s="37"/>
      <c r="UBH48" s="37"/>
      <c r="UBI48" s="37"/>
      <c r="UBJ48" s="37"/>
      <c r="UBK48" s="37"/>
      <c r="UBL48" s="37"/>
      <c r="UBM48" s="37"/>
      <c r="UBN48" s="37"/>
      <c r="UBO48" s="37"/>
      <c r="UBP48" s="37"/>
      <c r="UBQ48" s="37"/>
      <c r="UBR48" s="37"/>
      <c r="UBS48" s="37"/>
      <c r="UBT48" s="37"/>
      <c r="UBU48" s="37"/>
      <c r="UBV48" s="37"/>
      <c r="UBW48" s="37"/>
      <c r="UBX48" s="37"/>
      <c r="UBY48" s="37"/>
      <c r="UBZ48" s="37"/>
      <c r="UCA48" s="37"/>
      <c r="UCB48" s="37"/>
      <c r="UCC48" s="37"/>
      <c r="UCD48" s="37"/>
      <c r="UCE48" s="37"/>
      <c r="UCF48" s="37"/>
      <c r="UCG48" s="37"/>
      <c r="UCH48" s="37"/>
      <c r="UCI48" s="37"/>
      <c r="UCJ48" s="37"/>
      <c r="UCK48" s="37"/>
      <c r="UCL48" s="37"/>
      <c r="UCM48" s="37"/>
      <c r="UCN48" s="37"/>
      <c r="UCO48" s="37"/>
      <c r="UCP48" s="37"/>
      <c r="UCQ48" s="37"/>
      <c r="UCR48" s="37"/>
      <c r="UCS48" s="37"/>
      <c r="UCT48" s="37"/>
      <c r="UCU48" s="37"/>
      <c r="UCV48" s="37"/>
      <c r="UCW48" s="37"/>
      <c r="UCX48" s="37"/>
      <c r="UCY48" s="37"/>
      <c r="UCZ48" s="37"/>
      <c r="UDA48" s="37"/>
      <c r="UDB48" s="37"/>
      <c r="UDC48" s="37"/>
      <c r="UDD48" s="37"/>
      <c r="UDE48" s="37"/>
      <c r="UDF48" s="37"/>
      <c r="UDG48" s="37"/>
      <c r="UDH48" s="37"/>
      <c r="UDI48" s="37"/>
      <c r="UDJ48" s="37"/>
      <c r="UDK48" s="37"/>
      <c r="UDL48" s="37"/>
      <c r="UDM48" s="37"/>
      <c r="UDN48" s="37"/>
      <c r="UDO48" s="37"/>
      <c r="UDP48" s="37"/>
      <c r="UDQ48" s="37"/>
      <c r="UDR48" s="37"/>
      <c r="UDS48" s="37"/>
      <c r="UDT48" s="37"/>
      <c r="UDU48" s="37"/>
      <c r="UDV48" s="37"/>
      <c r="UDW48" s="37"/>
      <c r="UDX48" s="37"/>
      <c r="UDY48" s="37"/>
      <c r="UDZ48" s="37"/>
      <c r="UEA48" s="37"/>
      <c r="UEB48" s="37"/>
      <c r="UEC48" s="37"/>
      <c r="UED48" s="37"/>
      <c r="UEE48" s="37"/>
      <c r="UEF48" s="37"/>
      <c r="UEG48" s="37"/>
      <c r="UEH48" s="37"/>
      <c r="UEI48" s="37"/>
      <c r="UEJ48" s="37"/>
      <c r="UEK48" s="37"/>
      <c r="UEL48" s="37"/>
      <c r="UEM48" s="37"/>
      <c r="UEN48" s="37"/>
      <c r="UEO48" s="37"/>
      <c r="UEP48" s="37"/>
      <c r="UEQ48" s="37"/>
      <c r="UER48" s="37"/>
      <c r="UES48" s="37"/>
      <c r="UET48" s="37"/>
      <c r="UEU48" s="37"/>
      <c r="UEV48" s="37"/>
      <c r="UEW48" s="37"/>
      <c r="UEX48" s="37"/>
      <c r="UEY48" s="37"/>
      <c r="UEZ48" s="37"/>
      <c r="UFA48" s="37"/>
      <c r="UFB48" s="37"/>
      <c r="UFC48" s="37"/>
      <c r="UFD48" s="37"/>
      <c r="UFE48" s="37"/>
      <c r="UFF48" s="37"/>
      <c r="UFG48" s="37"/>
      <c r="UFH48" s="37"/>
      <c r="UFI48" s="37"/>
      <c r="UFJ48" s="37"/>
      <c r="UFK48" s="37"/>
      <c r="UFL48" s="37"/>
      <c r="UFM48" s="37"/>
      <c r="UFN48" s="37"/>
      <c r="UFO48" s="37"/>
      <c r="UFP48" s="37"/>
      <c r="UFQ48" s="37"/>
      <c r="UFR48" s="37"/>
      <c r="UFS48" s="37"/>
      <c r="UFT48" s="37"/>
      <c r="UFU48" s="37"/>
      <c r="UFV48" s="37"/>
      <c r="UFW48" s="37"/>
      <c r="UFX48" s="37"/>
      <c r="UFY48" s="37"/>
      <c r="UFZ48" s="37"/>
      <c r="UGA48" s="37"/>
      <c r="UGB48" s="37"/>
      <c r="UGC48" s="37"/>
      <c r="UGD48" s="37"/>
      <c r="UGE48" s="37"/>
      <c r="UGF48" s="37"/>
      <c r="UGG48" s="37"/>
      <c r="UGH48" s="37"/>
      <c r="UGI48" s="37"/>
      <c r="UGJ48" s="37"/>
      <c r="UGK48" s="37"/>
      <c r="UGL48" s="37"/>
      <c r="UGM48" s="37"/>
      <c r="UGN48" s="37"/>
      <c r="UGO48" s="37"/>
      <c r="UGP48" s="37"/>
      <c r="UGQ48" s="37"/>
      <c r="UGR48" s="37"/>
      <c r="UGS48" s="37"/>
      <c r="UGT48" s="37"/>
      <c r="UGU48" s="37"/>
      <c r="UGV48" s="37"/>
      <c r="UGW48" s="37"/>
      <c r="UGX48" s="37"/>
      <c r="UGY48" s="37"/>
      <c r="UGZ48" s="37"/>
      <c r="UHA48" s="37"/>
      <c r="UHB48" s="37"/>
      <c r="UHC48" s="37"/>
      <c r="UHD48" s="37"/>
      <c r="UHE48" s="37"/>
      <c r="UHF48" s="37"/>
      <c r="UHG48" s="37"/>
      <c r="UHH48" s="37"/>
      <c r="UHI48" s="37"/>
      <c r="UHJ48" s="37"/>
      <c r="UHK48" s="37"/>
      <c r="UHL48" s="37"/>
      <c r="UHM48" s="37"/>
      <c r="UHN48" s="37"/>
      <c r="UHO48" s="37"/>
      <c r="UHP48" s="37"/>
      <c r="UHQ48" s="37"/>
      <c r="UHR48" s="37"/>
      <c r="UHS48" s="37"/>
      <c r="UHT48" s="37"/>
      <c r="UHU48" s="37"/>
      <c r="UHV48" s="37"/>
      <c r="UHW48" s="37"/>
      <c r="UHX48" s="37"/>
      <c r="UHY48" s="37"/>
      <c r="UHZ48" s="37"/>
      <c r="UIA48" s="37"/>
      <c r="UIB48" s="37"/>
      <c r="UIC48" s="37"/>
      <c r="UID48" s="37"/>
      <c r="UIE48" s="37"/>
      <c r="UIF48" s="37"/>
      <c r="UIG48" s="37"/>
      <c r="UIH48" s="37"/>
      <c r="UII48" s="37"/>
      <c r="UIJ48" s="37"/>
      <c r="UIK48" s="37"/>
      <c r="UIL48" s="37"/>
      <c r="UIM48" s="37"/>
      <c r="UIN48" s="37"/>
      <c r="UIO48" s="37"/>
      <c r="UIP48" s="37"/>
      <c r="UIQ48" s="37"/>
      <c r="UIR48" s="37"/>
      <c r="UIS48" s="37"/>
      <c r="UIT48" s="37"/>
      <c r="UIU48" s="37"/>
      <c r="UIV48" s="37"/>
      <c r="UIW48" s="37"/>
      <c r="UIX48" s="37"/>
      <c r="UIY48" s="37"/>
      <c r="UIZ48" s="37"/>
      <c r="UJA48" s="37"/>
      <c r="UJB48" s="37"/>
      <c r="UJC48" s="37"/>
      <c r="UJD48" s="37"/>
      <c r="UJE48" s="37"/>
      <c r="UJF48" s="37"/>
      <c r="UJG48" s="37"/>
      <c r="UJH48" s="37"/>
      <c r="UJI48" s="37"/>
      <c r="UJJ48" s="37"/>
      <c r="UJK48" s="37"/>
      <c r="UJL48" s="37"/>
      <c r="UJM48" s="37"/>
      <c r="UJN48" s="37"/>
      <c r="UJO48" s="37"/>
      <c r="UJP48" s="37"/>
      <c r="UJQ48" s="37"/>
      <c r="UJR48" s="37"/>
      <c r="UJS48" s="37"/>
      <c r="UJT48" s="37"/>
      <c r="UJU48" s="37"/>
      <c r="UJV48" s="37"/>
      <c r="UJW48" s="37"/>
      <c r="UJX48" s="37"/>
      <c r="UJY48" s="37"/>
      <c r="UJZ48" s="37"/>
      <c r="UKA48" s="37"/>
      <c r="UKB48" s="37"/>
      <c r="UKC48" s="37"/>
      <c r="UKD48" s="37"/>
      <c r="UKE48" s="37"/>
      <c r="UKF48" s="37"/>
      <c r="UKG48" s="37"/>
      <c r="UKH48" s="37"/>
      <c r="UKI48" s="37"/>
      <c r="UKJ48" s="37"/>
      <c r="UKK48" s="37"/>
      <c r="UKL48" s="37"/>
      <c r="UKM48" s="37"/>
      <c r="UKN48" s="37"/>
      <c r="UKO48" s="37"/>
      <c r="UKP48" s="37"/>
      <c r="UKQ48" s="37"/>
      <c r="UKR48" s="37"/>
      <c r="UKS48" s="37"/>
      <c r="UKT48" s="37"/>
      <c r="UKU48" s="37"/>
      <c r="UKV48" s="37"/>
      <c r="UKW48" s="37"/>
      <c r="UKX48" s="37"/>
      <c r="UKY48" s="37"/>
      <c r="UKZ48" s="37"/>
      <c r="ULA48" s="37"/>
      <c r="ULB48" s="37"/>
      <c r="ULC48" s="37"/>
      <c r="ULD48" s="37"/>
      <c r="ULE48" s="37"/>
      <c r="ULF48" s="37"/>
      <c r="ULG48" s="37"/>
      <c r="ULH48" s="37"/>
      <c r="ULI48" s="37"/>
      <c r="ULJ48" s="37"/>
      <c r="ULK48" s="37"/>
      <c r="ULL48" s="37"/>
      <c r="ULM48" s="37"/>
      <c r="ULN48" s="37"/>
      <c r="ULO48" s="37"/>
      <c r="ULP48" s="37"/>
      <c r="ULQ48" s="37"/>
      <c r="ULR48" s="37"/>
      <c r="ULS48" s="37"/>
      <c r="ULT48" s="37"/>
      <c r="ULU48" s="37"/>
      <c r="ULV48" s="37"/>
      <c r="ULW48" s="37"/>
      <c r="ULX48" s="37"/>
      <c r="ULY48" s="37"/>
      <c r="ULZ48" s="37"/>
      <c r="UMA48" s="37"/>
      <c r="UMB48" s="37"/>
      <c r="UMC48" s="37"/>
      <c r="UMD48" s="37"/>
      <c r="UME48" s="37"/>
      <c r="UMF48" s="37"/>
      <c r="UMG48" s="37"/>
      <c r="UMH48" s="37"/>
      <c r="UMI48" s="37"/>
      <c r="UMJ48" s="37"/>
      <c r="UMK48" s="37"/>
      <c r="UML48" s="37"/>
      <c r="UMM48" s="37"/>
      <c r="UMN48" s="37"/>
      <c r="UMO48" s="37"/>
      <c r="UMP48" s="37"/>
      <c r="UMQ48" s="37"/>
      <c r="UMR48" s="37"/>
      <c r="UMS48" s="37"/>
      <c r="UMT48" s="37"/>
      <c r="UMU48" s="37"/>
      <c r="UMV48" s="37"/>
      <c r="UMW48" s="37"/>
      <c r="UMX48" s="37"/>
      <c r="UMY48" s="37"/>
      <c r="UMZ48" s="37"/>
      <c r="UNA48" s="37"/>
      <c r="UNB48" s="37"/>
      <c r="UNC48" s="37"/>
      <c r="UND48" s="37"/>
      <c r="UNE48" s="37"/>
      <c r="UNF48" s="37"/>
      <c r="UNG48" s="37"/>
      <c r="UNH48" s="37"/>
      <c r="UNI48" s="37"/>
      <c r="UNJ48" s="37"/>
      <c r="UNK48" s="37"/>
      <c r="UNL48" s="37"/>
      <c r="UNM48" s="37"/>
      <c r="UNN48" s="37"/>
      <c r="UNO48" s="37"/>
      <c r="UNP48" s="37"/>
      <c r="UNQ48" s="37"/>
      <c r="UNR48" s="37"/>
      <c r="UNS48" s="37"/>
      <c r="UNT48" s="37"/>
      <c r="UNU48" s="37"/>
      <c r="UNV48" s="37"/>
      <c r="UNW48" s="37"/>
      <c r="UNX48" s="37"/>
      <c r="UNY48" s="37"/>
      <c r="UNZ48" s="37"/>
      <c r="UOA48" s="37"/>
      <c r="UOB48" s="37"/>
      <c r="UOC48" s="37"/>
      <c r="UOD48" s="37"/>
      <c r="UOE48" s="37"/>
      <c r="UOF48" s="37"/>
      <c r="UOG48" s="37"/>
      <c r="UOH48" s="37"/>
      <c r="UOI48" s="37"/>
      <c r="UOJ48" s="37"/>
      <c r="UOK48" s="37"/>
      <c r="UOL48" s="37"/>
      <c r="UOM48" s="37"/>
      <c r="UON48" s="37"/>
      <c r="UOO48" s="37"/>
      <c r="UOP48" s="37"/>
      <c r="UOQ48" s="37"/>
      <c r="UOR48" s="37"/>
      <c r="UOS48" s="37"/>
      <c r="UOT48" s="37"/>
      <c r="UOU48" s="37"/>
      <c r="UOV48" s="37"/>
      <c r="UOW48" s="37"/>
      <c r="UOX48" s="37"/>
      <c r="UOY48" s="37"/>
      <c r="UOZ48" s="37"/>
      <c r="UPA48" s="37"/>
      <c r="UPB48" s="37"/>
      <c r="UPC48" s="37"/>
      <c r="UPD48" s="37"/>
      <c r="UPE48" s="37"/>
      <c r="UPF48" s="37"/>
      <c r="UPG48" s="37"/>
      <c r="UPH48" s="37"/>
      <c r="UPI48" s="37"/>
      <c r="UPJ48" s="37"/>
      <c r="UPK48" s="37"/>
      <c r="UPL48" s="37"/>
      <c r="UPM48" s="37"/>
      <c r="UPN48" s="37"/>
      <c r="UPO48" s="37"/>
      <c r="UPP48" s="37"/>
      <c r="UPQ48" s="37"/>
      <c r="UPR48" s="37"/>
      <c r="UPS48" s="37"/>
      <c r="UPT48" s="37"/>
      <c r="UPU48" s="37"/>
      <c r="UPV48" s="37"/>
      <c r="UPW48" s="37"/>
      <c r="UPX48" s="37"/>
      <c r="UPY48" s="37"/>
      <c r="UPZ48" s="37"/>
      <c r="UQA48" s="37"/>
      <c r="UQB48" s="37"/>
      <c r="UQC48" s="37"/>
      <c r="UQD48" s="37"/>
      <c r="UQE48" s="37"/>
      <c r="UQF48" s="37"/>
      <c r="UQG48" s="37"/>
      <c r="UQH48" s="37"/>
      <c r="UQI48" s="37"/>
      <c r="UQJ48" s="37"/>
      <c r="UQK48" s="37"/>
      <c r="UQL48" s="37"/>
      <c r="UQM48" s="37"/>
      <c r="UQN48" s="37"/>
      <c r="UQO48" s="37"/>
      <c r="UQP48" s="37"/>
      <c r="UQQ48" s="37"/>
      <c r="UQR48" s="37"/>
      <c r="UQS48" s="37"/>
      <c r="UQT48" s="37"/>
      <c r="UQU48" s="37"/>
      <c r="UQV48" s="37"/>
      <c r="UQW48" s="37"/>
      <c r="UQX48" s="37"/>
      <c r="UQY48" s="37"/>
      <c r="UQZ48" s="37"/>
      <c r="URA48" s="37"/>
      <c r="URB48" s="37"/>
      <c r="URC48" s="37"/>
      <c r="URD48" s="37"/>
      <c r="URE48" s="37"/>
      <c r="URF48" s="37"/>
      <c r="URG48" s="37"/>
      <c r="URH48" s="37"/>
      <c r="URI48" s="37"/>
      <c r="URJ48" s="37"/>
      <c r="URK48" s="37"/>
      <c r="URL48" s="37"/>
      <c r="URM48" s="37"/>
      <c r="URN48" s="37"/>
      <c r="URO48" s="37"/>
      <c r="URP48" s="37"/>
      <c r="URQ48" s="37"/>
      <c r="URR48" s="37"/>
      <c r="URS48" s="37"/>
      <c r="URT48" s="37"/>
      <c r="URU48" s="37"/>
      <c r="URV48" s="37"/>
      <c r="URW48" s="37"/>
      <c r="URX48" s="37"/>
      <c r="URY48" s="37"/>
      <c r="URZ48" s="37"/>
      <c r="USA48" s="37"/>
      <c r="USB48" s="37"/>
      <c r="USC48" s="37"/>
      <c r="USD48" s="37"/>
      <c r="USE48" s="37"/>
      <c r="USF48" s="37"/>
      <c r="USG48" s="37"/>
      <c r="USH48" s="37"/>
      <c r="USI48" s="37"/>
      <c r="USJ48" s="37"/>
      <c r="USK48" s="37"/>
      <c r="USL48" s="37"/>
      <c r="USM48" s="37"/>
      <c r="USN48" s="37"/>
      <c r="USO48" s="37"/>
      <c r="USP48" s="37"/>
      <c r="USQ48" s="37"/>
      <c r="USR48" s="37"/>
      <c r="USS48" s="37"/>
      <c r="UST48" s="37"/>
      <c r="USU48" s="37"/>
      <c r="USV48" s="37"/>
      <c r="USW48" s="37"/>
      <c r="USX48" s="37"/>
      <c r="USY48" s="37"/>
      <c r="USZ48" s="37"/>
      <c r="UTA48" s="37"/>
      <c r="UTB48" s="37"/>
      <c r="UTC48" s="37"/>
      <c r="UTD48" s="37"/>
      <c r="UTE48" s="37"/>
      <c r="UTF48" s="37"/>
      <c r="UTG48" s="37"/>
      <c r="UTH48" s="37"/>
      <c r="UTI48" s="37"/>
      <c r="UTJ48" s="37"/>
      <c r="UTK48" s="37"/>
      <c r="UTL48" s="37"/>
      <c r="UTM48" s="37"/>
      <c r="UTN48" s="37"/>
      <c r="UTO48" s="37"/>
      <c r="UTP48" s="37"/>
      <c r="UTQ48" s="37"/>
      <c r="UTR48" s="37"/>
      <c r="UTS48" s="37"/>
      <c r="UTT48" s="37"/>
      <c r="UTU48" s="37"/>
      <c r="UTV48" s="37"/>
      <c r="UTW48" s="37"/>
      <c r="UTX48" s="37"/>
      <c r="UTY48" s="37"/>
      <c r="UTZ48" s="37"/>
      <c r="UUA48" s="37"/>
      <c r="UUB48" s="37"/>
      <c r="UUC48" s="37"/>
      <c r="UUD48" s="37"/>
      <c r="UUE48" s="37"/>
      <c r="UUF48" s="37"/>
      <c r="UUG48" s="37"/>
      <c r="UUH48" s="37"/>
      <c r="UUI48" s="37"/>
      <c r="UUJ48" s="37"/>
      <c r="UUK48" s="37"/>
      <c r="UUL48" s="37"/>
      <c r="UUM48" s="37"/>
      <c r="UUN48" s="37"/>
      <c r="UUO48" s="37"/>
      <c r="UUP48" s="37"/>
      <c r="UUQ48" s="37"/>
      <c r="UUR48" s="37"/>
      <c r="UUS48" s="37"/>
      <c r="UUT48" s="37"/>
      <c r="UUU48" s="37"/>
      <c r="UUV48" s="37"/>
      <c r="UUW48" s="37"/>
      <c r="UUX48" s="37"/>
      <c r="UUY48" s="37"/>
      <c r="UUZ48" s="37"/>
      <c r="UVA48" s="37"/>
      <c r="UVB48" s="37"/>
      <c r="UVC48" s="37"/>
      <c r="UVD48" s="37"/>
      <c r="UVE48" s="37"/>
      <c r="UVF48" s="37"/>
      <c r="UVG48" s="37"/>
      <c r="UVH48" s="37"/>
      <c r="UVI48" s="37"/>
      <c r="UVJ48" s="37"/>
      <c r="UVK48" s="37"/>
      <c r="UVL48" s="37"/>
      <c r="UVM48" s="37"/>
      <c r="UVN48" s="37"/>
      <c r="UVO48" s="37"/>
      <c r="UVP48" s="37"/>
      <c r="UVQ48" s="37"/>
      <c r="UVR48" s="37"/>
      <c r="UVS48" s="37"/>
      <c r="UVT48" s="37"/>
      <c r="UVU48" s="37"/>
      <c r="UVV48" s="37"/>
      <c r="UVW48" s="37"/>
      <c r="UVX48" s="37"/>
      <c r="UVY48" s="37"/>
      <c r="UVZ48" s="37"/>
      <c r="UWA48" s="37"/>
      <c r="UWB48" s="37"/>
      <c r="UWC48" s="37"/>
      <c r="UWD48" s="37"/>
      <c r="UWE48" s="37"/>
      <c r="UWF48" s="37"/>
      <c r="UWG48" s="37"/>
      <c r="UWH48" s="37"/>
      <c r="UWI48" s="37"/>
      <c r="UWJ48" s="37"/>
      <c r="UWK48" s="37"/>
      <c r="UWL48" s="37"/>
      <c r="UWM48" s="37"/>
      <c r="UWN48" s="37"/>
      <c r="UWO48" s="37"/>
      <c r="UWP48" s="37"/>
      <c r="UWQ48" s="37"/>
      <c r="UWR48" s="37"/>
      <c r="UWS48" s="37"/>
      <c r="UWT48" s="37"/>
      <c r="UWU48" s="37"/>
      <c r="UWV48" s="37"/>
      <c r="UWW48" s="37"/>
      <c r="UWX48" s="37"/>
      <c r="UWY48" s="37"/>
      <c r="UWZ48" s="37"/>
      <c r="UXA48" s="37"/>
      <c r="UXB48" s="37"/>
      <c r="UXC48" s="37"/>
      <c r="UXD48" s="37"/>
      <c r="UXE48" s="37"/>
      <c r="UXF48" s="37"/>
      <c r="UXG48" s="37"/>
      <c r="UXH48" s="37"/>
      <c r="UXI48" s="37"/>
      <c r="UXJ48" s="37"/>
      <c r="UXK48" s="37"/>
      <c r="UXL48" s="37"/>
      <c r="UXM48" s="37"/>
      <c r="UXN48" s="37"/>
      <c r="UXO48" s="37"/>
      <c r="UXP48" s="37"/>
      <c r="UXQ48" s="37"/>
      <c r="UXR48" s="37"/>
      <c r="UXS48" s="37"/>
      <c r="UXT48" s="37"/>
      <c r="UXU48" s="37"/>
      <c r="UXV48" s="37"/>
      <c r="UXW48" s="37"/>
      <c r="UXX48" s="37"/>
      <c r="UXY48" s="37"/>
      <c r="UXZ48" s="37"/>
      <c r="UYA48" s="37"/>
      <c r="UYB48" s="37"/>
      <c r="UYC48" s="37"/>
      <c r="UYD48" s="37"/>
      <c r="UYE48" s="37"/>
      <c r="UYF48" s="37"/>
      <c r="UYG48" s="37"/>
      <c r="UYH48" s="37"/>
      <c r="UYI48" s="37"/>
      <c r="UYJ48" s="37"/>
      <c r="UYK48" s="37"/>
      <c r="UYL48" s="37"/>
      <c r="UYM48" s="37"/>
      <c r="UYN48" s="37"/>
      <c r="UYO48" s="37"/>
      <c r="UYP48" s="37"/>
      <c r="UYQ48" s="37"/>
      <c r="UYR48" s="37"/>
      <c r="UYS48" s="37"/>
      <c r="UYT48" s="37"/>
      <c r="UYU48" s="37"/>
      <c r="UYV48" s="37"/>
      <c r="UYW48" s="37"/>
      <c r="UYX48" s="37"/>
      <c r="UYY48" s="37"/>
      <c r="UYZ48" s="37"/>
      <c r="UZA48" s="37"/>
      <c r="UZB48" s="37"/>
      <c r="UZC48" s="37"/>
      <c r="UZD48" s="37"/>
      <c r="UZE48" s="37"/>
      <c r="UZF48" s="37"/>
      <c r="UZG48" s="37"/>
      <c r="UZH48" s="37"/>
      <c r="UZI48" s="37"/>
      <c r="UZJ48" s="37"/>
      <c r="UZK48" s="37"/>
      <c r="UZL48" s="37"/>
      <c r="UZM48" s="37"/>
      <c r="UZN48" s="37"/>
      <c r="UZO48" s="37"/>
      <c r="UZP48" s="37"/>
      <c r="UZQ48" s="37"/>
      <c r="UZR48" s="37"/>
      <c r="UZS48" s="37"/>
      <c r="UZT48" s="37"/>
      <c r="UZU48" s="37"/>
      <c r="UZV48" s="37"/>
      <c r="UZW48" s="37"/>
      <c r="UZX48" s="37"/>
      <c r="UZY48" s="37"/>
      <c r="UZZ48" s="37"/>
      <c r="VAA48" s="37"/>
      <c r="VAB48" s="37"/>
      <c r="VAC48" s="37"/>
      <c r="VAD48" s="37"/>
      <c r="VAE48" s="37"/>
      <c r="VAF48" s="37"/>
      <c r="VAG48" s="37"/>
      <c r="VAH48" s="37"/>
      <c r="VAI48" s="37"/>
      <c r="VAJ48" s="37"/>
      <c r="VAK48" s="37"/>
      <c r="VAL48" s="37"/>
      <c r="VAM48" s="37"/>
      <c r="VAN48" s="37"/>
      <c r="VAO48" s="37"/>
      <c r="VAP48" s="37"/>
      <c r="VAQ48" s="37"/>
      <c r="VAR48" s="37"/>
      <c r="VAS48" s="37"/>
      <c r="VAT48" s="37"/>
      <c r="VAU48" s="37"/>
      <c r="VAV48" s="37"/>
      <c r="VAW48" s="37"/>
      <c r="VAX48" s="37"/>
      <c r="VAY48" s="37"/>
      <c r="VAZ48" s="37"/>
      <c r="VBA48" s="37"/>
      <c r="VBB48" s="37"/>
      <c r="VBC48" s="37"/>
      <c r="VBD48" s="37"/>
      <c r="VBE48" s="37"/>
      <c r="VBF48" s="37"/>
      <c r="VBG48" s="37"/>
      <c r="VBH48" s="37"/>
      <c r="VBI48" s="37"/>
      <c r="VBJ48" s="37"/>
      <c r="VBK48" s="37"/>
      <c r="VBL48" s="37"/>
      <c r="VBM48" s="37"/>
      <c r="VBN48" s="37"/>
      <c r="VBO48" s="37"/>
      <c r="VBP48" s="37"/>
      <c r="VBQ48" s="37"/>
      <c r="VBR48" s="37"/>
      <c r="VBS48" s="37"/>
      <c r="VBT48" s="37"/>
      <c r="VBU48" s="37"/>
      <c r="VBV48" s="37"/>
      <c r="VBW48" s="37"/>
      <c r="VBX48" s="37"/>
      <c r="VBY48" s="37"/>
      <c r="VBZ48" s="37"/>
      <c r="VCA48" s="37"/>
      <c r="VCB48" s="37"/>
      <c r="VCC48" s="37"/>
      <c r="VCD48" s="37"/>
      <c r="VCE48" s="37"/>
      <c r="VCF48" s="37"/>
      <c r="VCG48" s="37"/>
      <c r="VCH48" s="37"/>
      <c r="VCI48" s="37"/>
      <c r="VCJ48" s="37"/>
      <c r="VCK48" s="37"/>
      <c r="VCL48" s="37"/>
      <c r="VCM48" s="37"/>
      <c r="VCN48" s="37"/>
      <c r="VCO48" s="37"/>
      <c r="VCP48" s="37"/>
      <c r="VCQ48" s="37"/>
      <c r="VCR48" s="37"/>
      <c r="VCS48" s="37"/>
      <c r="VCT48" s="37"/>
      <c r="VCU48" s="37"/>
      <c r="VCV48" s="37"/>
      <c r="VCW48" s="37"/>
      <c r="VCX48" s="37"/>
      <c r="VCY48" s="37"/>
      <c r="VCZ48" s="37"/>
      <c r="VDA48" s="37"/>
      <c r="VDB48" s="37"/>
      <c r="VDC48" s="37"/>
      <c r="VDD48" s="37"/>
      <c r="VDE48" s="37"/>
      <c r="VDF48" s="37"/>
      <c r="VDG48" s="37"/>
      <c r="VDH48" s="37"/>
      <c r="VDI48" s="37"/>
      <c r="VDJ48" s="37"/>
      <c r="VDK48" s="37"/>
      <c r="VDL48" s="37"/>
      <c r="VDM48" s="37"/>
      <c r="VDN48" s="37"/>
      <c r="VDO48" s="37"/>
      <c r="VDP48" s="37"/>
      <c r="VDQ48" s="37"/>
      <c r="VDR48" s="37"/>
      <c r="VDS48" s="37"/>
      <c r="VDT48" s="37"/>
      <c r="VDU48" s="37"/>
      <c r="VDV48" s="37"/>
      <c r="VDW48" s="37"/>
      <c r="VDX48" s="37"/>
      <c r="VDY48" s="37"/>
      <c r="VDZ48" s="37"/>
      <c r="VEA48" s="37"/>
      <c r="VEB48" s="37"/>
      <c r="VEC48" s="37"/>
      <c r="VED48" s="37"/>
      <c r="VEE48" s="37"/>
      <c r="VEF48" s="37"/>
      <c r="VEG48" s="37"/>
      <c r="VEH48" s="37"/>
      <c r="VEI48" s="37"/>
      <c r="VEJ48" s="37"/>
      <c r="VEK48" s="37"/>
      <c r="VEL48" s="37"/>
      <c r="VEM48" s="37"/>
      <c r="VEN48" s="37"/>
      <c r="VEO48" s="37"/>
      <c r="VEP48" s="37"/>
      <c r="VEQ48" s="37"/>
      <c r="VER48" s="37"/>
      <c r="VES48" s="37"/>
      <c r="VET48" s="37"/>
      <c r="VEU48" s="37"/>
      <c r="VEV48" s="37"/>
      <c r="VEW48" s="37"/>
      <c r="VEX48" s="37"/>
      <c r="VEY48" s="37"/>
      <c r="VEZ48" s="37"/>
      <c r="VFA48" s="37"/>
      <c r="VFB48" s="37"/>
      <c r="VFC48" s="37"/>
      <c r="VFD48" s="37"/>
      <c r="VFE48" s="37"/>
      <c r="VFF48" s="37"/>
      <c r="VFG48" s="37"/>
      <c r="VFH48" s="37"/>
      <c r="VFI48" s="37"/>
      <c r="VFJ48" s="37"/>
      <c r="VFK48" s="37"/>
      <c r="VFL48" s="37"/>
      <c r="VFM48" s="37"/>
      <c r="VFN48" s="37"/>
      <c r="VFO48" s="37"/>
      <c r="VFP48" s="37"/>
      <c r="VFQ48" s="37"/>
      <c r="VFR48" s="37"/>
      <c r="VFS48" s="37"/>
      <c r="VFT48" s="37"/>
      <c r="VFU48" s="37"/>
      <c r="VFV48" s="37"/>
      <c r="VFW48" s="37"/>
      <c r="VFX48" s="37"/>
      <c r="VFY48" s="37"/>
      <c r="VFZ48" s="37"/>
      <c r="VGA48" s="37"/>
      <c r="VGB48" s="37"/>
      <c r="VGC48" s="37"/>
      <c r="VGD48" s="37"/>
      <c r="VGE48" s="37"/>
      <c r="VGF48" s="37"/>
      <c r="VGG48" s="37"/>
      <c r="VGH48" s="37"/>
      <c r="VGI48" s="37"/>
      <c r="VGJ48" s="37"/>
      <c r="VGK48" s="37"/>
      <c r="VGL48" s="37"/>
      <c r="VGM48" s="37"/>
      <c r="VGN48" s="37"/>
      <c r="VGO48" s="37"/>
      <c r="VGP48" s="37"/>
      <c r="VGQ48" s="37"/>
      <c r="VGR48" s="37"/>
      <c r="VGS48" s="37"/>
      <c r="VGT48" s="37"/>
      <c r="VGU48" s="37"/>
      <c r="VGV48" s="37"/>
      <c r="VGW48" s="37"/>
      <c r="VGX48" s="37"/>
      <c r="VGY48" s="37"/>
      <c r="VGZ48" s="37"/>
      <c r="VHA48" s="37"/>
      <c r="VHB48" s="37"/>
      <c r="VHC48" s="37"/>
      <c r="VHD48" s="37"/>
      <c r="VHE48" s="37"/>
      <c r="VHF48" s="37"/>
      <c r="VHG48" s="37"/>
      <c r="VHH48" s="37"/>
      <c r="VHI48" s="37"/>
      <c r="VHJ48" s="37"/>
      <c r="VHK48" s="37"/>
      <c r="VHL48" s="37"/>
      <c r="VHM48" s="37"/>
      <c r="VHN48" s="37"/>
      <c r="VHO48" s="37"/>
      <c r="VHP48" s="37"/>
      <c r="VHQ48" s="37"/>
      <c r="VHR48" s="37"/>
      <c r="VHS48" s="37"/>
      <c r="VHT48" s="37"/>
      <c r="VHU48" s="37"/>
      <c r="VHV48" s="37"/>
      <c r="VHW48" s="37"/>
      <c r="VHX48" s="37"/>
      <c r="VHY48" s="37"/>
      <c r="VHZ48" s="37"/>
      <c r="VIA48" s="37"/>
      <c r="VIB48" s="37"/>
      <c r="VIC48" s="37"/>
      <c r="VID48" s="37"/>
      <c r="VIE48" s="37"/>
      <c r="VIF48" s="37"/>
      <c r="VIG48" s="37"/>
      <c r="VIH48" s="37"/>
      <c r="VII48" s="37"/>
      <c r="VIJ48" s="37"/>
      <c r="VIK48" s="37"/>
      <c r="VIL48" s="37"/>
      <c r="VIM48" s="37"/>
      <c r="VIN48" s="37"/>
      <c r="VIO48" s="37"/>
      <c r="VIP48" s="37"/>
      <c r="VIQ48" s="37"/>
      <c r="VIR48" s="37"/>
      <c r="VIS48" s="37"/>
      <c r="VIT48" s="37"/>
      <c r="VIU48" s="37"/>
      <c r="VIV48" s="37"/>
      <c r="VIW48" s="37"/>
      <c r="VIX48" s="37"/>
      <c r="VIY48" s="37"/>
      <c r="VIZ48" s="37"/>
      <c r="VJA48" s="37"/>
      <c r="VJB48" s="37"/>
      <c r="VJC48" s="37"/>
      <c r="VJD48" s="37"/>
      <c r="VJE48" s="37"/>
      <c r="VJF48" s="37"/>
      <c r="VJG48" s="37"/>
      <c r="VJH48" s="37"/>
      <c r="VJI48" s="37"/>
      <c r="VJJ48" s="37"/>
      <c r="VJK48" s="37"/>
      <c r="VJL48" s="37"/>
      <c r="VJM48" s="37"/>
      <c r="VJN48" s="37"/>
      <c r="VJO48" s="37"/>
      <c r="VJP48" s="37"/>
      <c r="VJQ48" s="37"/>
      <c r="VJR48" s="37"/>
      <c r="VJS48" s="37"/>
      <c r="VJT48" s="37"/>
      <c r="VJU48" s="37"/>
      <c r="VJV48" s="37"/>
      <c r="VJW48" s="37"/>
      <c r="VJX48" s="37"/>
      <c r="VJY48" s="37"/>
      <c r="VJZ48" s="37"/>
      <c r="VKA48" s="37"/>
      <c r="VKB48" s="37"/>
      <c r="VKC48" s="37"/>
      <c r="VKD48" s="37"/>
      <c r="VKE48" s="37"/>
      <c r="VKF48" s="37"/>
      <c r="VKG48" s="37"/>
      <c r="VKH48" s="37"/>
      <c r="VKI48" s="37"/>
      <c r="VKJ48" s="37"/>
      <c r="VKK48" s="37"/>
      <c r="VKL48" s="37"/>
      <c r="VKM48" s="37"/>
      <c r="VKN48" s="37"/>
      <c r="VKO48" s="37"/>
      <c r="VKP48" s="37"/>
      <c r="VKQ48" s="37"/>
      <c r="VKR48" s="37"/>
      <c r="VKS48" s="37"/>
      <c r="VKT48" s="37"/>
      <c r="VKU48" s="37"/>
      <c r="VKV48" s="37"/>
      <c r="VKW48" s="37"/>
      <c r="VKX48" s="37"/>
      <c r="VKY48" s="37"/>
      <c r="VKZ48" s="37"/>
      <c r="VLA48" s="37"/>
      <c r="VLB48" s="37"/>
      <c r="VLC48" s="37"/>
      <c r="VLD48" s="37"/>
      <c r="VLE48" s="37"/>
      <c r="VLF48" s="37"/>
      <c r="VLG48" s="37"/>
      <c r="VLH48" s="37"/>
      <c r="VLI48" s="37"/>
      <c r="VLJ48" s="37"/>
      <c r="VLK48" s="37"/>
      <c r="VLL48" s="37"/>
      <c r="VLM48" s="37"/>
      <c r="VLN48" s="37"/>
      <c r="VLO48" s="37"/>
      <c r="VLP48" s="37"/>
      <c r="VLQ48" s="37"/>
      <c r="VLR48" s="37"/>
      <c r="VLS48" s="37"/>
      <c r="VLT48" s="37"/>
      <c r="VLU48" s="37"/>
      <c r="VLV48" s="37"/>
      <c r="VLW48" s="37"/>
      <c r="VLX48" s="37"/>
      <c r="VLY48" s="37"/>
      <c r="VLZ48" s="37"/>
      <c r="VMA48" s="37"/>
      <c r="VMB48" s="37"/>
      <c r="VMC48" s="37"/>
      <c r="VMD48" s="37"/>
      <c r="VME48" s="37"/>
      <c r="VMF48" s="37"/>
      <c r="VMG48" s="37"/>
      <c r="VMH48" s="37"/>
      <c r="VMI48" s="37"/>
      <c r="VMJ48" s="37"/>
      <c r="VMK48" s="37"/>
      <c r="VML48" s="37"/>
      <c r="VMM48" s="37"/>
      <c r="VMN48" s="37"/>
      <c r="VMO48" s="37"/>
      <c r="VMP48" s="37"/>
      <c r="VMQ48" s="37"/>
      <c r="VMR48" s="37"/>
      <c r="VMS48" s="37"/>
      <c r="VMT48" s="37"/>
      <c r="VMU48" s="37"/>
      <c r="VMV48" s="37"/>
      <c r="VMW48" s="37"/>
      <c r="VMX48" s="37"/>
      <c r="VMY48" s="37"/>
      <c r="VMZ48" s="37"/>
      <c r="VNA48" s="37"/>
      <c r="VNB48" s="37"/>
      <c r="VNC48" s="37"/>
      <c r="VND48" s="37"/>
      <c r="VNE48" s="37"/>
      <c r="VNF48" s="37"/>
      <c r="VNG48" s="37"/>
      <c r="VNH48" s="37"/>
      <c r="VNI48" s="37"/>
      <c r="VNJ48" s="37"/>
      <c r="VNK48" s="37"/>
      <c r="VNL48" s="37"/>
      <c r="VNM48" s="37"/>
      <c r="VNN48" s="37"/>
      <c r="VNO48" s="37"/>
      <c r="VNP48" s="37"/>
      <c r="VNQ48" s="37"/>
      <c r="VNR48" s="37"/>
      <c r="VNS48" s="37"/>
      <c r="VNT48" s="37"/>
      <c r="VNU48" s="37"/>
      <c r="VNV48" s="37"/>
      <c r="VNW48" s="37"/>
      <c r="VNX48" s="37"/>
      <c r="VNY48" s="37"/>
      <c r="VNZ48" s="37"/>
      <c r="VOA48" s="37"/>
      <c r="VOB48" s="37"/>
      <c r="VOC48" s="37"/>
      <c r="VOD48" s="37"/>
      <c r="VOE48" s="37"/>
      <c r="VOF48" s="37"/>
      <c r="VOG48" s="37"/>
      <c r="VOH48" s="37"/>
      <c r="VOI48" s="37"/>
      <c r="VOJ48" s="37"/>
      <c r="VOK48" s="37"/>
      <c r="VOL48" s="37"/>
      <c r="VOM48" s="37"/>
      <c r="VON48" s="37"/>
      <c r="VOO48" s="37"/>
      <c r="VOP48" s="37"/>
      <c r="VOQ48" s="37"/>
      <c r="VOR48" s="37"/>
      <c r="VOS48" s="37"/>
      <c r="VOT48" s="37"/>
      <c r="VOU48" s="37"/>
      <c r="VOV48" s="37"/>
      <c r="VOW48" s="37"/>
      <c r="VOX48" s="37"/>
      <c r="VOY48" s="37"/>
      <c r="VOZ48" s="37"/>
      <c r="VPA48" s="37"/>
      <c r="VPB48" s="37"/>
      <c r="VPC48" s="37"/>
      <c r="VPD48" s="37"/>
      <c r="VPE48" s="37"/>
      <c r="VPF48" s="37"/>
      <c r="VPG48" s="37"/>
      <c r="VPH48" s="37"/>
      <c r="VPI48" s="37"/>
      <c r="VPJ48" s="37"/>
      <c r="VPK48" s="37"/>
      <c r="VPL48" s="37"/>
      <c r="VPM48" s="37"/>
      <c r="VPN48" s="37"/>
      <c r="VPO48" s="37"/>
      <c r="VPP48" s="37"/>
      <c r="VPQ48" s="37"/>
      <c r="VPR48" s="37"/>
      <c r="VPS48" s="37"/>
      <c r="VPT48" s="37"/>
      <c r="VPU48" s="37"/>
      <c r="VPV48" s="37"/>
      <c r="VPW48" s="37"/>
      <c r="VPX48" s="37"/>
      <c r="VPY48" s="37"/>
      <c r="VPZ48" s="37"/>
      <c r="VQA48" s="37"/>
      <c r="VQB48" s="37"/>
      <c r="VQC48" s="37"/>
      <c r="VQD48" s="37"/>
      <c r="VQE48" s="37"/>
      <c r="VQF48" s="37"/>
      <c r="VQG48" s="37"/>
      <c r="VQH48" s="37"/>
      <c r="VQI48" s="37"/>
      <c r="VQJ48" s="37"/>
      <c r="VQK48" s="37"/>
      <c r="VQL48" s="37"/>
      <c r="VQM48" s="37"/>
      <c r="VQN48" s="37"/>
      <c r="VQO48" s="37"/>
      <c r="VQP48" s="37"/>
      <c r="VQQ48" s="37"/>
      <c r="VQR48" s="37"/>
      <c r="VQS48" s="37"/>
      <c r="VQT48" s="37"/>
      <c r="VQU48" s="37"/>
      <c r="VQV48" s="37"/>
      <c r="VQW48" s="37"/>
      <c r="VQX48" s="37"/>
      <c r="VQY48" s="37"/>
      <c r="VQZ48" s="37"/>
      <c r="VRA48" s="37"/>
      <c r="VRB48" s="37"/>
      <c r="VRC48" s="37"/>
      <c r="VRD48" s="37"/>
      <c r="VRE48" s="37"/>
      <c r="VRF48" s="37"/>
      <c r="VRG48" s="37"/>
      <c r="VRH48" s="37"/>
      <c r="VRI48" s="37"/>
      <c r="VRJ48" s="37"/>
      <c r="VRK48" s="37"/>
      <c r="VRL48" s="37"/>
      <c r="VRM48" s="37"/>
      <c r="VRN48" s="37"/>
      <c r="VRO48" s="37"/>
      <c r="VRP48" s="37"/>
      <c r="VRQ48" s="37"/>
      <c r="VRR48" s="37"/>
      <c r="VRS48" s="37"/>
      <c r="VRT48" s="37"/>
      <c r="VRU48" s="37"/>
      <c r="VRV48" s="37"/>
      <c r="VRW48" s="37"/>
      <c r="VRX48" s="37"/>
      <c r="VRY48" s="37"/>
      <c r="VRZ48" s="37"/>
      <c r="VSA48" s="37"/>
      <c r="VSB48" s="37"/>
      <c r="VSC48" s="37"/>
      <c r="VSD48" s="37"/>
      <c r="VSE48" s="37"/>
      <c r="VSF48" s="37"/>
      <c r="VSG48" s="37"/>
      <c r="VSH48" s="37"/>
      <c r="VSI48" s="37"/>
      <c r="VSJ48" s="37"/>
      <c r="VSK48" s="37"/>
      <c r="VSL48" s="37"/>
      <c r="VSM48" s="37"/>
      <c r="VSN48" s="37"/>
      <c r="VSO48" s="37"/>
      <c r="VSP48" s="37"/>
      <c r="VSQ48" s="37"/>
      <c r="VSR48" s="37"/>
      <c r="VSS48" s="37"/>
      <c r="VST48" s="37"/>
      <c r="VSU48" s="37"/>
      <c r="VSV48" s="37"/>
      <c r="VSW48" s="37"/>
      <c r="VSX48" s="37"/>
      <c r="VSY48" s="37"/>
      <c r="VSZ48" s="37"/>
      <c r="VTA48" s="37"/>
      <c r="VTB48" s="37"/>
      <c r="VTC48" s="37"/>
      <c r="VTD48" s="37"/>
      <c r="VTE48" s="37"/>
      <c r="VTF48" s="37"/>
      <c r="VTG48" s="37"/>
      <c r="VTH48" s="37"/>
      <c r="VTI48" s="37"/>
      <c r="VTJ48" s="37"/>
      <c r="VTK48" s="37"/>
      <c r="VTL48" s="37"/>
      <c r="VTM48" s="37"/>
      <c r="VTN48" s="37"/>
      <c r="VTO48" s="37"/>
      <c r="VTP48" s="37"/>
      <c r="VTQ48" s="37"/>
      <c r="VTR48" s="37"/>
      <c r="VTS48" s="37"/>
      <c r="VTT48" s="37"/>
      <c r="VTU48" s="37"/>
      <c r="VTV48" s="37"/>
      <c r="VTW48" s="37"/>
      <c r="VTX48" s="37"/>
      <c r="VTY48" s="37"/>
      <c r="VTZ48" s="37"/>
      <c r="VUA48" s="37"/>
      <c r="VUB48" s="37"/>
      <c r="VUC48" s="37"/>
      <c r="VUD48" s="37"/>
      <c r="VUE48" s="37"/>
      <c r="VUF48" s="37"/>
      <c r="VUG48" s="37"/>
      <c r="VUH48" s="37"/>
      <c r="VUI48" s="37"/>
      <c r="VUJ48" s="37"/>
      <c r="VUK48" s="37"/>
      <c r="VUL48" s="37"/>
      <c r="VUM48" s="37"/>
      <c r="VUN48" s="37"/>
      <c r="VUO48" s="37"/>
      <c r="VUP48" s="37"/>
      <c r="VUQ48" s="37"/>
      <c r="VUR48" s="37"/>
      <c r="VUS48" s="37"/>
      <c r="VUT48" s="37"/>
      <c r="VUU48" s="37"/>
      <c r="VUV48" s="37"/>
      <c r="VUW48" s="37"/>
      <c r="VUX48" s="37"/>
      <c r="VUY48" s="37"/>
      <c r="VUZ48" s="37"/>
      <c r="VVA48" s="37"/>
      <c r="VVB48" s="37"/>
      <c r="VVC48" s="37"/>
      <c r="VVD48" s="37"/>
      <c r="VVE48" s="37"/>
      <c r="VVF48" s="37"/>
      <c r="VVG48" s="37"/>
      <c r="VVH48" s="37"/>
      <c r="VVI48" s="37"/>
      <c r="VVJ48" s="37"/>
      <c r="VVK48" s="37"/>
      <c r="VVL48" s="37"/>
      <c r="VVM48" s="37"/>
      <c r="VVN48" s="37"/>
      <c r="VVO48" s="37"/>
      <c r="VVP48" s="37"/>
      <c r="VVQ48" s="37"/>
      <c r="VVR48" s="37"/>
      <c r="VVS48" s="37"/>
      <c r="VVT48" s="37"/>
      <c r="VVU48" s="37"/>
      <c r="VVV48" s="37"/>
      <c r="VVW48" s="37"/>
      <c r="VVX48" s="37"/>
      <c r="VVY48" s="37"/>
      <c r="VVZ48" s="37"/>
      <c r="VWA48" s="37"/>
      <c r="VWB48" s="37"/>
      <c r="VWC48" s="37"/>
      <c r="VWD48" s="37"/>
      <c r="VWE48" s="37"/>
      <c r="VWF48" s="37"/>
      <c r="VWG48" s="37"/>
      <c r="VWH48" s="37"/>
      <c r="VWI48" s="37"/>
      <c r="VWJ48" s="37"/>
      <c r="VWK48" s="37"/>
      <c r="VWL48" s="37"/>
      <c r="VWM48" s="37"/>
      <c r="VWN48" s="37"/>
      <c r="VWO48" s="37"/>
      <c r="VWP48" s="37"/>
      <c r="VWQ48" s="37"/>
      <c r="VWR48" s="37"/>
      <c r="VWS48" s="37"/>
      <c r="VWT48" s="37"/>
      <c r="VWU48" s="37"/>
      <c r="VWV48" s="37"/>
      <c r="VWW48" s="37"/>
      <c r="VWX48" s="37"/>
      <c r="VWY48" s="37"/>
      <c r="VWZ48" s="37"/>
      <c r="VXA48" s="37"/>
      <c r="VXB48" s="37"/>
      <c r="VXC48" s="37"/>
      <c r="VXD48" s="37"/>
      <c r="VXE48" s="37"/>
      <c r="VXF48" s="37"/>
      <c r="VXG48" s="37"/>
      <c r="VXH48" s="37"/>
      <c r="VXI48" s="37"/>
      <c r="VXJ48" s="37"/>
      <c r="VXK48" s="37"/>
      <c r="VXL48" s="37"/>
      <c r="VXM48" s="37"/>
      <c r="VXN48" s="37"/>
      <c r="VXO48" s="37"/>
      <c r="VXP48" s="37"/>
      <c r="VXQ48" s="37"/>
      <c r="VXR48" s="37"/>
      <c r="VXS48" s="37"/>
      <c r="VXT48" s="37"/>
      <c r="VXU48" s="37"/>
      <c r="VXV48" s="37"/>
      <c r="VXW48" s="37"/>
      <c r="VXX48" s="37"/>
      <c r="VXY48" s="37"/>
      <c r="VXZ48" s="37"/>
      <c r="VYA48" s="37"/>
      <c r="VYB48" s="37"/>
      <c r="VYC48" s="37"/>
      <c r="VYD48" s="37"/>
      <c r="VYE48" s="37"/>
      <c r="VYF48" s="37"/>
      <c r="VYG48" s="37"/>
      <c r="VYH48" s="37"/>
      <c r="VYI48" s="37"/>
      <c r="VYJ48" s="37"/>
      <c r="VYK48" s="37"/>
      <c r="VYL48" s="37"/>
      <c r="VYM48" s="37"/>
      <c r="VYN48" s="37"/>
      <c r="VYO48" s="37"/>
      <c r="VYP48" s="37"/>
      <c r="VYQ48" s="37"/>
      <c r="VYR48" s="37"/>
      <c r="VYS48" s="37"/>
      <c r="VYT48" s="37"/>
      <c r="VYU48" s="37"/>
      <c r="VYV48" s="37"/>
      <c r="VYW48" s="37"/>
      <c r="VYX48" s="37"/>
      <c r="VYY48" s="37"/>
      <c r="VYZ48" s="37"/>
      <c r="VZA48" s="37"/>
      <c r="VZB48" s="37"/>
      <c r="VZC48" s="37"/>
      <c r="VZD48" s="37"/>
      <c r="VZE48" s="37"/>
      <c r="VZF48" s="37"/>
      <c r="VZG48" s="37"/>
      <c r="VZH48" s="37"/>
      <c r="VZI48" s="37"/>
      <c r="VZJ48" s="37"/>
      <c r="VZK48" s="37"/>
      <c r="VZL48" s="37"/>
      <c r="VZM48" s="37"/>
      <c r="VZN48" s="37"/>
      <c r="VZO48" s="37"/>
      <c r="VZP48" s="37"/>
      <c r="VZQ48" s="37"/>
      <c r="VZR48" s="37"/>
      <c r="VZS48" s="37"/>
      <c r="VZT48" s="37"/>
      <c r="VZU48" s="37"/>
      <c r="VZV48" s="37"/>
      <c r="VZW48" s="37"/>
      <c r="VZX48" s="37"/>
      <c r="VZY48" s="37"/>
      <c r="VZZ48" s="37"/>
      <c r="WAA48" s="37"/>
      <c r="WAB48" s="37"/>
      <c r="WAC48" s="37"/>
      <c r="WAD48" s="37"/>
      <c r="WAE48" s="37"/>
      <c r="WAF48" s="37"/>
      <c r="WAG48" s="37"/>
      <c r="WAH48" s="37"/>
      <c r="WAI48" s="37"/>
      <c r="WAJ48" s="37"/>
      <c r="WAK48" s="37"/>
      <c r="WAL48" s="37"/>
      <c r="WAM48" s="37"/>
      <c r="WAN48" s="37"/>
      <c r="WAO48" s="37"/>
      <c r="WAP48" s="37"/>
      <c r="WAQ48" s="37"/>
      <c r="WAR48" s="37"/>
      <c r="WAS48" s="37"/>
      <c r="WAT48" s="37"/>
      <c r="WAU48" s="37"/>
      <c r="WAV48" s="37"/>
      <c r="WAW48" s="37"/>
      <c r="WAX48" s="37"/>
      <c r="WAY48" s="37"/>
      <c r="WAZ48" s="37"/>
      <c r="WBA48" s="37"/>
      <c r="WBB48" s="37"/>
      <c r="WBC48" s="37"/>
      <c r="WBD48" s="37"/>
      <c r="WBE48" s="37"/>
      <c r="WBF48" s="37"/>
      <c r="WBG48" s="37"/>
      <c r="WBH48" s="37"/>
      <c r="WBI48" s="37"/>
      <c r="WBJ48" s="37"/>
      <c r="WBK48" s="37"/>
      <c r="WBL48" s="37"/>
      <c r="WBM48" s="37"/>
      <c r="WBN48" s="37"/>
      <c r="WBO48" s="37"/>
      <c r="WBP48" s="37"/>
      <c r="WBQ48" s="37"/>
      <c r="WBR48" s="37"/>
      <c r="WBS48" s="37"/>
      <c r="WBT48" s="37"/>
      <c r="WBU48" s="37"/>
      <c r="WBV48" s="37"/>
      <c r="WBW48" s="37"/>
      <c r="WBX48" s="37"/>
      <c r="WBY48" s="37"/>
      <c r="WBZ48" s="37"/>
      <c r="WCA48" s="37"/>
      <c r="WCB48" s="37"/>
      <c r="WCC48" s="37"/>
      <c r="WCD48" s="37"/>
      <c r="WCE48" s="37"/>
      <c r="WCF48" s="37"/>
      <c r="WCG48" s="37"/>
      <c r="WCH48" s="37"/>
      <c r="WCI48" s="37"/>
      <c r="WCJ48" s="37"/>
      <c r="WCK48" s="37"/>
      <c r="WCL48" s="37"/>
      <c r="WCM48" s="37"/>
      <c r="WCN48" s="37"/>
      <c r="WCO48" s="37"/>
      <c r="WCP48" s="37"/>
      <c r="WCQ48" s="37"/>
      <c r="WCR48" s="37"/>
      <c r="WCS48" s="37"/>
      <c r="WCT48" s="37"/>
      <c r="WCU48" s="37"/>
      <c r="WCV48" s="37"/>
      <c r="WCW48" s="37"/>
      <c r="WCX48" s="37"/>
      <c r="WCY48" s="37"/>
      <c r="WCZ48" s="37"/>
      <c r="WDA48" s="37"/>
      <c r="WDB48" s="37"/>
      <c r="WDC48" s="37"/>
      <c r="WDD48" s="37"/>
      <c r="WDE48" s="37"/>
      <c r="WDF48" s="37"/>
      <c r="WDG48" s="37"/>
      <c r="WDH48" s="37"/>
      <c r="WDI48" s="37"/>
      <c r="WDJ48" s="37"/>
      <c r="WDK48" s="37"/>
      <c r="WDL48" s="37"/>
      <c r="WDM48" s="37"/>
      <c r="WDN48" s="37"/>
      <c r="WDO48" s="37"/>
      <c r="WDP48" s="37"/>
      <c r="WDQ48" s="37"/>
      <c r="WDR48" s="37"/>
      <c r="WDS48" s="37"/>
      <c r="WDT48" s="37"/>
      <c r="WDU48" s="37"/>
      <c r="WDV48" s="37"/>
      <c r="WDW48" s="37"/>
      <c r="WDX48" s="37"/>
      <c r="WDY48" s="37"/>
      <c r="WDZ48" s="37"/>
      <c r="WEA48" s="37"/>
      <c r="WEB48" s="37"/>
      <c r="WEC48" s="37"/>
      <c r="WED48" s="37"/>
      <c r="WEE48" s="37"/>
      <c r="WEF48" s="37"/>
      <c r="WEG48" s="37"/>
      <c r="WEH48" s="37"/>
      <c r="WEI48" s="37"/>
      <c r="WEJ48" s="37"/>
      <c r="WEK48" s="37"/>
      <c r="WEL48" s="37"/>
      <c r="WEM48" s="37"/>
      <c r="WEN48" s="37"/>
      <c r="WEO48" s="37"/>
      <c r="WEP48" s="37"/>
      <c r="WEQ48" s="37"/>
      <c r="WER48" s="37"/>
      <c r="WES48" s="37"/>
      <c r="WET48" s="37"/>
      <c r="WEU48" s="37"/>
      <c r="WEV48" s="37"/>
      <c r="WEW48" s="37"/>
      <c r="WEX48" s="37"/>
      <c r="WEY48" s="37"/>
      <c r="WEZ48" s="37"/>
      <c r="WFA48" s="37"/>
      <c r="WFB48" s="37"/>
      <c r="WFC48" s="37"/>
      <c r="WFD48" s="37"/>
      <c r="WFE48" s="37"/>
      <c r="WFF48" s="37"/>
      <c r="WFG48" s="37"/>
      <c r="WFH48" s="37"/>
      <c r="WFI48" s="37"/>
      <c r="WFJ48" s="37"/>
      <c r="WFK48" s="37"/>
      <c r="WFL48" s="37"/>
      <c r="WFM48" s="37"/>
      <c r="WFN48" s="37"/>
      <c r="WFO48" s="37"/>
      <c r="WFP48" s="37"/>
      <c r="WFQ48" s="37"/>
      <c r="WFR48" s="37"/>
      <c r="WFS48" s="37"/>
      <c r="WFT48" s="37"/>
      <c r="WFU48" s="37"/>
      <c r="WFV48" s="37"/>
      <c r="WFW48" s="37"/>
      <c r="WFX48" s="37"/>
      <c r="WFY48" s="37"/>
      <c r="WFZ48" s="37"/>
      <c r="WGA48" s="37"/>
      <c r="WGB48" s="37"/>
      <c r="WGC48" s="37"/>
      <c r="WGD48" s="37"/>
      <c r="WGE48" s="37"/>
      <c r="WGF48" s="37"/>
      <c r="WGG48" s="37"/>
      <c r="WGH48" s="37"/>
      <c r="WGI48" s="37"/>
      <c r="WGJ48" s="37"/>
      <c r="WGK48" s="37"/>
      <c r="WGL48" s="37"/>
      <c r="WGM48" s="37"/>
      <c r="WGN48" s="37"/>
      <c r="WGO48" s="37"/>
      <c r="WGP48" s="37"/>
      <c r="WGQ48" s="37"/>
      <c r="WGR48" s="37"/>
      <c r="WGS48" s="37"/>
      <c r="WGT48" s="37"/>
      <c r="WGU48" s="37"/>
      <c r="WGV48" s="37"/>
      <c r="WGW48" s="37"/>
      <c r="WGX48" s="37"/>
      <c r="WGY48" s="37"/>
      <c r="WGZ48" s="37"/>
      <c r="WHA48" s="37"/>
      <c r="WHB48" s="37"/>
      <c r="WHC48" s="37"/>
      <c r="WHD48" s="37"/>
      <c r="WHE48" s="37"/>
      <c r="WHF48" s="37"/>
      <c r="WHG48" s="37"/>
      <c r="WHH48" s="37"/>
      <c r="WHI48" s="37"/>
      <c r="WHJ48" s="37"/>
      <c r="WHK48" s="37"/>
      <c r="WHL48" s="37"/>
      <c r="WHM48" s="37"/>
      <c r="WHN48" s="37"/>
      <c r="WHO48" s="37"/>
      <c r="WHP48" s="37"/>
      <c r="WHQ48" s="37"/>
      <c r="WHR48" s="37"/>
      <c r="WHS48" s="37"/>
      <c r="WHT48" s="37"/>
      <c r="WHU48" s="37"/>
      <c r="WHV48" s="37"/>
      <c r="WHW48" s="37"/>
      <c r="WHX48" s="37"/>
      <c r="WHY48" s="37"/>
      <c r="WHZ48" s="37"/>
      <c r="WIA48" s="37"/>
      <c r="WIB48" s="37"/>
      <c r="WIC48" s="37"/>
      <c r="WID48" s="37"/>
      <c r="WIE48" s="37"/>
      <c r="WIF48" s="37"/>
      <c r="WIG48" s="37"/>
      <c r="WIH48" s="37"/>
      <c r="WII48" s="37"/>
      <c r="WIJ48" s="37"/>
      <c r="WIK48" s="37"/>
      <c r="WIL48" s="37"/>
      <c r="WIM48" s="37"/>
      <c r="WIN48" s="37"/>
      <c r="WIO48" s="37"/>
      <c r="WIP48" s="37"/>
      <c r="WIQ48" s="37"/>
      <c r="WIR48" s="37"/>
      <c r="WIS48" s="37"/>
      <c r="WIT48" s="37"/>
      <c r="WIU48" s="37"/>
      <c r="WIV48" s="37"/>
      <c r="WIW48" s="37"/>
      <c r="WIX48" s="37"/>
      <c r="WIY48" s="37"/>
      <c r="WIZ48" s="37"/>
      <c r="WJA48" s="37"/>
      <c r="WJB48" s="37"/>
      <c r="WJC48" s="37"/>
      <c r="WJD48" s="37"/>
      <c r="WJE48" s="37"/>
      <c r="WJF48" s="37"/>
      <c r="WJG48" s="37"/>
      <c r="WJH48" s="37"/>
      <c r="WJI48" s="37"/>
      <c r="WJJ48" s="37"/>
      <c r="WJK48" s="37"/>
      <c r="WJL48" s="37"/>
      <c r="WJM48" s="37"/>
      <c r="WJN48" s="37"/>
      <c r="WJO48" s="37"/>
      <c r="WJP48" s="37"/>
      <c r="WJQ48" s="37"/>
      <c r="WJR48" s="37"/>
      <c r="WJS48" s="37"/>
      <c r="WJT48" s="37"/>
      <c r="WJU48" s="37"/>
      <c r="WJV48" s="37"/>
      <c r="WJW48" s="37"/>
      <c r="WJX48" s="37"/>
      <c r="WJY48" s="37"/>
      <c r="WJZ48" s="37"/>
      <c r="WKA48" s="37"/>
      <c r="WKB48" s="37"/>
      <c r="WKC48" s="37"/>
      <c r="WKD48" s="37"/>
      <c r="WKE48" s="37"/>
      <c r="WKF48" s="37"/>
      <c r="WKG48" s="37"/>
      <c r="WKH48" s="37"/>
      <c r="WKI48" s="37"/>
      <c r="WKJ48" s="37"/>
      <c r="WKK48" s="37"/>
      <c r="WKL48" s="37"/>
      <c r="WKM48" s="37"/>
      <c r="WKN48" s="37"/>
      <c r="WKO48" s="37"/>
      <c r="WKP48" s="37"/>
      <c r="WKQ48" s="37"/>
      <c r="WKR48" s="37"/>
      <c r="WKS48" s="37"/>
      <c r="WKT48" s="37"/>
      <c r="WKU48" s="37"/>
      <c r="WKV48" s="37"/>
      <c r="WKW48" s="37"/>
      <c r="WKX48" s="37"/>
      <c r="WKY48" s="37"/>
      <c r="WKZ48" s="37"/>
      <c r="WLA48" s="37"/>
      <c r="WLB48" s="37"/>
      <c r="WLC48" s="37"/>
      <c r="WLD48" s="37"/>
      <c r="WLE48" s="37"/>
      <c r="WLF48" s="37"/>
      <c r="WLG48" s="37"/>
      <c r="WLH48" s="37"/>
      <c r="WLI48" s="37"/>
      <c r="WLJ48" s="37"/>
      <c r="WLK48" s="37"/>
      <c r="WLL48" s="37"/>
      <c r="WLM48" s="37"/>
      <c r="WLN48" s="37"/>
      <c r="WLO48" s="37"/>
      <c r="WLP48" s="37"/>
      <c r="WLQ48" s="37"/>
      <c r="WLR48" s="37"/>
      <c r="WLS48" s="37"/>
      <c r="WLT48" s="37"/>
      <c r="WLU48" s="37"/>
      <c r="WLV48" s="37"/>
      <c r="WLW48" s="37"/>
      <c r="WLX48" s="37"/>
      <c r="WLY48" s="37"/>
      <c r="WLZ48" s="37"/>
      <c r="WMA48" s="37"/>
      <c r="WMB48" s="37"/>
      <c r="WMC48" s="37"/>
      <c r="WMD48" s="37"/>
      <c r="WME48" s="37"/>
      <c r="WMF48" s="37"/>
      <c r="WMG48" s="37"/>
      <c r="WMH48" s="37"/>
      <c r="WMI48" s="37"/>
      <c r="WMJ48" s="37"/>
      <c r="WMK48" s="37"/>
      <c r="WML48" s="37"/>
      <c r="WMM48" s="37"/>
      <c r="WMN48" s="37"/>
      <c r="WMO48" s="37"/>
      <c r="WMP48" s="37"/>
      <c r="WMQ48" s="37"/>
      <c r="WMR48" s="37"/>
      <c r="WMS48" s="37"/>
      <c r="WMT48" s="37"/>
      <c r="WMU48" s="37"/>
      <c r="WMV48" s="37"/>
      <c r="WMW48" s="37"/>
      <c r="WMX48" s="37"/>
      <c r="WMY48" s="37"/>
      <c r="WMZ48" s="37"/>
      <c r="WNA48" s="37"/>
      <c r="WNB48" s="37"/>
      <c r="WNC48" s="37"/>
      <c r="WND48" s="37"/>
      <c r="WNE48" s="37"/>
      <c r="WNF48" s="37"/>
      <c r="WNG48" s="37"/>
      <c r="WNH48" s="37"/>
      <c r="WNI48" s="37"/>
      <c r="WNJ48" s="37"/>
      <c r="WNK48" s="37"/>
      <c r="WNL48" s="37"/>
      <c r="WNM48" s="37"/>
      <c r="WNN48" s="37"/>
      <c r="WNO48" s="37"/>
      <c r="WNP48" s="37"/>
      <c r="WNQ48" s="37"/>
      <c r="WNR48" s="37"/>
      <c r="WNS48" s="37"/>
      <c r="WNT48" s="37"/>
      <c r="WNU48" s="37"/>
      <c r="WNV48" s="37"/>
      <c r="WNW48" s="37"/>
      <c r="WNX48" s="37"/>
      <c r="WNY48" s="37"/>
      <c r="WNZ48" s="37"/>
      <c r="WOA48" s="37"/>
      <c r="WOB48" s="37"/>
      <c r="WOC48" s="37"/>
      <c r="WOD48" s="37"/>
      <c r="WOE48" s="37"/>
      <c r="WOF48" s="37"/>
      <c r="WOG48" s="37"/>
      <c r="WOH48" s="37"/>
      <c r="WOI48" s="37"/>
      <c r="WOJ48" s="37"/>
      <c r="WOK48" s="37"/>
      <c r="WOL48" s="37"/>
      <c r="WOM48" s="37"/>
      <c r="WON48" s="37"/>
      <c r="WOO48" s="37"/>
      <c r="WOP48" s="37"/>
      <c r="WOQ48" s="37"/>
      <c r="WOR48" s="37"/>
      <c r="WOS48" s="37"/>
      <c r="WOT48" s="37"/>
      <c r="WOU48" s="37"/>
      <c r="WOV48" s="37"/>
      <c r="WOW48" s="37"/>
      <c r="WOX48" s="37"/>
      <c r="WOY48" s="37"/>
      <c r="WOZ48" s="37"/>
      <c r="WPA48" s="37"/>
      <c r="WPB48" s="37"/>
      <c r="WPC48" s="37"/>
      <c r="WPD48" s="37"/>
      <c r="WPE48" s="37"/>
      <c r="WPF48" s="37"/>
      <c r="WPG48" s="37"/>
      <c r="WPH48" s="37"/>
      <c r="WPI48" s="37"/>
      <c r="WPJ48" s="37"/>
      <c r="WPK48" s="37"/>
      <c r="WPL48" s="37"/>
      <c r="WPM48" s="37"/>
      <c r="WPN48" s="37"/>
      <c r="WPO48" s="37"/>
      <c r="WPP48" s="37"/>
      <c r="WPQ48" s="37"/>
      <c r="WPR48" s="37"/>
      <c r="WPS48" s="37"/>
      <c r="WPT48" s="37"/>
      <c r="WPU48" s="37"/>
      <c r="WPV48" s="37"/>
      <c r="WPW48" s="37"/>
      <c r="WPX48" s="37"/>
      <c r="WPY48" s="37"/>
      <c r="WPZ48" s="37"/>
      <c r="WQA48" s="37"/>
      <c r="WQB48" s="37"/>
      <c r="WQC48" s="37"/>
      <c r="WQD48" s="37"/>
      <c r="WQE48" s="37"/>
      <c r="WQF48" s="37"/>
      <c r="WQG48" s="37"/>
      <c r="WQH48" s="37"/>
      <c r="WQI48" s="37"/>
      <c r="WQJ48" s="37"/>
      <c r="WQK48" s="37"/>
      <c r="WQL48" s="37"/>
      <c r="WQM48" s="37"/>
      <c r="WQN48" s="37"/>
      <c r="WQO48" s="37"/>
      <c r="WQP48" s="37"/>
      <c r="WQQ48" s="37"/>
      <c r="WQR48" s="37"/>
      <c r="WQS48" s="37"/>
      <c r="WQT48" s="37"/>
      <c r="WQU48" s="37"/>
      <c r="WQV48" s="37"/>
      <c r="WQW48" s="37"/>
      <c r="WQX48" s="37"/>
      <c r="WQY48" s="37"/>
      <c r="WQZ48" s="37"/>
      <c r="WRA48" s="37"/>
      <c r="WRB48" s="37"/>
      <c r="WRC48" s="37"/>
      <c r="WRD48" s="37"/>
      <c r="WRE48" s="37"/>
      <c r="WRF48" s="37"/>
      <c r="WRG48" s="37"/>
      <c r="WRH48" s="37"/>
      <c r="WRI48" s="37"/>
      <c r="WRJ48" s="37"/>
      <c r="WRK48" s="37"/>
      <c r="WRL48" s="37"/>
      <c r="WRM48" s="37"/>
      <c r="WRN48" s="37"/>
      <c r="WRO48" s="37"/>
      <c r="WRP48" s="37"/>
      <c r="WRQ48" s="37"/>
      <c r="WRR48" s="37"/>
      <c r="WRS48" s="37"/>
      <c r="WRT48" s="37"/>
      <c r="WRU48" s="37"/>
      <c r="WRV48" s="37"/>
      <c r="WRW48" s="37"/>
      <c r="WRX48" s="37"/>
      <c r="WRY48" s="37"/>
      <c r="WRZ48" s="37"/>
      <c r="WSA48" s="37"/>
      <c r="WSB48" s="37"/>
      <c r="WSC48" s="37"/>
      <c r="WSD48" s="37"/>
      <c r="WSE48" s="37"/>
      <c r="WSF48" s="37"/>
      <c r="WSG48" s="37"/>
      <c r="WSH48" s="37"/>
      <c r="WSI48" s="37"/>
      <c r="WSJ48" s="37"/>
      <c r="WSK48" s="37"/>
      <c r="WSL48" s="37"/>
      <c r="WSM48" s="37"/>
      <c r="WSN48" s="37"/>
      <c r="WSO48" s="37"/>
      <c r="WSP48" s="37"/>
      <c r="WSQ48" s="37"/>
      <c r="WSR48" s="37"/>
      <c r="WSS48" s="37"/>
      <c r="WST48" s="37"/>
      <c r="WSU48" s="37"/>
      <c r="WSV48" s="37"/>
      <c r="WSW48" s="37"/>
      <c r="WSX48" s="37"/>
      <c r="WSY48" s="37"/>
      <c r="WSZ48" s="37"/>
      <c r="WTA48" s="37"/>
      <c r="WTB48" s="37"/>
      <c r="WTC48" s="37"/>
      <c r="WTD48" s="37"/>
      <c r="WTE48" s="37"/>
      <c r="WTF48" s="37"/>
      <c r="WTG48" s="37"/>
      <c r="WTH48" s="37"/>
      <c r="WTI48" s="37"/>
      <c r="WTJ48" s="37"/>
      <c r="WTK48" s="37"/>
      <c r="WTL48" s="37"/>
      <c r="WTM48" s="37"/>
      <c r="WTN48" s="37"/>
      <c r="WTO48" s="37"/>
      <c r="WTP48" s="37"/>
      <c r="WTQ48" s="37"/>
      <c r="WTR48" s="37"/>
      <c r="WTS48" s="37"/>
      <c r="WTT48" s="37"/>
      <c r="WTU48" s="37"/>
      <c r="WTV48" s="37"/>
      <c r="WTW48" s="37"/>
      <c r="WTX48" s="37"/>
      <c r="WTY48" s="37"/>
      <c r="WTZ48" s="37"/>
      <c r="WUA48" s="37"/>
      <c r="WUB48" s="37"/>
      <c r="WUC48" s="37"/>
      <c r="WUD48" s="37"/>
      <c r="WUE48" s="37"/>
      <c r="WUF48" s="37"/>
      <c r="WUG48" s="37"/>
      <c r="WUH48" s="37"/>
      <c r="WUI48" s="37"/>
      <c r="WUJ48" s="37"/>
      <c r="WUK48" s="37"/>
      <c r="WUL48" s="37"/>
      <c r="WUM48" s="37"/>
      <c r="WUN48" s="37"/>
      <c r="WUO48" s="37"/>
      <c r="WUP48" s="37"/>
      <c r="WUQ48" s="37"/>
      <c r="WUR48" s="37"/>
      <c r="WUS48" s="37"/>
      <c r="WUT48" s="37"/>
      <c r="WUU48" s="37"/>
      <c r="WUV48" s="37"/>
      <c r="WUW48" s="37"/>
      <c r="WUX48" s="37"/>
      <c r="WUY48" s="37"/>
      <c r="WUZ48" s="37"/>
      <c r="WVA48" s="37"/>
      <c r="WVB48" s="37"/>
      <c r="WVC48" s="37"/>
      <c r="WVD48" s="37"/>
      <c r="WVE48" s="37"/>
      <c r="WVF48" s="37"/>
      <c r="WVG48" s="37"/>
      <c r="WVH48" s="37"/>
      <c r="WVI48" s="37"/>
      <c r="WVJ48" s="37"/>
      <c r="WVK48" s="37"/>
      <c r="WVL48" s="37"/>
      <c r="WVM48" s="37"/>
      <c r="WVN48" s="37"/>
      <c r="WVO48" s="37"/>
      <c r="WVP48" s="37"/>
      <c r="WVQ48" s="37"/>
      <c r="WVR48" s="37"/>
      <c r="WVS48" s="37"/>
      <c r="WVT48" s="37"/>
      <c r="WVU48" s="37"/>
      <c r="WVV48" s="37"/>
      <c r="WVW48" s="37"/>
      <c r="WVX48" s="37"/>
      <c r="WVY48" s="37"/>
      <c r="WVZ48" s="37"/>
      <c r="WWA48" s="37"/>
      <c r="WWB48" s="37"/>
      <c r="WWC48" s="37"/>
      <c r="WWD48" s="37"/>
      <c r="WWE48" s="37"/>
      <c r="WWF48" s="37"/>
      <c r="WWG48" s="37"/>
      <c r="WWH48" s="37"/>
      <c r="WWI48" s="37"/>
      <c r="WWJ48" s="37"/>
      <c r="WWK48" s="37"/>
      <c r="WWL48" s="37"/>
      <c r="WWM48" s="37"/>
      <c r="WWN48" s="37"/>
      <c r="WWO48" s="37"/>
      <c r="WWP48" s="37"/>
      <c r="WWQ48" s="37"/>
      <c r="WWR48" s="37"/>
      <c r="WWS48" s="37"/>
      <c r="WWT48" s="37"/>
      <c r="WWU48" s="37"/>
      <c r="WWV48" s="37"/>
      <c r="WWW48" s="37"/>
      <c r="WWX48" s="37"/>
      <c r="WWY48" s="37"/>
      <c r="WWZ48" s="37"/>
      <c r="WXA48" s="37"/>
      <c r="WXB48" s="37"/>
      <c r="WXC48" s="37"/>
      <c r="WXD48" s="37"/>
      <c r="WXE48" s="37"/>
      <c r="WXF48" s="37"/>
      <c r="WXG48" s="37"/>
      <c r="WXH48" s="37"/>
      <c r="WXI48" s="37"/>
      <c r="WXJ48" s="37"/>
      <c r="WXK48" s="37"/>
      <c r="WXL48" s="37"/>
      <c r="WXM48" s="37"/>
      <c r="WXN48" s="37"/>
      <c r="WXO48" s="37"/>
      <c r="WXP48" s="37"/>
      <c r="WXQ48" s="37"/>
      <c r="WXR48" s="37"/>
      <c r="WXS48" s="37"/>
      <c r="WXT48" s="37"/>
      <c r="WXU48" s="37"/>
      <c r="WXV48" s="37"/>
      <c r="WXW48" s="37"/>
      <c r="WXX48" s="37"/>
      <c r="WXY48" s="37"/>
      <c r="WXZ48" s="37"/>
      <c r="WYA48" s="37"/>
      <c r="WYB48" s="37"/>
      <c r="WYC48" s="37"/>
      <c r="WYD48" s="37"/>
      <c r="WYE48" s="37"/>
      <c r="WYF48" s="37"/>
      <c r="WYG48" s="37"/>
      <c r="WYH48" s="37"/>
      <c r="WYI48" s="37"/>
      <c r="WYJ48" s="37"/>
      <c r="WYK48" s="37"/>
      <c r="WYL48" s="37"/>
      <c r="WYM48" s="37"/>
      <c r="WYN48" s="37"/>
      <c r="WYO48" s="37"/>
      <c r="WYP48" s="37"/>
      <c r="WYQ48" s="37"/>
      <c r="WYR48" s="37"/>
      <c r="WYS48" s="37"/>
      <c r="WYT48" s="37"/>
      <c r="WYU48" s="37"/>
      <c r="WYV48" s="37"/>
      <c r="WYW48" s="37"/>
      <c r="WYX48" s="37"/>
      <c r="WYY48" s="37"/>
      <c r="WYZ48" s="37"/>
      <c r="WZA48" s="37"/>
      <c r="WZB48" s="37"/>
      <c r="WZC48" s="37"/>
      <c r="WZD48" s="37"/>
      <c r="WZE48" s="37"/>
      <c r="WZF48" s="37"/>
      <c r="WZG48" s="37"/>
      <c r="WZH48" s="37"/>
      <c r="WZI48" s="37"/>
      <c r="WZJ48" s="37"/>
      <c r="WZK48" s="37"/>
      <c r="WZL48" s="37"/>
      <c r="WZM48" s="37"/>
      <c r="WZN48" s="37"/>
      <c r="WZO48" s="37"/>
      <c r="WZP48" s="37"/>
      <c r="WZQ48" s="37"/>
      <c r="WZR48" s="37"/>
      <c r="WZS48" s="37"/>
      <c r="WZT48" s="37"/>
      <c r="WZU48" s="37"/>
      <c r="WZV48" s="37"/>
      <c r="WZW48" s="37"/>
      <c r="WZX48" s="37"/>
      <c r="WZY48" s="37"/>
      <c r="WZZ48" s="37"/>
      <c r="XAA48" s="37"/>
      <c r="XAB48" s="37"/>
      <c r="XAC48" s="37"/>
      <c r="XAD48" s="37"/>
      <c r="XAE48" s="37"/>
      <c r="XAF48" s="37"/>
      <c r="XAG48" s="37"/>
      <c r="XAH48" s="37"/>
      <c r="XAI48" s="37"/>
      <c r="XAJ48" s="37"/>
      <c r="XAK48" s="37"/>
      <c r="XAL48" s="37"/>
      <c r="XAM48" s="37"/>
      <c r="XAN48" s="37"/>
      <c r="XAO48" s="37"/>
      <c r="XAP48" s="37"/>
      <c r="XAQ48" s="37"/>
      <c r="XAR48" s="37"/>
      <c r="XAS48" s="37"/>
      <c r="XAT48" s="37"/>
      <c r="XAU48" s="37"/>
      <c r="XAV48" s="37"/>
      <c r="XAW48" s="37"/>
      <c r="XAX48" s="37"/>
      <c r="XAY48" s="37"/>
      <c r="XAZ48" s="37"/>
      <c r="XBA48" s="37"/>
      <c r="XBB48" s="37"/>
      <c r="XBC48" s="37"/>
      <c r="XBD48" s="37"/>
      <c r="XBE48" s="37"/>
      <c r="XBF48" s="37"/>
      <c r="XBG48" s="37"/>
      <c r="XBH48" s="37"/>
      <c r="XBI48" s="37"/>
      <c r="XBJ48" s="37"/>
      <c r="XBK48" s="37"/>
      <c r="XBL48" s="37"/>
      <c r="XBM48" s="37"/>
      <c r="XBN48" s="37"/>
      <c r="XBO48" s="37"/>
      <c r="XBP48" s="37"/>
      <c r="XBQ48" s="37"/>
      <c r="XBR48" s="37"/>
      <c r="XBS48" s="37"/>
      <c r="XBT48" s="37"/>
      <c r="XBU48" s="37"/>
      <c r="XBV48" s="37"/>
      <c r="XBW48" s="37"/>
      <c r="XBX48" s="37"/>
      <c r="XBY48" s="37"/>
      <c r="XBZ48" s="37"/>
      <c r="XCA48" s="37"/>
      <c r="XCB48" s="37"/>
      <c r="XCC48" s="37"/>
      <c r="XCD48" s="37"/>
      <c r="XCE48" s="37"/>
      <c r="XCF48" s="37"/>
      <c r="XCG48" s="37"/>
      <c r="XCH48" s="37"/>
      <c r="XCI48" s="37"/>
      <c r="XCJ48" s="37"/>
      <c r="XCK48" s="37"/>
      <c r="XCL48" s="37"/>
      <c r="XCM48" s="37"/>
      <c r="XCN48" s="37"/>
      <c r="XCO48" s="37"/>
      <c r="XCP48" s="37"/>
      <c r="XCQ48" s="37"/>
      <c r="XCR48" s="37"/>
      <c r="XCS48" s="37"/>
      <c r="XCT48" s="37"/>
      <c r="XCU48" s="37"/>
      <c r="XCV48" s="37"/>
      <c r="XCW48" s="37"/>
      <c r="XCX48" s="37"/>
      <c r="XCY48" s="37"/>
      <c r="XCZ48" s="37"/>
      <c r="XDA48" s="37"/>
      <c r="XDB48" s="37"/>
      <c r="XDC48" s="37"/>
      <c r="XDD48" s="37"/>
      <c r="XDE48" s="37"/>
      <c r="XDF48" s="37"/>
      <c r="XDG48" s="37"/>
      <c r="XDH48" s="37"/>
      <c r="XDI48" s="37"/>
      <c r="XDJ48" s="37"/>
      <c r="XDK48" s="37"/>
      <c r="XDL48" s="37"/>
      <c r="XDM48" s="37"/>
      <c r="XDN48" s="37"/>
      <c r="XDO48" s="37"/>
      <c r="XDP48" s="37"/>
      <c r="XDQ48" s="37"/>
      <c r="XDR48" s="37"/>
      <c r="XDS48" s="37"/>
      <c r="XDT48" s="37"/>
      <c r="XDU48" s="37"/>
      <c r="XDV48" s="37"/>
      <c r="XDW48" s="37"/>
      <c r="XDX48" s="37"/>
      <c r="XDY48" s="37"/>
      <c r="XDZ48" s="37"/>
      <c r="XEA48" s="37"/>
      <c r="XEB48" s="37"/>
      <c r="XEC48" s="37"/>
      <c r="XED48" s="37"/>
      <c r="XEE48" s="37"/>
      <c r="XEF48" s="37"/>
      <c r="XEG48" s="37"/>
      <c r="XEH48" s="37"/>
      <c r="XEI48" s="37"/>
      <c r="XEJ48" s="37"/>
      <c r="XEK48" s="37"/>
      <c r="XEL48" s="37"/>
      <c r="XEM48" s="37"/>
      <c r="XEN48" s="37"/>
      <c r="XEO48" s="37"/>
      <c r="XEP48" s="37"/>
      <c r="XEQ48" s="37"/>
      <c r="XER48" s="37"/>
      <c r="XES48" s="37"/>
      <c r="XET48" s="37"/>
      <c r="XEU48" s="37"/>
      <c r="XEV48" s="37"/>
      <c r="XEW48" s="37"/>
      <c r="XEX48" s="37"/>
      <c r="XEY48" s="37"/>
      <c r="XEZ48" s="37"/>
      <c r="XFA48" s="37"/>
      <c r="XFB48" s="37"/>
      <c r="XFC48" s="37"/>
      <c r="XFD48" s="37"/>
    </row>
    <row r="49" spans="2:12" ht="21" thickTop="1">
      <c r="B49" s="78"/>
    </row>
    <row r="50" spans="2:12">
      <c r="B50" s="77" t="s">
        <v>200</v>
      </c>
      <c r="C50" s="290" t="s">
        <v>196</v>
      </c>
      <c r="D50" s="290"/>
      <c r="E50" s="290"/>
      <c r="F50" s="290"/>
      <c r="G50" s="290"/>
      <c r="H50" s="290"/>
      <c r="I50" s="290"/>
      <c r="J50" s="290"/>
      <c r="K50" s="290"/>
      <c r="L50" s="290"/>
    </row>
    <row r="51" spans="2:12">
      <c r="B51" s="84" t="s">
        <v>202</v>
      </c>
      <c r="C51" s="76">
        <f>C37</f>
        <v>45291</v>
      </c>
      <c r="D51" s="76">
        <f t="shared" ref="D51:L51" si="6">D37</f>
        <v>44926</v>
      </c>
      <c r="E51" s="76">
        <f t="shared" si="6"/>
        <v>44561</v>
      </c>
      <c r="F51" s="76">
        <f t="shared" si="6"/>
        <v>44196</v>
      </c>
      <c r="G51" s="76">
        <f t="shared" si="6"/>
        <v>43830</v>
      </c>
      <c r="H51" s="76" t="str">
        <f t="shared" si="6"/>
        <v/>
      </c>
      <c r="I51" s="76" t="str">
        <f t="shared" si="6"/>
        <v/>
      </c>
      <c r="J51" s="76" t="str">
        <f t="shared" si="6"/>
        <v/>
      </c>
      <c r="K51" s="76" t="str">
        <f t="shared" si="6"/>
        <v/>
      </c>
      <c r="L51" s="76" t="str">
        <f t="shared" si="6"/>
        <v/>
      </c>
    </row>
    <row r="52" spans="2:12">
      <c r="B52" t="s">
        <v>39</v>
      </c>
      <c r="C52" s="80">
        <f t="shared" ref="C52:L52" si="7">IF(C38&lt;&gt;"",C42, "")</f>
        <v>2897</v>
      </c>
      <c r="D52" s="80">
        <f t="shared" si="7"/>
        <v>707</v>
      </c>
      <c r="E52" s="80">
        <f t="shared" si="7"/>
        <v>-2271</v>
      </c>
      <c r="F52" s="80">
        <f t="shared" si="7"/>
        <v>-38</v>
      </c>
      <c r="G52" s="80">
        <f t="shared" si="7"/>
        <v>1105</v>
      </c>
      <c r="H52" s="80" t="str">
        <f t="shared" si="7"/>
        <v/>
      </c>
      <c r="I52" s="80" t="str">
        <f t="shared" si="7"/>
        <v/>
      </c>
      <c r="J52" s="80" t="str">
        <f t="shared" si="7"/>
        <v/>
      </c>
      <c r="K52" s="80" t="str">
        <f t="shared" si="7"/>
        <v/>
      </c>
      <c r="L52" s="80" t="str">
        <f t="shared" si="7"/>
        <v/>
      </c>
    </row>
    <row r="53" spans="2:12">
      <c r="B53" t="s">
        <v>101</v>
      </c>
      <c r="C53" s="80">
        <f t="shared" ref="C53:L53" si="8">IF(C38&lt;&gt;"",C6-SUM(C24,C20), "")</f>
        <v>28352</v>
      </c>
      <c r="D53" s="80">
        <f t="shared" si="8"/>
        <v>21162</v>
      </c>
      <c r="E53" s="80">
        <f t="shared" si="8"/>
        <v>16906</v>
      </c>
      <c r="F53" s="80">
        <f t="shared" si="8"/>
        <v>18694</v>
      </c>
      <c r="G53" s="80">
        <f t="shared" si="8"/>
        <v>5903</v>
      </c>
      <c r="H53" s="80" t="str">
        <f t="shared" si="8"/>
        <v/>
      </c>
      <c r="I53" s="80" t="str">
        <f t="shared" si="8"/>
        <v/>
      </c>
      <c r="J53" s="80" t="str">
        <f t="shared" si="8"/>
        <v/>
      </c>
      <c r="K53" s="80" t="str">
        <f t="shared" si="8"/>
        <v/>
      </c>
      <c r="L53" s="80" t="str">
        <f t="shared" si="8"/>
        <v/>
      </c>
    </row>
    <row r="54" spans="2:12">
      <c r="C54" s="80"/>
      <c r="D54" s="80"/>
      <c r="E54" s="80"/>
      <c r="F54" s="80"/>
      <c r="G54" s="80"/>
      <c r="H54" s="80"/>
      <c r="I54" s="80"/>
      <c r="J54" s="80"/>
      <c r="K54" s="80"/>
      <c r="L54" s="80"/>
    </row>
    <row r="55" spans="2:12">
      <c r="B55" t="s">
        <v>19</v>
      </c>
      <c r="C55" s="80">
        <f t="shared" ref="C55:L55" si="9">IF(C38&lt;&gt;"",C11,"")</f>
        <v>45123</v>
      </c>
      <c r="D55" s="80">
        <f t="shared" si="9"/>
        <v>36635</v>
      </c>
      <c r="E55" s="80">
        <f t="shared" si="9"/>
        <v>31176</v>
      </c>
      <c r="F55" s="80">
        <f t="shared" si="9"/>
        <v>23375</v>
      </c>
      <c r="G55" s="80">
        <f t="shared" si="9"/>
        <v>20199</v>
      </c>
      <c r="H55" s="80" t="str">
        <f t="shared" si="9"/>
        <v/>
      </c>
      <c r="I55" s="80" t="str">
        <f t="shared" si="9"/>
        <v/>
      </c>
      <c r="J55" s="80" t="str">
        <f t="shared" si="9"/>
        <v/>
      </c>
      <c r="K55" s="80" t="str">
        <f t="shared" si="9"/>
        <v/>
      </c>
      <c r="L55" s="80" t="str">
        <f t="shared" si="9"/>
        <v/>
      </c>
    </row>
    <row r="56" spans="2:12">
      <c r="B56" t="s">
        <v>103</v>
      </c>
      <c r="C56" s="80">
        <f t="shared" ref="C56:L56" si="10">IF(C38&lt;&gt;"",C15,"")</f>
        <v>615</v>
      </c>
      <c r="D56" s="80">
        <f t="shared" si="10"/>
        <v>593</v>
      </c>
      <c r="E56" s="80">
        <f t="shared" si="10"/>
        <v>1717</v>
      </c>
      <c r="F56" s="80">
        <f t="shared" si="10"/>
        <v>520</v>
      </c>
      <c r="G56" s="80">
        <f t="shared" si="10"/>
        <v>537</v>
      </c>
      <c r="H56" s="80" t="str">
        <f t="shared" si="10"/>
        <v/>
      </c>
      <c r="I56" s="80" t="str">
        <f t="shared" si="10"/>
        <v/>
      </c>
      <c r="J56" s="80" t="str">
        <f t="shared" si="10"/>
        <v/>
      </c>
      <c r="K56" s="80" t="str">
        <f t="shared" si="10"/>
        <v/>
      </c>
      <c r="L56" s="80" t="str">
        <f t="shared" si="10"/>
        <v/>
      </c>
    </row>
    <row r="57" spans="2:12">
      <c r="C57" s="80"/>
      <c r="D57" s="80"/>
      <c r="E57" s="80"/>
      <c r="F57" s="80"/>
      <c r="G57" s="80"/>
      <c r="H57" s="80"/>
      <c r="I57" s="80"/>
      <c r="J57" s="80"/>
      <c r="K57" s="80"/>
      <c r="L57" s="80"/>
    </row>
    <row r="58" spans="2:12">
      <c r="B58" t="s">
        <v>102</v>
      </c>
      <c r="C58" s="80">
        <f t="shared" ref="C58:L58" si="11">IF(C38&lt;&gt;"",SUM(C9,C13,C16,C14)-SUM(C25,C21),"")</f>
        <v>-3805</v>
      </c>
      <c r="D58" s="80">
        <f t="shared" si="11"/>
        <v>-7451</v>
      </c>
      <c r="E58" s="80">
        <f t="shared" si="11"/>
        <v>-7072</v>
      </c>
      <c r="F58" s="80">
        <f t="shared" si="11"/>
        <v>-5525</v>
      </c>
      <c r="G58" s="80">
        <f t="shared" si="11"/>
        <v>-4937</v>
      </c>
      <c r="H58" s="80" t="str">
        <f t="shared" si="11"/>
        <v/>
      </c>
      <c r="I58" s="80" t="str">
        <f t="shared" si="11"/>
        <v/>
      </c>
      <c r="J58" s="80" t="str">
        <f t="shared" si="11"/>
        <v/>
      </c>
      <c r="K58" s="80" t="str">
        <f t="shared" si="11"/>
        <v/>
      </c>
      <c r="L58" s="80" t="str">
        <f t="shared" si="11"/>
        <v/>
      </c>
    </row>
    <row r="59" spans="2:12">
      <c r="C59" s="80"/>
      <c r="D59" s="80"/>
      <c r="E59" s="80"/>
      <c r="F59" s="80"/>
      <c r="G59" s="80"/>
      <c r="H59" s="80"/>
      <c r="I59" s="80"/>
      <c r="J59" s="80"/>
      <c r="K59" s="80"/>
      <c r="L59" s="80"/>
    </row>
    <row r="60" spans="2:12" ht="17" thickBot="1">
      <c r="B60" s="71" t="s">
        <v>104</v>
      </c>
      <c r="C60" s="81">
        <f t="shared" ref="C60:L60" si="12">IF(C38&lt;&gt;"",SUM(C52:C58),"")</f>
        <v>73182</v>
      </c>
      <c r="D60" s="81">
        <f t="shared" si="12"/>
        <v>51646</v>
      </c>
      <c r="E60" s="81">
        <f t="shared" si="12"/>
        <v>40456</v>
      </c>
      <c r="F60" s="81">
        <f t="shared" si="12"/>
        <v>37026</v>
      </c>
      <c r="G60" s="81">
        <f t="shared" si="12"/>
        <v>22807</v>
      </c>
      <c r="H60" s="81" t="str">
        <f t="shared" si="12"/>
        <v/>
      </c>
      <c r="I60" s="81" t="str">
        <f t="shared" si="12"/>
        <v/>
      </c>
      <c r="J60" s="81" t="str">
        <f t="shared" si="12"/>
        <v/>
      </c>
      <c r="K60" s="81" t="str">
        <f t="shared" si="12"/>
        <v/>
      </c>
      <c r="L60" s="81" t="str">
        <f t="shared" si="12"/>
        <v/>
      </c>
    </row>
    <row r="61" spans="2:12" ht="17" thickTop="1">
      <c r="C61" s="80"/>
      <c r="D61" s="80"/>
      <c r="E61" s="80"/>
      <c r="F61" s="80"/>
      <c r="G61" s="80"/>
      <c r="H61" s="80"/>
      <c r="I61" s="80"/>
      <c r="J61" s="80"/>
      <c r="K61" s="80"/>
      <c r="L61" s="80"/>
    </row>
    <row r="62" spans="2:12">
      <c r="B62" t="s">
        <v>105</v>
      </c>
      <c r="C62" s="80">
        <f t="shared" ref="C62:L62" si="13">IF(C38&lt;&gt;"",C18+C23,"")</f>
        <v>9573</v>
      </c>
      <c r="D62" s="80">
        <f t="shared" si="13"/>
        <v>5748</v>
      </c>
      <c r="E62" s="80">
        <f t="shared" si="13"/>
        <v>8873</v>
      </c>
      <c r="F62" s="80">
        <f t="shared" si="13"/>
        <v>13347</v>
      </c>
      <c r="G62" s="80">
        <f t="shared" si="13"/>
        <v>14697</v>
      </c>
      <c r="H62" s="80" t="str">
        <f t="shared" si="13"/>
        <v/>
      </c>
      <c r="I62" s="80" t="str">
        <f t="shared" si="13"/>
        <v/>
      </c>
      <c r="J62" s="80" t="str">
        <f t="shared" si="13"/>
        <v/>
      </c>
      <c r="K62" s="80" t="str">
        <f t="shared" si="13"/>
        <v/>
      </c>
      <c r="L62" s="80" t="str">
        <f t="shared" si="13"/>
        <v/>
      </c>
    </row>
    <row r="63" spans="2:12">
      <c r="C63" s="80"/>
      <c r="D63" s="80"/>
      <c r="E63" s="80"/>
      <c r="F63" s="80"/>
      <c r="G63" s="80"/>
      <c r="H63" s="80"/>
      <c r="I63" s="80"/>
      <c r="J63" s="80"/>
      <c r="K63" s="80"/>
      <c r="L63" s="80"/>
    </row>
    <row r="64" spans="2:12">
      <c r="B64" t="s">
        <v>106</v>
      </c>
      <c r="C64" s="80">
        <f t="shared" ref="C64:L64" si="14">IF(C38&lt;&gt;"",C30,"")</f>
        <v>62634</v>
      </c>
      <c r="D64" s="80">
        <f t="shared" si="14"/>
        <v>44704</v>
      </c>
      <c r="E64" s="80">
        <f t="shared" si="14"/>
        <v>30189</v>
      </c>
      <c r="F64" s="80">
        <f t="shared" si="14"/>
        <v>22225</v>
      </c>
      <c r="G64" s="80">
        <f t="shared" si="14"/>
        <v>6618</v>
      </c>
      <c r="H64" s="80" t="str">
        <f t="shared" si="14"/>
        <v/>
      </c>
      <c r="I64" s="80" t="str">
        <f t="shared" si="14"/>
        <v/>
      </c>
      <c r="J64" s="80" t="str">
        <f t="shared" si="14"/>
        <v/>
      </c>
      <c r="K64" s="80" t="str">
        <f t="shared" si="14"/>
        <v/>
      </c>
      <c r="L64" s="80" t="str">
        <f t="shared" si="14"/>
        <v/>
      </c>
    </row>
    <row r="65" spans="2:12">
      <c r="B65" t="s">
        <v>111</v>
      </c>
      <c r="C65" s="80">
        <f t="shared" ref="C65:L65" si="15">IF(C38&lt;&gt;"",C27,"")</f>
        <v>242</v>
      </c>
      <c r="D65" s="80">
        <f t="shared" si="15"/>
        <v>409</v>
      </c>
      <c r="E65" s="80">
        <f t="shared" si="15"/>
        <v>568</v>
      </c>
      <c r="F65" s="80">
        <f t="shared" si="15"/>
        <v>604</v>
      </c>
      <c r="G65" s="80">
        <f t="shared" si="15"/>
        <v>643</v>
      </c>
      <c r="H65" s="80" t="str">
        <f t="shared" si="15"/>
        <v/>
      </c>
      <c r="I65" s="80" t="str">
        <f t="shared" si="15"/>
        <v/>
      </c>
      <c r="J65" s="80" t="str">
        <f t="shared" si="15"/>
        <v/>
      </c>
      <c r="K65" s="80" t="str">
        <f t="shared" si="15"/>
        <v/>
      </c>
      <c r="L65" s="80" t="str">
        <f t="shared" si="15"/>
        <v/>
      </c>
    </row>
    <row r="66" spans="2:12">
      <c r="C66" s="80"/>
      <c r="D66" s="80"/>
      <c r="E66" s="80"/>
      <c r="F66" s="80"/>
      <c r="G66" s="80"/>
      <c r="H66" s="80"/>
      <c r="I66" s="80"/>
      <c r="J66" s="80"/>
      <c r="K66" s="80"/>
      <c r="L66" s="80"/>
    </row>
    <row r="67" spans="2:12" ht="17" thickBot="1">
      <c r="B67" s="39" t="s">
        <v>107</v>
      </c>
      <c r="C67" s="82">
        <f t="shared" ref="C67:L67" si="16">IF(C38&lt;&gt;"",SUM(C62:C65),"")</f>
        <v>72449</v>
      </c>
      <c r="D67" s="82">
        <f t="shared" si="16"/>
        <v>50861</v>
      </c>
      <c r="E67" s="82">
        <f t="shared" si="16"/>
        <v>39630</v>
      </c>
      <c r="F67" s="82">
        <f t="shared" si="16"/>
        <v>36176</v>
      </c>
      <c r="G67" s="82">
        <f t="shared" si="16"/>
        <v>21958</v>
      </c>
      <c r="H67" s="82" t="str">
        <f t="shared" si="16"/>
        <v/>
      </c>
      <c r="I67" s="82" t="str">
        <f t="shared" si="16"/>
        <v/>
      </c>
      <c r="J67" s="82" t="str">
        <f t="shared" si="16"/>
        <v/>
      </c>
      <c r="K67" s="82" t="str">
        <f t="shared" si="16"/>
        <v/>
      </c>
      <c r="L67" s="82" t="str">
        <f t="shared" si="16"/>
        <v/>
      </c>
    </row>
    <row r="68" spans="2:12" ht="17" thickTop="1"/>
  </sheetData>
  <mergeCells count="3">
    <mergeCell ref="C4:L4"/>
    <mergeCell ref="C36:L36"/>
    <mergeCell ref="C50:L50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XFD38"/>
  <sheetViews>
    <sheetView zoomScale="75" workbookViewId="0">
      <selection activeCell="J22" sqref="J22"/>
    </sheetView>
  </sheetViews>
  <sheetFormatPr baseColWidth="10" defaultRowHeight="16"/>
  <cols>
    <col min="2" max="2" width="35.28515625" bestFit="1" customWidth="1"/>
    <col min="3" max="3" width="13.28515625" bestFit="1" customWidth="1"/>
    <col min="4" max="4" width="10.5703125" customWidth="1"/>
    <col min="5" max="5" width="12" bestFit="1" customWidth="1"/>
  </cols>
  <sheetData>
    <row r="2" spans="2:16384" ht="21" thickBot="1">
      <c r="B2" s="38" t="s">
        <v>246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37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I2" s="37"/>
      <c r="CJ2" s="37"/>
      <c r="CK2" s="37"/>
      <c r="CL2" s="37"/>
      <c r="CM2" s="37"/>
      <c r="CN2" s="37"/>
      <c r="CO2" s="37"/>
      <c r="CP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  <c r="DB2" s="37"/>
      <c r="DC2" s="37"/>
      <c r="DD2" s="37"/>
      <c r="DE2" s="37"/>
      <c r="DF2" s="37"/>
      <c r="DG2" s="37"/>
      <c r="DH2" s="37"/>
      <c r="DI2" s="37"/>
      <c r="DJ2" s="37"/>
      <c r="DK2" s="37"/>
      <c r="DL2" s="37"/>
      <c r="DM2" s="37"/>
      <c r="DN2" s="37"/>
      <c r="DO2" s="37"/>
      <c r="DP2" s="37"/>
      <c r="DQ2" s="37"/>
      <c r="DR2" s="37"/>
      <c r="DS2" s="37"/>
      <c r="DT2" s="37"/>
      <c r="DU2" s="37"/>
      <c r="DV2" s="37"/>
      <c r="DW2" s="37"/>
      <c r="DX2" s="37"/>
      <c r="DY2" s="37"/>
      <c r="DZ2" s="37"/>
      <c r="EA2" s="37"/>
      <c r="EB2" s="37"/>
      <c r="EC2" s="37"/>
      <c r="ED2" s="37"/>
      <c r="EE2" s="37"/>
      <c r="EF2" s="37"/>
      <c r="EG2" s="37"/>
      <c r="EH2" s="37"/>
      <c r="EI2" s="37"/>
      <c r="EJ2" s="37"/>
      <c r="EK2" s="37"/>
      <c r="EL2" s="37"/>
      <c r="EM2" s="37"/>
      <c r="EN2" s="37"/>
      <c r="EO2" s="37"/>
      <c r="EP2" s="37"/>
      <c r="EQ2" s="37"/>
      <c r="ER2" s="37"/>
      <c r="ES2" s="37"/>
      <c r="ET2" s="37"/>
      <c r="EU2" s="37"/>
      <c r="EV2" s="37"/>
      <c r="EW2" s="37"/>
      <c r="EX2" s="37"/>
      <c r="EY2" s="37"/>
      <c r="EZ2" s="37"/>
      <c r="FA2" s="37"/>
      <c r="FB2" s="37"/>
      <c r="FC2" s="37"/>
      <c r="FD2" s="37"/>
      <c r="FE2" s="37"/>
      <c r="FF2" s="37"/>
      <c r="FG2" s="37"/>
      <c r="FH2" s="37"/>
      <c r="FI2" s="37"/>
      <c r="FJ2" s="37"/>
      <c r="FK2" s="37"/>
      <c r="FL2" s="37"/>
      <c r="FM2" s="37"/>
      <c r="FN2" s="37"/>
      <c r="FO2" s="37"/>
      <c r="FP2" s="37"/>
      <c r="FQ2" s="37"/>
      <c r="FR2" s="37"/>
      <c r="FS2" s="37"/>
      <c r="FT2" s="37"/>
      <c r="FU2" s="37"/>
      <c r="FV2" s="37"/>
      <c r="FW2" s="37"/>
      <c r="FX2" s="37"/>
      <c r="FY2" s="37"/>
      <c r="FZ2" s="37"/>
      <c r="GA2" s="37"/>
      <c r="GB2" s="37"/>
      <c r="GC2" s="37"/>
      <c r="GD2" s="37"/>
      <c r="GE2" s="37"/>
      <c r="GF2" s="37"/>
      <c r="GG2" s="37"/>
      <c r="GH2" s="37"/>
      <c r="GI2" s="37"/>
      <c r="GJ2" s="37"/>
      <c r="GK2" s="37"/>
      <c r="GL2" s="37"/>
      <c r="GM2" s="37"/>
      <c r="GN2" s="37"/>
      <c r="GO2" s="37"/>
      <c r="GP2" s="37"/>
      <c r="GQ2" s="37"/>
      <c r="GR2" s="37"/>
      <c r="GS2" s="37"/>
      <c r="GT2" s="37"/>
      <c r="GU2" s="37"/>
      <c r="GV2" s="37"/>
      <c r="GW2" s="37"/>
      <c r="GX2" s="37"/>
      <c r="GY2" s="37"/>
      <c r="GZ2" s="37"/>
      <c r="HA2" s="37"/>
      <c r="HB2" s="37"/>
      <c r="HC2" s="37"/>
      <c r="HD2" s="37"/>
      <c r="HE2" s="37"/>
      <c r="HF2" s="37"/>
      <c r="HG2" s="37"/>
      <c r="HH2" s="37"/>
      <c r="HI2" s="37"/>
      <c r="HJ2" s="37"/>
      <c r="HK2" s="37"/>
      <c r="HL2" s="37"/>
      <c r="HM2" s="37"/>
      <c r="HN2" s="37"/>
      <c r="HO2" s="37"/>
      <c r="HP2" s="37"/>
      <c r="HQ2" s="37"/>
      <c r="HR2" s="37"/>
      <c r="HS2" s="37"/>
      <c r="HT2" s="37"/>
      <c r="HU2" s="37"/>
      <c r="HV2" s="37"/>
      <c r="HW2" s="37"/>
      <c r="HX2" s="37"/>
      <c r="HY2" s="37"/>
      <c r="HZ2" s="37"/>
      <c r="IA2" s="37"/>
      <c r="IB2" s="37"/>
      <c r="IC2" s="37"/>
      <c r="ID2" s="37"/>
      <c r="IE2" s="37"/>
      <c r="IF2" s="37"/>
      <c r="IG2" s="37"/>
      <c r="IH2" s="37"/>
      <c r="II2" s="37"/>
      <c r="IJ2" s="37"/>
      <c r="IK2" s="37"/>
      <c r="IL2" s="37"/>
      <c r="IM2" s="37"/>
      <c r="IN2" s="37"/>
      <c r="IO2" s="37"/>
      <c r="IP2" s="37"/>
      <c r="IQ2" s="37"/>
      <c r="IR2" s="37"/>
      <c r="IS2" s="37"/>
      <c r="IT2" s="37"/>
      <c r="IU2" s="37"/>
      <c r="IV2" s="37"/>
      <c r="IW2" s="37"/>
      <c r="IX2" s="37"/>
      <c r="IY2" s="37"/>
      <c r="IZ2" s="37"/>
      <c r="JA2" s="37"/>
      <c r="JB2" s="37"/>
      <c r="JC2" s="37"/>
      <c r="JD2" s="37"/>
      <c r="JE2" s="37"/>
      <c r="JF2" s="37"/>
      <c r="JG2" s="37"/>
      <c r="JH2" s="37"/>
      <c r="JI2" s="37"/>
      <c r="JJ2" s="37"/>
      <c r="JK2" s="37"/>
      <c r="JL2" s="37"/>
      <c r="JM2" s="37"/>
      <c r="JN2" s="37"/>
      <c r="JO2" s="37"/>
      <c r="JP2" s="37"/>
      <c r="JQ2" s="37"/>
      <c r="JR2" s="37"/>
      <c r="JS2" s="37"/>
      <c r="JT2" s="37"/>
      <c r="JU2" s="37"/>
      <c r="JV2" s="37"/>
      <c r="JW2" s="37"/>
      <c r="JX2" s="37"/>
      <c r="JY2" s="37"/>
      <c r="JZ2" s="37"/>
      <c r="KA2" s="37"/>
      <c r="KB2" s="37"/>
      <c r="KC2" s="37"/>
      <c r="KD2" s="37"/>
      <c r="KE2" s="37"/>
      <c r="KF2" s="37"/>
      <c r="KG2" s="37"/>
      <c r="KH2" s="37"/>
      <c r="KI2" s="37"/>
      <c r="KJ2" s="37"/>
      <c r="KK2" s="37"/>
      <c r="KL2" s="37"/>
      <c r="KM2" s="37"/>
      <c r="KN2" s="37"/>
      <c r="KO2" s="37"/>
      <c r="KP2" s="37"/>
      <c r="KQ2" s="37"/>
      <c r="KR2" s="37"/>
      <c r="KS2" s="37"/>
      <c r="KT2" s="37"/>
      <c r="KU2" s="37"/>
      <c r="KV2" s="37"/>
      <c r="KW2" s="37"/>
      <c r="KX2" s="37"/>
      <c r="KY2" s="37"/>
      <c r="KZ2" s="37"/>
      <c r="LA2" s="37"/>
      <c r="LB2" s="37"/>
      <c r="LC2" s="37"/>
      <c r="LD2" s="37"/>
      <c r="LE2" s="37"/>
      <c r="LF2" s="37"/>
      <c r="LG2" s="37"/>
      <c r="LH2" s="37"/>
      <c r="LI2" s="37"/>
      <c r="LJ2" s="37"/>
      <c r="LK2" s="37"/>
      <c r="LL2" s="37"/>
      <c r="LM2" s="37"/>
      <c r="LN2" s="37"/>
      <c r="LO2" s="37"/>
      <c r="LP2" s="37"/>
      <c r="LQ2" s="37"/>
      <c r="LR2" s="37"/>
      <c r="LS2" s="37"/>
      <c r="LT2" s="37"/>
      <c r="LU2" s="37"/>
      <c r="LV2" s="37"/>
      <c r="LW2" s="37"/>
      <c r="LX2" s="37"/>
      <c r="LY2" s="37"/>
      <c r="LZ2" s="37"/>
      <c r="MA2" s="37"/>
      <c r="MB2" s="37"/>
      <c r="MC2" s="37"/>
      <c r="MD2" s="37"/>
      <c r="ME2" s="37"/>
      <c r="MF2" s="37"/>
      <c r="MG2" s="37"/>
      <c r="MH2" s="37"/>
      <c r="MI2" s="37"/>
      <c r="MJ2" s="37"/>
      <c r="MK2" s="37"/>
      <c r="ML2" s="37"/>
      <c r="MM2" s="37"/>
      <c r="MN2" s="37"/>
      <c r="MO2" s="37"/>
      <c r="MP2" s="37"/>
      <c r="MQ2" s="37"/>
      <c r="MR2" s="37"/>
      <c r="MS2" s="37"/>
      <c r="MT2" s="37"/>
      <c r="MU2" s="37"/>
      <c r="MV2" s="37"/>
      <c r="MW2" s="37"/>
      <c r="MX2" s="37"/>
      <c r="MY2" s="37"/>
      <c r="MZ2" s="37"/>
      <c r="NA2" s="37"/>
      <c r="NB2" s="37"/>
      <c r="NC2" s="37"/>
      <c r="ND2" s="37"/>
      <c r="NE2" s="37"/>
      <c r="NF2" s="37"/>
      <c r="NG2" s="37"/>
      <c r="NH2" s="37"/>
      <c r="NI2" s="37"/>
      <c r="NJ2" s="37"/>
      <c r="NK2" s="37"/>
      <c r="NL2" s="37"/>
      <c r="NM2" s="37"/>
      <c r="NN2" s="37"/>
      <c r="NO2" s="37"/>
      <c r="NP2" s="37"/>
      <c r="NQ2" s="37"/>
      <c r="NR2" s="37"/>
      <c r="NS2" s="37"/>
      <c r="NT2" s="37"/>
      <c r="NU2" s="37"/>
      <c r="NV2" s="37"/>
      <c r="NW2" s="37"/>
      <c r="NX2" s="37"/>
      <c r="NY2" s="37"/>
      <c r="NZ2" s="37"/>
      <c r="OA2" s="37"/>
      <c r="OB2" s="37"/>
      <c r="OC2" s="37"/>
      <c r="OD2" s="37"/>
      <c r="OE2" s="37"/>
      <c r="OF2" s="37"/>
      <c r="OG2" s="37"/>
      <c r="OH2" s="37"/>
      <c r="OI2" s="37"/>
      <c r="OJ2" s="37"/>
      <c r="OK2" s="37"/>
      <c r="OL2" s="37"/>
      <c r="OM2" s="37"/>
      <c r="ON2" s="37"/>
      <c r="OO2" s="37"/>
      <c r="OP2" s="37"/>
      <c r="OQ2" s="37"/>
      <c r="OR2" s="37"/>
      <c r="OS2" s="37"/>
      <c r="OT2" s="37"/>
      <c r="OU2" s="37"/>
      <c r="OV2" s="37"/>
      <c r="OW2" s="37"/>
      <c r="OX2" s="37"/>
      <c r="OY2" s="37"/>
      <c r="OZ2" s="37"/>
      <c r="PA2" s="37"/>
      <c r="PB2" s="37"/>
      <c r="PC2" s="37"/>
      <c r="PD2" s="37"/>
      <c r="PE2" s="37"/>
      <c r="PF2" s="37"/>
      <c r="PG2" s="37"/>
      <c r="PH2" s="37"/>
      <c r="PI2" s="37"/>
      <c r="PJ2" s="37"/>
      <c r="PK2" s="37"/>
      <c r="PL2" s="37"/>
      <c r="PM2" s="37"/>
      <c r="PN2" s="37"/>
      <c r="PO2" s="37"/>
      <c r="PP2" s="37"/>
      <c r="PQ2" s="37"/>
      <c r="PR2" s="37"/>
      <c r="PS2" s="37"/>
      <c r="PT2" s="37"/>
      <c r="PU2" s="37"/>
      <c r="PV2" s="37"/>
      <c r="PW2" s="37"/>
      <c r="PX2" s="37"/>
      <c r="PY2" s="37"/>
      <c r="PZ2" s="37"/>
      <c r="QA2" s="37"/>
      <c r="QB2" s="37"/>
      <c r="QC2" s="37"/>
      <c r="QD2" s="37"/>
      <c r="QE2" s="37"/>
      <c r="QF2" s="37"/>
      <c r="QG2" s="37"/>
      <c r="QH2" s="37"/>
      <c r="QI2" s="37"/>
      <c r="QJ2" s="37"/>
      <c r="QK2" s="37"/>
      <c r="QL2" s="37"/>
      <c r="QM2" s="37"/>
      <c r="QN2" s="37"/>
      <c r="QO2" s="37"/>
      <c r="QP2" s="37"/>
      <c r="QQ2" s="37"/>
      <c r="QR2" s="37"/>
      <c r="QS2" s="37"/>
      <c r="QT2" s="37"/>
      <c r="QU2" s="37"/>
      <c r="QV2" s="37"/>
      <c r="QW2" s="37"/>
      <c r="QX2" s="37"/>
      <c r="QY2" s="37"/>
      <c r="QZ2" s="37"/>
      <c r="RA2" s="37"/>
      <c r="RB2" s="37"/>
      <c r="RC2" s="37"/>
      <c r="RD2" s="37"/>
      <c r="RE2" s="37"/>
      <c r="RF2" s="37"/>
      <c r="RG2" s="37"/>
      <c r="RH2" s="37"/>
      <c r="RI2" s="37"/>
      <c r="RJ2" s="37"/>
      <c r="RK2" s="37"/>
      <c r="RL2" s="37"/>
      <c r="RM2" s="37"/>
      <c r="RN2" s="37"/>
      <c r="RO2" s="37"/>
      <c r="RP2" s="37"/>
      <c r="RQ2" s="37"/>
      <c r="RR2" s="37"/>
      <c r="RS2" s="37"/>
      <c r="RT2" s="37"/>
      <c r="RU2" s="37"/>
      <c r="RV2" s="37"/>
      <c r="RW2" s="37"/>
      <c r="RX2" s="37"/>
      <c r="RY2" s="37"/>
      <c r="RZ2" s="37"/>
      <c r="SA2" s="37"/>
      <c r="SB2" s="37"/>
      <c r="SC2" s="37"/>
      <c r="SD2" s="37"/>
      <c r="SE2" s="37"/>
      <c r="SF2" s="37"/>
      <c r="SG2" s="37"/>
      <c r="SH2" s="37"/>
      <c r="SI2" s="37"/>
      <c r="SJ2" s="37"/>
      <c r="SK2" s="37"/>
      <c r="SL2" s="37"/>
      <c r="SM2" s="37"/>
      <c r="SN2" s="37"/>
      <c r="SO2" s="37"/>
      <c r="SP2" s="37"/>
      <c r="SQ2" s="37"/>
      <c r="SR2" s="37"/>
      <c r="SS2" s="37"/>
      <c r="ST2" s="37"/>
      <c r="SU2" s="37"/>
      <c r="SV2" s="37"/>
      <c r="SW2" s="37"/>
      <c r="SX2" s="37"/>
      <c r="SY2" s="37"/>
      <c r="SZ2" s="37"/>
      <c r="TA2" s="37"/>
      <c r="TB2" s="37"/>
      <c r="TC2" s="37"/>
      <c r="TD2" s="37"/>
      <c r="TE2" s="37"/>
      <c r="TF2" s="37"/>
      <c r="TG2" s="37"/>
      <c r="TH2" s="37"/>
      <c r="TI2" s="37"/>
      <c r="TJ2" s="37"/>
      <c r="TK2" s="37"/>
      <c r="TL2" s="37"/>
      <c r="TM2" s="37"/>
      <c r="TN2" s="37"/>
      <c r="TO2" s="37"/>
      <c r="TP2" s="37"/>
      <c r="TQ2" s="37"/>
      <c r="TR2" s="37"/>
      <c r="TS2" s="37"/>
      <c r="TT2" s="37"/>
      <c r="TU2" s="37"/>
      <c r="TV2" s="37"/>
      <c r="TW2" s="37"/>
      <c r="TX2" s="37"/>
      <c r="TY2" s="37"/>
      <c r="TZ2" s="37"/>
      <c r="UA2" s="37"/>
      <c r="UB2" s="37"/>
      <c r="UC2" s="37"/>
      <c r="UD2" s="37"/>
      <c r="UE2" s="37"/>
      <c r="UF2" s="37"/>
      <c r="UG2" s="37"/>
      <c r="UH2" s="37"/>
      <c r="UI2" s="37"/>
      <c r="UJ2" s="37"/>
      <c r="UK2" s="37"/>
      <c r="UL2" s="37"/>
      <c r="UM2" s="37"/>
      <c r="UN2" s="37"/>
      <c r="UO2" s="37"/>
      <c r="UP2" s="37"/>
      <c r="UQ2" s="37"/>
      <c r="UR2" s="37"/>
      <c r="US2" s="37"/>
      <c r="UT2" s="37"/>
      <c r="UU2" s="37"/>
      <c r="UV2" s="37"/>
      <c r="UW2" s="37"/>
      <c r="UX2" s="37"/>
      <c r="UY2" s="37"/>
      <c r="UZ2" s="37"/>
      <c r="VA2" s="37"/>
      <c r="VB2" s="37"/>
      <c r="VC2" s="37"/>
      <c r="VD2" s="37"/>
      <c r="VE2" s="37"/>
      <c r="VF2" s="37"/>
      <c r="VG2" s="37"/>
      <c r="VH2" s="37"/>
      <c r="VI2" s="37"/>
      <c r="VJ2" s="37"/>
      <c r="VK2" s="37"/>
      <c r="VL2" s="37"/>
      <c r="VM2" s="37"/>
      <c r="VN2" s="37"/>
      <c r="VO2" s="37"/>
      <c r="VP2" s="37"/>
      <c r="VQ2" s="37"/>
      <c r="VR2" s="37"/>
      <c r="VS2" s="37"/>
      <c r="VT2" s="37"/>
      <c r="VU2" s="37"/>
      <c r="VV2" s="37"/>
      <c r="VW2" s="37"/>
      <c r="VX2" s="37"/>
      <c r="VY2" s="37"/>
      <c r="VZ2" s="37"/>
      <c r="WA2" s="37"/>
      <c r="WB2" s="37"/>
      <c r="WC2" s="37"/>
      <c r="WD2" s="37"/>
      <c r="WE2" s="37"/>
      <c r="WF2" s="37"/>
      <c r="WG2" s="37"/>
      <c r="WH2" s="37"/>
      <c r="WI2" s="37"/>
      <c r="WJ2" s="37"/>
      <c r="WK2" s="37"/>
      <c r="WL2" s="37"/>
      <c r="WM2" s="37"/>
      <c r="WN2" s="37"/>
      <c r="WO2" s="37"/>
      <c r="WP2" s="37"/>
      <c r="WQ2" s="37"/>
      <c r="WR2" s="37"/>
      <c r="WS2" s="37"/>
      <c r="WT2" s="37"/>
      <c r="WU2" s="37"/>
      <c r="WV2" s="37"/>
      <c r="WW2" s="37"/>
      <c r="WX2" s="37"/>
      <c r="WY2" s="37"/>
      <c r="WZ2" s="37"/>
      <c r="XA2" s="37"/>
      <c r="XB2" s="37"/>
      <c r="XC2" s="37"/>
      <c r="XD2" s="37"/>
      <c r="XE2" s="37"/>
      <c r="XF2" s="37"/>
      <c r="XG2" s="37"/>
      <c r="XH2" s="37"/>
      <c r="XI2" s="37"/>
      <c r="XJ2" s="37"/>
      <c r="XK2" s="37"/>
      <c r="XL2" s="37"/>
      <c r="XM2" s="37"/>
      <c r="XN2" s="37"/>
      <c r="XO2" s="37"/>
      <c r="XP2" s="37"/>
      <c r="XQ2" s="37"/>
      <c r="XR2" s="37"/>
      <c r="XS2" s="37"/>
      <c r="XT2" s="37"/>
      <c r="XU2" s="37"/>
      <c r="XV2" s="37"/>
      <c r="XW2" s="37"/>
      <c r="XX2" s="37"/>
      <c r="XY2" s="37"/>
      <c r="XZ2" s="37"/>
      <c r="YA2" s="37"/>
      <c r="YB2" s="37"/>
      <c r="YC2" s="37"/>
      <c r="YD2" s="37"/>
      <c r="YE2" s="37"/>
      <c r="YF2" s="37"/>
      <c r="YG2" s="37"/>
      <c r="YH2" s="37"/>
      <c r="YI2" s="37"/>
      <c r="YJ2" s="37"/>
      <c r="YK2" s="37"/>
      <c r="YL2" s="37"/>
      <c r="YM2" s="37"/>
      <c r="YN2" s="37"/>
      <c r="YO2" s="37"/>
      <c r="YP2" s="37"/>
      <c r="YQ2" s="37"/>
      <c r="YR2" s="37"/>
      <c r="YS2" s="37"/>
      <c r="YT2" s="37"/>
      <c r="YU2" s="37"/>
      <c r="YV2" s="37"/>
      <c r="YW2" s="37"/>
      <c r="YX2" s="37"/>
      <c r="YY2" s="37"/>
      <c r="YZ2" s="37"/>
      <c r="ZA2" s="37"/>
      <c r="ZB2" s="37"/>
      <c r="ZC2" s="37"/>
      <c r="ZD2" s="37"/>
      <c r="ZE2" s="37"/>
      <c r="ZF2" s="37"/>
      <c r="ZG2" s="37"/>
      <c r="ZH2" s="37"/>
      <c r="ZI2" s="37"/>
      <c r="ZJ2" s="37"/>
      <c r="ZK2" s="37"/>
      <c r="ZL2" s="37"/>
      <c r="ZM2" s="37"/>
      <c r="ZN2" s="37"/>
      <c r="ZO2" s="37"/>
      <c r="ZP2" s="37"/>
      <c r="ZQ2" s="37"/>
      <c r="ZR2" s="37"/>
      <c r="ZS2" s="37"/>
      <c r="ZT2" s="37"/>
      <c r="ZU2" s="37"/>
      <c r="ZV2" s="37"/>
      <c r="ZW2" s="37"/>
      <c r="ZX2" s="37"/>
      <c r="ZY2" s="37"/>
      <c r="ZZ2" s="37"/>
      <c r="AAA2" s="37"/>
      <c r="AAB2" s="37"/>
      <c r="AAC2" s="37"/>
      <c r="AAD2" s="37"/>
      <c r="AAE2" s="37"/>
      <c r="AAF2" s="37"/>
      <c r="AAG2" s="37"/>
      <c r="AAH2" s="37"/>
      <c r="AAI2" s="37"/>
      <c r="AAJ2" s="37"/>
      <c r="AAK2" s="37"/>
      <c r="AAL2" s="37"/>
      <c r="AAM2" s="37"/>
      <c r="AAN2" s="37"/>
      <c r="AAO2" s="37"/>
      <c r="AAP2" s="37"/>
      <c r="AAQ2" s="37"/>
      <c r="AAR2" s="37"/>
      <c r="AAS2" s="37"/>
      <c r="AAT2" s="37"/>
      <c r="AAU2" s="37"/>
      <c r="AAV2" s="37"/>
      <c r="AAW2" s="37"/>
      <c r="AAX2" s="37"/>
      <c r="AAY2" s="37"/>
      <c r="AAZ2" s="37"/>
      <c r="ABA2" s="37"/>
      <c r="ABB2" s="37"/>
      <c r="ABC2" s="37"/>
      <c r="ABD2" s="37"/>
      <c r="ABE2" s="37"/>
      <c r="ABF2" s="37"/>
      <c r="ABG2" s="37"/>
      <c r="ABH2" s="37"/>
      <c r="ABI2" s="37"/>
      <c r="ABJ2" s="37"/>
      <c r="ABK2" s="37"/>
      <c r="ABL2" s="37"/>
      <c r="ABM2" s="37"/>
      <c r="ABN2" s="37"/>
      <c r="ABO2" s="37"/>
      <c r="ABP2" s="37"/>
      <c r="ABQ2" s="37"/>
      <c r="ABR2" s="37"/>
      <c r="ABS2" s="37"/>
      <c r="ABT2" s="37"/>
      <c r="ABU2" s="37"/>
      <c r="ABV2" s="37"/>
      <c r="ABW2" s="37"/>
      <c r="ABX2" s="37"/>
      <c r="ABY2" s="37"/>
      <c r="ABZ2" s="37"/>
      <c r="ACA2" s="37"/>
      <c r="ACB2" s="37"/>
      <c r="ACC2" s="37"/>
      <c r="ACD2" s="37"/>
      <c r="ACE2" s="37"/>
      <c r="ACF2" s="37"/>
      <c r="ACG2" s="37"/>
      <c r="ACH2" s="37"/>
      <c r="ACI2" s="37"/>
      <c r="ACJ2" s="37"/>
      <c r="ACK2" s="37"/>
      <c r="ACL2" s="37"/>
      <c r="ACM2" s="37"/>
      <c r="ACN2" s="37"/>
      <c r="ACO2" s="37"/>
      <c r="ACP2" s="37"/>
      <c r="ACQ2" s="37"/>
      <c r="ACR2" s="37"/>
      <c r="ACS2" s="37"/>
      <c r="ACT2" s="37"/>
      <c r="ACU2" s="37"/>
      <c r="ACV2" s="37"/>
      <c r="ACW2" s="37"/>
      <c r="ACX2" s="37"/>
      <c r="ACY2" s="37"/>
      <c r="ACZ2" s="37"/>
      <c r="ADA2" s="37"/>
      <c r="ADB2" s="37"/>
      <c r="ADC2" s="37"/>
      <c r="ADD2" s="37"/>
      <c r="ADE2" s="37"/>
      <c r="ADF2" s="37"/>
      <c r="ADG2" s="37"/>
      <c r="ADH2" s="37"/>
      <c r="ADI2" s="37"/>
      <c r="ADJ2" s="37"/>
      <c r="ADK2" s="37"/>
      <c r="ADL2" s="37"/>
      <c r="ADM2" s="37"/>
      <c r="ADN2" s="37"/>
      <c r="ADO2" s="37"/>
      <c r="ADP2" s="37"/>
      <c r="ADQ2" s="37"/>
      <c r="ADR2" s="37"/>
      <c r="ADS2" s="37"/>
      <c r="ADT2" s="37"/>
      <c r="ADU2" s="37"/>
      <c r="ADV2" s="37"/>
      <c r="ADW2" s="37"/>
      <c r="ADX2" s="37"/>
      <c r="ADY2" s="37"/>
      <c r="ADZ2" s="37"/>
      <c r="AEA2" s="37"/>
      <c r="AEB2" s="37"/>
      <c r="AEC2" s="37"/>
      <c r="AED2" s="37"/>
      <c r="AEE2" s="37"/>
      <c r="AEF2" s="37"/>
      <c r="AEG2" s="37"/>
      <c r="AEH2" s="37"/>
      <c r="AEI2" s="37"/>
      <c r="AEJ2" s="37"/>
      <c r="AEK2" s="37"/>
      <c r="AEL2" s="37"/>
      <c r="AEM2" s="37"/>
      <c r="AEN2" s="37"/>
      <c r="AEO2" s="37"/>
      <c r="AEP2" s="37"/>
      <c r="AEQ2" s="37"/>
      <c r="AER2" s="37"/>
      <c r="AES2" s="37"/>
      <c r="AET2" s="37"/>
      <c r="AEU2" s="37"/>
      <c r="AEV2" s="37"/>
      <c r="AEW2" s="37"/>
      <c r="AEX2" s="37"/>
      <c r="AEY2" s="37"/>
      <c r="AEZ2" s="37"/>
      <c r="AFA2" s="37"/>
      <c r="AFB2" s="37"/>
      <c r="AFC2" s="37"/>
      <c r="AFD2" s="37"/>
      <c r="AFE2" s="37"/>
      <c r="AFF2" s="37"/>
      <c r="AFG2" s="37"/>
      <c r="AFH2" s="37"/>
      <c r="AFI2" s="37"/>
      <c r="AFJ2" s="37"/>
      <c r="AFK2" s="37"/>
      <c r="AFL2" s="37"/>
      <c r="AFM2" s="37"/>
      <c r="AFN2" s="37"/>
      <c r="AFO2" s="37"/>
      <c r="AFP2" s="37"/>
      <c r="AFQ2" s="37"/>
      <c r="AFR2" s="37"/>
      <c r="AFS2" s="37"/>
      <c r="AFT2" s="37"/>
      <c r="AFU2" s="37"/>
      <c r="AFV2" s="37"/>
      <c r="AFW2" s="37"/>
      <c r="AFX2" s="37"/>
      <c r="AFY2" s="37"/>
      <c r="AFZ2" s="37"/>
      <c r="AGA2" s="37"/>
      <c r="AGB2" s="37"/>
      <c r="AGC2" s="37"/>
      <c r="AGD2" s="37"/>
      <c r="AGE2" s="37"/>
      <c r="AGF2" s="37"/>
      <c r="AGG2" s="37"/>
      <c r="AGH2" s="37"/>
      <c r="AGI2" s="37"/>
      <c r="AGJ2" s="37"/>
      <c r="AGK2" s="37"/>
      <c r="AGL2" s="37"/>
      <c r="AGM2" s="37"/>
      <c r="AGN2" s="37"/>
      <c r="AGO2" s="37"/>
      <c r="AGP2" s="37"/>
      <c r="AGQ2" s="37"/>
      <c r="AGR2" s="37"/>
      <c r="AGS2" s="37"/>
      <c r="AGT2" s="37"/>
      <c r="AGU2" s="37"/>
      <c r="AGV2" s="37"/>
      <c r="AGW2" s="37"/>
      <c r="AGX2" s="37"/>
      <c r="AGY2" s="37"/>
      <c r="AGZ2" s="37"/>
      <c r="AHA2" s="37"/>
      <c r="AHB2" s="37"/>
      <c r="AHC2" s="37"/>
      <c r="AHD2" s="37"/>
      <c r="AHE2" s="37"/>
      <c r="AHF2" s="37"/>
      <c r="AHG2" s="37"/>
      <c r="AHH2" s="37"/>
      <c r="AHI2" s="37"/>
      <c r="AHJ2" s="37"/>
      <c r="AHK2" s="37"/>
      <c r="AHL2" s="37"/>
      <c r="AHM2" s="37"/>
      <c r="AHN2" s="37"/>
      <c r="AHO2" s="37"/>
      <c r="AHP2" s="37"/>
      <c r="AHQ2" s="37"/>
      <c r="AHR2" s="37"/>
      <c r="AHS2" s="37"/>
      <c r="AHT2" s="37"/>
      <c r="AHU2" s="37"/>
      <c r="AHV2" s="37"/>
      <c r="AHW2" s="37"/>
      <c r="AHX2" s="37"/>
      <c r="AHY2" s="37"/>
      <c r="AHZ2" s="37"/>
      <c r="AIA2" s="37"/>
      <c r="AIB2" s="37"/>
      <c r="AIC2" s="37"/>
      <c r="AID2" s="37"/>
      <c r="AIE2" s="37"/>
      <c r="AIF2" s="37"/>
      <c r="AIG2" s="37"/>
      <c r="AIH2" s="37"/>
      <c r="AII2" s="37"/>
      <c r="AIJ2" s="37"/>
      <c r="AIK2" s="37"/>
      <c r="AIL2" s="37"/>
      <c r="AIM2" s="37"/>
      <c r="AIN2" s="37"/>
      <c r="AIO2" s="37"/>
      <c r="AIP2" s="37"/>
      <c r="AIQ2" s="37"/>
      <c r="AIR2" s="37"/>
      <c r="AIS2" s="37"/>
      <c r="AIT2" s="37"/>
      <c r="AIU2" s="37"/>
      <c r="AIV2" s="37"/>
      <c r="AIW2" s="37"/>
      <c r="AIX2" s="37"/>
      <c r="AIY2" s="37"/>
      <c r="AIZ2" s="37"/>
      <c r="AJA2" s="37"/>
      <c r="AJB2" s="37"/>
      <c r="AJC2" s="37"/>
      <c r="AJD2" s="37"/>
      <c r="AJE2" s="37"/>
      <c r="AJF2" s="37"/>
      <c r="AJG2" s="37"/>
      <c r="AJH2" s="37"/>
      <c r="AJI2" s="37"/>
      <c r="AJJ2" s="37"/>
      <c r="AJK2" s="37"/>
      <c r="AJL2" s="37"/>
      <c r="AJM2" s="37"/>
      <c r="AJN2" s="37"/>
      <c r="AJO2" s="37"/>
      <c r="AJP2" s="37"/>
      <c r="AJQ2" s="37"/>
      <c r="AJR2" s="37"/>
      <c r="AJS2" s="37"/>
      <c r="AJT2" s="37"/>
      <c r="AJU2" s="37"/>
      <c r="AJV2" s="37"/>
      <c r="AJW2" s="37"/>
      <c r="AJX2" s="37"/>
      <c r="AJY2" s="37"/>
      <c r="AJZ2" s="37"/>
      <c r="AKA2" s="37"/>
      <c r="AKB2" s="37"/>
      <c r="AKC2" s="37"/>
      <c r="AKD2" s="37"/>
      <c r="AKE2" s="37"/>
      <c r="AKF2" s="37"/>
      <c r="AKG2" s="37"/>
      <c r="AKH2" s="37"/>
      <c r="AKI2" s="37"/>
      <c r="AKJ2" s="37"/>
      <c r="AKK2" s="37"/>
      <c r="AKL2" s="37"/>
      <c r="AKM2" s="37"/>
      <c r="AKN2" s="37"/>
      <c r="AKO2" s="37"/>
      <c r="AKP2" s="37"/>
      <c r="AKQ2" s="37"/>
      <c r="AKR2" s="37"/>
      <c r="AKS2" s="37"/>
      <c r="AKT2" s="37"/>
      <c r="AKU2" s="37"/>
      <c r="AKV2" s="37"/>
      <c r="AKW2" s="37"/>
      <c r="AKX2" s="37"/>
      <c r="AKY2" s="37"/>
      <c r="AKZ2" s="37"/>
      <c r="ALA2" s="37"/>
      <c r="ALB2" s="37"/>
      <c r="ALC2" s="37"/>
      <c r="ALD2" s="37"/>
      <c r="ALE2" s="37"/>
      <c r="ALF2" s="37"/>
      <c r="ALG2" s="37"/>
      <c r="ALH2" s="37"/>
      <c r="ALI2" s="37"/>
      <c r="ALJ2" s="37"/>
      <c r="ALK2" s="37"/>
      <c r="ALL2" s="37"/>
      <c r="ALM2" s="37"/>
      <c r="ALN2" s="37"/>
      <c r="ALO2" s="37"/>
      <c r="ALP2" s="37"/>
      <c r="ALQ2" s="37"/>
      <c r="ALR2" s="37"/>
      <c r="ALS2" s="37"/>
      <c r="ALT2" s="37"/>
      <c r="ALU2" s="37"/>
      <c r="ALV2" s="37"/>
      <c r="ALW2" s="37"/>
      <c r="ALX2" s="37"/>
      <c r="ALY2" s="37"/>
      <c r="ALZ2" s="37"/>
      <c r="AMA2" s="37"/>
      <c r="AMB2" s="37"/>
      <c r="AMC2" s="37"/>
      <c r="AMD2" s="37"/>
      <c r="AME2" s="37"/>
      <c r="AMF2" s="37"/>
      <c r="AMG2" s="37"/>
      <c r="AMH2" s="37"/>
      <c r="AMI2" s="37"/>
      <c r="AMJ2" s="37"/>
      <c r="AMK2" s="37"/>
      <c r="AML2" s="37"/>
      <c r="AMM2" s="37"/>
      <c r="AMN2" s="37"/>
      <c r="AMO2" s="37"/>
      <c r="AMP2" s="37"/>
      <c r="AMQ2" s="37"/>
      <c r="AMR2" s="37"/>
      <c r="AMS2" s="37"/>
      <c r="AMT2" s="37"/>
      <c r="AMU2" s="37"/>
      <c r="AMV2" s="37"/>
      <c r="AMW2" s="37"/>
      <c r="AMX2" s="37"/>
      <c r="AMY2" s="37"/>
      <c r="AMZ2" s="37"/>
      <c r="ANA2" s="37"/>
      <c r="ANB2" s="37"/>
      <c r="ANC2" s="37"/>
      <c r="AND2" s="37"/>
      <c r="ANE2" s="37"/>
      <c r="ANF2" s="37"/>
      <c r="ANG2" s="37"/>
      <c r="ANH2" s="37"/>
      <c r="ANI2" s="37"/>
      <c r="ANJ2" s="37"/>
      <c r="ANK2" s="37"/>
      <c r="ANL2" s="37"/>
      <c r="ANM2" s="37"/>
      <c r="ANN2" s="37"/>
      <c r="ANO2" s="37"/>
      <c r="ANP2" s="37"/>
      <c r="ANQ2" s="37"/>
      <c r="ANR2" s="37"/>
      <c r="ANS2" s="37"/>
      <c r="ANT2" s="37"/>
      <c r="ANU2" s="37"/>
      <c r="ANV2" s="37"/>
      <c r="ANW2" s="37"/>
      <c r="ANX2" s="37"/>
      <c r="ANY2" s="37"/>
      <c r="ANZ2" s="37"/>
      <c r="AOA2" s="37"/>
      <c r="AOB2" s="37"/>
      <c r="AOC2" s="37"/>
      <c r="AOD2" s="37"/>
      <c r="AOE2" s="37"/>
      <c r="AOF2" s="37"/>
      <c r="AOG2" s="37"/>
      <c r="AOH2" s="37"/>
      <c r="AOI2" s="37"/>
      <c r="AOJ2" s="37"/>
      <c r="AOK2" s="37"/>
      <c r="AOL2" s="37"/>
      <c r="AOM2" s="37"/>
      <c r="AON2" s="37"/>
      <c r="AOO2" s="37"/>
      <c r="AOP2" s="37"/>
      <c r="AOQ2" s="37"/>
      <c r="AOR2" s="37"/>
      <c r="AOS2" s="37"/>
      <c r="AOT2" s="37"/>
      <c r="AOU2" s="37"/>
      <c r="AOV2" s="37"/>
      <c r="AOW2" s="37"/>
      <c r="AOX2" s="37"/>
      <c r="AOY2" s="37"/>
      <c r="AOZ2" s="37"/>
      <c r="APA2" s="37"/>
      <c r="APB2" s="37"/>
      <c r="APC2" s="37"/>
      <c r="APD2" s="37"/>
      <c r="APE2" s="37"/>
      <c r="APF2" s="37"/>
      <c r="APG2" s="37"/>
      <c r="APH2" s="37"/>
      <c r="API2" s="37"/>
      <c r="APJ2" s="37"/>
      <c r="APK2" s="37"/>
      <c r="APL2" s="37"/>
      <c r="APM2" s="37"/>
      <c r="APN2" s="37"/>
      <c r="APO2" s="37"/>
      <c r="APP2" s="37"/>
      <c r="APQ2" s="37"/>
      <c r="APR2" s="37"/>
      <c r="APS2" s="37"/>
      <c r="APT2" s="37"/>
      <c r="APU2" s="37"/>
      <c r="APV2" s="37"/>
      <c r="APW2" s="37"/>
      <c r="APX2" s="37"/>
      <c r="APY2" s="37"/>
      <c r="APZ2" s="37"/>
      <c r="AQA2" s="37"/>
      <c r="AQB2" s="37"/>
      <c r="AQC2" s="37"/>
      <c r="AQD2" s="37"/>
      <c r="AQE2" s="37"/>
      <c r="AQF2" s="37"/>
      <c r="AQG2" s="37"/>
      <c r="AQH2" s="37"/>
      <c r="AQI2" s="37"/>
      <c r="AQJ2" s="37"/>
      <c r="AQK2" s="37"/>
      <c r="AQL2" s="37"/>
      <c r="AQM2" s="37"/>
      <c r="AQN2" s="37"/>
      <c r="AQO2" s="37"/>
      <c r="AQP2" s="37"/>
      <c r="AQQ2" s="37"/>
      <c r="AQR2" s="37"/>
      <c r="AQS2" s="37"/>
      <c r="AQT2" s="37"/>
      <c r="AQU2" s="37"/>
      <c r="AQV2" s="37"/>
      <c r="AQW2" s="37"/>
      <c r="AQX2" s="37"/>
      <c r="AQY2" s="37"/>
      <c r="AQZ2" s="37"/>
      <c r="ARA2" s="37"/>
      <c r="ARB2" s="37"/>
      <c r="ARC2" s="37"/>
      <c r="ARD2" s="37"/>
      <c r="ARE2" s="37"/>
      <c r="ARF2" s="37"/>
      <c r="ARG2" s="37"/>
      <c r="ARH2" s="37"/>
      <c r="ARI2" s="37"/>
      <c r="ARJ2" s="37"/>
      <c r="ARK2" s="37"/>
      <c r="ARL2" s="37"/>
      <c r="ARM2" s="37"/>
      <c r="ARN2" s="37"/>
      <c r="ARO2" s="37"/>
      <c r="ARP2" s="37"/>
      <c r="ARQ2" s="37"/>
      <c r="ARR2" s="37"/>
      <c r="ARS2" s="37"/>
      <c r="ART2" s="37"/>
      <c r="ARU2" s="37"/>
      <c r="ARV2" s="37"/>
      <c r="ARW2" s="37"/>
      <c r="ARX2" s="37"/>
      <c r="ARY2" s="37"/>
      <c r="ARZ2" s="37"/>
      <c r="ASA2" s="37"/>
      <c r="ASB2" s="37"/>
      <c r="ASC2" s="37"/>
      <c r="ASD2" s="37"/>
      <c r="ASE2" s="37"/>
      <c r="ASF2" s="37"/>
      <c r="ASG2" s="37"/>
      <c r="ASH2" s="37"/>
      <c r="ASI2" s="37"/>
      <c r="ASJ2" s="37"/>
      <c r="ASK2" s="37"/>
      <c r="ASL2" s="37"/>
      <c r="ASM2" s="37"/>
      <c r="ASN2" s="37"/>
      <c r="ASO2" s="37"/>
      <c r="ASP2" s="37"/>
      <c r="ASQ2" s="37"/>
      <c r="ASR2" s="37"/>
      <c r="ASS2" s="37"/>
      <c r="AST2" s="37"/>
      <c r="ASU2" s="37"/>
      <c r="ASV2" s="37"/>
      <c r="ASW2" s="37"/>
      <c r="ASX2" s="37"/>
      <c r="ASY2" s="37"/>
      <c r="ASZ2" s="37"/>
      <c r="ATA2" s="37"/>
      <c r="ATB2" s="37"/>
      <c r="ATC2" s="37"/>
      <c r="ATD2" s="37"/>
      <c r="ATE2" s="37"/>
      <c r="ATF2" s="37"/>
      <c r="ATG2" s="37"/>
      <c r="ATH2" s="37"/>
      <c r="ATI2" s="37"/>
      <c r="ATJ2" s="37"/>
      <c r="ATK2" s="37"/>
      <c r="ATL2" s="37"/>
      <c r="ATM2" s="37"/>
      <c r="ATN2" s="37"/>
      <c r="ATO2" s="37"/>
      <c r="ATP2" s="37"/>
      <c r="ATQ2" s="37"/>
      <c r="ATR2" s="37"/>
      <c r="ATS2" s="37"/>
      <c r="ATT2" s="37"/>
      <c r="ATU2" s="37"/>
      <c r="ATV2" s="37"/>
      <c r="ATW2" s="37"/>
      <c r="ATX2" s="37"/>
      <c r="ATY2" s="37"/>
      <c r="ATZ2" s="37"/>
      <c r="AUA2" s="37"/>
      <c r="AUB2" s="37"/>
      <c r="AUC2" s="37"/>
      <c r="AUD2" s="37"/>
      <c r="AUE2" s="37"/>
      <c r="AUF2" s="37"/>
      <c r="AUG2" s="37"/>
      <c r="AUH2" s="37"/>
      <c r="AUI2" s="37"/>
      <c r="AUJ2" s="37"/>
      <c r="AUK2" s="37"/>
      <c r="AUL2" s="37"/>
      <c r="AUM2" s="37"/>
      <c r="AUN2" s="37"/>
      <c r="AUO2" s="37"/>
      <c r="AUP2" s="37"/>
      <c r="AUQ2" s="37"/>
      <c r="AUR2" s="37"/>
      <c r="AUS2" s="37"/>
      <c r="AUT2" s="37"/>
      <c r="AUU2" s="37"/>
      <c r="AUV2" s="37"/>
      <c r="AUW2" s="37"/>
      <c r="AUX2" s="37"/>
      <c r="AUY2" s="37"/>
      <c r="AUZ2" s="37"/>
      <c r="AVA2" s="37"/>
      <c r="AVB2" s="37"/>
      <c r="AVC2" s="37"/>
      <c r="AVD2" s="37"/>
      <c r="AVE2" s="37"/>
      <c r="AVF2" s="37"/>
      <c r="AVG2" s="37"/>
      <c r="AVH2" s="37"/>
      <c r="AVI2" s="37"/>
      <c r="AVJ2" s="37"/>
      <c r="AVK2" s="37"/>
      <c r="AVL2" s="37"/>
      <c r="AVM2" s="37"/>
      <c r="AVN2" s="37"/>
      <c r="AVO2" s="37"/>
      <c r="AVP2" s="37"/>
      <c r="AVQ2" s="37"/>
      <c r="AVR2" s="37"/>
      <c r="AVS2" s="37"/>
      <c r="AVT2" s="37"/>
      <c r="AVU2" s="37"/>
      <c r="AVV2" s="37"/>
      <c r="AVW2" s="37"/>
      <c r="AVX2" s="37"/>
      <c r="AVY2" s="37"/>
      <c r="AVZ2" s="37"/>
      <c r="AWA2" s="37"/>
      <c r="AWB2" s="37"/>
      <c r="AWC2" s="37"/>
      <c r="AWD2" s="37"/>
      <c r="AWE2" s="37"/>
      <c r="AWF2" s="37"/>
      <c r="AWG2" s="37"/>
      <c r="AWH2" s="37"/>
      <c r="AWI2" s="37"/>
      <c r="AWJ2" s="37"/>
      <c r="AWK2" s="37"/>
      <c r="AWL2" s="37"/>
      <c r="AWM2" s="37"/>
      <c r="AWN2" s="37"/>
      <c r="AWO2" s="37"/>
      <c r="AWP2" s="37"/>
      <c r="AWQ2" s="37"/>
      <c r="AWR2" s="37"/>
      <c r="AWS2" s="37"/>
      <c r="AWT2" s="37"/>
      <c r="AWU2" s="37"/>
      <c r="AWV2" s="37"/>
      <c r="AWW2" s="37"/>
      <c r="AWX2" s="37"/>
      <c r="AWY2" s="37"/>
      <c r="AWZ2" s="37"/>
      <c r="AXA2" s="37"/>
      <c r="AXB2" s="37"/>
      <c r="AXC2" s="37"/>
      <c r="AXD2" s="37"/>
      <c r="AXE2" s="37"/>
      <c r="AXF2" s="37"/>
      <c r="AXG2" s="37"/>
      <c r="AXH2" s="37"/>
      <c r="AXI2" s="37"/>
      <c r="AXJ2" s="37"/>
      <c r="AXK2" s="37"/>
      <c r="AXL2" s="37"/>
      <c r="AXM2" s="37"/>
      <c r="AXN2" s="37"/>
      <c r="AXO2" s="37"/>
      <c r="AXP2" s="37"/>
      <c r="AXQ2" s="37"/>
      <c r="AXR2" s="37"/>
      <c r="AXS2" s="37"/>
      <c r="AXT2" s="37"/>
      <c r="AXU2" s="37"/>
      <c r="AXV2" s="37"/>
      <c r="AXW2" s="37"/>
      <c r="AXX2" s="37"/>
      <c r="AXY2" s="37"/>
      <c r="AXZ2" s="37"/>
      <c r="AYA2" s="37"/>
      <c r="AYB2" s="37"/>
      <c r="AYC2" s="37"/>
      <c r="AYD2" s="37"/>
      <c r="AYE2" s="37"/>
      <c r="AYF2" s="37"/>
      <c r="AYG2" s="37"/>
      <c r="AYH2" s="37"/>
      <c r="AYI2" s="37"/>
      <c r="AYJ2" s="37"/>
      <c r="AYK2" s="37"/>
      <c r="AYL2" s="37"/>
      <c r="AYM2" s="37"/>
      <c r="AYN2" s="37"/>
      <c r="AYO2" s="37"/>
      <c r="AYP2" s="37"/>
      <c r="AYQ2" s="37"/>
      <c r="AYR2" s="37"/>
      <c r="AYS2" s="37"/>
      <c r="AYT2" s="37"/>
      <c r="AYU2" s="37"/>
      <c r="AYV2" s="37"/>
      <c r="AYW2" s="37"/>
      <c r="AYX2" s="37"/>
      <c r="AYY2" s="37"/>
      <c r="AYZ2" s="37"/>
      <c r="AZA2" s="37"/>
      <c r="AZB2" s="37"/>
      <c r="AZC2" s="37"/>
      <c r="AZD2" s="37"/>
      <c r="AZE2" s="37"/>
      <c r="AZF2" s="37"/>
      <c r="AZG2" s="37"/>
      <c r="AZH2" s="37"/>
      <c r="AZI2" s="37"/>
      <c r="AZJ2" s="37"/>
      <c r="AZK2" s="37"/>
      <c r="AZL2" s="37"/>
      <c r="AZM2" s="37"/>
      <c r="AZN2" s="37"/>
      <c r="AZO2" s="37"/>
      <c r="AZP2" s="37"/>
      <c r="AZQ2" s="37"/>
      <c r="AZR2" s="37"/>
      <c r="AZS2" s="37"/>
      <c r="AZT2" s="37"/>
      <c r="AZU2" s="37"/>
      <c r="AZV2" s="37"/>
      <c r="AZW2" s="37"/>
      <c r="AZX2" s="37"/>
      <c r="AZY2" s="37"/>
      <c r="AZZ2" s="37"/>
      <c r="BAA2" s="37"/>
      <c r="BAB2" s="37"/>
      <c r="BAC2" s="37"/>
      <c r="BAD2" s="37"/>
      <c r="BAE2" s="37"/>
      <c r="BAF2" s="37"/>
      <c r="BAG2" s="37"/>
      <c r="BAH2" s="37"/>
      <c r="BAI2" s="37"/>
      <c r="BAJ2" s="37"/>
      <c r="BAK2" s="37"/>
      <c r="BAL2" s="37"/>
      <c r="BAM2" s="37"/>
      <c r="BAN2" s="37"/>
      <c r="BAO2" s="37"/>
      <c r="BAP2" s="37"/>
      <c r="BAQ2" s="37"/>
      <c r="BAR2" s="37"/>
      <c r="BAS2" s="37"/>
      <c r="BAT2" s="37"/>
      <c r="BAU2" s="37"/>
      <c r="BAV2" s="37"/>
      <c r="BAW2" s="37"/>
      <c r="BAX2" s="37"/>
      <c r="BAY2" s="37"/>
      <c r="BAZ2" s="37"/>
      <c r="BBA2" s="37"/>
      <c r="BBB2" s="37"/>
      <c r="BBC2" s="37"/>
      <c r="BBD2" s="37"/>
      <c r="BBE2" s="37"/>
      <c r="BBF2" s="37"/>
      <c r="BBG2" s="37"/>
      <c r="BBH2" s="37"/>
      <c r="BBI2" s="37"/>
      <c r="BBJ2" s="37"/>
      <c r="BBK2" s="37"/>
      <c r="BBL2" s="37"/>
      <c r="BBM2" s="37"/>
      <c r="BBN2" s="37"/>
      <c r="BBO2" s="37"/>
      <c r="BBP2" s="37"/>
      <c r="BBQ2" s="37"/>
      <c r="BBR2" s="37"/>
      <c r="BBS2" s="37"/>
      <c r="BBT2" s="37"/>
      <c r="BBU2" s="37"/>
      <c r="BBV2" s="37"/>
      <c r="BBW2" s="37"/>
      <c r="BBX2" s="37"/>
      <c r="BBY2" s="37"/>
      <c r="BBZ2" s="37"/>
      <c r="BCA2" s="37"/>
      <c r="BCB2" s="37"/>
      <c r="BCC2" s="37"/>
      <c r="BCD2" s="37"/>
      <c r="BCE2" s="37"/>
      <c r="BCF2" s="37"/>
      <c r="BCG2" s="37"/>
      <c r="BCH2" s="37"/>
      <c r="BCI2" s="37"/>
      <c r="BCJ2" s="37"/>
      <c r="BCK2" s="37"/>
      <c r="BCL2" s="37"/>
      <c r="BCM2" s="37"/>
      <c r="BCN2" s="37"/>
      <c r="BCO2" s="37"/>
      <c r="BCP2" s="37"/>
      <c r="BCQ2" s="37"/>
      <c r="BCR2" s="37"/>
      <c r="BCS2" s="37"/>
      <c r="BCT2" s="37"/>
      <c r="BCU2" s="37"/>
      <c r="BCV2" s="37"/>
      <c r="BCW2" s="37"/>
      <c r="BCX2" s="37"/>
      <c r="BCY2" s="37"/>
      <c r="BCZ2" s="37"/>
      <c r="BDA2" s="37"/>
      <c r="BDB2" s="37"/>
      <c r="BDC2" s="37"/>
      <c r="BDD2" s="37"/>
      <c r="BDE2" s="37"/>
      <c r="BDF2" s="37"/>
      <c r="BDG2" s="37"/>
      <c r="BDH2" s="37"/>
      <c r="BDI2" s="37"/>
      <c r="BDJ2" s="37"/>
      <c r="BDK2" s="37"/>
      <c r="BDL2" s="37"/>
      <c r="BDM2" s="37"/>
      <c r="BDN2" s="37"/>
      <c r="BDO2" s="37"/>
      <c r="BDP2" s="37"/>
      <c r="BDQ2" s="37"/>
      <c r="BDR2" s="37"/>
      <c r="BDS2" s="37"/>
      <c r="BDT2" s="37"/>
      <c r="BDU2" s="37"/>
      <c r="BDV2" s="37"/>
      <c r="BDW2" s="37"/>
      <c r="BDX2" s="37"/>
      <c r="BDY2" s="37"/>
      <c r="BDZ2" s="37"/>
      <c r="BEA2" s="37"/>
      <c r="BEB2" s="37"/>
      <c r="BEC2" s="37"/>
      <c r="BED2" s="37"/>
      <c r="BEE2" s="37"/>
      <c r="BEF2" s="37"/>
      <c r="BEG2" s="37"/>
      <c r="BEH2" s="37"/>
      <c r="BEI2" s="37"/>
      <c r="BEJ2" s="37"/>
      <c r="BEK2" s="37"/>
      <c r="BEL2" s="37"/>
      <c r="BEM2" s="37"/>
      <c r="BEN2" s="37"/>
      <c r="BEO2" s="37"/>
      <c r="BEP2" s="37"/>
      <c r="BEQ2" s="37"/>
      <c r="BER2" s="37"/>
      <c r="BES2" s="37"/>
      <c r="BET2" s="37"/>
      <c r="BEU2" s="37"/>
      <c r="BEV2" s="37"/>
      <c r="BEW2" s="37"/>
      <c r="BEX2" s="37"/>
      <c r="BEY2" s="37"/>
      <c r="BEZ2" s="37"/>
      <c r="BFA2" s="37"/>
      <c r="BFB2" s="37"/>
      <c r="BFC2" s="37"/>
      <c r="BFD2" s="37"/>
      <c r="BFE2" s="37"/>
      <c r="BFF2" s="37"/>
      <c r="BFG2" s="37"/>
      <c r="BFH2" s="37"/>
      <c r="BFI2" s="37"/>
      <c r="BFJ2" s="37"/>
      <c r="BFK2" s="37"/>
      <c r="BFL2" s="37"/>
      <c r="BFM2" s="37"/>
      <c r="BFN2" s="37"/>
      <c r="BFO2" s="37"/>
      <c r="BFP2" s="37"/>
      <c r="BFQ2" s="37"/>
      <c r="BFR2" s="37"/>
      <c r="BFS2" s="37"/>
      <c r="BFT2" s="37"/>
      <c r="BFU2" s="37"/>
      <c r="BFV2" s="37"/>
      <c r="BFW2" s="37"/>
      <c r="BFX2" s="37"/>
      <c r="BFY2" s="37"/>
      <c r="BFZ2" s="37"/>
      <c r="BGA2" s="37"/>
      <c r="BGB2" s="37"/>
      <c r="BGC2" s="37"/>
      <c r="BGD2" s="37"/>
      <c r="BGE2" s="37"/>
      <c r="BGF2" s="37"/>
      <c r="BGG2" s="37"/>
      <c r="BGH2" s="37"/>
      <c r="BGI2" s="37"/>
      <c r="BGJ2" s="37"/>
      <c r="BGK2" s="37"/>
      <c r="BGL2" s="37"/>
      <c r="BGM2" s="37"/>
      <c r="BGN2" s="37"/>
      <c r="BGO2" s="37"/>
      <c r="BGP2" s="37"/>
      <c r="BGQ2" s="37"/>
      <c r="BGR2" s="37"/>
      <c r="BGS2" s="37"/>
      <c r="BGT2" s="37"/>
      <c r="BGU2" s="37"/>
      <c r="BGV2" s="37"/>
      <c r="BGW2" s="37"/>
      <c r="BGX2" s="37"/>
      <c r="BGY2" s="37"/>
      <c r="BGZ2" s="37"/>
      <c r="BHA2" s="37"/>
      <c r="BHB2" s="37"/>
      <c r="BHC2" s="37"/>
      <c r="BHD2" s="37"/>
      <c r="BHE2" s="37"/>
      <c r="BHF2" s="37"/>
      <c r="BHG2" s="37"/>
      <c r="BHH2" s="37"/>
      <c r="BHI2" s="37"/>
      <c r="BHJ2" s="37"/>
      <c r="BHK2" s="37"/>
      <c r="BHL2" s="37"/>
      <c r="BHM2" s="37"/>
      <c r="BHN2" s="37"/>
      <c r="BHO2" s="37"/>
      <c r="BHP2" s="37"/>
      <c r="BHQ2" s="37"/>
      <c r="BHR2" s="37"/>
      <c r="BHS2" s="37"/>
      <c r="BHT2" s="37"/>
      <c r="BHU2" s="37"/>
      <c r="BHV2" s="37"/>
      <c r="BHW2" s="37"/>
      <c r="BHX2" s="37"/>
      <c r="BHY2" s="37"/>
      <c r="BHZ2" s="37"/>
      <c r="BIA2" s="37"/>
      <c r="BIB2" s="37"/>
      <c r="BIC2" s="37"/>
      <c r="BID2" s="37"/>
      <c r="BIE2" s="37"/>
      <c r="BIF2" s="37"/>
      <c r="BIG2" s="37"/>
      <c r="BIH2" s="37"/>
      <c r="BII2" s="37"/>
      <c r="BIJ2" s="37"/>
      <c r="BIK2" s="37"/>
      <c r="BIL2" s="37"/>
      <c r="BIM2" s="37"/>
      <c r="BIN2" s="37"/>
      <c r="BIO2" s="37"/>
      <c r="BIP2" s="37"/>
      <c r="BIQ2" s="37"/>
      <c r="BIR2" s="37"/>
      <c r="BIS2" s="37"/>
      <c r="BIT2" s="37"/>
      <c r="BIU2" s="37"/>
      <c r="BIV2" s="37"/>
      <c r="BIW2" s="37"/>
      <c r="BIX2" s="37"/>
      <c r="BIY2" s="37"/>
      <c r="BIZ2" s="37"/>
      <c r="BJA2" s="37"/>
      <c r="BJB2" s="37"/>
      <c r="BJC2" s="37"/>
      <c r="BJD2" s="37"/>
      <c r="BJE2" s="37"/>
      <c r="BJF2" s="37"/>
      <c r="BJG2" s="37"/>
      <c r="BJH2" s="37"/>
      <c r="BJI2" s="37"/>
      <c r="BJJ2" s="37"/>
      <c r="BJK2" s="37"/>
      <c r="BJL2" s="37"/>
      <c r="BJM2" s="37"/>
      <c r="BJN2" s="37"/>
      <c r="BJO2" s="37"/>
      <c r="BJP2" s="37"/>
      <c r="BJQ2" s="37"/>
      <c r="BJR2" s="37"/>
      <c r="BJS2" s="37"/>
      <c r="BJT2" s="37"/>
      <c r="BJU2" s="37"/>
      <c r="BJV2" s="37"/>
      <c r="BJW2" s="37"/>
      <c r="BJX2" s="37"/>
      <c r="BJY2" s="37"/>
      <c r="BJZ2" s="37"/>
      <c r="BKA2" s="37"/>
      <c r="BKB2" s="37"/>
      <c r="BKC2" s="37"/>
      <c r="BKD2" s="37"/>
      <c r="BKE2" s="37"/>
      <c r="BKF2" s="37"/>
      <c r="BKG2" s="37"/>
      <c r="BKH2" s="37"/>
      <c r="BKI2" s="37"/>
      <c r="BKJ2" s="37"/>
      <c r="BKK2" s="37"/>
      <c r="BKL2" s="37"/>
      <c r="BKM2" s="37"/>
      <c r="BKN2" s="37"/>
      <c r="BKO2" s="37"/>
      <c r="BKP2" s="37"/>
      <c r="BKQ2" s="37"/>
      <c r="BKR2" s="37"/>
      <c r="BKS2" s="37"/>
      <c r="BKT2" s="37"/>
      <c r="BKU2" s="37"/>
      <c r="BKV2" s="37"/>
      <c r="BKW2" s="37"/>
      <c r="BKX2" s="37"/>
      <c r="BKY2" s="37"/>
      <c r="BKZ2" s="37"/>
      <c r="BLA2" s="37"/>
      <c r="BLB2" s="37"/>
      <c r="BLC2" s="37"/>
      <c r="BLD2" s="37"/>
      <c r="BLE2" s="37"/>
      <c r="BLF2" s="37"/>
      <c r="BLG2" s="37"/>
      <c r="BLH2" s="37"/>
      <c r="BLI2" s="37"/>
      <c r="BLJ2" s="37"/>
      <c r="BLK2" s="37"/>
      <c r="BLL2" s="37"/>
      <c r="BLM2" s="37"/>
      <c r="BLN2" s="37"/>
      <c r="BLO2" s="37"/>
      <c r="BLP2" s="37"/>
      <c r="BLQ2" s="37"/>
      <c r="BLR2" s="37"/>
      <c r="BLS2" s="37"/>
      <c r="BLT2" s="37"/>
      <c r="BLU2" s="37"/>
      <c r="BLV2" s="37"/>
      <c r="BLW2" s="37"/>
      <c r="BLX2" s="37"/>
      <c r="BLY2" s="37"/>
      <c r="BLZ2" s="37"/>
      <c r="BMA2" s="37"/>
      <c r="BMB2" s="37"/>
      <c r="BMC2" s="37"/>
      <c r="BMD2" s="37"/>
      <c r="BME2" s="37"/>
      <c r="BMF2" s="37"/>
      <c r="BMG2" s="37"/>
      <c r="BMH2" s="37"/>
      <c r="BMI2" s="37"/>
      <c r="BMJ2" s="37"/>
      <c r="BMK2" s="37"/>
      <c r="BML2" s="37"/>
      <c r="BMM2" s="37"/>
      <c r="BMN2" s="37"/>
      <c r="BMO2" s="37"/>
      <c r="BMP2" s="37"/>
      <c r="BMQ2" s="37"/>
      <c r="BMR2" s="37"/>
      <c r="BMS2" s="37"/>
      <c r="BMT2" s="37"/>
      <c r="BMU2" s="37"/>
      <c r="BMV2" s="37"/>
      <c r="BMW2" s="37"/>
      <c r="BMX2" s="37"/>
      <c r="BMY2" s="37"/>
      <c r="BMZ2" s="37"/>
      <c r="BNA2" s="37"/>
      <c r="BNB2" s="37"/>
      <c r="BNC2" s="37"/>
      <c r="BND2" s="37"/>
      <c r="BNE2" s="37"/>
      <c r="BNF2" s="37"/>
      <c r="BNG2" s="37"/>
      <c r="BNH2" s="37"/>
      <c r="BNI2" s="37"/>
      <c r="BNJ2" s="37"/>
      <c r="BNK2" s="37"/>
      <c r="BNL2" s="37"/>
      <c r="BNM2" s="37"/>
      <c r="BNN2" s="37"/>
      <c r="BNO2" s="37"/>
      <c r="BNP2" s="37"/>
      <c r="BNQ2" s="37"/>
      <c r="BNR2" s="37"/>
      <c r="BNS2" s="37"/>
      <c r="BNT2" s="37"/>
      <c r="BNU2" s="37"/>
      <c r="BNV2" s="37"/>
      <c r="BNW2" s="37"/>
      <c r="BNX2" s="37"/>
      <c r="BNY2" s="37"/>
      <c r="BNZ2" s="37"/>
      <c r="BOA2" s="37"/>
      <c r="BOB2" s="37"/>
      <c r="BOC2" s="37"/>
      <c r="BOD2" s="37"/>
      <c r="BOE2" s="37"/>
      <c r="BOF2" s="37"/>
      <c r="BOG2" s="37"/>
      <c r="BOH2" s="37"/>
      <c r="BOI2" s="37"/>
      <c r="BOJ2" s="37"/>
      <c r="BOK2" s="37"/>
      <c r="BOL2" s="37"/>
      <c r="BOM2" s="37"/>
      <c r="BON2" s="37"/>
      <c r="BOO2" s="37"/>
      <c r="BOP2" s="37"/>
      <c r="BOQ2" s="37"/>
      <c r="BOR2" s="37"/>
      <c r="BOS2" s="37"/>
      <c r="BOT2" s="37"/>
      <c r="BOU2" s="37"/>
      <c r="BOV2" s="37"/>
      <c r="BOW2" s="37"/>
      <c r="BOX2" s="37"/>
      <c r="BOY2" s="37"/>
      <c r="BOZ2" s="37"/>
      <c r="BPA2" s="37"/>
      <c r="BPB2" s="37"/>
      <c r="BPC2" s="37"/>
      <c r="BPD2" s="37"/>
      <c r="BPE2" s="37"/>
      <c r="BPF2" s="37"/>
      <c r="BPG2" s="37"/>
      <c r="BPH2" s="37"/>
      <c r="BPI2" s="37"/>
      <c r="BPJ2" s="37"/>
      <c r="BPK2" s="37"/>
      <c r="BPL2" s="37"/>
      <c r="BPM2" s="37"/>
      <c r="BPN2" s="37"/>
      <c r="BPO2" s="37"/>
      <c r="BPP2" s="37"/>
      <c r="BPQ2" s="37"/>
      <c r="BPR2" s="37"/>
      <c r="BPS2" s="37"/>
      <c r="BPT2" s="37"/>
      <c r="BPU2" s="37"/>
      <c r="BPV2" s="37"/>
      <c r="BPW2" s="37"/>
      <c r="BPX2" s="37"/>
      <c r="BPY2" s="37"/>
      <c r="BPZ2" s="37"/>
      <c r="BQA2" s="37"/>
      <c r="BQB2" s="37"/>
      <c r="BQC2" s="37"/>
      <c r="BQD2" s="37"/>
      <c r="BQE2" s="37"/>
      <c r="BQF2" s="37"/>
      <c r="BQG2" s="37"/>
      <c r="BQH2" s="37"/>
      <c r="BQI2" s="37"/>
      <c r="BQJ2" s="37"/>
      <c r="BQK2" s="37"/>
      <c r="BQL2" s="37"/>
      <c r="BQM2" s="37"/>
      <c r="BQN2" s="37"/>
      <c r="BQO2" s="37"/>
      <c r="BQP2" s="37"/>
      <c r="BQQ2" s="37"/>
      <c r="BQR2" s="37"/>
      <c r="BQS2" s="37"/>
      <c r="BQT2" s="37"/>
      <c r="BQU2" s="37"/>
      <c r="BQV2" s="37"/>
      <c r="BQW2" s="37"/>
      <c r="BQX2" s="37"/>
      <c r="BQY2" s="37"/>
      <c r="BQZ2" s="37"/>
      <c r="BRA2" s="37"/>
      <c r="BRB2" s="37"/>
      <c r="BRC2" s="37"/>
      <c r="BRD2" s="37"/>
      <c r="BRE2" s="37"/>
      <c r="BRF2" s="37"/>
      <c r="BRG2" s="37"/>
      <c r="BRH2" s="37"/>
      <c r="BRI2" s="37"/>
      <c r="BRJ2" s="37"/>
      <c r="BRK2" s="37"/>
      <c r="BRL2" s="37"/>
      <c r="BRM2" s="37"/>
      <c r="BRN2" s="37"/>
      <c r="BRO2" s="37"/>
      <c r="BRP2" s="37"/>
      <c r="BRQ2" s="37"/>
      <c r="BRR2" s="37"/>
      <c r="BRS2" s="37"/>
      <c r="BRT2" s="37"/>
      <c r="BRU2" s="37"/>
      <c r="BRV2" s="37"/>
      <c r="BRW2" s="37"/>
      <c r="BRX2" s="37"/>
      <c r="BRY2" s="37"/>
      <c r="BRZ2" s="37"/>
      <c r="BSA2" s="37"/>
      <c r="BSB2" s="37"/>
      <c r="BSC2" s="37"/>
      <c r="BSD2" s="37"/>
      <c r="BSE2" s="37"/>
      <c r="BSF2" s="37"/>
      <c r="BSG2" s="37"/>
      <c r="BSH2" s="37"/>
      <c r="BSI2" s="37"/>
      <c r="BSJ2" s="37"/>
      <c r="BSK2" s="37"/>
      <c r="BSL2" s="37"/>
      <c r="BSM2" s="37"/>
      <c r="BSN2" s="37"/>
      <c r="BSO2" s="37"/>
      <c r="BSP2" s="37"/>
      <c r="BSQ2" s="37"/>
      <c r="BSR2" s="37"/>
      <c r="BSS2" s="37"/>
      <c r="BST2" s="37"/>
      <c r="BSU2" s="37"/>
      <c r="BSV2" s="37"/>
      <c r="BSW2" s="37"/>
      <c r="BSX2" s="37"/>
      <c r="BSY2" s="37"/>
      <c r="BSZ2" s="37"/>
      <c r="BTA2" s="37"/>
      <c r="BTB2" s="37"/>
      <c r="BTC2" s="37"/>
      <c r="BTD2" s="37"/>
      <c r="BTE2" s="37"/>
      <c r="BTF2" s="37"/>
      <c r="BTG2" s="37"/>
      <c r="BTH2" s="37"/>
      <c r="BTI2" s="37"/>
      <c r="BTJ2" s="37"/>
      <c r="BTK2" s="37"/>
      <c r="BTL2" s="37"/>
      <c r="BTM2" s="37"/>
      <c r="BTN2" s="37"/>
      <c r="BTO2" s="37"/>
      <c r="BTP2" s="37"/>
      <c r="BTQ2" s="37"/>
      <c r="BTR2" s="37"/>
      <c r="BTS2" s="37"/>
      <c r="BTT2" s="37"/>
      <c r="BTU2" s="37"/>
      <c r="BTV2" s="37"/>
      <c r="BTW2" s="37"/>
      <c r="BTX2" s="37"/>
      <c r="BTY2" s="37"/>
      <c r="BTZ2" s="37"/>
      <c r="BUA2" s="37"/>
      <c r="BUB2" s="37"/>
      <c r="BUC2" s="37"/>
      <c r="BUD2" s="37"/>
      <c r="BUE2" s="37"/>
      <c r="BUF2" s="37"/>
      <c r="BUG2" s="37"/>
      <c r="BUH2" s="37"/>
      <c r="BUI2" s="37"/>
      <c r="BUJ2" s="37"/>
      <c r="BUK2" s="37"/>
      <c r="BUL2" s="37"/>
      <c r="BUM2" s="37"/>
      <c r="BUN2" s="37"/>
      <c r="BUO2" s="37"/>
      <c r="BUP2" s="37"/>
      <c r="BUQ2" s="37"/>
      <c r="BUR2" s="37"/>
      <c r="BUS2" s="37"/>
      <c r="BUT2" s="37"/>
      <c r="BUU2" s="37"/>
      <c r="BUV2" s="37"/>
      <c r="BUW2" s="37"/>
      <c r="BUX2" s="37"/>
      <c r="BUY2" s="37"/>
      <c r="BUZ2" s="37"/>
      <c r="BVA2" s="37"/>
      <c r="BVB2" s="37"/>
      <c r="BVC2" s="37"/>
      <c r="BVD2" s="37"/>
      <c r="BVE2" s="37"/>
      <c r="BVF2" s="37"/>
      <c r="BVG2" s="37"/>
      <c r="BVH2" s="37"/>
      <c r="BVI2" s="37"/>
      <c r="BVJ2" s="37"/>
      <c r="BVK2" s="37"/>
      <c r="BVL2" s="37"/>
      <c r="BVM2" s="37"/>
      <c r="BVN2" s="37"/>
      <c r="BVO2" s="37"/>
      <c r="BVP2" s="37"/>
      <c r="BVQ2" s="37"/>
      <c r="BVR2" s="37"/>
      <c r="BVS2" s="37"/>
      <c r="BVT2" s="37"/>
      <c r="BVU2" s="37"/>
      <c r="BVV2" s="37"/>
      <c r="BVW2" s="37"/>
      <c r="BVX2" s="37"/>
      <c r="BVY2" s="37"/>
      <c r="BVZ2" s="37"/>
      <c r="BWA2" s="37"/>
      <c r="BWB2" s="37"/>
      <c r="BWC2" s="37"/>
      <c r="BWD2" s="37"/>
      <c r="BWE2" s="37"/>
      <c r="BWF2" s="37"/>
      <c r="BWG2" s="37"/>
      <c r="BWH2" s="37"/>
      <c r="BWI2" s="37"/>
      <c r="BWJ2" s="37"/>
      <c r="BWK2" s="37"/>
      <c r="BWL2" s="37"/>
      <c r="BWM2" s="37"/>
      <c r="BWN2" s="37"/>
      <c r="BWO2" s="37"/>
      <c r="BWP2" s="37"/>
      <c r="BWQ2" s="37"/>
      <c r="BWR2" s="37"/>
      <c r="BWS2" s="37"/>
      <c r="BWT2" s="37"/>
      <c r="BWU2" s="37"/>
      <c r="BWV2" s="37"/>
      <c r="BWW2" s="37"/>
      <c r="BWX2" s="37"/>
      <c r="BWY2" s="37"/>
      <c r="BWZ2" s="37"/>
      <c r="BXA2" s="37"/>
      <c r="BXB2" s="37"/>
      <c r="BXC2" s="37"/>
      <c r="BXD2" s="37"/>
      <c r="BXE2" s="37"/>
      <c r="BXF2" s="37"/>
      <c r="BXG2" s="37"/>
      <c r="BXH2" s="37"/>
      <c r="BXI2" s="37"/>
      <c r="BXJ2" s="37"/>
      <c r="BXK2" s="37"/>
      <c r="BXL2" s="37"/>
      <c r="BXM2" s="37"/>
      <c r="BXN2" s="37"/>
      <c r="BXO2" s="37"/>
      <c r="BXP2" s="37"/>
      <c r="BXQ2" s="37"/>
      <c r="BXR2" s="37"/>
      <c r="BXS2" s="37"/>
      <c r="BXT2" s="37"/>
      <c r="BXU2" s="37"/>
      <c r="BXV2" s="37"/>
      <c r="BXW2" s="37"/>
      <c r="BXX2" s="37"/>
      <c r="BXY2" s="37"/>
      <c r="BXZ2" s="37"/>
      <c r="BYA2" s="37"/>
      <c r="BYB2" s="37"/>
      <c r="BYC2" s="37"/>
      <c r="BYD2" s="37"/>
      <c r="BYE2" s="37"/>
      <c r="BYF2" s="37"/>
      <c r="BYG2" s="37"/>
      <c r="BYH2" s="37"/>
      <c r="BYI2" s="37"/>
      <c r="BYJ2" s="37"/>
      <c r="BYK2" s="37"/>
      <c r="BYL2" s="37"/>
      <c r="BYM2" s="37"/>
      <c r="BYN2" s="37"/>
      <c r="BYO2" s="37"/>
      <c r="BYP2" s="37"/>
      <c r="BYQ2" s="37"/>
      <c r="BYR2" s="37"/>
      <c r="BYS2" s="37"/>
      <c r="BYT2" s="37"/>
      <c r="BYU2" s="37"/>
      <c r="BYV2" s="37"/>
      <c r="BYW2" s="37"/>
      <c r="BYX2" s="37"/>
      <c r="BYY2" s="37"/>
      <c r="BYZ2" s="37"/>
      <c r="BZA2" s="37"/>
      <c r="BZB2" s="37"/>
      <c r="BZC2" s="37"/>
      <c r="BZD2" s="37"/>
      <c r="BZE2" s="37"/>
      <c r="BZF2" s="37"/>
      <c r="BZG2" s="37"/>
      <c r="BZH2" s="37"/>
      <c r="BZI2" s="37"/>
      <c r="BZJ2" s="37"/>
      <c r="BZK2" s="37"/>
      <c r="BZL2" s="37"/>
      <c r="BZM2" s="37"/>
      <c r="BZN2" s="37"/>
      <c r="BZO2" s="37"/>
      <c r="BZP2" s="37"/>
      <c r="BZQ2" s="37"/>
      <c r="BZR2" s="37"/>
      <c r="BZS2" s="37"/>
      <c r="BZT2" s="37"/>
      <c r="BZU2" s="37"/>
      <c r="BZV2" s="37"/>
      <c r="BZW2" s="37"/>
      <c r="BZX2" s="37"/>
      <c r="BZY2" s="37"/>
      <c r="BZZ2" s="37"/>
      <c r="CAA2" s="37"/>
      <c r="CAB2" s="37"/>
      <c r="CAC2" s="37"/>
      <c r="CAD2" s="37"/>
      <c r="CAE2" s="37"/>
      <c r="CAF2" s="37"/>
      <c r="CAG2" s="37"/>
      <c r="CAH2" s="37"/>
      <c r="CAI2" s="37"/>
      <c r="CAJ2" s="37"/>
      <c r="CAK2" s="37"/>
      <c r="CAL2" s="37"/>
      <c r="CAM2" s="37"/>
      <c r="CAN2" s="37"/>
      <c r="CAO2" s="37"/>
      <c r="CAP2" s="37"/>
      <c r="CAQ2" s="37"/>
      <c r="CAR2" s="37"/>
      <c r="CAS2" s="37"/>
      <c r="CAT2" s="37"/>
      <c r="CAU2" s="37"/>
      <c r="CAV2" s="37"/>
      <c r="CAW2" s="37"/>
      <c r="CAX2" s="37"/>
      <c r="CAY2" s="37"/>
      <c r="CAZ2" s="37"/>
      <c r="CBA2" s="37"/>
      <c r="CBB2" s="37"/>
      <c r="CBC2" s="37"/>
      <c r="CBD2" s="37"/>
      <c r="CBE2" s="37"/>
      <c r="CBF2" s="37"/>
      <c r="CBG2" s="37"/>
      <c r="CBH2" s="37"/>
      <c r="CBI2" s="37"/>
      <c r="CBJ2" s="37"/>
      <c r="CBK2" s="37"/>
      <c r="CBL2" s="37"/>
      <c r="CBM2" s="37"/>
      <c r="CBN2" s="37"/>
      <c r="CBO2" s="37"/>
      <c r="CBP2" s="37"/>
      <c r="CBQ2" s="37"/>
      <c r="CBR2" s="37"/>
      <c r="CBS2" s="37"/>
      <c r="CBT2" s="37"/>
      <c r="CBU2" s="37"/>
      <c r="CBV2" s="37"/>
      <c r="CBW2" s="37"/>
      <c r="CBX2" s="37"/>
      <c r="CBY2" s="37"/>
      <c r="CBZ2" s="37"/>
      <c r="CCA2" s="37"/>
      <c r="CCB2" s="37"/>
      <c r="CCC2" s="37"/>
      <c r="CCD2" s="37"/>
      <c r="CCE2" s="37"/>
      <c r="CCF2" s="37"/>
      <c r="CCG2" s="37"/>
      <c r="CCH2" s="37"/>
      <c r="CCI2" s="37"/>
      <c r="CCJ2" s="37"/>
      <c r="CCK2" s="37"/>
      <c r="CCL2" s="37"/>
      <c r="CCM2" s="37"/>
      <c r="CCN2" s="37"/>
      <c r="CCO2" s="37"/>
      <c r="CCP2" s="37"/>
      <c r="CCQ2" s="37"/>
      <c r="CCR2" s="37"/>
      <c r="CCS2" s="37"/>
      <c r="CCT2" s="37"/>
      <c r="CCU2" s="37"/>
      <c r="CCV2" s="37"/>
      <c r="CCW2" s="37"/>
      <c r="CCX2" s="37"/>
      <c r="CCY2" s="37"/>
      <c r="CCZ2" s="37"/>
      <c r="CDA2" s="37"/>
      <c r="CDB2" s="37"/>
      <c r="CDC2" s="37"/>
      <c r="CDD2" s="37"/>
      <c r="CDE2" s="37"/>
      <c r="CDF2" s="37"/>
      <c r="CDG2" s="37"/>
      <c r="CDH2" s="37"/>
      <c r="CDI2" s="37"/>
      <c r="CDJ2" s="37"/>
      <c r="CDK2" s="37"/>
      <c r="CDL2" s="37"/>
      <c r="CDM2" s="37"/>
      <c r="CDN2" s="37"/>
      <c r="CDO2" s="37"/>
      <c r="CDP2" s="37"/>
      <c r="CDQ2" s="37"/>
      <c r="CDR2" s="37"/>
      <c r="CDS2" s="37"/>
      <c r="CDT2" s="37"/>
      <c r="CDU2" s="37"/>
      <c r="CDV2" s="37"/>
      <c r="CDW2" s="37"/>
      <c r="CDX2" s="37"/>
      <c r="CDY2" s="37"/>
      <c r="CDZ2" s="37"/>
      <c r="CEA2" s="37"/>
      <c r="CEB2" s="37"/>
      <c r="CEC2" s="37"/>
      <c r="CED2" s="37"/>
      <c r="CEE2" s="37"/>
      <c r="CEF2" s="37"/>
      <c r="CEG2" s="37"/>
      <c r="CEH2" s="37"/>
      <c r="CEI2" s="37"/>
      <c r="CEJ2" s="37"/>
      <c r="CEK2" s="37"/>
      <c r="CEL2" s="37"/>
      <c r="CEM2" s="37"/>
      <c r="CEN2" s="37"/>
      <c r="CEO2" s="37"/>
      <c r="CEP2" s="37"/>
      <c r="CEQ2" s="37"/>
      <c r="CER2" s="37"/>
      <c r="CES2" s="37"/>
      <c r="CET2" s="37"/>
      <c r="CEU2" s="37"/>
      <c r="CEV2" s="37"/>
      <c r="CEW2" s="37"/>
      <c r="CEX2" s="37"/>
      <c r="CEY2" s="37"/>
      <c r="CEZ2" s="37"/>
      <c r="CFA2" s="37"/>
      <c r="CFB2" s="37"/>
      <c r="CFC2" s="37"/>
      <c r="CFD2" s="37"/>
      <c r="CFE2" s="37"/>
      <c r="CFF2" s="37"/>
      <c r="CFG2" s="37"/>
      <c r="CFH2" s="37"/>
      <c r="CFI2" s="37"/>
      <c r="CFJ2" s="37"/>
      <c r="CFK2" s="37"/>
      <c r="CFL2" s="37"/>
      <c r="CFM2" s="37"/>
      <c r="CFN2" s="37"/>
      <c r="CFO2" s="37"/>
      <c r="CFP2" s="37"/>
      <c r="CFQ2" s="37"/>
      <c r="CFR2" s="37"/>
      <c r="CFS2" s="37"/>
      <c r="CFT2" s="37"/>
      <c r="CFU2" s="37"/>
      <c r="CFV2" s="37"/>
      <c r="CFW2" s="37"/>
      <c r="CFX2" s="37"/>
      <c r="CFY2" s="37"/>
      <c r="CFZ2" s="37"/>
      <c r="CGA2" s="37"/>
      <c r="CGB2" s="37"/>
      <c r="CGC2" s="37"/>
      <c r="CGD2" s="37"/>
      <c r="CGE2" s="37"/>
      <c r="CGF2" s="37"/>
      <c r="CGG2" s="37"/>
      <c r="CGH2" s="37"/>
      <c r="CGI2" s="37"/>
      <c r="CGJ2" s="37"/>
      <c r="CGK2" s="37"/>
      <c r="CGL2" s="37"/>
      <c r="CGM2" s="37"/>
      <c r="CGN2" s="37"/>
      <c r="CGO2" s="37"/>
      <c r="CGP2" s="37"/>
      <c r="CGQ2" s="37"/>
      <c r="CGR2" s="37"/>
      <c r="CGS2" s="37"/>
      <c r="CGT2" s="37"/>
      <c r="CGU2" s="37"/>
      <c r="CGV2" s="37"/>
      <c r="CGW2" s="37"/>
      <c r="CGX2" s="37"/>
      <c r="CGY2" s="37"/>
      <c r="CGZ2" s="37"/>
      <c r="CHA2" s="37"/>
      <c r="CHB2" s="37"/>
      <c r="CHC2" s="37"/>
      <c r="CHD2" s="37"/>
      <c r="CHE2" s="37"/>
      <c r="CHF2" s="37"/>
      <c r="CHG2" s="37"/>
      <c r="CHH2" s="37"/>
      <c r="CHI2" s="37"/>
      <c r="CHJ2" s="37"/>
      <c r="CHK2" s="37"/>
      <c r="CHL2" s="37"/>
      <c r="CHM2" s="37"/>
      <c r="CHN2" s="37"/>
      <c r="CHO2" s="37"/>
      <c r="CHP2" s="37"/>
      <c r="CHQ2" s="37"/>
      <c r="CHR2" s="37"/>
      <c r="CHS2" s="37"/>
      <c r="CHT2" s="37"/>
      <c r="CHU2" s="37"/>
      <c r="CHV2" s="37"/>
      <c r="CHW2" s="37"/>
      <c r="CHX2" s="37"/>
      <c r="CHY2" s="37"/>
      <c r="CHZ2" s="37"/>
      <c r="CIA2" s="37"/>
      <c r="CIB2" s="37"/>
      <c r="CIC2" s="37"/>
      <c r="CID2" s="37"/>
      <c r="CIE2" s="37"/>
      <c r="CIF2" s="37"/>
      <c r="CIG2" s="37"/>
      <c r="CIH2" s="37"/>
      <c r="CII2" s="37"/>
      <c r="CIJ2" s="37"/>
      <c r="CIK2" s="37"/>
      <c r="CIL2" s="37"/>
      <c r="CIM2" s="37"/>
      <c r="CIN2" s="37"/>
      <c r="CIO2" s="37"/>
      <c r="CIP2" s="37"/>
      <c r="CIQ2" s="37"/>
      <c r="CIR2" s="37"/>
      <c r="CIS2" s="37"/>
      <c r="CIT2" s="37"/>
      <c r="CIU2" s="37"/>
      <c r="CIV2" s="37"/>
      <c r="CIW2" s="37"/>
      <c r="CIX2" s="37"/>
      <c r="CIY2" s="37"/>
      <c r="CIZ2" s="37"/>
      <c r="CJA2" s="37"/>
      <c r="CJB2" s="37"/>
      <c r="CJC2" s="37"/>
      <c r="CJD2" s="37"/>
      <c r="CJE2" s="37"/>
      <c r="CJF2" s="37"/>
      <c r="CJG2" s="37"/>
      <c r="CJH2" s="37"/>
      <c r="CJI2" s="37"/>
      <c r="CJJ2" s="37"/>
      <c r="CJK2" s="37"/>
      <c r="CJL2" s="37"/>
      <c r="CJM2" s="37"/>
      <c r="CJN2" s="37"/>
      <c r="CJO2" s="37"/>
      <c r="CJP2" s="37"/>
      <c r="CJQ2" s="37"/>
      <c r="CJR2" s="37"/>
      <c r="CJS2" s="37"/>
      <c r="CJT2" s="37"/>
      <c r="CJU2" s="37"/>
      <c r="CJV2" s="37"/>
      <c r="CJW2" s="37"/>
      <c r="CJX2" s="37"/>
      <c r="CJY2" s="37"/>
      <c r="CJZ2" s="37"/>
      <c r="CKA2" s="37"/>
      <c r="CKB2" s="37"/>
      <c r="CKC2" s="37"/>
      <c r="CKD2" s="37"/>
      <c r="CKE2" s="37"/>
      <c r="CKF2" s="37"/>
      <c r="CKG2" s="37"/>
      <c r="CKH2" s="37"/>
      <c r="CKI2" s="37"/>
      <c r="CKJ2" s="37"/>
      <c r="CKK2" s="37"/>
      <c r="CKL2" s="37"/>
      <c r="CKM2" s="37"/>
      <c r="CKN2" s="37"/>
      <c r="CKO2" s="37"/>
      <c r="CKP2" s="37"/>
      <c r="CKQ2" s="37"/>
      <c r="CKR2" s="37"/>
      <c r="CKS2" s="37"/>
      <c r="CKT2" s="37"/>
      <c r="CKU2" s="37"/>
      <c r="CKV2" s="37"/>
      <c r="CKW2" s="37"/>
      <c r="CKX2" s="37"/>
      <c r="CKY2" s="37"/>
      <c r="CKZ2" s="37"/>
      <c r="CLA2" s="37"/>
      <c r="CLB2" s="37"/>
      <c r="CLC2" s="37"/>
      <c r="CLD2" s="37"/>
      <c r="CLE2" s="37"/>
      <c r="CLF2" s="37"/>
      <c r="CLG2" s="37"/>
      <c r="CLH2" s="37"/>
      <c r="CLI2" s="37"/>
      <c r="CLJ2" s="37"/>
      <c r="CLK2" s="37"/>
      <c r="CLL2" s="37"/>
      <c r="CLM2" s="37"/>
      <c r="CLN2" s="37"/>
      <c r="CLO2" s="37"/>
      <c r="CLP2" s="37"/>
      <c r="CLQ2" s="37"/>
      <c r="CLR2" s="37"/>
      <c r="CLS2" s="37"/>
      <c r="CLT2" s="37"/>
      <c r="CLU2" s="37"/>
      <c r="CLV2" s="37"/>
      <c r="CLW2" s="37"/>
      <c r="CLX2" s="37"/>
      <c r="CLY2" s="37"/>
      <c r="CLZ2" s="37"/>
      <c r="CMA2" s="37"/>
      <c r="CMB2" s="37"/>
      <c r="CMC2" s="37"/>
      <c r="CMD2" s="37"/>
      <c r="CME2" s="37"/>
      <c r="CMF2" s="37"/>
      <c r="CMG2" s="37"/>
      <c r="CMH2" s="37"/>
      <c r="CMI2" s="37"/>
      <c r="CMJ2" s="37"/>
      <c r="CMK2" s="37"/>
      <c r="CML2" s="37"/>
      <c r="CMM2" s="37"/>
      <c r="CMN2" s="37"/>
      <c r="CMO2" s="37"/>
      <c r="CMP2" s="37"/>
      <c r="CMQ2" s="37"/>
      <c r="CMR2" s="37"/>
      <c r="CMS2" s="37"/>
      <c r="CMT2" s="37"/>
      <c r="CMU2" s="37"/>
      <c r="CMV2" s="37"/>
      <c r="CMW2" s="37"/>
      <c r="CMX2" s="37"/>
      <c r="CMY2" s="37"/>
      <c r="CMZ2" s="37"/>
      <c r="CNA2" s="37"/>
      <c r="CNB2" s="37"/>
      <c r="CNC2" s="37"/>
      <c r="CND2" s="37"/>
      <c r="CNE2" s="37"/>
      <c r="CNF2" s="37"/>
      <c r="CNG2" s="37"/>
      <c r="CNH2" s="37"/>
      <c r="CNI2" s="37"/>
      <c r="CNJ2" s="37"/>
      <c r="CNK2" s="37"/>
      <c r="CNL2" s="37"/>
      <c r="CNM2" s="37"/>
      <c r="CNN2" s="37"/>
      <c r="CNO2" s="37"/>
      <c r="CNP2" s="37"/>
      <c r="CNQ2" s="37"/>
      <c r="CNR2" s="37"/>
      <c r="CNS2" s="37"/>
      <c r="CNT2" s="37"/>
      <c r="CNU2" s="37"/>
      <c r="CNV2" s="37"/>
      <c r="CNW2" s="37"/>
      <c r="CNX2" s="37"/>
      <c r="CNY2" s="37"/>
      <c r="CNZ2" s="37"/>
      <c r="COA2" s="37"/>
      <c r="COB2" s="37"/>
      <c r="COC2" s="37"/>
      <c r="COD2" s="37"/>
      <c r="COE2" s="37"/>
      <c r="COF2" s="37"/>
      <c r="COG2" s="37"/>
      <c r="COH2" s="37"/>
      <c r="COI2" s="37"/>
      <c r="COJ2" s="37"/>
      <c r="COK2" s="37"/>
      <c r="COL2" s="37"/>
      <c r="COM2" s="37"/>
      <c r="CON2" s="37"/>
      <c r="COO2" s="37"/>
      <c r="COP2" s="37"/>
      <c r="COQ2" s="37"/>
      <c r="COR2" s="37"/>
      <c r="COS2" s="37"/>
      <c r="COT2" s="37"/>
      <c r="COU2" s="37"/>
      <c r="COV2" s="37"/>
      <c r="COW2" s="37"/>
      <c r="COX2" s="37"/>
      <c r="COY2" s="37"/>
      <c r="COZ2" s="37"/>
      <c r="CPA2" s="37"/>
      <c r="CPB2" s="37"/>
      <c r="CPC2" s="37"/>
      <c r="CPD2" s="37"/>
      <c r="CPE2" s="37"/>
      <c r="CPF2" s="37"/>
      <c r="CPG2" s="37"/>
      <c r="CPH2" s="37"/>
      <c r="CPI2" s="37"/>
      <c r="CPJ2" s="37"/>
      <c r="CPK2" s="37"/>
      <c r="CPL2" s="37"/>
      <c r="CPM2" s="37"/>
      <c r="CPN2" s="37"/>
      <c r="CPO2" s="37"/>
      <c r="CPP2" s="37"/>
      <c r="CPQ2" s="37"/>
      <c r="CPR2" s="37"/>
      <c r="CPS2" s="37"/>
      <c r="CPT2" s="37"/>
      <c r="CPU2" s="37"/>
      <c r="CPV2" s="37"/>
      <c r="CPW2" s="37"/>
      <c r="CPX2" s="37"/>
      <c r="CPY2" s="37"/>
      <c r="CPZ2" s="37"/>
      <c r="CQA2" s="37"/>
      <c r="CQB2" s="37"/>
      <c r="CQC2" s="37"/>
      <c r="CQD2" s="37"/>
      <c r="CQE2" s="37"/>
      <c r="CQF2" s="37"/>
      <c r="CQG2" s="37"/>
      <c r="CQH2" s="37"/>
      <c r="CQI2" s="37"/>
      <c r="CQJ2" s="37"/>
      <c r="CQK2" s="37"/>
      <c r="CQL2" s="37"/>
      <c r="CQM2" s="37"/>
      <c r="CQN2" s="37"/>
      <c r="CQO2" s="37"/>
      <c r="CQP2" s="37"/>
      <c r="CQQ2" s="37"/>
      <c r="CQR2" s="37"/>
      <c r="CQS2" s="37"/>
      <c r="CQT2" s="37"/>
      <c r="CQU2" s="37"/>
      <c r="CQV2" s="37"/>
      <c r="CQW2" s="37"/>
      <c r="CQX2" s="37"/>
      <c r="CQY2" s="37"/>
      <c r="CQZ2" s="37"/>
      <c r="CRA2" s="37"/>
      <c r="CRB2" s="37"/>
      <c r="CRC2" s="37"/>
      <c r="CRD2" s="37"/>
      <c r="CRE2" s="37"/>
      <c r="CRF2" s="37"/>
      <c r="CRG2" s="37"/>
      <c r="CRH2" s="37"/>
      <c r="CRI2" s="37"/>
      <c r="CRJ2" s="37"/>
      <c r="CRK2" s="37"/>
      <c r="CRL2" s="37"/>
      <c r="CRM2" s="37"/>
      <c r="CRN2" s="37"/>
      <c r="CRO2" s="37"/>
      <c r="CRP2" s="37"/>
      <c r="CRQ2" s="37"/>
      <c r="CRR2" s="37"/>
      <c r="CRS2" s="37"/>
      <c r="CRT2" s="37"/>
      <c r="CRU2" s="37"/>
      <c r="CRV2" s="37"/>
      <c r="CRW2" s="37"/>
      <c r="CRX2" s="37"/>
      <c r="CRY2" s="37"/>
      <c r="CRZ2" s="37"/>
      <c r="CSA2" s="37"/>
      <c r="CSB2" s="37"/>
      <c r="CSC2" s="37"/>
      <c r="CSD2" s="37"/>
      <c r="CSE2" s="37"/>
      <c r="CSF2" s="37"/>
      <c r="CSG2" s="37"/>
      <c r="CSH2" s="37"/>
      <c r="CSI2" s="37"/>
      <c r="CSJ2" s="37"/>
      <c r="CSK2" s="37"/>
      <c r="CSL2" s="37"/>
      <c r="CSM2" s="37"/>
      <c r="CSN2" s="37"/>
      <c r="CSO2" s="37"/>
      <c r="CSP2" s="37"/>
      <c r="CSQ2" s="37"/>
      <c r="CSR2" s="37"/>
      <c r="CSS2" s="37"/>
      <c r="CST2" s="37"/>
      <c r="CSU2" s="37"/>
      <c r="CSV2" s="37"/>
      <c r="CSW2" s="37"/>
      <c r="CSX2" s="37"/>
      <c r="CSY2" s="37"/>
      <c r="CSZ2" s="37"/>
      <c r="CTA2" s="37"/>
      <c r="CTB2" s="37"/>
      <c r="CTC2" s="37"/>
      <c r="CTD2" s="37"/>
      <c r="CTE2" s="37"/>
      <c r="CTF2" s="37"/>
      <c r="CTG2" s="37"/>
      <c r="CTH2" s="37"/>
      <c r="CTI2" s="37"/>
      <c r="CTJ2" s="37"/>
      <c r="CTK2" s="37"/>
      <c r="CTL2" s="37"/>
      <c r="CTM2" s="37"/>
      <c r="CTN2" s="37"/>
      <c r="CTO2" s="37"/>
      <c r="CTP2" s="37"/>
      <c r="CTQ2" s="37"/>
      <c r="CTR2" s="37"/>
      <c r="CTS2" s="37"/>
      <c r="CTT2" s="37"/>
      <c r="CTU2" s="37"/>
      <c r="CTV2" s="37"/>
      <c r="CTW2" s="37"/>
      <c r="CTX2" s="37"/>
      <c r="CTY2" s="37"/>
      <c r="CTZ2" s="37"/>
      <c r="CUA2" s="37"/>
      <c r="CUB2" s="37"/>
      <c r="CUC2" s="37"/>
      <c r="CUD2" s="37"/>
      <c r="CUE2" s="37"/>
      <c r="CUF2" s="37"/>
      <c r="CUG2" s="37"/>
      <c r="CUH2" s="37"/>
      <c r="CUI2" s="37"/>
      <c r="CUJ2" s="37"/>
      <c r="CUK2" s="37"/>
      <c r="CUL2" s="37"/>
      <c r="CUM2" s="37"/>
      <c r="CUN2" s="37"/>
      <c r="CUO2" s="37"/>
      <c r="CUP2" s="37"/>
      <c r="CUQ2" s="37"/>
      <c r="CUR2" s="37"/>
      <c r="CUS2" s="37"/>
      <c r="CUT2" s="37"/>
      <c r="CUU2" s="37"/>
      <c r="CUV2" s="37"/>
      <c r="CUW2" s="37"/>
      <c r="CUX2" s="37"/>
      <c r="CUY2" s="37"/>
      <c r="CUZ2" s="37"/>
      <c r="CVA2" s="37"/>
      <c r="CVB2" s="37"/>
      <c r="CVC2" s="37"/>
      <c r="CVD2" s="37"/>
      <c r="CVE2" s="37"/>
      <c r="CVF2" s="37"/>
      <c r="CVG2" s="37"/>
      <c r="CVH2" s="37"/>
      <c r="CVI2" s="37"/>
      <c r="CVJ2" s="37"/>
      <c r="CVK2" s="37"/>
      <c r="CVL2" s="37"/>
      <c r="CVM2" s="37"/>
      <c r="CVN2" s="37"/>
      <c r="CVO2" s="37"/>
      <c r="CVP2" s="37"/>
      <c r="CVQ2" s="37"/>
      <c r="CVR2" s="37"/>
      <c r="CVS2" s="37"/>
      <c r="CVT2" s="37"/>
      <c r="CVU2" s="37"/>
      <c r="CVV2" s="37"/>
      <c r="CVW2" s="37"/>
      <c r="CVX2" s="37"/>
      <c r="CVY2" s="37"/>
      <c r="CVZ2" s="37"/>
      <c r="CWA2" s="37"/>
      <c r="CWB2" s="37"/>
      <c r="CWC2" s="37"/>
      <c r="CWD2" s="37"/>
      <c r="CWE2" s="37"/>
      <c r="CWF2" s="37"/>
      <c r="CWG2" s="37"/>
      <c r="CWH2" s="37"/>
      <c r="CWI2" s="37"/>
      <c r="CWJ2" s="37"/>
      <c r="CWK2" s="37"/>
      <c r="CWL2" s="37"/>
      <c r="CWM2" s="37"/>
      <c r="CWN2" s="37"/>
      <c r="CWO2" s="37"/>
      <c r="CWP2" s="37"/>
      <c r="CWQ2" s="37"/>
      <c r="CWR2" s="37"/>
      <c r="CWS2" s="37"/>
      <c r="CWT2" s="37"/>
      <c r="CWU2" s="37"/>
      <c r="CWV2" s="37"/>
      <c r="CWW2" s="37"/>
      <c r="CWX2" s="37"/>
      <c r="CWY2" s="37"/>
      <c r="CWZ2" s="37"/>
      <c r="CXA2" s="37"/>
      <c r="CXB2" s="37"/>
      <c r="CXC2" s="37"/>
      <c r="CXD2" s="37"/>
      <c r="CXE2" s="37"/>
      <c r="CXF2" s="37"/>
      <c r="CXG2" s="37"/>
      <c r="CXH2" s="37"/>
      <c r="CXI2" s="37"/>
      <c r="CXJ2" s="37"/>
      <c r="CXK2" s="37"/>
      <c r="CXL2" s="37"/>
      <c r="CXM2" s="37"/>
      <c r="CXN2" s="37"/>
      <c r="CXO2" s="37"/>
      <c r="CXP2" s="37"/>
      <c r="CXQ2" s="37"/>
      <c r="CXR2" s="37"/>
      <c r="CXS2" s="37"/>
      <c r="CXT2" s="37"/>
      <c r="CXU2" s="37"/>
      <c r="CXV2" s="37"/>
      <c r="CXW2" s="37"/>
      <c r="CXX2" s="37"/>
      <c r="CXY2" s="37"/>
      <c r="CXZ2" s="37"/>
      <c r="CYA2" s="37"/>
      <c r="CYB2" s="37"/>
      <c r="CYC2" s="37"/>
      <c r="CYD2" s="37"/>
      <c r="CYE2" s="37"/>
      <c r="CYF2" s="37"/>
      <c r="CYG2" s="37"/>
      <c r="CYH2" s="37"/>
      <c r="CYI2" s="37"/>
      <c r="CYJ2" s="37"/>
      <c r="CYK2" s="37"/>
      <c r="CYL2" s="37"/>
      <c r="CYM2" s="37"/>
      <c r="CYN2" s="37"/>
      <c r="CYO2" s="37"/>
      <c r="CYP2" s="37"/>
      <c r="CYQ2" s="37"/>
      <c r="CYR2" s="37"/>
      <c r="CYS2" s="37"/>
      <c r="CYT2" s="37"/>
      <c r="CYU2" s="37"/>
      <c r="CYV2" s="37"/>
      <c r="CYW2" s="37"/>
      <c r="CYX2" s="37"/>
      <c r="CYY2" s="37"/>
      <c r="CYZ2" s="37"/>
      <c r="CZA2" s="37"/>
      <c r="CZB2" s="37"/>
      <c r="CZC2" s="37"/>
      <c r="CZD2" s="37"/>
      <c r="CZE2" s="37"/>
      <c r="CZF2" s="37"/>
      <c r="CZG2" s="37"/>
      <c r="CZH2" s="37"/>
      <c r="CZI2" s="37"/>
      <c r="CZJ2" s="37"/>
      <c r="CZK2" s="37"/>
      <c r="CZL2" s="37"/>
      <c r="CZM2" s="37"/>
      <c r="CZN2" s="37"/>
      <c r="CZO2" s="37"/>
      <c r="CZP2" s="37"/>
      <c r="CZQ2" s="37"/>
      <c r="CZR2" s="37"/>
      <c r="CZS2" s="37"/>
      <c r="CZT2" s="37"/>
      <c r="CZU2" s="37"/>
      <c r="CZV2" s="37"/>
      <c r="CZW2" s="37"/>
      <c r="CZX2" s="37"/>
      <c r="CZY2" s="37"/>
      <c r="CZZ2" s="37"/>
      <c r="DAA2" s="37"/>
      <c r="DAB2" s="37"/>
      <c r="DAC2" s="37"/>
      <c r="DAD2" s="37"/>
      <c r="DAE2" s="37"/>
      <c r="DAF2" s="37"/>
      <c r="DAG2" s="37"/>
      <c r="DAH2" s="37"/>
      <c r="DAI2" s="37"/>
      <c r="DAJ2" s="37"/>
      <c r="DAK2" s="37"/>
      <c r="DAL2" s="37"/>
      <c r="DAM2" s="37"/>
      <c r="DAN2" s="37"/>
      <c r="DAO2" s="37"/>
      <c r="DAP2" s="37"/>
      <c r="DAQ2" s="37"/>
      <c r="DAR2" s="37"/>
      <c r="DAS2" s="37"/>
      <c r="DAT2" s="37"/>
      <c r="DAU2" s="37"/>
      <c r="DAV2" s="37"/>
      <c r="DAW2" s="37"/>
      <c r="DAX2" s="37"/>
      <c r="DAY2" s="37"/>
      <c r="DAZ2" s="37"/>
      <c r="DBA2" s="37"/>
      <c r="DBB2" s="37"/>
      <c r="DBC2" s="37"/>
      <c r="DBD2" s="37"/>
      <c r="DBE2" s="37"/>
      <c r="DBF2" s="37"/>
      <c r="DBG2" s="37"/>
      <c r="DBH2" s="37"/>
      <c r="DBI2" s="37"/>
      <c r="DBJ2" s="37"/>
      <c r="DBK2" s="37"/>
      <c r="DBL2" s="37"/>
      <c r="DBM2" s="37"/>
      <c r="DBN2" s="37"/>
      <c r="DBO2" s="37"/>
      <c r="DBP2" s="37"/>
      <c r="DBQ2" s="37"/>
      <c r="DBR2" s="37"/>
      <c r="DBS2" s="37"/>
      <c r="DBT2" s="37"/>
      <c r="DBU2" s="37"/>
      <c r="DBV2" s="37"/>
      <c r="DBW2" s="37"/>
      <c r="DBX2" s="37"/>
      <c r="DBY2" s="37"/>
      <c r="DBZ2" s="37"/>
      <c r="DCA2" s="37"/>
      <c r="DCB2" s="37"/>
      <c r="DCC2" s="37"/>
      <c r="DCD2" s="37"/>
      <c r="DCE2" s="37"/>
      <c r="DCF2" s="37"/>
      <c r="DCG2" s="37"/>
      <c r="DCH2" s="37"/>
      <c r="DCI2" s="37"/>
      <c r="DCJ2" s="37"/>
      <c r="DCK2" s="37"/>
      <c r="DCL2" s="37"/>
      <c r="DCM2" s="37"/>
      <c r="DCN2" s="37"/>
      <c r="DCO2" s="37"/>
      <c r="DCP2" s="37"/>
      <c r="DCQ2" s="37"/>
      <c r="DCR2" s="37"/>
      <c r="DCS2" s="37"/>
      <c r="DCT2" s="37"/>
      <c r="DCU2" s="37"/>
      <c r="DCV2" s="37"/>
      <c r="DCW2" s="37"/>
      <c r="DCX2" s="37"/>
      <c r="DCY2" s="37"/>
      <c r="DCZ2" s="37"/>
      <c r="DDA2" s="37"/>
      <c r="DDB2" s="37"/>
      <c r="DDC2" s="37"/>
      <c r="DDD2" s="37"/>
      <c r="DDE2" s="37"/>
      <c r="DDF2" s="37"/>
      <c r="DDG2" s="37"/>
      <c r="DDH2" s="37"/>
      <c r="DDI2" s="37"/>
      <c r="DDJ2" s="37"/>
      <c r="DDK2" s="37"/>
      <c r="DDL2" s="37"/>
      <c r="DDM2" s="37"/>
      <c r="DDN2" s="37"/>
      <c r="DDO2" s="37"/>
      <c r="DDP2" s="37"/>
      <c r="DDQ2" s="37"/>
      <c r="DDR2" s="37"/>
      <c r="DDS2" s="37"/>
      <c r="DDT2" s="37"/>
      <c r="DDU2" s="37"/>
      <c r="DDV2" s="37"/>
      <c r="DDW2" s="37"/>
      <c r="DDX2" s="37"/>
      <c r="DDY2" s="37"/>
      <c r="DDZ2" s="37"/>
      <c r="DEA2" s="37"/>
      <c r="DEB2" s="37"/>
      <c r="DEC2" s="37"/>
      <c r="DED2" s="37"/>
      <c r="DEE2" s="37"/>
      <c r="DEF2" s="37"/>
      <c r="DEG2" s="37"/>
      <c r="DEH2" s="37"/>
      <c r="DEI2" s="37"/>
      <c r="DEJ2" s="37"/>
      <c r="DEK2" s="37"/>
      <c r="DEL2" s="37"/>
      <c r="DEM2" s="37"/>
      <c r="DEN2" s="37"/>
      <c r="DEO2" s="37"/>
      <c r="DEP2" s="37"/>
      <c r="DEQ2" s="37"/>
      <c r="DER2" s="37"/>
      <c r="DES2" s="37"/>
      <c r="DET2" s="37"/>
      <c r="DEU2" s="37"/>
      <c r="DEV2" s="37"/>
      <c r="DEW2" s="37"/>
      <c r="DEX2" s="37"/>
      <c r="DEY2" s="37"/>
      <c r="DEZ2" s="37"/>
      <c r="DFA2" s="37"/>
      <c r="DFB2" s="37"/>
      <c r="DFC2" s="37"/>
      <c r="DFD2" s="37"/>
      <c r="DFE2" s="37"/>
      <c r="DFF2" s="37"/>
      <c r="DFG2" s="37"/>
      <c r="DFH2" s="37"/>
      <c r="DFI2" s="37"/>
      <c r="DFJ2" s="37"/>
      <c r="DFK2" s="37"/>
      <c r="DFL2" s="37"/>
      <c r="DFM2" s="37"/>
      <c r="DFN2" s="37"/>
      <c r="DFO2" s="37"/>
      <c r="DFP2" s="37"/>
      <c r="DFQ2" s="37"/>
      <c r="DFR2" s="37"/>
      <c r="DFS2" s="37"/>
      <c r="DFT2" s="37"/>
      <c r="DFU2" s="37"/>
      <c r="DFV2" s="37"/>
      <c r="DFW2" s="37"/>
      <c r="DFX2" s="37"/>
      <c r="DFY2" s="37"/>
      <c r="DFZ2" s="37"/>
      <c r="DGA2" s="37"/>
      <c r="DGB2" s="37"/>
      <c r="DGC2" s="37"/>
      <c r="DGD2" s="37"/>
      <c r="DGE2" s="37"/>
      <c r="DGF2" s="37"/>
      <c r="DGG2" s="37"/>
      <c r="DGH2" s="37"/>
      <c r="DGI2" s="37"/>
      <c r="DGJ2" s="37"/>
      <c r="DGK2" s="37"/>
      <c r="DGL2" s="37"/>
      <c r="DGM2" s="37"/>
      <c r="DGN2" s="37"/>
      <c r="DGO2" s="37"/>
      <c r="DGP2" s="37"/>
      <c r="DGQ2" s="37"/>
      <c r="DGR2" s="37"/>
      <c r="DGS2" s="37"/>
      <c r="DGT2" s="37"/>
      <c r="DGU2" s="37"/>
      <c r="DGV2" s="37"/>
      <c r="DGW2" s="37"/>
      <c r="DGX2" s="37"/>
      <c r="DGY2" s="37"/>
      <c r="DGZ2" s="37"/>
      <c r="DHA2" s="37"/>
      <c r="DHB2" s="37"/>
      <c r="DHC2" s="37"/>
      <c r="DHD2" s="37"/>
      <c r="DHE2" s="37"/>
      <c r="DHF2" s="37"/>
      <c r="DHG2" s="37"/>
      <c r="DHH2" s="37"/>
      <c r="DHI2" s="37"/>
      <c r="DHJ2" s="37"/>
      <c r="DHK2" s="37"/>
      <c r="DHL2" s="37"/>
      <c r="DHM2" s="37"/>
      <c r="DHN2" s="37"/>
      <c r="DHO2" s="37"/>
      <c r="DHP2" s="37"/>
      <c r="DHQ2" s="37"/>
      <c r="DHR2" s="37"/>
      <c r="DHS2" s="37"/>
      <c r="DHT2" s="37"/>
      <c r="DHU2" s="37"/>
      <c r="DHV2" s="37"/>
      <c r="DHW2" s="37"/>
      <c r="DHX2" s="37"/>
      <c r="DHY2" s="37"/>
      <c r="DHZ2" s="37"/>
      <c r="DIA2" s="37"/>
      <c r="DIB2" s="37"/>
      <c r="DIC2" s="37"/>
      <c r="DID2" s="37"/>
      <c r="DIE2" s="37"/>
      <c r="DIF2" s="37"/>
      <c r="DIG2" s="37"/>
      <c r="DIH2" s="37"/>
      <c r="DII2" s="37"/>
      <c r="DIJ2" s="37"/>
      <c r="DIK2" s="37"/>
      <c r="DIL2" s="37"/>
      <c r="DIM2" s="37"/>
      <c r="DIN2" s="37"/>
      <c r="DIO2" s="37"/>
      <c r="DIP2" s="37"/>
      <c r="DIQ2" s="37"/>
      <c r="DIR2" s="37"/>
      <c r="DIS2" s="37"/>
      <c r="DIT2" s="37"/>
      <c r="DIU2" s="37"/>
      <c r="DIV2" s="37"/>
      <c r="DIW2" s="37"/>
      <c r="DIX2" s="37"/>
      <c r="DIY2" s="37"/>
      <c r="DIZ2" s="37"/>
      <c r="DJA2" s="37"/>
      <c r="DJB2" s="37"/>
      <c r="DJC2" s="37"/>
      <c r="DJD2" s="37"/>
      <c r="DJE2" s="37"/>
      <c r="DJF2" s="37"/>
      <c r="DJG2" s="37"/>
      <c r="DJH2" s="37"/>
      <c r="DJI2" s="37"/>
      <c r="DJJ2" s="37"/>
      <c r="DJK2" s="37"/>
      <c r="DJL2" s="37"/>
      <c r="DJM2" s="37"/>
      <c r="DJN2" s="37"/>
      <c r="DJO2" s="37"/>
      <c r="DJP2" s="37"/>
      <c r="DJQ2" s="37"/>
      <c r="DJR2" s="37"/>
      <c r="DJS2" s="37"/>
      <c r="DJT2" s="37"/>
      <c r="DJU2" s="37"/>
      <c r="DJV2" s="37"/>
      <c r="DJW2" s="37"/>
      <c r="DJX2" s="37"/>
      <c r="DJY2" s="37"/>
      <c r="DJZ2" s="37"/>
      <c r="DKA2" s="37"/>
      <c r="DKB2" s="37"/>
      <c r="DKC2" s="37"/>
      <c r="DKD2" s="37"/>
      <c r="DKE2" s="37"/>
      <c r="DKF2" s="37"/>
      <c r="DKG2" s="37"/>
      <c r="DKH2" s="37"/>
      <c r="DKI2" s="37"/>
      <c r="DKJ2" s="37"/>
      <c r="DKK2" s="37"/>
      <c r="DKL2" s="37"/>
      <c r="DKM2" s="37"/>
      <c r="DKN2" s="37"/>
      <c r="DKO2" s="37"/>
      <c r="DKP2" s="37"/>
      <c r="DKQ2" s="37"/>
      <c r="DKR2" s="37"/>
      <c r="DKS2" s="37"/>
      <c r="DKT2" s="37"/>
      <c r="DKU2" s="37"/>
      <c r="DKV2" s="37"/>
      <c r="DKW2" s="37"/>
      <c r="DKX2" s="37"/>
      <c r="DKY2" s="37"/>
      <c r="DKZ2" s="37"/>
      <c r="DLA2" s="37"/>
      <c r="DLB2" s="37"/>
      <c r="DLC2" s="37"/>
      <c r="DLD2" s="37"/>
      <c r="DLE2" s="37"/>
      <c r="DLF2" s="37"/>
      <c r="DLG2" s="37"/>
      <c r="DLH2" s="37"/>
      <c r="DLI2" s="37"/>
      <c r="DLJ2" s="37"/>
      <c r="DLK2" s="37"/>
      <c r="DLL2" s="37"/>
      <c r="DLM2" s="37"/>
      <c r="DLN2" s="37"/>
      <c r="DLO2" s="37"/>
      <c r="DLP2" s="37"/>
      <c r="DLQ2" s="37"/>
      <c r="DLR2" s="37"/>
      <c r="DLS2" s="37"/>
      <c r="DLT2" s="37"/>
      <c r="DLU2" s="37"/>
      <c r="DLV2" s="37"/>
      <c r="DLW2" s="37"/>
      <c r="DLX2" s="37"/>
      <c r="DLY2" s="37"/>
      <c r="DLZ2" s="37"/>
      <c r="DMA2" s="37"/>
      <c r="DMB2" s="37"/>
      <c r="DMC2" s="37"/>
      <c r="DMD2" s="37"/>
      <c r="DME2" s="37"/>
      <c r="DMF2" s="37"/>
      <c r="DMG2" s="37"/>
      <c r="DMH2" s="37"/>
      <c r="DMI2" s="37"/>
      <c r="DMJ2" s="37"/>
      <c r="DMK2" s="37"/>
      <c r="DML2" s="37"/>
      <c r="DMM2" s="37"/>
      <c r="DMN2" s="37"/>
      <c r="DMO2" s="37"/>
      <c r="DMP2" s="37"/>
      <c r="DMQ2" s="37"/>
      <c r="DMR2" s="37"/>
      <c r="DMS2" s="37"/>
      <c r="DMT2" s="37"/>
      <c r="DMU2" s="37"/>
      <c r="DMV2" s="37"/>
      <c r="DMW2" s="37"/>
      <c r="DMX2" s="37"/>
      <c r="DMY2" s="37"/>
      <c r="DMZ2" s="37"/>
      <c r="DNA2" s="37"/>
      <c r="DNB2" s="37"/>
      <c r="DNC2" s="37"/>
      <c r="DND2" s="37"/>
      <c r="DNE2" s="37"/>
      <c r="DNF2" s="37"/>
      <c r="DNG2" s="37"/>
      <c r="DNH2" s="37"/>
      <c r="DNI2" s="37"/>
      <c r="DNJ2" s="37"/>
      <c r="DNK2" s="37"/>
      <c r="DNL2" s="37"/>
      <c r="DNM2" s="37"/>
      <c r="DNN2" s="37"/>
      <c r="DNO2" s="37"/>
      <c r="DNP2" s="37"/>
      <c r="DNQ2" s="37"/>
      <c r="DNR2" s="37"/>
      <c r="DNS2" s="37"/>
      <c r="DNT2" s="37"/>
      <c r="DNU2" s="37"/>
      <c r="DNV2" s="37"/>
      <c r="DNW2" s="37"/>
      <c r="DNX2" s="37"/>
      <c r="DNY2" s="37"/>
      <c r="DNZ2" s="37"/>
      <c r="DOA2" s="37"/>
      <c r="DOB2" s="37"/>
      <c r="DOC2" s="37"/>
      <c r="DOD2" s="37"/>
      <c r="DOE2" s="37"/>
      <c r="DOF2" s="37"/>
      <c r="DOG2" s="37"/>
      <c r="DOH2" s="37"/>
      <c r="DOI2" s="37"/>
      <c r="DOJ2" s="37"/>
      <c r="DOK2" s="37"/>
      <c r="DOL2" s="37"/>
      <c r="DOM2" s="37"/>
      <c r="DON2" s="37"/>
      <c r="DOO2" s="37"/>
      <c r="DOP2" s="37"/>
      <c r="DOQ2" s="37"/>
      <c r="DOR2" s="37"/>
      <c r="DOS2" s="37"/>
      <c r="DOT2" s="37"/>
      <c r="DOU2" s="37"/>
      <c r="DOV2" s="37"/>
      <c r="DOW2" s="37"/>
      <c r="DOX2" s="37"/>
      <c r="DOY2" s="37"/>
      <c r="DOZ2" s="37"/>
      <c r="DPA2" s="37"/>
      <c r="DPB2" s="37"/>
      <c r="DPC2" s="37"/>
      <c r="DPD2" s="37"/>
      <c r="DPE2" s="37"/>
      <c r="DPF2" s="37"/>
      <c r="DPG2" s="37"/>
      <c r="DPH2" s="37"/>
      <c r="DPI2" s="37"/>
      <c r="DPJ2" s="37"/>
      <c r="DPK2" s="37"/>
      <c r="DPL2" s="37"/>
      <c r="DPM2" s="37"/>
      <c r="DPN2" s="37"/>
      <c r="DPO2" s="37"/>
      <c r="DPP2" s="37"/>
      <c r="DPQ2" s="37"/>
      <c r="DPR2" s="37"/>
      <c r="DPS2" s="37"/>
      <c r="DPT2" s="37"/>
      <c r="DPU2" s="37"/>
      <c r="DPV2" s="37"/>
      <c r="DPW2" s="37"/>
      <c r="DPX2" s="37"/>
      <c r="DPY2" s="37"/>
      <c r="DPZ2" s="37"/>
      <c r="DQA2" s="37"/>
      <c r="DQB2" s="37"/>
      <c r="DQC2" s="37"/>
      <c r="DQD2" s="37"/>
      <c r="DQE2" s="37"/>
      <c r="DQF2" s="37"/>
      <c r="DQG2" s="37"/>
      <c r="DQH2" s="37"/>
      <c r="DQI2" s="37"/>
      <c r="DQJ2" s="37"/>
      <c r="DQK2" s="37"/>
      <c r="DQL2" s="37"/>
      <c r="DQM2" s="37"/>
      <c r="DQN2" s="37"/>
      <c r="DQO2" s="37"/>
      <c r="DQP2" s="37"/>
      <c r="DQQ2" s="37"/>
      <c r="DQR2" s="37"/>
      <c r="DQS2" s="37"/>
      <c r="DQT2" s="37"/>
      <c r="DQU2" s="37"/>
      <c r="DQV2" s="37"/>
      <c r="DQW2" s="37"/>
      <c r="DQX2" s="37"/>
      <c r="DQY2" s="37"/>
      <c r="DQZ2" s="37"/>
      <c r="DRA2" s="37"/>
      <c r="DRB2" s="37"/>
      <c r="DRC2" s="37"/>
      <c r="DRD2" s="37"/>
      <c r="DRE2" s="37"/>
      <c r="DRF2" s="37"/>
      <c r="DRG2" s="37"/>
      <c r="DRH2" s="37"/>
      <c r="DRI2" s="37"/>
      <c r="DRJ2" s="37"/>
      <c r="DRK2" s="37"/>
      <c r="DRL2" s="37"/>
      <c r="DRM2" s="37"/>
      <c r="DRN2" s="37"/>
      <c r="DRO2" s="37"/>
      <c r="DRP2" s="37"/>
      <c r="DRQ2" s="37"/>
      <c r="DRR2" s="37"/>
      <c r="DRS2" s="37"/>
      <c r="DRT2" s="37"/>
      <c r="DRU2" s="37"/>
      <c r="DRV2" s="37"/>
      <c r="DRW2" s="37"/>
      <c r="DRX2" s="37"/>
      <c r="DRY2" s="37"/>
      <c r="DRZ2" s="37"/>
      <c r="DSA2" s="37"/>
      <c r="DSB2" s="37"/>
      <c r="DSC2" s="37"/>
      <c r="DSD2" s="37"/>
      <c r="DSE2" s="37"/>
      <c r="DSF2" s="37"/>
      <c r="DSG2" s="37"/>
      <c r="DSH2" s="37"/>
      <c r="DSI2" s="37"/>
      <c r="DSJ2" s="37"/>
      <c r="DSK2" s="37"/>
      <c r="DSL2" s="37"/>
      <c r="DSM2" s="37"/>
      <c r="DSN2" s="37"/>
      <c r="DSO2" s="37"/>
      <c r="DSP2" s="37"/>
      <c r="DSQ2" s="37"/>
      <c r="DSR2" s="37"/>
      <c r="DSS2" s="37"/>
      <c r="DST2" s="37"/>
      <c r="DSU2" s="37"/>
      <c r="DSV2" s="37"/>
      <c r="DSW2" s="37"/>
      <c r="DSX2" s="37"/>
      <c r="DSY2" s="37"/>
      <c r="DSZ2" s="37"/>
      <c r="DTA2" s="37"/>
      <c r="DTB2" s="37"/>
      <c r="DTC2" s="37"/>
      <c r="DTD2" s="37"/>
      <c r="DTE2" s="37"/>
      <c r="DTF2" s="37"/>
      <c r="DTG2" s="37"/>
      <c r="DTH2" s="37"/>
      <c r="DTI2" s="37"/>
      <c r="DTJ2" s="37"/>
      <c r="DTK2" s="37"/>
      <c r="DTL2" s="37"/>
      <c r="DTM2" s="37"/>
      <c r="DTN2" s="37"/>
      <c r="DTO2" s="37"/>
      <c r="DTP2" s="37"/>
      <c r="DTQ2" s="37"/>
      <c r="DTR2" s="37"/>
      <c r="DTS2" s="37"/>
      <c r="DTT2" s="37"/>
      <c r="DTU2" s="37"/>
      <c r="DTV2" s="37"/>
      <c r="DTW2" s="37"/>
      <c r="DTX2" s="37"/>
      <c r="DTY2" s="37"/>
      <c r="DTZ2" s="37"/>
      <c r="DUA2" s="37"/>
      <c r="DUB2" s="37"/>
      <c r="DUC2" s="37"/>
      <c r="DUD2" s="37"/>
      <c r="DUE2" s="37"/>
      <c r="DUF2" s="37"/>
      <c r="DUG2" s="37"/>
      <c r="DUH2" s="37"/>
      <c r="DUI2" s="37"/>
      <c r="DUJ2" s="37"/>
      <c r="DUK2" s="37"/>
      <c r="DUL2" s="37"/>
      <c r="DUM2" s="37"/>
      <c r="DUN2" s="37"/>
      <c r="DUO2" s="37"/>
      <c r="DUP2" s="37"/>
      <c r="DUQ2" s="37"/>
      <c r="DUR2" s="37"/>
      <c r="DUS2" s="37"/>
      <c r="DUT2" s="37"/>
      <c r="DUU2" s="37"/>
      <c r="DUV2" s="37"/>
      <c r="DUW2" s="37"/>
      <c r="DUX2" s="37"/>
      <c r="DUY2" s="37"/>
      <c r="DUZ2" s="37"/>
      <c r="DVA2" s="37"/>
      <c r="DVB2" s="37"/>
      <c r="DVC2" s="37"/>
      <c r="DVD2" s="37"/>
      <c r="DVE2" s="37"/>
      <c r="DVF2" s="37"/>
      <c r="DVG2" s="37"/>
      <c r="DVH2" s="37"/>
      <c r="DVI2" s="37"/>
      <c r="DVJ2" s="37"/>
      <c r="DVK2" s="37"/>
      <c r="DVL2" s="37"/>
      <c r="DVM2" s="37"/>
      <c r="DVN2" s="37"/>
      <c r="DVO2" s="37"/>
      <c r="DVP2" s="37"/>
      <c r="DVQ2" s="37"/>
      <c r="DVR2" s="37"/>
      <c r="DVS2" s="37"/>
      <c r="DVT2" s="37"/>
      <c r="DVU2" s="37"/>
      <c r="DVV2" s="37"/>
      <c r="DVW2" s="37"/>
      <c r="DVX2" s="37"/>
      <c r="DVY2" s="37"/>
      <c r="DVZ2" s="37"/>
      <c r="DWA2" s="37"/>
      <c r="DWB2" s="37"/>
      <c r="DWC2" s="37"/>
      <c r="DWD2" s="37"/>
      <c r="DWE2" s="37"/>
      <c r="DWF2" s="37"/>
      <c r="DWG2" s="37"/>
      <c r="DWH2" s="37"/>
      <c r="DWI2" s="37"/>
      <c r="DWJ2" s="37"/>
      <c r="DWK2" s="37"/>
      <c r="DWL2" s="37"/>
      <c r="DWM2" s="37"/>
      <c r="DWN2" s="37"/>
      <c r="DWO2" s="37"/>
      <c r="DWP2" s="37"/>
      <c r="DWQ2" s="37"/>
      <c r="DWR2" s="37"/>
      <c r="DWS2" s="37"/>
      <c r="DWT2" s="37"/>
      <c r="DWU2" s="37"/>
      <c r="DWV2" s="37"/>
      <c r="DWW2" s="37"/>
      <c r="DWX2" s="37"/>
      <c r="DWY2" s="37"/>
      <c r="DWZ2" s="37"/>
      <c r="DXA2" s="37"/>
      <c r="DXB2" s="37"/>
      <c r="DXC2" s="37"/>
      <c r="DXD2" s="37"/>
      <c r="DXE2" s="37"/>
      <c r="DXF2" s="37"/>
      <c r="DXG2" s="37"/>
      <c r="DXH2" s="37"/>
      <c r="DXI2" s="37"/>
      <c r="DXJ2" s="37"/>
      <c r="DXK2" s="37"/>
      <c r="DXL2" s="37"/>
      <c r="DXM2" s="37"/>
      <c r="DXN2" s="37"/>
      <c r="DXO2" s="37"/>
      <c r="DXP2" s="37"/>
      <c r="DXQ2" s="37"/>
      <c r="DXR2" s="37"/>
      <c r="DXS2" s="37"/>
      <c r="DXT2" s="37"/>
      <c r="DXU2" s="37"/>
      <c r="DXV2" s="37"/>
      <c r="DXW2" s="37"/>
      <c r="DXX2" s="37"/>
      <c r="DXY2" s="37"/>
      <c r="DXZ2" s="37"/>
      <c r="DYA2" s="37"/>
      <c r="DYB2" s="37"/>
      <c r="DYC2" s="37"/>
      <c r="DYD2" s="37"/>
      <c r="DYE2" s="37"/>
      <c r="DYF2" s="37"/>
      <c r="DYG2" s="37"/>
      <c r="DYH2" s="37"/>
      <c r="DYI2" s="37"/>
      <c r="DYJ2" s="37"/>
      <c r="DYK2" s="37"/>
      <c r="DYL2" s="37"/>
      <c r="DYM2" s="37"/>
      <c r="DYN2" s="37"/>
      <c r="DYO2" s="37"/>
      <c r="DYP2" s="37"/>
      <c r="DYQ2" s="37"/>
      <c r="DYR2" s="37"/>
      <c r="DYS2" s="37"/>
      <c r="DYT2" s="37"/>
      <c r="DYU2" s="37"/>
      <c r="DYV2" s="37"/>
      <c r="DYW2" s="37"/>
      <c r="DYX2" s="37"/>
      <c r="DYY2" s="37"/>
      <c r="DYZ2" s="37"/>
      <c r="DZA2" s="37"/>
      <c r="DZB2" s="37"/>
      <c r="DZC2" s="37"/>
      <c r="DZD2" s="37"/>
      <c r="DZE2" s="37"/>
      <c r="DZF2" s="37"/>
      <c r="DZG2" s="37"/>
      <c r="DZH2" s="37"/>
      <c r="DZI2" s="37"/>
      <c r="DZJ2" s="37"/>
      <c r="DZK2" s="37"/>
      <c r="DZL2" s="37"/>
      <c r="DZM2" s="37"/>
      <c r="DZN2" s="37"/>
      <c r="DZO2" s="37"/>
      <c r="DZP2" s="37"/>
      <c r="DZQ2" s="37"/>
      <c r="DZR2" s="37"/>
      <c r="DZS2" s="37"/>
      <c r="DZT2" s="37"/>
      <c r="DZU2" s="37"/>
      <c r="DZV2" s="37"/>
      <c r="DZW2" s="37"/>
      <c r="DZX2" s="37"/>
      <c r="DZY2" s="37"/>
      <c r="DZZ2" s="37"/>
      <c r="EAA2" s="37"/>
      <c r="EAB2" s="37"/>
      <c r="EAC2" s="37"/>
      <c r="EAD2" s="37"/>
      <c r="EAE2" s="37"/>
      <c r="EAF2" s="37"/>
      <c r="EAG2" s="37"/>
      <c r="EAH2" s="37"/>
      <c r="EAI2" s="37"/>
      <c r="EAJ2" s="37"/>
      <c r="EAK2" s="37"/>
      <c r="EAL2" s="37"/>
      <c r="EAM2" s="37"/>
      <c r="EAN2" s="37"/>
      <c r="EAO2" s="37"/>
      <c r="EAP2" s="37"/>
      <c r="EAQ2" s="37"/>
      <c r="EAR2" s="37"/>
      <c r="EAS2" s="37"/>
      <c r="EAT2" s="37"/>
      <c r="EAU2" s="37"/>
      <c r="EAV2" s="37"/>
      <c r="EAW2" s="37"/>
      <c r="EAX2" s="37"/>
      <c r="EAY2" s="37"/>
      <c r="EAZ2" s="37"/>
      <c r="EBA2" s="37"/>
      <c r="EBB2" s="37"/>
      <c r="EBC2" s="37"/>
      <c r="EBD2" s="37"/>
      <c r="EBE2" s="37"/>
      <c r="EBF2" s="37"/>
      <c r="EBG2" s="37"/>
      <c r="EBH2" s="37"/>
      <c r="EBI2" s="37"/>
      <c r="EBJ2" s="37"/>
      <c r="EBK2" s="37"/>
      <c r="EBL2" s="37"/>
      <c r="EBM2" s="37"/>
      <c r="EBN2" s="37"/>
      <c r="EBO2" s="37"/>
      <c r="EBP2" s="37"/>
      <c r="EBQ2" s="37"/>
      <c r="EBR2" s="37"/>
      <c r="EBS2" s="37"/>
      <c r="EBT2" s="37"/>
      <c r="EBU2" s="37"/>
      <c r="EBV2" s="37"/>
      <c r="EBW2" s="37"/>
      <c r="EBX2" s="37"/>
      <c r="EBY2" s="37"/>
      <c r="EBZ2" s="37"/>
      <c r="ECA2" s="37"/>
      <c r="ECB2" s="37"/>
      <c r="ECC2" s="37"/>
      <c r="ECD2" s="37"/>
      <c r="ECE2" s="37"/>
      <c r="ECF2" s="37"/>
      <c r="ECG2" s="37"/>
      <c r="ECH2" s="37"/>
      <c r="ECI2" s="37"/>
      <c r="ECJ2" s="37"/>
      <c r="ECK2" s="37"/>
      <c r="ECL2" s="37"/>
      <c r="ECM2" s="37"/>
      <c r="ECN2" s="37"/>
      <c r="ECO2" s="37"/>
      <c r="ECP2" s="37"/>
      <c r="ECQ2" s="37"/>
      <c r="ECR2" s="37"/>
      <c r="ECS2" s="37"/>
      <c r="ECT2" s="37"/>
      <c r="ECU2" s="37"/>
      <c r="ECV2" s="37"/>
      <c r="ECW2" s="37"/>
      <c r="ECX2" s="37"/>
      <c r="ECY2" s="37"/>
      <c r="ECZ2" s="37"/>
      <c r="EDA2" s="37"/>
      <c r="EDB2" s="37"/>
      <c r="EDC2" s="37"/>
      <c r="EDD2" s="37"/>
      <c r="EDE2" s="37"/>
      <c r="EDF2" s="37"/>
      <c r="EDG2" s="37"/>
      <c r="EDH2" s="37"/>
      <c r="EDI2" s="37"/>
      <c r="EDJ2" s="37"/>
      <c r="EDK2" s="37"/>
      <c r="EDL2" s="37"/>
      <c r="EDM2" s="37"/>
      <c r="EDN2" s="37"/>
      <c r="EDO2" s="37"/>
      <c r="EDP2" s="37"/>
      <c r="EDQ2" s="37"/>
      <c r="EDR2" s="37"/>
      <c r="EDS2" s="37"/>
      <c r="EDT2" s="37"/>
      <c r="EDU2" s="37"/>
      <c r="EDV2" s="37"/>
      <c r="EDW2" s="37"/>
      <c r="EDX2" s="37"/>
      <c r="EDY2" s="37"/>
      <c r="EDZ2" s="37"/>
      <c r="EEA2" s="37"/>
      <c r="EEB2" s="37"/>
      <c r="EEC2" s="37"/>
      <c r="EED2" s="37"/>
      <c r="EEE2" s="37"/>
      <c r="EEF2" s="37"/>
      <c r="EEG2" s="37"/>
      <c r="EEH2" s="37"/>
      <c r="EEI2" s="37"/>
      <c r="EEJ2" s="37"/>
      <c r="EEK2" s="37"/>
      <c r="EEL2" s="37"/>
      <c r="EEM2" s="37"/>
      <c r="EEN2" s="37"/>
      <c r="EEO2" s="37"/>
      <c r="EEP2" s="37"/>
      <c r="EEQ2" s="37"/>
      <c r="EER2" s="37"/>
      <c r="EES2" s="37"/>
      <c r="EET2" s="37"/>
      <c r="EEU2" s="37"/>
      <c r="EEV2" s="37"/>
      <c r="EEW2" s="37"/>
      <c r="EEX2" s="37"/>
      <c r="EEY2" s="37"/>
      <c r="EEZ2" s="37"/>
      <c r="EFA2" s="37"/>
      <c r="EFB2" s="37"/>
      <c r="EFC2" s="37"/>
      <c r="EFD2" s="37"/>
      <c r="EFE2" s="37"/>
      <c r="EFF2" s="37"/>
      <c r="EFG2" s="37"/>
      <c r="EFH2" s="37"/>
      <c r="EFI2" s="37"/>
      <c r="EFJ2" s="37"/>
      <c r="EFK2" s="37"/>
      <c r="EFL2" s="37"/>
      <c r="EFM2" s="37"/>
      <c r="EFN2" s="37"/>
      <c r="EFO2" s="37"/>
      <c r="EFP2" s="37"/>
      <c r="EFQ2" s="37"/>
      <c r="EFR2" s="37"/>
      <c r="EFS2" s="37"/>
      <c r="EFT2" s="37"/>
      <c r="EFU2" s="37"/>
      <c r="EFV2" s="37"/>
      <c r="EFW2" s="37"/>
      <c r="EFX2" s="37"/>
      <c r="EFY2" s="37"/>
      <c r="EFZ2" s="37"/>
      <c r="EGA2" s="37"/>
      <c r="EGB2" s="37"/>
      <c r="EGC2" s="37"/>
      <c r="EGD2" s="37"/>
      <c r="EGE2" s="37"/>
      <c r="EGF2" s="37"/>
      <c r="EGG2" s="37"/>
      <c r="EGH2" s="37"/>
      <c r="EGI2" s="37"/>
      <c r="EGJ2" s="37"/>
      <c r="EGK2" s="37"/>
      <c r="EGL2" s="37"/>
      <c r="EGM2" s="37"/>
      <c r="EGN2" s="37"/>
      <c r="EGO2" s="37"/>
      <c r="EGP2" s="37"/>
      <c r="EGQ2" s="37"/>
      <c r="EGR2" s="37"/>
      <c r="EGS2" s="37"/>
      <c r="EGT2" s="37"/>
      <c r="EGU2" s="37"/>
      <c r="EGV2" s="37"/>
      <c r="EGW2" s="37"/>
      <c r="EGX2" s="37"/>
      <c r="EGY2" s="37"/>
      <c r="EGZ2" s="37"/>
      <c r="EHA2" s="37"/>
      <c r="EHB2" s="37"/>
      <c r="EHC2" s="37"/>
      <c r="EHD2" s="37"/>
      <c r="EHE2" s="37"/>
      <c r="EHF2" s="37"/>
      <c r="EHG2" s="37"/>
      <c r="EHH2" s="37"/>
      <c r="EHI2" s="37"/>
      <c r="EHJ2" s="37"/>
      <c r="EHK2" s="37"/>
      <c r="EHL2" s="37"/>
      <c r="EHM2" s="37"/>
      <c r="EHN2" s="37"/>
      <c r="EHO2" s="37"/>
      <c r="EHP2" s="37"/>
      <c r="EHQ2" s="37"/>
      <c r="EHR2" s="37"/>
      <c r="EHS2" s="37"/>
      <c r="EHT2" s="37"/>
      <c r="EHU2" s="37"/>
      <c r="EHV2" s="37"/>
      <c r="EHW2" s="37"/>
      <c r="EHX2" s="37"/>
      <c r="EHY2" s="37"/>
      <c r="EHZ2" s="37"/>
      <c r="EIA2" s="37"/>
      <c r="EIB2" s="37"/>
      <c r="EIC2" s="37"/>
      <c r="EID2" s="37"/>
      <c r="EIE2" s="37"/>
      <c r="EIF2" s="37"/>
      <c r="EIG2" s="37"/>
      <c r="EIH2" s="37"/>
      <c r="EII2" s="37"/>
      <c r="EIJ2" s="37"/>
      <c r="EIK2" s="37"/>
      <c r="EIL2" s="37"/>
      <c r="EIM2" s="37"/>
      <c r="EIN2" s="37"/>
      <c r="EIO2" s="37"/>
      <c r="EIP2" s="37"/>
      <c r="EIQ2" s="37"/>
      <c r="EIR2" s="37"/>
      <c r="EIS2" s="37"/>
      <c r="EIT2" s="37"/>
      <c r="EIU2" s="37"/>
      <c r="EIV2" s="37"/>
      <c r="EIW2" s="37"/>
      <c r="EIX2" s="37"/>
      <c r="EIY2" s="37"/>
      <c r="EIZ2" s="37"/>
      <c r="EJA2" s="37"/>
      <c r="EJB2" s="37"/>
      <c r="EJC2" s="37"/>
      <c r="EJD2" s="37"/>
      <c r="EJE2" s="37"/>
      <c r="EJF2" s="37"/>
      <c r="EJG2" s="37"/>
      <c r="EJH2" s="37"/>
      <c r="EJI2" s="37"/>
      <c r="EJJ2" s="37"/>
      <c r="EJK2" s="37"/>
      <c r="EJL2" s="37"/>
      <c r="EJM2" s="37"/>
      <c r="EJN2" s="37"/>
      <c r="EJO2" s="37"/>
      <c r="EJP2" s="37"/>
      <c r="EJQ2" s="37"/>
      <c r="EJR2" s="37"/>
      <c r="EJS2" s="37"/>
      <c r="EJT2" s="37"/>
      <c r="EJU2" s="37"/>
      <c r="EJV2" s="37"/>
      <c r="EJW2" s="37"/>
      <c r="EJX2" s="37"/>
      <c r="EJY2" s="37"/>
      <c r="EJZ2" s="37"/>
      <c r="EKA2" s="37"/>
      <c r="EKB2" s="37"/>
      <c r="EKC2" s="37"/>
      <c r="EKD2" s="37"/>
      <c r="EKE2" s="37"/>
      <c r="EKF2" s="37"/>
      <c r="EKG2" s="37"/>
      <c r="EKH2" s="37"/>
      <c r="EKI2" s="37"/>
      <c r="EKJ2" s="37"/>
      <c r="EKK2" s="37"/>
      <c r="EKL2" s="37"/>
      <c r="EKM2" s="37"/>
      <c r="EKN2" s="37"/>
      <c r="EKO2" s="37"/>
      <c r="EKP2" s="37"/>
      <c r="EKQ2" s="37"/>
      <c r="EKR2" s="37"/>
      <c r="EKS2" s="37"/>
      <c r="EKT2" s="37"/>
      <c r="EKU2" s="37"/>
      <c r="EKV2" s="37"/>
      <c r="EKW2" s="37"/>
      <c r="EKX2" s="37"/>
      <c r="EKY2" s="37"/>
      <c r="EKZ2" s="37"/>
      <c r="ELA2" s="37"/>
      <c r="ELB2" s="37"/>
      <c r="ELC2" s="37"/>
      <c r="ELD2" s="37"/>
      <c r="ELE2" s="37"/>
      <c r="ELF2" s="37"/>
      <c r="ELG2" s="37"/>
      <c r="ELH2" s="37"/>
      <c r="ELI2" s="37"/>
      <c r="ELJ2" s="37"/>
      <c r="ELK2" s="37"/>
      <c r="ELL2" s="37"/>
      <c r="ELM2" s="37"/>
      <c r="ELN2" s="37"/>
      <c r="ELO2" s="37"/>
      <c r="ELP2" s="37"/>
      <c r="ELQ2" s="37"/>
      <c r="ELR2" s="37"/>
      <c r="ELS2" s="37"/>
      <c r="ELT2" s="37"/>
      <c r="ELU2" s="37"/>
      <c r="ELV2" s="37"/>
      <c r="ELW2" s="37"/>
      <c r="ELX2" s="37"/>
      <c r="ELY2" s="37"/>
      <c r="ELZ2" s="37"/>
      <c r="EMA2" s="37"/>
      <c r="EMB2" s="37"/>
      <c r="EMC2" s="37"/>
      <c r="EMD2" s="37"/>
      <c r="EME2" s="37"/>
      <c r="EMF2" s="37"/>
      <c r="EMG2" s="37"/>
      <c r="EMH2" s="37"/>
      <c r="EMI2" s="37"/>
      <c r="EMJ2" s="37"/>
      <c r="EMK2" s="37"/>
      <c r="EML2" s="37"/>
      <c r="EMM2" s="37"/>
      <c r="EMN2" s="37"/>
      <c r="EMO2" s="37"/>
      <c r="EMP2" s="37"/>
      <c r="EMQ2" s="37"/>
      <c r="EMR2" s="37"/>
      <c r="EMS2" s="37"/>
      <c r="EMT2" s="37"/>
      <c r="EMU2" s="37"/>
      <c r="EMV2" s="37"/>
      <c r="EMW2" s="37"/>
      <c r="EMX2" s="37"/>
      <c r="EMY2" s="37"/>
      <c r="EMZ2" s="37"/>
      <c r="ENA2" s="37"/>
      <c r="ENB2" s="37"/>
      <c r="ENC2" s="37"/>
      <c r="END2" s="37"/>
      <c r="ENE2" s="37"/>
      <c r="ENF2" s="37"/>
      <c r="ENG2" s="37"/>
      <c r="ENH2" s="37"/>
      <c r="ENI2" s="37"/>
      <c r="ENJ2" s="37"/>
      <c r="ENK2" s="37"/>
      <c r="ENL2" s="37"/>
      <c r="ENM2" s="37"/>
      <c r="ENN2" s="37"/>
      <c r="ENO2" s="37"/>
      <c r="ENP2" s="37"/>
      <c r="ENQ2" s="37"/>
      <c r="ENR2" s="37"/>
      <c r="ENS2" s="37"/>
      <c r="ENT2" s="37"/>
      <c r="ENU2" s="37"/>
      <c r="ENV2" s="37"/>
      <c r="ENW2" s="37"/>
      <c r="ENX2" s="37"/>
      <c r="ENY2" s="37"/>
      <c r="ENZ2" s="37"/>
      <c r="EOA2" s="37"/>
      <c r="EOB2" s="37"/>
      <c r="EOC2" s="37"/>
      <c r="EOD2" s="37"/>
      <c r="EOE2" s="37"/>
      <c r="EOF2" s="37"/>
      <c r="EOG2" s="37"/>
      <c r="EOH2" s="37"/>
      <c r="EOI2" s="37"/>
      <c r="EOJ2" s="37"/>
      <c r="EOK2" s="37"/>
      <c r="EOL2" s="37"/>
      <c r="EOM2" s="37"/>
      <c r="EON2" s="37"/>
      <c r="EOO2" s="37"/>
      <c r="EOP2" s="37"/>
      <c r="EOQ2" s="37"/>
      <c r="EOR2" s="37"/>
      <c r="EOS2" s="37"/>
      <c r="EOT2" s="37"/>
      <c r="EOU2" s="37"/>
      <c r="EOV2" s="37"/>
      <c r="EOW2" s="37"/>
      <c r="EOX2" s="37"/>
      <c r="EOY2" s="37"/>
      <c r="EOZ2" s="37"/>
      <c r="EPA2" s="37"/>
      <c r="EPB2" s="37"/>
      <c r="EPC2" s="37"/>
      <c r="EPD2" s="37"/>
      <c r="EPE2" s="37"/>
      <c r="EPF2" s="37"/>
      <c r="EPG2" s="37"/>
      <c r="EPH2" s="37"/>
      <c r="EPI2" s="37"/>
      <c r="EPJ2" s="37"/>
      <c r="EPK2" s="37"/>
      <c r="EPL2" s="37"/>
      <c r="EPM2" s="37"/>
      <c r="EPN2" s="37"/>
      <c r="EPO2" s="37"/>
      <c r="EPP2" s="37"/>
      <c r="EPQ2" s="37"/>
      <c r="EPR2" s="37"/>
      <c r="EPS2" s="37"/>
      <c r="EPT2" s="37"/>
      <c r="EPU2" s="37"/>
      <c r="EPV2" s="37"/>
      <c r="EPW2" s="37"/>
      <c r="EPX2" s="37"/>
      <c r="EPY2" s="37"/>
      <c r="EPZ2" s="37"/>
      <c r="EQA2" s="37"/>
      <c r="EQB2" s="37"/>
      <c r="EQC2" s="37"/>
      <c r="EQD2" s="37"/>
      <c r="EQE2" s="37"/>
      <c r="EQF2" s="37"/>
      <c r="EQG2" s="37"/>
      <c r="EQH2" s="37"/>
      <c r="EQI2" s="37"/>
      <c r="EQJ2" s="37"/>
      <c r="EQK2" s="37"/>
      <c r="EQL2" s="37"/>
      <c r="EQM2" s="37"/>
      <c r="EQN2" s="37"/>
      <c r="EQO2" s="37"/>
      <c r="EQP2" s="37"/>
      <c r="EQQ2" s="37"/>
      <c r="EQR2" s="37"/>
      <c r="EQS2" s="37"/>
      <c r="EQT2" s="37"/>
      <c r="EQU2" s="37"/>
      <c r="EQV2" s="37"/>
      <c r="EQW2" s="37"/>
      <c r="EQX2" s="37"/>
      <c r="EQY2" s="37"/>
      <c r="EQZ2" s="37"/>
      <c r="ERA2" s="37"/>
      <c r="ERB2" s="37"/>
      <c r="ERC2" s="37"/>
      <c r="ERD2" s="37"/>
      <c r="ERE2" s="37"/>
      <c r="ERF2" s="37"/>
      <c r="ERG2" s="37"/>
      <c r="ERH2" s="37"/>
      <c r="ERI2" s="37"/>
      <c r="ERJ2" s="37"/>
      <c r="ERK2" s="37"/>
      <c r="ERL2" s="37"/>
      <c r="ERM2" s="37"/>
      <c r="ERN2" s="37"/>
      <c r="ERO2" s="37"/>
      <c r="ERP2" s="37"/>
      <c r="ERQ2" s="37"/>
      <c r="ERR2" s="37"/>
      <c r="ERS2" s="37"/>
      <c r="ERT2" s="37"/>
      <c r="ERU2" s="37"/>
      <c r="ERV2" s="37"/>
      <c r="ERW2" s="37"/>
      <c r="ERX2" s="37"/>
      <c r="ERY2" s="37"/>
      <c r="ERZ2" s="37"/>
      <c r="ESA2" s="37"/>
      <c r="ESB2" s="37"/>
      <c r="ESC2" s="37"/>
      <c r="ESD2" s="37"/>
      <c r="ESE2" s="37"/>
      <c r="ESF2" s="37"/>
      <c r="ESG2" s="37"/>
      <c r="ESH2" s="37"/>
      <c r="ESI2" s="37"/>
      <c r="ESJ2" s="37"/>
      <c r="ESK2" s="37"/>
      <c r="ESL2" s="37"/>
      <c r="ESM2" s="37"/>
      <c r="ESN2" s="37"/>
      <c r="ESO2" s="37"/>
      <c r="ESP2" s="37"/>
      <c r="ESQ2" s="37"/>
      <c r="ESR2" s="37"/>
      <c r="ESS2" s="37"/>
      <c r="EST2" s="37"/>
      <c r="ESU2" s="37"/>
      <c r="ESV2" s="37"/>
      <c r="ESW2" s="37"/>
      <c r="ESX2" s="37"/>
      <c r="ESY2" s="37"/>
      <c r="ESZ2" s="37"/>
      <c r="ETA2" s="37"/>
      <c r="ETB2" s="37"/>
      <c r="ETC2" s="37"/>
      <c r="ETD2" s="37"/>
      <c r="ETE2" s="37"/>
      <c r="ETF2" s="37"/>
      <c r="ETG2" s="37"/>
      <c r="ETH2" s="37"/>
      <c r="ETI2" s="37"/>
      <c r="ETJ2" s="37"/>
      <c r="ETK2" s="37"/>
      <c r="ETL2" s="37"/>
      <c r="ETM2" s="37"/>
      <c r="ETN2" s="37"/>
      <c r="ETO2" s="37"/>
      <c r="ETP2" s="37"/>
      <c r="ETQ2" s="37"/>
      <c r="ETR2" s="37"/>
      <c r="ETS2" s="37"/>
      <c r="ETT2" s="37"/>
      <c r="ETU2" s="37"/>
      <c r="ETV2" s="37"/>
      <c r="ETW2" s="37"/>
      <c r="ETX2" s="37"/>
      <c r="ETY2" s="37"/>
      <c r="ETZ2" s="37"/>
      <c r="EUA2" s="37"/>
      <c r="EUB2" s="37"/>
      <c r="EUC2" s="37"/>
      <c r="EUD2" s="37"/>
      <c r="EUE2" s="37"/>
      <c r="EUF2" s="37"/>
      <c r="EUG2" s="37"/>
      <c r="EUH2" s="37"/>
      <c r="EUI2" s="37"/>
      <c r="EUJ2" s="37"/>
      <c r="EUK2" s="37"/>
      <c r="EUL2" s="37"/>
      <c r="EUM2" s="37"/>
      <c r="EUN2" s="37"/>
      <c r="EUO2" s="37"/>
      <c r="EUP2" s="37"/>
      <c r="EUQ2" s="37"/>
      <c r="EUR2" s="37"/>
      <c r="EUS2" s="37"/>
      <c r="EUT2" s="37"/>
      <c r="EUU2" s="37"/>
      <c r="EUV2" s="37"/>
      <c r="EUW2" s="37"/>
      <c r="EUX2" s="37"/>
      <c r="EUY2" s="37"/>
      <c r="EUZ2" s="37"/>
      <c r="EVA2" s="37"/>
      <c r="EVB2" s="37"/>
      <c r="EVC2" s="37"/>
      <c r="EVD2" s="37"/>
      <c r="EVE2" s="37"/>
      <c r="EVF2" s="37"/>
      <c r="EVG2" s="37"/>
      <c r="EVH2" s="37"/>
      <c r="EVI2" s="37"/>
      <c r="EVJ2" s="37"/>
      <c r="EVK2" s="37"/>
      <c r="EVL2" s="37"/>
      <c r="EVM2" s="37"/>
      <c r="EVN2" s="37"/>
      <c r="EVO2" s="37"/>
      <c r="EVP2" s="37"/>
      <c r="EVQ2" s="37"/>
      <c r="EVR2" s="37"/>
      <c r="EVS2" s="37"/>
      <c r="EVT2" s="37"/>
      <c r="EVU2" s="37"/>
      <c r="EVV2" s="37"/>
      <c r="EVW2" s="37"/>
      <c r="EVX2" s="37"/>
      <c r="EVY2" s="37"/>
      <c r="EVZ2" s="37"/>
      <c r="EWA2" s="37"/>
      <c r="EWB2" s="37"/>
      <c r="EWC2" s="37"/>
      <c r="EWD2" s="37"/>
      <c r="EWE2" s="37"/>
      <c r="EWF2" s="37"/>
      <c r="EWG2" s="37"/>
      <c r="EWH2" s="37"/>
      <c r="EWI2" s="37"/>
      <c r="EWJ2" s="37"/>
      <c r="EWK2" s="37"/>
      <c r="EWL2" s="37"/>
      <c r="EWM2" s="37"/>
      <c r="EWN2" s="37"/>
      <c r="EWO2" s="37"/>
      <c r="EWP2" s="37"/>
      <c r="EWQ2" s="37"/>
      <c r="EWR2" s="37"/>
      <c r="EWS2" s="37"/>
      <c r="EWT2" s="37"/>
      <c r="EWU2" s="37"/>
      <c r="EWV2" s="37"/>
      <c r="EWW2" s="37"/>
      <c r="EWX2" s="37"/>
      <c r="EWY2" s="37"/>
      <c r="EWZ2" s="37"/>
      <c r="EXA2" s="37"/>
      <c r="EXB2" s="37"/>
      <c r="EXC2" s="37"/>
      <c r="EXD2" s="37"/>
      <c r="EXE2" s="37"/>
      <c r="EXF2" s="37"/>
      <c r="EXG2" s="37"/>
      <c r="EXH2" s="37"/>
      <c r="EXI2" s="37"/>
      <c r="EXJ2" s="37"/>
      <c r="EXK2" s="37"/>
      <c r="EXL2" s="37"/>
      <c r="EXM2" s="37"/>
      <c r="EXN2" s="37"/>
      <c r="EXO2" s="37"/>
      <c r="EXP2" s="37"/>
      <c r="EXQ2" s="37"/>
      <c r="EXR2" s="37"/>
      <c r="EXS2" s="37"/>
      <c r="EXT2" s="37"/>
      <c r="EXU2" s="37"/>
      <c r="EXV2" s="37"/>
      <c r="EXW2" s="37"/>
      <c r="EXX2" s="37"/>
      <c r="EXY2" s="37"/>
      <c r="EXZ2" s="37"/>
      <c r="EYA2" s="37"/>
      <c r="EYB2" s="37"/>
      <c r="EYC2" s="37"/>
      <c r="EYD2" s="37"/>
      <c r="EYE2" s="37"/>
      <c r="EYF2" s="37"/>
      <c r="EYG2" s="37"/>
      <c r="EYH2" s="37"/>
      <c r="EYI2" s="37"/>
      <c r="EYJ2" s="37"/>
      <c r="EYK2" s="37"/>
      <c r="EYL2" s="37"/>
      <c r="EYM2" s="37"/>
      <c r="EYN2" s="37"/>
      <c r="EYO2" s="37"/>
      <c r="EYP2" s="37"/>
      <c r="EYQ2" s="37"/>
      <c r="EYR2" s="37"/>
      <c r="EYS2" s="37"/>
      <c r="EYT2" s="37"/>
      <c r="EYU2" s="37"/>
      <c r="EYV2" s="37"/>
      <c r="EYW2" s="37"/>
      <c r="EYX2" s="37"/>
      <c r="EYY2" s="37"/>
      <c r="EYZ2" s="37"/>
      <c r="EZA2" s="37"/>
      <c r="EZB2" s="37"/>
      <c r="EZC2" s="37"/>
      <c r="EZD2" s="37"/>
      <c r="EZE2" s="37"/>
      <c r="EZF2" s="37"/>
      <c r="EZG2" s="37"/>
      <c r="EZH2" s="37"/>
      <c r="EZI2" s="37"/>
      <c r="EZJ2" s="37"/>
      <c r="EZK2" s="37"/>
      <c r="EZL2" s="37"/>
      <c r="EZM2" s="37"/>
      <c r="EZN2" s="37"/>
      <c r="EZO2" s="37"/>
      <c r="EZP2" s="37"/>
      <c r="EZQ2" s="37"/>
      <c r="EZR2" s="37"/>
      <c r="EZS2" s="37"/>
      <c r="EZT2" s="37"/>
      <c r="EZU2" s="37"/>
      <c r="EZV2" s="37"/>
      <c r="EZW2" s="37"/>
      <c r="EZX2" s="37"/>
      <c r="EZY2" s="37"/>
      <c r="EZZ2" s="37"/>
      <c r="FAA2" s="37"/>
      <c r="FAB2" s="37"/>
      <c r="FAC2" s="37"/>
      <c r="FAD2" s="37"/>
      <c r="FAE2" s="37"/>
      <c r="FAF2" s="37"/>
      <c r="FAG2" s="37"/>
      <c r="FAH2" s="37"/>
      <c r="FAI2" s="37"/>
      <c r="FAJ2" s="37"/>
      <c r="FAK2" s="37"/>
      <c r="FAL2" s="37"/>
      <c r="FAM2" s="37"/>
      <c r="FAN2" s="37"/>
      <c r="FAO2" s="37"/>
      <c r="FAP2" s="37"/>
      <c r="FAQ2" s="37"/>
      <c r="FAR2" s="37"/>
      <c r="FAS2" s="37"/>
      <c r="FAT2" s="37"/>
      <c r="FAU2" s="37"/>
      <c r="FAV2" s="37"/>
      <c r="FAW2" s="37"/>
      <c r="FAX2" s="37"/>
      <c r="FAY2" s="37"/>
      <c r="FAZ2" s="37"/>
      <c r="FBA2" s="37"/>
      <c r="FBB2" s="37"/>
      <c r="FBC2" s="37"/>
      <c r="FBD2" s="37"/>
      <c r="FBE2" s="37"/>
      <c r="FBF2" s="37"/>
      <c r="FBG2" s="37"/>
      <c r="FBH2" s="37"/>
      <c r="FBI2" s="37"/>
      <c r="FBJ2" s="37"/>
      <c r="FBK2" s="37"/>
      <c r="FBL2" s="37"/>
      <c r="FBM2" s="37"/>
      <c r="FBN2" s="37"/>
      <c r="FBO2" s="37"/>
      <c r="FBP2" s="37"/>
      <c r="FBQ2" s="37"/>
      <c r="FBR2" s="37"/>
      <c r="FBS2" s="37"/>
      <c r="FBT2" s="37"/>
      <c r="FBU2" s="37"/>
      <c r="FBV2" s="37"/>
      <c r="FBW2" s="37"/>
      <c r="FBX2" s="37"/>
      <c r="FBY2" s="37"/>
      <c r="FBZ2" s="37"/>
      <c r="FCA2" s="37"/>
      <c r="FCB2" s="37"/>
      <c r="FCC2" s="37"/>
      <c r="FCD2" s="37"/>
      <c r="FCE2" s="37"/>
      <c r="FCF2" s="37"/>
      <c r="FCG2" s="37"/>
      <c r="FCH2" s="37"/>
      <c r="FCI2" s="37"/>
      <c r="FCJ2" s="37"/>
      <c r="FCK2" s="37"/>
      <c r="FCL2" s="37"/>
      <c r="FCM2" s="37"/>
      <c r="FCN2" s="37"/>
      <c r="FCO2" s="37"/>
      <c r="FCP2" s="37"/>
      <c r="FCQ2" s="37"/>
      <c r="FCR2" s="37"/>
      <c r="FCS2" s="37"/>
      <c r="FCT2" s="37"/>
      <c r="FCU2" s="37"/>
      <c r="FCV2" s="37"/>
      <c r="FCW2" s="37"/>
      <c r="FCX2" s="37"/>
      <c r="FCY2" s="37"/>
      <c r="FCZ2" s="37"/>
      <c r="FDA2" s="37"/>
      <c r="FDB2" s="37"/>
      <c r="FDC2" s="37"/>
      <c r="FDD2" s="37"/>
      <c r="FDE2" s="37"/>
      <c r="FDF2" s="37"/>
      <c r="FDG2" s="37"/>
      <c r="FDH2" s="37"/>
      <c r="FDI2" s="37"/>
      <c r="FDJ2" s="37"/>
      <c r="FDK2" s="37"/>
      <c r="FDL2" s="37"/>
      <c r="FDM2" s="37"/>
      <c r="FDN2" s="37"/>
      <c r="FDO2" s="37"/>
      <c r="FDP2" s="37"/>
      <c r="FDQ2" s="37"/>
      <c r="FDR2" s="37"/>
      <c r="FDS2" s="37"/>
      <c r="FDT2" s="37"/>
      <c r="FDU2" s="37"/>
      <c r="FDV2" s="37"/>
      <c r="FDW2" s="37"/>
      <c r="FDX2" s="37"/>
      <c r="FDY2" s="37"/>
      <c r="FDZ2" s="37"/>
      <c r="FEA2" s="37"/>
      <c r="FEB2" s="37"/>
      <c r="FEC2" s="37"/>
      <c r="FED2" s="37"/>
      <c r="FEE2" s="37"/>
      <c r="FEF2" s="37"/>
      <c r="FEG2" s="37"/>
      <c r="FEH2" s="37"/>
      <c r="FEI2" s="37"/>
      <c r="FEJ2" s="37"/>
      <c r="FEK2" s="37"/>
      <c r="FEL2" s="37"/>
      <c r="FEM2" s="37"/>
      <c r="FEN2" s="37"/>
      <c r="FEO2" s="37"/>
      <c r="FEP2" s="37"/>
      <c r="FEQ2" s="37"/>
      <c r="FER2" s="37"/>
      <c r="FES2" s="37"/>
      <c r="FET2" s="37"/>
      <c r="FEU2" s="37"/>
      <c r="FEV2" s="37"/>
      <c r="FEW2" s="37"/>
      <c r="FEX2" s="37"/>
      <c r="FEY2" s="37"/>
      <c r="FEZ2" s="37"/>
      <c r="FFA2" s="37"/>
      <c r="FFB2" s="37"/>
      <c r="FFC2" s="37"/>
      <c r="FFD2" s="37"/>
      <c r="FFE2" s="37"/>
      <c r="FFF2" s="37"/>
      <c r="FFG2" s="37"/>
      <c r="FFH2" s="37"/>
      <c r="FFI2" s="37"/>
      <c r="FFJ2" s="37"/>
      <c r="FFK2" s="37"/>
      <c r="FFL2" s="37"/>
      <c r="FFM2" s="37"/>
      <c r="FFN2" s="37"/>
      <c r="FFO2" s="37"/>
      <c r="FFP2" s="37"/>
      <c r="FFQ2" s="37"/>
      <c r="FFR2" s="37"/>
      <c r="FFS2" s="37"/>
      <c r="FFT2" s="37"/>
      <c r="FFU2" s="37"/>
      <c r="FFV2" s="37"/>
      <c r="FFW2" s="37"/>
      <c r="FFX2" s="37"/>
      <c r="FFY2" s="37"/>
      <c r="FFZ2" s="37"/>
      <c r="FGA2" s="37"/>
      <c r="FGB2" s="37"/>
      <c r="FGC2" s="37"/>
      <c r="FGD2" s="37"/>
      <c r="FGE2" s="37"/>
      <c r="FGF2" s="37"/>
      <c r="FGG2" s="37"/>
      <c r="FGH2" s="37"/>
      <c r="FGI2" s="37"/>
      <c r="FGJ2" s="37"/>
      <c r="FGK2" s="37"/>
      <c r="FGL2" s="37"/>
      <c r="FGM2" s="37"/>
      <c r="FGN2" s="37"/>
      <c r="FGO2" s="37"/>
      <c r="FGP2" s="37"/>
      <c r="FGQ2" s="37"/>
      <c r="FGR2" s="37"/>
      <c r="FGS2" s="37"/>
      <c r="FGT2" s="37"/>
      <c r="FGU2" s="37"/>
      <c r="FGV2" s="37"/>
      <c r="FGW2" s="37"/>
      <c r="FGX2" s="37"/>
      <c r="FGY2" s="37"/>
      <c r="FGZ2" s="37"/>
      <c r="FHA2" s="37"/>
      <c r="FHB2" s="37"/>
      <c r="FHC2" s="37"/>
      <c r="FHD2" s="37"/>
      <c r="FHE2" s="37"/>
      <c r="FHF2" s="37"/>
      <c r="FHG2" s="37"/>
      <c r="FHH2" s="37"/>
      <c r="FHI2" s="37"/>
      <c r="FHJ2" s="37"/>
      <c r="FHK2" s="37"/>
      <c r="FHL2" s="37"/>
      <c r="FHM2" s="37"/>
      <c r="FHN2" s="37"/>
      <c r="FHO2" s="37"/>
      <c r="FHP2" s="37"/>
      <c r="FHQ2" s="37"/>
      <c r="FHR2" s="37"/>
      <c r="FHS2" s="37"/>
      <c r="FHT2" s="37"/>
      <c r="FHU2" s="37"/>
      <c r="FHV2" s="37"/>
      <c r="FHW2" s="37"/>
      <c r="FHX2" s="37"/>
      <c r="FHY2" s="37"/>
      <c r="FHZ2" s="37"/>
      <c r="FIA2" s="37"/>
      <c r="FIB2" s="37"/>
      <c r="FIC2" s="37"/>
      <c r="FID2" s="37"/>
      <c r="FIE2" s="37"/>
      <c r="FIF2" s="37"/>
      <c r="FIG2" s="37"/>
      <c r="FIH2" s="37"/>
      <c r="FII2" s="37"/>
      <c r="FIJ2" s="37"/>
      <c r="FIK2" s="37"/>
      <c r="FIL2" s="37"/>
      <c r="FIM2" s="37"/>
      <c r="FIN2" s="37"/>
      <c r="FIO2" s="37"/>
      <c r="FIP2" s="37"/>
      <c r="FIQ2" s="37"/>
      <c r="FIR2" s="37"/>
      <c r="FIS2" s="37"/>
      <c r="FIT2" s="37"/>
      <c r="FIU2" s="37"/>
      <c r="FIV2" s="37"/>
      <c r="FIW2" s="37"/>
      <c r="FIX2" s="37"/>
      <c r="FIY2" s="37"/>
      <c r="FIZ2" s="37"/>
      <c r="FJA2" s="37"/>
      <c r="FJB2" s="37"/>
      <c r="FJC2" s="37"/>
      <c r="FJD2" s="37"/>
      <c r="FJE2" s="37"/>
      <c r="FJF2" s="37"/>
      <c r="FJG2" s="37"/>
      <c r="FJH2" s="37"/>
      <c r="FJI2" s="37"/>
      <c r="FJJ2" s="37"/>
      <c r="FJK2" s="37"/>
      <c r="FJL2" s="37"/>
      <c r="FJM2" s="37"/>
      <c r="FJN2" s="37"/>
      <c r="FJO2" s="37"/>
      <c r="FJP2" s="37"/>
      <c r="FJQ2" s="37"/>
      <c r="FJR2" s="37"/>
      <c r="FJS2" s="37"/>
      <c r="FJT2" s="37"/>
      <c r="FJU2" s="37"/>
      <c r="FJV2" s="37"/>
      <c r="FJW2" s="37"/>
      <c r="FJX2" s="37"/>
      <c r="FJY2" s="37"/>
      <c r="FJZ2" s="37"/>
      <c r="FKA2" s="37"/>
      <c r="FKB2" s="37"/>
      <c r="FKC2" s="37"/>
      <c r="FKD2" s="37"/>
      <c r="FKE2" s="37"/>
      <c r="FKF2" s="37"/>
      <c r="FKG2" s="37"/>
      <c r="FKH2" s="37"/>
      <c r="FKI2" s="37"/>
      <c r="FKJ2" s="37"/>
      <c r="FKK2" s="37"/>
      <c r="FKL2" s="37"/>
      <c r="FKM2" s="37"/>
      <c r="FKN2" s="37"/>
      <c r="FKO2" s="37"/>
      <c r="FKP2" s="37"/>
      <c r="FKQ2" s="37"/>
      <c r="FKR2" s="37"/>
      <c r="FKS2" s="37"/>
      <c r="FKT2" s="37"/>
      <c r="FKU2" s="37"/>
      <c r="FKV2" s="37"/>
      <c r="FKW2" s="37"/>
      <c r="FKX2" s="37"/>
      <c r="FKY2" s="37"/>
      <c r="FKZ2" s="37"/>
      <c r="FLA2" s="37"/>
      <c r="FLB2" s="37"/>
      <c r="FLC2" s="37"/>
      <c r="FLD2" s="37"/>
      <c r="FLE2" s="37"/>
      <c r="FLF2" s="37"/>
      <c r="FLG2" s="37"/>
      <c r="FLH2" s="37"/>
      <c r="FLI2" s="37"/>
      <c r="FLJ2" s="37"/>
      <c r="FLK2" s="37"/>
      <c r="FLL2" s="37"/>
      <c r="FLM2" s="37"/>
      <c r="FLN2" s="37"/>
      <c r="FLO2" s="37"/>
      <c r="FLP2" s="37"/>
      <c r="FLQ2" s="37"/>
      <c r="FLR2" s="37"/>
      <c r="FLS2" s="37"/>
      <c r="FLT2" s="37"/>
      <c r="FLU2" s="37"/>
      <c r="FLV2" s="37"/>
      <c r="FLW2" s="37"/>
      <c r="FLX2" s="37"/>
      <c r="FLY2" s="37"/>
      <c r="FLZ2" s="37"/>
      <c r="FMA2" s="37"/>
      <c r="FMB2" s="37"/>
      <c r="FMC2" s="37"/>
      <c r="FMD2" s="37"/>
      <c r="FME2" s="37"/>
      <c r="FMF2" s="37"/>
      <c r="FMG2" s="37"/>
      <c r="FMH2" s="37"/>
      <c r="FMI2" s="37"/>
      <c r="FMJ2" s="37"/>
      <c r="FMK2" s="37"/>
      <c r="FML2" s="37"/>
      <c r="FMM2" s="37"/>
      <c r="FMN2" s="37"/>
      <c r="FMO2" s="37"/>
      <c r="FMP2" s="37"/>
      <c r="FMQ2" s="37"/>
      <c r="FMR2" s="37"/>
      <c r="FMS2" s="37"/>
      <c r="FMT2" s="37"/>
      <c r="FMU2" s="37"/>
      <c r="FMV2" s="37"/>
      <c r="FMW2" s="37"/>
      <c r="FMX2" s="37"/>
      <c r="FMY2" s="37"/>
      <c r="FMZ2" s="37"/>
      <c r="FNA2" s="37"/>
      <c r="FNB2" s="37"/>
      <c r="FNC2" s="37"/>
      <c r="FND2" s="37"/>
      <c r="FNE2" s="37"/>
      <c r="FNF2" s="37"/>
      <c r="FNG2" s="37"/>
      <c r="FNH2" s="37"/>
      <c r="FNI2" s="37"/>
      <c r="FNJ2" s="37"/>
      <c r="FNK2" s="37"/>
      <c r="FNL2" s="37"/>
      <c r="FNM2" s="37"/>
      <c r="FNN2" s="37"/>
      <c r="FNO2" s="37"/>
      <c r="FNP2" s="37"/>
      <c r="FNQ2" s="37"/>
      <c r="FNR2" s="37"/>
      <c r="FNS2" s="37"/>
      <c r="FNT2" s="37"/>
      <c r="FNU2" s="37"/>
      <c r="FNV2" s="37"/>
      <c r="FNW2" s="37"/>
      <c r="FNX2" s="37"/>
      <c r="FNY2" s="37"/>
      <c r="FNZ2" s="37"/>
      <c r="FOA2" s="37"/>
      <c r="FOB2" s="37"/>
      <c r="FOC2" s="37"/>
      <c r="FOD2" s="37"/>
      <c r="FOE2" s="37"/>
      <c r="FOF2" s="37"/>
      <c r="FOG2" s="37"/>
      <c r="FOH2" s="37"/>
      <c r="FOI2" s="37"/>
      <c r="FOJ2" s="37"/>
      <c r="FOK2" s="37"/>
      <c r="FOL2" s="37"/>
      <c r="FOM2" s="37"/>
      <c r="FON2" s="37"/>
      <c r="FOO2" s="37"/>
      <c r="FOP2" s="37"/>
      <c r="FOQ2" s="37"/>
      <c r="FOR2" s="37"/>
      <c r="FOS2" s="37"/>
      <c r="FOT2" s="37"/>
      <c r="FOU2" s="37"/>
      <c r="FOV2" s="37"/>
      <c r="FOW2" s="37"/>
      <c r="FOX2" s="37"/>
      <c r="FOY2" s="37"/>
      <c r="FOZ2" s="37"/>
      <c r="FPA2" s="37"/>
      <c r="FPB2" s="37"/>
      <c r="FPC2" s="37"/>
      <c r="FPD2" s="37"/>
      <c r="FPE2" s="37"/>
      <c r="FPF2" s="37"/>
      <c r="FPG2" s="37"/>
      <c r="FPH2" s="37"/>
      <c r="FPI2" s="37"/>
      <c r="FPJ2" s="37"/>
      <c r="FPK2" s="37"/>
      <c r="FPL2" s="37"/>
      <c r="FPM2" s="37"/>
      <c r="FPN2" s="37"/>
      <c r="FPO2" s="37"/>
      <c r="FPP2" s="37"/>
      <c r="FPQ2" s="37"/>
      <c r="FPR2" s="37"/>
      <c r="FPS2" s="37"/>
      <c r="FPT2" s="37"/>
      <c r="FPU2" s="37"/>
      <c r="FPV2" s="37"/>
      <c r="FPW2" s="37"/>
      <c r="FPX2" s="37"/>
      <c r="FPY2" s="37"/>
      <c r="FPZ2" s="37"/>
      <c r="FQA2" s="37"/>
      <c r="FQB2" s="37"/>
      <c r="FQC2" s="37"/>
      <c r="FQD2" s="37"/>
      <c r="FQE2" s="37"/>
      <c r="FQF2" s="37"/>
      <c r="FQG2" s="37"/>
      <c r="FQH2" s="37"/>
      <c r="FQI2" s="37"/>
      <c r="FQJ2" s="37"/>
      <c r="FQK2" s="37"/>
      <c r="FQL2" s="37"/>
      <c r="FQM2" s="37"/>
      <c r="FQN2" s="37"/>
      <c r="FQO2" s="37"/>
      <c r="FQP2" s="37"/>
      <c r="FQQ2" s="37"/>
      <c r="FQR2" s="37"/>
      <c r="FQS2" s="37"/>
      <c r="FQT2" s="37"/>
      <c r="FQU2" s="37"/>
      <c r="FQV2" s="37"/>
      <c r="FQW2" s="37"/>
      <c r="FQX2" s="37"/>
      <c r="FQY2" s="37"/>
      <c r="FQZ2" s="37"/>
      <c r="FRA2" s="37"/>
      <c r="FRB2" s="37"/>
      <c r="FRC2" s="37"/>
      <c r="FRD2" s="37"/>
      <c r="FRE2" s="37"/>
      <c r="FRF2" s="37"/>
      <c r="FRG2" s="37"/>
      <c r="FRH2" s="37"/>
      <c r="FRI2" s="37"/>
      <c r="FRJ2" s="37"/>
      <c r="FRK2" s="37"/>
      <c r="FRL2" s="37"/>
      <c r="FRM2" s="37"/>
      <c r="FRN2" s="37"/>
      <c r="FRO2" s="37"/>
      <c r="FRP2" s="37"/>
      <c r="FRQ2" s="37"/>
      <c r="FRR2" s="37"/>
      <c r="FRS2" s="37"/>
      <c r="FRT2" s="37"/>
      <c r="FRU2" s="37"/>
      <c r="FRV2" s="37"/>
      <c r="FRW2" s="37"/>
      <c r="FRX2" s="37"/>
      <c r="FRY2" s="37"/>
      <c r="FRZ2" s="37"/>
      <c r="FSA2" s="37"/>
      <c r="FSB2" s="37"/>
      <c r="FSC2" s="37"/>
      <c r="FSD2" s="37"/>
      <c r="FSE2" s="37"/>
      <c r="FSF2" s="37"/>
      <c r="FSG2" s="37"/>
      <c r="FSH2" s="37"/>
      <c r="FSI2" s="37"/>
      <c r="FSJ2" s="37"/>
      <c r="FSK2" s="37"/>
      <c r="FSL2" s="37"/>
      <c r="FSM2" s="37"/>
      <c r="FSN2" s="37"/>
      <c r="FSO2" s="37"/>
      <c r="FSP2" s="37"/>
      <c r="FSQ2" s="37"/>
      <c r="FSR2" s="37"/>
      <c r="FSS2" s="37"/>
      <c r="FST2" s="37"/>
      <c r="FSU2" s="37"/>
      <c r="FSV2" s="37"/>
      <c r="FSW2" s="37"/>
      <c r="FSX2" s="37"/>
      <c r="FSY2" s="37"/>
      <c r="FSZ2" s="37"/>
      <c r="FTA2" s="37"/>
      <c r="FTB2" s="37"/>
      <c r="FTC2" s="37"/>
      <c r="FTD2" s="37"/>
      <c r="FTE2" s="37"/>
      <c r="FTF2" s="37"/>
      <c r="FTG2" s="37"/>
      <c r="FTH2" s="37"/>
      <c r="FTI2" s="37"/>
      <c r="FTJ2" s="37"/>
      <c r="FTK2" s="37"/>
      <c r="FTL2" s="37"/>
      <c r="FTM2" s="37"/>
      <c r="FTN2" s="37"/>
      <c r="FTO2" s="37"/>
      <c r="FTP2" s="37"/>
      <c r="FTQ2" s="37"/>
      <c r="FTR2" s="37"/>
      <c r="FTS2" s="37"/>
      <c r="FTT2" s="37"/>
      <c r="FTU2" s="37"/>
      <c r="FTV2" s="37"/>
      <c r="FTW2" s="37"/>
      <c r="FTX2" s="37"/>
      <c r="FTY2" s="37"/>
      <c r="FTZ2" s="37"/>
      <c r="FUA2" s="37"/>
      <c r="FUB2" s="37"/>
      <c r="FUC2" s="37"/>
      <c r="FUD2" s="37"/>
      <c r="FUE2" s="37"/>
      <c r="FUF2" s="37"/>
      <c r="FUG2" s="37"/>
      <c r="FUH2" s="37"/>
      <c r="FUI2" s="37"/>
      <c r="FUJ2" s="37"/>
      <c r="FUK2" s="37"/>
      <c r="FUL2" s="37"/>
      <c r="FUM2" s="37"/>
      <c r="FUN2" s="37"/>
      <c r="FUO2" s="37"/>
      <c r="FUP2" s="37"/>
      <c r="FUQ2" s="37"/>
      <c r="FUR2" s="37"/>
      <c r="FUS2" s="37"/>
      <c r="FUT2" s="37"/>
      <c r="FUU2" s="37"/>
      <c r="FUV2" s="37"/>
      <c r="FUW2" s="37"/>
      <c r="FUX2" s="37"/>
      <c r="FUY2" s="37"/>
      <c r="FUZ2" s="37"/>
      <c r="FVA2" s="37"/>
      <c r="FVB2" s="37"/>
      <c r="FVC2" s="37"/>
      <c r="FVD2" s="37"/>
      <c r="FVE2" s="37"/>
      <c r="FVF2" s="37"/>
      <c r="FVG2" s="37"/>
      <c r="FVH2" s="37"/>
      <c r="FVI2" s="37"/>
      <c r="FVJ2" s="37"/>
      <c r="FVK2" s="37"/>
      <c r="FVL2" s="37"/>
      <c r="FVM2" s="37"/>
      <c r="FVN2" s="37"/>
      <c r="FVO2" s="37"/>
      <c r="FVP2" s="37"/>
      <c r="FVQ2" s="37"/>
      <c r="FVR2" s="37"/>
      <c r="FVS2" s="37"/>
      <c r="FVT2" s="37"/>
      <c r="FVU2" s="37"/>
      <c r="FVV2" s="37"/>
      <c r="FVW2" s="37"/>
      <c r="FVX2" s="37"/>
      <c r="FVY2" s="37"/>
      <c r="FVZ2" s="37"/>
      <c r="FWA2" s="37"/>
      <c r="FWB2" s="37"/>
      <c r="FWC2" s="37"/>
      <c r="FWD2" s="37"/>
      <c r="FWE2" s="37"/>
      <c r="FWF2" s="37"/>
      <c r="FWG2" s="37"/>
      <c r="FWH2" s="37"/>
      <c r="FWI2" s="37"/>
      <c r="FWJ2" s="37"/>
      <c r="FWK2" s="37"/>
      <c r="FWL2" s="37"/>
      <c r="FWM2" s="37"/>
      <c r="FWN2" s="37"/>
      <c r="FWO2" s="37"/>
      <c r="FWP2" s="37"/>
      <c r="FWQ2" s="37"/>
      <c r="FWR2" s="37"/>
      <c r="FWS2" s="37"/>
      <c r="FWT2" s="37"/>
      <c r="FWU2" s="37"/>
      <c r="FWV2" s="37"/>
      <c r="FWW2" s="37"/>
      <c r="FWX2" s="37"/>
      <c r="FWY2" s="37"/>
      <c r="FWZ2" s="37"/>
      <c r="FXA2" s="37"/>
      <c r="FXB2" s="37"/>
      <c r="FXC2" s="37"/>
      <c r="FXD2" s="37"/>
      <c r="FXE2" s="37"/>
      <c r="FXF2" s="37"/>
      <c r="FXG2" s="37"/>
      <c r="FXH2" s="37"/>
      <c r="FXI2" s="37"/>
      <c r="FXJ2" s="37"/>
      <c r="FXK2" s="37"/>
      <c r="FXL2" s="37"/>
      <c r="FXM2" s="37"/>
      <c r="FXN2" s="37"/>
      <c r="FXO2" s="37"/>
      <c r="FXP2" s="37"/>
      <c r="FXQ2" s="37"/>
      <c r="FXR2" s="37"/>
      <c r="FXS2" s="37"/>
      <c r="FXT2" s="37"/>
      <c r="FXU2" s="37"/>
      <c r="FXV2" s="37"/>
      <c r="FXW2" s="37"/>
      <c r="FXX2" s="37"/>
      <c r="FXY2" s="37"/>
      <c r="FXZ2" s="37"/>
      <c r="FYA2" s="37"/>
      <c r="FYB2" s="37"/>
      <c r="FYC2" s="37"/>
      <c r="FYD2" s="37"/>
      <c r="FYE2" s="37"/>
      <c r="FYF2" s="37"/>
      <c r="FYG2" s="37"/>
      <c r="FYH2" s="37"/>
      <c r="FYI2" s="37"/>
      <c r="FYJ2" s="37"/>
      <c r="FYK2" s="37"/>
      <c r="FYL2" s="37"/>
      <c r="FYM2" s="37"/>
      <c r="FYN2" s="37"/>
      <c r="FYO2" s="37"/>
      <c r="FYP2" s="37"/>
      <c r="FYQ2" s="37"/>
      <c r="FYR2" s="37"/>
      <c r="FYS2" s="37"/>
      <c r="FYT2" s="37"/>
      <c r="FYU2" s="37"/>
      <c r="FYV2" s="37"/>
      <c r="FYW2" s="37"/>
      <c r="FYX2" s="37"/>
      <c r="FYY2" s="37"/>
      <c r="FYZ2" s="37"/>
      <c r="FZA2" s="37"/>
      <c r="FZB2" s="37"/>
      <c r="FZC2" s="37"/>
      <c r="FZD2" s="37"/>
      <c r="FZE2" s="37"/>
      <c r="FZF2" s="37"/>
      <c r="FZG2" s="37"/>
      <c r="FZH2" s="37"/>
      <c r="FZI2" s="37"/>
      <c r="FZJ2" s="37"/>
      <c r="FZK2" s="37"/>
      <c r="FZL2" s="37"/>
      <c r="FZM2" s="37"/>
      <c r="FZN2" s="37"/>
      <c r="FZO2" s="37"/>
      <c r="FZP2" s="37"/>
      <c r="FZQ2" s="37"/>
      <c r="FZR2" s="37"/>
      <c r="FZS2" s="37"/>
      <c r="FZT2" s="37"/>
      <c r="FZU2" s="37"/>
      <c r="FZV2" s="37"/>
      <c r="FZW2" s="37"/>
      <c r="FZX2" s="37"/>
      <c r="FZY2" s="37"/>
      <c r="FZZ2" s="37"/>
      <c r="GAA2" s="37"/>
      <c r="GAB2" s="37"/>
      <c r="GAC2" s="37"/>
      <c r="GAD2" s="37"/>
      <c r="GAE2" s="37"/>
      <c r="GAF2" s="37"/>
      <c r="GAG2" s="37"/>
      <c r="GAH2" s="37"/>
      <c r="GAI2" s="37"/>
      <c r="GAJ2" s="37"/>
      <c r="GAK2" s="37"/>
      <c r="GAL2" s="37"/>
      <c r="GAM2" s="37"/>
      <c r="GAN2" s="37"/>
      <c r="GAO2" s="37"/>
      <c r="GAP2" s="37"/>
      <c r="GAQ2" s="37"/>
      <c r="GAR2" s="37"/>
      <c r="GAS2" s="37"/>
      <c r="GAT2" s="37"/>
      <c r="GAU2" s="37"/>
      <c r="GAV2" s="37"/>
      <c r="GAW2" s="37"/>
      <c r="GAX2" s="37"/>
      <c r="GAY2" s="37"/>
      <c r="GAZ2" s="37"/>
      <c r="GBA2" s="37"/>
      <c r="GBB2" s="37"/>
      <c r="GBC2" s="37"/>
      <c r="GBD2" s="37"/>
      <c r="GBE2" s="37"/>
      <c r="GBF2" s="37"/>
      <c r="GBG2" s="37"/>
      <c r="GBH2" s="37"/>
      <c r="GBI2" s="37"/>
      <c r="GBJ2" s="37"/>
      <c r="GBK2" s="37"/>
      <c r="GBL2" s="37"/>
      <c r="GBM2" s="37"/>
      <c r="GBN2" s="37"/>
      <c r="GBO2" s="37"/>
      <c r="GBP2" s="37"/>
      <c r="GBQ2" s="37"/>
      <c r="GBR2" s="37"/>
      <c r="GBS2" s="37"/>
      <c r="GBT2" s="37"/>
      <c r="GBU2" s="37"/>
      <c r="GBV2" s="37"/>
      <c r="GBW2" s="37"/>
      <c r="GBX2" s="37"/>
      <c r="GBY2" s="37"/>
      <c r="GBZ2" s="37"/>
      <c r="GCA2" s="37"/>
      <c r="GCB2" s="37"/>
      <c r="GCC2" s="37"/>
      <c r="GCD2" s="37"/>
      <c r="GCE2" s="37"/>
      <c r="GCF2" s="37"/>
      <c r="GCG2" s="37"/>
      <c r="GCH2" s="37"/>
      <c r="GCI2" s="37"/>
      <c r="GCJ2" s="37"/>
      <c r="GCK2" s="37"/>
      <c r="GCL2" s="37"/>
      <c r="GCM2" s="37"/>
      <c r="GCN2" s="37"/>
      <c r="GCO2" s="37"/>
      <c r="GCP2" s="37"/>
      <c r="GCQ2" s="37"/>
      <c r="GCR2" s="37"/>
      <c r="GCS2" s="37"/>
      <c r="GCT2" s="37"/>
      <c r="GCU2" s="37"/>
      <c r="GCV2" s="37"/>
      <c r="GCW2" s="37"/>
      <c r="GCX2" s="37"/>
      <c r="GCY2" s="37"/>
      <c r="GCZ2" s="37"/>
      <c r="GDA2" s="37"/>
      <c r="GDB2" s="37"/>
      <c r="GDC2" s="37"/>
      <c r="GDD2" s="37"/>
      <c r="GDE2" s="37"/>
      <c r="GDF2" s="37"/>
      <c r="GDG2" s="37"/>
      <c r="GDH2" s="37"/>
      <c r="GDI2" s="37"/>
      <c r="GDJ2" s="37"/>
      <c r="GDK2" s="37"/>
      <c r="GDL2" s="37"/>
      <c r="GDM2" s="37"/>
      <c r="GDN2" s="37"/>
      <c r="GDO2" s="37"/>
      <c r="GDP2" s="37"/>
      <c r="GDQ2" s="37"/>
      <c r="GDR2" s="37"/>
      <c r="GDS2" s="37"/>
      <c r="GDT2" s="37"/>
      <c r="GDU2" s="37"/>
      <c r="GDV2" s="37"/>
      <c r="GDW2" s="37"/>
      <c r="GDX2" s="37"/>
      <c r="GDY2" s="37"/>
      <c r="GDZ2" s="37"/>
      <c r="GEA2" s="37"/>
      <c r="GEB2" s="37"/>
      <c r="GEC2" s="37"/>
      <c r="GED2" s="37"/>
      <c r="GEE2" s="37"/>
      <c r="GEF2" s="37"/>
      <c r="GEG2" s="37"/>
      <c r="GEH2" s="37"/>
      <c r="GEI2" s="37"/>
      <c r="GEJ2" s="37"/>
      <c r="GEK2" s="37"/>
      <c r="GEL2" s="37"/>
      <c r="GEM2" s="37"/>
      <c r="GEN2" s="37"/>
      <c r="GEO2" s="37"/>
      <c r="GEP2" s="37"/>
      <c r="GEQ2" s="37"/>
      <c r="GER2" s="37"/>
      <c r="GES2" s="37"/>
      <c r="GET2" s="37"/>
      <c r="GEU2" s="37"/>
      <c r="GEV2" s="37"/>
      <c r="GEW2" s="37"/>
      <c r="GEX2" s="37"/>
      <c r="GEY2" s="37"/>
      <c r="GEZ2" s="37"/>
      <c r="GFA2" s="37"/>
      <c r="GFB2" s="37"/>
      <c r="GFC2" s="37"/>
      <c r="GFD2" s="37"/>
      <c r="GFE2" s="37"/>
      <c r="GFF2" s="37"/>
      <c r="GFG2" s="37"/>
      <c r="GFH2" s="37"/>
      <c r="GFI2" s="37"/>
      <c r="GFJ2" s="37"/>
      <c r="GFK2" s="37"/>
      <c r="GFL2" s="37"/>
      <c r="GFM2" s="37"/>
      <c r="GFN2" s="37"/>
      <c r="GFO2" s="37"/>
      <c r="GFP2" s="37"/>
      <c r="GFQ2" s="37"/>
      <c r="GFR2" s="37"/>
      <c r="GFS2" s="37"/>
      <c r="GFT2" s="37"/>
      <c r="GFU2" s="37"/>
      <c r="GFV2" s="37"/>
      <c r="GFW2" s="37"/>
      <c r="GFX2" s="37"/>
      <c r="GFY2" s="37"/>
      <c r="GFZ2" s="37"/>
      <c r="GGA2" s="37"/>
      <c r="GGB2" s="37"/>
      <c r="GGC2" s="37"/>
      <c r="GGD2" s="37"/>
      <c r="GGE2" s="37"/>
      <c r="GGF2" s="37"/>
      <c r="GGG2" s="37"/>
      <c r="GGH2" s="37"/>
      <c r="GGI2" s="37"/>
      <c r="GGJ2" s="37"/>
      <c r="GGK2" s="37"/>
      <c r="GGL2" s="37"/>
      <c r="GGM2" s="37"/>
      <c r="GGN2" s="37"/>
      <c r="GGO2" s="37"/>
      <c r="GGP2" s="37"/>
      <c r="GGQ2" s="37"/>
      <c r="GGR2" s="37"/>
      <c r="GGS2" s="37"/>
      <c r="GGT2" s="37"/>
      <c r="GGU2" s="37"/>
      <c r="GGV2" s="37"/>
      <c r="GGW2" s="37"/>
      <c r="GGX2" s="37"/>
      <c r="GGY2" s="37"/>
      <c r="GGZ2" s="37"/>
      <c r="GHA2" s="37"/>
      <c r="GHB2" s="37"/>
      <c r="GHC2" s="37"/>
      <c r="GHD2" s="37"/>
      <c r="GHE2" s="37"/>
      <c r="GHF2" s="37"/>
      <c r="GHG2" s="37"/>
      <c r="GHH2" s="37"/>
      <c r="GHI2" s="37"/>
      <c r="GHJ2" s="37"/>
      <c r="GHK2" s="37"/>
      <c r="GHL2" s="37"/>
      <c r="GHM2" s="37"/>
      <c r="GHN2" s="37"/>
      <c r="GHO2" s="37"/>
      <c r="GHP2" s="37"/>
      <c r="GHQ2" s="37"/>
      <c r="GHR2" s="37"/>
      <c r="GHS2" s="37"/>
      <c r="GHT2" s="37"/>
      <c r="GHU2" s="37"/>
      <c r="GHV2" s="37"/>
      <c r="GHW2" s="37"/>
      <c r="GHX2" s="37"/>
      <c r="GHY2" s="37"/>
      <c r="GHZ2" s="37"/>
      <c r="GIA2" s="37"/>
      <c r="GIB2" s="37"/>
      <c r="GIC2" s="37"/>
      <c r="GID2" s="37"/>
      <c r="GIE2" s="37"/>
      <c r="GIF2" s="37"/>
      <c r="GIG2" s="37"/>
      <c r="GIH2" s="37"/>
      <c r="GII2" s="37"/>
      <c r="GIJ2" s="37"/>
      <c r="GIK2" s="37"/>
      <c r="GIL2" s="37"/>
      <c r="GIM2" s="37"/>
      <c r="GIN2" s="37"/>
      <c r="GIO2" s="37"/>
      <c r="GIP2" s="37"/>
      <c r="GIQ2" s="37"/>
      <c r="GIR2" s="37"/>
      <c r="GIS2" s="37"/>
      <c r="GIT2" s="37"/>
      <c r="GIU2" s="37"/>
      <c r="GIV2" s="37"/>
      <c r="GIW2" s="37"/>
      <c r="GIX2" s="37"/>
      <c r="GIY2" s="37"/>
      <c r="GIZ2" s="37"/>
      <c r="GJA2" s="37"/>
      <c r="GJB2" s="37"/>
      <c r="GJC2" s="37"/>
      <c r="GJD2" s="37"/>
      <c r="GJE2" s="37"/>
      <c r="GJF2" s="37"/>
      <c r="GJG2" s="37"/>
      <c r="GJH2" s="37"/>
      <c r="GJI2" s="37"/>
      <c r="GJJ2" s="37"/>
      <c r="GJK2" s="37"/>
      <c r="GJL2" s="37"/>
      <c r="GJM2" s="37"/>
      <c r="GJN2" s="37"/>
      <c r="GJO2" s="37"/>
      <c r="GJP2" s="37"/>
      <c r="GJQ2" s="37"/>
      <c r="GJR2" s="37"/>
      <c r="GJS2" s="37"/>
      <c r="GJT2" s="37"/>
      <c r="GJU2" s="37"/>
      <c r="GJV2" s="37"/>
      <c r="GJW2" s="37"/>
      <c r="GJX2" s="37"/>
      <c r="GJY2" s="37"/>
      <c r="GJZ2" s="37"/>
      <c r="GKA2" s="37"/>
      <c r="GKB2" s="37"/>
      <c r="GKC2" s="37"/>
      <c r="GKD2" s="37"/>
      <c r="GKE2" s="37"/>
      <c r="GKF2" s="37"/>
      <c r="GKG2" s="37"/>
      <c r="GKH2" s="37"/>
      <c r="GKI2" s="37"/>
      <c r="GKJ2" s="37"/>
      <c r="GKK2" s="37"/>
      <c r="GKL2" s="37"/>
      <c r="GKM2" s="37"/>
      <c r="GKN2" s="37"/>
      <c r="GKO2" s="37"/>
      <c r="GKP2" s="37"/>
      <c r="GKQ2" s="37"/>
      <c r="GKR2" s="37"/>
      <c r="GKS2" s="37"/>
      <c r="GKT2" s="37"/>
      <c r="GKU2" s="37"/>
      <c r="GKV2" s="37"/>
      <c r="GKW2" s="37"/>
      <c r="GKX2" s="37"/>
      <c r="GKY2" s="37"/>
      <c r="GKZ2" s="37"/>
      <c r="GLA2" s="37"/>
      <c r="GLB2" s="37"/>
      <c r="GLC2" s="37"/>
      <c r="GLD2" s="37"/>
      <c r="GLE2" s="37"/>
      <c r="GLF2" s="37"/>
      <c r="GLG2" s="37"/>
      <c r="GLH2" s="37"/>
      <c r="GLI2" s="37"/>
      <c r="GLJ2" s="37"/>
      <c r="GLK2" s="37"/>
      <c r="GLL2" s="37"/>
      <c r="GLM2" s="37"/>
      <c r="GLN2" s="37"/>
      <c r="GLO2" s="37"/>
      <c r="GLP2" s="37"/>
      <c r="GLQ2" s="37"/>
      <c r="GLR2" s="37"/>
      <c r="GLS2" s="37"/>
      <c r="GLT2" s="37"/>
      <c r="GLU2" s="37"/>
      <c r="GLV2" s="37"/>
      <c r="GLW2" s="37"/>
      <c r="GLX2" s="37"/>
      <c r="GLY2" s="37"/>
      <c r="GLZ2" s="37"/>
      <c r="GMA2" s="37"/>
      <c r="GMB2" s="37"/>
      <c r="GMC2" s="37"/>
      <c r="GMD2" s="37"/>
      <c r="GME2" s="37"/>
      <c r="GMF2" s="37"/>
      <c r="GMG2" s="37"/>
      <c r="GMH2" s="37"/>
      <c r="GMI2" s="37"/>
      <c r="GMJ2" s="37"/>
      <c r="GMK2" s="37"/>
      <c r="GML2" s="37"/>
      <c r="GMM2" s="37"/>
      <c r="GMN2" s="37"/>
      <c r="GMO2" s="37"/>
      <c r="GMP2" s="37"/>
      <c r="GMQ2" s="37"/>
      <c r="GMR2" s="37"/>
      <c r="GMS2" s="37"/>
      <c r="GMT2" s="37"/>
      <c r="GMU2" s="37"/>
      <c r="GMV2" s="37"/>
      <c r="GMW2" s="37"/>
      <c r="GMX2" s="37"/>
      <c r="GMY2" s="37"/>
      <c r="GMZ2" s="37"/>
      <c r="GNA2" s="37"/>
      <c r="GNB2" s="37"/>
      <c r="GNC2" s="37"/>
      <c r="GND2" s="37"/>
      <c r="GNE2" s="37"/>
      <c r="GNF2" s="37"/>
      <c r="GNG2" s="37"/>
      <c r="GNH2" s="37"/>
      <c r="GNI2" s="37"/>
      <c r="GNJ2" s="37"/>
      <c r="GNK2" s="37"/>
      <c r="GNL2" s="37"/>
      <c r="GNM2" s="37"/>
      <c r="GNN2" s="37"/>
      <c r="GNO2" s="37"/>
      <c r="GNP2" s="37"/>
      <c r="GNQ2" s="37"/>
      <c r="GNR2" s="37"/>
      <c r="GNS2" s="37"/>
      <c r="GNT2" s="37"/>
      <c r="GNU2" s="37"/>
      <c r="GNV2" s="37"/>
      <c r="GNW2" s="37"/>
      <c r="GNX2" s="37"/>
      <c r="GNY2" s="37"/>
      <c r="GNZ2" s="37"/>
      <c r="GOA2" s="37"/>
      <c r="GOB2" s="37"/>
      <c r="GOC2" s="37"/>
      <c r="GOD2" s="37"/>
      <c r="GOE2" s="37"/>
      <c r="GOF2" s="37"/>
      <c r="GOG2" s="37"/>
      <c r="GOH2" s="37"/>
      <c r="GOI2" s="37"/>
      <c r="GOJ2" s="37"/>
      <c r="GOK2" s="37"/>
      <c r="GOL2" s="37"/>
      <c r="GOM2" s="37"/>
      <c r="GON2" s="37"/>
      <c r="GOO2" s="37"/>
      <c r="GOP2" s="37"/>
      <c r="GOQ2" s="37"/>
      <c r="GOR2" s="37"/>
      <c r="GOS2" s="37"/>
      <c r="GOT2" s="37"/>
      <c r="GOU2" s="37"/>
      <c r="GOV2" s="37"/>
      <c r="GOW2" s="37"/>
      <c r="GOX2" s="37"/>
      <c r="GOY2" s="37"/>
      <c r="GOZ2" s="37"/>
      <c r="GPA2" s="37"/>
      <c r="GPB2" s="37"/>
      <c r="GPC2" s="37"/>
      <c r="GPD2" s="37"/>
      <c r="GPE2" s="37"/>
      <c r="GPF2" s="37"/>
      <c r="GPG2" s="37"/>
      <c r="GPH2" s="37"/>
      <c r="GPI2" s="37"/>
      <c r="GPJ2" s="37"/>
      <c r="GPK2" s="37"/>
      <c r="GPL2" s="37"/>
      <c r="GPM2" s="37"/>
      <c r="GPN2" s="37"/>
      <c r="GPO2" s="37"/>
      <c r="GPP2" s="37"/>
      <c r="GPQ2" s="37"/>
      <c r="GPR2" s="37"/>
      <c r="GPS2" s="37"/>
      <c r="GPT2" s="37"/>
      <c r="GPU2" s="37"/>
      <c r="GPV2" s="37"/>
      <c r="GPW2" s="37"/>
      <c r="GPX2" s="37"/>
      <c r="GPY2" s="37"/>
      <c r="GPZ2" s="37"/>
      <c r="GQA2" s="37"/>
      <c r="GQB2" s="37"/>
      <c r="GQC2" s="37"/>
      <c r="GQD2" s="37"/>
      <c r="GQE2" s="37"/>
      <c r="GQF2" s="37"/>
      <c r="GQG2" s="37"/>
      <c r="GQH2" s="37"/>
      <c r="GQI2" s="37"/>
      <c r="GQJ2" s="37"/>
      <c r="GQK2" s="37"/>
      <c r="GQL2" s="37"/>
      <c r="GQM2" s="37"/>
      <c r="GQN2" s="37"/>
      <c r="GQO2" s="37"/>
      <c r="GQP2" s="37"/>
      <c r="GQQ2" s="37"/>
      <c r="GQR2" s="37"/>
      <c r="GQS2" s="37"/>
      <c r="GQT2" s="37"/>
      <c r="GQU2" s="37"/>
      <c r="GQV2" s="37"/>
      <c r="GQW2" s="37"/>
      <c r="GQX2" s="37"/>
      <c r="GQY2" s="37"/>
      <c r="GQZ2" s="37"/>
      <c r="GRA2" s="37"/>
      <c r="GRB2" s="37"/>
      <c r="GRC2" s="37"/>
      <c r="GRD2" s="37"/>
      <c r="GRE2" s="37"/>
      <c r="GRF2" s="37"/>
      <c r="GRG2" s="37"/>
      <c r="GRH2" s="37"/>
      <c r="GRI2" s="37"/>
      <c r="GRJ2" s="37"/>
      <c r="GRK2" s="37"/>
      <c r="GRL2" s="37"/>
      <c r="GRM2" s="37"/>
      <c r="GRN2" s="37"/>
      <c r="GRO2" s="37"/>
      <c r="GRP2" s="37"/>
      <c r="GRQ2" s="37"/>
      <c r="GRR2" s="37"/>
      <c r="GRS2" s="37"/>
      <c r="GRT2" s="37"/>
      <c r="GRU2" s="37"/>
      <c r="GRV2" s="37"/>
      <c r="GRW2" s="37"/>
      <c r="GRX2" s="37"/>
      <c r="GRY2" s="37"/>
      <c r="GRZ2" s="37"/>
      <c r="GSA2" s="37"/>
      <c r="GSB2" s="37"/>
      <c r="GSC2" s="37"/>
      <c r="GSD2" s="37"/>
      <c r="GSE2" s="37"/>
      <c r="GSF2" s="37"/>
      <c r="GSG2" s="37"/>
      <c r="GSH2" s="37"/>
      <c r="GSI2" s="37"/>
      <c r="GSJ2" s="37"/>
      <c r="GSK2" s="37"/>
      <c r="GSL2" s="37"/>
      <c r="GSM2" s="37"/>
      <c r="GSN2" s="37"/>
      <c r="GSO2" s="37"/>
      <c r="GSP2" s="37"/>
      <c r="GSQ2" s="37"/>
      <c r="GSR2" s="37"/>
      <c r="GSS2" s="37"/>
      <c r="GST2" s="37"/>
      <c r="GSU2" s="37"/>
      <c r="GSV2" s="37"/>
      <c r="GSW2" s="37"/>
      <c r="GSX2" s="37"/>
      <c r="GSY2" s="37"/>
      <c r="GSZ2" s="37"/>
      <c r="GTA2" s="37"/>
      <c r="GTB2" s="37"/>
      <c r="GTC2" s="37"/>
      <c r="GTD2" s="37"/>
      <c r="GTE2" s="37"/>
      <c r="GTF2" s="37"/>
      <c r="GTG2" s="37"/>
      <c r="GTH2" s="37"/>
      <c r="GTI2" s="37"/>
      <c r="GTJ2" s="37"/>
      <c r="GTK2" s="37"/>
      <c r="GTL2" s="37"/>
      <c r="GTM2" s="37"/>
      <c r="GTN2" s="37"/>
      <c r="GTO2" s="37"/>
      <c r="GTP2" s="37"/>
      <c r="GTQ2" s="37"/>
      <c r="GTR2" s="37"/>
      <c r="GTS2" s="37"/>
      <c r="GTT2" s="37"/>
      <c r="GTU2" s="37"/>
      <c r="GTV2" s="37"/>
      <c r="GTW2" s="37"/>
      <c r="GTX2" s="37"/>
      <c r="GTY2" s="37"/>
      <c r="GTZ2" s="37"/>
      <c r="GUA2" s="37"/>
      <c r="GUB2" s="37"/>
      <c r="GUC2" s="37"/>
      <c r="GUD2" s="37"/>
      <c r="GUE2" s="37"/>
      <c r="GUF2" s="37"/>
      <c r="GUG2" s="37"/>
      <c r="GUH2" s="37"/>
      <c r="GUI2" s="37"/>
      <c r="GUJ2" s="37"/>
      <c r="GUK2" s="37"/>
      <c r="GUL2" s="37"/>
      <c r="GUM2" s="37"/>
      <c r="GUN2" s="37"/>
      <c r="GUO2" s="37"/>
      <c r="GUP2" s="37"/>
      <c r="GUQ2" s="37"/>
      <c r="GUR2" s="37"/>
      <c r="GUS2" s="37"/>
      <c r="GUT2" s="37"/>
      <c r="GUU2" s="37"/>
      <c r="GUV2" s="37"/>
      <c r="GUW2" s="37"/>
      <c r="GUX2" s="37"/>
      <c r="GUY2" s="37"/>
      <c r="GUZ2" s="37"/>
      <c r="GVA2" s="37"/>
      <c r="GVB2" s="37"/>
      <c r="GVC2" s="37"/>
      <c r="GVD2" s="37"/>
      <c r="GVE2" s="37"/>
      <c r="GVF2" s="37"/>
      <c r="GVG2" s="37"/>
      <c r="GVH2" s="37"/>
      <c r="GVI2" s="37"/>
      <c r="GVJ2" s="37"/>
      <c r="GVK2" s="37"/>
      <c r="GVL2" s="37"/>
      <c r="GVM2" s="37"/>
      <c r="GVN2" s="37"/>
      <c r="GVO2" s="37"/>
      <c r="GVP2" s="37"/>
      <c r="GVQ2" s="37"/>
      <c r="GVR2" s="37"/>
      <c r="GVS2" s="37"/>
      <c r="GVT2" s="37"/>
      <c r="GVU2" s="37"/>
      <c r="GVV2" s="37"/>
      <c r="GVW2" s="37"/>
      <c r="GVX2" s="37"/>
      <c r="GVY2" s="37"/>
      <c r="GVZ2" s="37"/>
      <c r="GWA2" s="37"/>
      <c r="GWB2" s="37"/>
      <c r="GWC2" s="37"/>
      <c r="GWD2" s="37"/>
      <c r="GWE2" s="37"/>
      <c r="GWF2" s="37"/>
      <c r="GWG2" s="37"/>
      <c r="GWH2" s="37"/>
      <c r="GWI2" s="37"/>
      <c r="GWJ2" s="37"/>
      <c r="GWK2" s="37"/>
      <c r="GWL2" s="37"/>
      <c r="GWM2" s="37"/>
      <c r="GWN2" s="37"/>
      <c r="GWO2" s="37"/>
      <c r="GWP2" s="37"/>
      <c r="GWQ2" s="37"/>
      <c r="GWR2" s="37"/>
      <c r="GWS2" s="37"/>
      <c r="GWT2" s="37"/>
      <c r="GWU2" s="37"/>
      <c r="GWV2" s="37"/>
      <c r="GWW2" s="37"/>
      <c r="GWX2" s="37"/>
      <c r="GWY2" s="37"/>
      <c r="GWZ2" s="37"/>
      <c r="GXA2" s="37"/>
      <c r="GXB2" s="37"/>
      <c r="GXC2" s="37"/>
      <c r="GXD2" s="37"/>
      <c r="GXE2" s="37"/>
      <c r="GXF2" s="37"/>
      <c r="GXG2" s="37"/>
      <c r="GXH2" s="37"/>
      <c r="GXI2" s="37"/>
      <c r="GXJ2" s="37"/>
      <c r="GXK2" s="37"/>
      <c r="GXL2" s="37"/>
      <c r="GXM2" s="37"/>
      <c r="GXN2" s="37"/>
      <c r="GXO2" s="37"/>
      <c r="GXP2" s="37"/>
      <c r="GXQ2" s="37"/>
      <c r="GXR2" s="37"/>
      <c r="GXS2" s="37"/>
      <c r="GXT2" s="37"/>
      <c r="GXU2" s="37"/>
      <c r="GXV2" s="37"/>
      <c r="GXW2" s="37"/>
      <c r="GXX2" s="37"/>
      <c r="GXY2" s="37"/>
      <c r="GXZ2" s="37"/>
      <c r="GYA2" s="37"/>
      <c r="GYB2" s="37"/>
      <c r="GYC2" s="37"/>
      <c r="GYD2" s="37"/>
      <c r="GYE2" s="37"/>
      <c r="GYF2" s="37"/>
      <c r="GYG2" s="37"/>
      <c r="GYH2" s="37"/>
      <c r="GYI2" s="37"/>
      <c r="GYJ2" s="37"/>
      <c r="GYK2" s="37"/>
      <c r="GYL2" s="37"/>
      <c r="GYM2" s="37"/>
      <c r="GYN2" s="37"/>
      <c r="GYO2" s="37"/>
      <c r="GYP2" s="37"/>
      <c r="GYQ2" s="37"/>
      <c r="GYR2" s="37"/>
      <c r="GYS2" s="37"/>
      <c r="GYT2" s="37"/>
      <c r="GYU2" s="37"/>
      <c r="GYV2" s="37"/>
      <c r="GYW2" s="37"/>
      <c r="GYX2" s="37"/>
      <c r="GYY2" s="37"/>
      <c r="GYZ2" s="37"/>
      <c r="GZA2" s="37"/>
      <c r="GZB2" s="37"/>
      <c r="GZC2" s="37"/>
      <c r="GZD2" s="37"/>
      <c r="GZE2" s="37"/>
      <c r="GZF2" s="37"/>
      <c r="GZG2" s="37"/>
      <c r="GZH2" s="37"/>
      <c r="GZI2" s="37"/>
      <c r="GZJ2" s="37"/>
      <c r="GZK2" s="37"/>
      <c r="GZL2" s="37"/>
      <c r="GZM2" s="37"/>
      <c r="GZN2" s="37"/>
      <c r="GZO2" s="37"/>
      <c r="GZP2" s="37"/>
      <c r="GZQ2" s="37"/>
      <c r="GZR2" s="37"/>
      <c r="GZS2" s="37"/>
      <c r="GZT2" s="37"/>
      <c r="GZU2" s="37"/>
      <c r="GZV2" s="37"/>
      <c r="GZW2" s="37"/>
      <c r="GZX2" s="37"/>
      <c r="GZY2" s="37"/>
      <c r="GZZ2" s="37"/>
      <c r="HAA2" s="37"/>
      <c r="HAB2" s="37"/>
      <c r="HAC2" s="37"/>
      <c r="HAD2" s="37"/>
      <c r="HAE2" s="37"/>
      <c r="HAF2" s="37"/>
      <c r="HAG2" s="37"/>
      <c r="HAH2" s="37"/>
      <c r="HAI2" s="37"/>
      <c r="HAJ2" s="37"/>
      <c r="HAK2" s="37"/>
      <c r="HAL2" s="37"/>
      <c r="HAM2" s="37"/>
      <c r="HAN2" s="37"/>
      <c r="HAO2" s="37"/>
      <c r="HAP2" s="37"/>
      <c r="HAQ2" s="37"/>
      <c r="HAR2" s="37"/>
      <c r="HAS2" s="37"/>
      <c r="HAT2" s="37"/>
      <c r="HAU2" s="37"/>
      <c r="HAV2" s="37"/>
      <c r="HAW2" s="37"/>
      <c r="HAX2" s="37"/>
      <c r="HAY2" s="37"/>
      <c r="HAZ2" s="37"/>
      <c r="HBA2" s="37"/>
      <c r="HBB2" s="37"/>
      <c r="HBC2" s="37"/>
      <c r="HBD2" s="37"/>
      <c r="HBE2" s="37"/>
      <c r="HBF2" s="37"/>
      <c r="HBG2" s="37"/>
      <c r="HBH2" s="37"/>
      <c r="HBI2" s="37"/>
      <c r="HBJ2" s="37"/>
      <c r="HBK2" s="37"/>
      <c r="HBL2" s="37"/>
      <c r="HBM2" s="37"/>
      <c r="HBN2" s="37"/>
      <c r="HBO2" s="37"/>
      <c r="HBP2" s="37"/>
      <c r="HBQ2" s="37"/>
      <c r="HBR2" s="37"/>
      <c r="HBS2" s="37"/>
      <c r="HBT2" s="37"/>
      <c r="HBU2" s="37"/>
      <c r="HBV2" s="37"/>
      <c r="HBW2" s="37"/>
      <c r="HBX2" s="37"/>
      <c r="HBY2" s="37"/>
      <c r="HBZ2" s="37"/>
      <c r="HCA2" s="37"/>
      <c r="HCB2" s="37"/>
      <c r="HCC2" s="37"/>
      <c r="HCD2" s="37"/>
      <c r="HCE2" s="37"/>
      <c r="HCF2" s="37"/>
      <c r="HCG2" s="37"/>
      <c r="HCH2" s="37"/>
      <c r="HCI2" s="37"/>
      <c r="HCJ2" s="37"/>
      <c r="HCK2" s="37"/>
      <c r="HCL2" s="37"/>
      <c r="HCM2" s="37"/>
      <c r="HCN2" s="37"/>
      <c r="HCO2" s="37"/>
      <c r="HCP2" s="37"/>
      <c r="HCQ2" s="37"/>
      <c r="HCR2" s="37"/>
      <c r="HCS2" s="37"/>
      <c r="HCT2" s="37"/>
      <c r="HCU2" s="37"/>
      <c r="HCV2" s="37"/>
      <c r="HCW2" s="37"/>
      <c r="HCX2" s="37"/>
      <c r="HCY2" s="37"/>
      <c r="HCZ2" s="37"/>
      <c r="HDA2" s="37"/>
      <c r="HDB2" s="37"/>
      <c r="HDC2" s="37"/>
      <c r="HDD2" s="37"/>
      <c r="HDE2" s="37"/>
      <c r="HDF2" s="37"/>
      <c r="HDG2" s="37"/>
      <c r="HDH2" s="37"/>
      <c r="HDI2" s="37"/>
      <c r="HDJ2" s="37"/>
      <c r="HDK2" s="37"/>
      <c r="HDL2" s="37"/>
      <c r="HDM2" s="37"/>
      <c r="HDN2" s="37"/>
      <c r="HDO2" s="37"/>
      <c r="HDP2" s="37"/>
      <c r="HDQ2" s="37"/>
      <c r="HDR2" s="37"/>
      <c r="HDS2" s="37"/>
      <c r="HDT2" s="37"/>
      <c r="HDU2" s="37"/>
      <c r="HDV2" s="37"/>
      <c r="HDW2" s="37"/>
      <c r="HDX2" s="37"/>
      <c r="HDY2" s="37"/>
      <c r="HDZ2" s="37"/>
      <c r="HEA2" s="37"/>
      <c r="HEB2" s="37"/>
      <c r="HEC2" s="37"/>
      <c r="HED2" s="37"/>
      <c r="HEE2" s="37"/>
      <c r="HEF2" s="37"/>
      <c r="HEG2" s="37"/>
      <c r="HEH2" s="37"/>
      <c r="HEI2" s="37"/>
      <c r="HEJ2" s="37"/>
      <c r="HEK2" s="37"/>
      <c r="HEL2" s="37"/>
      <c r="HEM2" s="37"/>
      <c r="HEN2" s="37"/>
      <c r="HEO2" s="37"/>
      <c r="HEP2" s="37"/>
      <c r="HEQ2" s="37"/>
      <c r="HER2" s="37"/>
      <c r="HES2" s="37"/>
      <c r="HET2" s="37"/>
      <c r="HEU2" s="37"/>
      <c r="HEV2" s="37"/>
      <c r="HEW2" s="37"/>
      <c r="HEX2" s="37"/>
      <c r="HEY2" s="37"/>
      <c r="HEZ2" s="37"/>
      <c r="HFA2" s="37"/>
      <c r="HFB2" s="37"/>
      <c r="HFC2" s="37"/>
      <c r="HFD2" s="37"/>
      <c r="HFE2" s="37"/>
      <c r="HFF2" s="37"/>
      <c r="HFG2" s="37"/>
      <c r="HFH2" s="37"/>
      <c r="HFI2" s="37"/>
      <c r="HFJ2" s="37"/>
      <c r="HFK2" s="37"/>
      <c r="HFL2" s="37"/>
      <c r="HFM2" s="37"/>
      <c r="HFN2" s="37"/>
      <c r="HFO2" s="37"/>
      <c r="HFP2" s="37"/>
      <c r="HFQ2" s="37"/>
      <c r="HFR2" s="37"/>
      <c r="HFS2" s="37"/>
      <c r="HFT2" s="37"/>
      <c r="HFU2" s="37"/>
      <c r="HFV2" s="37"/>
      <c r="HFW2" s="37"/>
      <c r="HFX2" s="37"/>
      <c r="HFY2" s="37"/>
      <c r="HFZ2" s="37"/>
      <c r="HGA2" s="37"/>
      <c r="HGB2" s="37"/>
      <c r="HGC2" s="37"/>
      <c r="HGD2" s="37"/>
      <c r="HGE2" s="37"/>
      <c r="HGF2" s="37"/>
      <c r="HGG2" s="37"/>
      <c r="HGH2" s="37"/>
      <c r="HGI2" s="37"/>
      <c r="HGJ2" s="37"/>
      <c r="HGK2" s="37"/>
      <c r="HGL2" s="37"/>
      <c r="HGM2" s="37"/>
      <c r="HGN2" s="37"/>
      <c r="HGO2" s="37"/>
      <c r="HGP2" s="37"/>
      <c r="HGQ2" s="37"/>
      <c r="HGR2" s="37"/>
      <c r="HGS2" s="37"/>
      <c r="HGT2" s="37"/>
      <c r="HGU2" s="37"/>
      <c r="HGV2" s="37"/>
      <c r="HGW2" s="37"/>
      <c r="HGX2" s="37"/>
      <c r="HGY2" s="37"/>
      <c r="HGZ2" s="37"/>
      <c r="HHA2" s="37"/>
      <c r="HHB2" s="37"/>
      <c r="HHC2" s="37"/>
      <c r="HHD2" s="37"/>
      <c r="HHE2" s="37"/>
      <c r="HHF2" s="37"/>
      <c r="HHG2" s="37"/>
      <c r="HHH2" s="37"/>
      <c r="HHI2" s="37"/>
      <c r="HHJ2" s="37"/>
      <c r="HHK2" s="37"/>
      <c r="HHL2" s="37"/>
      <c r="HHM2" s="37"/>
      <c r="HHN2" s="37"/>
      <c r="HHO2" s="37"/>
      <c r="HHP2" s="37"/>
      <c r="HHQ2" s="37"/>
      <c r="HHR2" s="37"/>
      <c r="HHS2" s="37"/>
      <c r="HHT2" s="37"/>
      <c r="HHU2" s="37"/>
      <c r="HHV2" s="37"/>
      <c r="HHW2" s="37"/>
      <c r="HHX2" s="37"/>
      <c r="HHY2" s="37"/>
      <c r="HHZ2" s="37"/>
      <c r="HIA2" s="37"/>
      <c r="HIB2" s="37"/>
      <c r="HIC2" s="37"/>
      <c r="HID2" s="37"/>
      <c r="HIE2" s="37"/>
      <c r="HIF2" s="37"/>
      <c r="HIG2" s="37"/>
      <c r="HIH2" s="37"/>
      <c r="HII2" s="37"/>
      <c r="HIJ2" s="37"/>
      <c r="HIK2" s="37"/>
      <c r="HIL2" s="37"/>
      <c r="HIM2" s="37"/>
      <c r="HIN2" s="37"/>
      <c r="HIO2" s="37"/>
      <c r="HIP2" s="37"/>
      <c r="HIQ2" s="37"/>
      <c r="HIR2" s="37"/>
      <c r="HIS2" s="37"/>
      <c r="HIT2" s="37"/>
      <c r="HIU2" s="37"/>
      <c r="HIV2" s="37"/>
      <c r="HIW2" s="37"/>
      <c r="HIX2" s="37"/>
      <c r="HIY2" s="37"/>
      <c r="HIZ2" s="37"/>
      <c r="HJA2" s="37"/>
      <c r="HJB2" s="37"/>
      <c r="HJC2" s="37"/>
      <c r="HJD2" s="37"/>
      <c r="HJE2" s="37"/>
      <c r="HJF2" s="37"/>
      <c r="HJG2" s="37"/>
      <c r="HJH2" s="37"/>
      <c r="HJI2" s="37"/>
      <c r="HJJ2" s="37"/>
      <c r="HJK2" s="37"/>
      <c r="HJL2" s="37"/>
      <c r="HJM2" s="37"/>
      <c r="HJN2" s="37"/>
      <c r="HJO2" s="37"/>
      <c r="HJP2" s="37"/>
      <c r="HJQ2" s="37"/>
      <c r="HJR2" s="37"/>
      <c r="HJS2" s="37"/>
      <c r="HJT2" s="37"/>
      <c r="HJU2" s="37"/>
      <c r="HJV2" s="37"/>
      <c r="HJW2" s="37"/>
      <c r="HJX2" s="37"/>
      <c r="HJY2" s="37"/>
      <c r="HJZ2" s="37"/>
      <c r="HKA2" s="37"/>
      <c r="HKB2" s="37"/>
      <c r="HKC2" s="37"/>
      <c r="HKD2" s="37"/>
      <c r="HKE2" s="37"/>
      <c r="HKF2" s="37"/>
      <c r="HKG2" s="37"/>
      <c r="HKH2" s="37"/>
      <c r="HKI2" s="37"/>
      <c r="HKJ2" s="37"/>
      <c r="HKK2" s="37"/>
      <c r="HKL2" s="37"/>
      <c r="HKM2" s="37"/>
      <c r="HKN2" s="37"/>
      <c r="HKO2" s="37"/>
      <c r="HKP2" s="37"/>
      <c r="HKQ2" s="37"/>
      <c r="HKR2" s="37"/>
      <c r="HKS2" s="37"/>
      <c r="HKT2" s="37"/>
      <c r="HKU2" s="37"/>
      <c r="HKV2" s="37"/>
      <c r="HKW2" s="37"/>
      <c r="HKX2" s="37"/>
      <c r="HKY2" s="37"/>
      <c r="HKZ2" s="37"/>
      <c r="HLA2" s="37"/>
      <c r="HLB2" s="37"/>
      <c r="HLC2" s="37"/>
      <c r="HLD2" s="37"/>
      <c r="HLE2" s="37"/>
      <c r="HLF2" s="37"/>
      <c r="HLG2" s="37"/>
      <c r="HLH2" s="37"/>
      <c r="HLI2" s="37"/>
      <c r="HLJ2" s="37"/>
      <c r="HLK2" s="37"/>
      <c r="HLL2" s="37"/>
      <c r="HLM2" s="37"/>
      <c r="HLN2" s="37"/>
      <c r="HLO2" s="37"/>
      <c r="HLP2" s="37"/>
      <c r="HLQ2" s="37"/>
      <c r="HLR2" s="37"/>
      <c r="HLS2" s="37"/>
      <c r="HLT2" s="37"/>
      <c r="HLU2" s="37"/>
      <c r="HLV2" s="37"/>
      <c r="HLW2" s="37"/>
      <c r="HLX2" s="37"/>
      <c r="HLY2" s="37"/>
      <c r="HLZ2" s="37"/>
      <c r="HMA2" s="37"/>
      <c r="HMB2" s="37"/>
      <c r="HMC2" s="37"/>
      <c r="HMD2" s="37"/>
      <c r="HME2" s="37"/>
      <c r="HMF2" s="37"/>
      <c r="HMG2" s="37"/>
      <c r="HMH2" s="37"/>
      <c r="HMI2" s="37"/>
      <c r="HMJ2" s="37"/>
      <c r="HMK2" s="37"/>
      <c r="HML2" s="37"/>
      <c r="HMM2" s="37"/>
      <c r="HMN2" s="37"/>
      <c r="HMO2" s="37"/>
      <c r="HMP2" s="37"/>
      <c r="HMQ2" s="37"/>
      <c r="HMR2" s="37"/>
      <c r="HMS2" s="37"/>
      <c r="HMT2" s="37"/>
      <c r="HMU2" s="37"/>
      <c r="HMV2" s="37"/>
      <c r="HMW2" s="37"/>
      <c r="HMX2" s="37"/>
      <c r="HMY2" s="37"/>
      <c r="HMZ2" s="37"/>
      <c r="HNA2" s="37"/>
      <c r="HNB2" s="37"/>
      <c r="HNC2" s="37"/>
      <c r="HND2" s="37"/>
      <c r="HNE2" s="37"/>
      <c r="HNF2" s="37"/>
      <c r="HNG2" s="37"/>
      <c r="HNH2" s="37"/>
      <c r="HNI2" s="37"/>
      <c r="HNJ2" s="37"/>
      <c r="HNK2" s="37"/>
      <c r="HNL2" s="37"/>
      <c r="HNM2" s="37"/>
      <c r="HNN2" s="37"/>
      <c r="HNO2" s="37"/>
      <c r="HNP2" s="37"/>
      <c r="HNQ2" s="37"/>
      <c r="HNR2" s="37"/>
      <c r="HNS2" s="37"/>
      <c r="HNT2" s="37"/>
      <c r="HNU2" s="37"/>
      <c r="HNV2" s="37"/>
      <c r="HNW2" s="37"/>
      <c r="HNX2" s="37"/>
      <c r="HNY2" s="37"/>
      <c r="HNZ2" s="37"/>
      <c r="HOA2" s="37"/>
      <c r="HOB2" s="37"/>
      <c r="HOC2" s="37"/>
      <c r="HOD2" s="37"/>
      <c r="HOE2" s="37"/>
      <c r="HOF2" s="37"/>
      <c r="HOG2" s="37"/>
      <c r="HOH2" s="37"/>
      <c r="HOI2" s="37"/>
      <c r="HOJ2" s="37"/>
      <c r="HOK2" s="37"/>
      <c r="HOL2" s="37"/>
      <c r="HOM2" s="37"/>
      <c r="HON2" s="37"/>
      <c r="HOO2" s="37"/>
      <c r="HOP2" s="37"/>
      <c r="HOQ2" s="37"/>
      <c r="HOR2" s="37"/>
      <c r="HOS2" s="37"/>
      <c r="HOT2" s="37"/>
      <c r="HOU2" s="37"/>
      <c r="HOV2" s="37"/>
      <c r="HOW2" s="37"/>
      <c r="HOX2" s="37"/>
      <c r="HOY2" s="37"/>
      <c r="HOZ2" s="37"/>
      <c r="HPA2" s="37"/>
      <c r="HPB2" s="37"/>
      <c r="HPC2" s="37"/>
      <c r="HPD2" s="37"/>
      <c r="HPE2" s="37"/>
      <c r="HPF2" s="37"/>
      <c r="HPG2" s="37"/>
      <c r="HPH2" s="37"/>
      <c r="HPI2" s="37"/>
      <c r="HPJ2" s="37"/>
      <c r="HPK2" s="37"/>
      <c r="HPL2" s="37"/>
      <c r="HPM2" s="37"/>
      <c r="HPN2" s="37"/>
      <c r="HPO2" s="37"/>
      <c r="HPP2" s="37"/>
      <c r="HPQ2" s="37"/>
      <c r="HPR2" s="37"/>
      <c r="HPS2" s="37"/>
      <c r="HPT2" s="37"/>
      <c r="HPU2" s="37"/>
      <c r="HPV2" s="37"/>
      <c r="HPW2" s="37"/>
      <c r="HPX2" s="37"/>
      <c r="HPY2" s="37"/>
      <c r="HPZ2" s="37"/>
      <c r="HQA2" s="37"/>
      <c r="HQB2" s="37"/>
      <c r="HQC2" s="37"/>
      <c r="HQD2" s="37"/>
      <c r="HQE2" s="37"/>
      <c r="HQF2" s="37"/>
      <c r="HQG2" s="37"/>
      <c r="HQH2" s="37"/>
      <c r="HQI2" s="37"/>
      <c r="HQJ2" s="37"/>
      <c r="HQK2" s="37"/>
      <c r="HQL2" s="37"/>
      <c r="HQM2" s="37"/>
      <c r="HQN2" s="37"/>
      <c r="HQO2" s="37"/>
      <c r="HQP2" s="37"/>
      <c r="HQQ2" s="37"/>
      <c r="HQR2" s="37"/>
      <c r="HQS2" s="37"/>
      <c r="HQT2" s="37"/>
      <c r="HQU2" s="37"/>
      <c r="HQV2" s="37"/>
      <c r="HQW2" s="37"/>
      <c r="HQX2" s="37"/>
      <c r="HQY2" s="37"/>
      <c r="HQZ2" s="37"/>
      <c r="HRA2" s="37"/>
      <c r="HRB2" s="37"/>
      <c r="HRC2" s="37"/>
      <c r="HRD2" s="37"/>
      <c r="HRE2" s="37"/>
      <c r="HRF2" s="37"/>
      <c r="HRG2" s="37"/>
      <c r="HRH2" s="37"/>
      <c r="HRI2" s="37"/>
      <c r="HRJ2" s="37"/>
      <c r="HRK2" s="37"/>
      <c r="HRL2" s="37"/>
      <c r="HRM2" s="37"/>
      <c r="HRN2" s="37"/>
      <c r="HRO2" s="37"/>
      <c r="HRP2" s="37"/>
      <c r="HRQ2" s="37"/>
      <c r="HRR2" s="37"/>
      <c r="HRS2" s="37"/>
      <c r="HRT2" s="37"/>
      <c r="HRU2" s="37"/>
      <c r="HRV2" s="37"/>
      <c r="HRW2" s="37"/>
      <c r="HRX2" s="37"/>
      <c r="HRY2" s="37"/>
      <c r="HRZ2" s="37"/>
      <c r="HSA2" s="37"/>
      <c r="HSB2" s="37"/>
      <c r="HSC2" s="37"/>
      <c r="HSD2" s="37"/>
      <c r="HSE2" s="37"/>
      <c r="HSF2" s="37"/>
      <c r="HSG2" s="37"/>
      <c r="HSH2" s="37"/>
      <c r="HSI2" s="37"/>
      <c r="HSJ2" s="37"/>
      <c r="HSK2" s="37"/>
      <c r="HSL2" s="37"/>
      <c r="HSM2" s="37"/>
      <c r="HSN2" s="37"/>
      <c r="HSO2" s="37"/>
      <c r="HSP2" s="37"/>
      <c r="HSQ2" s="37"/>
      <c r="HSR2" s="37"/>
      <c r="HSS2" s="37"/>
      <c r="HST2" s="37"/>
      <c r="HSU2" s="37"/>
      <c r="HSV2" s="37"/>
      <c r="HSW2" s="37"/>
      <c r="HSX2" s="37"/>
      <c r="HSY2" s="37"/>
      <c r="HSZ2" s="37"/>
      <c r="HTA2" s="37"/>
      <c r="HTB2" s="37"/>
      <c r="HTC2" s="37"/>
      <c r="HTD2" s="37"/>
      <c r="HTE2" s="37"/>
      <c r="HTF2" s="37"/>
      <c r="HTG2" s="37"/>
      <c r="HTH2" s="37"/>
      <c r="HTI2" s="37"/>
      <c r="HTJ2" s="37"/>
      <c r="HTK2" s="37"/>
      <c r="HTL2" s="37"/>
      <c r="HTM2" s="37"/>
      <c r="HTN2" s="37"/>
      <c r="HTO2" s="37"/>
      <c r="HTP2" s="37"/>
      <c r="HTQ2" s="37"/>
      <c r="HTR2" s="37"/>
      <c r="HTS2" s="37"/>
      <c r="HTT2" s="37"/>
      <c r="HTU2" s="37"/>
      <c r="HTV2" s="37"/>
      <c r="HTW2" s="37"/>
      <c r="HTX2" s="37"/>
      <c r="HTY2" s="37"/>
      <c r="HTZ2" s="37"/>
      <c r="HUA2" s="37"/>
      <c r="HUB2" s="37"/>
      <c r="HUC2" s="37"/>
      <c r="HUD2" s="37"/>
      <c r="HUE2" s="37"/>
      <c r="HUF2" s="37"/>
      <c r="HUG2" s="37"/>
      <c r="HUH2" s="37"/>
      <c r="HUI2" s="37"/>
      <c r="HUJ2" s="37"/>
      <c r="HUK2" s="37"/>
      <c r="HUL2" s="37"/>
      <c r="HUM2" s="37"/>
      <c r="HUN2" s="37"/>
      <c r="HUO2" s="37"/>
      <c r="HUP2" s="37"/>
      <c r="HUQ2" s="37"/>
      <c r="HUR2" s="37"/>
      <c r="HUS2" s="37"/>
      <c r="HUT2" s="37"/>
      <c r="HUU2" s="37"/>
      <c r="HUV2" s="37"/>
      <c r="HUW2" s="37"/>
      <c r="HUX2" s="37"/>
      <c r="HUY2" s="37"/>
      <c r="HUZ2" s="37"/>
      <c r="HVA2" s="37"/>
      <c r="HVB2" s="37"/>
      <c r="HVC2" s="37"/>
      <c r="HVD2" s="37"/>
      <c r="HVE2" s="37"/>
      <c r="HVF2" s="37"/>
      <c r="HVG2" s="37"/>
      <c r="HVH2" s="37"/>
      <c r="HVI2" s="37"/>
      <c r="HVJ2" s="37"/>
      <c r="HVK2" s="37"/>
      <c r="HVL2" s="37"/>
      <c r="HVM2" s="37"/>
      <c r="HVN2" s="37"/>
      <c r="HVO2" s="37"/>
      <c r="HVP2" s="37"/>
      <c r="HVQ2" s="37"/>
      <c r="HVR2" s="37"/>
      <c r="HVS2" s="37"/>
      <c r="HVT2" s="37"/>
      <c r="HVU2" s="37"/>
      <c r="HVV2" s="37"/>
      <c r="HVW2" s="37"/>
      <c r="HVX2" s="37"/>
      <c r="HVY2" s="37"/>
      <c r="HVZ2" s="37"/>
      <c r="HWA2" s="37"/>
      <c r="HWB2" s="37"/>
      <c r="HWC2" s="37"/>
      <c r="HWD2" s="37"/>
      <c r="HWE2" s="37"/>
      <c r="HWF2" s="37"/>
      <c r="HWG2" s="37"/>
      <c r="HWH2" s="37"/>
      <c r="HWI2" s="37"/>
      <c r="HWJ2" s="37"/>
      <c r="HWK2" s="37"/>
      <c r="HWL2" s="37"/>
      <c r="HWM2" s="37"/>
      <c r="HWN2" s="37"/>
      <c r="HWO2" s="37"/>
      <c r="HWP2" s="37"/>
      <c r="HWQ2" s="37"/>
      <c r="HWR2" s="37"/>
      <c r="HWS2" s="37"/>
      <c r="HWT2" s="37"/>
      <c r="HWU2" s="37"/>
      <c r="HWV2" s="37"/>
      <c r="HWW2" s="37"/>
      <c r="HWX2" s="37"/>
      <c r="HWY2" s="37"/>
      <c r="HWZ2" s="37"/>
      <c r="HXA2" s="37"/>
      <c r="HXB2" s="37"/>
      <c r="HXC2" s="37"/>
      <c r="HXD2" s="37"/>
      <c r="HXE2" s="37"/>
      <c r="HXF2" s="37"/>
      <c r="HXG2" s="37"/>
      <c r="HXH2" s="37"/>
      <c r="HXI2" s="37"/>
      <c r="HXJ2" s="37"/>
      <c r="HXK2" s="37"/>
      <c r="HXL2" s="37"/>
      <c r="HXM2" s="37"/>
      <c r="HXN2" s="37"/>
      <c r="HXO2" s="37"/>
      <c r="HXP2" s="37"/>
      <c r="HXQ2" s="37"/>
      <c r="HXR2" s="37"/>
      <c r="HXS2" s="37"/>
      <c r="HXT2" s="37"/>
      <c r="HXU2" s="37"/>
      <c r="HXV2" s="37"/>
      <c r="HXW2" s="37"/>
      <c r="HXX2" s="37"/>
      <c r="HXY2" s="37"/>
      <c r="HXZ2" s="37"/>
      <c r="HYA2" s="37"/>
      <c r="HYB2" s="37"/>
      <c r="HYC2" s="37"/>
      <c r="HYD2" s="37"/>
      <c r="HYE2" s="37"/>
      <c r="HYF2" s="37"/>
      <c r="HYG2" s="37"/>
      <c r="HYH2" s="37"/>
      <c r="HYI2" s="37"/>
      <c r="HYJ2" s="37"/>
      <c r="HYK2" s="37"/>
      <c r="HYL2" s="37"/>
      <c r="HYM2" s="37"/>
      <c r="HYN2" s="37"/>
      <c r="HYO2" s="37"/>
      <c r="HYP2" s="37"/>
      <c r="HYQ2" s="37"/>
      <c r="HYR2" s="37"/>
      <c r="HYS2" s="37"/>
      <c r="HYT2" s="37"/>
      <c r="HYU2" s="37"/>
      <c r="HYV2" s="37"/>
      <c r="HYW2" s="37"/>
      <c r="HYX2" s="37"/>
      <c r="HYY2" s="37"/>
      <c r="HYZ2" s="37"/>
      <c r="HZA2" s="37"/>
      <c r="HZB2" s="37"/>
      <c r="HZC2" s="37"/>
      <c r="HZD2" s="37"/>
      <c r="HZE2" s="37"/>
      <c r="HZF2" s="37"/>
      <c r="HZG2" s="37"/>
      <c r="HZH2" s="37"/>
      <c r="HZI2" s="37"/>
      <c r="HZJ2" s="37"/>
      <c r="HZK2" s="37"/>
      <c r="HZL2" s="37"/>
      <c r="HZM2" s="37"/>
      <c r="HZN2" s="37"/>
      <c r="HZO2" s="37"/>
      <c r="HZP2" s="37"/>
      <c r="HZQ2" s="37"/>
      <c r="HZR2" s="37"/>
      <c r="HZS2" s="37"/>
      <c r="HZT2" s="37"/>
      <c r="HZU2" s="37"/>
      <c r="HZV2" s="37"/>
      <c r="HZW2" s="37"/>
      <c r="HZX2" s="37"/>
      <c r="HZY2" s="37"/>
      <c r="HZZ2" s="37"/>
      <c r="IAA2" s="37"/>
      <c r="IAB2" s="37"/>
      <c r="IAC2" s="37"/>
      <c r="IAD2" s="37"/>
      <c r="IAE2" s="37"/>
      <c r="IAF2" s="37"/>
      <c r="IAG2" s="37"/>
      <c r="IAH2" s="37"/>
      <c r="IAI2" s="37"/>
      <c r="IAJ2" s="37"/>
      <c r="IAK2" s="37"/>
      <c r="IAL2" s="37"/>
      <c r="IAM2" s="37"/>
      <c r="IAN2" s="37"/>
      <c r="IAO2" s="37"/>
      <c r="IAP2" s="37"/>
      <c r="IAQ2" s="37"/>
      <c r="IAR2" s="37"/>
      <c r="IAS2" s="37"/>
      <c r="IAT2" s="37"/>
      <c r="IAU2" s="37"/>
      <c r="IAV2" s="37"/>
      <c r="IAW2" s="37"/>
      <c r="IAX2" s="37"/>
      <c r="IAY2" s="37"/>
      <c r="IAZ2" s="37"/>
      <c r="IBA2" s="37"/>
      <c r="IBB2" s="37"/>
      <c r="IBC2" s="37"/>
      <c r="IBD2" s="37"/>
      <c r="IBE2" s="37"/>
      <c r="IBF2" s="37"/>
      <c r="IBG2" s="37"/>
      <c r="IBH2" s="37"/>
      <c r="IBI2" s="37"/>
      <c r="IBJ2" s="37"/>
      <c r="IBK2" s="37"/>
      <c r="IBL2" s="37"/>
      <c r="IBM2" s="37"/>
      <c r="IBN2" s="37"/>
      <c r="IBO2" s="37"/>
      <c r="IBP2" s="37"/>
      <c r="IBQ2" s="37"/>
      <c r="IBR2" s="37"/>
      <c r="IBS2" s="37"/>
      <c r="IBT2" s="37"/>
      <c r="IBU2" s="37"/>
      <c r="IBV2" s="37"/>
      <c r="IBW2" s="37"/>
      <c r="IBX2" s="37"/>
      <c r="IBY2" s="37"/>
      <c r="IBZ2" s="37"/>
      <c r="ICA2" s="37"/>
      <c r="ICB2" s="37"/>
      <c r="ICC2" s="37"/>
      <c r="ICD2" s="37"/>
      <c r="ICE2" s="37"/>
      <c r="ICF2" s="37"/>
      <c r="ICG2" s="37"/>
      <c r="ICH2" s="37"/>
      <c r="ICI2" s="37"/>
      <c r="ICJ2" s="37"/>
      <c r="ICK2" s="37"/>
      <c r="ICL2" s="37"/>
      <c r="ICM2" s="37"/>
      <c r="ICN2" s="37"/>
      <c r="ICO2" s="37"/>
      <c r="ICP2" s="37"/>
      <c r="ICQ2" s="37"/>
      <c r="ICR2" s="37"/>
      <c r="ICS2" s="37"/>
      <c r="ICT2" s="37"/>
      <c r="ICU2" s="37"/>
      <c r="ICV2" s="37"/>
      <c r="ICW2" s="37"/>
      <c r="ICX2" s="37"/>
      <c r="ICY2" s="37"/>
      <c r="ICZ2" s="37"/>
      <c r="IDA2" s="37"/>
      <c r="IDB2" s="37"/>
      <c r="IDC2" s="37"/>
      <c r="IDD2" s="37"/>
      <c r="IDE2" s="37"/>
      <c r="IDF2" s="37"/>
      <c r="IDG2" s="37"/>
      <c r="IDH2" s="37"/>
      <c r="IDI2" s="37"/>
      <c r="IDJ2" s="37"/>
      <c r="IDK2" s="37"/>
      <c r="IDL2" s="37"/>
      <c r="IDM2" s="37"/>
      <c r="IDN2" s="37"/>
      <c r="IDO2" s="37"/>
      <c r="IDP2" s="37"/>
      <c r="IDQ2" s="37"/>
      <c r="IDR2" s="37"/>
      <c r="IDS2" s="37"/>
      <c r="IDT2" s="37"/>
      <c r="IDU2" s="37"/>
      <c r="IDV2" s="37"/>
      <c r="IDW2" s="37"/>
      <c r="IDX2" s="37"/>
      <c r="IDY2" s="37"/>
      <c r="IDZ2" s="37"/>
      <c r="IEA2" s="37"/>
      <c r="IEB2" s="37"/>
      <c r="IEC2" s="37"/>
      <c r="IED2" s="37"/>
      <c r="IEE2" s="37"/>
      <c r="IEF2" s="37"/>
      <c r="IEG2" s="37"/>
      <c r="IEH2" s="37"/>
      <c r="IEI2" s="37"/>
      <c r="IEJ2" s="37"/>
      <c r="IEK2" s="37"/>
      <c r="IEL2" s="37"/>
      <c r="IEM2" s="37"/>
      <c r="IEN2" s="37"/>
      <c r="IEO2" s="37"/>
      <c r="IEP2" s="37"/>
      <c r="IEQ2" s="37"/>
      <c r="IER2" s="37"/>
      <c r="IES2" s="37"/>
      <c r="IET2" s="37"/>
      <c r="IEU2" s="37"/>
      <c r="IEV2" s="37"/>
      <c r="IEW2" s="37"/>
      <c r="IEX2" s="37"/>
      <c r="IEY2" s="37"/>
      <c r="IEZ2" s="37"/>
      <c r="IFA2" s="37"/>
      <c r="IFB2" s="37"/>
      <c r="IFC2" s="37"/>
      <c r="IFD2" s="37"/>
      <c r="IFE2" s="37"/>
      <c r="IFF2" s="37"/>
      <c r="IFG2" s="37"/>
      <c r="IFH2" s="37"/>
      <c r="IFI2" s="37"/>
      <c r="IFJ2" s="37"/>
      <c r="IFK2" s="37"/>
      <c r="IFL2" s="37"/>
      <c r="IFM2" s="37"/>
      <c r="IFN2" s="37"/>
      <c r="IFO2" s="37"/>
      <c r="IFP2" s="37"/>
      <c r="IFQ2" s="37"/>
      <c r="IFR2" s="37"/>
      <c r="IFS2" s="37"/>
      <c r="IFT2" s="37"/>
      <c r="IFU2" s="37"/>
      <c r="IFV2" s="37"/>
      <c r="IFW2" s="37"/>
      <c r="IFX2" s="37"/>
      <c r="IFY2" s="37"/>
      <c r="IFZ2" s="37"/>
      <c r="IGA2" s="37"/>
      <c r="IGB2" s="37"/>
      <c r="IGC2" s="37"/>
      <c r="IGD2" s="37"/>
      <c r="IGE2" s="37"/>
      <c r="IGF2" s="37"/>
      <c r="IGG2" s="37"/>
      <c r="IGH2" s="37"/>
      <c r="IGI2" s="37"/>
      <c r="IGJ2" s="37"/>
      <c r="IGK2" s="37"/>
      <c r="IGL2" s="37"/>
      <c r="IGM2" s="37"/>
      <c r="IGN2" s="37"/>
      <c r="IGO2" s="37"/>
      <c r="IGP2" s="37"/>
      <c r="IGQ2" s="37"/>
      <c r="IGR2" s="37"/>
      <c r="IGS2" s="37"/>
      <c r="IGT2" s="37"/>
      <c r="IGU2" s="37"/>
      <c r="IGV2" s="37"/>
      <c r="IGW2" s="37"/>
      <c r="IGX2" s="37"/>
      <c r="IGY2" s="37"/>
      <c r="IGZ2" s="37"/>
      <c r="IHA2" s="37"/>
      <c r="IHB2" s="37"/>
      <c r="IHC2" s="37"/>
      <c r="IHD2" s="37"/>
      <c r="IHE2" s="37"/>
      <c r="IHF2" s="37"/>
      <c r="IHG2" s="37"/>
      <c r="IHH2" s="37"/>
      <c r="IHI2" s="37"/>
      <c r="IHJ2" s="37"/>
      <c r="IHK2" s="37"/>
      <c r="IHL2" s="37"/>
      <c r="IHM2" s="37"/>
      <c r="IHN2" s="37"/>
      <c r="IHO2" s="37"/>
      <c r="IHP2" s="37"/>
      <c r="IHQ2" s="37"/>
      <c r="IHR2" s="37"/>
      <c r="IHS2" s="37"/>
      <c r="IHT2" s="37"/>
      <c r="IHU2" s="37"/>
      <c r="IHV2" s="37"/>
      <c r="IHW2" s="37"/>
      <c r="IHX2" s="37"/>
      <c r="IHY2" s="37"/>
      <c r="IHZ2" s="37"/>
      <c r="IIA2" s="37"/>
      <c r="IIB2" s="37"/>
      <c r="IIC2" s="37"/>
      <c r="IID2" s="37"/>
      <c r="IIE2" s="37"/>
      <c r="IIF2" s="37"/>
      <c r="IIG2" s="37"/>
      <c r="IIH2" s="37"/>
      <c r="III2" s="37"/>
      <c r="IIJ2" s="37"/>
      <c r="IIK2" s="37"/>
      <c r="IIL2" s="37"/>
      <c r="IIM2" s="37"/>
      <c r="IIN2" s="37"/>
      <c r="IIO2" s="37"/>
      <c r="IIP2" s="37"/>
      <c r="IIQ2" s="37"/>
      <c r="IIR2" s="37"/>
      <c r="IIS2" s="37"/>
      <c r="IIT2" s="37"/>
      <c r="IIU2" s="37"/>
      <c r="IIV2" s="37"/>
      <c r="IIW2" s="37"/>
      <c r="IIX2" s="37"/>
      <c r="IIY2" s="37"/>
      <c r="IIZ2" s="37"/>
      <c r="IJA2" s="37"/>
      <c r="IJB2" s="37"/>
      <c r="IJC2" s="37"/>
      <c r="IJD2" s="37"/>
      <c r="IJE2" s="37"/>
      <c r="IJF2" s="37"/>
      <c r="IJG2" s="37"/>
      <c r="IJH2" s="37"/>
      <c r="IJI2" s="37"/>
      <c r="IJJ2" s="37"/>
      <c r="IJK2" s="37"/>
      <c r="IJL2" s="37"/>
      <c r="IJM2" s="37"/>
      <c r="IJN2" s="37"/>
      <c r="IJO2" s="37"/>
      <c r="IJP2" s="37"/>
      <c r="IJQ2" s="37"/>
      <c r="IJR2" s="37"/>
      <c r="IJS2" s="37"/>
      <c r="IJT2" s="37"/>
      <c r="IJU2" s="37"/>
      <c r="IJV2" s="37"/>
      <c r="IJW2" s="37"/>
      <c r="IJX2" s="37"/>
      <c r="IJY2" s="37"/>
      <c r="IJZ2" s="37"/>
      <c r="IKA2" s="37"/>
      <c r="IKB2" s="37"/>
      <c r="IKC2" s="37"/>
      <c r="IKD2" s="37"/>
      <c r="IKE2" s="37"/>
      <c r="IKF2" s="37"/>
      <c r="IKG2" s="37"/>
      <c r="IKH2" s="37"/>
      <c r="IKI2" s="37"/>
      <c r="IKJ2" s="37"/>
      <c r="IKK2" s="37"/>
      <c r="IKL2" s="37"/>
      <c r="IKM2" s="37"/>
      <c r="IKN2" s="37"/>
      <c r="IKO2" s="37"/>
      <c r="IKP2" s="37"/>
      <c r="IKQ2" s="37"/>
      <c r="IKR2" s="37"/>
      <c r="IKS2" s="37"/>
      <c r="IKT2" s="37"/>
      <c r="IKU2" s="37"/>
      <c r="IKV2" s="37"/>
      <c r="IKW2" s="37"/>
      <c r="IKX2" s="37"/>
      <c r="IKY2" s="37"/>
      <c r="IKZ2" s="37"/>
      <c r="ILA2" s="37"/>
      <c r="ILB2" s="37"/>
      <c r="ILC2" s="37"/>
      <c r="ILD2" s="37"/>
      <c r="ILE2" s="37"/>
      <c r="ILF2" s="37"/>
      <c r="ILG2" s="37"/>
      <c r="ILH2" s="37"/>
      <c r="ILI2" s="37"/>
      <c r="ILJ2" s="37"/>
      <c r="ILK2" s="37"/>
      <c r="ILL2" s="37"/>
      <c r="ILM2" s="37"/>
      <c r="ILN2" s="37"/>
      <c r="ILO2" s="37"/>
      <c r="ILP2" s="37"/>
      <c r="ILQ2" s="37"/>
      <c r="ILR2" s="37"/>
      <c r="ILS2" s="37"/>
      <c r="ILT2" s="37"/>
      <c r="ILU2" s="37"/>
      <c r="ILV2" s="37"/>
      <c r="ILW2" s="37"/>
      <c r="ILX2" s="37"/>
      <c r="ILY2" s="37"/>
      <c r="ILZ2" s="37"/>
      <c r="IMA2" s="37"/>
      <c r="IMB2" s="37"/>
      <c r="IMC2" s="37"/>
      <c r="IMD2" s="37"/>
      <c r="IME2" s="37"/>
      <c r="IMF2" s="37"/>
      <c r="IMG2" s="37"/>
      <c r="IMH2" s="37"/>
      <c r="IMI2" s="37"/>
      <c r="IMJ2" s="37"/>
      <c r="IMK2" s="37"/>
      <c r="IML2" s="37"/>
      <c r="IMM2" s="37"/>
      <c r="IMN2" s="37"/>
      <c r="IMO2" s="37"/>
      <c r="IMP2" s="37"/>
      <c r="IMQ2" s="37"/>
      <c r="IMR2" s="37"/>
      <c r="IMS2" s="37"/>
      <c r="IMT2" s="37"/>
      <c r="IMU2" s="37"/>
      <c r="IMV2" s="37"/>
      <c r="IMW2" s="37"/>
      <c r="IMX2" s="37"/>
      <c r="IMY2" s="37"/>
      <c r="IMZ2" s="37"/>
      <c r="INA2" s="37"/>
      <c r="INB2" s="37"/>
      <c r="INC2" s="37"/>
      <c r="IND2" s="37"/>
      <c r="INE2" s="37"/>
      <c r="INF2" s="37"/>
      <c r="ING2" s="37"/>
      <c r="INH2" s="37"/>
      <c r="INI2" s="37"/>
      <c r="INJ2" s="37"/>
      <c r="INK2" s="37"/>
      <c r="INL2" s="37"/>
      <c r="INM2" s="37"/>
      <c r="INN2" s="37"/>
      <c r="INO2" s="37"/>
      <c r="INP2" s="37"/>
      <c r="INQ2" s="37"/>
      <c r="INR2" s="37"/>
      <c r="INS2" s="37"/>
      <c r="INT2" s="37"/>
      <c r="INU2" s="37"/>
      <c r="INV2" s="37"/>
      <c r="INW2" s="37"/>
      <c r="INX2" s="37"/>
      <c r="INY2" s="37"/>
      <c r="INZ2" s="37"/>
      <c r="IOA2" s="37"/>
      <c r="IOB2" s="37"/>
      <c r="IOC2" s="37"/>
      <c r="IOD2" s="37"/>
      <c r="IOE2" s="37"/>
      <c r="IOF2" s="37"/>
      <c r="IOG2" s="37"/>
      <c r="IOH2" s="37"/>
      <c r="IOI2" s="37"/>
      <c r="IOJ2" s="37"/>
      <c r="IOK2" s="37"/>
      <c r="IOL2" s="37"/>
      <c r="IOM2" s="37"/>
      <c r="ION2" s="37"/>
      <c r="IOO2" s="37"/>
      <c r="IOP2" s="37"/>
      <c r="IOQ2" s="37"/>
      <c r="IOR2" s="37"/>
      <c r="IOS2" s="37"/>
      <c r="IOT2" s="37"/>
      <c r="IOU2" s="37"/>
      <c r="IOV2" s="37"/>
      <c r="IOW2" s="37"/>
      <c r="IOX2" s="37"/>
      <c r="IOY2" s="37"/>
      <c r="IOZ2" s="37"/>
      <c r="IPA2" s="37"/>
      <c r="IPB2" s="37"/>
      <c r="IPC2" s="37"/>
      <c r="IPD2" s="37"/>
      <c r="IPE2" s="37"/>
      <c r="IPF2" s="37"/>
      <c r="IPG2" s="37"/>
      <c r="IPH2" s="37"/>
      <c r="IPI2" s="37"/>
      <c r="IPJ2" s="37"/>
      <c r="IPK2" s="37"/>
      <c r="IPL2" s="37"/>
      <c r="IPM2" s="37"/>
      <c r="IPN2" s="37"/>
      <c r="IPO2" s="37"/>
      <c r="IPP2" s="37"/>
      <c r="IPQ2" s="37"/>
      <c r="IPR2" s="37"/>
      <c r="IPS2" s="37"/>
      <c r="IPT2" s="37"/>
      <c r="IPU2" s="37"/>
      <c r="IPV2" s="37"/>
      <c r="IPW2" s="37"/>
      <c r="IPX2" s="37"/>
      <c r="IPY2" s="37"/>
      <c r="IPZ2" s="37"/>
      <c r="IQA2" s="37"/>
      <c r="IQB2" s="37"/>
      <c r="IQC2" s="37"/>
      <c r="IQD2" s="37"/>
      <c r="IQE2" s="37"/>
      <c r="IQF2" s="37"/>
      <c r="IQG2" s="37"/>
      <c r="IQH2" s="37"/>
      <c r="IQI2" s="37"/>
      <c r="IQJ2" s="37"/>
      <c r="IQK2" s="37"/>
      <c r="IQL2" s="37"/>
      <c r="IQM2" s="37"/>
      <c r="IQN2" s="37"/>
      <c r="IQO2" s="37"/>
      <c r="IQP2" s="37"/>
      <c r="IQQ2" s="37"/>
      <c r="IQR2" s="37"/>
      <c r="IQS2" s="37"/>
      <c r="IQT2" s="37"/>
      <c r="IQU2" s="37"/>
      <c r="IQV2" s="37"/>
      <c r="IQW2" s="37"/>
      <c r="IQX2" s="37"/>
      <c r="IQY2" s="37"/>
      <c r="IQZ2" s="37"/>
      <c r="IRA2" s="37"/>
      <c r="IRB2" s="37"/>
      <c r="IRC2" s="37"/>
      <c r="IRD2" s="37"/>
      <c r="IRE2" s="37"/>
      <c r="IRF2" s="37"/>
      <c r="IRG2" s="37"/>
      <c r="IRH2" s="37"/>
      <c r="IRI2" s="37"/>
      <c r="IRJ2" s="37"/>
      <c r="IRK2" s="37"/>
      <c r="IRL2" s="37"/>
      <c r="IRM2" s="37"/>
      <c r="IRN2" s="37"/>
      <c r="IRO2" s="37"/>
      <c r="IRP2" s="37"/>
      <c r="IRQ2" s="37"/>
      <c r="IRR2" s="37"/>
      <c r="IRS2" s="37"/>
      <c r="IRT2" s="37"/>
      <c r="IRU2" s="37"/>
      <c r="IRV2" s="37"/>
      <c r="IRW2" s="37"/>
      <c r="IRX2" s="37"/>
      <c r="IRY2" s="37"/>
      <c r="IRZ2" s="37"/>
      <c r="ISA2" s="37"/>
      <c r="ISB2" s="37"/>
      <c r="ISC2" s="37"/>
      <c r="ISD2" s="37"/>
      <c r="ISE2" s="37"/>
      <c r="ISF2" s="37"/>
      <c r="ISG2" s="37"/>
      <c r="ISH2" s="37"/>
      <c r="ISI2" s="37"/>
      <c r="ISJ2" s="37"/>
      <c r="ISK2" s="37"/>
      <c r="ISL2" s="37"/>
      <c r="ISM2" s="37"/>
      <c r="ISN2" s="37"/>
      <c r="ISO2" s="37"/>
      <c r="ISP2" s="37"/>
      <c r="ISQ2" s="37"/>
      <c r="ISR2" s="37"/>
      <c r="ISS2" s="37"/>
      <c r="IST2" s="37"/>
      <c r="ISU2" s="37"/>
      <c r="ISV2" s="37"/>
      <c r="ISW2" s="37"/>
      <c r="ISX2" s="37"/>
      <c r="ISY2" s="37"/>
      <c r="ISZ2" s="37"/>
      <c r="ITA2" s="37"/>
      <c r="ITB2" s="37"/>
      <c r="ITC2" s="37"/>
      <c r="ITD2" s="37"/>
      <c r="ITE2" s="37"/>
      <c r="ITF2" s="37"/>
      <c r="ITG2" s="37"/>
      <c r="ITH2" s="37"/>
      <c r="ITI2" s="37"/>
      <c r="ITJ2" s="37"/>
      <c r="ITK2" s="37"/>
      <c r="ITL2" s="37"/>
      <c r="ITM2" s="37"/>
      <c r="ITN2" s="37"/>
      <c r="ITO2" s="37"/>
      <c r="ITP2" s="37"/>
      <c r="ITQ2" s="37"/>
      <c r="ITR2" s="37"/>
      <c r="ITS2" s="37"/>
      <c r="ITT2" s="37"/>
      <c r="ITU2" s="37"/>
      <c r="ITV2" s="37"/>
      <c r="ITW2" s="37"/>
      <c r="ITX2" s="37"/>
      <c r="ITY2" s="37"/>
      <c r="ITZ2" s="37"/>
      <c r="IUA2" s="37"/>
      <c r="IUB2" s="37"/>
      <c r="IUC2" s="37"/>
      <c r="IUD2" s="37"/>
      <c r="IUE2" s="37"/>
      <c r="IUF2" s="37"/>
      <c r="IUG2" s="37"/>
      <c r="IUH2" s="37"/>
      <c r="IUI2" s="37"/>
      <c r="IUJ2" s="37"/>
      <c r="IUK2" s="37"/>
      <c r="IUL2" s="37"/>
      <c r="IUM2" s="37"/>
      <c r="IUN2" s="37"/>
      <c r="IUO2" s="37"/>
      <c r="IUP2" s="37"/>
      <c r="IUQ2" s="37"/>
      <c r="IUR2" s="37"/>
      <c r="IUS2" s="37"/>
      <c r="IUT2" s="37"/>
      <c r="IUU2" s="37"/>
      <c r="IUV2" s="37"/>
      <c r="IUW2" s="37"/>
      <c r="IUX2" s="37"/>
      <c r="IUY2" s="37"/>
      <c r="IUZ2" s="37"/>
      <c r="IVA2" s="37"/>
      <c r="IVB2" s="37"/>
      <c r="IVC2" s="37"/>
      <c r="IVD2" s="37"/>
      <c r="IVE2" s="37"/>
      <c r="IVF2" s="37"/>
      <c r="IVG2" s="37"/>
      <c r="IVH2" s="37"/>
      <c r="IVI2" s="37"/>
      <c r="IVJ2" s="37"/>
      <c r="IVK2" s="37"/>
      <c r="IVL2" s="37"/>
      <c r="IVM2" s="37"/>
      <c r="IVN2" s="37"/>
      <c r="IVO2" s="37"/>
      <c r="IVP2" s="37"/>
      <c r="IVQ2" s="37"/>
      <c r="IVR2" s="37"/>
      <c r="IVS2" s="37"/>
      <c r="IVT2" s="37"/>
      <c r="IVU2" s="37"/>
      <c r="IVV2" s="37"/>
      <c r="IVW2" s="37"/>
      <c r="IVX2" s="37"/>
      <c r="IVY2" s="37"/>
      <c r="IVZ2" s="37"/>
      <c r="IWA2" s="37"/>
      <c r="IWB2" s="37"/>
      <c r="IWC2" s="37"/>
      <c r="IWD2" s="37"/>
      <c r="IWE2" s="37"/>
      <c r="IWF2" s="37"/>
      <c r="IWG2" s="37"/>
      <c r="IWH2" s="37"/>
      <c r="IWI2" s="37"/>
      <c r="IWJ2" s="37"/>
      <c r="IWK2" s="37"/>
      <c r="IWL2" s="37"/>
      <c r="IWM2" s="37"/>
      <c r="IWN2" s="37"/>
      <c r="IWO2" s="37"/>
      <c r="IWP2" s="37"/>
      <c r="IWQ2" s="37"/>
      <c r="IWR2" s="37"/>
      <c r="IWS2" s="37"/>
      <c r="IWT2" s="37"/>
      <c r="IWU2" s="37"/>
      <c r="IWV2" s="37"/>
      <c r="IWW2" s="37"/>
      <c r="IWX2" s="37"/>
      <c r="IWY2" s="37"/>
      <c r="IWZ2" s="37"/>
      <c r="IXA2" s="37"/>
      <c r="IXB2" s="37"/>
      <c r="IXC2" s="37"/>
      <c r="IXD2" s="37"/>
      <c r="IXE2" s="37"/>
      <c r="IXF2" s="37"/>
      <c r="IXG2" s="37"/>
      <c r="IXH2" s="37"/>
      <c r="IXI2" s="37"/>
      <c r="IXJ2" s="37"/>
      <c r="IXK2" s="37"/>
      <c r="IXL2" s="37"/>
      <c r="IXM2" s="37"/>
      <c r="IXN2" s="37"/>
      <c r="IXO2" s="37"/>
      <c r="IXP2" s="37"/>
      <c r="IXQ2" s="37"/>
      <c r="IXR2" s="37"/>
      <c r="IXS2" s="37"/>
      <c r="IXT2" s="37"/>
      <c r="IXU2" s="37"/>
      <c r="IXV2" s="37"/>
      <c r="IXW2" s="37"/>
      <c r="IXX2" s="37"/>
      <c r="IXY2" s="37"/>
      <c r="IXZ2" s="37"/>
      <c r="IYA2" s="37"/>
      <c r="IYB2" s="37"/>
      <c r="IYC2" s="37"/>
      <c r="IYD2" s="37"/>
      <c r="IYE2" s="37"/>
      <c r="IYF2" s="37"/>
      <c r="IYG2" s="37"/>
      <c r="IYH2" s="37"/>
      <c r="IYI2" s="37"/>
      <c r="IYJ2" s="37"/>
      <c r="IYK2" s="37"/>
      <c r="IYL2" s="37"/>
      <c r="IYM2" s="37"/>
      <c r="IYN2" s="37"/>
      <c r="IYO2" s="37"/>
      <c r="IYP2" s="37"/>
      <c r="IYQ2" s="37"/>
      <c r="IYR2" s="37"/>
      <c r="IYS2" s="37"/>
      <c r="IYT2" s="37"/>
      <c r="IYU2" s="37"/>
      <c r="IYV2" s="37"/>
      <c r="IYW2" s="37"/>
      <c r="IYX2" s="37"/>
      <c r="IYY2" s="37"/>
      <c r="IYZ2" s="37"/>
      <c r="IZA2" s="37"/>
      <c r="IZB2" s="37"/>
      <c r="IZC2" s="37"/>
      <c r="IZD2" s="37"/>
      <c r="IZE2" s="37"/>
      <c r="IZF2" s="37"/>
      <c r="IZG2" s="37"/>
      <c r="IZH2" s="37"/>
      <c r="IZI2" s="37"/>
      <c r="IZJ2" s="37"/>
      <c r="IZK2" s="37"/>
      <c r="IZL2" s="37"/>
      <c r="IZM2" s="37"/>
      <c r="IZN2" s="37"/>
      <c r="IZO2" s="37"/>
      <c r="IZP2" s="37"/>
      <c r="IZQ2" s="37"/>
      <c r="IZR2" s="37"/>
      <c r="IZS2" s="37"/>
      <c r="IZT2" s="37"/>
      <c r="IZU2" s="37"/>
      <c r="IZV2" s="37"/>
      <c r="IZW2" s="37"/>
      <c r="IZX2" s="37"/>
      <c r="IZY2" s="37"/>
      <c r="IZZ2" s="37"/>
      <c r="JAA2" s="37"/>
      <c r="JAB2" s="37"/>
      <c r="JAC2" s="37"/>
      <c r="JAD2" s="37"/>
      <c r="JAE2" s="37"/>
      <c r="JAF2" s="37"/>
      <c r="JAG2" s="37"/>
      <c r="JAH2" s="37"/>
      <c r="JAI2" s="37"/>
      <c r="JAJ2" s="37"/>
      <c r="JAK2" s="37"/>
      <c r="JAL2" s="37"/>
      <c r="JAM2" s="37"/>
      <c r="JAN2" s="37"/>
      <c r="JAO2" s="37"/>
      <c r="JAP2" s="37"/>
      <c r="JAQ2" s="37"/>
      <c r="JAR2" s="37"/>
      <c r="JAS2" s="37"/>
      <c r="JAT2" s="37"/>
      <c r="JAU2" s="37"/>
      <c r="JAV2" s="37"/>
      <c r="JAW2" s="37"/>
      <c r="JAX2" s="37"/>
      <c r="JAY2" s="37"/>
      <c r="JAZ2" s="37"/>
      <c r="JBA2" s="37"/>
      <c r="JBB2" s="37"/>
      <c r="JBC2" s="37"/>
      <c r="JBD2" s="37"/>
      <c r="JBE2" s="37"/>
      <c r="JBF2" s="37"/>
      <c r="JBG2" s="37"/>
      <c r="JBH2" s="37"/>
      <c r="JBI2" s="37"/>
      <c r="JBJ2" s="37"/>
      <c r="JBK2" s="37"/>
      <c r="JBL2" s="37"/>
      <c r="JBM2" s="37"/>
      <c r="JBN2" s="37"/>
      <c r="JBO2" s="37"/>
      <c r="JBP2" s="37"/>
      <c r="JBQ2" s="37"/>
      <c r="JBR2" s="37"/>
      <c r="JBS2" s="37"/>
      <c r="JBT2" s="37"/>
      <c r="JBU2" s="37"/>
      <c r="JBV2" s="37"/>
      <c r="JBW2" s="37"/>
      <c r="JBX2" s="37"/>
      <c r="JBY2" s="37"/>
      <c r="JBZ2" s="37"/>
      <c r="JCA2" s="37"/>
      <c r="JCB2" s="37"/>
      <c r="JCC2" s="37"/>
      <c r="JCD2" s="37"/>
      <c r="JCE2" s="37"/>
      <c r="JCF2" s="37"/>
      <c r="JCG2" s="37"/>
      <c r="JCH2" s="37"/>
      <c r="JCI2" s="37"/>
      <c r="JCJ2" s="37"/>
      <c r="JCK2" s="37"/>
      <c r="JCL2" s="37"/>
      <c r="JCM2" s="37"/>
      <c r="JCN2" s="37"/>
      <c r="JCO2" s="37"/>
      <c r="JCP2" s="37"/>
      <c r="JCQ2" s="37"/>
      <c r="JCR2" s="37"/>
      <c r="JCS2" s="37"/>
      <c r="JCT2" s="37"/>
      <c r="JCU2" s="37"/>
      <c r="JCV2" s="37"/>
      <c r="JCW2" s="37"/>
      <c r="JCX2" s="37"/>
      <c r="JCY2" s="37"/>
      <c r="JCZ2" s="37"/>
      <c r="JDA2" s="37"/>
      <c r="JDB2" s="37"/>
      <c r="JDC2" s="37"/>
      <c r="JDD2" s="37"/>
      <c r="JDE2" s="37"/>
      <c r="JDF2" s="37"/>
      <c r="JDG2" s="37"/>
      <c r="JDH2" s="37"/>
      <c r="JDI2" s="37"/>
      <c r="JDJ2" s="37"/>
      <c r="JDK2" s="37"/>
      <c r="JDL2" s="37"/>
      <c r="JDM2" s="37"/>
      <c r="JDN2" s="37"/>
      <c r="JDO2" s="37"/>
      <c r="JDP2" s="37"/>
      <c r="JDQ2" s="37"/>
      <c r="JDR2" s="37"/>
      <c r="JDS2" s="37"/>
      <c r="JDT2" s="37"/>
      <c r="JDU2" s="37"/>
      <c r="JDV2" s="37"/>
      <c r="JDW2" s="37"/>
      <c r="JDX2" s="37"/>
      <c r="JDY2" s="37"/>
      <c r="JDZ2" s="37"/>
      <c r="JEA2" s="37"/>
      <c r="JEB2" s="37"/>
      <c r="JEC2" s="37"/>
      <c r="JED2" s="37"/>
      <c r="JEE2" s="37"/>
      <c r="JEF2" s="37"/>
      <c r="JEG2" s="37"/>
      <c r="JEH2" s="37"/>
      <c r="JEI2" s="37"/>
      <c r="JEJ2" s="37"/>
      <c r="JEK2" s="37"/>
      <c r="JEL2" s="37"/>
      <c r="JEM2" s="37"/>
      <c r="JEN2" s="37"/>
      <c r="JEO2" s="37"/>
      <c r="JEP2" s="37"/>
      <c r="JEQ2" s="37"/>
      <c r="JER2" s="37"/>
      <c r="JES2" s="37"/>
      <c r="JET2" s="37"/>
      <c r="JEU2" s="37"/>
      <c r="JEV2" s="37"/>
      <c r="JEW2" s="37"/>
      <c r="JEX2" s="37"/>
      <c r="JEY2" s="37"/>
      <c r="JEZ2" s="37"/>
      <c r="JFA2" s="37"/>
      <c r="JFB2" s="37"/>
      <c r="JFC2" s="37"/>
      <c r="JFD2" s="37"/>
      <c r="JFE2" s="37"/>
      <c r="JFF2" s="37"/>
      <c r="JFG2" s="37"/>
      <c r="JFH2" s="37"/>
      <c r="JFI2" s="37"/>
      <c r="JFJ2" s="37"/>
      <c r="JFK2" s="37"/>
      <c r="JFL2" s="37"/>
      <c r="JFM2" s="37"/>
      <c r="JFN2" s="37"/>
      <c r="JFO2" s="37"/>
      <c r="JFP2" s="37"/>
      <c r="JFQ2" s="37"/>
      <c r="JFR2" s="37"/>
      <c r="JFS2" s="37"/>
      <c r="JFT2" s="37"/>
      <c r="JFU2" s="37"/>
      <c r="JFV2" s="37"/>
      <c r="JFW2" s="37"/>
      <c r="JFX2" s="37"/>
      <c r="JFY2" s="37"/>
      <c r="JFZ2" s="37"/>
      <c r="JGA2" s="37"/>
      <c r="JGB2" s="37"/>
      <c r="JGC2" s="37"/>
      <c r="JGD2" s="37"/>
      <c r="JGE2" s="37"/>
      <c r="JGF2" s="37"/>
      <c r="JGG2" s="37"/>
      <c r="JGH2" s="37"/>
      <c r="JGI2" s="37"/>
      <c r="JGJ2" s="37"/>
      <c r="JGK2" s="37"/>
      <c r="JGL2" s="37"/>
      <c r="JGM2" s="37"/>
      <c r="JGN2" s="37"/>
      <c r="JGO2" s="37"/>
      <c r="JGP2" s="37"/>
      <c r="JGQ2" s="37"/>
      <c r="JGR2" s="37"/>
      <c r="JGS2" s="37"/>
      <c r="JGT2" s="37"/>
      <c r="JGU2" s="37"/>
      <c r="JGV2" s="37"/>
      <c r="JGW2" s="37"/>
      <c r="JGX2" s="37"/>
      <c r="JGY2" s="37"/>
      <c r="JGZ2" s="37"/>
      <c r="JHA2" s="37"/>
      <c r="JHB2" s="37"/>
      <c r="JHC2" s="37"/>
      <c r="JHD2" s="37"/>
      <c r="JHE2" s="37"/>
      <c r="JHF2" s="37"/>
      <c r="JHG2" s="37"/>
      <c r="JHH2" s="37"/>
      <c r="JHI2" s="37"/>
      <c r="JHJ2" s="37"/>
      <c r="JHK2" s="37"/>
      <c r="JHL2" s="37"/>
      <c r="JHM2" s="37"/>
      <c r="JHN2" s="37"/>
      <c r="JHO2" s="37"/>
      <c r="JHP2" s="37"/>
      <c r="JHQ2" s="37"/>
      <c r="JHR2" s="37"/>
      <c r="JHS2" s="37"/>
      <c r="JHT2" s="37"/>
      <c r="JHU2" s="37"/>
      <c r="JHV2" s="37"/>
      <c r="JHW2" s="37"/>
      <c r="JHX2" s="37"/>
      <c r="JHY2" s="37"/>
      <c r="JHZ2" s="37"/>
      <c r="JIA2" s="37"/>
      <c r="JIB2" s="37"/>
      <c r="JIC2" s="37"/>
      <c r="JID2" s="37"/>
      <c r="JIE2" s="37"/>
      <c r="JIF2" s="37"/>
      <c r="JIG2" s="37"/>
      <c r="JIH2" s="37"/>
      <c r="JII2" s="37"/>
      <c r="JIJ2" s="37"/>
      <c r="JIK2" s="37"/>
      <c r="JIL2" s="37"/>
      <c r="JIM2" s="37"/>
      <c r="JIN2" s="37"/>
      <c r="JIO2" s="37"/>
      <c r="JIP2" s="37"/>
      <c r="JIQ2" s="37"/>
      <c r="JIR2" s="37"/>
      <c r="JIS2" s="37"/>
      <c r="JIT2" s="37"/>
      <c r="JIU2" s="37"/>
      <c r="JIV2" s="37"/>
      <c r="JIW2" s="37"/>
      <c r="JIX2" s="37"/>
      <c r="JIY2" s="37"/>
      <c r="JIZ2" s="37"/>
      <c r="JJA2" s="37"/>
      <c r="JJB2" s="37"/>
      <c r="JJC2" s="37"/>
      <c r="JJD2" s="37"/>
      <c r="JJE2" s="37"/>
      <c r="JJF2" s="37"/>
      <c r="JJG2" s="37"/>
      <c r="JJH2" s="37"/>
      <c r="JJI2" s="37"/>
      <c r="JJJ2" s="37"/>
      <c r="JJK2" s="37"/>
      <c r="JJL2" s="37"/>
      <c r="JJM2" s="37"/>
      <c r="JJN2" s="37"/>
      <c r="JJO2" s="37"/>
      <c r="JJP2" s="37"/>
      <c r="JJQ2" s="37"/>
      <c r="JJR2" s="37"/>
      <c r="JJS2" s="37"/>
      <c r="JJT2" s="37"/>
      <c r="JJU2" s="37"/>
      <c r="JJV2" s="37"/>
      <c r="JJW2" s="37"/>
      <c r="JJX2" s="37"/>
      <c r="JJY2" s="37"/>
      <c r="JJZ2" s="37"/>
      <c r="JKA2" s="37"/>
      <c r="JKB2" s="37"/>
      <c r="JKC2" s="37"/>
      <c r="JKD2" s="37"/>
      <c r="JKE2" s="37"/>
      <c r="JKF2" s="37"/>
      <c r="JKG2" s="37"/>
      <c r="JKH2" s="37"/>
      <c r="JKI2" s="37"/>
      <c r="JKJ2" s="37"/>
      <c r="JKK2" s="37"/>
      <c r="JKL2" s="37"/>
      <c r="JKM2" s="37"/>
      <c r="JKN2" s="37"/>
      <c r="JKO2" s="37"/>
      <c r="JKP2" s="37"/>
      <c r="JKQ2" s="37"/>
      <c r="JKR2" s="37"/>
      <c r="JKS2" s="37"/>
      <c r="JKT2" s="37"/>
      <c r="JKU2" s="37"/>
      <c r="JKV2" s="37"/>
      <c r="JKW2" s="37"/>
      <c r="JKX2" s="37"/>
      <c r="JKY2" s="37"/>
      <c r="JKZ2" s="37"/>
      <c r="JLA2" s="37"/>
      <c r="JLB2" s="37"/>
      <c r="JLC2" s="37"/>
      <c r="JLD2" s="37"/>
      <c r="JLE2" s="37"/>
      <c r="JLF2" s="37"/>
      <c r="JLG2" s="37"/>
      <c r="JLH2" s="37"/>
      <c r="JLI2" s="37"/>
      <c r="JLJ2" s="37"/>
      <c r="JLK2" s="37"/>
      <c r="JLL2" s="37"/>
      <c r="JLM2" s="37"/>
      <c r="JLN2" s="37"/>
      <c r="JLO2" s="37"/>
      <c r="JLP2" s="37"/>
      <c r="JLQ2" s="37"/>
      <c r="JLR2" s="37"/>
      <c r="JLS2" s="37"/>
      <c r="JLT2" s="37"/>
      <c r="JLU2" s="37"/>
      <c r="JLV2" s="37"/>
      <c r="JLW2" s="37"/>
      <c r="JLX2" s="37"/>
      <c r="JLY2" s="37"/>
      <c r="JLZ2" s="37"/>
      <c r="JMA2" s="37"/>
      <c r="JMB2" s="37"/>
      <c r="JMC2" s="37"/>
      <c r="JMD2" s="37"/>
      <c r="JME2" s="37"/>
      <c r="JMF2" s="37"/>
      <c r="JMG2" s="37"/>
      <c r="JMH2" s="37"/>
      <c r="JMI2" s="37"/>
      <c r="JMJ2" s="37"/>
      <c r="JMK2" s="37"/>
      <c r="JML2" s="37"/>
      <c r="JMM2" s="37"/>
      <c r="JMN2" s="37"/>
      <c r="JMO2" s="37"/>
      <c r="JMP2" s="37"/>
      <c r="JMQ2" s="37"/>
      <c r="JMR2" s="37"/>
      <c r="JMS2" s="37"/>
      <c r="JMT2" s="37"/>
      <c r="JMU2" s="37"/>
      <c r="JMV2" s="37"/>
      <c r="JMW2" s="37"/>
      <c r="JMX2" s="37"/>
      <c r="JMY2" s="37"/>
      <c r="JMZ2" s="37"/>
      <c r="JNA2" s="37"/>
      <c r="JNB2" s="37"/>
      <c r="JNC2" s="37"/>
      <c r="JND2" s="37"/>
      <c r="JNE2" s="37"/>
      <c r="JNF2" s="37"/>
      <c r="JNG2" s="37"/>
      <c r="JNH2" s="37"/>
      <c r="JNI2" s="37"/>
      <c r="JNJ2" s="37"/>
      <c r="JNK2" s="37"/>
      <c r="JNL2" s="37"/>
      <c r="JNM2" s="37"/>
      <c r="JNN2" s="37"/>
      <c r="JNO2" s="37"/>
      <c r="JNP2" s="37"/>
      <c r="JNQ2" s="37"/>
      <c r="JNR2" s="37"/>
      <c r="JNS2" s="37"/>
      <c r="JNT2" s="37"/>
      <c r="JNU2" s="37"/>
      <c r="JNV2" s="37"/>
      <c r="JNW2" s="37"/>
      <c r="JNX2" s="37"/>
      <c r="JNY2" s="37"/>
      <c r="JNZ2" s="37"/>
      <c r="JOA2" s="37"/>
      <c r="JOB2" s="37"/>
      <c r="JOC2" s="37"/>
      <c r="JOD2" s="37"/>
      <c r="JOE2" s="37"/>
      <c r="JOF2" s="37"/>
      <c r="JOG2" s="37"/>
      <c r="JOH2" s="37"/>
      <c r="JOI2" s="37"/>
      <c r="JOJ2" s="37"/>
      <c r="JOK2" s="37"/>
      <c r="JOL2" s="37"/>
      <c r="JOM2" s="37"/>
      <c r="JON2" s="37"/>
      <c r="JOO2" s="37"/>
      <c r="JOP2" s="37"/>
      <c r="JOQ2" s="37"/>
      <c r="JOR2" s="37"/>
      <c r="JOS2" s="37"/>
      <c r="JOT2" s="37"/>
      <c r="JOU2" s="37"/>
      <c r="JOV2" s="37"/>
      <c r="JOW2" s="37"/>
      <c r="JOX2" s="37"/>
      <c r="JOY2" s="37"/>
      <c r="JOZ2" s="37"/>
      <c r="JPA2" s="37"/>
      <c r="JPB2" s="37"/>
      <c r="JPC2" s="37"/>
      <c r="JPD2" s="37"/>
      <c r="JPE2" s="37"/>
      <c r="JPF2" s="37"/>
      <c r="JPG2" s="37"/>
      <c r="JPH2" s="37"/>
      <c r="JPI2" s="37"/>
      <c r="JPJ2" s="37"/>
      <c r="JPK2" s="37"/>
      <c r="JPL2" s="37"/>
      <c r="JPM2" s="37"/>
      <c r="JPN2" s="37"/>
      <c r="JPO2" s="37"/>
      <c r="JPP2" s="37"/>
      <c r="JPQ2" s="37"/>
      <c r="JPR2" s="37"/>
      <c r="JPS2" s="37"/>
      <c r="JPT2" s="37"/>
      <c r="JPU2" s="37"/>
      <c r="JPV2" s="37"/>
      <c r="JPW2" s="37"/>
      <c r="JPX2" s="37"/>
      <c r="JPY2" s="37"/>
      <c r="JPZ2" s="37"/>
      <c r="JQA2" s="37"/>
      <c r="JQB2" s="37"/>
      <c r="JQC2" s="37"/>
      <c r="JQD2" s="37"/>
      <c r="JQE2" s="37"/>
      <c r="JQF2" s="37"/>
      <c r="JQG2" s="37"/>
      <c r="JQH2" s="37"/>
      <c r="JQI2" s="37"/>
      <c r="JQJ2" s="37"/>
      <c r="JQK2" s="37"/>
      <c r="JQL2" s="37"/>
      <c r="JQM2" s="37"/>
      <c r="JQN2" s="37"/>
      <c r="JQO2" s="37"/>
      <c r="JQP2" s="37"/>
      <c r="JQQ2" s="37"/>
      <c r="JQR2" s="37"/>
      <c r="JQS2" s="37"/>
      <c r="JQT2" s="37"/>
      <c r="JQU2" s="37"/>
      <c r="JQV2" s="37"/>
      <c r="JQW2" s="37"/>
      <c r="JQX2" s="37"/>
      <c r="JQY2" s="37"/>
      <c r="JQZ2" s="37"/>
      <c r="JRA2" s="37"/>
      <c r="JRB2" s="37"/>
      <c r="JRC2" s="37"/>
      <c r="JRD2" s="37"/>
      <c r="JRE2" s="37"/>
      <c r="JRF2" s="37"/>
      <c r="JRG2" s="37"/>
      <c r="JRH2" s="37"/>
      <c r="JRI2" s="37"/>
      <c r="JRJ2" s="37"/>
      <c r="JRK2" s="37"/>
      <c r="JRL2" s="37"/>
      <c r="JRM2" s="37"/>
      <c r="JRN2" s="37"/>
      <c r="JRO2" s="37"/>
      <c r="JRP2" s="37"/>
      <c r="JRQ2" s="37"/>
      <c r="JRR2" s="37"/>
      <c r="JRS2" s="37"/>
      <c r="JRT2" s="37"/>
      <c r="JRU2" s="37"/>
      <c r="JRV2" s="37"/>
      <c r="JRW2" s="37"/>
      <c r="JRX2" s="37"/>
      <c r="JRY2" s="37"/>
      <c r="JRZ2" s="37"/>
      <c r="JSA2" s="37"/>
      <c r="JSB2" s="37"/>
      <c r="JSC2" s="37"/>
      <c r="JSD2" s="37"/>
      <c r="JSE2" s="37"/>
      <c r="JSF2" s="37"/>
      <c r="JSG2" s="37"/>
      <c r="JSH2" s="37"/>
      <c r="JSI2" s="37"/>
      <c r="JSJ2" s="37"/>
      <c r="JSK2" s="37"/>
      <c r="JSL2" s="37"/>
      <c r="JSM2" s="37"/>
      <c r="JSN2" s="37"/>
      <c r="JSO2" s="37"/>
      <c r="JSP2" s="37"/>
      <c r="JSQ2" s="37"/>
      <c r="JSR2" s="37"/>
      <c r="JSS2" s="37"/>
      <c r="JST2" s="37"/>
      <c r="JSU2" s="37"/>
      <c r="JSV2" s="37"/>
      <c r="JSW2" s="37"/>
      <c r="JSX2" s="37"/>
      <c r="JSY2" s="37"/>
      <c r="JSZ2" s="37"/>
      <c r="JTA2" s="37"/>
      <c r="JTB2" s="37"/>
      <c r="JTC2" s="37"/>
      <c r="JTD2" s="37"/>
      <c r="JTE2" s="37"/>
      <c r="JTF2" s="37"/>
      <c r="JTG2" s="37"/>
      <c r="JTH2" s="37"/>
      <c r="JTI2" s="37"/>
      <c r="JTJ2" s="37"/>
      <c r="JTK2" s="37"/>
      <c r="JTL2" s="37"/>
      <c r="JTM2" s="37"/>
      <c r="JTN2" s="37"/>
      <c r="JTO2" s="37"/>
      <c r="JTP2" s="37"/>
      <c r="JTQ2" s="37"/>
      <c r="JTR2" s="37"/>
      <c r="JTS2" s="37"/>
      <c r="JTT2" s="37"/>
      <c r="JTU2" s="37"/>
      <c r="JTV2" s="37"/>
      <c r="JTW2" s="37"/>
      <c r="JTX2" s="37"/>
      <c r="JTY2" s="37"/>
      <c r="JTZ2" s="37"/>
      <c r="JUA2" s="37"/>
      <c r="JUB2" s="37"/>
      <c r="JUC2" s="37"/>
      <c r="JUD2" s="37"/>
      <c r="JUE2" s="37"/>
      <c r="JUF2" s="37"/>
      <c r="JUG2" s="37"/>
      <c r="JUH2" s="37"/>
      <c r="JUI2" s="37"/>
      <c r="JUJ2" s="37"/>
      <c r="JUK2" s="37"/>
      <c r="JUL2" s="37"/>
      <c r="JUM2" s="37"/>
      <c r="JUN2" s="37"/>
      <c r="JUO2" s="37"/>
      <c r="JUP2" s="37"/>
      <c r="JUQ2" s="37"/>
      <c r="JUR2" s="37"/>
      <c r="JUS2" s="37"/>
      <c r="JUT2" s="37"/>
      <c r="JUU2" s="37"/>
      <c r="JUV2" s="37"/>
      <c r="JUW2" s="37"/>
      <c r="JUX2" s="37"/>
      <c r="JUY2" s="37"/>
      <c r="JUZ2" s="37"/>
      <c r="JVA2" s="37"/>
      <c r="JVB2" s="37"/>
      <c r="JVC2" s="37"/>
      <c r="JVD2" s="37"/>
      <c r="JVE2" s="37"/>
      <c r="JVF2" s="37"/>
      <c r="JVG2" s="37"/>
      <c r="JVH2" s="37"/>
      <c r="JVI2" s="37"/>
      <c r="JVJ2" s="37"/>
      <c r="JVK2" s="37"/>
      <c r="JVL2" s="37"/>
      <c r="JVM2" s="37"/>
      <c r="JVN2" s="37"/>
      <c r="JVO2" s="37"/>
      <c r="JVP2" s="37"/>
      <c r="JVQ2" s="37"/>
      <c r="JVR2" s="37"/>
      <c r="JVS2" s="37"/>
      <c r="JVT2" s="37"/>
      <c r="JVU2" s="37"/>
      <c r="JVV2" s="37"/>
      <c r="JVW2" s="37"/>
      <c r="JVX2" s="37"/>
      <c r="JVY2" s="37"/>
      <c r="JVZ2" s="37"/>
      <c r="JWA2" s="37"/>
      <c r="JWB2" s="37"/>
      <c r="JWC2" s="37"/>
      <c r="JWD2" s="37"/>
      <c r="JWE2" s="37"/>
      <c r="JWF2" s="37"/>
      <c r="JWG2" s="37"/>
      <c r="JWH2" s="37"/>
      <c r="JWI2" s="37"/>
      <c r="JWJ2" s="37"/>
      <c r="JWK2" s="37"/>
      <c r="JWL2" s="37"/>
      <c r="JWM2" s="37"/>
      <c r="JWN2" s="37"/>
      <c r="JWO2" s="37"/>
      <c r="JWP2" s="37"/>
      <c r="JWQ2" s="37"/>
      <c r="JWR2" s="37"/>
      <c r="JWS2" s="37"/>
      <c r="JWT2" s="37"/>
      <c r="JWU2" s="37"/>
      <c r="JWV2" s="37"/>
      <c r="JWW2" s="37"/>
      <c r="JWX2" s="37"/>
      <c r="JWY2" s="37"/>
      <c r="JWZ2" s="37"/>
      <c r="JXA2" s="37"/>
      <c r="JXB2" s="37"/>
      <c r="JXC2" s="37"/>
      <c r="JXD2" s="37"/>
      <c r="JXE2" s="37"/>
      <c r="JXF2" s="37"/>
      <c r="JXG2" s="37"/>
      <c r="JXH2" s="37"/>
      <c r="JXI2" s="37"/>
      <c r="JXJ2" s="37"/>
      <c r="JXK2" s="37"/>
      <c r="JXL2" s="37"/>
      <c r="JXM2" s="37"/>
      <c r="JXN2" s="37"/>
      <c r="JXO2" s="37"/>
      <c r="JXP2" s="37"/>
      <c r="JXQ2" s="37"/>
      <c r="JXR2" s="37"/>
      <c r="JXS2" s="37"/>
      <c r="JXT2" s="37"/>
      <c r="JXU2" s="37"/>
      <c r="JXV2" s="37"/>
      <c r="JXW2" s="37"/>
      <c r="JXX2" s="37"/>
      <c r="JXY2" s="37"/>
      <c r="JXZ2" s="37"/>
      <c r="JYA2" s="37"/>
      <c r="JYB2" s="37"/>
      <c r="JYC2" s="37"/>
      <c r="JYD2" s="37"/>
      <c r="JYE2" s="37"/>
      <c r="JYF2" s="37"/>
      <c r="JYG2" s="37"/>
      <c r="JYH2" s="37"/>
      <c r="JYI2" s="37"/>
      <c r="JYJ2" s="37"/>
      <c r="JYK2" s="37"/>
      <c r="JYL2" s="37"/>
      <c r="JYM2" s="37"/>
      <c r="JYN2" s="37"/>
      <c r="JYO2" s="37"/>
      <c r="JYP2" s="37"/>
      <c r="JYQ2" s="37"/>
      <c r="JYR2" s="37"/>
      <c r="JYS2" s="37"/>
      <c r="JYT2" s="37"/>
      <c r="JYU2" s="37"/>
      <c r="JYV2" s="37"/>
      <c r="JYW2" s="37"/>
      <c r="JYX2" s="37"/>
      <c r="JYY2" s="37"/>
      <c r="JYZ2" s="37"/>
      <c r="JZA2" s="37"/>
      <c r="JZB2" s="37"/>
      <c r="JZC2" s="37"/>
      <c r="JZD2" s="37"/>
      <c r="JZE2" s="37"/>
      <c r="JZF2" s="37"/>
      <c r="JZG2" s="37"/>
      <c r="JZH2" s="37"/>
      <c r="JZI2" s="37"/>
      <c r="JZJ2" s="37"/>
      <c r="JZK2" s="37"/>
      <c r="JZL2" s="37"/>
      <c r="JZM2" s="37"/>
      <c r="JZN2" s="37"/>
      <c r="JZO2" s="37"/>
      <c r="JZP2" s="37"/>
      <c r="JZQ2" s="37"/>
      <c r="JZR2" s="37"/>
      <c r="JZS2" s="37"/>
      <c r="JZT2" s="37"/>
      <c r="JZU2" s="37"/>
      <c r="JZV2" s="37"/>
      <c r="JZW2" s="37"/>
      <c r="JZX2" s="37"/>
      <c r="JZY2" s="37"/>
      <c r="JZZ2" s="37"/>
      <c r="KAA2" s="37"/>
      <c r="KAB2" s="37"/>
      <c r="KAC2" s="37"/>
      <c r="KAD2" s="37"/>
      <c r="KAE2" s="37"/>
      <c r="KAF2" s="37"/>
      <c r="KAG2" s="37"/>
      <c r="KAH2" s="37"/>
      <c r="KAI2" s="37"/>
      <c r="KAJ2" s="37"/>
      <c r="KAK2" s="37"/>
      <c r="KAL2" s="37"/>
      <c r="KAM2" s="37"/>
      <c r="KAN2" s="37"/>
      <c r="KAO2" s="37"/>
      <c r="KAP2" s="37"/>
      <c r="KAQ2" s="37"/>
      <c r="KAR2" s="37"/>
      <c r="KAS2" s="37"/>
      <c r="KAT2" s="37"/>
      <c r="KAU2" s="37"/>
      <c r="KAV2" s="37"/>
      <c r="KAW2" s="37"/>
      <c r="KAX2" s="37"/>
      <c r="KAY2" s="37"/>
      <c r="KAZ2" s="37"/>
      <c r="KBA2" s="37"/>
      <c r="KBB2" s="37"/>
      <c r="KBC2" s="37"/>
      <c r="KBD2" s="37"/>
      <c r="KBE2" s="37"/>
      <c r="KBF2" s="37"/>
      <c r="KBG2" s="37"/>
      <c r="KBH2" s="37"/>
      <c r="KBI2" s="37"/>
      <c r="KBJ2" s="37"/>
      <c r="KBK2" s="37"/>
      <c r="KBL2" s="37"/>
      <c r="KBM2" s="37"/>
      <c r="KBN2" s="37"/>
      <c r="KBO2" s="37"/>
      <c r="KBP2" s="37"/>
      <c r="KBQ2" s="37"/>
      <c r="KBR2" s="37"/>
      <c r="KBS2" s="37"/>
      <c r="KBT2" s="37"/>
      <c r="KBU2" s="37"/>
      <c r="KBV2" s="37"/>
      <c r="KBW2" s="37"/>
      <c r="KBX2" s="37"/>
      <c r="KBY2" s="37"/>
      <c r="KBZ2" s="37"/>
      <c r="KCA2" s="37"/>
      <c r="KCB2" s="37"/>
      <c r="KCC2" s="37"/>
      <c r="KCD2" s="37"/>
      <c r="KCE2" s="37"/>
      <c r="KCF2" s="37"/>
      <c r="KCG2" s="37"/>
      <c r="KCH2" s="37"/>
      <c r="KCI2" s="37"/>
      <c r="KCJ2" s="37"/>
      <c r="KCK2" s="37"/>
      <c r="KCL2" s="37"/>
      <c r="KCM2" s="37"/>
      <c r="KCN2" s="37"/>
      <c r="KCO2" s="37"/>
      <c r="KCP2" s="37"/>
      <c r="KCQ2" s="37"/>
      <c r="KCR2" s="37"/>
      <c r="KCS2" s="37"/>
      <c r="KCT2" s="37"/>
      <c r="KCU2" s="37"/>
      <c r="KCV2" s="37"/>
      <c r="KCW2" s="37"/>
      <c r="KCX2" s="37"/>
      <c r="KCY2" s="37"/>
      <c r="KCZ2" s="37"/>
      <c r="KDA2" s="37"/>
      <c r="KDB2" s="37"/>
      <c r="KDC2" s="37"/>
      <c r="KDD2" s="37"/>
      <c r="KDE2" s="37"/>
      <c r="KDF2" s="37"/>
      <c r="KDG2" s="37"/>
      <c r="KDH2" s="37"/>
      <c r="KDI2" s="37"/>
      <c r="KDJ2" s="37"/>
      <c r="KDK2" s="37"/>
      <c r="KDL2" s="37"/>
      <c r="KDM2" s="37"/>
      <c r="KDN2" s="37"/>
      <c r="KDO2" s="37"/>
      <c r="KDP2" s="37"/>
      <c r="KDQ2" s="37"/>
      <c r="KDR2" s="37"/>
      <c r="KDS2" s="37"/>
      <c r="KDT2" s="37"/>
      <c r="KDU2" s="37"/>
      <c r="KDV2" s="37"/>
      <c r="KDW2" s="37"/>
      <c r="KDX2" s="37"/>
      <c r="KDY2" s="37"/>
      <c r="KDZ2" s="37"/>
      <c r="KEA2" s="37"/>
      <c r="KEB2" s="37"/>
      <c r="KEC2" s="37"/>
      <c r="KED2" s="37"/>
      <c r="KEE2" s="37"/>
      <c r="KEF2" s="37"/>
      <c r="KEG2" s="37"/>
      <c r="KEH2" s="37"/>
      <c r="KEI2" s="37"/>
      <c r="KEJ2" s="37"/>
      <c r="KEK2" s="37"/>
      <c r="KEL2" s="37"/>
      <c r="KEM2" s="37"/>
      <c r="KEN2" s="37"/>
      <c r="KEO2" s="37"/>
      <c r="KEP2" s="37"/>
      <c r="KEQ2" s="37"/>
      <c r="KER2" s="37"/>
      <c r="KES2" s="37"/>
      <c r="KET2" s="37"/>
      <c r="KEU2" s="37"/>
      <c r="KEV2" s="37"/>
      <c r="KEW2" s="37"/>
      <c r="KEX2" s="37"/>
      <c r="KEY2" s="37"/>
      <c r="KEZ2" s="37"/>
      <c r="KFA2" s="37"/>
      <c r="KFB2" s="37"/>
      <c r="KFC2" s="37"/>
      <c r="KFD2" s="37"/>
      <c r="KFE2" s="37"/>
      <c r="KFF2" s="37"/>
      <c r="KFG2" s="37"/>
      <c r="KFH2" s="37"/>
      <c r="KFI2" s="37"/>
      <c r="KFJ2" s="37"/>
      <c r="KFK2" s="37"/>
      <c r="KFL2" s="37"/>
      <c r="KFM2" s="37"/>
      <c r="KFN2" s="37"/>
      <c r="KFO2" s="37"/>
      <c r="KFP2" s="37"/>
      <c r="KFQ2" s="37"/>
      <c r="KFR2" s="37"/>
      <c r="KFS2" s="37"/>
      <c r="KFT2" s="37"/>
      <c r="KFU2" s="37"/>
      <c r="KFV2" s="37"/>
      <c r="KFW2" s="37"/>
      <c r="KFX2" s="37"/>
      <c r="KFY2" s="37"/>
      <c r="KFZ2" s="37"/>
      <c r="KGA2" s="37"/>
      <c r="KGB2" s="37"/>
      <c r="KGC2" s="37"/>
      <c r="KGD2" s="37"/>
      <c r="KGE2" s="37"/>
      <c r="KGF2" s="37"/>
      <c r="KGG2" s="37"/>
      <c r="KGH2" s="37"/>
      <c r="KGI2" s="37"/>
      <c r="KGJ2" s="37"/>
      <c r="KGK2" s="37"/>
      <c r="KGL2" s="37"/>
      <c r="KGM2" s="37"/>
      <c r="KGN2" s="37"/>
      <c r="KGO2" s="37"/>
      <c r="KGP2" s="37"/>
      <c r="KGQ2" s="37"/>
      <c r="KGR2" s="37"/>
      <c r="KGS2" s="37"/>
      <c r="KGT2" s="37"/>
      <c r="KGU2" s="37"/>
      <c r="KGV2" s="37"/>
      <c r="KGW2" s="37"/>
      <c r="KGX2" s="37"/>
      <c r="KGY2" s="37"/>
      <c r="KGZ2" s="37"/>
      <c r="KHA2" s="37"/>
      <c r="KHB2" s="37"/>
      <c r="KHC2" s="37"/>
      <c r="KHD2" s="37"/>
      <c r="KHE2" s="37"/>
      <c r="KHF2" s="37"/>
      <c r="KHG2" s="37"/>
      <c r="KHH2" s="37"/>
      <c r="KHI2" s="37"/>
      <c r="KHJ2" s="37"/>
      <c r="KHK2" s="37"/>
      <c r="KHL2" s="37"/>
      <c r="KHM2" s="37"/>
      <c r="KHN2" s="37"/>
      <c r="KHO2" s="37"/>
      <c r="KHP2" s="37"/>
      <c r="KHQ2" s="37"/>
      <c r="KHR2" s="37"/>
      <c r="KHS2" s="37"/>
      <c r="KHT2" s="37"/>
      <c r="KHU2" s="37"/>
      <c r="KHV2" s="37"/>
      <c r="KHW2" s="37"/>
      <c r="KHX2" s="37"/>
      <c r="KHY2" s="37"/>
      <c r="KHZ2" s="37"/>
      <c r="KIA2" s="37"/>
      <c r="KIB2" s="37"/>
      <c r="KIC2" s="37"/>
      <c r="KID2" s="37"/>
      <c r="KIE2" s="37"/>
      <c r="KIF2" s="37"/>
      <c r="KIG2" s="37"/>
      <c r="KIH2" s="37"/>
      <c r="KII2" s="37"/>
      <c r="KIJ2" s="37"/>
      <c r="KIK2" s="37"/>
      <c r="KIL2" s="37"/>
      <c r="KIM2" s="37"/>
      <c r="KIN2" s="37"/>
      <c r="KIO2" s="37"/>
      <c r="KIP2" s="37"/>
      <c r="KIQ2" s="37"/>
      <c r="KIR2" s="37"/>
      <c r="KIS2" s="37"/>
      <c r="KIT2" s="37"/>
      <c r="KIU2" s="37"/>
      <c r="KIV2" s="37"/>
      <c r="KIW2" s="37"/>
      <c r="KIX2" s="37"/>
      <c r="KIY2" s="37"/>
      <c r="KIZ2" s="37"/>
      <c r="KJA2" s="37"/>
      <c r="KJB2" s="37"/>
      <c r="KJC2" s="37"/>
      <c r="KJD2" s="37"/>
      <c r="KJE2" s="37"/>
      <c r="KJF2" s="37"/>
      <c r="KJG2" s="37"/>
      <c r="KJH2" s="37"/>
      <c r="KJI2" s="37"/>
      <c r="KJJ2" s="37"/>
      <c r="KJK2" s="37"/>
      <c r="KJL2" s="37"/>
      <c r="KJM2" s="37"/>
      <c r="KJN2" s="37"/>
      <c r="KJO2" s="37"/>
      <c r="KJP2" s="37"/>
      <c r="KJQ2" s="37"/>
      <c r="KJR2" s="37"/>
      <c r="KJS2" s="37"/>
      <c r="KJT2" s="37"/>
      <c r="KJU2" s="37"/>
      <c r="KJV2" s="37"/>
      <c r="KJW2" s="37"/>
      <c r="KJX2" s="37"/>
      <c r="KJY2" s="37"/>
      <c r="KJZ2" s="37"/>
      <c r="KKA2" s="37"/>
      <c r="KKB2" s="37"/>
      <c r="KKC2" s="37"/>
      <c r="KKD2" s="37"/>
      <c r="KKE2" s="37"/>
      <c r="KKF2" s="37"/>
      <c r="KKG2" s="37"/>
      <c r="KKH2" s="37"/>
      <c r="KKI2" s="37"/>
      <c r="KKJ2" s="37"/>
      <c r="KKK2" s="37"/>
      <c r="KKL2" s="37"/>
      <c r="KKM2" s="37"/>
      <c r="KKN2" s="37"/>
      <c r="KKO2" s="37"/>
      <c r="KKP2" s="37"/>
      <c r="KKQ2" s="37"/>
      <c r="KKR2" s="37"/>
      <c r="KKS2" s="37"/>
      <c r="KKT2" s="37"/>
      <c r="KKU2" s="37"/>
      <c r="KKV2" s="37"/>
      <c r="KKW2" s="37"/>
      <c r="KKX2" s="37"/>
      <c r="KKY2" s="37"/>
      <c r="KKZ2" s="37"/>
      <c r="KLA2" s="37"/>
      <c r="KLB2" s="37"/>
      <c r="KLC2" s="37"/>
      <c r="KLD2" s="37"/>
      <c r="KLE2" s="37"/>
      <c r="KLF2" s="37"/>
      <c r="KLG2" s="37"/>
      <c r="KLH2" s="37"/>
      <c r="KLI2" s="37"/>
      <c r="KLJ2" s="37"/>
      <c r="KLK2" s="37"/>
      <c r="KLL2" s="37"/>
      <c r="KLM2" s="37"/>
      <c r="KLN2" s="37"/>
      <c r="KLO2" s="37"/>
      <c r="KLP2" s="37"/>
      <c r="KLQ2" s="37"/>
      <c r="KLR2" s="37"/>
      <c r="KLS2" s="37"/>
      <c r="KLT2" s="37"/>
      <c r="KLU2" s="37"/>
      <c r="KLV2" s="37"/>
      <c r="KLW2" s="37"/>
      <c r="KLX2" s="37"/>
      <c r="KLY2" s="37"/>
      <c r="KLZ2" s="37"/>
      <c r="KMA2" s="37"/>
      <c r="KMB2" s="37"/>
      <c r="KMC2" s="37"/>
      <c r="KMD2" s="37"/>
      <c r="KME2" s="37"/>
      <c r="KMF2" s="37"/>
      <c r="KMG2" s="37"/>
      <c r="KMH2" s="37"/>
      <c r="KMI2" s="37"/>
      <c r="KMJ2" s="37"/>
      <c r="KMK2" s="37"/>
      <c r="KML2" s="37"/>
      <c r="KMM2" s="37"/>
      <c r="KMN2" s="37"/>
      <c r="KMO2" s="37"/>
      <c r="KMP2" s="37"/>
      <c r="KMQ2" s="37"/>
      <c r="KMR2" s="37"/>
      <c r="KMS2" s="37"/>
      <c r="KMT2" s="37"/>
      <c r="KMU2" s="37"/>
      <c r="KMV2" s="37"/>
      <c r="KMW2" s="37"/>
      <c r="KMX2" s="37"/>
      <c r="KMY2" s="37"/>
      <c r="KMZ2" s="37"/>
      <c r="KNA2" s="37"/>
      <c r="KNB2" s="37"/>
      <c r="KNC2" s="37"/>
      <c r="KND2" s="37"/>
      <c r="KNE2" s="37"/>
      <c r="KNF2" s="37"/>
      <c r="KNG2" s="37"/>
      <c r="KNH2" s="37"/>
      <c r="KNI2" s="37"/>
      <c r="KNJ2" s="37"/>
      <c r="KNK2" s="37"/>
      <c r="KNL2" s="37"/>
      <c r="KNM2" s="37"/>
      <c r="KNN2" s="37"/>
      <c r="KNO2" s="37"/>
      <c r="KNP2" s="37"/>
      <c r="KNQ2" s="37"/>
      <c r="KNR2" s="37"/>
      <c r="KNS2" s="37"/>
      <c r="KNT2" s="37"/>
      <c r="KNU2" s="37"/>
      <c r="KNV2" s="37"/>
      <c r="KNW2" s="37"/>
      <c r="KNX2" s="37"/>
      <c r="KNY2" s="37"/>
      <c r="KNZ2" s="37"/>
      <c r="KOA2" s="37"/>
      <c r="KOB2" s="37"/>
      <c r="KOC2" s="37"/>
      <c r="KOD2" s="37"/>
      <c r="KOE2" s="37"/>
      <c r="KOF2" s="37"/>
      <c r="KOG2" s="37"/>
      <c r="KOH2" s="37"/>
      <c r="KOI2" s="37"/>
      <c r="KOJ2" s="37"/>
      <c r="KOK2" s="37"/>
      <c r="KOL2" s="37"/>
      <c r="KOM2" s="37"/>
      <c r="KON2" s="37"/>
      <c r="KOO2" s="37"/>
      <c r="KOP2" s="37"/>
      <c r="KOQ2" s="37"/>
      <c r="KOR2" s="37"/>
      <c r="KOS2" s="37"/>
      <c r="KOT2" s="37"/>
      <c r="KOU2" s="37"/>
      <c r="KOV2" s="37"/>
      <c r="KOW2" s="37"/>
      <c r="KOX2" s="37"/>
      <c r="KOY2" s="37"/>
      <c r="KOZ2" s="37"/>
      <c r="KPA2" s="37"/>
      <c r="KPB2" s="37"/>
      <c r="KPC2" s="37"/>
      <c r="KPD2" s="37"/>
      <c r="KPE2" s="37"/>
      <c r="KPF2" s="37"/>
      <c r="KPG2" s="37"/>
      <c r="KPH2" s="37"/>
      <c r="KPI2" s="37"/>
      <c r="KPJ2" s="37"/>
      <c r="KPK2" s="37"/>
      <c r="KPL2" s="37"/>
      <c r="KPM2" s="37"/>
      <c r="KPN2" s="37"/>
      <c r="KPO2" s="37"/>
      <c r="KPP2" s="37"/>
      <c r="KPQ2" s="37"/>
      <c r="KPR2" s="37"/>
      <c r="KPS2" s="37"/>
      <c r="KPT2" s="37"/>
      <c r="KPU2" s="37"/>
      <c r="KPV2" s="37"/>
      <c r="KPW2" s="37"/>
      <c r="KPX2" s="37"/>
      <c r="KPY2" s="37"/>
      <c r="KPZ2" s="37"/>
      <c r="KQA2" s="37"/>
      <c r="KQB2" s="37"/>
      <c r="KQC2" s="37"/>
      <c r="KQD2" s="37"/>
      <c r="KQE2" s="37"/>
      <c r="KQF2" s="37"/>
      <c r="KQG2" s="37"/>
      <c r="KQH2" s="37"/>
      <c r="KQI2" s="37"/>
      <c r="KQJ2" s="37"/>
      <c r="KQK2" s="37"/>
      <c r="KQL2" s="37"/>
      <c r="KQM2" s="37"/>
      <c r="KQN2" s="37"/>
      <c r="KQO2" s="37"/>
      <c r="KQP2" s="37"/>
      <c r="KQQ2" s="37"/>
      <c r="KQR2" s="37"/>
      <c r="KQS2" s="37"/>
      <c r="KQT2" s="37"/>
      <c r="KQU2" s="37"/>
      <c r="KQV2" s="37"/>
      <c r="KQW2" s="37"/>
      <c r="KQX2" s="37"/>
      <c r="KQY2" s="37"/>
      <c r="KQZ2" s="37"/>
      <c r="KRA2" s="37"/>
      <c r="KRB2" s="37"/>
      <c r="KRC2" s="37"/>
      <c r="KRD2" s="37"/>
      <c r="KRE2" s="37"/>
      <c r="KRF2" s="37"/>
      <c r="KRG2" s="37"/>
      <c r="KRH2" s="37"/>
      <c r="KRI2" s="37"/>
      <c r="KRJ2" s="37"/>
      <c r="KRK2" s="37"/>
      <c r="KRL2" s="37"/>
      <c r="KRM2" s="37"/>
      <c r="KRN2" s="37"/>
      <c r="KRO2" s="37"/>
      <c r="KRP2" s="37"/>
      <c r="KRQ2" s="37"/>
      <c r="KRR2" s="37"/>
      <c r="KRS2" s="37"/>
      <c r="KRT2" s="37"/>
      <c r="KRU2" s="37"/>
      <c r="KRV2" s="37"/>
      <c r="KRW2" s="37"/>
      <c r="KRX2" s="37"/>
      <c r="KRY2" s="37"/>
      <c r="KRZ2" s="37"/>
      <c r="KSA2" s="37"/>
      <c r="KSB2" s="37"/>
      <c r="KSC2" s="37"/>
      <c r="KSD2" s="37"/>
      <c r="KSE2" s="37"/>
      <c r="KSF2" s="37"/>
      <c r="KSG2" s="37"/>
      <c r="KSH2" s="37"/>
      <c r="KSI2" s="37"/>
      <c r="KSJ2" s="37"/>
      <c r="KSK2" s="37"/>
      <c r="KSL2" s="37"/>
      <c r="KSM2" s="37"/>
      <c r="KSN2" s="37"/>
      <c r="KSO2" s="37"/>
      <c r="KSP2" s="37"/>
      <c r="KSQ2" s="37"/>
      <c r="KSR2" s="37"/>
      <c r="KSS2" s="37"/>
      <c r="KST2" s="37"/>
      <c r="KSU2" s="37"/>
      <c r="KSV2" s="37"/>
      <c r="KSW2" s="37"/>
      <c r="KSX2" s="37"/>
      <c r="KSY2" s="37"/>
      <c r="KSZ2" s="37"/>
      <c r="KTA2" s="37"/>
      <c r="KTB2" s="37"/>
      <c r="KTC2" s="37"/>
      <c r="KTD2" s="37"/>
      <c r="KTE2" s="37"/>
      <c r="KTF2" s="37"/>
      <c r="KTG2" s="37"/>
      <c r="KTH2" s="37"/>
      <c r="KTI2" s="37"/>
      <c r="KTJ2" s="37"/>
      <c r="KTK2" s="37"/>
      <c r="KTL2" s="37"/>
      <c r="KTM2" s="37"/>
      <c r="KTN2" s="37"/>
      <c r="KTO2" s="37"/>
      <c r="KTP2" s="37"/>
      <c r="KTQ2" s="37"/>
      <c r="KTR2" s="37"/>
      <c r="KTS2" s="37"/>
      <c r="KTT2" s="37"/>
      <c r="KTU2" s="37"/>
      <c r="KTV2" s="37"/>
      <c r="KTW2" s="37"/>
      <c r="KTX2" s="37"/>
      <c r="KTY2" s="37"/>
      <c r="KTZ2" s="37"/>
      <c r="KUA2" s="37"/>
      <c r="KUB2" s="37"/>
      <c r="KUC2" s="37"/>
      <c r="KUD2" s="37"/>
      <c r="KUE2" s="37"/>
      <c r="KUF2" s="37"/>
      <c r="KUG2" s="37"/>
      <c r="KUH2" s="37"/>
      <c r="KUI2" s="37"/>
      <c r="KUJ2" s="37"/>
      <c r="KUK2" s="37"/>
      <c r="KUL2" s="37"/>
      <c r="KUM2" s="37"/>
      <c r="KUN2" s="37"/>
      <c r="KUO2" s="37"/>
      <c r="KUP2" s="37"/>
      <c r="KUQ2" s="37"/>
      <c r="KUR2" s="37"/>
      <c r="KUS2" s="37"/>
      <c r="KUT2" s="37"/>
      <c r="KUU2" s="37"/>
      <c r="KUV2" s="37"/>
      <c r="KUW2" s="37"/>
      <c r="KUX2" s="37"/>
      <c r="KUY2" s="37"/>
      <c r="KUZ2" s="37"/>
      <c r="KVA2" s="37"/>
      <c r="KVB2" s="37"/>
      <c r="KVC2" s="37"/>
      <c r="KVD2" s="37"/>
      <c r="KVE2" s="37"/>
      <c r="KVF2" s="37"/>
      <c r="KVG2" s="37"/>
      <c r="KVH2" s="37"/>
      <c r="KVI2" s="37"/>
      <c r="KVJ2" s="37"/>
      <c r="KVK2" s="37"/>
      <c r="KVL2" s="37"/>
      <c r="KVM2" s="37"/>
      <c r="KVN2" s="37"/>
      <c r="KVO2" s="37"/>
      <c r="KVP2" s="37"/>
      <c r="KVQ2" s="37"/>
      <c r="KVR2" s="37"/>
      <c r="KVS2" s="37"/>
      <c r="KVT2" s="37"/>
      <c r="KVU2" s="37"/>
      <c r="KVV2" s="37"/>
      <c r="KVW2" s="37"/>
      <c r="KVX2" s="37"/>
      <c r="KVY2" s="37"/>
      <c r="KVZ2" s="37"/>
      <c r="KWA2" s="37"/>
      <c r="KWB2" s="37"/>
      <c r="KWC2" s="37"/>
      <c r="KWD2" s="37"/>
      <c r="KWE2" s="37"/>
      <c r="KWF2" s="37"/>
      <c r="KWG2" s="37"/>
      <c r="KWH2" s="37"/>
      <c r="KWI2" s="37"/>
      <c r="KWJ2" s="37"/>
      <c r="KWK2" s="37"/>
      <c r="KWL2" s="37"/>
      <c r="KWM2" s="37"/>
      <c r="KWN2" s="37"/>
      <c r="KWO2" s="37"/>
      <c r="KWP2" s="37"/>
      <c r="KWQ2" s="37"/>
      <c r="KWR2" s="37"/>
      <c r="KWS2" s="37"/>
      <c r="KWT2" s="37"/>
      <c r="KWU2" s="37"/>
      <c r="KWV2" s="37"/>
      <c r="KWW2" s="37"/>
      <c r="KWX2" s="37"/>
      <c r="KWY2" s="37"/>
      <c r="KWZ2" s="37"/>
      <c r="KXA2" s="37"/>
      <c r="KXB2" s="37"/>
      <c r="KXC2" s="37"/>
      <c r="KXD2" s="37"/>
      <c r="KXE2" s="37"/>
      <c r="KXF2" s="37"/>
      <c r="KXG2" s="37"/>
      <c r="KXH2" s="37"/>
      <c r="KXI2" s="37"/>
      <c r="KXJ2" s="37"/>
      <c r="KXK2" s="37"/>
      <c r="KXL2" s="37"/>
      <c r="KXM2" s="37"/>
      <c r="KXN2" s="37"/>
      <c r="KXO2" s="37"/>
      <c r="KXP2" s="37"/>
      <c r="KXQ2" s="37"/>
      <c r="KXR2" s="37"/>
      <c r="KXS2" s="37"/>
      <c r="KXT2" s="37"/>
      <c r="KXU2" s="37"/>
      <c r="KXV2" s="37"/>
      <c r="KXW2" s="37"/>
      <c r="KXX2" s="37"/>
      <c r="KXY2" s="37"/>
      <c r="KXZ2" s="37"/>
      <c r="KYA2" s="37"/>
      <c r="KYB2" s="37"/>
      <c r="KYC2" s="37"/>
      <c r="KYD2" s="37"/>
      <c r="KYE2" s="37"/>
      <c r="KYF2" s="37"/>
      <c r="KYG2" s="37"/>
      <c r="KYH2" s="37"/>
      <c r="KYI2" s="37"/>
      <c r="KYJ2" s="37"/>
      <c r="KYK2" s="37"/>
      <c r="KYL2" s="37"/>
      <c r="KYM2" s="37"/>
      <c r="KYN2" s="37"/>
      <c r="KYO2" s="37"/>
      <c r="KYP2" s="37"/>
      <c r="KYQ2" s="37"/>
      <c r="KYR2" s="37"/>
      <c r="KYS2" s="37"/>
      <c r="KYT2" s="37"/>
      <c r="KYU2" s="37"/>
      <c r="KYV2" s="37"/>
      <c r="KYW2" s="37"/>
      <c r="KYX2" s="37"/>
      <c r="KYY2" s="37"/>
      <c r="KYZ2" s="37"/>
      <c r="KZA2" s="37"/>
      <c r="KZB2" s="37"/>
      <c r="KZC2" s="37"/>
      <c r="KZD2" s="37"/>
      <c r="KZE2" s="37"/>
      <c r="KZF2" s="37"/>
      <c r="KZG2" s="37"/>
      <c r="KZH2" s="37"/>
      <c r="KZI2" s="37"/>
      <c r="KZJ2" s="37"/>
      <c r="KZK2" s="37"/>
      <c r="KZL2" s="37"/>
      <c r="KZM2" s="37"/>
      <c r="KZN2" s="37"/>
      <c r="KZO2" s="37"/>
      <c r="KZP2" s="37"/>
      <c r="KZQ2" s="37"/>
      <c r="KZR2" s="37"/>
      <c r="KZS2" s="37"/>
      <c r="KZT2" s="37"/>
      <c r="KZU2" s="37"/>
      <c r="KZV2" s="37"/>
      <c r="KZW2" s="37"/>
      <c r="KZX2" s="37"/>
      <c r="KZY2" s="37"/>
      <c r="KZZ2" s="37"/>
      <c r="LAA2" s="37"/>
      <c r="LAB2" s="37"/>
      <c r="LAC2" s="37"/>
      <c r="LAD2" s="37"/>
      <c r="LAE2" s="37"/>
      <c r="LAF2" s="37"/>
      <c r="LAG2" s="37"/>
      <c r="LAH2" s="37"/>
      <c r="LAI2" s="37"/>
      <c r="LAJ2" s="37"/>
      <c r="LAK2" s="37"/>
      <c r="LAL2" s="37"/>
      <c r="LAM2" s="37"/>
      <c r="LAN2" s="37"/>
      <c r="LAO2" s="37"/>
      <c r="LAP2" s="37"/>
      <c r="LAQ2" s="37"/>
      <c r="LAR2" s="37"/>
      <c r="LAS2" s="37"/>
      <c r="LAT2" s="37"/>
      <c r="LAU2" s="37"/>
      <c r="LAV2" s="37"/>
      <c r="LAW2" s="37"/>
      <c r="LAX2" s="37"/>
      <c r="LAY2" s="37"/>
      <c r="LAZ2" s="37"/>
      <c r="LBA2" s="37"/>
      <c r="LBB2" s="37"/>
      <c r="LBC2" s="37"/>
      <c r="LBD2" s="37"/>
      <c r="LBE2" s="37"/>
      <c r="LBF2" s="37"/>
      <c r="LBG2" s="37"/>
      <c r="LBH2" s="37"/>
      <c r="LBI2" s="37"/>
      <c r="LBJ2" s="37"/>
      <c r="LBK2" s="37"/>
      <c r="LBL2" s="37"/>
      <c r="LBM2" s="37"/>
      <c r="LBN2" s="37"/>
      <c r="LBO2" s="37"/>
      <c r="LBP2" s="37"/>
      <c r="LBQ2" s="37"/>
      <c r="LBR2" s="37"/>
      <c r="LBS2" s="37"/>
      <c r="LBT2" s="37"/>
      <c r="LBU2" s="37"/>
      <c r="LBV2" s="37"/>
      <c r="LBW2" s="37"/>
      <c r="LBX2" s="37"/>
      <c r="LBY2" s="37"/>
      <c r="LBZ2" s="37"/>
      <c r="LCA2" s="37"/>
      <c r="LCB2" s="37"/>
      <c r="LCC2" s="37"/>
      <c r="LCD2" s="37"/>
      <c r="LCE2" s="37"/>
      <c r="LCF2" s="37"/>
      <c r="LCG2" s="37"/>
      <c r="LCH2" s="37"/>
      <c r="LCI2" s="37"/>
      <c r="LCJ2" s="37"/>
      <c r="LCK2" s="37"/>
      <c r="LCL2" s="37"/>
      <c r="LCM2" s="37"/>
      <c r="LCN2" s="37"/>
      <c r="LCO2" s="37"/>
      <c r="LCP2" s="37"/>
      <c r="LCQ2" s="37"/>
      <c r="LCR2" s="37"/>
      <c r="LCS2" s="37"/>
      <c r="LCT2" s="37"/>
      <c r="LCU2" s="37"/>
      <c r="LCV2" s="37"/>
      <c r="LCW2" s="37"/>
      <c r="LCX2" s="37"/>
      <c r="LCY2" s="37"/>
      <c r="LCZ2" s="37"/>
      <c r="LDA2" s="37"/>
      <c r="LDB2" s="37"/>
      <c r="LDC2" s="37"/>
      <c r="LDD2" s="37"/>
      <c r="LDE2" s="37"/>
      <c r="LDF2" s="37"/>
      <c r="LDG2" s="37"/>
      <c r="LDH2" s="37"/>
      <c r="LDI2" s="37"/>
      <c r="LDJ2" s="37"/>
      <c r="LDK2" s="37"/>
      <c r="LDL2" s="37"/>
      <c r="LDM2" s="37"/>
      <c r="LDN2" s="37"/>
      <c r="LDO2" s="37"/>
      <c r="LDP2" s="37"/>
      <c r="LDQ2" s="37"/>
      <c r="LDR2" s="37"/>
      <c r="LDS2" s="37"/>
      <c r="LDT2" s="37"/>
      <c r="LDU2" s="37"/>
      <c r="LDV2" s="37"/>
      <c r="LDW2" s="37"/>
      <c r="LDX2" s="37"/>
      <c r="LDY2" s="37"/>
      <c r="LDZ2" s="37"/>
      <c r="LEA2" s="37"/>
      <c r="LEB2" s="37"/>
      <c r="LEC2" s="37"/>
      <c r="LED2" s="37"/>
      <c r="LEE2" s="37"/>
      <c r="LEF2" s="37"/>
      <c r="LEG2" s="37"/>
      <c r="LEH2" s="37"/>
      <c r="LEI2" s="37"/>
      <c r="LEJ2" s="37"/>
      <c r="LEK2" s="37"/>
      <c r="LEL2" s="37"/>
      <c r="LEM2" s="37"/>
      <c r="LEN2" s="37"/>
      <c r="LEO2" s="37"/>
      <c r="LEP2" s="37"/>
      <c r="LEQ2" s="37"/>
      <c r="LER2" s="37"/>
      <c r="LES2" s="37"/>
      <c r="LET2" s="37"/>
      <c r="LEU2" s="37"/>
      <c r="LEV2" s="37"/>
      <c r="LEW2" s="37"/>
      <c r="LEX2" s="37"/>
      <c r="LEY2" s="37"/>
      <c r="LEZ2" s="37"/>
      <c r="LFA2" s="37"/>
      <c r="LFB2" s="37"/>
      <c r="LFC2" s="37"/>
      <c r="LFD2" s="37"/>
      <c r="LFE2" s="37"/>
      <c r="LFF2" s="37"/>
      <c r="LFG2" s="37"/>
      <c r="LFH2" s="37"/>
      <c r="LFI2" s="37"/>
      <c r="LFJ2" s="37"/>
      <c r="LFK2" s="37"/>
      <c r="LFL2" s="37"/>
      <c r="LFM2" s="37"/>
      <c r="LFN2" s="37"/>
      <c r="LFO2" s="37"/>
      <c r="LFP2" s="37"/>
      <c r="LFQ2" s="37"/>
      <c r="LFR2" s="37"/>
      <c r="LFS2" s="37"/>
      <c r="LFT2" s="37"/>
      <c r="LFU2" s="37"/>
      <c r="LFV2" s="37"/>
      <c r="LFW2" s="37"/>
      <c r="LFX2" s="37"/>
      <c r="LFY2" s="37"/>
      <c r="LFZ2" s="37"/>
      <c r="LGA2" s="37"/>
      <c r="LGB2" s="37"/>
      <c r="LGC2" s="37"/>
      <c r="LGD2" s="37"/>
      <c r="LGE2" s="37"/>
      <c r="LGF2" s="37"/>
      <c r="LGG2" s="37"/>
      <c r="LGH2" s="37"/>
      <c r="LGI2" s="37"/>
      <c r="LGJ2" s="37"/>
      <c r="LGK2" s="37"/>
      <c r="LGL2" s="37"/>
      <c r="LGM2" s="37"/>
      <c r="LGN2" s="37"/>
      <c r="LGO2" s="37"/>
      <c r="LGP2" s="37"/>
      <c r="LGQ2" s="37"/>
      <c r="LGR2" s="37"/>
      <c r="LGS2" s="37"/>
      <c r="LGT2" s="37"/>
      <c r="LGU2" s="37"/>
      <c r="LGV2" s="37"/>
      <c r="LGW2" s="37"/>
      <c r="LGX2" s="37"/>
      <c r="LGY2" s="37"/>
      <c r="LGZ2" s="37"/>
      <c r="LHA2" s="37"/>
      <c r="LHB2" s="37"/>
      <c r="LHC2" s="37"/>
      <c r="LHD2" s="37"/>
      <c r="LHE2" s="37"/>
      <c r="LHF2" s="37"/>
      <c r="LHG2" s="37"/>
      <c r="LHH2" s="37"/>
      <c r="LHI2" s="37"/>
      <c r="LHJ2" s="37"/>
      <c r="LHK2" s="37"/>
      <c r="LHL2" s="37"/>
      <c r="LHM2" s="37"/>
      <c r="LHN2" s="37"/>
      <c r="LHO2" s="37"/>
      <c r="LHP2" s="37"/>
      <c r="LHQ2" s="37"/>
      <c r="LHR2" s="37"/>
      <c r="LHS2" s="37"/>
      <c r="LHT2" s="37"/>
      <c r="LHU2" s="37"/>
      <c r="LHV2" s="37"/>
      <c r="LHW2" s="37"/>
      <c r="LHX2" s="37"/>
      <c r="LHY2" s="37"/>
      <c r="LHZ2" s="37"/>
      <c r="LIA2" s="37"/>
      <c r="LIB2" s="37"/>
      <c r="LIC2" s="37"/>
      <c r="LID2" s="37"/>
      <c r="LIE2" s="37"/>
      <c r="LIF2" s="37"/>
      <c r="LIG2" s="37"/>
      <c r="LIH2" s="37"/>
      <c r="LII2" s="37"/>
      <c r="LIJ2" s="37"/>
      <c r="LIK2" s="37"/>
      <c r="LIL2" s="37"/>
      <c r="LIM2" s="37"/>
      <c r="LIN2" s="37"/>
      <c r="LIO2" s="37"/>
      <c r="LIP2" s="37"/>
      <c r="LIQ2" s="37"/>
      <c r="LIR2" s="37"/>
      <c r="LIS2" s="37"/>
      <c r="LIT2" s="37"/>
      <c r="LIU2" s="37"/>
      <c r="LIV2" s="37"/>
      <c r="LIW2" s="37"/>
      <c r="LIX2" s="37"/>
      <c r="LIY2" s="37"/>
      <c r="LIZ2" s="37"/>
      <c r="LJA2" s="37"/>
      <c r="LJB2" s="37"/>
      <c r="LJC2" s="37"/>
      <c r="LJD2" s="37"/>
      <c r="LJE2" s="37"/>
      <c r="LJF2" s="37"/>
      <c r="LJG2" s="37"/>
      <c r="LJH2" s="37"/>
      <c r="LJI2" s="37"/>
      <c r="LJJ2" s="37"/>
      <c r="LJK2" s="37"/>
      <c r="LJL2" s="37"/>
      <c r="LJM2" s="37"/>
      <c r="LJN2" s="37"/>
      <c r="LJO2" s="37"/>
      <c r="LJP2" s="37"/>
      <c r="LJQ2" s="37"/>
      <c r="LJR2" s="37"/>
      <c r="LJS2" s="37"/>
      <c r="LJT2" s="37"/>
      <c r="LJU2" s="37"/>
      <c r="LJV2" s="37"/>
      <c r="LJW2" s="37"/>
      <c r="LJX2" s="37"/>
      <c r="LJY2" s="37"/>
      <c r="LJZ2" s="37"/>
      <c r="LKA2" s="37"/>
      <c r="LKB2" s="37"/>
      <c r="LKC2" s="37"/>
      <c r="LKD2" s="37"/>
      <c r="LKE2" s="37"/>
      <c r="LKF2" s="37"/>
      <c r="LKG2" s="37"/>
      <c r="LKH2" s="37"/>
      <c r="LKI2" s="37"/>
      <c r="LKJ2" s="37"/>
      <c r="LKK2" s="37"/>
      <c r="LKL2" s="37"/>
      <c r="LKM2" s="37"/>
      <c r="LKN2" s="37"/>
      <c r="LKO2" s="37"/>
      <c r="LKP2" s="37"/>
      <c r="LKQ2" s="37"/>
      <c r="LKR2" s="37"/>
      <c r="LKS2" s="37"/>
      <c r="LKT2" s="37"/>
      <c r="LKU2" s="37"/>
      <c r="LKV2" s="37"/>
      <c r="LKW2" s="37"/>
      <c r="LKX2" s="37"/>
      <c r="LKY2" s="37"/>
      <c r="LKZ2" s="37"/>
      <c r="LLA2" s="37"/>
      <c r="LLB2" s="37"/>
      <c r="LLC2" s="37"/>
      <c r="LLD2" s="37"/>
      <c r="LLE2" s="37"/>
      <c r="LLF2" s="37"/>
      <c r="LLG2" s="37"/>
      <c r="LLH2" s="37"/>
      <c r="LLI2" s="37"/>
      <c r="LLJ2" s="37"/>
      <c r="LLK2" s="37"/>
      <c r="LLL2" s="37"/>
      <c r="LLM2" s="37"/>
      <c r="LLN2" s="37"/>
      <c r="LLO2" s="37"/>
      <c r="LLP2" s="37"/>
      <c r="LLQ2" s="37"/>
      <c r="LLR2" s="37"/>
      <c r="LLS2" s="37"/>
      <c r="LLT2" s="37"/>
      <c r="LLU2" s="37"/>
      <c r="LLV2" s="37"/>
      <c r="LLW2" s="37"/>
      <c r="LLX2" s="37"/>
      <c r="LLY2" s="37"/>
      <c r="LLZ2" s="37"/>
      <c r="LMA2" s="37"/>
      <c r="LMB2" s="37"/>
      <c r="LMC2" s="37"/>
      <c r="LMD2" s="37"/>
      <c r="LME2" s="37"/>
      <c r="LMF2" s="37"/>
      <c r="LMG2" s="37"/>
      <c r="LMH2" s="37"/>
      <c r="LMI2" s="37"/>
      <c r="LMJ2" s="37"/>
      <c r="LMK2" s="37"/>
      <c r="LML2" s="37"/>
      <c r="LMM2" s="37"/>
      <c r="LMN2" s="37"/>
      <c r="LMO2" s="37"/>
      <c r="LMP2" s="37"/>
      <c r="LMQ2" s="37"/>
      <c r="LMR2" s="37"/>
      <c r="LMS2" s="37"/>
      <c r="LMT2" s="37"/>
      <c r="LMU2" s="37"/>
      <c r="LMV2" s="37"/>
      <c r="LMW2" s="37"/>
      <c r="LMX2" s="37"/>
      <c r="LMY2" s="37"/>
      <c r="LMZ2" s="37"/>
      <c r="LNA2" s="37"/>
      <c r="LNB2" s="37"/>
      <c r="LNC2" s="37"/>
      <c r="LND2" s="37"/>
      <c r="LNE2" s="37"/>
      <c r="LNF2" s="37"/>
      <c r="LNG2" s="37"/>
      <c r="LNH2" s="37"/>
      <c r="LNI2" s="37"/>
      <c r="LNJ2" s="37"/>
      <c r="LNK2" s="37"/>
      <c r="LNL2" s="37"/>
      <c r="LNM2" s="37"/>
      <c r="LNN2" s="37"/>
      <c r="LNO2" s="37"/>
      <c r="LNP2" s="37"/>
      <c r="LNQ2" s="37"/>
      <c r="LNR2" s="37"/>
      <c r="LNS2" s="37"/>
      <c r="LNT2" s="37"/>
      <c r="LNU2" s="37"/>
      <c r="LNV2" s="37"/>
      <c r="LNW2" s="37"/>
      <c r="LNX2" s="37"/>
      <c r="LNY2" s="37"/>
      <c r="LNZ2" s="37"/>
      <c r="LOA2" s="37"/>
      <c r="LOB2" s="37"/>
      <c r="LOC2" s="37"/>
      <c r="LOD2" s="37"/>
      <c r="LOE2" s="37"/>
      <c r="LOF2" s="37"/>
      <c r="LOG2" s="37"/>
      <c r="LOH2" s="37"/>
      <c r="LOI2" s="37"/>
      <c r="LOJ2" s="37"/>
      <c r="LOK2" s="37"/>
      <c r="LOL2" s="37"/>
      <c r="LOM2" s="37"/>
      <c r="LON2" s="37"/>
      <c r="LOO2" s="37"/>
      <c r="LOP2" s="37"/>
      <c r="LOQ2" s="37"/>
      <c r="LOR2" s="37"/>
      <c r="LOS2" s="37"/>
      <c r="LOT2" s="37"/>
      <c r="LOU2" s="37"/>
      <c r="LOV2" s="37"/>
      <c r="LOW2" s="37"/>
      <c r="LOX2" s="37"/>
      <c r="LOY2" s="37"/>
      <c r="LOZ2" s="37"/>
      <c r="LPA2" s="37"/>
      <c r="LPB2" s="37"/>
      <c r="LPC2" s="37"/>
      <c r="LPD2" s="37"/>
      <c r="LPE2" s="37"/>
      <c r="LPF2" s="37"/>
      <c r="LPG2" s="37"/>
      <c r="LPH2" s="37"/>
      <c r="LPI2" s="37"/>
      <c r="LPJ2" s="37"/>
      <c r="LPK2" s="37"/>
      <c r="LPL2" s="37"/>
      <c r="LPM2" s="37"/>
      <c r="LPN2" s="37"/>
      <c r="LPO2" s="37"/>
      <c r="LPP2" s="37"/>
      <c r="LPQ2" s="37"/>
      <c r="LPR2" s="37"/>
      <c r="LPS2" s="37"/>
      <c r="LPT2" s="37"/>
      <c r="LPU2" s="37"/>
      <c r="LPV2" s="37"/>
      <c r="LPW2" s="37"/>
      <c r="LPX2" s="37"/>
      <c r="LPY2" s="37"/>
      <c r="LPZ2" s="37"/>
      <c r="LQA2" s="37"/>
      <c r="LQB2" s="37"/>
      <c r="LQC2" s="37"/>
      <c r="LQD2" s="37"/>
      <c r="LQE2" s="37"/>
      <c r="LQF2" s="37"/>
      <c r="LQG2" s="37"/>
      <c r="LQH2" s="37"/>
      <c r="LQI2" s="37"/>
      <c r="LQJ2" s="37"/>
      <c r="LQK2" s="37"/>
      <c r="LQL2" s="37"/>
      <c r="LQM2" s="37"/>
      <c r="LQN2" s="37"/>
      <c r="LQO2" s="37"/>
      <c r="LQP2" s="37"/>
      <c r="LQQ2" s="37"/>
      <c r="LQR2" s="37"/>
      <c r="LQS2" s="37"/>
      <c r="LQT2" s="37"/>
      <c r="LQU2" s="37"/>
      <c r="LQV2" s="37"/>
      <c r="LQW2" s="37"/>
      <c r="LQX2" s="37"/>
      <c r="LQY2" s="37"/>
      <c r="LQZ2" s="37"/>
      <c r="LRA2" s="37"/>
      <c r="LRB2" s="37"/>
      <c r="LRC2" s="37"/>
      <c r="LRD2" s="37"/>
      <c r="LRE2" s="37"/>
      <c r="LRF2" s="37"/>
      <c r="LRG2" s="37"/>
      <c r="LRH2" s="37"/>
      <c r="LRI2" s="37"/>
      <c r="LRJ2" s="37"/>
      <c r="LRK2" s="37"/>
      <c r="LRL2" s="37"/>
      <c r="LRM2" s="37"/>
      <c r="LRN2" s="37"/>
      <c r="LRO2" s="37"/>
      <c r="LRP2" s="37"/>
      <c r="LRQ2" s="37"/>
      <c r="LRR2" s="37"/>
      <c r="LRS2" s="37"/>
      <c r="LRT2" s="37"/>
      <c r="LRU2" s="37"/>
      <c r="LRV2" s="37"/>
      <c r="LRW2" s="37"/>
      <c r="LRX2" s="37"/>
      <c r="LRY2" s="37"/>
      <c r="LRZ2" s="37"/>
      <c r="LSA2" s="37"/>
      <c r="LSB2" s="37"/>
      <c r="LSC2" s="37"/>
      <c r="LSD2" s="37"/>
      <c r="LSE2" s="37"/>
      <c r="LSF2" s="37"/>
      <c r="LSG2" s="37"/>
      <c r="LSH2" s="37"/>
      <c r="LSI2" s="37"/>
      <c r="LSJ2" s="37"/>
      <c r="LSK2" s="37"/>
      <c r="LSL2" s="37"/>
      <c r="LSM2" s="37"/>
      <c r="LSN2" s="37"/>
      <c r="LSO2" s="37"/>
      <c r="LSP2" s="37"/>
      <c r="LSQ2" s="37"/>
      <c r="LSR2" s="37"/>
      <c r="LSS2" s="37"/>
      <c r="LST2" s="37"/>
      <c r="LSU2" s="37"/>
      <c r="LSV2" s="37"/>
      <c r="LSW2" s="37"/>
      <c r="LSX2" s="37"/>
      <c r="LSY2" s="37"/>
      <c r="LSZ2" s="37"/>
      <c r="LTA2" s="37"/>
      <c r="LTB2" s="37"/>
      <c r="LTC2" s="37"/>
      <c r="LTD2" s="37"/>
      <c r="LTE2" s="37"/>
      <c r="LTF2" s="37"/>
      <c r="LTG2" s="37"/>
      <c r="LTH2" s="37"/>
      <c r="LTI2" s="37"/>
      <c r="LTJ2" s="37"/>
      <c r="LTK2" s="37"/>
      <c r="LTL2" s="37"/>
      <c r="LTM2" s="37"/>
      <c r="LTN2" s="37"/>
      <c r="LTO2" s="37"/>
      <c r="LTP2" s="37"/>
      <c r="LTQ2" s="37"/>
      <c r="LTR2" s="37"/>
      <c r="LTS2" s="37"/>
      <c r="LTT2" s="37"/>
      <c r="LTU2" s="37"/>
      <c r="LTV2" s="37"/>
      <c r="LTW2" s="37"/>
      <c r="LTX2" s="37"/>
      <c r="LTY2" s="37"/>
      <c r="LTZ2" s="37"/>
      <c r="LUA2" s="37"/>
      <c r="LUB2" s="37"/>
      <c r="LUC2" s="37"/>
      <c r="LUD2" s="37"/>
      <c r="LUE2" s="37"/>
      <c r="LUF2" s="37"/>
      <c r="LUG2" s="37"/>
      <c r="LUH2" s="37"/>
      <c r="LUI2" s="37"/>
      <c r="LUJ2" s="37"/>
      <c r="LUK2" s="37"/>
      <c r="LUL2" s="37"/>
      <c r="LUM2" s="37"/>
      <c r="LUN2" s="37"/>
      <c r="LUO2" s="37"/>
      <c r="LUP2" s="37"/>
      <c r="LUQ2" s="37"/>
      <c r="LUR2" s="37"/>
      <c r="LUS2" s="37"/>
      <c r="LUT2" s="37"/>
      <c r="LUU2" s="37"/>
      <c r="LUV2" s="37"/>
      <c r="LUW2" s="37"/>
      <c r="LUX2" s="37"/>
      <c r="LUY2" s="37"/>
      <c r="LUZ2" s="37"/>
      <c r="LVA2" s="37"/>
      <c r="LVB2" s="37"/>
      <c r="LVC2" s="37"/>
      <c r="LVD2" s="37"/>
      <c r="LVE2" s="37"/>
      <c r="LVF2" s="37"/>
      <c r="LVG2" s="37"/>
      <c r="LVH2" s="37"/>
      <c r="LVI2" s="37"/>
      <c r="LVJ2" s="37"/>
      <c r="LVK2" s="37"/>
      <c r="LVL2" s="37"/>
      <c r="LVM2" s="37"/>
      <c r="LVN2" s="37"/>
      <c r="LVO2" s="37"/>
      <c r="LVP2" s="37"/>
      <c r="LVQ2" s="37"/>
      <c r="LVR2" s="37"/>
      <c r="LVS2" s="37"/>
      <c r="LVT2" s="37"/>
      <c r="LVU2" s="37"/>
      <c r="LVV2" s="37"/>
      <c r="LVW2" s="37"/>
      <c r="LVX2" s="37"/>
      <c r="LVY2" s="37"/>
      <c r="LVZ2" s="37"/>
      <c r="LWA2" s="37"/>
      <c r="LWB2" s="37"/>
      <c r="LWC2" s="37"/>
      <c r="LWD2" s="37"/>
      <c r="LWE2" s="37"/>
      <c r="LWF2" s="37"/>
      <c r="LWG2" s="37"/>
      <c r="LWH2" s="37"/>
      <c r="LWI2" s="37"/>
      <c r="LWJ2" s="37"/>
      <c r="LWK2" s="37"/>
      <c r="LWL2" s="37"/>
      <c r="LWM2" s="37"/>
      <c r="LWN2" s="37"/>
      <c r="LWO2" s="37"/>
      <c r="LWP2" s="37"/>
      <c r="LWQ2" s="37"/>
      <c r="LWR2" s="37"/>
      <c r="LWS2" s="37"/>
      <c r="LWT2" s="37"/>
      <c r="LWU2" s="37"/>
      <c r="LWV2" s="37"/>
      <c r="LWW2" s="37"/>
      <c r="LWX2" s="37"/>
      <c r="LWY2" s="37"/>
      <c r="LWZ2" s="37"/>
      <c r="LXA2" s="37"/>
      <c r="LXB2" s="37"/>
      <c r="LXC2" s="37"/>
      <c r="LXD2" s="37"/>
      <c r="LXE2" s="37"/>
      <c r="LXF2" s="37"/>
      <c r="LXG2" s="37"/>
      <c r="LXH2" s="37"/>
      <c r="LXI2" s="37"/>
      <c r="LXJ2" s="37"/>
      <c r="LXK2" s="37"/>
      <c r="LXL2" s="37"/>
      <c r="LXM2" s="37"/>
      <c r="LXN2" s="37"/>
      <c r="LXO2" s="37"/>
      <c r="LXP2" s="37"/>
      <c r="LXQ2" s="37"/>
      <c r="LXR2" s="37"/>
      <c r="LXS2" s="37"/>
      <c r="LXT2" s="37"/>
      <c r="LXU2" s="37"/>
      <c r="LXV2" s="37"/>
      <c r="LXW2" s="37"/>
      <c r="LXX2" s="37"/>
      <c r="LXY2" s="37"/>
      <c r="LXZ2" s="37"/>
      <c r="LYA2" s="37"/>
      <c r="LYB2" s="37"/>
      <c r="LYC2" s="37"/>
      <c r="LYD2" s="37"/>
      <c r="LYE2" s="37"/>
      <c r="LYF2" s="37"/>
      <c r="LYG2" s="37"/>
      <c r="LYH2" s="37"/>
      <c r="LYI2" s="37"/>
      <c r="LYJ2" s="37"/>
      <c r="LYK2" s="37"/>
      <c r="LYL2" s="37"/>
      <c r="LYM2" s="37"/>
      <c r="LYN2" s="37"/>
      <c r="LYO2" s="37"/>
      <c r="LYP2" s="37"/>
      <c r="LYQ2" s="37"/>
      <c r="LYR2" s="37"/>
      <c r="LYS2" s="37"/>
      <c r="LYT2" s="37"/>
      <c r="LYU2" s="37"/>
      <c r="LYV2" s="37"/>
      <c r="LYW2" s="37"/>
      <c r="LYX2" s="37"/>
      <c r="LYY2" s="37"/>
      <c r="LYZ2" s="37"/>
      <c r="LZA2" s="37"/>
      <c r="LZB2" s="37"/>
      <c r="LZC2" s="37"/>
      <c r="LZD2" s="37"/>
      <c r="LZE2" s="37"/>
      <c r="LZF2" s="37"/>
      <c r="LZG2" s="37"/>
      <c r="LZH2" s="37"/>
      <c r="LZI2" s="37"/>
      <c r="LZJ2" s="37"/>
      <c r="LZK2" s="37"/>
      <c r="LZL2" s="37"/>
      <c r="LZM2" s="37"/>
      <c r="LZN2" s="37"/>
      <c r="LZO2" s="37"/>
      <c r="LZP2" s="37"/>
      <c r="LZQ2" s="37"/>
      <c r="LZR2" s="37"/>
      <c r="LZS2" s="37"/>
      <c r="LZT2" s="37"/>
      <c r="LZU2" s="37"/>
      <c r="LZV2" s="37"/>
      <c r="LZW2" s="37"/>
      <c r="LZX2" s="37"/>
      <c r="LZY2" s="37"/>
      <c r="LZZ2" s="37"/>
      <c r="MAA2" s="37"/>
      <c r="MAB2" s="37"/>
      <c r="MAC2" s="37"/>
      <c r="MAD2" s="37"/>
      <c r="MAE2" s="37"/>
      <c r="MAF2" s="37"/>
      <c r="MAG2" s="37"/>
      <c r="MAH2" s="37"/>
      <c r="MAI2" s="37"/>
      <c r="MAJ2" s="37"/>
      <c r="MAK2" s="37"/>
      <c r="MAL2" s="37"/>
      <c r="MAM2" s="37"/>
      <c r="MAN2" s="37"/>
      <c r="MAO2" s="37"/>
      <c r="MAP2" s="37"/>
      <c r="MAQ2" s="37"/>
      <c r="MAR2" s="37"/>
      <c r="MAS2" s="37"/>
      <c r="MAT2" s="37"/>
      <c r="MAU2" s="37"/>
      <c r="MAV2" s="37"/>
      <c r="MAW2" s="37"/>
      <c r="MAX2" s="37"/>
      <c r="MAY2" s="37"/>
      <c r="MAZ2" s="37"/>
      <c r="MBA2" s="37"/>
      <c r="MBB2" s="37"/>
      <c r="MBC2" s="37"/>
      <c r="MBD2" s="37"/>
      <c r="MBE2" s="37"/>
      <c r="MBF2" s="37"/>
      <c r="MBG2" s="37"/>
      <c r="MBH2" s="37"/>
      <c r="MBI2" s="37"/>
      <c r="MBJ2" s="37"/>
      <c r="MBK2" s="37"/>
      <c r="MBL2" s="37"/>
      <c r="MBM2" s="37"/>
      <c r="MBN2" s="37"/>
      <c r="MBO2" s="37"/>
      <c r="MBP2" s="37"/>
      <c r="MBQ2" s="37"/>
      <c r="MBR2" s="37"/>
      <c r="MBS2" s="37"/>
      <c r="MBT2" s="37"/>
      <c r="MBU2" s="37"/>
      <c r="MBV2" s="37"/>
      <c r="MBW2" s="37"/>
      <c r="MBX2" s="37"/>
      <c r="MBY2" s="37"/>
      <c r="MBZ2" s="37"/>
      <c r="MCA2" s="37"/>
      <c r="MCB2" s="37"/>
      <c r="MCC2" s="37"/>
      <c r="MCD2" s="37"/>
      <c r="MCE2" s="37"/>
      <c r="MCF2" s="37"/>
      <c r="MCG2" s="37"/>
      <c r="MCH2" s="37"/>
      <c r="MCI2" s="37"/>
      <c r="MCJ2" s="37"/>
      <c r="MCK2" s="37"/>
      <c r="MCL2" s="37"/>
      <c r="MCM2" s="37"/>
      <c r="MCN2" s="37"/>
      <c r="MCO2" s="37"/>
      <c r="MCP2" s="37"/>
      <c r="MCQ2" s="37"/>
      <c r="MCR2" s="37"/>
      <c r="MCS2" s="37"/>
      <c r="MCT2" s="37"/>
      <c r="MCU2" s="37"/>
      <c r="MCV2" s="37"/>
      <c r="MCW2" s="37"/>
      <c r="MCX2" s="37"/>
      <c r="MCY2" s="37"/>
      <c r="MCZ2" s="37"/>
      <c r="MDA2" s="37"/>
      <c r="MDB2" s="37"/>
      <c r="MDC2" s="37"/>
      <c r="MDD2" s="37"/>
      <c r="MDE2" s="37"/>
      <c r="MDF2" s="37"/>
      <c r="MDG2" s="37"/>
      <c r="MDH2" s="37"/>
      <c r="MDI2" s="37"/>
      <c r="MDJ2" s="37"/>
      <c r="MDK2" s="37"/>
      <c r="MDL2" s="37"/>
      <c r="MDM2" s="37"/>
      <c r="MDN2" s="37"/>
      <c r="MDO2" s="37"/>
      <c r="MDP2" s="37"/>
      <c r="MDQ2" s="37"/>
      <c r="MDR2" s="37"/>
      <c r="MDS2" s="37"/>
      <c r="MDT2" s="37"/>
      <c r="MDU2" s="37"/>
      <c r="MDV2" s="37"/>
      <c r="MDW2" s="37"/>
      <c r="MDX2" s="37"/>
      <c r="MDY2" s="37"/>
      <c r="MDZ2" s="37"/>
      <c r="MEA2" s="37"/>
      <c r="MEB2" s="37"/>
      <c r="MEC2" s="37"/>
      <c r="MED2" s="37"/>
      <c r="MEE2" s="37"/>
      <c r="MEF2" s="37"/>
      <c r="MEG2" s="37"/>
      <c r="MEH2" s="37"/>
      <c r="MEI2" s="37"/>
      <c r="MEJ2" s="37"/>
      <c r="MEK2" s="37"/>
      <c r="MEL2" s="37"/>
      <c r="MEM2" s="37"/>
      <c r="MEN2" s="37"/>
      <c r="MEO2" s="37"/>
      <c r="MEP2" s="37"/>
      <c r="MEQ2" s="37"/>
      <c r="MER2" s="37"/>
      <c r="MES2" s="37"/>
      <c r="MET2" s="37"/>
      <c r="MEU2" s="37"/>
      <c r="MEV2" s="37"/>
      <c r="MEW2" s="37"/>
      <c r="MEX2" s="37"/>
      <c r="MEY2" s="37"/>
      <c r="MEZ2" s="37"/>
      <c r="MFA2" s="37"/>
      <c r="MFB2" s="37"/>
      <c r="MFC2" s="37"/>
      <c r="MFD2" s="37"/>
      <c r="MFE2" s="37"/>
      <c r="MFF2" s="37"/>
      <c r="MFG2" s="37"/>
      <c r="MFH2" s="37"/>
      <c r="MFI2" s="37"/>
      <c r="MFJ2" s="37"/>
      <c r="MFK2" s="37"/>
      <c r="MFL2" s="37"/>
      <c r="MFM2" s="37"/>
      <c r="MFN2" s="37"/>
      <c r="MFO2" s="37"/>
      <c r="MFP2" s="37"/>
      <c r="MFQ2" s="37"/>
      <c r="MFR2" s="37"/>
      <c r="MFS2" s="37"/>
      <c r="MFT2" s="37"/>
      <c r="MFU2" s="37"/>
      <c r="MFV2" s="37"/>
      <c r="MFW2" s="37"/>
      <c r="MFX2" s="37"/>
      <c r="MFY2" s="37"/>
      <c r="MFZ2" s="37"/>
      <c r="MGA2" s="37"/>
      <c r="MGB2" s="37"/>
      <c r="MGC2" s="37"/>
      <c r="MGD2" s="37"/>
      <c r="MGE2" s="37"/>
      <c r="MGF2" s="37"/>
      <c r="MGG2" s="37"/>
      <c r="MGH2" s="37"/>
      <c r="MGI2" s="37"/>
      <c r="MGJ2" s="37"/>
      <c r="MGK2" s="37"/>
      <c r="MGL2" s="37"/>
      <c r="MGM2" s="37"/>
      <c r="MGN2" s="37"/>
      <c r="MGO2" s="37"/>
      <c r="MGP2" s="37"/>
      <c r="MGQ2" s="37"/>
      <c r="MGR2" s="37"/>
      <c r="MGS2" s="37"/>
      <c r="MGT2" s="37"/>
      <c r="MGU2" s="37"/>
      <c r="MGV2" s="37"/>
      <c r="MGW2" s="37"/>
      <c r="MGX2" s="37"/>
      <c r="MGY2" s="37"/>
      <c r="MGZ2" s="37"/>
      <c r="MHA2" s="37"/>
      <c r="MHB2" s="37"/>
      <c r="MHC2" s="37"/>
      <c r="MHD2" s="37"/>
      <c r="MHE2" s="37"/>
      <c r="MHF2" s="37"/>
      <c r="MHG2" s="37"/>
      <c r="MHH2" s="37"/>
      <c r="MHI2" s="37"/>
      <c r="MHJ2" s="37"/>
      <c r="MHK2" s="37"/>
      <c r="MHL2" s="37"/>
      <c r="MHM2" s="37"/>
      <c r="MHN2" s="37"/>
      <c r="MHO2" s="37"/>
      <c r="MHP2" s="37"/>
      <c r="MHQ2" s="37"/>
      <c r="MHR2" s="37"/>
      <c r="MHS2" s="37"/>
      <c r="MHT2" s="37"/>
      <c r="MHU2" s="37"/>
      <c r="MHV2" s="37"/>
      <c r="MHW2" s="37"/>
      <c r="MHX2" s="37"/>
      <c r="MHY2" s="37"/>
      <c r="MHZ2" s="37"/>
      <c r="MIA2" s="37"/>
      <c r="MIB2" s="37"/>
      <c r="MIC2" s="37"/>
      <c r="MID2" s="37"/>
      <c r="MIE2" s="37"/>
      <c r="MIF2" s="37"/>
      <c r="MIG2" s="37"/>
      <c r="MIH2" s="37"/>
      <c r="MII2" s="37"/>
      <c r="MIJ2" s="37"/>
      <c r="MIK2" s="37"/>
      <c r="MIL2" s="37"/>
      <c r="MIM2" s="37"/>
      <c r="MIN2" s="37"/>
      <c r="MIO2" s="37"/>
      <c r="MIP2" s="37"/>
      <c r="MIQ2" s="37"/>
      <c r="MIR2" s="37"/>
      <c r="MIS2" s="37"/>
      <c r="MIT2" s="37"/>
      <c r="MIU2" s="37"/>
      <c r="MIV2" s="37"/>
      <c r="MIW2" s="37"/>
      <c r="MIX2" s="37"/>
      <c r="MIY2" s="37"/>
      <c r="MIZ2" s="37"/>
      <c r="MJA2" s="37"/>
      <c r="MJB2" s="37"/>
      <c r="MJC2" s="37"/>
      <c r="MJD2" s="37"/>
      <c r="MJE2" s="37"/>
      <c r="MJF2" s="37"/>
      <c r="MJG2" s="37"/>
      <c r="MJH2" s="37"/>
      <c r="MJI2" s="37"/>
      <c r="MJJ2" s="37"/>
      <c r="MJK2" s="37"/>
      <c r="MJL2" s="37"/>
      <c r="MJM2" s="37"/>
      <c r="MJN2" s="37"/>
      <c r="MJO2" s="37"/>
      <c r="MJP2" s="37"/>
      <c r="MJQ2" s="37"/>
      <c r="MJR2" s="37"/>
      <c r="MJS2" s="37"/>
      <c r="MJT2" s="37"/>
      <c r="MJU2" s="37"/>
      <c r="MJV2" s="37"/>
      <c r="MJW2" s="37"/>
      <c r="MJX2" s="37"/>
      <c r="MJY2" s="37"/>
      <c r="MJZ2" s="37"/>
      <c r="MKA2" s="37"/>
      <c r="MKB2" s="37"/>
      <c r="MKC2" s="37"/>
      <c r="MKD2" s="37"/>
      <c r="MKE2" s="37"/>
      <c r="MKF2" s="37"/>
      <c r="MKG2" s="37"/>
      <c r="MKH2" s="37"/>
      <c r="MKI2" s="37"/>
      <c r="MKJ2" s="37"/>
      <c r="MKK2" s="37"/>
      <c r="MKL2" s="37"/>
      <c r="MKM2" s="37"/>
      <c r="MKN2" s="37"/>
      <c r="MKO2" s="37"/>
      <c r="MKP2" s="37"/>
      <c r="MKQ2" s="37"/>
      <c r="MKR2" s="37"/>
      <c r="MKS2" s="37"/>
      <c r="MKT2" s="37"/>
      <c r="MKU2" s="37"/>
      <c r="MKV2" s="37"/>
      <c r="MKW2" s="37"/>
      <c r="MKX2" s="37"/>
      <c r="MKY2" s="37"/>
      <c r="MKZ2" s="37"/>
      <c r="MLA2" s="37"/>
      <c r="MLB2" s="37"/>
      <c r="MLC2" s="37"/>
      <c r="MLD2" s="37"/>
      <c r="MLE2" s="37"/>
      <c r="MLF2" s="37"/>
      <c r="MLG2" s="37"/>
      <c r="MLH2" s="37"/>
      <c r="MLI2" s="37"/>
      <c r="MLJ2" s="37"/>
      <c r="MLK2" s="37"/>
      <c r="MLL2" s="37"/>
      <c r="MLM2" s="37"/>
      <c r="MLN2" s="37"/>
      <c r="MLO2" s="37"/>
      <c r="MLP2" s="37"/>
      <c r="MLQ2" s="37"/>
      <c r="MLR2" s="37"/>
      <c r="MLS2" s="37"/>
      <c r="MLT2" s="37"/>
      <c r="MLU2" s="37"/>
      <c r="MLV2" s="37"/>
      <c r="MLW2" s="37"/>
      <c r="MLX2" s="37"/>
      <c r="MLY2" s="37"/>
      <c r="MLZ2" s="37"/>
      <c r="MMA2" s="37"/>
      <c r="MMB2" s="37"/>
      <c r="MMC2" s="37"/>
      <c r="MMD2" s="37"/>
      <c r="MME2" s="37"/>
      <c r="MMF2" s="37"/>
      <c r="MMG2" s="37"/>
      <c r="MMH2" s="37"/>
      <c r="MMI2" s="37"/>
      <c r="MMJ2" s="37"/>
      <c r="MMK2" s="37"/>
      <c r="MML2" s="37"/>
      <c r="MMM2" s="37"/>
      <c r="MMN2" s="37"/>
      <c r="MMO2" s="37"/>
      <c r="MMP2" s="37"/>
      <c r="MMQ2" s="37"/>
      <c r="MMR2" s="37"/>
      <c r="MMS2" s="37"/>
      <c r="MMT2" s="37"/>
      <c r="MMU2" s="37"/>
      <c r="MMV2" s="37"/>
      <c r="MMW2" s="37"/>
      <c r="MMX2" s="37"/>
      <c r="MMY2" s="37"/>
      <c r="MMZ2" s="37"/>
      <c r="MNA2" s="37"/>
      <c r="MNB2" s="37"/>
      <c r="MNC2" s="37"/>
      <c r="MND2" s="37"/>
      <c r="MNE2" s="37"/>
      <c r="MNF2" s="37"/>
      <c r="MNG2" s="37"/>
      <c r="MNH2" s="37"/>
      <c r="MNI2" s="37"/>
      <c r="MNJ2" s="37"/>
      <c r="MNK2" s="37"/>
      <c r="MNL2" s="37"/>
      <c r="MNM2" s="37"/>
      <c r="MNN2" s="37"/>
      <c r="MNO2" s="37"/>
      <c r="MNP2" s="37"/>
      <c r="MNQ2" s="37"/>
      <c r="MNR2" s="37"/>
      <c r="MNS2" s="37"/>
      <c r="MNT2" s="37"/>
      <c r="MNU2" s="37"/>
      <c r="MNV2" s="37"/>
      <c r="MNW2" s="37"/>
      <c r="MNX2" s="37"/>
      <c r="MNY2" s="37"/>
      <c r="MNZ2" s="37"/>
      <c r="MOA2" s="37"/>
      <c r="MOB2" s="37"/>
      <c r="MOC2" s="37"/>
      <c r="MOD2" s="37"/>
      <c r="MOE2" s="37"/>
      <c r="MOF2" s="37"/>
      <c r="MOG2" s="37"/>
      <c r="MOH2" s="37"/>
      <c r="MOI2" s="37"/>
      <c r="MOJ2" s="37"/>
      <c r="MOK2" s="37"/>
      <c r="MOL2" s="37"/>
      <c r="MOM2" s="37"/>
      <c r="MON2" s="37"/>
      <c r="MOO2" s="37"/>
      <c r="MOP2" s="37"/>
      <c r="MOQ2" s="37"/>
      <c r="MOR2" s="37"/>
      <c r="MOS2" s="37"/>
      <c r="MOT2" s="37"/>
      <c r="MOU2" s="37"/>
      <c r="MOV2" s="37"/>
      <c r="MOW2" s="37"/>
      <c r="MOX2" s="37"/>
      <c r="MOY2" s="37"/>
      <c r="MOZ2" s="37"/>
      <c r="MPA2" s="37"/>
      <c r="MPB2" s="37"/>
      <c r="MPC2" s="37"/>
      <c r="MPD2" s="37"/>
      <c r="MPE2" s="37"/>
      <c r="MPF2" s="37"/>
      <c r="MPG2" s="37"/>
      <c r="MPH2" s="37"/>
      <c r="MPI2" s="37"/>
      <c r="MPJ2" s="37"/>
      <c r="MPK2" s="37"/>
      <c r="MPL2" s="37"/>
      <c r="MPM2" s="37"/>
      <c r="MPN2" s="37"/>
      <c r="MPO2" s="37"/>
      <c r="MPP2" s="37"/>
      <c r="MPQ2" s="37"/>
      <c r="MPR2" s="37"/>
      <c r="MPS2" s="37"/>
      <c r="MPT2" s="37"/>
      <c r="MPU2" s="37"/>
      <c r="MPV2" s="37"/>
      <c r="MPW2" s="37"/>
      <c r="MPX2" s="37"/>
      <c r="MPY2" s="37"/>
      <c r="MPZ2" s="37"/>
      <c r="MQA2" s="37"/>
      <c r="MQB2" s="37"/>
      <c r="MQC2" s="37"/>
      <c r="MQD2" s="37"/>
      <c r="MQE2" s="37"/>
      <c r="MQF2" s="37"/>
      <c r="MQG2" s="37"/>
      <c r="MQH2" s="37"/>
      <c r="MQI2" s="37"/>
      <c r="MQJ2" s="37"/>
      <c r="MQK2" s="37"/>
      <c r="MQL2" s="37"/>
      <c r="MQM2" s="37"/>
      <c r="MQN2" s="37"/>
      <c r="MQO2" s="37"/>
      <c r="MQP2" s="37"/>
      <c r="MQQ2" s="37"/>
      <c r="MQR2" s="37"/>
      <c r="MQS2" s="37"/>
      <c r="MQT2" s="37"/>
      <c r="MQU2" s="37"/>
      <c r="MQV2" s="37"/>
      <c r="MQW2" s="37"/>
      <c r="MQX2" s="37"/>
      <c r="MQY2" s="37"/>
      <c r="MQZ2" s="37"/>
      <c r="MRA2" s="37"/>
      <c r="MRB2" s="37"/>
      <c r="MRC2" s="37"/>
      <c r="MRD2" s="37"/>
      <c r="MRE2" s="37"/>
      <c r="MRF2" s="37"/>
      <c r="MRG2" s="37"/>
      <c r="MRH2" s="37"/>
      <c r="MRI2" s="37"/>
      <c r="MRJ2" s="37"/>
      <c r="MRK2" s="37"/>
      <c r="MRL2" s="37"/>
      <c r="MRM2" s="37"/>
      <c r="MRN2" s="37"/>
      <c r="MRO2" s="37"/>
      <c r="MRP2" s="37"/>
      <c r="MRQ2" s="37"/>
      <c r="MRR2" s="37"/>
      <c r="MRS2" s="37"/>
      <c r="MRT2" s="37"/>
      <c r="MRU2" s="37"/>
      <c r="MRV2" s="37"/>
      <c r="MRW2" s="37"/>
      <c r="MRX2" s="37"/>
      <c r="MRY2" s="37"/>
      <c r="MRZ2" s="37"/>
      <c r="MSA2" s="37"/>
      <c r="MSB2" s="37"/>
      <c r="MSC2" s="37"/>
      <c r="MSD2" s="37"/>
      <c r="MSE2" s="37"/>
      <c r="MSF2" s="37"/>
      <c r="MSG2" s="37"/>
      <c r="MSH2" s="37"/>
      <c r="MSI2" s="37"/>
      <c r="MSJ2" s="37"/>
      <c r="MSK2" s="37"/>
      <c r="MSL2" s="37"/>
      <c r="MSM2" s="37"/>
      <c r="MSN2" s="37"/>
      <c r="MSO2" s="37"/>
      <c r="MSP2" s="37"/>
      <c r="MSQ2" s="37"/>
      <c r="MSR2" s="37"/>
      <c r="MSS2" s="37"/>
      <c r="MST2" s="37"/>
      <c r="MSU2" s="37"/>
      <c r="MSV2" s="37"/>
      <c r="MSW2" s="37"/>
      <c r="MSX2" s="37"/>
      <c r="MSY2" s="37"/>
      <c r="MSZ2" s="37"/>
      <c r="MTA2" s="37"/>
      <c r="MTB2" s="37"/>
      <c r="MTC2" s="37"/>
      <c r="MTD2" s="37"/>
      <c r="MTE2" s="37"/>
      <c r="MTF2" s="37"/>
      <c r="MTG2" s="37"/>
      <c r="MTH2" s="37"/>
      <c r="MTI2" s="37"/>
      <c r="MTJ2" s="37"/>
      <c r="MTK2" s="37"/>
      <c r="MTL2" s="37"/>
      <c r="MTM2" s="37"/>
      <c r="MTN2" s="37"/>
      <c r="MTO2" s="37"/>
      <c r="MTP2" s="37"/>
      <c r="MTQ2" s="37"/>
      <c r="MTR2" s="37"/>
      <c r="MTS2" s="37"/>
      <c r="MTT2" s="37"/>
      <c r="MTU2" s="37"/>
      <c r="MTV2" s="37"/>
      <c r="MTW2" s="37"/>
      <c r="MTX2" s="37"/>
      <c r="MTY2" s="37"/>
      <c r="MTZ2" s="37"/>
      <c r="MUA2" s="37"/>
      <c r="MUB2" s="37"/>
      <c r="MUC2" s="37"/>
      <c r="MUD2" s="37"/>
      <c r="MUE2" s="37"/>
      <c r="MUF2" s="37"/>
      <c r="MUG2" s="37"/>
      <c r="MUH2" s="37"/>
      <c r="MUI2" s="37"/>
      <c r="MUJ2" s="37"/>
      <c r="MUK2" s="37"/>
      <c r="MUL2" s="37"/>
      <c r="MUM2" s="37"/>
      <c r="MUN2" s="37"/>
      <c r="MUO2" s="37"/>
      <c r="MUP2" s="37"/>
      <c r="MUQ2" s="37"/>
      <c r="MUR2" s="37"/>
      <c r="MUS2" s="37"/>
      <c r="MUT2" s="37"/>
      <c r="MUU2" s="37"/>
      <c r="MUV2" s="37"/>
      <c r="MUW2" s="37"/>
      <c r="MUX2" s="37"/>
      <c r="MUY2" s="37"/>
      <c r="MUZ2" s="37"/>
      <c r="MVA2" s="37"/>
      <c r="MVB2" s="37"/>
      <c r="MVC2" s="37"/>
      <c r="MVD2" s="37"/>
      <c r="MVE2" s="37"/>
      <c r="MVF2" s="37"/>
      <c r="MVG2" s="37"/>
      <c r="MVH2" s="37"/>
      <c r="MVI2" s="37"/>
      <c r="MVJ2" s="37"/>
      <c r="MVK2" s="37"/>
      <c r="MVL2" s="37"/>
      <c r="MVM2" s="37"/>
      <c r="MVN2" s="37"/>
      <c r="MVO2" s="37"/>
      <c r="MVP2" s="37"/>
      <c r="MVQ2" s="37"/>
      <c r="MVR2" s="37"/>
      <c r="MVS2" s="37"/>
      <c r="MVT2" s="37"/>
      <c r="MVU2" s="37"/>
      <c r="MVV2" s="37"/>
      <c r="MVW2" s="37"/>
      <c r="MVX2" s="37"/>
      <c r="MVY2" s="37"/>
      <c r="MVZ2" s="37"/>
      <c r="MWA2" s="37"/>
      <c r="MWB2" s="37"/>
      <c r="MWC2" s="37"/>
      <c r="MWD2" s="37"/>
      <c r="MWE2" s="37"/>
      <c r="MWF2" s="37"/>
      <c r="MWG2" s="37"/>
      <c r="MWH2" s="37"/>
      <c r="MWI2" s="37"/>
      <c r="MWJ2" s="37"/>
      <c r="MWK2" s="37"/>
      <c r="MWL2" s="37"/>
      <c r="MWM2" s="37"/>
      <c r="MWN2" s="37"/>
      <c r="MWO2" s="37"/>
      <c r="MWP2" s="37"/>
      <c r="MWQ2" s="37"/>
      <c r="MWR2" s="37"/>
      <c r="MWS2" s="37"/>
      <c r="MWT2" s="37"/>
      <c r="MWU2" s="37"/>
      <c r="MWV2" s="37"/>
      <c r="MWW2" s="37"/>
      <c r="MWX2" s="37"/>
      <c r="MWY2" s="37"/>
      <c r="MWZ2" s="37"/>
      <c r="MXA2" s="37"/>
      <c r="MXB2" s="37"/>
      <c r="MXC2" s="37"/>
      <c r="MXD2" s="37"/>
      <c r="MXE2" s="37"/>
      <c r="MXF2" s="37"/>
      <c r="MXG2" s="37"/>
      <c r="MXH2" s="37"/>
      <c r="MXI2" s="37"/>
      <c r="MXJ2" s="37"/>
      <c r="MXK2" s="37"/>
      <c r="MXL2" s="37"/>
      <c r="MXM2" s="37"/>
      <c r="MXN2" s="37"/>
      <c r="MXO2" s="37"/>
      <c r="MXP2" s="37"/>
      <c r="MXQ2" s="37"/>
      <c r="MXR2" s="37"/>
      <c r="MXS2" s="37"/>
      <c r="MXT2" s="37"/>
      <c r="MXU2" s="37"/>
      <c r="MXV2" s="37"/>
      <c r="MXW2" s="37"/>
      <c r="MXX2" s="37"/>
      <c r="MXY2" s="37"/>
      <c r="MXZ2" s="37"/>
      <c r="MYA2" s="37"/>
      <c r="MYB2" s="37"/>
      <c r="MYC2" s="37"/>
      <c r="MYD2" s="37"/>
      <c r="MYE2" s="37"/>
      <c r="MYF2" s="37"/>
      <c r="MYG2" s="37"/>
      <c r="MYH2" s="37"/>
      <c r="MYI2" s="37"/>
      <c r="MYJ2" s="37"/>
      <c r="MYK2" s="37"/>
      <c r="MYL2" s="37"/>
      <c r="MYM2" s="37"/>
      <c r="MYN2" s="37"/>
      <c r="MYO2" s="37"/>
      <c r="MYP2" s="37"/>
      <c r="MYQ2" s="37"/>
      <c r="MYR2" s="37"/>
      <c r="MYS2" s="37"/>
      <c r="MYT2" s="37"/>
      <c r="MYU2" s="37"/>
      <c r="MYV2" s="37"/>
      <c r="MYW2" s="37"/>
      <c r="MYX2" s="37"/>
      <c r="MYY2" s="37"/>
      <c r="MYZ2" s="37"/>
      <c r="MZA2" s="37"/>
      <c r="MZB2" s="37"/>
      <c r="MZC2" s="37"/>
      <c r="MZD2" s="37"/>
      <c r="MZE2" s="37"/>
      <c r="MZF2" s="37"/>
      <c r="MZG2" s="37"/>
      <c r="MZH2" s="37"/>
      <c r="MZI2" s="37"/>
      <c r="MZJ2" s="37"/>
      <c r="MZK2" s="37"/>
      <c r="MZL2" s="37"/>
      <c r="MZM2" s="37"/>
      <c r="MZN2" s="37"/>
      <c r="MZO2" s="37"/>
      <c r="MZP2" s="37"/>
      <c r="MZQ2" s="37"/>
      <c r="MZR2" s="37"/>
      <c r="MZS2" s="37"/>
      <c r="MZT2" s="37"/>
      <c r="MZU2" s="37"/>
      <c r="MZV2" s="37"/>
      <c r="MZW2" s="37"/>
      <c r="MZX2" s="37"/>
      <c r="MZY2" s="37"/>
      <c r="MZZ2" s="37"/>
      <c r="NAA2" s="37"/>
      <c r="NAB2" s="37"/>
      <c r="NAC2" s="37"/>
      <c r="NAD2" s="37"/>
      <c r="NAE2" s="37"/>
      <c r="NAF2" s="37"/>
      <c r="NAG2" s="37"/>
      <c r="NAH2" s="37"/>
      <c r="NAI2" s="37"/>
      <c r="NAJ2" s="37"/>
      <c r="NAK2" s="37"/>
      <c r="NAL2" s="37"/>
      <c r="NAM2" s="37"/>
      <c r="NAN2" s="37"/>
      <c r="NAO2" s="37"/>
      <c r="NAP2" s="37"/>
      <c r="NAQ2" s="37"/>
      <c r="NAR2" s="37"/>
      <c r="NAS2" s="37"/>
      <c r="NAT2" s="37"/>
      <c r="NAU2" s="37"/>
      <c r="NAV2" s="37"/>
      <c r="NAW2" s="37"/>
      <c r="NAX2" s="37"/>
      <c r="NAY2" s="37"/>
      <c r="NAZ2" s="37"/>
      <c r="NBA2" s="37"/>
      <c r="NBB2" s="37"/>
      <c r="NBC2" s="37"/>
      <c r="NBD2" s="37"/>
      <c r="NBE2" s="37"/>
      <c r="NBF2" s="37"/>
      <c r="NBG2" s="37"/>
      <c r="NBH2" s="37"/>
      <c r="NBI2" s="37"/>
      <c r="NBJ2" s="37"/>
      <c r="NBK2" s="37"/>
      <c r="NBL2" s="37"/>
      <c r="NBM2" s="37"/>
      <c r="NBN2" s="37"/>
      <c r="NBO2" s="37"/>
      <c r="NBP2" s="37"/>
      <c r="NBQ2" s="37"/>
      <c r="NBR2" s="37"/>
      <c r="NBS2" s="37"/>
      <c r="NBT2" s="37"/>
      <c r="NBU2" s="37"/>
      <c r="NBV2" s="37"/>
      <c r="NBW2" s="37"/>
      <c r="NBX2" s="37"/>
      <c r="NBY2" s="37"/>
      <c r="NBZ2" s="37"/>
      <c r="NCA2" s="37"/>
      <c r="NCB2" s="37"/>
      <c r="NCC2" s="37"/>
      <c r="NCD2" s="37"/>
      <c r="NCE2" s="37"/>
      <c r="NCF2" s="37"/>
      <c r="NCG2" s="37"/>
      <c r="NCH2" s="37"/>
      <c r="NCI2" s="37"/>
      <c r="NCJ2" s="37"/>
      <c r="NCK2" s="37"/>
      <c r="NCL2" s="37"/>
      <c r="NCM2" s="37"/>
      <c r="NCN2" s="37"/>
      <c r="NCO2" s="37"/>
      <c r="NCP2" s="37"/>
      <c r="NCQ2" s="37"/>
      <c r="NCR2" s="37"/>
      <c r="NCS2" s="37"/>
      <c r="NCT2" s="37"/>
      <c r="NCU2" s="37"/>
      <c r="NCV2" s="37"/>
      <c r="NCW2" s="37"/>
      <c r="NCX2" s="37"/>
      <c r="NCY2" s="37"/>
      <c r="NCZ2" s="37"/>
      <c r="NDA2" s="37"/>
      <c r="NDB2" s="37"/>
      <c r="NDC2" s="37"/>
      <c r="NDD2" s="37"/>
      <c r="NDE2" s="37"/>
      <c r="NDF2" s="37"/>
      <c r="NDG2" s="37"/>
      <c r="NDH2" s="37"/>
      <c r="NDI2" s="37"/>
      <c r="NDJ2" s="37"/>
      <c r="NDK2" s="37"/>
      <c r="NDL2" s="37"/>
      <c r="NDM2" s="37"/>
      <c r="NDN2" s="37"/>
      <c r="NDO2" s="37"/>
      <c r="NDP2" s="37"/>
      <c r="NDQ2" s="37"/>
      <c r="NDR2" s="37"/>
      <c r="NDS2" s="37"/>
      <c r="NDT2" s="37"/>
      <c r="NDU2" s="37"/>
      <c r="NDV2" s="37"/>
      <c r="NDW2" s="37"/>
      <c r="NDX2" s="37"/>
      <c r="NDY2" s="37"/>
      <c r="NDZ2" s="37"/>
      <c r="NEA2" s="37"/>
      <c r="NEB2" s="37"/>
      <c r="NEC2" s="37"/>
      <c r="NED2" s="37"/>
      <c r="NEE2" s="37"/>
      <c r="NEF2" s="37"/>
      <c r="NEG2" s="37"/>
      <c r="NEH2" s="37"/>
      <c r="NEI2" s="37"/>
      <c r="NEJ2" s="37"/>
      <c r="NEK2" s="37"/>
      <c r="NEL2" s="37"/>
      <c r="NEM2" s="37"/>
      <c r="NEN2" s="37"/>
      <c r="NEO2" s="37"/>
      <c r="NEP2" s="37"/>
      <c r="NEQ2" s="37"/>
      <c r="NER2" s="37"/>
      <c r="NES2" s="37"/>
      <c r="NET2" s="37"/>
      <c r="NEU2" s="37"/>
      <c r="NEV2" s="37"/>
      <c r="NEW2" s="37"/>
      <c r="NEX2" s="37"/>
      <c r="NEY2" s="37"/>
      <c r="NEZ2" s="37"/>
      <c r="NFA2" s="37"/>
      <c r="NFB2" s="37"/>
      <c r="NFC2" s="37"/>
      <c r="NFD2" s="37"/>
      <c r="NFE2" s="37"/>
      <c r="NFF2" s="37"/>
      <c r="NFG2" s="37"/>
      <c r="NFH2" s="37"/>
      <c r="NFI2" s="37"/>
      <c r="NFJ2" s="37"/>
      <c r="NFK2" s="37"/>
      <c r="NFL2" s="37"/>
      <c r="NFM2" s="37"/>
      <c r="NFN2" s="37"/>
      <c r="NFO2" s="37"/>
      <c r="NFP2" s="37"/>
      <c r="NFQ2" s="37"/>
      <c r="NFR2" s="37"/>
      <c r="NFS2" s="37"/>
      <c r="NFT2" s="37"/>
      <c r="NFU2" s="37"/>
      <c r="NFV2" s="37"/>
      <c r="NFW2" s="37"/>
      <c r="NFX2" s="37"/>
      <c r="NFY2" s="37"/>
      <c r="NFZ2" s="37"/>
      <c r="NGA2" s="37"/>
      <c r="NGB2" s="37"/>
      <c r="NGC2" s="37"/>
      <c r="NGD2" s="37"/>
      <c r="NGE2" s="37"/>
      <c r="NGF2" s="37"/>
      <c r="NGG2" s="37"/>
      <c r="NGH2" s="37"/>
      <c r="NGI2" s="37"/>
      <c r="NGJ2" s="37"/>
      <c r="NGK2" s="37"/>
      <c r="NGL2" s="37"/>
      <c r="NGM2" s="37"/>
      <c r="NGN2" s="37"/>
      <c r="NGO2" s="37"/>
      <c r="NGP2" s="37"/>
      <c r="NGQ2" s="37"/>
      <c r="NGR2" s="37"/>
      <c r="NGS2" s="37"/>
      <c r="NGT2" s="37"/>
      <c r="NGU2" s="37"/>
      <c r="NGV2" s="37"/>
      <c r="NGW2" s="37"/>
      <c r="NGX2" s="37"/>
      <c r="NGY2" s="37"/>
      <c r="NGZ2" s="37"/>
      <c r="NHA2" s="37"/>
      <c r="NHB2" s="37"/>
      <c r="NHC2" s="37"/>
      <c r="NHD2" s="37"/>
      <c r="NHE2" s="37"/>
      <c r="NHF2" s="37"/>
      <c r="NHG2" s="37"/>
      <c r="NHH2" s="37"/>
      <c r="NHI2" s="37"/>
      <c r="NHJ2" s="37"/>
      <c r="NHK2" s="37"/>
      <c r="NHL2" s="37"/>
      <c r="NHM2" s="37"/>
      <c r="NHN2" s="37"/>
      <c r="NHO2" s="37"/>
      <c r="NHP2" s="37"/>
      <c r="NHQ2" s="37"/>
      <c r="NHR2" s="37"/>
      <c r="NHS2" s="37"/>
      <c r="NHT2" s="37"/>
      <c r="NHU2" s="37"/>
      <c r="NHV2" s="37"/>
      <c r="NHW2" s="37"/>
      <c r="NHX2" s="37"/>
      <c r="NHY2" s="37"/>
      <c r="NHZ2" s="37"/>
      <c r="NIA2" s="37"/>
      <c r="NIB2" s="37"/>
      <c r="NIC2" s="37"/>
      <c r="NID2" s="37"/>
      <c r="NIE2" s="37"/>
      <c r="NIF2" s="37"/>
      <c r="NIG2" s="37"/>
      <c r="NIH2" s="37"/>
      <c r="NII2" s="37"/>
      <c r="NIJ2" s="37"/>
      <c r="NIK2" s="37"/>
      <c r="NIL2" s="37"/>
      <c r="NIM2" s="37"/>
      <c r="NIN2" s="37"/>
      <c r="NIO2" s="37"/>
      <c r="NIP2" s="37"/>
      <c r="NIQ2" s="37"/>
      <c r="NIR2" s="37"/>
      <c r="NIS2" s="37"/>
      <c r="NIT2" s="37"/>
      <c r="NIU2" s="37"/>
      <c r="NIV2" s="37"/>
      <c r="NIW2" s="37"/>
      <c r="NIX2" s="37"/>
      <c r="NIY2" s="37"/>
      <c r="NIZ2" s="37"/>
      <c r="NJA2" s="37"/>
      <c r="NJB2" s="37"/>
      <c r="NJC2" s="37"/>
      <c r="NJD2" s="37"/>
      <c r="NJE2" s="37"/>
      <c r="NJF2" s="37"/>
      <c r="NJG2" s="37"/>
      <c r="NJH2" s="37"/>
      <c r="NJI2" s="37"/>
      <c r="NJJ2" s="37"/>
      <c r="NJK2" s="37"/>
      <c r="NJL2" s="37"/>
      <c r="NJM2" s="37"/>
      <c r="NJN2" s="37"/>
      <c r="NJO2" s="37"/>
      <c r="NJP2" s="37"/>
      <c r="NJQ2" s="37"/>
      <c r="NJR2" s="37"/>
      <c r="NJS2" s="37"/>
      <c r="NJT2" s="37"/>
      <c r="NJU2" s="37"/>
      <c r="NJV2" s="37"/>
      <c r="NJW2" s="37"/>
      <c r="NJX2" s="37"/>
      <c r="NJY2" s="37"/>
      <c r="NJZ2" s="37"/>
      <c r="NKA2" s="37"/>
      <c r="NKB2" s="37"/>
      <c r="NKC2" s="37"/>
      <c r="NKD2" s="37"/>
      <c r="NKE2" s="37"/>
      <c r="NKF2" s="37"/>
      <c r="NKG2" s="37"/>
      <c r="NKH2" s="37"/>
      <c r="NKI2" s="37"/>
      <c r="NKJ2" s="37"/>
      <c r="NKK2" s="37"/>
      <c r="NKL2" s="37"/>
      <c r="NKM2" s="37"/>
      <c r="NKN2" s="37"/>
      <c r="NKO2" s="37"/>
      <c r="NKP2" s="37"/>
      <c r="NKQ2" s="37"/>
      <c r="NKR2" s="37"/>
      <c r="NKS2" s="37"/>
      <c r="NKT2" s="37"/>
      <c r="NKU2" s="37"/>
      <c r="NKV2" s="37"/>
      <c r="NKW2" s="37"/>
      <c r="NKX2" s="37"/>
      <c r="NKY2" s="37"/>
      <c r="NKZ2" s="37"/>
      <c r="NLA2" s="37"/>
      <c r="NLB2" s="37"/>
      <c r="NLC2" s="37"/>
      <c r="NLD2" s="37"/>
      <c r="NLE2" s="37"/>
      <c r="NLF2" s="37"/>
      <c r="NLG2" s="37"/>
      <c r="NLH2" s="37"/>
      <c r="NLI2" s="37"/>
      <c r="NLJ2" s="37"/>
      <c r="NLK2" s="37"/>
      <c r="NLL2" s="37"/>
      <c r="NLM2" s="37"/>
      <c r="NLN2" s="37"/>
      <c r="NLO2" s="37"/>
      <c r="NLP2" s="37"/>
      <c r="NLQ2" s="37"/>
      <c r="NLR2" s="37"/>
      <c r="NLS2" s="37"/>
      <c r="NLT2" s="37"/>
      <c r="NLU2" s="37"/>
      <c r="NLV2" s="37"/>
      <c r="NLW2" s="37"/>
      <c r="NLX2" s="37"/>
      <c r="NLY2" s="37"/>
      <c r="NLZ2" s="37"/>
      <c r="NMA2" s="37"/>
      <c r="NMB2" s="37"/>
      <c r="NMC2" s="37"/>
      <c r="NMD2" s="37"/>
      <c r="NME2" s="37"/>
      <c r="NMF2" s="37"/>
      <c r="NMG2" s="37"/>
      <c r="NMH2" s="37"/>
      <c r="NMI2" s="37"/>
      <c r="NMJ2" s="37"/>
      <c r="NMK2" s="37"/>
      <c r="NML2" s="37"/>
      <c r="NMM2" s="37"/>
      <c r="NMN2" s="37"/>
      <c r="NMO2" s="37"/>
      <c r="NMP2" s="37"/>
      <c r="NMQ2" s="37"/>
      <c r="NMR2" s="37"/>
      <c r="NMS2" s="37"/>
      <c r="NMT2" s="37"/>
      <c r="NMU2" s="37"/>
      <c r="NMV2" s="37"/>
      <c r="NMW2" s="37"/>
      <c r="NMX2" s="37"/>
      <c r="NMY2" s="37"/>
      <c r="NMZ2" s="37"/>
      <c r="NNA2" s="37"/>
      <c r="NNB2" s="37"/>
      <c r="NNC2" s="37"/>
      <c r="NND2" s="37"/>
      <c r="NNE2" s="37"/>
      <c r="NNF2" s="37"/>
      <c r="NNG2" s="37"/>
      <c r="NNH2" s="37"/>
      <c r="NNI2" s="37"/>
      <c r="NNJ2" s="37"/>
      <c r="NNK2" s="37"/>
      <c r="NNL2" s="37"/>
      <c r="NNM2" s="37"/>
      <c r="NNN2" s="37"/>
      <c r="NNO2" s="37"/>
      <c r="NNP2" s="37"/>
      <c r="NNQ2" s="37"/>
      <c r="NNR2" s="37"/>
      <c r="NNS2" s="37"/>
      <c r="NNT2" s="37"/>
      <c r="NNU2" s="37"/>
      <c r="NNV2" s="37"/>
      <c r="NNW2" s="37"/>
      <c r="NNX2" s="37"/>
      <c r="NNY2" s="37"/>
      <c r="NNZ2" s="37"/>
      <c r="NOA2" s="37"/>
      <c r="NOB2" s="37"/>
      <c r="NOC2" s="37"/>
      <c r="NOD2" s="37"/>
      <c r="NOE2" s="37"/>
      <c r="NOF2" s="37"/>
      <c r="NOG2" s="37"/>
      <c r="NOH2" s="37"/>
      <c r="NOI2" s="37"/>
      <c r="NOJ2" s="37"/>
      <c r="NOK2" s="37"/>
      <c r="NOL2" s="37"/>
      <c r="NOM2" s="37"/>
      <c r="NON2" s="37"/>
      <c r="NOO2" s="37"/>
      <c r="NOP2" s="37"/>
      <c r="NOQ2" s="37"/>
      <c r="NOR2" s="37"/>
      <c r="NOS2" s="37"/>
      <c r="NOT2" s="37"/>
      <c r="NOU2" s="37"/>
      <c r="NOV2" s="37"/>
      <c r="NOW2" s="37"/>
      <c r="NOX2" s="37"/>
      <c r="NOY2" s="37"/>
      <c r="NOZ2" s="37"/>
      <c r="NPA2" s="37"/>
      <c r="NPB2" s="37"/>
      <c r="NPC2" s="37"/>
      <c r="NPD2" s="37"/>
      <c r="NPE2" s="37"/>
      <c r="NPF2" s="37"/>
      <c r="NPG2" s="37"/>
      <c r="NPH2" s="37"/>
      <c r="NPI2" s="37"/>
      <c r="NPJ2" s="37"/>
      <c r="NPK2" s="37"/>
      <c r="NPL2" s="37"/>
      <c r="NPM2" s="37"/>
      <c r="NPN2" s="37"/>
      <c r="NPO2" s="37"/>
      <c r="NPP2" s="37"/>
      <c r="NPQ2" s="37"/>
      <c r="NPR2" s="37"/>
      <c r="NPS2" s="37"/>
      <c r="NPT2" s="37"/>
      <c r="NPU2" s="37"/>
      <c r="NPV2" s="37"/>
      <c r="NPW2" s="37"/>
      <c r="NPX2" s="37"/>
      <c r="NPY2" s="37"/>
      <c r="NPZ2" s="37"/>
      <c r="NQA2" s="37"/>
      <c r="NQB2" s="37"/>
      <c r="NQC2" s="37"/>
      <c r="NQD2" s="37"/>
      <c r="NQE2" s="37"/>
      <c r="NQF2" s="37"/>
      <c r="NQG2" s="37"/>
      <c r="NQH2" s="37"/>
      <c r="NQI2" s="37"/>
      <c r="NQJ2" s="37"/>
      <c r="NQK2" s="37"/>
      <c r="NQL2" s="37"/>
      <c r="NQM2" s="37"/>
      <c r="NQN2" s="37"/>
      <c r="NQO2" s="37"/>
      <c r="NQP2" s="37"/>
      <c r="NQQ2" s="37"/>
      <c r="NQR2" s="37"/>
      <c r="NQS2" s="37"/>
      <c r="NQT2" s="37"/>
      <c r="NQU2" s="37"/>
      <c r="NQV2" s="37"/>
      <c r="NQW2" s="37"/>
      <c r="NQX2" s="37"/>
      <c r="NQY2" s="37"/>
      <c r="NQZ2" s="37"/>
      <c r="NRA2" s="37"/>
      <c r="NRB2" s="37"/>
      <c r="NRC2" s="37"/>
      <c r="NRD2" s="37"/>
      <c r="NRE2" s="37"/>
      <c r="NRF2" s="37"/>
      <c r="NRG2" s="37"/>
      <c r="NRH2" s="37"/>
      <c r="NRI2" s="37"/>
      <c r="NRJ2" s="37"/>
      <c r="NRK2" s="37"/>
      <c r="NRL2" s="37"/>
      <c r="NRM2" s="37"/>
      <c r="NRN2" s="37"/>
      <c r="NRO2" s="37"/>
      <c r="NRP2" s="37"/>
      <c r="NRQ2" s="37"/>
      <c r="NRR2" s="37"/>
      <c r="NRS2" s="37"/>
      <c r="NRT2" s="37"/>
      <c r="NRU2" s="37"/>
      <c r="NRV2" s="37"/>
      <c r="NRW2" s="37"/>
      <c r="NRX2" s="37"/>
      <c r="NRY2" s="37"/>
      <c r="NRZ2" s="37"/>
      <c r="NSA2" s="37"/>
      <c r="NSB2" s="37"/>
      <c r="NSC2" s="37"/>
      <c r="NSD2" s="37"/>
      <c r="NSE2" s="37"/>
      <c r="NSF2" s="37"/>
      <c r="NSG2" s="37"/>
      <c r="NSH2" s="37"/>
      <c r="NSI2" s="37"/>
      <c r="NSJ2" s="37"/>
      <c r="NSK2" s="37"/>
      <c r="NSL2" s="37"/>
      <c r="NSM2" s="37"/>
      <c r="NSN2" s="37"/>
      <c r="NSO2" s="37"/>
      <c r="NSP2" s="37"/>
      <c r="NSQ2" s="37"/>
      <c r="NSR2" s="37"/>
      <c r="NSS2" s="37"/>
      <c r="NST2" s="37"/>
      <c r="NSU2" s="37"/>
      <c r="NSV2" s="37"/>
      <c r="NSW2" s="37"/>
      <c r="NSX2" s="37"/>
      <c r="NSY2" s="37"/>
      <c r="NSZ2" s="37"/>
      <c r="NTA2" s="37"/>
      <c r="NTB2" s="37"/>
      <c r="NTC2" s="37"/>
      <c r="NTD2" s="37"/>
      <c r="NTE2" s="37"/>
      <c r="NTF2" s="37"/>
      <c r="NTG2" s="37"/>
      <c r="NTH2" s="37"/>
      <c r="NTI2" s="37"/>
      <c r="NTJ2" s="37"/>
      <c r="NTK2" s="37"/>
      <c r="NTL2" s="37"/>
      <c r="NTM2" s="37"/>
      <c r="NTN2" s="37"/>
      <c r="NTO2" s="37"/>
      <c r="NTP2" s="37"/>
      <c r="NTQ2" s="37"/>
      <c r="NTR2" s="37"/>
      <c r="NTS2" s="37"/>
      <c r="NTT2" s="37"/>
      <c r="NTU2" s="37"/>
      <c r="NTV2" s="37"/>
      <c r="NTW2" s="37"/>
      <c r="NTX2" s="37"/>
      <c r="NTY2" s="37"/>
      <c r="NTZ2" s="37"/>
      <c r="NUA2" s="37"/>
      <c r="NUB2" s="37"/>
      <c r="NUC2" s="37"/>
      <c r="NUD2" s="37"/>
      <c r="NUE2" s="37"/>
      <c r="NUF2" s="37"/>
      <c r="NUG2" s="37"/>
      <c r="NUH2" s="37"/>
      <c r="NUI2" s="37"/>
      <c r="NUJ2" s="37"/>
      <c r="NUK2" s="37"/>
      <c r="NUL2" s="37"/>
      <c r="NUM2" s="37"/>
      <c r="NUN2" s="37"/>
      <c r="NUO2" s="37"/>
      <c r="NUP2" s="37"/>
      <c r="NUQ2" s="37"/>
      <c r="NUR2" s="37"/>
      <c r="NUS2" s="37"/>
      <c r="NUT2" s="37"/>
      <c r="NUU2" s="37"/>
      <c r="NUV2" s="37"/>
      <c r="NUW2" s="37"/>
      <c r="NUX2" s="37"/>
      <c r="NUY2" s="37"/>
      <c r="NUZ2" s="37"/>
      <c r="NVA2" s="37"/>
      <c r="NVB2" s="37"/>
      <c r="NVC2" s="37"/>
      <c r="NVD2" s="37"/>
      <c r="NVE2" s="37"/>
      <c r="NVF2" s="37"/>
      <c r="NVG2" s="37"/>
      <c r="NVH2" s="37"/>
      <c r="NVI2" s="37"/>
      <c r="NVJ2" s="37"/>
      <c r="NVK2" s="37"/>
      <c r="NVL2" s="37"/>
      <c r="NVM2" s="37"/>
      <c r="NVN2" s="37"/>
      <c r="NVO2" s="37"/>
      <c r="NVP2" s="37"/>
      <c r="NVQ2" s="37"/>
      <c r="NVR2" s="37"/>
      <c r="NVS2" s="37"/>
      <c r="NVT2" s="37"/>
      <c r="NVU2" s="37"/>
      <c r="NVV2" s="37"/>
      <c r="NVW2" s="37"/>
      <c r="NVX2" s="37"/>
      <c r="NVY2" s="37"/>
      <c r="NVZ2" s="37"/>
      <c r="NWA2" s="37"/>
      <c r="NWB2" s="37"/>
      <c r="NWC2" s="37"/>
      <c r="NWD2" s="37"/>
      <c r="NWE2" s="37"/>
      <c r="NWF2" s="37"/>
      <c r="NWG2" s="37"/>
      <c r="NWH2" s="37"/>
      <c r="NWI2" s="37"/>
      <c r="NWJ2" s="37"/>
      <c r="NWK2" s="37"/>
      <c r="NWL2" s="37"/>
      <c r="NWM2" s="37"/>
      <c r="NWN2" s="37"/>
      <c r="NWO2" s="37"/>
      <c r="NWP2" s="37"/>
      <c r="NWQ2" s="37"/>
      <c r="NWR2" s="37"/>
      <c r="NWS2" s="37"/>
      <c r="NWT2" s="37"/>
      <c r="NWU2" s="37"/>
      <c r="NWV2" s="37"/>
      <c r="NWW2" s="37"/>
      <c r="NWX2" s="37"/>
      <c r="NWY2" s="37"/>
      <c r="NWZ2" s="37"/>
      <c r="NXA2" s="37"/>
      <c r="NXB2" s="37"/>
      <c r="NXC2" s="37"/>
      <c r="NXD2" s="37"/>
      <c r="NXE2" s="37"/>
      <c r="NXF2" s="37"/>
      <c r="NXG2" s="37"/>
      <c r="NXH2" s="37"/>
      <c r="NXI2" s="37"/>
      <c r="NXJ2" s="37"/>
      <c r="NXK2" s="37"/>
      <c r="NXL2" s="37"/>
      <c r="NXM2" s="37"/>
      <c r="NXN2" s="37"/>
      <c r="NXO2" s="37"/>
      <c r="NXP2" s="37"/>
      <c r="NXQ2" s="37"/>
      <c r="NXR2" s="37"/>
      <c r="NXS2" s="37"/>
      <c r="NXT2" s="37"/>
      <c r="NXU2" s="37"/>
      <c r="NXV2" s="37"/>
      <c r="NXW2" s="37"/>
      <c r="NXX2" s="37"/>
      <c r="NXY2" s="37"/>
      <c r="NXZ2" s="37"/>
      <c r="NYA2" s="37"/>
      <c r="NYB2" s="37"/>
      <c r="NYC2" s="37"/>
      <c r="NYD2" s="37"/>
      <c r="NYE2" s="37"/>
      <c r="NYF2" s="37"/>
      <c r="NYG2" s="37"/>
      <c r="NYH2" s="37"/>
      <c r="NYI2" s="37"/>
      <c r="NYJ2" s="37"/>
      <c r="NYK2" s="37"/>
      <c r="NYL2" s="37"/>
      <c r="NYM2" s="37"/>
      <c r="NYN2" s="37"/>
      <c r="NYO2" s="37"/>
      <c r="NYP2" s="37"/>
      <c r="NYQ2" s="37"/>
      <c r="NYR2" s="37"/>
      <c r="NYS2" s="37"/>
      <c r="NYT2" s="37"/>
      <c r="NYU2" s="37"/>
      <c r="NYV2" s="37"/>
      <c r="NYW2" s="37"/>
      <c r="NYX2" s="37"/>
      <c r="NYY2" s="37"/>
      <c r="NYZ2" s="37"/>
      <c r="NZA2" s="37"/>
      <c r="NZB2" s="37"/>
      <c r="NZC2" s="37"/>
      <c r="NZD2" s="37"/>
      <c r="NZE2" s="37"/>
      <c r="NZF2" s="37"/>
      <c r="NZG2" s="37"/>
      <c r="NZH2" s="37"/>
      <c r="NZI2" s="37"/>
      <c r="NZJ2" s="37"/>
      <c r="NZK2" s="37"/>
      <c r="NZL2" s="37"/>
      <c r="NZM2" s="37"/>
      <c r="NZN2" s="37"/>
      <c r="NZO2" s="37"/>
      <c r="NZP2" s="37"/>
      <c r="NZQ2" s="37"/>
      <c r="NZR2" s="37"/>
      <c r="NZS2" s="37"/>
      <c r="NZT2" s="37"/>
      <c r="NZU2" s="37"/>
      <c r="NZV2" s="37"/>
      <c r="NZW2" s="37"/>
      <c r="NZX2" s="37"/>
      <c r="NZY2" s="37"/>
      <c r="NZZ2" s="37"/>
      <c r="OAA2" s="37"/>
      <c r="OAB2" s="37"/>
      <c r="OAC2" s="37"/>
      <c r="OAD2" s="37"/>
      <c r="OAE2" s="37"/>
      <c r="OAF2" s="37"/>
      <c r="OAG2" s="37"/>
      <c r="OAH2" s="37"/>
      <c r="OAI2" s="37"/>
      <c r="OAJ2" s="37"/>
      <c r="OAK2" s="37"/>
      <c r="OAL2" s="37"/>
      <c r="OAM2" s="37"/>
      <c r="OAN2" s="37"/>
      <c r="OAO2" s="37"/>
      <c r="OAP2" s="37"/>
      <c r="OAQ2" s="37"/>
      <c r="OAR2" s="37"/>
      <c r="OAS2" s="37"/>
      <c r="OAT2" s="37"/>
      <c r="OAU2" s="37"/>
      <c r="OAV2" s="37"/>
      <c r="OAW2" s="37"/>
      <c r="OAX2" s="37"/>
      <c r="OAY2" s="37"/>
      <c r="OAZ2" s="37"/>
      <c r="OBA2" s="37"/>
      <c r="OBB2" s="37"/>
      <c r="OBC2" s="37"/>
      <c r="OBD2" s="37"/>
      <c r="OBE2" s="37"/>
      <c r="OBF2" s="37"/>
      <c r="OBG2" s="37"/>
      <c r="OBH2" s="37"/>
      <c r="OBI2" s="37"/>
      <c r="OBJ2" s="37"/>
      <c r="OBK2" s="37"/>
      <c r="OBL2" s="37"/>
      <c r="OBM2" s="37"/>
      <c r="OBN2" s="37"/>
      <c r="OBO2" s="37"/>
      <c r="OBP2" s="37"/>
      <c r="OBQ2" s="37"/>
      <c r="OBR2" s="37"/>
      <c r="OBS2" s="37"/>
      <c r="OBT2" s="37"/>
      <c r="OBU2" s="37"/>
      <c r="OBV2" s="37"/>
      <c r="OBW2" s="37"/>
      <c r="OBX2" s="37"/>
      <c r="OBY2" s="37"/>
      <c r="OBZ2" s="37"/>
      <c r="OCA2" s="37"/>
      <c r="OCB2" s="37"/>
      <c r="OCC2" s="37"/>
      <c r="OCD2" s="37"/>
      <c r="OCE2" s="37"/>
      <c r="OCF2" s="37"/>
      <c r="OCG2" s="37"/>
      <c r="OCH2" s="37"/>
      <c r="OCI2" s="37"/>
      <c r="OCJ2" s="37"/>
      <c r="OCK2" s="37"/>
      <c r="OCL2" s="37"/>
      <c r="OCM2" s="37"/>
      <c r="OCN2" s="37"/>
      <c r="OCO2" s="37"/>
      <c r="OCP2" s="37"/>
      <c r="OCQ2" s="37"/>
      <c r="OCR2" s="37"/>
      <c r="OCS2" s="37"/>
      <c r="OCT2" s="37"/>
      <c r="OCU2" s="37"/>
      <c r="OCV2" s="37"/>
      <c r="OCW2" s="37"/>
      <c r="OCX2" s="37"/>
      <c r="OCY2" s="37"/>
      <c r="OCZ2" s="37"/>
      <c r="ODA2" s="37"/>
      <c r="ODB2" s="37"/>
      <c r="ODC2" s="37"/>
      <c r="ODD2" s="37"/>
      <c r="ODE2" s="37"/>
      <c r="ODF2" s="37"/>
      <c r="ODG2" s="37"/>
      <c r="ODH2" s="37"/>
      <c r="ODI2" s="37"/>
      <c r="ODJ2" s="37"/>
      <c r="ODK2" s="37"/>
      <c r="ODL2" s="37"/>
      <c r="ODM2" s="37"/>
      <c r="ODN2" s="37"/>
      <c r="ODO2" s="37"/>
      <c r="ODP2" s="37"/>
      <c r="ODQ2" s="37"/>
      <c r="ODR2" s="37"/>
      <c r="ODS2" s="37"/>
      <c r="ODT2" s="37"/>
      <c r="ODU2" s="37"/>
      <c r="ODV2" s="37"/>
      <c r="ODW2" s="37"/>
      <c r="ODX2" s="37"/>
      <c r="ODY2" s="37"/>
      <c r="ODZ2" s="37"/>
      <c r="OEA2" s="37"/>
      <c r="OEB2" s="37"/>
      <c r="OEC2" s="37"/>
      <c r="OED2" s="37"/>
      <c r="OEE2" s="37"/>
      <c r="OEF2" s="37"/>
      <c r="OEG2" s="37"/>
      <c r="OEH2" s="37"/>
      <c r="OEI2" s="37"/>
      <c r="OEJ2" s="37"/>
      <c r="OEK2" s="37"/>
      <c r="OEL2" s="37"/>
      <c r="OEM2" s="37"/>
      <c r="OEN2" s="37"/>
      <c r="OEO2" s="37"/>
      <c r="OEP2" s="37"/>
      <c r="OEQ2" s="37"/>
      <c r="OER2" s="37"/>
      <c r="OES2" s="37"/>
      <c r="OET2" s="37"/>
      <c r="OEU2" s="37"/>
      <c r="OEV2" s="37"/>
      <c r="OEW2" s="37"/>
      <c r="OEX2" s="37"/>
      <c r="OEY2" s="37"/>
      <c r="OEZ2" s="37"/>
      <c r="OFA2" s="37"/>
      <c r="OFB2" s="37"/>
      <c r="OFC2" s="37"/>
      <c r="OFD2" s="37"/>
      <c r="OFE2" s="37"/>
      <c r="OFF2" s="37"/>
      <c r="OFG2" s="37"/>
      <c r="OFH2" s="37"/>
      <c r="OFI2" s="37"/>
      <c r="OFJ2" s="37"/>
      <c r="OFK2" s="37"/>
      <c r="OFL2" s="37"/>
      <c r="OFM2" s="37"/>
      <c r="OFN2" s="37"/>
      <c r="OFO2" s="37"/>
      <c r="OFP2" s="37"/>
      <c r="OFQ2" s="37"/>
      <c r="OFR2" s="37"/>
      <c r="OFS2" s="37"/>
      <c r="OFT2" s="37"/>
      <c r="OFU2" s="37"/>
      <c r="OFV2" s="37"/>
      <c r="OFW2" s="37"/>
      <c r="OFX2" s="37"/>
      <c r="OFY2" s="37"/>
      <c r="OFZ2" s="37"/>
      <c r="OGA2" s="37"/>
      <c r="OGB2" s="37"/>
      <c r="OGC2" s="37"/>
      <c r="OGD2" s="37"/>
      <c r="OGE2" s="37"/>
      <c r="OGF2" s="37"/>
      <c r="OGG2" s="37"/>
      <c r="OGH2" s="37"/>
      <c r="OGI2" s="37"/>
      <c r="OGJ2" s="37"/>
      <c r="OGK2" s="37"/>
      <c r="OGL2" s="37"/>
      <c r="OGM2" s="37"/>
      <c r="OGN2" s="37"/>
      <c r="OGO2" s="37"/>
      <c r="OGP2" s="37"/>
      <c r="OGQ2" s="37"/>
      <c r="OGR2" s="37"/>
      <c r="OGS2" s="37"/>
      <c r="OGT2" s="37"/>
      <c r="OGU2" s="37"/>
      <c r="OGV2" s="37"/>
      <c r="OGW2" s="37"/>
      <c r="OGX2" s="37"/>
      <c r="OGY2" s="37"/>
      <c r="OGZ2" s="37"/>
      <c r="OHA2" s="37"/>
      <c r="OHB2" s="37"/>
      <c r="OHC2" s="37"/>
      <c r="OHD2" s="37"/>
      <c r="OHE2" s="37"/>
      <c r="OHF2" s="37"/>
      <c r="OHG2" s="37"/>
      <c r="OHH2" s="37"/>
      <c r="OHI2" s="37"/>
      <c r="OHJ2" s="37"/>
      <c r="OHK2" s="37"/>
      <c r="OHL2" s="37"/>
      <c r="OHM2" s="37"/>
      <c r="OHN2" s="37"/>
      <c r="OHO2" s="37"/>
      <c r="OHP2" s="37"/>
      <c r="OHQ2" s="37"/>
      <c r="OHR2" s="37"/>
      <c r="OHS2" s="37"/>
      <c r="OHT2" s="37"/>
      <c r="OHU2" s="37"/>
      <c r="OHV2" s="37"/>
      <c r="OHW2" s="37"/>
      <c r="OHX2" s="37"/>
      <c r="OHY2" s="37"/>
      <c r="OHZ2" s="37"/>
      <c r="OIA2" s="37"/>
      <c r="OIB2" s="37"/>
      <c r="OIC2" s="37"/>
      <c r="OID2" s="37"/>
      <c r="OIE2" s="37"/>
      <c r="OIF2" s="37"/>
      <c r="OIG2" s="37"/>
      <c r="OIH2" s="37"/>
      <c r="OII2" s="37"/>
      <c r="OIJ2" s="37"/>
      <c r="OIK2" s="37"/>
      <c r="OIL2" s="37"/>
      <c r="OIM2" s="37"/>
      <c r="OIN2" s="37"/>
      <c r="OIO2" s="37"/>
      <c r="OIP2" s="37"/>
      <c r="OIQ2" s="37"/>
      <c r="OIR2" s="37"/>
      <c r="OIS2" s="37"/>
      <c r="OIT2" s="37"/>
      <c r="OIU2" s="37"/>
      <c r="OIV2" s="37"/>
      <c r="OIW2" s="37"/>
      <c r="OIX2" s="37"/>
      <c r="OIY2" s="37"/>
      <c r="OIZ2" s="37"/>
      <c r="OJA2" s="37"/>
      <c r="OJB2" s="37"/>
      <c r="OJC2" s="37"/>
      <c r="OJD2" s="37"/>
      <c r="OJE2" s="37"/>
      <c r="OJF2" s="37"/>
      <c r="OJG2" s="37"/>
      <c r="OJH2" s="37"/>
      <c r="OJI2" s="37"/>
      <c r="OJJ2" s="37"/>
      <c r="OJK2" s="37"/>
      <c r="OJL2" s="37"/>
      <c r="OJM2" s="37"/>
      <c r="OJN2" s="37"/>
      <c r="OJO2" s="37"/>
      <c r="OJP2" s="37"/>
      <c r="OJQ2" s="37"/>
      <c r="OJR2" s="37"/>
      <c r="OJS2" s="37"/>
      <c r="OJT2" s="37"/>
      <c r="OJU2" s="37"/>
      <c r="OJV2" s="37"/>
      <c r="OJW2" s="37"/>
      <c r="OJX2" s="37"/>
      <c r="OJY2" s="37"/>
      <c r="OJZ2" s="37"/>
      <c r="OKA2" s="37"/>
      <c r="OKB2" s="37"/>
      <c r="OKC2" s="37"/>
      <c r="OKD2" s="37"/>
      <c r="OKE2" s="37"/>
      <c r="OKF2" s="37"/>
      <c r="OKG2" s="37"/>
      <c r="OKH2" s="37"/>
      <c r="OKI2" s="37"/>
      <c r="OKJ2" s="37"/>
      <c r="OKK2" s="37"/>
      <c r="OKL2" s="37"/>
      <c r="OKM2" s="37"/>
      <c r="OKN2" s="37"/>
      <c r="OKO2" s="37"/>
      <c r="OKP2" s="37"/>
      <c r="OKQ2" s="37"/>
      <c r="OKR2" s="37"/>
      <c r="OKS2" s="37"/>
      <c r="OKT2" s="37"/>
      <c r="OKU2" s="37"/>
      <c r="OKV2" s="37"/>
      <c r="OKW2" s="37"/>
      <c r="OKX2" s="37"/>
      <c r="OKY2" s="37"/>
      <c r="OKZ2" s="37"/>
      <c r="OLA2" s="37"/>
      <c r="OLB2" s="37"/>
      <c r="OLC2" s="37"/>
      <c r="OLD2" s="37"/>
      <c r="OLE2" s="37"/>
      <c r="OLF2" s="37"/>
      <c r="OLG2" s="37"/>
      <c r="OLH2" s="37"/>
      <c r="OLI2" s="37"/>
      <c r="OLJ2" s="37"/>
      <c r="OLK2" s="37"/>
      <c r="OLL2" s="37"/>
      <c r="OLM2" s="37"/>
      <c r="OLN2" s="37"/>
      <c r="OLO2" s="37"/>
      <c r="OLP2" s="37"/>
      <c r="OLQ2" s="37"/>
      <c r="OLR2" s="37"/>
      <c r="OLS2" s="37"/>
      <c r="OLT2" s="37"/>
      <c r="OLU2" s="37"/>
      <c r="OLV2" s="37"/>
      <c r="OLW2" s="37"/>
      <c r="OLX2" s="37"/>
      <c r="OLY2" s="37"/>
      <c r="OLZ2" s="37"/>
      <c r="OMA2" s="37"/>
      <c r="OMB2" s="37"/>
      <c r="OMC2" s="37"/>
      <c r="OMD2" s="37"/>
      <c r="OME2" s="37"/>
      <c r="OMF2" s="37"/>
      <c r="OMG2" s="37"/>
      <c r="OMH2" s="37"/>
      <c r="OMI2" s="37"/>
      <c r="OMJ2" s="37"/>
      <c r="OMK2" s="37"/>
      <c r="OML2" s="37"/>
      <c r="OMM2" s="37"/>
      <c r="OMN2" s="37"/>
      <c r="OMO2" s="37"/>
      <c r="OMP2" s="37"/>
      <c r="OMQ2" s="37"/>
      <c r="OMR2" s="37"/>
      <c r="OMS2" s="37"/>
      <c r="OMT2" s="37"/>
      <c r="OMU2" s="37"/>
      <c r="OMV2" s="37"/>
      <c r="OMW2" s="37"/>
      <c r="OMX2" s="37"/>
      <c r="OMY2" s="37"/>
      <c r="OMZ2" s="37"/>
      <c r="ONA2" s="37"/>
      <c r="ONB2" s="37"/>
      <c r="ONC2" s="37"/>
      <c r="OND2" s="37"/>
      <c r="ONE2" s="37"/>
      <c r="ONF2" s="37"/>
      <c r="ONG2" s="37"/>
      <c r="ONH2" s="37"/>
      <c r="ONI2" s="37"/>
      <c r="ONJ2" s="37"/>
      <c r="ONK2" s="37"/>
      <c r="ONL2" s="37"/>
      <c r="ONM2" s="37"/>
      <c r="ONN2" s="37"/>
      <c r="ONO2" s="37"/>
      <c r="ONP2" s="37"/>
      <c r="ONQ2" s="37"/>
      <c r="ONR2" s="37"/>
      <c r="ONS2" s="37"/>
      <c r="ONT2" s="37"/>
      <c r="ONU2" s="37"/>
      <c r="ONV2" s="37"/>
      <c r="ONW2" s="37"/>
      <c r="ONX2" s="37"/>
      <c r="ONY2" s="37"/>
      <c r="ONZ2" s="37"/>
      <c r="OOA2" s="37"/>
      <c r="OOB2" s="37"/>
      <c r="OOC2" s="37"/>
      <c r="OOD2" s="37"/>
      <c r="OOE2" s="37"/>
      <c r="OOF2" s="37"/>
      <c r="OOG2" s="37"/>
      <c r="OOH2" s="37"/>
      <c r="OOI2" s="37"/>
      <c r="OOJ2" s="37"/>
      <c r="OOK2" s="37"/>
      <c r="OOL2" s="37"/>
      <c r="OOM2" s="37"/>
      <c r="OON2" s="37"/>
      <c r="OOO2" s="37"/>
      <c r="OOP2" s="37"/>
      <c r="OOQ2" s="37"/>
      <c r="OOR2" s="37"/>
      <c r="OOS2" s="37"/>
      <c r="OOT2" s="37"/>
      <c r="OOU2" s="37"/>
      <c r="OOV2" s="37"/>
      <c r="OOW2" s="37"/>
      <c r="OOX2" s="37"/>
      <c r="OOY2" s="37"/>
      <c r="OOZ2" s="37"/>
      <c r="OPA2" s="37"/>
      <c r="OPB2" s="37"/>
      <c r="OPC2" s="37"/>
      <c r="OPD2" s="37"/>
      <c r="OPE2" s="37"/>
      <c r="OPF2" s="37"/>
      <c r="OPG2" s="37"/>
      <c r="OPH2" s="37"/>
      <c r="OPI2" s="37"/>
      <c r="OPJ2" s="37"/>
      <c r="OPK2" s="37"/>
      <c r="OPL2" s="37"/>
      <c r="OPM2" s="37"/>
      <c r="OPN2" s="37"/>
      <c r="OPO2" s="37"/>
      <c r="OPP2" s="37"/>
      <c r="OPQ2" s="37"/>
      <c r="OPR2" s="37"/>
      <c r="OPS2" s="37"/>
      <c r="OPT2" s="37"/>
      <c r="OPU2" s="37"/>
      <c r="OPV2" s="37"/>
      <c r="OPW2" s="37"/>
      <c r="OPX2" s="37"/>
      <c r="OPY2" s="37"/>
      <c r="OPZ2" s="37"/>
      <c r="OQA2" s="37"/>
      <c r="OQB2" s="37"/>
      <c r="OQC2" s="37"/>
      <c r="OQD2" s="37"/>
      <c r="OQE2" s="37"/>
      <c r="OQF2" s="37"/>
      <c r="OQG2" s="37"/>
      <c r="OQH2" s="37"/>
      <c r="OQI2" s="37"/>
      <c r="OQJ2" s="37"/>
      <c r="OQK2" s="37"/>
      <c r="OQL2" s="37"/>
      <c r="OQM2" s="37"/>
      <c r="OQN2" s="37"/>
      <c r="OQO2" s="37"/>
      <c r="OQP2" s="37"/>
      <c r="OQQ2" s="37"/>
      <c r="OQR2" s="37"/>
      <c r="OQS2" s="37"/>
      <c r="OQT2" s="37"/>
      <c r="OQU2" s="37"/>
      <c r="OQV2" s="37"/>
      <c r="OQW2" s="37"/>
      <c r="OQX2" s="37"/>
      <c r="OQY2" s="37"/>
      <c r="OQZ2" s="37"/>
      <c r="ORA2" s="37"/>
      <c r="ORB2" s="37"/>
      <c r="ORC2" s="37"/>
      <c r="ORD2" s="37"/>
      <c r="ORE2" s="37"/>
      <c r="ORF2" s="37"/>
      <c r="ORG2" s="37"/>
      <c r="ORH2" s="37"/>
      <c r="ORI2" s="37"/>
      <c r="ORJ2" s="37"/>
      <c r="ORK2" s="37"/>
      <c r="ORL2" s="37"/>
      <c r="ORM2" s="37"/>
      <c r="ORN2" s="37"/>
      <c r="ORO2" s="37"/>
      <c r="ORP2" s="37"/>
      <c r="ORQ2" s="37"/>
      <c r="ORR2" s="37"/>
      <c r="ORS2" s="37"/>
      <c r="ORT2" s="37"/>
      <c r="ORU2" s="37"/>
      <c r="ORV2" s="37"/>
      <c r="ORW2" s="37"/>
      <c r="ORX2" s="37"/>
      <c r="ORY2" s="37"/>
      <c r="ORZ2" s="37"/>
      <c r="OSA2" s="37"/>
      <c r="OSB2" s="37"/>
      <c r="OSC2" s="37"/>
      <c r="OSD2" s="37"/>
      <c r="OSE2" s="37"/>
      <c r="OSF2" s="37"/>
      <c r="OSG2" s="37"/>
      <c r="OSH2" s="37"/>
      <c r="OSI2" s="37"/>
      <c r="OSJ2" s="37"/>
      <c r="OSK2" s="37"/>
      <c r="OSL2" s="37"/>
      <c r="OSM2" s="37"/>
      <c r="OSN2" s="37"/>
      <c r="OSO2" s="37"/>
      <c r="OSP2" s="37"/>
      <c r="OSQ2" s="37"/>
      <c r="OSR2" s="37"/>
      <c r="OSS2" s="37"/>
      <c r="OST2" s="37"/>
      <c r="OSU2" s="37"/>
      <c r="OSV2" s="37"/>
      <c r="OSW2" s="37"/>
      <c r="OSX2" s="37"/>
      <c r="OSY2" s="37"/>
      <c r="OSZ2" s="37"/>
      <c r="OTA2" s="37"/>
      <c r="OTB2" s="37"/>
      <c r="OTC2" s="37"/>
      <c r="OTD2" s="37"/>
      <c r="OTE2" s="37"/>
      <c r="OTF2" s="37"/>
      <c r="OTG2" s="37"/>
      <c r="OTH2" s="37"/>
      <c r="OTI2" s="37"/>
      <c r="OTJ2" s="37"/>
      <c r="OTK2" s="37"/>
      <c r="OTL2" s="37"/>
      <c r="OTM2" s="37"/>
      <c r="OTN2" s="37"/>
      <c r="OTO2" s="37"/>
      <c r="OTP2" s="37"/>
      <c r="OTQ2" s="37"/>
      <c r="OTR2" s="37"/>
      <c r="OTS2" s="37"/>
      <c r="OTT2" s="37"/>
      <c r="OTU2" s="37"/>
      <c r="OTV2" s="37"/>
      <c r="OTW2" s="37"/>
      <c r="OTX2" s="37"/>
      <c r="OTY2" s="37"/>
      <c r="OTZ2" s="37"/>
      <c r="OUA2" s="37"/>
      <c r="OUB2" s="37"/>
      <c r="OUC2" s="37"/>
      <c r="OUD2" s="37"/>
      <c r="OUE2" s="37"/>
      <c r="OUF2" s="37"/>
      <c r="OUG2" s="37"/>
      <c r="OUH2" s="37"/>
      <c r="OUI2" s="37"/>
      <c r="OUJ2" s="37"/>
      <c r="OUK2" s="37"/>
      <c r="OUL2" s="37"/>
      <c r="OUM2" s="37"/>
      <c r="OUN2" s="37"/>
      <c r="OUO2" s="37"/>
      <c r="OUP2" s="37"/>
      <c r="OUQ2" s="37"/>
      <c r="OUR2" s="37"/>
      <c r="OUS2" s="37"/>
      <c r="OUT2" s="37"/>
      <c r="OUU2" s="37"/>
      <c r="OUV2" s="37"/>
      <c r="OUW2" s="37"/>
      <c r="OUX2" s="37"/>
      <c r="OUY2" s="37"/>
      <c r="OUZ2" s="37"/>
      <c r="OVA2" s="37"/>
      <c r="OVB2" s="37"/>
      <c r="OVC2" s="37"/>
      <c r="OVD2" s="37"/>
      <c r="OVE2" s="37"/>
      <c r="OVF2" s="37"/>
      <c r="OVG2" s="37"/>
      <c r="OVH2" s="37"/>
      <c r="OVI2" s="37"/>
      <c r="OVJ2" s="37"/>
      <c r="OVK2" s="37"/>
      <c r="OVL2" s="37"/>
      <c r="OVM2" s="37"/>
      <c r="OVN2" s="37"/>
      <c r="OVO2" s="37"/>
      <c r="OVP2" s="37"/>
      <c r="OVQ2" s="37"/>
      <c r="OVR2" s="37"/>
      <c r="OVS2" s="37"/>
      <c r="OVT2" s="37"/>
      <c r="OVU2" s="37"/>
      <c r="OVV2" s="37"/>
      <c r="OVW2" s="37"/>
      <c r="OVX2" s="37"/>
      <c r="OVY2" s="37"/>
      <c r="OVZ2" s="37"/>
      <c r="OWA2" s="37"/>
      <c r="OWB2" s="37"/>
      <c r="OWC2" s="37"/>
      <c r="OWD2" s="37"/>
      <c r="OWE2" s="37"/>
      <c r="OWF2" s="37"/>
      <c r="OWG2" s="37"/>
      <c r="OWH2" s="37"/>
      <c r="OWI2" s="37"/>
      <c r="OWJ2" s="37"/>
      <c r="OWK2" s="37"/>
      <c r="OWL2" s="37"/>
      <c r="OWM2" s="37"/>
      <c r="OWN2" s="37"/>
      <c r="OWO2" s="37"/>
      <c r="OWP2" s="37"/>
      <c r="OWQ2" s="37"/>
      <c r="OWR2" s="37"/>
      <c r="OWS2" s="37"/>
      <c r="OWT2" s="37"/>
      <c r="OWU2" s="37"/>
      <c r="OWV2" s="37"/>
      <c r="OWW2" s="37"/>
      <c r="OWX2" s="37"/>
      <c r="OWY2" s="37"/>
      <c r="OWZ2" s="37"/>
      <c r="OXA2" s="37"/>
      <c r="OXB2" s="37"/>
      <c r="OXC2" s="37"/>
      <c r="OXD2" s="37"/>
      <c r="OXE2" s="37"/>
      <c r="OXF2" s="37"/>
      <c r="OXG2" s="37"/>
      <c r="OXH2" s="37"/>
      <c r="OXI2" s="37"/>
      <c r="OXJ2" s="37"/>
      <c r="OXK2" s="37"/>
      <c r="OXL2" s="37"/>
      <c r="OXM2" s="37"/>
      <c r="OXN2" s="37"/>
      <c r="OXO2" s="37"/>
      <c r="OXP2" s="37"/>
      <c r="OXQ2" s="37"/>
      <c r="OXR2" s="37"/>
      <c r="OXS2" s="37"/>
      <c r="OXT2" s="37"/>
      <c r="OXU2" s="37"/>
      <c r="OXV2" s="37"/>
      <c r="OXW2" s="37"/>
      <c r="OXX2" s="37"/>
      <c r="OXY2" s="37"/>
      <c r="OXZ2" s="37"/>
      <c r="OYA2" s="37"/>
      <c r="OYB2" s="37"/>
      <c r="OYC2" s="37"/>
      <c r="OYD2" s="37"/>
      <c r="OYE2" s="37"/>
      <c r="OYF2" s="37"/>
      <c r="OYG2" s="37"/>
      <c r="OYH2" s="37"/>
      <c r="OYI2" s="37"/>
      <c r="OYJ2" s="37"/>
      <c r="OYK2" s="37"/>
      <c r="OYL2" s="37"/>
      <c r="OYM2" s="37"/>
      <c r="OYN2" s="37"/>
      <c r="OYO2" s="37"/>
      <c r="OYP2" s="37"/>
      <c r="OYQ2" s="37"/>
      <c r="OYR2" s="37"/>
      <c r="OYS2" s="37"/>
      <c r="OYT2" s="37"/>
      <c r="OYU2" s="37"/>
      <c r="OYV2" s="37"/>
      <c r="OYW2" s="37"/>
      <c r="OYX2" s="37"/>
      <c r="OYY2" s="37"/>
      <c r="OYZ2" s="37"/>
      <c r="OZA2" s="37"/>
      <c r="OZB2" s="37"/>
      <c r="OZC2" s="37"/>
      <c r="OZD2" s="37"/>
      <c r="OZE2" s="37"/>
      <c r="OZF2" s="37"/>
      <c r="OZG2" s="37"/>
      <c r="OZH2" s="37"/>
      <c r="OZI2" s="37"/>
      <c r="OZJ2" s="37"/>
      <c r="OZK2" s="37"/>
      <c r="OZL2" s="37"/>
      <c r="OZM2" s="37"/>
      <c r="OZN2" s="37"/>
      <c r="OZO2" s="37"/>
      <c r="OZP2" s="37"/>
      <c r="OZQ2" s="37"/>
      <c r="OZR2" s="37"/>
      <c r="OZS2" s="37"/>
      <c r="OZT2" s="37"/>
      <c r="OZU2" s="37"/>
      <c r="OZV2" s="37"/>
      <c r="OZW2" s="37"/>
      <c r="OZX2" s="37"/>
      <c r="OZY2" s="37"/>
      <c r="OZZ2" s="37"/>
      <c r="PAA2" s="37"/>
      <c r="PAB2" s="37"/>
      <c r="PAC2" s="37"/>
      <c r="PAD2" s="37"/>
      <c r="PAE2" s="37"/>
      <c r="PAF2" s="37"/>
      <c r="PAG2" s="37"/>
      <c r="PAH2" s="37"/>
      <c r="PAI2" s="37"/>
      <c r="PAJ2" s="37"/>
      <c r="PAK2" s="37"/>
      <c r="PAL2" s="37"/>
      <c r="PAM2" s="37"/>
      <c r="PAN2" s="37"/>
      <c r="PAO2" s="37"/>
      <c r="PAP2" s="37"/>
      <c r="PAQ2" s="37"/>
      <c r="PAR2" s="37"/>
      <c r="PAS2" s="37"/>
      <c r="PAT2" s="37"/>
      <c r="PAU2" s="37"/>
      <c r="PAV2" s="37"/>
      <c r="PAW2" s="37"/>
      <c r="PAX2" s="37"/>
      <c r="PAY2" s="37"/>
      <c r="PAZ2" s="37"/>
      <c r="PBA2" s="37"/>
      <c r="PBB2" s="37"/>
      <c r="PBC2" s="37"/>
      <c r="PBD2" s="37"/>
      <c r="PBE2" s="37"/>
      <c r="PBF2" s="37"/>
      <c r="PBG2" s="37"/>
      <c r="PBH2" s="37"/>
      <c r="PBI2" s="37"/>
      <c r="PBJ2" s="37"/>
      <c r="PBK2" s="37"/>
      <c r="PBL2" s="37"/>
      <c r="PBM2" s="37"/>
      <c r="PBN2" s="37"/>
      <c r="PBO2" s="37"/>
      <c r="PBP2" s="37"/>
      <c r="PBQ2" s="37"/>
      <c r="PBR2" s="37"/>
      <c r="PBS2" s="37"/>
      <c r="PBT2" s="37"/>
      <c r="PBU2" s="37"/>
      <c r="PBV2" s="37"/>
      <c r="PBW2" s="37"/>
      <c r="PBX2" s="37"/>
      <c r="PBY2" s="37"/>
      <c r="PBZ2" s="37"/>
      <c r="PCA2" s="37"/>
      <c r="PCB2" s="37"/>
      <c r="PCC2" s="37"/>
      <c r="PCD2" s="37"/>
      <c r="PCE2" s="37"/>
      <c r="PCF2" s="37"/>
      <c r="PCG2" s="37"/>
      <c r="PCH2" s="37"/>
      <c r="PCI2" s="37"/>
      <c r="PCJ2" s="37"/>
      <c r="PCK2" s="37"/>
      <c r="PCL2" s="37"/>
      <c r="PCM2" s="37"/>
      <c r="PCN2" s="37"/>
      <c r="PCO2" s="37"/>
      <c r="PCP2" s="37"/>
      <c r="PCQ2" s="37"/>
      <c r="PCR2" s="37"/>
      <c r="PCS2" s="37"/>
      <c r="PCT2" s="37"/>
      <c r="PCU2" s="37"/>
      <c r="PCV2" s="37"/>
      <c r="PCW2" s="37"/>
      <c r="PCX2" s="37"/>
      <c r="PCY2" s="37"/>
      <c r="PCZ2" s="37"/>
      <c r="PDA2" s="37"/>
      <c r="PDB2" s="37"/>
      <c r="PDC2" s="37"/>
      <c r="PDD2" s="37"/>
      <c r="PDE2" s="37"/>
      <c r="PDF2" s="37"/>
      <c r="PDG2" s="37"/>
      <c r="PDH2" s="37"/>
      <c r="PDI2" s="37"/>
      <c r="PDJ2" s="37"/>
      <c r="PDK2" s="37"/>
      <c r="PDL2" s="37"/>
      <c r="PDM2" s="37"/>
      <c r="PDN2" s="37"/>
      <c r="PDO2" s="37"/>
      <c r="PDP2" s="37"/>
      <c r="PDQ2" s="37"/>
      <c r="PDR2" s="37"/>
      <c r="PDS2" s="37"/>
      <c r="PDT2" s="37"/>
      <c r="PDU2" s="37"/>
      <c r="PDV2" s="37"/>
      <c r="PDW2" s="37"/>
      <c r="PDX2" s="37"/>
      <c r="PDY2" s="37"/>
      <c r="PDZ2" s="37"/>
      <c r="PEA2" s="37"/>
      <c r="PEB2" s="37"/>
      <c r="PEC2" s="37"/>
      <c r="PED2" s="37"/>
      <c r="PEE2" s="37"/>
      <c r="PEF2" s="37"/>
      <c r="PEG2" s="37"/>
      <c r="PEH2" s="37"/>
      <c r="PEI2" s="37"/>
      <c r="PEJ2" s="37"/>
      <c r="PEK2" s="37"/>
      <c r="PEL2" s="37"/>
      <c r="PEM2" s="37"/>
      <c r="PEN2" s="37"/>
      <c r="PEO2" s="37"/>
      <c r="PEP2" s="37"/>
      <c r="PEQ2" s="37"/>
      <c r="PER2" s="37"/>
      <c r="PES2" s="37"/>
      <c r="PET2" s="37"/>
      <c r="PEU2" s="37"/>
      <c r="PEV2" s="37"/>
      <c r="PEW2" s="37"/>
      <c r="PEX2" s="37"/>
      <c r="PEY2" s="37"/>
      <c r="PEZ2" s="37"/>
      <c r="PFA2" s="37"/>
      <c r="PFB2" s="37"/>
      <c r="PFC2" s="37"/>
      <c r="PFD2" s="37"/>
      <c r="PFE2" s="37"/>
      <c r="PFF2" s="37"/>
      <c r="PFG2" s="37"/>
      <c r="PFH2" s="37"/>
      <c r="PFI2" s="37"/>
      <c r="PFJ2" s="37"/>
      <c r="PFK2" s="37"/>
      <c r="PFL2" s="37"/>
      <c r="PFM2" s="37"/>
      <c r="PFN2" s="37"/>
      <c r="PFO2" s="37"/>
      <c r="PFP2" s="37"/>
      <c r="PFQ2" s="37"/>
      <c r="PFR2" s="37"/>
      <c r="PFS2" s="37"/>
      <c r="PFT2" s="37"/>
      <c r="PFU2" s="37"/>
      <c r="PFV2" s="37"/>
      <c r="PFW2" s="37"/>
      <c r="PFX2" s="37"/>
      <c r="PFY2" s="37"/>
      <c r="PFZ2" s="37"/>
      <c r="PGA2" s="37"/>
      <c r="PGB2" s="37"/>
      <c r="PGC2" s="37"/>
      <c r="PGD2" s="37"/>
      <c r="PGE2" s="37"/>
      <c r="PGF2" s="37"/>
      <c r="PGG2" s="37"/>
      <c r="PGH2" s="37"/>
      <c r="PGI2" s="37"/>
      <c r="PGJ2" s="37"/>
      <c r="PGK2" s="37"/>
      <c r="PGL2" s="37"/>
      <c r="PGM2" s="37"/>
      <c r="PGN2" s="37"/>
      <c r="PGO2" s="37"/>
      <c r="PGP2" s="37"/>
      <c r="PGQ2" s="37"/>
      <c r="PGR2" s="37"/>
      <c r="PGS2" s="37"/>
      <c r="PGT2" s="37"/>
      <c r="PGU2" s="37"/>
      <c r="PGV2" s="37"/>
      <c r="PGW2" s="37"/>
      <c r="PGX2" s="37"/>
      <c r="PGY2" s="37"/>
      <c r="PGZ2" s="37"/>
      <c r="PHA2" s="37"/>
      <c r="PHB2" s="37"/>
      <c r="PHC2" s="37"/>
      <c r="PHD2" s="37"/>
      <c r="PHE2" s="37"/>
      <c r="PHF2" s="37"/>
      <c r="PHG2" s="37"/>
      <c r="PHH2" s="37"/>
      <c r="PHI2" s="37"/>
      <c r="PHJ2" s="37"/>
      <c r="PHK2" s="37"/>
      <c r="PHL2" s="37"/>
      <c r="PHM2" s="37"/>
      <c r="PHN2" s="37"/>
      <c r="PHO2" s="37"/>
      <c r="PHP2" s="37"/>
      <c r="PHQ2" s="37"/>
      <c r="PHR2" s="37"/>
      <c r="PHS2" s="37"/>
      <c r="PHT2" s="37"/>
      <c r="PHU2" s="37"/>
      <c r="PHV2" s="37"/>
      <c r="PHW2" s="37"/>
      <c r="PHX2" s="37"/>
      <c r="PHY2" s="37"/>
      <c r="PHZ2" s="37"/>
      <c r="PIA2" s="37"/>
      <c r="PIB2" s="37"/>
      <c r="PIC2" s="37"/>
      <c r="PID2" s="37"/>
      <c r="PIE2" s="37"/>
      <c r="PIF2" s="37"/>
      <c r="PIG2" s="37"/>
      <c r="PIH2" s="37"/>
      <c r="PII2" s="37"/>
      <c r="PIJ2" s="37"/>
      <c r="PIK2" s="37"/>
      <c r="PIL2" s="37"/>
      <c r="PIM2" s="37"/>
      <c r="PIN2" s="37"/>
      <c r="PIO2" s="37"/>
      <c r="PIP2" s="37"/>
      <c r="PIQ2" s="37"/>
      <c r="PIR2" s="37"/>
      <c r="PIS2" s="37"/>
      <c r="PIT2" s="37"/>
      <c r="PIU2" s="37"/>
      <c r="PIV2" s="37"/>
      <c r="PIW2" s="37"/>
      <c r="PIX2" s="37"/>
      <c r="PIY2" s="37"/>
      <c r="PIZ2" s="37"/>
      <c r="PJA2" s="37"/>
      <c r="PJB2" s="37"/>
      <c r="PJC2" s="37"/>
      <c r="PJD2" s="37"/>
      <c r="PJE2" s="37"/>
      <c r="PJF2" s="37"/>
      <c r="PJG2" s="37"/>
      <c r="PJH2" s="37"/>
      <c r="PJI2" s="37"/>
      <c r="PJJ2" s="37"/>
      <c r="PJK2" s="37"/>
      <c r="PJL2" s="37"/>
      <c r="PJM2" s="37"/>
      <c r="PJN2" s="37"/>
      <c r="PJO2" s="37"/>
      <c r="PJP2" s="37"/>
      <c r="PJQ2" s="37"/>
      <c r="PJR2" s="37"/>
      <c r="PJS2" s="37"/>
      <c r="PJT2" s="37"/>
      <c r="PJU2" s="37"/>
      <c r="PJV2" s="37"/>
      <c r="PJW2" s="37"/>
      <c r="PJX2" s="37"/>
      <c r="PJY2" s="37"/>
      <c r="PJZ2" s="37"/>
      <c r="PKA2" s="37"/>
      <c r="PKB2" s="37"/>
      <c r="PKC2" s="37"/>
      <c r="PKD2" s="37"/>
      <c r="PKE2" s="37"/>
      <c r="PKF2" s="37"/>
      <c r="PKG2" s="37"/>
      <c r="PKH2" s="37"/>
      <c r="PKI2" s="37"/>
      <c r="PKJ2" s="37"/>
      <c r="PKK2" s="37"/>
      <c r="PKL2" s="37"/>
      <c r="PKM2" s="37"/>
      <c r="PKN2" s="37"/>
      <c r="PKO2" s="37"/>
      <c r="PKP2" s="37"/>
      <c r="PKQ2" s="37"/>
      <c r="PKR2" s="37"/>
      <c r="PKS2" s="37"/>
      <c r="PKT2" s="37"/>
      <c r="PKU2" s="37"/>
      <c r="PKV2" s="37"/>
      <c r="PKW2" s="37"/>
      <c r="PKX2" s="37"/>
      <c r="PKY2" s="37"/>
      <c r="PKZ2" s="37"/>
      <c r="PLA2" s="37"/>
      <c r="PLB2" s="37"/>
      <c r="PLC2" s="37"/>
      <c r="PLD2" s="37"/>
      <c r="PLE2" s="37"/>
      <c r="PLF2" s="37"/>
      <c r="PLG2" s="37"/>
      <c r="PLH2" s="37"/>
      <c r="PLI2" s="37"/>
      <c r="PLJ2" s="37"/>
      <c r="PLK2" s="37"/>
      <c r="PLL2" s="37"/>
      <c r="PLM2" s="37"/>
      <c r="PLN2" s="37"/>
      <c r="PLO2" s="37"/>
      <c r="PLP2" s="37"/>
      <c r="PLQ2" s="37"/>
      <c r="PLR2" s="37"/>
      <c r="PLS2" s="37"/>
      <c r="PLT2" s="37"/>
      <c r="PLU2" s="37"/>
      <c r="PLV2" s="37"/>
      <c r="PLW2" s="37"/>
      <c r="PLX2" s="37"/>
      <c r="PLY2" s="37"/>
      <c r="PLZ2" s="37"/>
      <c r="PMA2" s="37"/>
      <c r="PMB2" s="37"/>
      <c r="PMC2" s="37"/>
      <c r="PMD2" s="37"/>
      <c r="PME2" s="37"/>
      <c r="PMF2" s="37"/>
      <c r="PMG2" s="37"/>
      <c r="PMH2" s="37"/>
      <c r="PMI2" s="37"/>
      <c r="PMJ2" s="37"/>
      <c r="PMK2" s="37"/>
      <c r="PML2" s="37"/>
      <c r="PMM2" s="37"/>
      <c r="PMN2" s="37"/>
      <c r="PMO2" s="37"/>
      <c r="PMP2" s="37"/>
      <c r="PMQ2" s="37"/>
      <c r="PMR2" s="37"/>
      <c r="PMS2" s="37"/>
      <c r="PMT2" s="37"/>
      <c r="PMU2" s="37"/>
      <c r="PMV2" s="37"/>
      <c r="PMW2" s="37"/>
      <c r="PMX2" s="37"/>
      <c r="PMY2" s="37"/>
      <c r="PMZ2" s="37"/>
      <c r="PNA2" s="37"/>
      <c r="PNB2" s="37"/>
      <c r="PNC2" s="37"/>
      <c r="PND2" s="37"/>
      <c r="PNE2" s="37"/>
      <c r="PNF2" s="37"/>
      <c r="PNG2" s="37"/>
      <c r="PNH2" s="37"/>
      <c r="PNI2" s="37"/>
      <c r="PNJ2" s="37"/>
      <c r="PNK2" s="37"/>
      <c r="PNL2" s="37"/>
      <c r="PNM2" s="37"/>
      <c r="PNN2" s="37"/>
      <c r="PNO2" s="37"/>
      <c r="PNP2" s="37"/>
      <c r="PNQ2" s="37"/>
      <c r="PNR2" s="37"/>
      <c r="PNS2" s="37"/>
      <c r="PNT2" s="37"/>
      <c r="PNU2" s="37"/>
      <c r="PNV2" s="37"/>
      <c r="PNW2" s="37"/>
      <c r="PNX2" s="37"/>
      <c r="PNY2" s="37"/>
      <c r="PNZ2" s="37"/>
      <c r="POA2" s="37"/>
      <c r="POB2" s="37"/>
      <c r="POC2" s="37"/>
      <c r="POD2" s="37"/>
      <c r="POE2" s="37"/>
      <c r="POF2" s="37"/>
      <c r="POG2" s="37"/>
      <c r="POH2" s="37"/>
      <c r="POI2" s="37"/>
      <c r="POJ2" s="37"/>
      <c r="POK2" s="37"/>
      <c r="POL2" s="37"/>
      <c r="POM2" s="37"/>
      <c r="PON2" s="37"/>
      <c r="POO2" s="37"/>
      <c r="POP2" s="37"/>
      <c r="POQ2" s="37"/>
      <c r="POR2" s="37"/>
      <c r="POS2" s="37"/>
      <c r="POT2" s="37"/>
      <c r="POU2" s="37"/>
      <c r="POV2" s="37"/>
      <c r="POW2" s="37"/>
      <c r="POX2" s="37"/>
      <c r="POY2" s="37"/>
      <c r="POZ2" s="37"/>
      <c r="PPA2" s="37"/>
      <c r="PPB2" s="37"/>
      <c r="PPC2" s="37"/>
      <c r="PPD2" s="37"/>
      <c r="PPE2" s="37"/>
      <c r="PPF2" s="37"/>
      <c r="PPG2" s="37"/>
      <c r="PPH2" s="37"/>
      <c r="PPI2" s="37"/>
      <c r="PPJ2" s="37"/>
      <c r="PPK2" s="37"/>
      <c r="PPL2" s="37"/>
      <c r="PPM2" s="37"/>
      <c r="PPN2" s="37"/>
      <c r="PPO2" s="37"/>
      <c r="PPP2" s="37"/>
      <c r="PPQ2" s="37"/>
      <c r="PPR2" s="37"/>
      <c r="PPS2" s="37"/>
      <c r="PPT2" s="37"/>
      <c r="PPU2" s="37"/>
      <c r="PPV2" s="37"/>
      <c r="PPW2" s="37"/>
      <c r="PPX2" s="37"/>
      <c r="PPY2" s="37"/>
      <c r="PPZ2" s="37"/>
      <c r="PQA2" s="37"/>
      <c r="PQB2" s="37"/>
      <c r="PQC2" s="37"/>
      <c r="PQD2" s="37"/>
      <c r="PQE2" s="37"/>
      <c r="PQF2" s="37"/>
      <c r="PQG2" s="37"/>
      <c r="PQH2" s="37"/>
      <c r="PQI2" s="37"/>
      <c r="PQJ2" s="37"/>
      <c r="PQK2" s="37"/>
      <c r="PQL2" s="37"/>
      <c r="PQM2" s="37"/>
      <c r="PQN2" s="37"/>
      <c r="PQO2" s="37"/>
      <c r="PQP2" s="37"/>
      <c r="PQQ2" s="37"/>
      <c r="PQR2" s="37"/>
      <c r="PQS2" s="37"/>
      <c r="PQT2" s="37"/>
      <c r="PQU2" s="37"/>
      <c r="PQV2" s="37"/>
      <c r="PQW2" s="37"/>
      <c r="PQX2" s="37"/>
      <c r="PQY2" s="37"/>
      <c r="PQZ2" s="37"/>
      <c r="PRA2" s="37"/>
      <c r="PRB2" s="37"/>
      <c r="PRC2" s="37"/>
      <c r="PRD2" s="37"/>
      <c r="PRE2" s="37"/>
      <c r="PRF2" s="37"/>
      <c r="PRG2" s="37"/>
      <c r="PRH2" s="37"/>
      <c r="PRI2" s="37"/>
      <c r="PRJ2" s="37"/>
      <c r="PRK2" s="37"/>
      <c r="PRL2" s="37"/>
      <c r="PRM2" s="37"/>
      <c r="PRN2" s="37"/>
      <c r="PRO2" s="37"/>
      <c r="PRP2" s="37"/>
      <c r="PRQ2" s="37"/>
      <c r="PRR2" s="37"/>
      <c r="PRS2" s="37"/>
      <c r="PRT2" s="37"/>
      <c r="PRU2" s="37"/>
      <c r="PRV2" s="37"/>
      <c r="PRW2" s="37"/>
      <c r="PRX2" s="37"/>
      <c r="PRY2" s="37"/>
      <c r="PRZ2" s="37"/>
      <c r="PSA2" s="37"/>
      <c r="PSB2" s="37"/>
      <c r="PSC2" s="37"/>
      <c r="PSD2" s="37"/>
      <c r="PSE2" s="37"/>
      <c r="PSF2" s="37"/>
      <c r="PSG2" s="37"/>
      <c r="PSH2" s="37"/>
      <c r="PSI2" s="37"/>
      <c r="PSJ2" s="37"/>
      <c r="PSK2" s="37"/>
      <c r="PSL2" s="37"/>
      <c r="PSM2" s="37"/>
      <c r="PSN2" s="37"/>
      <c r="PSO2" s="37"/>
      <c r="PSP2" s="37"/>
      <c r="PSQ2" s="37"/>
      <c r="PSR2" s="37"/>
      <c r="PSS2" s="37"/>
      <c r="PST2" s="37"/>
      <c r="PSU2" s="37"/>
      <c r="PSV2" s="37"/>
      <c r="PSW2" s="37"/>
      <c r="PSX2" s="37"/>
      <c r="PSY2" s="37"/>
      <c r="PSZ2" s="37"/>
      <c r="PTA2" s="37"/>
      <c r="PTB2" s="37"/>
      <c r="PTC2" s="37"/>
      <c r="PTD2" s="37"/>
      <c r="PTE2" s="37"/>
      <c r="PTF2" s="37"/>
      <c r="PTG2" s="37"/>
      <c r="PTH2" s="37"/>
      <c r="PTI2" s="37"/>
      <c r="PTJ2" s="37"/>
      <c r="PTK2" s="37"/>
      <c r="PTL2" s="37"/>
      <c r="PTM2" s="37"/>
      <c r="PTN2" s="37"/>
      <c r="PTO2" s="37"/>
      <c r="PTP2" s="37"/>
      <c r="PTQ2" s="37"/>
      <c r="PTR2" s="37"/>
      <c r="PTS2" s="37"/>
      <c r="PTT2" s="37"/>
      <c r="PTU2" s="37"/>
      <c r="PTV2" s="37"/>
      <c r="PTW2" s="37"/>
      <c r="PTX2" s="37"/>
      <c r="PTY2" s="37"/>
      <c r="PTZ2" s="37"/>
      <c r="PUA2" s="37"/>
      <c r="PUB2" s="37"/>
      <c r="PUC2" s="37"/>
      <c r="PUD2" s="37"/>
      <c r="PUE2" s="37"/>
      <c r="PUF2" s="37"/>
      <c r="PUG2" s="37"/>
      <c r="PUH2" s="37"/>
      <c r="PUI2" s="37"/>
      <c r="PUJ2" s="37"/>
      <c r="PUK2" s="37"/>
      <c r="PUL2" s="37"/>
      <c r="PUM2" s="37"/>
      <c r="PUN2" s="37"/>
      <c r="PUO2" s="37"/>
      <c r="PUP2" s="37"/>
      <c r="PUQ2" s="37"/>
      <c r="PUR2" s="37"/>
      <c r="PUS2" s="37"/>
      <c r="PUT2" s="37"/>
      <c r="PUU2" s="37"/>
      <c r="PUV2" s="37"/>
      <c r="PUW2" s="37"/>
      <c r="PUX2" s="37"/>
      <c r="PUY2" s="37"/>
      <c r="PUZ2" s="37"/>
      <c r="PVA2" s="37"/>
      <c r="PVB2" s="37"/>
      <c r="PVC2" s="37"/>
      <c r="PVD2" s="37"/>
      <c r="PVE2" s="37"/>
      <c r="PVF2" s="37"/>
      <c r="PVG2" s="37"/>
      <c r="PVH2" s="37"/>
      <c r="PVI2" s="37"/>
      <c r="PVJ2" s="37"/>
      <c r="PVK2" s="37"/>
      <c r="PVL2" s="37"/>
      <c r="PVM2" s="37"/>
      <c r="PVN2" s="37"/>
      <c r="PVO2" s="37"/>
      <c r="PVP2" s="37"/>
      <c r="PVQ2" s="37"/>
      <c r="PVR2" s="37"/>
      <c r="PVS2" s="37"/>
      <c r="PVT2" s="37"/>
      <c r="PVU2" s="37"/>
      <c r="PVV2" s="37"/>
      <c r="PVW2" s="37"/>
      <c r="PVX2" s="37"/>
      <c r="PVY2" s="37"/>
      <c r="PVZ2" s="37"/>
      <c r="PWA2" s="37"/>
      <c r="PWB2" s="37"/>
      <c r="PWC2" s="37"/>
      <c r="PWD2" s="37"/>
      <c r="PWE2" s="37"/>
      <c r="PWF2" s="37"/>
      <c r="PWG2" s="37"/>
      <c r="PWH2" s="37"/>
      <c r="PWI2" s="37"/>
      <c r="PWJ2" s="37"/>
      <c r="PWK2" s="37"/>
      <c r="PWL2" s="37"/>
      <c r="PWM2" s="37"/>
      <c r="PWN2" s="37"/>
      <c r="PWO2" s="37"/>
      <c r="PWP2" s="37"/>
      <c r="PWQ2" s="37"/>
      <c r="PWR2" s="37"/>
      <c r="PWS2" s="37"/>
      <c r="PWT2" s="37"/>
      <c r="PWU2" s="37"/>
      <c r="PWV2" s="37"/>
      <c r="PWW2" s="37"/>
      <c r="PWX2" s="37"/>
      <c r="PWY2" s="37"/>
      <c r="PWZ2" s="37"/>
      <c r="PXA2" s="37"/>
      <c r="PXB2" s="37"/>
      <c r="PXC2" s="37"/>
      <c r="PXD2" s="37"/>
      <c r="PXE2" s="37"/>
      <c r="PXF2" s="37"/>
      <c r="PXG2" s="37"/>
      <c r="PXH2" s="37"/>
      <c r="PXI2" s="37"/>
      <c r="PXJ2" s="37"/>
      <c r="PXK2" s="37"/>
      <c r="PXL2" s="37"/>
      <c r="PXM2" s="37"/>
      <c r="PXN2" s="37"/>
      <c r="PXO2" s="37"/>
      <c r="PXP2" s="37"/>
      <c r="PXQ2" s="37"/>
      <c r="PXR2" s="37"/>
      <c r="PXS2" s="37"/>
      <c r="PXT2" s="37"/>
      <c r="PXU2" s="37"/>
      <c r="PXV2" s="37"/>
      <c r="PXW2" s="37"/>
      <c r="PXX2" s="37"/>
      <c r="PXY2" s="37"/>
      <c r="PXZ2" s="37"/>
      <c r="PYA2" s="37"/>
      <c r="PYB2" s="37"/>
      <c r="PYC2" s="37"/>
      <c r="PYD2" s="37"/>
      <c r="PYE2" s="37"/>
      <c r="PYF2" s="37"/>
      <c r="PYG2" s="37"/>
      <c r="PYH2" s="37"/>
      <c r="PYI2" s="37"/>
      <c r="PYJ2" s="37"/>
      <c r="PYK2" s="37"/>
      <c r="PYL2" s="37"/>
      <c r="PYM2" s="37"/>
      <c r="PYN2" s="37"/>
      <c r="PYO2" s="37"/>
      <c r="PYP2" s="37"/>
      <c r="PYQ2" s="37"/>
      <c r="PYR2" s="37"/>
      <c r="PYS2" s="37"/>
      <c r="PYT2" s="37"/>
      <c r="PYU2" s="37"/>
      <c r="PYV2" s="37"/>
      <c r="PYW2" s="37"/>
      <c r="PYX2" s="37"/>
      <c r="PYY2" s="37"/>
      <c r="PYZ2" s="37"/>
      <c r="PZA2" s="37"/>
      <c r="PZB2" s="37"/>
      <c r="PZC2" s="37"/>
      <c r="PZD2" s="37"/>
      <c r="PZE2" s="37"/>
      <c r="PZF2" s="37"/>
      <c r="PZG2" s="37"/>
      <c r="PZH2" s="37"/>
      <c r="PZI2" s="37"/>
      <c r="PZJ2" s="37"/>
      <c r="PZK2" s="37"/>
      <c r="PZL2" s="37"/>
      <c r="PZM2" s="37"/>
      <c r="PZN2" s="37"/>
      <c r="PZO2" s="37"/>
      <c r="PZP2" s="37"/>
      <c r="PZQ2" s="37"/>
      <c r="PZR2" s="37"/>
      <c r="PZS2" s="37"/>
      <c r="PZT2" s="37"/>
      <c r="PZU2" s="37"/>
      <c r="PZV2" s="37"/>
      <c r="PZW2" s="37"/>
      <c r="PZX2" s="37"/>
      <c r="PZY2" s="37"/>
      <c r="PZZ2" s="37"/>
      <c r="QAA2" s="37"/>
      <c r="QAB2" s="37"/>
      <c r="QAC2" s="37"/>
      <c r="QAD2" s="37"/>
      <c r="QAE2" s="37"/>
      <c r="QAF2" s="37"/>
      <c r="QAG2" s="37"/>
      <c r="QAH2" s="37"/>
      <c r="QAI2" s="37"/>
      <c r="QAJ2" s="37"/>
      <c r="QAK2" s="37"/>
      <c r="QAL2" s="37"/>
      <c r="QAM2" s="37"/>
      <c r="QAN2" s="37"/>
      <c r="QAO2" s="37"/>
      <c r="QAP2" s="37"/>
      <c r="QAQ2" s="37"/>
      <c r="QAR2" s="37"/>
      <c r="QAS2" s="37"/>
      <c r="QAT2" s="37"/>
      <c r="QAU2" s="37"/>
      <c r="QAV2" s="37"/>
      <c r="QAW2" s="37"/>
      <c r="QAX2" s="37"/>
      <c r="QAY2" s="37"/>
      <c r="QAZ2" s="37"/>
      <c r="QBA2" s="37"/>
      <c r="QBB2" s="37"/>
      <c r="QBC2" s="37"/>
      <c r="QBD2" s="37"/>
      <c r="QBE2" s="37"/>
      <c r="QBF2" s="37"/>
      <c r="QBG2" s="37"/>
      <c r="QBH2" s="37"/>
      <c r="QBI2" s="37"/>
      <c r="QBJ2" s="37"/>
      <c r="QBK2" s="37"/>
      <c r="QBL2" s="37"/>
      <c r="QBM2" s="37"/>
      <c r="QBN2" s="37"/>
      <c r="QBO2" s="37"/>
      <c r="QBP2" s="37"/>
      <c r="QBQ2" s="37"/>
      <c r="QBR2" s="37"/>
      <c r="QBS2" s="37"/>
      <c r="QBT2" s="37"/>
      <c r="QBU2" s="37"/>
      <c r="QBV2" s="37"/>
      <c r="QBW2" s="37"/>
      <c r="QBX2" s="37"/>
      <c r="QBY2" s="37"/>
      <c r="QBZ2" s="37"/>
      <c r="QCA2" s="37"/>
      <c r="QCB2" s="37"/>
      <c r="QCC2" s="37"/>
      <c r="QCD2" s="37"/>
      <c r="QCE2" s="37"/>
      <c r="QCF2" s="37"/>
      <c r="QCG2" s="37"/>
      <c r="QCH2" s="37"/>
      <c r="QCI2" s="37"/>
      <c r="QCJ2" s="37"/>
      <c r="QCK2" s="37"/>
      <c r="QCL2" s="37"/>
      <c r="QCM2" s="37"/>
      <c r="QCN2" s="37"/>
      <c r="QCO2" s="37"/>
      <c r="QCP2" s="37"/>
      <c r="QCQ2" s="37"/>
      <c r="QCR2" s="37"/>
      <c r="QCS2" s="37"/>
      <c r="QCT2" s="37"/>
      <c r="QCU2" s="37"/>
      <c r="QCV2" s="37"/>
      <c r="QCW2" s="37"/>
      <c r="QCX2" s="37"/>
      <c r="QCY2" s="37"/>
      <c r="QCZ2" s="37"/>
      <c r="QDA2" s="37"/>
      <c r="QDB2" s="37"/>
      <c r="QDC2" s="37"/>
      <c r="QDD2" s="37"/>
      <c r="QDE2" s="37"/>
      <c r="QDF2" s="37"/>
      <c r="QDG2" s="37"/>
      <c r="QDH2" s="37"/>
      <c r="QDI2" s="37"/>
      <c r="QDJ2" s="37"/>
      <c r="QDK2" s="37"/>
      <c r="QDL2" s="37"/>
      <c r="QDM2" s="37"/>
      <c r="QDN2" s="37"/>
      <c r="QDO2" s="37"/>
      <c r="QDP2" s="37"/>
      <c r="QDQ2" s="37"/>
      <c r="QDR2" s="37"/>
      <c r="QDS2" s="37"/>
      <c r="QDT2" s="37"/>
      <c r="QDU2" s="37"/>
      <c r="QDV2" s="37"/>
      <c r="QDW2" s="37"/>
      <c r="QDX2" s="37"/>
      <c r="QDY2" s="37"/>
      <c r="QDZ2" s="37"/>
      <c r="QEA2" s="37"/>
      <c r="QEB2" s="37"/>
      <c r="QEC2" s="37"/>
      <c r="QED2" s="37"/>
      <c r="QEE2" s="37"/>
      <c r="QEF2" s="37"/>
      <c r="QEG2" s="37"/>
      <c r="QEH2" s="37"/>
      <c r="QEI2" s="37"/>
      <c r="QEJ2" s="37"/>
      <c r="QEK2" s="37"/>
      <c r="QEL2" s="37"/>
      <c r="QEM2" s="37"/>
      <c r="QEN2" s="37"/>
      <c r="QEO2" s="37"/>
      <c r="QEP2" s="37"/>
      <c r="QEQ2" s="37"/>
      <c r="QER2" s="37"/>
      <c r="QES2" s="37"/>
      <c r="QET2" s="37"/>
      <c r="QEU2" s="37"/>
      <c r="QEV2" s="37"/>
      <c r="QEW2" s="37"/>
      <c r="QEX2" s="37"/>
      <c r="QEY2" s="37"/>
      <c r="QEZ2" s="37"/>
      <c r="QFA2" s="37"/>
      <c r="QFB2" s="37"/>
      <c r="QFC2" s="37"/>
      <c r="QFD2" s="37"/>
      <c r="QFE2" s="37"/>
      <c r="QFF2" s="37"/>
      <c r="QFG2" s="37"/>
      <c r="QFH2" s="37"/>
      <c r="QFI2" s="37"/>
      <c r="QFJ2" s="37"/>
      <c r="QFK2" s="37"/>
      <c r="QFL2" s="37"/>
      <c r="QFM2" s="37"/>
      <c r="QFN2" s="37"/>
      <c r="QFO2" s="37"/>
      <c r="QFP2" s="37"/>
      <c r="QFQ2" s="37"/>
      <c r="QFR2" s="37"/>
      <c r="QFS2" s="37"/>
      <c r="QFT2" s="37"/>
      <c r="QFU2" s="37"/>
      <c r="QFV2" s="37"/>
      <c r="QFW2" s="37"/>
      <c r="QFX2" s="37"/>
      <c r="QFY2" s="37"/>
      <c r="QFZ2" s="37"/>
      <c r="QGA2" s="37"/>
      <c r="QGB2" s="37"/>
      <c r="QGC2" s="37"/>
      <c r="QGD2" s="37"/>
      <c r="QGE2" s="37"/>
      <c r="QGF2" s="37"/>
      <c r="QGG2" s="37"/>
      <c r="QGH2" s="37"/>
      <c r="QGI2" s="37"/>
      <c r="QGJ2" s="37"/>
      <c r="QGK2" s="37"/>
      <c r="QGL2" s="37"/>
      <c r="QGM2" s="37"/>
      <c r="QGN2" s="37"/>
      <c r="QGO2" s="37"/>
      <c r="QGP2" s="37"/>
      <c r="QGQ2" s="37"/>
      <c r="QGR2" s="37"/>
      <c r="QGS2" s="37"/>
      <c r="QGT2" s="37"/>
      <c r="QGU2" s="37"/>
      <c r="QGV2" s="37"/>
      <c r="QGW2" s="37"/>
      <c r="QGX2" s="37"/>
      <c r="QGY2" s="37"/>
      <c r="QGZ2" s="37"/>
      <c r="QHA2" s="37"/>
      <c r="QHB2" s="37"/>
      <c r="QHC2" s="37"/>
      <c r="QHD2" s="37"/>
      <c r="QHE2" s="37"/>
      <c r="QHF2" s="37"/>
      <c r="QHG2" s="37"/>
      <c r="QHH2" s="37"/>
      <c r="QHI2" s="37"/>
      <c r="QHJ2" s="37"/>
      <c r="QHK2" s="37"/>
      <c r="QHL2" s="37"/>
      <c r="QHM2" s="37"/>
      <c r="QHN2" s="37"/>
      <c r="QHO2" s="37"/>
      <c r="QHP2" s="37"/>
      <c r="QHQ2" s="37"/>
      <c r="QHR2" s="37"/>
      <c r="QHS2" s="37"/>
      <c r="QHT2" s="37"/>
      <c r="QHU2" s="37"/>
      <c r="QHV2" s="37"/>
      <c r="QHW2" s="37"/>
      <c r="QHX2" s="37"/>
      <c r="QHY2" s="37"/>
      <c r="QHZ2" s="37"/>
      <c r="QIA2" s="37"/>
      <c r="QIB2" s="37"/>
      <c r="QIC2" s="37"/>
      <c r="QID2" s="37"/>
      <c r="QIE2" s="37"/>
      <c r="QIF2" s="37"/>
      <c r="QIG2" s="37"/>
      <c r="QIH2" s="37"/>
      <c r="QII2" s="37"/>
      <c r="QIJ2" s="37"/>
      <c r="QIK2" s="37"/>
      <c r="QIL2" s="37"/>
      <c r="QIM2" s="37"/>
      <c r="QIN2" s="37"/>
      <c r="QIO2" s="37"/>
      <c r="QIP2" s="37"/>
      <c r="QIQ2" s="37"/>
      <c r="QIR2" s="37"/>
      <c r="QIS2" s="37"/>
      <c r="QIT2" s="37"/>
      <c r="QIU2" s="37"/>
      <c r="QIV2" s="37"/>
      <c r="QIW2" s="37"/>
      <c r="QIX2" s="37"/>
      <c r="QIY2" s="37"/>
      <c r="QIZ2" s="37"/>
      <c r="QJA2" s="37"/>
      <c r="QJB2" s="37"/>
      <c r="QJC2" s="37"/>
      <c r="QJD2" s="37"/>
      <c r="QJE2" s="37"/>
      <c r="QJF2" s="37"/>
      <c r="QJG2" s="37"/>
      <c r="QJH2" s="37"/>
      <c r="QJI2" s="37"/>
      <c r="QJJ2" s="37"/>
      <c r="QJK2" s="37"/>
      <c r="QJL2" s="37"/>
      <c r="QJM2" s="37"/>
      <c r="QJN2" s="37"/>
      <c r="QJO2" s="37"/>
      <c r="QJP2" s="37"/>
      <c r="QJQ2" s="37"/>
      <c r="QJR2" s="37"/>
      <c r="QJS2" s="37"/>
      <c r="QJT2" s="37"/>
      <c r="QJU2" s="37"/>
      <c r="QJV2" s="37"/>
      <c r="QJW2" s="37"/>
      <c r="QJX2" s="37"/>
      <c r="QJY2" s="37"/>
      <c r="QJZ2" s="37"/>
      <c r="QKA2" s="37"/>
      <c r="QKB2" s="37"/>
      <c r="QKC2" s="37"/>
      <c r="QKD2" s="37"/>
      <c r="QKE2" s="37"/>
      <c r="QKF2" s="37"/>
      <c r="QKG2" s="37"/>
      <c r="QKH2" s="37"/>
      <c r="QKI2" s="37"/>
      <c r="QKJ2" s="37"/>
      <c r="QKK2" s="37"/>
      <c r="QKL2" s="37"/>
      <c r="QKM2" s="37"/>
      <c r="QKN2" s="37"/>
      <c r="QKO2" s="37"/>
      <c r="QKP2" s="37"/>
      <c r="QKQ2" s="37"/>
      <c r="QKR2" s="37"/>
      <c r="QKS2" s="37"/>
      <c r="QKT2" s="37"/>
      <c r="QKU2" s="37"/>
      <c r="QKV2" s="37"/>
      <c r="QKW2" s="37"/>
      <c r="QKX2" s="37"/>
      <c r="QKY2" s="37"/>
      <c r="QKZ2" s="37"/>
      <c r="QLA2" s="37"/>
      <c r="QLB2" s="37"/>
      <c r="QLC2" s="37"/>
      <c r="QLD2" s="37"/>
      <c r="QLE2" s="37"/>
      <c r="QLF2" s="37"/>
      <c r="QLG2" s="37"/>
      <c r="QLH2" s="37"/>
      <c r="QLI2" s="37"/>
      <c r="QLJ2" s="37"/>
      <c r="QLK2" s="37"/>
      <c r="QLL2" s="37"/>
      <c r="QLM2" s="37"/>
      <c r="QLN2" s="37"/>
      <c r="QLO2" s="37"/>
      <c r="QLP2" s="37"/>
      <c r="QLQ2" s="37"/>
      <c r="QLR2" s="37"/>
      <c r="QLS2" s="37"/>
      <c r="QLT2" s="37"/>
      <c r="QLU2" s="37"/>
      <c r="QLV2" s="37"/>
      <c r="QLW2" s="37"/>
      <c r="QLX2" s="37"/>
      <c r="QLY2" s="37"/>
      <c r="QLZ2" s="37"/>
      <c r="QMA2" s="37"/>
      <c r="QMB2" s="37"/>
      <c r="QMC2" s="37"/>
      <c r="QMD2" s="37"/>
      <c r="QME2" s="37"/>
      <c r="QMF2" s="37"/>
      <c r="QMG2" s="37"/>
      <c r="QMH2" s="37"/>
      <c r="QMI2" s="37"/>
      <c r="QMJ2" s="37"/>
      <c r="QMK2" s="37"/>
      <c r="QML2" s="37"/>
      <c r="QMM2" s="37"/>
      <c r="QMN2" s="37"/>
      <c r="QMO2" s="37"/>
      <c r="QMP2" s="37"/>
      <c r="QMQ2" s="37"/>
      <c r="QMR2" s="37"/>
      <c r="QMS2" s="37"/>
      <c r="QMT2" s="37"/>
      <c r="QMU2" s="37"/>
      <c r="QMV2" s="37"/>
      <c r="QMW2" s="37"/>
      <c r="QMX2" s="37"/>
      <c r="QMY2" s="37"/>
      <c r="QMZ2" s="37"/>
      <c r="QNA2" s="37"/>
      <c r="QNB2" s="37"/>
      <c r="QNC2" s="37"/>
      <c r="QND2" s="37"/>
      <c r="QNE2" s="37"/>
      <c r="QNF2" s="37"/>
      <c r="QNG2" s="37"/>
      <c r="QNH2" s="37"/>
      <c r="QNI2" s="37"/>
      <c r="QNJ2" s="37"/>
      <c r="QNK2" s="37"/>
      <c r="QNL2" s="37"/>
      <c r="QNM2" s="37"/>
      <c r="QNN2" s="37"/>
      <c r="QNO2" s="37"/>
      <c r="QNP2" s="37"/>
      <c r="QNQ2" s="37"/>
      <c r="QNR2" s="37"/>
      <c r="QNS2" s="37"/>
      <c r="QNT2" s="37"/>
      <c r="QNU2" s="37"/>
      <c r="QNV2" s="37"/>
      <c r="QNW2" s="37"/>
      <c r="QNX2" s="37"/>
      <c r="QNY2" s="37"/>
      <c r="QNZ2" s="37"/>
      <c r="QOA2" s="37"/>
      <c r="QOB2" s="37"/>
      <c r="QOC2" s="37"/>
      <c r="QOD2" s="37"/>
      <c r="QOE2" s="37"/>
      <c r="QOF2" s="37"/>
      <c r="QOG2" s="37"/>
      <c r="QOH2" s="37"/>
      <c r="QOI2" s="37"/>
      <c r="QOJ2" s="37"/>
      <c r="QOK2" s="37"/>
      <c r="QOL2" s="37"/>
      <c r="QOM2" s="37"/>
      <c r="QON2" s="37"/>
      <c r="QOO2" s="37"/>
      <c r="QOP2" s="37"/>
      <c r="QOQ2" s="37"/>
      <c r="QOR2" s="37"/>
      <c r="QOS2" s="37"/>
      <c r="QOT2" s="37"/>
      <c r="QOU2" s="37"/>
      <c r="QOV2" s="37"/>
      <c r="QOW2" s="37"/>
      <c r="QOX2" s="37"/>
      <c r="QOY2" s="37"/>
      <c r="QOZ2" s="37"/>
      <c r="QPA2" s="37"/>
      <c r="QPB2" s="37"/>
      <c r="QPC2" s="37"/>
      <c r="QPD2" s="37"/>
      <c r="QPE2" s="37"/>
      <c r="QPF2" s="37"/>
      <c r="QPG2" s="37"/>
      <c r="QPH2" s="37"/>
      <c r="QPI2" s="37"/>
      <c r="QPJ2" s="37"/>
      <c r="QPK2" s="37"/>
      <c r="QPL2" s="37"/>
      <c r="QPM2" s="37"/>
      <c r="QPN2" s="37"/>
      <c r="QPO2" s="37"/>
      <c r="QPP2" s="37"/>
      <c r="QPQ2" s="37"/>
      <c r="QPR2" s="37"/>
      <c r="QPS2" s="37"/>
      <c r="QPT2" s="37"/>
      <c r="QPU2" s="37"/>
      <c r="QPV2" s="37"/>
      <c r="QPW2" s="37"/>
      <c r="QPX2" s="37"/>
      <c r="QPY2" s="37"/>
      <c r="QPZ2" s="37"/>
      <c r="QQA2" s="37"/>
      <c r="QQB2" s="37"/>
      <c r="QQC2" s="37"/>
      <c r="QQD2" s="37"/>
      <c r="QQE2" s="37"/>
      <c r="QQF2" s="37"/>
      <c r="QQG2" s="37"/>
      <c r="QQH2" s="37"/>
      <c r="QQI2" s="37"/>
      <c r="QQJ2" s="37"/>
      <c r="QQK2" s="37"/>
      <c r="QQL2" s="37"/>
      <c r="QQM2" s="37"/>
      <c r="QQN2" s="37"/>
      <c r="QQO2" s="37"/>
      <c r="QQP2" s="37"/>
      <c r="QQQ2" s="37"/>
      <c r="QQR2" s="37"/>
      <c r="QQS2" s="37"/>
      <c r="QQT2" s="37"/>
      <c r="QQU2" s="37"/>
      <c r="QQV2" s="37"/>
      <c r="QQW2" s="37"/>
      <c r="QQX2" s="37"/>
      <c r="QQY2" s="37"/>
      <c r="QQZ2" s="37"/>
      <c r="QRA2" s="37"/>
      <c r="QRB2" s="37"/>
      <c r="QRC2" s="37"/>
      <c r="QRD2" s="37"/>
      <c r="QRE2" s="37"/>
      <c r="QRF2" s="37"/>
      <c r="QRG2" s="37"/>
      <c r="QRH2" s="37"/>
      <c r="QRI2" s="37"/>
      <c r="QRJ2" s="37"/>
      <c r="QRK2" s="37"/>
      <c r="QRL2" s="37"/>
      <c r="QRM2" s="37"/>
      <c r="QRN2" s="37"/>
      <c r="QRO2" s="37"/>
      <c r="QRP2" s="37"/>
      <c r="QRQ2" s="37"/>
      <c r="QRR2" s="37"/>
      <c r="QRS2" s="37"/>
      <c r="QRT2" s="37"/>
      <c r="QRU2" s="37"/>
      <c r="QRV2" s="37"/>
      <c r="QRW2" s="37"/>
      <c r="QRX2" s="37"/>
      <c r="QRY2" s="37"/>
      <c r="QRZ2" s="37"/>
      <c r="QSA2" s="37"/>
      <c r="QSB2" s="37"/>
      <c r="QSC2" s="37"/>
      <c r="QSD2" s="37"/>
      <c r="QSE2" s="37"/>
      <c r="QSF2" s="37"/>
      <c r="QSG2" s="37"/>
      <c r="QSH2" s="37"/>
      <c r="QSI2" s="37"/>
      <c r="QSJ2" s="37"/>
      <c r="QSK2" s="37"/>
      <c r="QSL2" s="37"/>
      <c r="QSM2" s="37"/>
      <c r="QSN2" s="37"/>
      <c r="QSO2" s="37"/>
      <c r="QSP2" s="37"/>
      <c r="QSQ2" s="37"/>
      <c r="QSR2" s="37"/>
      <c r="QSS2" s="37"/>
      <c r="QST2" s="37"/>
      <c r="QSU2" s="37"/>
      <c r="QSV2" s="37"/>
      <c r="QSW2" s="37"/>
      <c r="QSX2" s="37"/>
      <c r="QSY2" s="37"/>
      <c r="QSZ2" s="37"/>
      <c r="QTA2" s="37"/>
      <c r="QTB2" s="37"/>
      <c r="QTC2" s="37"/>
      <c r="QTD2" s="37"/>
      <c r="QTE2" s="37"/>
      <c r="QTF2" s="37"/>
      <c r="QTG2" s="37"/>
      <c r="QTH2" s="37"/>
      <c r="QTI2" s="37"/>
      <c r="QTJ2" s="37"/>
      <c r="QTK2" s="37"/>
      <c r="QTL2" s="37"/>
      <c r="QTM2" s="37"/>
      <c r="QTN2" s="37"/>
      <c r="QTO2" s="37"/>
      <c r="QTP2" s="37"/>
      <c r="QTQ2" s="37"/>
      <c r="QTR2" s="37"/>
      <c r="QTS2" s="37"/>
      <c r="QTT2" s="37"/>
      <c r="QTU2" s="37"/>
      <c r="QTV2" s="37"/>
      <c r="QTW2" s="37"/>
      <c r="QTX2" s="37"/>
      <c r="QTY2" s="37"/>
      <c r="QTZ2" s="37"/>
      <c r="QUA2" s="37"/>
      <c r="QUB2" s="37"/>
      <c r="QUC2" s="37"/>
      <c r="QUD2" s="37"/>
      <c r="QUE2" s="37"/>
      <c r="QUF2" s="37"/>
      <c r="QUG2" s="37"/>
      <c r="QUH2" s="37"/>
      <c r="QUI2" s="37"/>
      <c r="QUJ2" s="37"/>
      <c r="QUK2" s="37"/>
      <c r="QUL2" s="37"/>
      <c r="QUM2" s="37"/>
      <c r="QUN2" s="37"/>
      <c r="QUO2" s="37"/>
      <c r="QUP2" s="37"/>
      <c r="QUQ2" s="37"/>
      <c r="QUR2" s="37"/>
      <c r="QUS2" s="37"/>
      <c r="QUT2" s="37"/>
      <c r="QUU2" s="37"/>
      <c r="QUV2" s="37"/>
      <c r="QUW2" s="37"/>
      <c r="QUX2" s="37"/>
      <c r="QUY2" s="37"/>
      <c r="QUZ2" s="37"/>
      <c r="QVA2" s="37"/>
      <c r="QVB2" s="37"/>
      <c r="QVC2" s="37"/>
      <c r="QVD2" s="37"/>
      <c r="QVE2" s="37"/>
      <c r="QVF2" s="37"/>
      <c r="QVG2" s="37"/>
      <c r="QVH2" s="37"/>
      <c r="QVI2" s="37"/>
      <c r="QVJ2" s="37"/>
      <c r="QVK2" s="37"/>
      <c r="QVL2" s="37"/>
      <c r="QVM2" s="37"/>
      <c r="QVN2" s="37"/>
      <c r="QVO2" s="37"/>
      <c r="QVP2" s="37"/>
      <c r="QVQ2" s="37"/>
      <c r="QVR2" s="37"/>
      <c r="QVS2" s="37"/>
      <c r="QVT2" s="37"/>
      <c r="QVU2" s="37"/>
      <c r="QVV2" s="37"/>
      <c r="QVW2" s="37"/>
      <c r="QVX2" s="37"/>
      <c r="QVY2" s="37"/>
      <c r="QVZ2" s="37"/>
      <c r="QWA2" s="37"/>
      <c r="QWB2" s="37"/>
      <c r="QWC2" s="37"/>
      <c r="QWD2" s="37"/>
      <c r="QWE2" s="37"/>
      <c r="QWF2" s="37"/>
      <c r="QWG2" s="37"/>
      <c r="QWH2" s="37"/>
      <c r="QWI2" s="37"/>
      <c r="QWJ2" s="37"/>
      <c r="QWK2" s="37"/>
      <c r="QWL2" s="37"/>
      <c r="QWM2" s="37"/>
      <c r="QWN2" s="37"/>
      <c r="QWO2" s="37"/>
      <c r="QWP2" s="37"/>
      <c r="QWQ2" s="37"/>
      <c r="QWR2" s="37"/>
      <c r="QWS2" s="37"/>
      <c r="QWT2" s="37"/>
      <c r="QWU2" s="37"/>
      <c r="QWV2" s="37"/>
      <c r="QWW2" s="37"/>
      <c r="QWX2" s="37"/>
      <c r="QWY2" s="37"/>
      <c r="QWZ2" s="37"/>
      <c r="QXA2" s="37"/>
      <c r="QXB2" s="37"/>
      <c r="QXC2" s="37"/>
      <c r="QXD2" s="37"/>
      <c r="QXE2" s="37"/>
      <c r="QXF2" s="37"/>
      <c r="QXG2" s="37"/>
      <c r="QXH2" s="37"/>
      <c r="QXI2" s="37"/>
      <c r="QXJ2" s="37"/>
      <c r="QXK2" s="37"/>
      <c r="QXL2" s="37"/>
      <c r="QXM2" s="37"/>
      <c r="QXN2" s="37"/>
      <c r="QXO2" s="37"/>
      <c r="QXP2" s="37"/>
      <c r="QXQ2" s="37"/>
      <c r="QXR2" s="37"/>
      <c r="QXS2" s="37"/>
      <c r="QXT2" s="37"/>
      <c r="QXU2" s="37"/>
      <c r="QXV2" s="37"/>
      <c r="QXW2" s="37"/>
      <c r="QXX2" s="37"/>
      <c r="QXY2" s="37"/>
      <c r="QXZ2" s="37"/>
      <c r="QYA2" s="37"/>
      <c r="QYB2" s="37"/>
      <c r="QYC2" s="37"/>
      <c r="QYD2" s="37"/>
      <c r="QYE2" s="37"/>
      <c r="QYF2" s="37"/>
      <c r="QYG2" s="37"/>
      <c r="QYH2" s="37"/>
      <c r="QYI2" s="37"/>
      <c r="QYJ2" s="37"/>
      <c r="QYK2" s="37"/>
      <c r="QYL2" s="37"/>
      <c r="QYM2" s="37"/>
      <c r="QYN2" s="37"/>
      <c r="QYO2" s="37"/>
      <c r="QYP2" s="37"/>
      <c r="QYQ2" s="37"/>
      <c r="QYR2" s="37"/>
      <c r="QYS2" s="37"/>
      <c r="QYT2" s="37"/>
      <c r="QYU2" s="37"/>
      <c r="QYV2" s="37"/>
      <c r="QYW2" s="37"/>
      <c r="QYX2" s="37"/>
      <c r="QYY2" s="37"/>
      <c r="QYZ2" s="37"/>
      <c r="QZA2" s="37"/>
      <c r="QZB2" s="37"/>
      <c r="QZC2" s="37"/>
      <c r="QZD2" s="37"/>
      <c r="QZE2" s="37"/>
      <c r="QZF2" s="37"/>
      <c r="QZG2" s="37"/>
      <c r="QZH2" s="37"/>
      <c r="QZI2" s="37"/>
      <c r="QZJ2" s="37"/>
      <c r="QZK2" s="37"/>
      <c r="QZL2" s="37"/>
      <c r="QZM2" s="37"/>
      <c r="QZN2" s="37"/>
      <c r="QZO2" s="37"/>
      <c r="QZP2" s="37"/>
      <c r="QZQ2" s="37"/>
      <c r="QZR2" s="37"/>
      <c r="QZS2" s="37"/>
      <c r="QZT2" s="37"/>
      <c r="QZU2" s="37"/>
      <c r="QZV2" s="37"/>
      <c r="QZW2" s="37"/>
      <c r="QZX2" s="37"/>
      <c r="QZY2" s="37"/>
      <c r="QZZ2" s="37"/>
      <c r="RAA2" s="37"/>
      <c r="RAB2" s="37"/>
      <c r="RAC2" s="37"/>
      <c r="RAD2" s="37"/>
      <c r="RAE2" s="37"/>
      <c r="RAF2" s="37"/>
      <c r="RAG2" s="37"/>
      <c r="RAH2" s="37"/>
      <c r="RAI2" s="37"/>
      <c r="RAJ2" s="37"/>
      <c r="RAK2" s="37"/>
      <c r="RAL2" s="37"/>
      <c r="RAM2" s="37"/>
      <c r="RAN2" s="37"/>
      <c r="RAO2" s="37"/>
      <c r="RAP2" s="37"/>
      <c r="RAQ2" s="37"/>
      <c r="RAR2" s="37"/>
      <c r="RAS2" s="37"/>
      <c r="RAT2" s="37"/>
      <c r="RAU2" s="37"/>
      <c r="RAV2" s="37"/>
      <c r="RAW2" s="37"/>
      <c r="RAX2" s="37"/>
      <c r="RAY2" s="37"/>
      <c r="RAZ2" s="37"/>
      <c r="RBA2" s="37"/>
      <c r="RBB2" s="37"/>
      <c r="RBC2" s="37"/>
      <c r="RBD2" s="37"/>
      <c r="RBE2" s="37"/>
      <c r="RBF2" s="37"/>
      <c r="RBG2" s="37"/>
      <c r="RBH2" s="37"/>
      <c r="RBI2" s="37"/>
      <c r="RBJ2" s="37"/>
      <c r="RBK2" s="37"/>
      <c r="RBL2" s="37"/>
      <c r="RBM2" s="37"/>
      <c r="RBN2" s="37"/>
      <c r="RBO2" s="37"/>
      <c r="RBP2" s="37"/>
      <c r="RBQ2" s="37"/>
      <c r="RBR2" s="37"/>
      <c r="RBS2" s="37"/>
      <c r="RBT2" s="37"/>
      <c r="RBU2" s="37"/>
      <c r="RBV2" s="37"/>
      <c r="RBW2" s="37"/>
      <c r="RBX2" s="37"/>
      <c r="RBY2" s="37"/>
      <c r="RBZ2" s="37"/>
      <c r="RCA2" s="37"/>
      <c r="RCB2" s="37"/>
      <c r="RCC2" s="37"/>
      <c r="RCD2" s="37"/>
      <c r="RCE2" s="37"/>
      <c r="RCF2" s="37"/>
      <c r="RCG2" s="37"/>
      <c r="RCH2" s="37"/>
      <c r="RCI2" s="37"/>
      <c r="RCJ2" s="37"/>
      <c r="RCK2" s="37"/>
      <c r="RCL2" s="37"/>
      <c r="RCM2" s="37"/>
      <c r="RCN2" s="37"/>
      <c r="RCO2" s="37"/>
      <c r="RCP2" s="37"/>
      <c r="RCQ2" s="37"/>
      <c r="RCR2" s="37"/>
      <c r="RCS2" s="37"/>
      <c r="RCT2" s="37"/>
      <c r="RCU2" s="37"/>
      <c r="RCV2" s="37"/>
      <c r="RCW2" s="37"/>
      <c r="RCX2" s="37"/>
      <c r="RCY2" s="37"/>
      <c r="RCZ2" s="37"/>
      <c r="RDA2" s="37"/>
      <c r="RDB2" s="37"/>
      <c r="RDC2" s="37"/>
      <c r="RDD2" s="37"/>
      <c r="RDE2" s="37"/>
      <c r="RDF2" s="37"/>
      <c r="RDG2" s="37"/>
      <c r="RDH2" s="37"/>
      <c r="RDI2" s="37"/>
      <c r="RDJ2" s="37"/>
      <c r="RDK2" s="37"/>
      <c r="RDL2" s="37"/>
      <c r="RDM2" s="37"/>
      <c r="RDN2" s="37"/>
      <c r="RDO2" s="37"/>
      <c r="RDP2" s="37"/>
      <c r="RDQ2" s="37"/>
      <c r="RDR2" s="37"/>
      <c r="RDS2" s="37"/>
      <c r="RDT2" s="37"/>
      <c r="RDU2" s="37"/>
      <c r="RDV2" s="37"/>
      <c r="RDW2" s="37"/>
      <c r="RDX2" s="37"/>
      <c r="RDY2" s="37"/>
      <c r="RDZ2" s="37"/>
      <c r="REA2" s="37"/>
      <c r="REB2" s="37"/>
      <c r="REC2" s="37"/>
      <c r="RED2" s="37"/>
      <c r="REE2" s="37"/>
      <c r="REF2" s="37"/>
      <c r="REG2" s="37"/>
      <c r="REH2" s="37"/>
      <c r="REI2" s="37"/>
      <c r="REJ2" s="37"/>
      <c r="REK2" s="37"/>
      <c r="REL2" s="37"/>
      <c r="REM2" s="37"/>
      <c r="REN2" s="37"/>
      <c r="REO2" s="37"/>
      <c r="REP2" s="37"/>
      <c r="REQ2" s="37"/>
      <c r="RER2" s="37"/>
      <c r="RES2" s="37"/>
      <c r="RET2" s="37"/>
      <c r="REU2" s="37"/>
      <c r="REV2" s="37"/>
      <c r="REW2" s="37"/>
      <c r="REX2" s="37"/>
      <c r="REY2" s="37"/>
      <c r="REZ2" s="37"/>
      <c r="RFA2" s="37"/>
      <c r="RFB2" s="37"/>
      <c r="RFC2" s="37"/>
      <c r="RFD2" s="37"/>
      <c r="RFE2" s="37"/>
      <c r="RFF2" s="37"/>
      <c r="RFG2" s="37"/>
      <c r="RFH2" s="37"/>
      <c r="RFI2" s="37"/>
      <c r="RFJ2" s="37"/>
      <c r="RFK2" s="37"/>
      <c r="RFL2" s="37"/>
      <c r="RFM2" s="37"/>
      <c r="RFN2" s="37"/>
      <c r="RFO2" s="37"/>
      <c r="RFP2" s="37"/>
      <c r="RFQ2" s="37"/>
      <c r="RFR2" s="37"/>
      <c r="RFS2" s="37"/>
      <c r="RFT2" s="37"/>
      <c r="RFU2" s="37"/>
      <c r="RFV2" s="37"/>
      <c r="RFW2" s="37"/>
      <c r="RFX2" s="37"/>
      <c r="RFY2" s="37"/>
      <c r="RFZ2" s="37"/>
      <c r="RGA2" s="37"/>
      <c r="RGB2" s="37"/>
      <c r="RGC2" s="37"/>
      <c r="RGD2" s="37"/>
      <c r="RGE2" s="37"/>
      <c r="RGF2" s="37"/>
      <c r="RGG2" s="37"/>
      <c r="RGH2" s="37"/>
      <c r="RGI2" s="37"/>
      <c r="RGJ2" s="37"/>
      <c r="RGK2" s="37"/>
      <c r="RGL2" s="37"/>
      <c r="RGM2" s="37"/>
      <c r="RGN2" s="37"/>
      <c r="RGO2" s="37"/>
      <c r="RGP2" s="37"/>
      <c r="RGQ2" s="37"/>
      <c r="RGR2" s="37"/>
      <c r="RGS2" s="37"/>
      <c r="RGT2" s="37"/>
      <c r="RGU2" s="37"/>
      <c r="RGV2" s="37"/>
      <c r="RGW2" s="37"/>
      <c r="RGX2" s="37"/>
      <c r="RGY2" s="37"/>
      <c r="RGZ2" s="37"/>
      <c r="RHA2" s="37"/>
      <c r="RHB2" s="37"/>
      <c r="RHC2" s="37"/>
      <c r="RHD2" s="37"/>
      <c r="RHE2" s="37"/>
      <c r="RHF2" s="37"/>
      <c r="RHG2" s="37"/>
      <c r="RHH2" s="37"/>
      <c r="RHI2" s="37"/>
      <c r="RHJ2" s="37"/>
      <c r="RHK2" s="37"/>
      <c r="RHL2" s="37"/>
      <c r="RHM2" s="37"/>
      <c r="RHN2" s="37"/>
      <c r="RHO2" s="37"/>
      <c r="RHP2" s="37"/>
      <c r="RHQ2" s="37"/>
      <c r="RHR2" s="37"/>
      <c r="RHS2" s="37"/>
      <c r="RHT2" s="37"/>
      <c r="RHU2" s="37"/>
      <c r="RHV2" s="37"/>
      <c r="RHW2" s="37"/>
      <c r="RHX2" s="37"/>
      <c r="RHY2" s="37"/>
      <c r="RHZ2" s="37"/>
      <c r="RIA2" s="37"/>
      <c r="RIB2" s="37"/>
      <c r="RIC2" s="37"/>
      <c r="RID2" s="37"/>
      <c r="RIE2" s="37"/>
      <c r="RIF2" s="37"/>
      <c r="RIG2" s="37"/>
      <c r="RIH2" s="37"/>
      <c r="RII2" s="37"/>
      <c r="RIJ2" s="37"/>
      <c r="RIK2" s="37"/>
      <c r="RIL2" s="37"/>
      <c r="RIM2" s="37"/>
      <c r="RIN2" s="37"/>
      <c r="RIO2" s="37"/>
      <c r="RIP2" s="37"/>
      <c r="RIQ2" s="37"/>
      <c r="RIR2" s="37"/>
      <c r="RIS2" s="37"/>
      <c r="RIT2" s="37"/>
      <c r="RIU2" s="37"/>
      <c r="RIV2" s="37"/>
      <c r="RIW2" s="37"/>
      <c r="RIX2" s="37"/>
      <c r="RIY2" s="37"/>
      <c r="RIZ2" s="37"/>
      <c r="RJA2" s="37"/>
      <c r="RJB2" s="37"/>
      <c r="RJC2" s="37"/>
      <c r="RJD2" s="37"/>
      <c r="RJE2" s="37"/>
      <c r="RJF2" s="37"/>
      <c r="RJG2" s="37"/>
      <c r="RJH2" s="37"/>
      <c r="RJI2" s="37"/>
      <c r="RJJ2" s="37"/>
      <c r="RJK2" s="37"/>
      <c r="RJL2" s="37"/>
      <c r="RJM2" s="37"/>
      <c r="RJN2" s="37"/>
      <c r="RJO2" s="37"/>
      <c r="RJP2" s="37"/>
      <c r="RJQ2" s="37"/>
      <c r="RJR2" s="37"/>
      <c r="RJS2" s="37"/>
      <c r="RJT2" s="37"/>
      <c r="RJU2" s="37"/>
      <c r="RJV2" s="37"/>
      <c r="RJW2" s="37"/>
      <c r="RJX2" s="37"/>
      <c r="RJY2" s="37"/>
      <c r="RJZ2" s="37"/>
      <c r="RKA2" s="37"/>
      <c r="RKB2" s="37"/>
      <c r="RKC2" s="37"/>
      <c r="RKD2" s="37"/>
      <c r="RKE2" s="37"/>
      <c r="RKF2" s="37"/>
      <c r="RKG2" s="37"/>
      <c r="RKH2" s="37"/>
      <c r="RKI2" s="37"/>
      <c r="RKJ2" s="37"/>
      <c r="RKK2" s="37"/>
      <c r="RKL2" s="37"/>
      <c r="RKM2" s="37"/>
      <c r="RKN2" s="37"/>
      <c r="RKO2" s="37"/>
      <c r="RKP2" s="37"/>
      <c r="RKQ2" s="37"/>
      <c r="RKR2" s="37"/>
      <c r="RKS2" s="37"/>
      <c r="RKT2" s="37"/>
      <c r="RKU2" s="37"/>
      <c r="RKV2" s="37"/>
      <c r="RKW2" s="37"/>
      <c r="RKX2" s="37"/>
      <c r="RKY2" s="37"/>
      <c r="RKZ2" s="37"/>
      <c r="RLA2" s="37"/>
      <c r="RLB2" s="37"/>
      <c r="RLC2" s="37"/>
      <c r="RLD2" s="37"/>
      <c r="RLE2" s="37"/>
      <c r="RLF2" s="37"/>
      <c r="RLG2" s="37"/>
      <c r="RLH2" s="37"/>
      <c r="RLI2" s="37"/>
      <c r="RLJ2" s="37"/>
      <c r="RLK2" s="37"/>
      <c r="RLL2" s="37"/>
      <c r="RLM2" s="37"/>
      <c r="RLN2" s="37"/>
      <c r="RLO2" s="37"/>
      <c r="RLP2" s="37"/>
      <c r="RLQ2" s="37"/>
      <c r="RLR2" s="37"/>
      <c r="RLS2" s="37"/>
      <c r="RLT2" s="37"/>
      <c r="RLU2" s="37"/>
      <c r="RLV2" s="37"/>
      <c r="RLW2" s="37"/>
      <c r="RLX2" s="37"/>
      <c r="RLY2" s="37"/>
      <c r="RLZ2" s="37"/>
      <c r="RMA2" s="37"/>
      <c r="RMB2" s="37"/>
      <c r="RMC2" s="37"/>
      <c r="RMD2" s="37"/>
      <c r="RME2" s="37"/>
      <c r="RMF2" s="37"/>
      <c r="RMG2" s="37"/>
      <c r="RMH2" s="37"/>
      <c r="RMI2" s="37"/>
      <c r="RMJ2" s="37"/>
      <c r="RMK2" s="37"/>
      <c r="RML2" s="37"/>
      <c r="RMM2" s="37"/>
      <c r="RMN2" s="37"/>
      <c r="RMO2" s="37"/>
      <c r="RMP2" s="37"/>
      <c r="RMQ2" s="37"/>
      <c r="RMR2" s="37"/>
      <c r="RMS2" s="37"/>
      <c r="RMT2" s="37"/>
      <c r="RMU2" s="37"/>
      <c r="RMV2" s="37"/>
      <c r="RMW2" s="37"/>
      <c r="RMX2" s="37"/>
      <c r="RMY2" s="37"/>
      <c r="RMZ2" s="37"/>
      <c r="RNA2" s="37"/>
      <c r="RNB2" s="37"/>
      <c r="RNC2" s="37"/>
      <c r="RND2" s="37"/>
      <c r="RNE2" s="37"/>
      <c r="RNF2" s="37"/>
      <c r="RNG2" s="37"/>
      <c r="RNH2" s="37"/>
      <c r="RNI2" s="37"/>
      <c r="RNJ2" s="37"/>
      <c r="RNK2" s="37"/>
      <c r="RNL2" s="37"/>
      <c r="RNM2" s="37"/>
      <c r="RNN2" s="37"/>
      <c r="RNO2" s="37"/>
      <c r="RNP2" s="37"/>
      <c r="RNQ2" s="37"/>
      <c r="RNR2" s="37"/>
      <c r="RNS2" s="37"/>
      <c r="RNT2" s="37"/>
      <c r="RNU2" s="37"/>
      <c r="RNV2" s="37"/>
      <c r="RNW2" s="37"/>
      <c r="RNX2" s="37"/>
      <c r="RNY2" s="37"/>
      <c r="RNZ2" s="37"/>
      <c r="ROA2" s="37"/>
      <c r="ROB2" s="37"/>
      <c r="ROC2" s="37"/>
      <c r="ROD2" s="37"/>
      <c r="ROE2" s="37"/>
      <c r="ROF2" s="37"/>
      <c r="ROG2" s="37"/>
      <c r="ROH2" s="37"/>
      <c r="ROI2" s="37"/>
      <c r="ROJ2" s="37"/>
      <c r="ROK2" s="37"/>
      <c r="ROL2" s="37"/>
      <c r="ROM2" s="37"/>
      <c r="RON2" s="37"/>
      <c r="ROO2" s="37"/>
      <c r="ROP2" s="37"/>
      <c r="ROQ2" s="37"/>
      <c r="ROR2" s="37"/>
      <c r="ROS2" s="37"/>
      <c r="ROT2" s="37"/>
      <c r="ROU2" s="37"/>
      <c r="ROV2" s="37"/>
      <c r="ROW2" s="37"/>
      <c r="ROX2" s="37"/>
      <c r="ROY2" s="37"/>
      <c r="ROZ2" s="37"/>
      <c r="RPA2" s="37"/>
      <c r="RPB2" s="37"/>
      <c r="RPC2" s="37"/>
      <c r="RPD2" s="37"/>
      <c r="RPE2" s="37"/>
      <c r="RPF2" s="37"/>
      <c r="RPG2" s="37"/>
      <c r="RPH2" s="37"/>
      <c r="RPI2" s="37"/>
      <c r="RPJ2" s="37"/>
      <c r="RPK2" s="37"/>
      <c r="RPL2" s="37"/>
      <c r="RPM2" s="37"/>
      <c r="RPN2" s="37"/>
      <c r="RPO2" s="37"/>
      <c r="RPP2" s="37"/>
      <c r="RPQ2" s="37"/>
      <c r="RPR2" s="37"/>
      <c r="RPS2" s="37"/>
      <c r="RPT2" s="37"/>
      <c r="RPU2" s="37"/>
      <c r="RPV2" s="37"/>
      <c r="RPW2" s="37"/>
      <c r="RPX2" s="37"/>
      <c r="RPY2" s="37"/>
      <c r="RPZ2" s="37"/>
      <c r="RQA2" s="37"/>
      <c r="RQB2" s="37"/>
      <c r="RQC2" s="37"/>
      <c r="RQD2" s="37"/>
      <c r="RQE2" s="37"/>
      <c r="RQF2" s="37"/>
      <c r="RQG2" s="37"/>
      <c r="RQH2" s="37"/>
      <c r="RQI2" s="37"/>
      <c r="RQJ2" s="37"/>
      <c r="RQK2" s="37"/>
      <c r="RQL2" s="37"/>
      <c r="RQM2" s="37"/>
      <c r="RQN2" s="37"/>
      <c r="RQO2" s="37"/>
      <c r="RQP2" s="37"/>
      <c r="RQQ2" s="37"/>
      <c r="RQR2" s="37"/>
      <c r="RQS2" s="37"/>
      <c r="RQT2" s="37"/>
      <c r="RQU2" s="37"/>
      <c r="RQV2" s="37"/>
      <c r="RQW2" s="37"/>
      <c r="RQX2" s="37"/>
      <c r="RQY2" s="37"/>
      <c r="RQZ2" s="37"/>
      <c r="RRA2" s="37"/>
      <c r="RRB2" s="37"/>
      <c r="RRC2" s="37"/>
      <c r="RRD2" s="37"/>
      <c r="RRE2" s="37"/>
      <c r="RRF2" s="37"/>
      <c r="RRG2" s="37"/>
      <c r="RRH2" s="37"/>
      <c r="RRI2" s="37"/>
      <c r="RRJ2" s="37"/>
      <c r="RRK2" s="37"/>
      <c r="RRL2" s="37"/>
      <c r="RRM2" s="37"/>
      <c r="RRN2" s="37"/>
      <c r="RRO2" s="37"/>
      <c r="RRP2" s="37"/>
      <c r="RRQ2" s="37"/>
      <c r="RRR2" s="37"/>
      <c r="RRS2" s="37"/>
      <c r="RRT2" s="37"/>
      <c r="RRU2" s="37"/>
      <c r="RRV2" s="37"/>
      <c r="RRW2" s="37"/>
      <c r="RRX2" s="37"/>
      <c r="RRY2" s="37"/>
      <c r="RRZ2" s="37"/>
      <c r="RSA2" s="37"/>
      <c r="RSB2" s="37"/>
      <c r="RSC2" s="37"/>
      <c r="RSD2" s="37"/>
      <c r="RSE2" s="37"/>
      <c r="RSF2" s="37"/>
      <c r="RSG2" s="37"/>
      <c r="RSH2" s="37"/>
      <c r="RSI2" s="37"/>
      <c r="RSJ2" s="37"/>
      <c r="RSK2" s="37"/>
      <c r="RSL2" s="37"/>
      <c r="RSM2" s="37"/>
      <c r="RSN2" s="37"/>
      <c r="RSO2" s="37"/>
      <c r="RSP2" s="37"/>
      <c r="RSQ2" s="37"/>
      <c r="RSR2" s="37"/>
      <c r="RSS2" s="37"/>
      <c r="RST2" s="37"/>
      <c r="RSU2" s="37"/>
      <c r="RSV2" s="37"/>
      <c r="RSW2" s="37"/>
      <c r="RSX2" s="37"/>
      <c r="RSY2" s="37"/>
      <c r="RSZ2" s="37"/>
      <c r="RTA2" s="37"/>
      <c r="RTB2" s="37"/>
      <c r="RTC2" s="37"/>
      <c r="RTD2" s="37"/>
      <c r="RTE2" s="37"/>
      <c r="RTF2" s="37"/>
      <c r="RTG2" s="37"/>
      <c r="RTH2" s="37"/>
      <c r="RTI2" s="37"/>
      <c r="RTJ2" s="37"/>
      <c r="RTK2" s="37"/>
      <c r="RTL2" s="37"/>
      <c r="RTM2" s="37"/>
      <c r="RTN2" s="37"/>
      <c r="RTO2" s="37"/>
      <c r="RTP2" s="37"/>
      <c r="RTQ2" s="37"/>
      <c r="RTR2" s="37"/>
      <c r="RTS2" s="37"/>
      <c r="RTT2" s="37"/>
      <c r="RTU2" s="37"/>
      <c r="RTV2" s="37"/>
      <c r="RTW2" s="37"/>
      <c r="RTX2" s="37"/>
      <c r="RTY2" s="37"/>
      <c r="RTZ2" s="37"/>
      <c r="RUA2" s="37"/>
      <c r="RUB2" s="37"/>
      <c r="RUC2" s="37"/>
      <c r="RUD2" s="37"/>
      <c r="RUE2" s="37"/>
      <c r="RUF2" s="37"/>
      <c r="RUG2" s="37"/>
      <c r="RUH2" s="37"/>
      <c r="RUI2" s="37"/>
      <c r="RUJ2" s="37"/>
      <c r="RUK2" s="37"/>
      <c r="RUL2" s="37"/>
      <c r="RUM2" s="37"/>
      <c r="RUN2" s="37"/>
      <c r="RUO2" s="37"/>
      <c r="RUP2" s="37"/>
      <c r="RUQ2" s="37"/>
      <c r="RUR2" s="37"/>
      <c r="RUS2" s="37"/>
      <c r="RUT2" s="37"/>
      <c r="RUU2" s="37"/>
      <c r="RUV2" s="37"/>
      <c r="RUW2" s="37"/>
      <c r="RUX2" s="37"/>
      <c r="RUY2" s="37"/>
      <c r="RUZ2" s="37"/>
      <c r="RVA2" s="37"/>
      <c r="RVB2" s="37"/>
      <c r="RVC2" s="37"/>
      <c r="RVD2" s="37"/>
      <c r="RVE2" s="37"/>
      <c r="RVF2" s="37"/>
      <c r="RVG2" s="37"/>
      <c r="RVH2" s="37"/>
      <c r="RVI2" s="37"/>
      <c r="RVJ2" s="37"/>
      <c r="RVK2" s="37"/>
      <c r="RVL2" s="37"/>
      <c r="RVM2" s="37"/>
      <c r="RVN2" s="37"/>
      <c r="RVO2" s="37"/>
      <c r="RVP2" s="37"/>
      <c r="RVQ2" s="37"/>
      <c r="RVR2" s="37"/>
      <c r="RVS2" s="37"/>
      <c r="RVT2" s="37"/>
      <c r="RVU2" s="37"/>
      <c r="RVV2" s="37"/>
      <c r="RVW2" s="37"/>
      <c r="RVX2" s="37"/>
      <c r="RVY2" s="37"/>
      <c r="RVZ2" s="37"/>
      <c r="RWA2" s="37"/>
      <c r="RWB2" s="37"/>
      <c r="RWC2" s="37"/>
      <c r="RWD2" s="37"/>
      <c r="RWE2" s="37"/>
      <c r="RWF2" s="37"/>
      <c r="RWG2" s="37"/>
      <c r="RWH2" s="37"/>
      <c r="RWI2" s="37"/>
      <c r="RWJ2" s="37"/>
      <c r="RWK2" s="37"/>
      <c r="RWL2" s="37"/>
      <c r="RWM2" s="37"/>
      <c r="RWN2" s="37"/>
      <c r="RWO2" s="37"/>
      <c r="RWP2" s="37"/>
      <c r="RWQ2" s="37"/>
      <c r="RWR2" s="37"/>
      <c r="RWS2" s="37"/>
      <c r="RWT2" s="37"/>
      <c r="RWU2" s="37"/>
      <c r="RWV2" s="37"/>
      <c r="RWW2" s="37"/>
      <c r="RWX2" s="37"/>
      <c r="RWY2" s="37"/>
      <c r="RWZ2" s="37"/>
      <c r="RXA2" s="37"/>
      <c r="RXB2" s="37"/>
      <c r="RXC2" s="37"/>
      <c r="RXD2" s="37"/>
      <c r="RXE2" s="37"/>
      <c r="RXF2" s="37"/>
      <c r="RXG2" s="37"/>
      <c r="RXH2" s="37"/>
      <c r="RXI2" s="37"/>
      <c r="RXJ2" s="37"/>
      <c r="RXK2" s="37"/>
      <c r="RXL2" s="37"/>
      <c r="RXM2" s="37"/>
      <c r="RXN2" s="37"/>
      <c r="RXO2" s="37"/>
      <c r="RXP2" s="37"/>
      <c r="RXQ2" s="37"/>
      <c r="RXR2" s="37"/>
      <c r="RXS2" s="37"/>
      <c r="RXT2" s="37"/>
      <c r="RXU2" s="37"/>
      <c r="RXV2" s="37"/>
      <c r="RXW2" s="37"/>
      <c r="RXX2" s="37"/>
      <c r="RXY2" s="37"/>
      <c r="RXZ2" s="37"/>
      <c r="RYA2" s="37"/>
      <c r="RYB2" s="37"/>
      <c r="RYC2" s="37"/>
      <c r="RYD2" s="37"/>
      <c r="RYE2" s="37"/>
      <c r="RYF2" s="37"/>
      <c r="RYG2" s="37"/>
      <c r="RYH2" s="37"/>
      <c r="RYI2" s="37"/>
      <c r="RYJ2" s="37"/>
      <c r="RYK2" s="37"/>
      <c r="RYL2" s="37"/>
      <c r="RYM2" s="37"/>
      <c r="RYN2" s="37"/>
      <c r="RYO2" s="37"/>
      <c r="RYP2" s="37"/>
      <c r="RYQ2" s="37"/>
      <c r="RYR2" s="37"/>
      <c r="RYS2" s="37"/>
      <c r="RYT2" s="37"/>
      <c r="RYU2" s="37"/>
      <c r="RYV2" s="37"/>
      <c r="RYW2" s="37"/>
      <c r="RYX2" s="37"/>
      <c r="RYY2" s="37"/>
      <c r="RYZ2" s="37"/>
      <c r="RZA2" s="37"/>
      <c r="RZB2" s="37"/>
      <c r="RZC2" s="37"/>
      <c r="RZD2" s="37"/>
      <c r="RZE2" s="37"/>
      <c r="RZF2" s="37"/>
      <c r="RZG2" s="37"/>
      <c r="RZH2" s="37"/>
      <c r="RZI2" s="37"/>
      <c r="RZJ2" s="37"/>
      <c r="RZK2" s="37"/>
      <c r="RZL2" s="37"/>
      <c r="RZM2" s="37"/>
      <c r="RZN2" s="37"/>
      <c r="RZO2" s="37"/>
      <c r="RZP2" s="37"/>
      <c r="RZQ2" s="37"/>
      <c r="RZR2" s="37"/>
      <c r="RZS2" s="37"/>
      <c r="RZT2" s="37"/>
      <c r="RZU2" s="37"/>
      <c r="RZV2" s="37"/>
      <c r="RZW2" s="37"/>
      <c r="RZX2" s="37"/>
      <c r="RZY2" s="37"/>
      <c r="RZZ2" s="37"/>
      <c r="SAA2" s="37"/>
      <c r="SAB2" s="37"/>
      <c r="SAC2" s="37"/>
      <c r="SAD2" s="37"/>
      <c r="SAE2" s="37"/>
      <c r="SAF2" s="37"/>
      <c r="SAG2" s="37"/>
      <c r="SAH2" s="37"/>
      <c r="SAI2" s="37"/>
      <c r="SAJ2" s="37"/>
      <c r="SAK2" s="37"/>
      <c r="SAL2" s="37"/>
      <c r="SAM2" s="37"/>
      <c r="SAN2" s="37"/>
      <c r="SAO2" s="37"/>
      <c r="SAP2" s="37"/>
      <c r="SAQ2" s="37"/>
      <c r="SAR2" s="37"/>
      <c r="SAS2" s="37"/>
      <c r="SAT2" s="37"/>
      <c r="SAU2" s="37"/>
      <c r="SAV2" s="37"/>
      <c r="SAW2" s="37"/>
      <c r="SAX2" s="37"/>
      <c r="SAY2" s="37"/>
      <c r="SAZ2" s="37"/>
      <c r="SBA2" s="37"/>
      <c r="SBB2" s="37"/>
      <c r="SBC2" s="37"/>
      <c r="SBD2" s="37"/>
      <c r="SBE2" s="37"/>
      <c r="SBF2" s="37"/>
      <c r="SBG2" s="37"/>
      <c r="SBH2" s="37"/>
      <c r="SBI2" s="37"/>
      <c r="SBJ2" s="37"/>
      <c r="SBK2" s="37"/>
      <c r="SBL2" s="37"/>
      <c r="SBM2" s="37"/>
      <c r="SBN2" s="37"/>
      <c r="SBO2" s="37"/>
      <c r="SBP2" s="37"/>
      <c r="SBQ2" s="37"/>
      <c r="SBR2" s="37"/>
      <c r="SBS2" s="37"/>
      <c r="SBT2" s="37"/>
      <c r="SBU2" s="37"/>
      <c r="SBV2" s="37"/>
      <c r="SBW2" s="37"/>
      <c r="SBX2" s="37"/>
      <c r="SBY2" s="37"/>
      <c r="SBZ2" s="37"/>
      <c r="SCA2" s="37"/>
      <c r="SCB2" s="37"/>
      <c r="SCC2" s="37"/>
      <c r="SCD2" s="37"/>
      <c r="SCE2" s="37"/>
      <c r="SCF2" s="37"/>
      <c r="SCG2" s="37"/>
      <c r="SCH2" s="37"/>
      <c r="SCI2" s="37"/>
      <c r="SCJ2" s="37"/>
      <c r="SCK2" s="37"/>
      <c r="SCL2" s="37"/>
      <c r="SCM2" s="37"/>
      <c r="SCN2" s="37"/>
      <c r="SCO2" s="37"/>
      <c r="SCP2" s="37"/>
      <c r="SCQ2" s="37"/>
      <c r="SCR2" s="37"/>
      <c r="SCS2" s="37"/>
      <c r="SCT2" s="37"/>
      <c r="SCU2" s="37"/>
      <c r="SCV2" s="37"/>
      <c r="SCW2" s="37"/>
      <c r="SCX2" s="37"/>
      <c r="SCY2" s="37"/>
      <c r="SCZ2" s="37"/>
      <c r="SDA2" s="37"/>
      <c r="SDB2" s="37"/>
      <c r="SDC2" s="37"/>
      <c r="SDD2" s="37"/>
      <c r="SDE2" s="37"/>
      <c r="SDF2" s="37"/>
      <c r="SDG2" s="37"/>
      <c r="SDH2" s="37"/>
      <c r="SDI2" s="37"/>
      <c r="SDJ2" s="37"/>
      <c r="SDK2" s="37"/>
      <c r="SDL2" s="37"/>
      <c r="SDM2" s="37"/>
      <c r="SDN2" s="37"/>
      <c r="SDO2" s="37"/>
      <c r="SDP2" s="37"/>
      <c r="SDQ2" s="37"/>
      <c r="SDR2" s="37"/>
      <c r="SDS2" s="37"/>
      <c r="SDT2" s="37"/>
      <c r="SDU2" s="37"/>
      <c r="SDV2" s="37"/>
      <c r="SDW2" s="37"/>
      <c r="SDX2" s="37"/>
      <c r="SDY2" s="37"/>
      <c r="SDZ2" s="37"/>
      <c r="SEA2" s="37"/>
      <c r="SEB2" s="37"/>
      <c r="SEC2" s="37"/>
      <c r="SED2" s="37"/>
      <c r="SEE2" s="37"/>
      <c r="SEF2" s="37"/>
      <c r="SEG2" s="37"/>
      <c r="SEH2" s="37"/>
      <c r="SEI2" s="37"/>
      <c r="SEJ2" s="37"/>
      <c r="SEK2" s="37"/>
      <c r="SEL2" s="37"/>
      <c r="SEM2" s="37"/>
      <c r="SEN2" s="37"/>
      <c r="SEO2" s="37"/>
      <c r="SEP2" s="37"/>
      <c r="SEQ2" s="37"/>
      <c r="SER2" s="37"/>
      <c r="SES2" s="37"/>
      <c r="SET2" s="37"/>
      <c r="SEU2" s="37"/>
      <c r="SEV2" s="37"/>
      <c r="SEW2" s="37"/>
      <c r="SEX2" s="37"/>
      <c r="SEY2" s="37"/>
      <c r="SEZ2" s="37"/>
      <c r="SFA2" s="37"/>
      <c r="SFB2" s="37"/>
      <c r="SFC2" s="37"/>
      <c r="SFD2" s="37"/>
      <c r="SFE2" s="37"/>
      <c r="SFF2" s="37"/>
      <c r="SFG2" s="37"/>
      <c r="SFH2" s="37"/>
      <c r="SFI2" s="37"/>
      <c r="SFJ2" s="37"/>
      <c r="SFK2" s="37"/>
      <c r="SFL2" s="37"/>
      <c r="SFM2" s="37"/>
      <c r="SFN2" s="37"/>
      <c r="SFO2" s="37"/>
      <c r="SFP2" s="37"/>
      <c r="SFQ2" s="37"/>
      <c r="SFR2" s="37"/>
      <c r="SFS2" s="37"/>
      <c r="SFT2" s="37"/>
      <c r="SFU2" s="37"/>
      <c r="SFV2" s="37"/>
      <c r="SFW2" s="37"/>
      <c r="SFX2" s="37"/>
      <c r="SFY2" s="37"/>
      <c r="SFZ2" s="37"/>
      <c r="SGA2" s="37"/>
      <c r="SGB2" s="37"/>
      <c r="SGC2" s="37"/>
      <c r="SGD2" s="37"/>
      <c r="SGE2" s="37"/>
      <c r="SGF2" s="37"/>
      <c r="SGG2" s="37"/>
      <c r="SGH2" s="37"/>
      <c r="SGI2" s="37"/>
      <c r="SGJ2" s="37"/>
      <c r="SGK2" s="37"/>
      <c r="SGL2" s="37"/>
      <c r="SGM2" s="37"/>
      <c r="SGN2" s="37"/>
      <c r="SGO2" s="37"/>
      <c r="SGP2" s="37"/>
      <c r="SGQ2" s="37"/>
      <c r="SGR2" s="37"/>
      <c r="SGS2" s="37"/>
      <c r="SGT2" s="37"/>
      <c r="SGU2" s="37"/>
      <c r="SGV2" s="37"/>
      <c r="SGW2" s="37"/>
      <c r="SGX2" s="37"/>
      <c r="SGY2" s="37"/>
      <c r="SGZ2" s="37"/>
      <c r="SHA2" s="37"/>
      <c r="SHB2" s="37"/>
      <c r="SHC2" s="37"/>
      <c r="SHD2" s="37"/>
      <c r="SHE2" s="37"/>
      <c r="SHF2" s="37"/>
      <c r="SHG2" s="37"/>
      <c r="SHH2" s="37"/>
      <c r="SHI2" s="37"/>
      <c r="SHJ2" s="37"/>
      <c r="SHK2" s="37"/>
      <c r="SHL2" s="37"/>
      <c r="SHM2" s="37"/>
      <c r="SHN2" s="37"/>
      <c r="SHO2" s="37"/>
      <c r="SHP2" s="37"/>
      <c r="SHQ2" s="37"/>
      <c r="SHR2" s="37"/>
      <c r="SHS2" s="37"/>
      <c r="SHT2" s="37"/>
      <c r="SHU2" s="37"/>
      <c r="SHV2" s="37"/>
      <c r="SHW2" s="37"/>
      <c r="SHX2" s="37"/>
      <c r="SHY2" s="37"/>
      <c r="SHZ2" s="37"/>
      <c r="SIA2" s="37"/>
      <c r="SIB2" s="37"/>
      <c r="SIC2" s="37"/>
      <c r="SID2" s="37"/>
      <c r="SIE2" s="37"/>
      <c r="SIF2" s="37"/>
      <c r="SIG2" s="37"/>
      <c r="SIH2" s="37"/>
      <c r="SII2" s="37"/>
      <c r="SIJ2" s="37"/>
      <c r="SIK2" s="37"/>
      <c r="SIL2" s="37"/>
      <c r="SIM2" s="37"/>
      <c r="SIN2" s="37"/>
      <c r="SIO2" s="37"/>
      <c r="SIP2" s="37"/>
      <c r="SIQ2" s="37"/>
      <c r="SIR2" s="37"/>
      <c r="SIS2" s="37"/>
      <c r="SIT2" s="37"/>
      <c r="SIU2" s="37"/>
      <c r="SIV2" s="37"/>
      <c r="SIW2" s="37"/>
      <c r="SIX2" s="37"/>
      <c r="SIY2" s="37"/>
      <c r="SIZ2" s="37"/>
      <c r="SJA2" s="37"/>
      <c r="SJB2" s="37"/>
      <c r="SJC2" s="37"/>
      <c r="SJD2" s="37"/>
      <c r="SJE2" s="37"/>
      <c r="SJF2" s="37"/>
      <c r="SJG2" s="37"/>
      <c r="SJH2" s="37"/>
      <c r="SJI2" s="37"/>
      <c r="SJJ2" s="37"/>
      <c r="SJK2" s="37"/>
      <c r="SJL2" s="37"/>
      <c r="SJM2" s="37"/>
      <c r="SJN2" s="37"/>
      <c r="SJO2" s="37"/>
      <c r="SJP2" s="37"/>
      <c r="SJQ2" s="37"/>
      <c r="SJR2" s="37"/>
      <c r="SJS2" s="37"/>
      <c r="SJT2" s="37"/>
      <c r="SJU2" s="37"/>
      <c r="SJV2" s="37"/>
      <c r="SJW2" s="37"/>
      <c r="SJX2" s="37"/>
      <c r="SJY2" s="37"/>
      <c r="SJZ2" s="37"/>
      <c r="SKA2" s="37"/>
      <c r="SKB2" s="37"/>
      <c r="SKC2" s="37"/>
      <c r="SKD2" s="37"/>
      <c r="SKE2" s="37"/>
      <c r="SKF2" s="37"/>
      <c r="SKG2" s="37"/>
      <c r="SKH2" s="37"/>
      <c r="SKI2" s="37"/>
      <c r="SKJ2" s="37"/>
      <c r="SKK2" s="37"/>
      <c r="SKL2" s="37"/>
      <c r="SKM2" s="37"/>
      <c r="SKN2" s="37"/>
      <c r="SKO2" s="37"/>
      <c r="SKP2" s="37"/>
      <c r="SKQ2" s="37"/>
      <c r="SKR2" s="37"/>
      <c r="SKS2" s="37"/>
      <c r="SKT2" s="37"/>
      <c r="SKU2" s="37"/>
      <c r="SKV2" s="37"/>
      <c r="SKW2" s="37"/>
      <c r="SKX2" s="37"/>
      <c r="SKY2" s="37"/>
      <c r="SKZ2" s="37"/>
      <c r="SLA2" s="37"/>
      <c r="SLB2" s="37"/>
      <c r="SLC2" s="37"/>
      <c r="SLD2" s="37"/>
      <c r="SLE2" s="37"/>
      <c r="SLF2" s="37"/>
      <c r="SLG2" s="37"/>
      <c r="SLH2" s="37"/>
      <c r="SLI2" s="37"/>
      <c r="SLJ2" s="37"/>
      <c r="SLK2" s="37"/>
      <c r="SLL2" s="37"/>
      <c r="SLM2" s="37"/>
      <c r="SLN2" s="37"/>
      <c r="SLO2" s="37"/>
      <c r="SLP2" s="37"/>
      <c r="SLQ2" s="37"/>
      <c r="SLR2" s="37"/>
      <c r="SLS2" s="37"/>
      <c r="SLT2" s="37"/>
      <c r="SLU2" s="37"/>
      <c r="SLV2" s="37"/>
      <c r="SLW2" s="37"/>
      <c r="SLX2" s="37"/>
      <c r="SLY2" s="37"/>
      <c r="SLZ2" s="37"/>
      <c r="SMA2" s="37"/>
      <c r="SMB2" s="37"/>
      <c r="SMC2" s="37"/>
      <c r="SMD2" s="37"/>
      <c r="SME2" s="37"/>
      <c r="SMF2" s="37"/>
      <c r="SMG2" s="37"/>
      <c r="SMH2" s="37"/>
      <c r="SMI2" s="37"/>
      <c r="SMJ2" s="37"/>
      <c r="SMK2" s="37"/>
      <c r="SML2" s="37"/>
      <c r="SMM2" s="37"/>
      <c r="SMN2" s="37"/>
      <c r="SMO2" s="37"/>
      <c r="SMP2" s="37"/>
      <c r="SMQ2" s="37"/>
      <c r="SMR2" s="37"/>
      <c r="SMS2" s="37"/>
      <c r="SMT2" s="37"/>
      <c r="SMU2" s="37"/>
      <c r="SMV2" s="37"/>
      <c r="SMW2" s="37"/>
      <c r="SMX2" s="37"/>
      <c r="SMY2" s="37"/>
      <c r="SMZ2" s="37"/>
      <c r="SNA2" s="37"/>
      <c r="SNB2" s="37"/>
      <c r="SNC2" s="37"/>
      <c r="SND2" s="37"/>
      <c r="SNE2" s="37"/>
      <c r="SNF2" s="37"/>
      <c r="SNG2" s="37"/>
      <c r="SNH2" s="37"/>
      <c r="SNI2" s="37"/>
      <c r="SNJ2" s="37"/>
      <c r="SNK2" s="37"/>
      <c r="SNL2" s="37"/>
      <c r="SNM2" s="37"/>
      <c r="SNN2" s="37"/>
      <c r="SNO2" s="37"/>
      <c r="SNP2" s="37"/>
      <c r="SNQ2" s="37"/>
      <c r="SNR2" s="37"/>
      <c r="SNS2" s="37"/>
      <c r="SNT2" s="37"/>
      <c r="SNU2" s="37"/>
      <c r="SNV2" s="37"/>
      <c r="SNW2" s="37"/>
      <c r="SNX2" s="37"/>
      <c r="SNY2" s="37"/>
      <c r="SNZ2" s="37"/>
      <c r="SOA2" s="37"/>
      <c r="SOB2" s="37"/>
      <c r="SOC2" s="37"/>
      <c r="SOD2" s="37"/>
      <c r="SOE2" s="37"/>
      <c r="SOF2" s="37"/>
      <c r="SOG2" s="37"/>
      <c r="SOH2" s="37"/>
      <c r="SOI2" s="37"/>
      <c r="SOJ2" s="37"/>
      <c r="SOK2" s="37"/>
      <c r="SOL2" s="37"/>
      <c r="SOM2" s="37"/>
      <c r="SON2" s="37"/>
      <c r="SOO2" s="37"/>
      <c r="SOP2" s="37"/>
      <c r="SOQ2" s="37"/>
      <c r="SOR2" s="37"/>
      <c r="SOS2" s="37"/>
      <c r="SOT2" s="37"/>
      <c r="SOU2" s="37"/>
      <c r="SOV2" s="37"/>
      <c r="SOW2" s="37"/>
      <c r="SOX2" s="37"/>
      <c r="SOY2" s="37"/>
      <c r="SOZ2" s="37"/>
      <c r="SPA2" s="37"/>
      <c r="SPB2" s="37"/>
      <c r="SPC2" s="37"/>
      <c r="SPD2" s="37"/>
      <c r="SPE2" s="37"/>
      <c r="SPF2" s="37"/>
      <c r="SPG2" s="37"/>
      <c r="SPH2" s="37"/>
      <c r="SPI2" s="37"/>
      <c r="SPJ2" s="37"/>
      <c r="SPK2" s="37"/>
      <c r="SPL2" s="37"/>
      <c r="SPM2" s="37"/>
      <c r="SPN2" s="37"/>
      <c r="SPO2" s="37"/>
      <c r="SPP2" s="37"/>
      <c r="SPQ2" s="37"/>
      <c r="SPR2" s="37"/>
      <c r="SPS2" s="37"/>
      <c r="SPT2" s="37"/>
      <c r="SPU2" s="37"/>
      <c r="SPV2" s="37"/>
      <c r="SPW2" s="37"/>
      <c r="SPX2" s="37"/>
      <c r="SPY2" s="37"/>
      <c r="SPZ2" s="37"/>
      <c r="SQA2" s="37"/>
      <c r="SQB2" s="37"/>
      <c r="SQC2" s="37"/>
      <c r="SQD2" s="37"/>
      <c r="SQE2" s="37"/>
      <c r="SQF2" s="37"/>
      <c r="SQG2" s="37"/>
      <c r="SQH2" s="37"/>
      <c r="SQI2" s="37"/>
      <c r="SQJ2" s="37"/>
      <c r="SQK2" s="37"/>
      <c r="SQL2" s="37"/>
      <c r="SQM2" s="37"/>
      <c r="SQN2" s="37"/>
      <c r="SQO2" s="37"/>
      <c r="SQP2" s="37"/>
      <c r="SQQ2" s="37"/>
      <c r="SQR2" s="37"/>
      <c r="SQS2" s="37"/>
      <c r="SQT2" s="37"/>
      <c r="SQU2" s="37"/>
      <c r="SQV2" s="37"/>
      <c r="SQW2" s="37"/>
      <c r="SQX2" s="37"/>
      <c r="SQY2" s="37"/>
      <c r="SQZ2" s="37"/>
      <c r="SRA2" s="37"/>
      <c r="SRB2" s="37"/>
      <c r="SRC2" s="37"/>
      <c r="SRD2" s="37"/>
      <c r="SRE2" s="37"/>
      <c r="SRF2" s="37"/>
      <c r="SRG2" s="37"/>
      <c r="SRH2" s="37"/>
      <c r="SRI2" s="37"/>
      <c r="SRJ2" s="37"/>
      <c r="SRK2" s="37"/>
      <c r="SRL2" s="37"/>
      <c r="SRM2" s="37"/>
      <c r="SRN2" s="37"/>
      <c r="SRO2" s="37"/>
      <c r="SRP2" s="37"/>
      <c r="SRQ2" s="37"/>
      <c r="SRR2" s="37"/>
      <c r="SRS2" s="37"/>
      <c r="SRT2" s="37"/>
      <c r="SRU2" s="37"/>
      <c r="SRV2" s="37"/>
      <c r="SRW2" s="37"/>
      <c r="SRX2" s="37"/>
      <c r="SRY2" s="37"/>
      <c r="SRZ2" s="37"/>
      <c r="SSA2" s="37"/>
      <c r="SSB2" s="37"/>
      <c r="SSC2" s="37"/>
      <c r="SSD2" s="37"/>
      <c r="SSE2" s="37"/>
      <c r="SSF2" s="37"/>
      <c r="SSG2" s="37"/>
      <c r="SSH2" s="37"/>
      <c r="SSI2" s="37"/>
      <c r="SSJ2" s="37"/>
      <c r="SSK2" s="37"/>
      <c r="SSL2" s="37"/>
      <c r="SSM2" s="37"/>
      <c r="SSN2" s="37"/>
      <c r="SSO2" s="37"/>
      <c r="SSP2" s="37"/>
      <c r="SSQ2" s="37"/>
      <c r="SSR2" s="37"/>
      <c r="SSS2" s="37"/>
      <c r="SST2" s="37"/>
      <c r="SSU2" s="37"/>
      <c r="SSV2" s="37"/>
      <c r="SSW2" s="37"/>
      <c r="SSX2" s="37"/>
      <c r="SSY2" s="37"/>
      <c r="SSZ2" s="37"/>
      <c r="STA2" s="37"/>
      <c r="STB2" s="37"/>
      <c r="STC2" s="37"/>
      <c r="STD2" s="37"/>
      <c r="STE2" s="37"/>
      <c r="STF2" s="37"/>
      <c r="STG2" s="37"/>
      <c r="STH2" s="37"/>
      <c r="STI2" s="37"/>
      <c r="STJ2" s="37"/>
      <c r="STK2" s="37"/>
      <c r="STL2" s="37"/>
      <c r="STM2" s="37"/>
      <c r="STN2" s="37"/>
      <c r="STO2" s="37"/>
      <c r="STP2" s="37"/>
      <c r="STQ2" s="37"/>
      <c r="STR2" s="37"/>
      <c r="STS2" s="37"/>
      <c r="STT2" s="37"/>
      <c r="STU2" s="37"/>
      <c r="STV2" s="37"/>
      <c r="STW2" s="37"/>
      <c r="STX2" s="37"/>
      <c r="STY2" s="37"/>
      <c r="STZ2" s="37"/>
      <c r="SUA2" s="37"/>
      <c r="SUB2" s="37"/>
      <c r="SUC2" s="37"/>
      <c r="SUD2" s="37"/>
      <c r="SUE2" s="37"/>
      <c r="SUF2" s="37"/>
      <c r="SUG2" s="37"/>
      <c r="SUH2" s="37"/>
      <c r="SUI2" s="37"/>
      <c r="SUJ2" s="37"/>
      <c r="SUK2" s="37"/>
      <c r="SUL2" s="37"/>
      <c r="SUM2" s="37"/>
      <c r="SUN2" s="37"/>
      <c r="SUO2" s="37"/>
      <c r="SUP2" s="37"/>
      <c r="SUQ2" s="37"/>
      <c r="SUR2" s="37"/>
      <c r="SUS2" s="37"/>
      <c r="SUT2" s="37"/>
      <c r="SUU2" s="37"/>
      <c r="SUV2" s="37"/>
      <c r="SUW2" s="37"/>
      <c r="SUX2" s="37"/>
      <c r="SUY2" s="37"/>
      <c r="SUZ2" s="37"/>
      <c r="SVA2" s="37"/>
      <c r="SVB2" s="37"/>
      <c r="SVC2" s="37"/>
      <c r="SVD2" s="37"/>
      <c r="SVE2" s="37"/>
      <c r="SVF2" s="37"/>
      <c r="SVG2" s="37"/>
      <c r="SVH2" s="37"/>
      <c r="SVI2" s="37"/>
      <c r="SVJ2" s="37"/>
      <c r="SVK2" s="37"/>
      <c r="SVL2" s="37"/>
      <c r="SVM2" s="37"/>
      <c r="SVN2" s="37"/>
      <c r="SVO2" s="37"/>
      <c r="SVP2" s="37"/>
      <c r="SVQ2" s="37"/>
      <c r="SVR2" s="37"/>
      <c r="SVS2" s="37"/>
      <c r="SVT2" s="37"/>
      <c r="SVU2" s="37"/>
      <c r="SVV2" s="37"/>
      <c r="SVW2" s="37"/>
      <c r="SVX2" s="37"/>
      <c r="SVY2" s="37"/>
      <c r="SVZ2" s="37"/>
      <c r="SWA2" s="37"/>
      <c r="SWB2" s="37"/>
      <c r="SWC2" s="37"/>
      <c r="SWD2" s="37"/>
      <c r="SWE2" s="37"/>
      <c r="SWF2" s="37"/>
      <c r="SWG2" s="37"/>
      <c r="SWH2" s="37"/>
      <c r="SWI2" s="37"/>
      <c r="SWJ2" s="37"/>
      <c r="SWK2" s="37"/>
      <c r="SWL2" s="37"/>
      <c r="SWM2" s="37"/>
      <c r="SWN2" s="37"/>
      <c r="SWO2" s="37"/>
      <c r="SWP2" s="37"/>
      <c r="SWQ2" s="37"/>
      <c r="SWR2" s="37"/>
      <c r="SWS2" s="37"/>
      <c r="SWT2" s="37"/>
      <c r="SWU2" s="37"/>
      <c r="SWV2" s="37"/>
      <c r="SWW2" s="37"/>
      <c r="SWX2" s="37"/>
      <c r="SWY2" s="37"/>
      <c r="SWZ2" s="37"/>
      <c r="SXA2" s="37"/>
      <c r="SXB2" s="37"/>
      <c r="SXC2" s="37"/>
      <c r="SXD2" s="37"/>
      <c r="SXE2" s="37"/>
      <c r="SXF2" s="37"/>
      <c r="SXG2" s="37"/>
      <c r="SXH2" s="37"/>
      <c r="SXI2" s="37"/>
      <c r="SXJ2" s="37"/>
      <c r="SXK2" s="37"/>
      <c r="SXL2" s="37"/>
      <c r="SXM2" s="37"/>
      <c r="SXN2" s="37"/>
      <c r="SXO2" s="37"/>
      <c r="SXP2" s="37"/>
      <c r="SXQ2" s="37"/>
      <c r="SXR2" s="37"/>
      <c r="SXS2" s="37"/>
      <c r="SXT2" s="37"/>
      <c r="SXU2" s="37"/>
      <c r="SXV2" s="37"/>
      <c r="SXW2" s="37"/>
      <c r="SXX2" s="37"/>
      <c r="SXY2" s="37"/>
      <c r="SXZ2" s="37"/>
      <c r="SYA2" s="37"/>
      <c r="SYB2" s="37"/>
      <c r="SYC2" s="37"/>
      <c r="SYD2" s="37"/>
      <c r="SYE2" s="37"/>
      <c r="SYF2" s="37"/>
      <c r="SYG2" s="37"/>
      <c r="SYH2" s="37"/>
      <c r="SYI2" s="37"/>
      <c r="SYJ2" s="37"/>
      <c r="SYK2" s="37"/>
      <c r="SYL2" s="37"/>
      <c r="SYM2" s="37"/>
      <c r="SYN2" s="37"/>
      <c r="SYO2" s="37"/>
      <c r="SYP2" s="37"/>
      <c r="SYQ2" s="37"/>
      <c r="SYR2" s="37"/>
      <c r="SYS2" s="37"/>
      <c r="SYT2" s="37"/>
      <c r="SYU2" s="37"/>
      <c r="SYV2" s="37"/>
      <c r="SYW2" s="37"/>
      <c r="SYX2" s="37"/>
      <c r="SYY2" s="37"/>
      <c r="SYZ2" s="37"/>
      <c r="SZA2" s="37"/>
      <c r="SZB2" s="37"/>
      <c r="SZC2" s="37"/>
      <c r="SZD2" s="37"/>
      <c r="SZE2" s="37"/>
      <c r="SZF2" s="37"/>
      <c r="SZG2" s="37"/>
      <c r="SZH2" s="37"/>
      <c r="SZI2" s="37"/>
      <c r="SZJ2" s="37"/>
      <c r="SZK2" s="37"/>
      <c r="SZL2" s="37"/>
      <c r="SZM2" s="37"/>
      <c r="SZN2" s="37"/>
      <c r="SZO2" s="37"/>
      <c r="SZP2" s="37"/>
      <c r="SZQ2" s="37"/>
      <c r="SZR2" s="37"/>
      <c r="SZS2" s="37"/>
      <c r="SZT2" s="37"/>
      <c r="SZU2" s="37"/>
      <c r="SZV2" s="37"/>
      <c r="SZW2" s="37"/>
      <c r="SZX2" s="37"/>
      <c r="SZY2" s="37"/>
      <c r="SZZ2" s="37"/>
      <c r="TAA2" s="37"/>
      <c r="TAB2" s="37"/>
      <c r="TAC2" s="37"/>
      <c r="TAD2" s="37"/>
      <c r="TAE2" s="37"/>
      <c r="TAF2" s="37"/>
      <c r="TAG2" s="37"/>
      <c r="TAH2" s="37"/>
      <c r="TAI2" s="37"/>
      <c r="TAJ2" s="37"/>
      <c r="TAK2" s="37"/>
      <c r="TAL2" s="37"/>
      <c r="TAM2" s="37"/>
      <c r="TAN2" s="37"/>
      <c r="TAO2" s="37"/>
      <c r="TAP2" s="37"/>
      <c r="TAQ2" s="37"/>
      <c r="TAR2" s="37"/>
      <c r="TAS2" s="37"/>
      <c r="TAT2" s="37"/>
      <c r="TAU2" s="37"/>
      <c r="TAV2" s="37"/>
      <c r="TAW2" s="37"/>
      <c r="TAX2" s="37"/>
      <c r="TAY2" s="37"/>
      <c r="TAZ2" s="37"/>
      <c r="TBA2" s="37"/>
      <c r="TBB2" s="37"/>
      <c r="TBC2" s="37"/>
      <c r="TBD2" s="37"/>
      <c r="TBE2" s="37"/>
      <c r="TBF2" s="37"/>
      <c r="TBG2" s="37"/>
      <c r="TBH2" s="37"/>
      <c r="TBI2" s="37"/>
      <c r="TBJ2" s="37"/>
      <c r="TBK2" s="37"/>
      <c r="TBL2" s="37"/>
      <c r="TBM2" s="37"/>
      <c r="TBN2" s="37"/>
      <c r="TBO2" s="37"/>
      <c r="TBP2" s="37"/>
      <c r="TBQ2" s="37"/>
      <c r="TBR2" s="37"/>
      <c r="TBS2" s="37"/>
      <c r="TBT2" s="37"/>
      <c r="TBU2" s="37"/>
      <c r="TBV2" s="37"/>
      <c r="TBW2" s="37"/>
      <c r="TBX2" s="37"/>
      <c r="TBY2" s="37"/>
      <c r="TBZ2" s="37"/>
      <c r="TCA2" s="37"/>
      <c r="TCB2" s="37"/>
      <c r="TCC2" s="37"/>
      <c r="TCD2" s="37"/>
      <c r="TCE2" s="37"/>
      <c r="TCF2" s="37"/>
      <c r="TCG2" s="37"/>
      <c r="TCH2" s="37"/>
      <c r="TCI2" s="37"/>
      <c r="TCJ2" s="37"/>
      <c r="TCK2" s="37"/>
      <c r="TCL2" s="37"/>
      <c r="TCM2" s="37"/>
      <c r="TCN2" s="37"/>
      <c r="TCO2" s="37"/>
      <c r="TCP2" s="37"/>
      <c r="TCQ2" s="37"/>
      <c r="TCR2" s="37"/>
      <c r="TCS2" s="37"/>
      <c r="TCT2" s="37"/>
      <c r="TCU2" s="37"/>
      <c r="TCV2" s="37"/>
      <c r="TCW2" s="37"/>
      <c r="TCX2" s="37"/>
      <c r="TCY2" s="37"/>
      <c r="TCZ2" s="37"/>
      <c r="TDA2" s="37"/>
      <c r="TDB2" s="37"/>
      <c r="TDC2" s="37"/>
      <c r="TDD2" s="37"/>
      <c r="TDE2" s="37"/>
      <c r="TDF2" s="37"/>
      <c r="TDG2" s="37"/>
      <c r="TDH2" s="37"/>
      <c r="TDI2" s="37"/>
      <c r="TDJ2" s="37"/>
      <c r="TDK2" s="37"/>
      <c r="TDL2" s="37"/>
      <c r="TDM2" s="37"/>
      <c r="TDN2" s="37"/>
      <c r="TDO2" s="37"/>
      <c r="TDP2" s="37"/>
      <c r="TDQ2" s="37"/>
      <c r="TDR2" s="37"/>
      <c r="TDS2" s="37"/>
      <c r="TDT2" s="37"/>
      <c r="TDU2" s="37"/>
      <c r="TDV2" s="37"/>
      <c r="TDW2" s="37"/>
      <c r="TDX2" s="37"/>
      <c r="TDY2" s="37"/>
      <c r="TDZ2" s="37"/>
      <c r="TEA2" s="37"/>
      <c r="TEB2" s="37"/>
      <c r="TEC2" s="37"/>
      <c r="TED2" s="37"/>
      <c r="TEE2" s="37"/>
      <c r="TEF2" s="37"/>
      <c r="TEG2" s="37"/>
      <c r="TEH2" s="37"/>
      <c r="TEI2" s="37"/>
      <c r="TEJ2" s="37"/>
      <c r="TEK2" s="37"/>
      <c r="TEL2" s="37"/>
      <c r="TEM2" s="37"/>
      <c r="TEN2" s="37"/>
      <c r="TEO2" s="37"/>
      <c r="TEP2" s="37"/>
      <c r="TEQ2" s="37"/>
      <c r="TER2" s="37"/>
      <c r="TES2" s="37"/>
      <c r="TET2" s="37"/>
      <c r="TEU2" s="37"/>
      <c r="TEV2" s="37"/>
      <c r="TEW2" s="37"/>
      <c r="TEX2" s="37"/>
      <c r="TEY2" s="37"/>
      <c r="TEZ2" s="37"/>
      <c r="TFA2" s="37"/>
      <c r="TFB2" s="37"/>
      <c r="TFC2" s="37"/>
      <c r="TFD2" s="37"/>
      <c r="TFE2" s="37"/>
      <c r="TFF2" s="37"/>
      <c r="TFG2" s="37"/>
      <c r="TFH2" s="37"/>
      <c r="TFI2" s="37"/>
      <c r="TFJ2" s="37"/>
      <c r="TFK2" s="37"/>
      <c r="TFL2" s="37"/>
      <c r="TFM2" s="37"/>
      <c r="TFN2" s="37"/>
      <c r="TFO2" s="37"/>
      <c r="TFP2" s="37"/>
      <c r="TFQ2" s="37"/>
      <c r="TFR2" s="37"/>
      <c r="TFS2" s="37"/>
      <c r="TFT2" s="37"/>
      <c r="TFU2" s="37"/>
      <c r="TFV2" s="37"/>
      <c r="TFW2" s="37"/>
      <c r="TFX2" s="37"/>
      <c r="TFY2" s="37"/>
      <c r="TFZ2" s="37"/>
      <c r="TGA2" s="37"/>
      <c r="TGB2" s="37"/>
      <c r="TGC2" s="37"/>
      <c r="TGD2" s="37"/>
      <c r="TGE2" s="37"/>
      <c r="TGF2" s="37"/>
      <c r="TGG2" s="37"/>
      <c r="TGH2" s="37"/>
      <c r="TGI2" s="37"/>
      <c r="TGJ2" s="37"/>
      <c r="TGK2" s="37"/>
      <c r="TGL2" s="37"/>
      <c r="TGM2" s="37"/>
      <c r="TGN2" s="37"/>
      <c r="TGO2" s="37"/>
      <c r="TGP2" s="37"/>
      <c r="TGQ2" s="37"/>
      <c r="TGR2" s="37"/>
      <c r="TGS2" s="37"/>
      <c r="TGT2" s="37"/>
      <c r="TGU2" s="37"/>
      <c r="TGV2" s="37"/>
      <c r="TGW2" s="37"/>
      <c r="TGX2" s="37"/>
      <c r="TGY2" s="37"/>
      <c r="TGZ2" s="37"/>
      <c r="THA2" s="37"/>
      <c r="THB2" s="37"/>
      <c r="THC2" s="37"/>
      <c r="THD2" s="37"/>
      <c r="THE2" s="37"/>
      <c r="THF2" s="37"/>
      <c r="THG2" s="37"/>
      <c r="THH2" s="37"/>
      <c r="THI2" s="37"/>
      <c r="THJ2" s="37"/>
      <c r="THK2" s="37"/>
      <c r="THL2" s="37"/>
      <c r="THM2" s="37"/>
      <c r="THN2" s="37"/>
      <c r="THO2" s="37"/>
      <c r="THP2" s="37"/>
      <c r="THQ2" s="37"/>
      <c r="THR2" s="37"/>
      <c r="THS2" s="37"/>
      <c r="THT2" s="37"/>
      <c r="THU2" s="37"/>
      <c r="THV2" s="37"/>
      <c r="THW2" s="37"/>
      <c r="THX2" s="37"/>
      <c r="THY2" s="37"/>
      <c r="THZ2" s="37"/>
      <c r="TIA2" s="37"/>
      <c r="TIB2" s="37"/>
      <c r="TIC2" s="37"/>
      <c r="TID2" s="37"/>
      <c r="TIE2" s="37"/>
      <c r="TIF2" s="37"/>
      <c r="TIG2" s="37"/>
      <c r="TIH2" s="37"/>
      <c r="TII2" s="37"/>
      <c r="TIJ2" s="37"/>
      <c r="TIK2" s="37"/>
      <c r="TIL2" s="37"/>
      <c r="TIM2" s="37"/>
      <c r="TIN2" s="37"/>
      <c r="TIO2" s="37"/>
      <c r="TIP2" s="37"/>
      <c r="TIQ2" s="37"/>
      <c r="TIR2" s="37"/>
      <c r="TIS2" s="37"/>
      <c r="TIT2" s="37"/>
      <c r="TIU2" s="37"/>
      <c r="TIV2" s="37"/>
      <c r="TIW2" s="37"/>
      <c r="TIX2" s="37"/>
      <c r="TIY2" s="37"/>
      <c r="TIZ2" s="37"/>
      <c r="TJA2" s="37"/>
      <c r="TJB2" s="37"/>
      <c r="TJC2" s="37"/>
      <c r="TJD2" s="37"/>
      <c r="TJE2" s="37"/>
      <c r="TJF2" s="37"/>
      <c r="TJG2" s="37"/>
      <c r="TJH2" s="37"/>
      <c r="TJI2" s="37"/>
      <c r="TJJ2" s="37"/>
      <c r="TJK2" s="37"/>
      <c r="TJL2" s="37"/>
      <c r="TJM2" s="37"/>
      <c r="TJN2" s="37"/>
      <c r="TJO2" s="37"/>
      <c r="TJP2" s="37"/>
      <c r="TJQ2" s="37"/>
      <c r="TJR2" s="37"/>
      <c r="TJS2" s="37"/>
      <c r="TJT2" s="37"/>
      <c r="TJU2" s="37"/>
      <c r="TJV2" s="37"/>
      <c r="TJW2" s="37"/>
      <c r="TJX2" s="37"/>
      <c r="TJY2" s="37"/>
      <c r="TJZ2" s="37"/>
      <c r="TKA2" s="37"/>
      <c r="TKB2" s="37"/>
      <c r="TKC2" s="37"/>
      <c r="TKD2" s="37"/>
      <c r="TKE2" s="37"/>
      <c r="TKF2" s="37"/>
      <c r="TKG2" s="37"/>
      <c r="TKH2" s="37"/>
      <c r="TKI2" s="37"/>
      <c r="TKJ2" s="37"/>
      <c r="TKK2" s="37"/>
      <c r="TKL2" s="37"/>
      <c r="TKM2" s="37"/>
      <c r="TKN2" s="37"/>
      <c r="TKO2" s="37"/>
      <c r="TKP2" s="37"/>
      <c r="TKQ2" s="37"/>
      <c r="TKR2" s="37"/>
      <c r="TKS2" s="37"/>
      <c r="TKT2" s="37"/>
      <c r="TKU2" s="37"/>
      <c r="TKV2" s="37"/>
      <c r="TKW2" s="37"/>
      <c r="TKX2" s="37"/>
      <c r="TKY2" s="37"/>
      <c r="TKZ2" s="37"/>
      <c r="TLA2" s="37"/>
      <c r="TLB2" s="37"/>
      <c r="TLC2" s="37"/>
      <c r="TLD2" s="37"/>
      <c r="TLE2" s="37"/>
      <c r="TLF2" s="37"/>
      <c r="TLG2" s="37"/>
      <c r="TLH2" s="37"/>
      <c r="TLI2" s="37"/>
      <c r="TLJ2" s="37"/>
      <c r="TLK2" s="37"/>
      <c r="TLL2" s="37"/>
      <c r="TLM2" s="37"/>
      <c r="TLN2" s="37"/>
      <c r="TLO2" s="37"/>
      <c r="TLP2" s="37"/>
      <c r="TLQ2" s="37"/>
      <c r="TLR2" s="37"/>
      <c r="TLS2" s="37"/>
      <c r="TLT2" s="37"/>
      <c r="TLU2" s="37"/>
      <c r="TLV2" s="37"/>
      <c r="TLW2" s="37"/>
      <c r="TLX2" s="37"/>
      <c r="TLY2" s="37"/>
      <c r="TLZ2" s="37"/>
      <c r="TMA2" s="37"/>
      <c r="TMB2" s="37"/>
      <c r="TMC2" s="37"/>
      <c r="TMD2" s="37"/>
      <c r="TME2" s="37"/>
      <c r="TMF2" s="37"/>
      <c r="TMG2" s="37"/>
      <c r="TMH2" s="37"/>
      <c r="TMI2" s="37"/>
      <c r="TMJ2" s="37"/>
      <c r="TMK2" s="37"/>
      <c r="TML2" s="37"/>
      <c r="TMM2" s="37"/>
      <c r="TMN2" s="37"/>
      <c r="TMO2" s="37"/>
      <c r="TMP2" s="37"/>
      <c r="TMQ2" s="37"/>
      <c r="TMR2" s="37"/>
      <c r="TMS2" s="37"/>
      <c r="TMT2" s="37"/>
      <c r="TMU2" s="37"/>
      <c r="TMV2" s="37"/>
      <c r="TMW2" s="37"/>
      <c r="TMX2" s="37"/>
      <c r="TMY2" s="37"/>
      <c r="TMZ2" s="37"/>
      <c r="TNA2" s="37"/>
      <c r="TNB2" s="37"/>
      <c r="TNC2" s="37"/>
      <c r="TND2" s="37"/>
      <c r="TNE2" s="37"/>
      <c r="TNF2" s="37"/>
      <c r="TNG2" s="37"/>
      <c r="TNH2" s="37"/>
      <c r="TNI2" s="37"/>
      <c r="TNJ2" s="37"/>
      <c r="TNK2" s="37"/>
      <c r="TNL2" s="37"/>
      <c r="TNM2" s="37"/>
      <c r="TNN2" s="37"/>
      <c r="TNO2" s="37"/>
      <c r="TNP2" s="37"/>
      <c r="TNQ2" s="37"/>
      <c r="TNR2" s="37"/>
      <c r="TNS2" s="37"/>
      <c r="TNT2" s="37"/>
      <c r="TNU2" s="37"/>
      <c r="TNV2" s="37"/>
      <c r="TNW2" s="37"/>
      <c r="TNX2" s="37"/>
      <c r="TNY2" s="37"/>
      <c r="TNZ2" s="37"/>
      <c r="TOA2" s="37"/>
      <c r="TOB2" s="37"/>
      <c r="TOC2" s="37"/>
      <c r="TOD2" s="37"/>
      <c r="TOE2" s="37"/>
      <c r="TOF2" s="37"/>
      <c r="TOG2" s="37"/>
      <c r="TOH2" s="37"/>
      <c r="TOI2" s="37"/>
      <c r="TOJ2" s="37"/>
      <c r="TOK2" s="37"/>
      <c r="TOL2" s="37"/>
      <c r="TOM2" s="37"/>
      <c r="TON2" s="37"/>
      <c r="TOO2" s="37"/>
      <c r="TOP2" s="37"/>
      <c r="TOQ2" s="37"/>
      <c r="TOR2" s="37"/>
      <c r="TOS2" s="37"/>
      <c r="TOT2" s="37"/>
      <c r="TOU2" s="37"/>
      <c r="TOV2" s="37"/>
      <c r="TOW2" s="37"/>
      <c r="TOX2" s="37"/>
      <c r="TOY2" s="37"/>
      <c r="TOZ2" s="37"/>
      <c r="TPA2" s="37"/>
      <c r="TPB2" s="37"/>
      <c r="TPC2" s="37"/>
      <c r="TPD2" s="37"/>
      <c r="TPE2" s="37"/>
      <c r="TPF2" s="37"/>
      <c r="TPG2" s="37"/>
      <c r="TPH2" s="37"/>
      <c r="TPI2" s="37"/>
      <c r="TPJ2" s="37"/>
      <c r="TPK2" s="37"/>
      <c r="TPL2" s="37"/>
      <c r="TPM2" s="37"/>
      <c r="TPN2" s="37"/>
      <c r="TPO2" s="37"/>
      <c r="TPP2" s="37"/>
      <c r="TPQ2" s="37"/>
      <c r="TPR2" s="37"/>
      <c r="TPS2" s="37"/>
      <c r="TPT2" s="37"/>
      <c r="TPU2" s="37"/>
      <c r="TPV2" s="37"/>
      <c r="TPW2" s="37"/>
      <c r="TPX2" s="37"/>
      <c r="TPY2" s="37"/>
      <c r="TPZ2" s="37"/>
      <c r="TQA2" s="37"/>
      <c r="TQB2" s="37"/>
      <c r="TQC2" s="37"/>
      <c r="TQD2" s="37"/>
      <c r="TQE2" s="37"/>
      <c r="TQF2" s="37"/>
      <c r="TQG2" s="37"/>
      <c r="TQH2" s="37"/>
      <c r="TQI2" s="37"/>
      <c r="TQJ2" s="37"/>
      <c r="TQK2" s="37"/>
      <c r="TQL2" s="37"/>
      <c r="TQM2" s="37"/>
      <c r="TQN2" s="37"/>
      <c r="TQO2" s="37"/>
      <c r="TQP2" s="37"/>
      <c r="TQQ2" s="37"/>
      <c r="TQR2" s="37"/>
      <c r="TQS2" s="37"/>
      <c r="TQT2" s="37"/>
      <c r="TQU2" s="37"/>
      <c r="TQV2" s="37"/>
      <c r="TQW2" s="37"/>
      <c r="TQX2" s="37"/>
      <c r="TQY2" s="37"/>
      <c r="TQZ2" s="37"/>
      <c r="TRA2" s="37"/>
      <c r="TRB2" s="37"/>
      <c r="TRC2" s="37"/>
      <c r="TRD2" s="37"/>
      <c r="TRE2" s="37"/>
      <c r="TRF2" s="37"/>
      <c r="TRG2" s="37"/>
      <c r="TRH2" s="37"/>
      <c r="TRI2" s="37"/>
      <c r="TRJ2" s="37"/>
      <c r="TRK2" s="37"/>
      <c r="TRL2" s="37"/>
      <c r="TRM2" s="37"/>
      <c r="TRN2" s="37"/>
      <c r="TRO2" s="37"/>
      <c r="TRP2" s="37"/>
      <c r="TRQ2" s="37"/>
      <c r="TRR2" s="37"/>
      <c r="TRS2" s="37"/>
      <c r="TRT2" s="37"/>
      <c r="TRU2" s="37"/>
      <c r="TRV2" s="37"/>
      <c r="TRW2" s="37"/>
      <c r="TRX2" s="37"/>
      <c r="TRY2" s="37"/>
      <c r="TRZ2" s="37"/>
      <c r="TSA2" s="37"/>
      <c r="TSB2" s="37"/>
      <c r="TSC2" s="37"/>
      <c r="TSD2" s="37"/>
      <c r="TSE2" s="37"/>
      <c r="TSF2" s="37"/>
      <c r="TSG2" s="37"/>
      <c r="TSH2" s="37"/>
      <c r="TSI2" s="37"/>
      <c r="TSJ2" s="37"/>
      <c r="TSK2" s="37"/>
      <c r="TSL2" s="37"/>
      <c r="TSM2" s="37"/>
      <c r="TSN2" s="37"/>
      <c r="TSO2" s="37"/>
      <c r="TSP2" s="37"/>
      <c r="TSQ2" s="37"/>
      <c r="TSR2" s="37"/>
      <c r="TSS2" s="37"/>
      <c r="TST2" s="37"/>
      <c r="TSU2" s="37"/>
      <c r="TSV2" s="37"/>
      <c r="TSW2" s="37"/>
      <c r="TSX2" s="37"/>
      <c r="TSY2" s="37"/>
      <c r="TSZ2" s="37"/>
      <c r="TTA2" s="37"/>
      <c r="TTB2" s="37"/>
      <c r="TTC2" s="37"/>
      <c r="TTD2" s="37"/>
      <c r="TTE2" s="37"/>
      <c r="TTF2" s="37"/>
      <c r="TTG2" s="37"/>
      <c r="TTH2" s="37"/>
      <c r="TTI2" s="37"/>
      <c r="TTJ2" s="37"/>
      <c r="TTK2" s="37"/>
      <c r="TTL2" s="37"/>
      <c r="TTM2" s="37"/>
      <c r="TTN2" s="37"/>
      <c r="TTO2" s="37"/>
      <c r="TTP2" s="37"/>
      <c r="TTQ2" s="37"/>
      <c r="TTR2" s="37"/>
      <c r="TTS2" s="37"/>
      <c r="TTT2" s="37"/>
      <c r="TTU2" s="37"/>
      <c r="TTV2" s="37"/>
      <c r="TTW2" s="37"/>
      <c r="TTX2" s="37"/>
      <c r="TTY2" s="37"/>
      <c r="TTZ2" s="37"/>
      <c r="TUA2" s="37"/>
      <c r="TUB2" s="37"/>
      <c r="TUC2" s="37"/>
      <c r="TUD2" s="37"/>
      <c r="TUE2" s="37"/>
      <c r="TUF2" s="37"/>
      <c r="TUG2" s="37"/>
      <c r="TUH2" s="37"/>
      <c r="TUI2" s="37"/>
      <c r="TUJ2" s="37"/>
      <c r="TUK2" s="37"/>
      <c r="TUL2" s="37"/>
      <c r="TUM2" s="37"/>
      <c r="TUN2" s="37"/>
      <c r="TUO2" s="37"/>
      <c r="TUP2" s="37"/>
      <c r="TUQ2" s="37"/>
      <c r="TUR2" s="37"/>
      <c r="TUS2" s="37"/>
      <c r="TUT2" s="37"/>
      <c r="TUU2" s="37"/>
      <c r="TUV2" s="37"/>
      <c r="TUW2" s="37"/>
      <c r="TUX2" s="37"/>
      <c r="TUY2" s="37"/>
      <c r="TUZ2" s="37"/>
      <c r="TVA2" s="37"/>
      <c r="TVB2" s="37"/>
      <c r="TVC2" s="37"/>
      <c r="TVD2" s="37"/>
      <c r="TVE2" s="37"/>
      <c r="TVF2" s="37"/>
      <c r="TVG2" s="37"/>
      <c r="TVH2" s="37"/>
      <c r="TVI2" s="37"/>
      <c r="TVJ2" s="37"/>
      <c r="TVK2" s="37"/>
      <c r="TVL2" s="37"/>
      <c r="TVM2" s="37"/>
      <c r="TVN2" s="37"/>
      <c r="TVO2" s="37"/>
      <c r="TVP2" s="37"/>
      <c r="TVQ2" s="37"/>
      <c r="TVR2" s="37"/>
      <c r="TVS2" s="37"/>
      <c r="TVT2" s="37"/>
      <c r="TVU2" s="37"/>
      <c r="TVV2" s="37"/>
      <c r="TVW2" s="37"/>
      <c r="TVX2" s="37"/>
      <c r="TVY2" s="37"/>
      <c r="TVZ2" s="37"/>
      <c r="TWA2" s="37"/>
      <c r="TWB2" s="37"/>
      <c r="TWC2" s="37"/>
      <c r="TWD2" s="37"/>
      <c r="TWE2" s="37"/>
      <c r="TWF2" s="37"/>
      <c r="TWG2" s="37"/>
      <c r="TWH2" s="37"/>
      <c r="TWI2" s="37"/>
      <c r="TWJ2" s="37"/>
      <c r="TWK2" s="37"/>
      <c r="TWL2" s="37"/>
      <c r="TWM2" s="37"/>
      <c r="TWN2" s="37"/>
      <c r="TWO2" s="37"/>
      <c r="TWP2" s="37"/>
      <c r="TWQ2" s="37"/>
      <c r="TWR2" s="37"/>
      <c r="TWS2" s="37"/>
      <c r="TWT2" s="37"/>
      <c r="TWU2" s="37"/>
      <c r="TWV2" s="37"/>
      <c r="TWW2" s="37"/>
      <c r="TWX2" s="37"/>
      <c r="TWY2" s="37"/>
      <c r="TWZ2" s="37"/>
      <c r="TXA2" s="37"/>
      <c r="TXB2" s="37"/>
      <c r="TXC2" s="37"/>
      <c r="TXD2" s="37"/>
      <c r="TXE2" s="37"/>
      <c r="TXF2" s="37"/>
      <c r="TXG2" s="37"/>
      <c r="TXH2" s="37"/>
      <c r="TXI2" s="37"/>
      <c r="TXJ2" s="37"/>
      <c r="TXK2" s="37"/>
      <c r="TXL2" s="37"/>
      <c r="TXM2" s="37"/>
      <c r="TXN2" s="37"/>
      <c r="TXO2" s="37"/>
      <c r="TXP2" s="37"/>
      <c r="TXQ2" s="37"/>
      <c r="TXR2" s="37"/>
      <c r="TXS2" s="37"/>
      <c r="TXT2" s="37"/>
      <c r="TXU2" s="37"/>
      <c r="TXV2" s="37"/>
      <c r="TXW2" s="37"/>
      <c r="TXX2" s="37"/>
      <c r="TXY2" s="37"/>
      <c r="TXZ2" s="37"/>
      <c r="TYA2" s="37"/>
      <c r="TYB2" s="37"/>
      <c r="TYC2" s="37"/>
      <c r="TYD2" s="37"/>
      <c r="TYE2" s="37"/>
      <c r="TYF2" s="37"/>
      <c r="TYG2" s="37"/>
      <c r="TYH2" s="37"/>
      <c r="TYI2" s="37"/>
      <c r="TYJ2" s="37"/>
      <c r="TYK2" s="37"/>
      <c r="TYL2" s="37"/>
      <c r="TYM2" s="37"/>
      <c r="TYN2" s="37"/>
      <c r="TYO2" s="37"/>
      <c r="TYP2" s="37"/>
      <c r="TYQ2" s="37"/>
      <c r="TYR2" s="37"/>
      <c r="TYS2" s="37"/>
      <c r="TYT2" s="37"/>
      <c r="TYU2" s="37"/>
      <c r="TYV2" s="37"/>
      <c r="TYW2" s="37"/>
      <c r="TYX2" s="37"/>
      <c r="TYY2" s="37"/>
      <c r="TYZ2" s="37"/>
      <c r="TZA2" s="37"/>
      <c r="TZB2" s="37"/>
      <c r="TZC2" s="37"/>
      <c r="TZD2" s="37"/>
      <c r="TZE2" s="37"/>
      <c r="TZF2" s="37"/>
      <c r="TZG2" s="37"/>
      <c r="TZH2" s="37"/>
      <c r="TZI2" s="37"/>
      <c r="TZJ2" s="37"/>
      <c r="TZK2" s="37"/>
      <c r="TZL2" s="37"/>
      <c r="TZM2" s="37"/>
      <c r="TZN2" s="37"/>
      <c r="TZO2" s="37"/>
      <c r="TZP2" s="37"/>
      <c r="TZQ2" s="37"/>
      <c r="TZR2" s="37"/>
      <c r="TZS2" s="37"/>
      <c r="TZT2" s="37"/>
      <c r="TZU2" s="37"/>
      <c r="TZV2" s="37"/>
      <c r="TZW2" s="37"/>
      <c r="TZX2" s="37"/>
      <c r="TZY2" s="37"/>
      <c r="TZZ2" s="37"/>
      <c r="UAA2" s="37"/>
      <c r="UAB2" s="37"/>
      <c r="UAC2" s="37"/>
      <c r="UAD2" s="37"/>
      <c r="UAE2" s="37"/>
      <c r="UAF2" s="37"/>
      <c r="UAG2" s="37"/>
      <c r="UAH2" s="37"/>
      <c r="UAI2" s="37"/>
      <c r="UAJ2" s="37"/>
      <c r="UAK2" s="37"/>
      <c r="UAL2" s="37"/>
      <c r="UAM2" s="37"/>
      <c r="UAN2" s="37"/>
      <c r="UAO2" s="37"/>
      <c r="UAP2" s="37"/>
      <c r="UAQ2" s="37"/>
      <c r="UAR2" s="37"/>
      <c r="UAS2" s="37"/>
      <c r="UAT2" s="37"/>
      <c r="UAU2" s="37"/>
      <c r="UAV2" s="37"/>
      <c r="UAW2" s="37"/>
      <c r="UAX2" s="37"/>
      <c r="UAY2" s="37"/>
      <c r="UAZ2" s="37"/>
      <c r="UBA2" s="37"/>
      <c r="UBB2" s="37"/>
      <c r="UBC2" s="37"/>
      <c r="UBD2" s="37"/>
      <c r="UBE2" s="37"/>
      <c r="UBF2" s="37"/>
      <c r="UBG2" s="37"/>
      <c r="UBH2" s="37"/>
      <c r="UBI2" s="37"/>
      <c r="UBJ2" s="37"/>
      <c r="UBK2" s="37"/>
      <c r="UBL2" s="37"/>
      <c r="UBM2" s="37"/>
      <c r="UBN2" s="37"/>
      <c r="UBO2" s="37"/>
      <c r="UBP2" s="37"/>
      <c r="UBQ2" s="37"/>
      <c r="UBR2" s="37"/>
      <c r="UBS2" s="37"/>
      <c r="UBT2" s="37"/>
      <c r="UBU2" s="37"/>
      <c r="UBV2" s="37"/>
      <c r="UBW2" s="37"/>
      <c r="UBX2" s="37"/>
      <c r="UBY2" s="37"/>
      <c r="UBZ2" s="37"/>
      <c r="UCA2" s="37"/>
      <c r="UCB2" s="37"/>
      <c r="UCC2" s="37"/>
      <c r="UCD2" s="37"/>
      <c r="UCE2" s="37"/>
      <c r="UCF2" s="37"/>
      <c r="UCG2" s="37"/>
      <c r="UCH2" s="37"/>
      <c r="UCI2" s="37"/>
      <c r="UCJ2" s="37"/>
      <c r="UCK2" s="37"/>
      <c r="UCL2" s="37"/>
      <c r="UCM2" s="37"/>
      <c r="UCN2" s="37"/>
      <c r="UCO2" s="37"/>
      <c r="UCP2" s="37"/>
      <c r="UCQ2" s="37"/>
      <c r="UCR2" s="37"/>
      <c r="UCS2" s="37"/>
      <c r="UCT2" s="37"/>
      <c r="UCU2" s="37"/>
      <c r="UCV2" s="37"/>
      <c r="UCW2" s="37"/>
      <c r="UCX2" s="37"/>
      <c r="UCY2" s="37"/>
      <c r="UCZ2" s="37"/>
      <c r="UDA2" s="37"/>
      <c r="UDB2" s="37"/>
      <c r="UDC2" s="37"/>
      <c r="UDD2" s="37"/>
      <c r="UDE2" s="37"/>
      <c r="UDF2" s="37"/>
      <c r="UDG2" s="37"/>
      <c r="UDH2" s="37"/>
      <c r="UDI2" s="37"/>
      <c r="UDJ2" s="37"/>
      <c r="UDK2" s="37"/>
      <c r="UDL2" s="37"/>
      <c r="UDM2" s="37"/>
      <c r="UDN2" s="37"/>
      <c r="UDO2" s="37"/>
      <c r="UDP2" s="37"/>
      <c r="UDQ2" s="37"/>
      <c r="UDR2" s="37"/>
      <c r="UDS2" s="37"/>
      <c r="UDT2" s="37"/>
      <c r="UDU2" s="37"/>
      <c r="UDV2" s="37"/>
      <c r="UDW2" s="37"/>
      <c r="UDX2" s="37"/>
      <c r="UDY2" s="37"/>
      <c r="UDZ2" s="37"/>
      <c r="UEA2" s="37"/>
      <c r="UEB2" s="37"/>
      <c r="UEC2" s="37"/>
      <c r="UED2" s="37"/>
      <c r="UEE2" s="37"/>
      <c r="UEF2" s="37"/>
      <c r="UEG2" s="37"/>
      <c r="UEH2" s="37"/>
      <c r="UEI2" s="37"/>
      <c r="UEJ2" s="37"/>
      <c r="UEK2" s="37"/>
      <c r="UEL2" s="37"/>
      <c r="UEM2" s="37"/>
      <c r="UEN2" s="37"/>
      <c r="UEO2" s="37"/>
      <c r="UEP2" s="37"/>
      <c r="UEQ2" s="37"/>
      <c r="UER2" s="37"/>
      <c r="UES2" s="37"/>
      <c r="UET2" s="37"/>
      <c r="UEU2" s="37"/>
      <c r="UEV2" s="37"/>
      <c r="UEW2" s="37"/>
      <c r="UEX2" s="37"/>
      <c r="UEY2" s="37"/>
      <c r="UEZ2" s="37"/>
      <c r="UFA2" s="37"/>
      <c r="UFB2" s="37"/>
      <c r="UFC2" s="37"/>
      <c r="UFD2" s="37"/>
      <c r="UFE2" s="37"/>
      <c r="UFF2" s="37"/>
      <c r="UFG2" s="37"/>
      <c r="UFH2" s="37"/>
      <c r="UFI2" s="37"/>
      <c r="UFJ2" s="37"/>
      <c r="UFK2" s="37"/>
      <c r="UFL2" s="37"/>
      <c r="UFM2" s="37"/>
      <c r="UFN2" s="37"/>
      <c r="UFO2" s="37"/>
      <c r="UFP2" s="37"/>
      <c r="UFQ2" s="37"/>
      <c r="UFR2" s="37"/>
      <c r="UFS2" s="37"/>
      <c r="UFT2" s="37"/>
      <c r="UFU2" s="37"/>
      <c r="UFV2" s="37"/>
      <c r="UFW2" s="37"/>
      <c r="UFX2" s="37"/>
      <c r="UFY2" s="37"/>
      <c r="UFZ2" s="37"/>
      <c r="UGA2" s="37"/>
      <c r="UGB2" s="37"/>
      <c r="UGC2" s="37"/>
      <c r="UGD2" s="37"/>
      <c r="UGE2" s="37"/>
      <c r="UGF2" s="37"/>
      <c r="UGG2" s="37"/>
      <c r="UGH2" s="37"/>
      <c r="UGI2" s="37"/>
      <c r="UGJ2" s="37"/>
      <c r="UGK2" s="37"/>
      <c r="UGL2" s="37"/>
      <c r="UGM2" s="37"/>
      <c r="UGN2" s="37"/>
      <c r="UGO2" s="37"/>
      <c r="UGP2" s="37"/>
      <c r="UGQ2" s="37"/>
      <c r="UGR2" s="37"/>
      <c r="UGS2" s="37"/>
      <c r="UGT2" s="37"/>
      <c r="UGU2" s="37"/>
      <c r="UGV2" s="37"/>
      <c r="UGW2" s="37"/>
      <c r="UGX2" s="37"/>
      <c r="UGY2" s="37"/>
      <c r="UGZ2" s="37"/>
      <c r="UHA2" s="37"/>
      <c r="UHB2" s="37"/>
      <c r="UHC2" s="37"/>
      <c r="UHD2" s="37"/>
      <c r="UHE2" s="37"/>
      <c r="UHF2" s="37"/>
      <c r="UHG2" s="37"/>
      <c r="UHH2" s="37"/>
      <c r="UHI2" s="37"/>
      <c r="UHJ2" s="37"/>
      <c r="UHK2" s="37"/>
      <c r="UHL2" s="37"/>
      <c r="UHM2" s="37"/>
      <c r="UHN2" s="37"/>
      <c r="UHO2" s="37"/>
      <c r="UHP2" s="37"/>
      <c r="UHQ2" s="37"/>
      <c r="UHR2" s="37"/>
      <c r="UHS2" s="37"/>
      <c r="UHT2" s="37"/>
      <c r="UHU2" s="37"/>
      <c r="UHV2" s="37"/>
      <c r="UHW2" s="37"/>
      <c r="UHX2" s="37"/>
      <c r="UHY2" s="37"/>
      <c r="UHZ2" s="37"/>
      <c r="UIA2" s="37"/>
      <c r="UIB2" s="37"/>
      <c r="UIC2" s="37"/>
      <c r="UID2" s="37"/>
      <c r="UIE2" s="37"/>
      <c r="UIF2" s="37"/>
      <c r="UIG2" s="37"/>
      <c r="UIH2" s="37"/>
      <c r="UII2" s="37"/>
      <c r="UIJ2" s="37"/>
      <c r="UIK2" s="37"/>
      <c r="UIL2" s="37"/>
      <c r="UIM2" s="37"/>
      <c r="UIN2" s="37"/>
      <c r="UIO2" s="37"/>
      <c r="UIP2" s="37"/>
      <c r="UIQ2" s="37"/>
      <c r="UIR2" s="37"/>
      <c r="UIS2" s="37"/>
      <c r="UIT2" s="37"/>
      <c r="UIU2" s="37"/>
      <c r="UIV2" s="37"/>
      <c r="UIW2" s="37"/>
      <c r="UIX2" s="37"/>
      <c r="UIY2" s="37"/>
      <c r="UIZ2" s="37"/>
      <c r="UJA2" s="37"/>
      <c r="UJB2" s="37"/>
      <c r="UJC2" s="37"/>
      <c r="UJD2" s="37"/>
      <c r="UJE2" s="37"/>
      <c r="UJF2" s="37"/>
      <c r="UJG2" s="37"/>
      <c r="UJH2" s="37"/>
      <c r="UJI2" s="37"/>
      <c r="UJJ2" s="37"/>
      <c r="UJK2" s="37"/>
      <c r="UJL2" s="37"/>
      <c r="UJM2" s="37"/>
      <c r="UJN2" s="37"/>
      <c r="UJO2" s="37"/>
      <c r="UJP2" s="37"/>
      <c r="UJQ2" s="37"/>
      <c r="UJR2" s="37"/>
      <c r="UJS2" s="37"/>
      <c r="UJT2" s="37"/>
      <c r="UJU2" s="37"/>
      <c r="UJV2" s="37"/>
      <c r="UJW2" s="37"/>
      <c r="UJX2" s="37"/>
      <c r="UJY2" s="37"/>
      <c r="UJZ2" s="37"/>
      <c r="UKA2" s="37"/>
      <c r="UKB2" s="37"/>
      <c r="UKC2" s="37"/>
      <c r="UKD2" s="37"/>
      <c r="UKE2" s="37"/>
      <c r="UKF2" s="37"/>
      <c r="UKG2" s="37"/>
      <c r="UKH2" s="37"/>
      <c r="UKI2" s="37"/>
      <c r="UKJ2" s="37"/>
      <c r="UKK2" s="37"/>
      <c r="UKL2" s="37"/>
      <c r="UKM2" s="37"/>
      <c r="UKN2" s="37"/>
      <c r="UKO2" s="37"/>
      <c r="UKP2" s="37"/>
      <c r="UKQ2" s="37"/>
      <c r="UKR2" s="37"/>
      <c r="UKS2" s="37"/>
      <c r="UKT2" s="37"/>
      <c r="UKU2" s="37"/>
      <c r="UKV2" s="37"/>
      <c r="UKW2" s="37"/>
      <c r="UKX2" s="37"/>
      <c r="UKY2" s="37"/>
      <c r="UKZ2" s="37"/>
      <c r="ULA2" s="37"/>
      <c r="ULB2" s="37"/>
      <c r="ULC2" s="37"/>
      <c r="ULD2" s="37"/>
      <c r="ULE2" s="37"/>
      <c r="ULF2" s="37"/>
      <c r="ULG2" s="37"/>
      <c r="ULH2" s="37"/>
      <c r="ULI2" s="37"/>
      <c r="ULJ2" s="37"/>
      <c r="ULK2" s="37"/>
      <c r="ULL2" s="37"/>
      <c r="ULM2" s="37"/>
      <c r="ULN2" s="37"/>
      <c r="ULO2" s="37"/>
      <c r="ULP2" s="37"/>
      <c r="ULQ2" s="37"/>
      <c r="ULR2" s="37"/>
      <c r="ULS2" s="37"/>
      <c r="ULT2" s="37"/>
      <c r="ULU2" s="37"/>
      <c r="ULV2" s="37"/>
      <c r="ULW2" s="37"/>
      <c r="ULX2" s="37"/>
      <c r="ULY2" s="37"/>
      <c r="ULZ2" s="37"/>
      <c r="UMA2" s="37"/>
      <c r="UMB2" s="37"/>
      <c r="UMC2" s="37"/>
      <c r="UMD2" s="37"/>
      <c r="UME2" s="37"/>
      <c r="UMF2" s="37"/>
      <c r="UMG2" s="37"/>
      <c r="UMH2" s="37"/>
      <c r="UMI2" s="37"/>
      <c r="UMJ2" s="37"/>
      <c r="UMK2" s="37"/>
      <c r="UML2" s="37"/>
      <c r="UMM2" s="37"/>
      <c r="UMN2" s="37"/>
      <c r="UMO2" s="37"/>
      <c r="UMP2" s="37"/>
      <c r="UMQ2" s="37"/>
      <c r="UMR2" s="37"/>
      <c r="UMS2" s="37"/>
      <c r="UMT2" s="37"/>
      <c r="UMU2" s="37"/>
      <c r="UMV2" s="37"/>
      <c r="UMW2" s="37"/>
      <c r="UMX2" s="37"/>
      <c r="UMY2" s="37"/>
      <c r="UMZ2" s="37"/>
      <c r="UNA2" s="37"/>
      <c r="UNB2" s="37"/>
      <c r="UNC2" s="37"/>
      <c r="UND2" s="37"/>
      <c r="UNE2" s="37"/>
      <c r="UNF2" s="37"/>
      <c r="UNG2" s="37"/>
      <c r="UNH2" s="37"/>
      <c r="UNI2" s="37"/>
      <c r="UNJ2" s="37"/>
      <c r="UNK2" s="37"/>
      <c r="UNL2" s="37"/>
      <c r="UNM2" s="37"/>
      <c r="UNN2" s="37"/>
      <c r="UNO2" s="37"/>
      <c r="UNP2" s="37"/>
      <c r="UNQ2" s="37"/>
      <c r="UNR2" s="37"/>
      <c r="UNS2" s="37"/>
      <c r="UNT2" s="37"/>
      <c r="UNU2" s="37"/>
      <c r="UNV2" s="37"/>
      <c r="UNW2" s="37"/>
      <c r="UNX2" s="37"/>
      <c r="UNY2" s="37"/>
      <c r="UNZ2" s="37"/>
      <c r="UOA2" s="37"/>
      <c r="UOB2" s="37"/>
      <c r="UOC2" s="37"/>
      <c r="UOD2" s="37"/>
      <c r="UOE2" s="37"/>
      <c r="UOF2" s="37"/>
      <c r="UOG2" s="37"/>
      <c r="UOH2" s="37"/>
      <c r="UOI2" s="37"/>
      <c r="UOJ2" s="37"/>
      <c r="UOK2" s="37"/>
      <c r="UOL2" s="37"/>
      <c r="UOM2" s="37"/>
      <c r="UON2" s="37"/>
      <c r="UOO2" s="37"/>
      <c r="UOP2" s="37"/>
      <c r="UOQ2" s="37"/>
      <c r="UOR2" s="37"/>
      <c r="UOS2" s="37"/>
      <c r="UOT2" s="37"/>
      <c r="UOU2" s="37"/>
      <c r="UOV2" s="37"/>
      <c r="UOW2" s="37"/>
      <c r="UOX2" s="37"/>
      <c r="UOY2" s="37"/>
      <c r="UOZ2" s="37"/>
      <c r="UPA2" s="37"/>
      <c r="UPB2" s="37"/>
      <c r="UPC2" s="37"/>
      <c r="UPD2" s="37"/>
      <c r="UPE2" s="37"/>
      <c r="UPF2" s="37"/>
      <c r="UPG2" s="37"/>
      <c r="UPH2" s="37"/>
      <c r="UPI2" s="37"/>
      <c r="UPJ2" s="37"/>
      <c r="UPK2" s="37"/>
      <c r="UPL2" s="37"/>
      <c r="UPM2" s="37"/>
      <c r="UPN2" s="37"/>
      <c r="UPO2" s="37"/>
      <c r="UPP2" s="37"/>
      <c r="UPQ2" s="37"/>
      <c r="UPR2" s="37"/>
      <c r="UPS2" s="37"/>
      <c r="UPT2" s="37"/>
      <c r="UPU2" s="37"/>
      <c r="UPV2" s="37"/>
      <c r="UPW2" s="37"/>
      <c r="UPX2" s="37"/>
      <c r="UPY2" s="37"/>
      <c r="UPZ2" s="37"/>
      <c r="UQA2" s="37"/>
      <c r="UQB2" s="37"/>
      <c r="UQC2" s="37"/>
      <c r="UQD2" s="37"/>
      <c r="UQE2" s="37"/>
      <c r="UQF2" s="37"/>
      <c r="UQG2" s="37"/>
      <c r="UQH2" s="37"/>
      <c r="UQI2" s="37"/>
      <c r="UQJ2" s="37"/>
      <c r="UQK2" s="37"/>
      <c r="UQL2" s="37"/>
      <c r="UQM2" s="37"/>
      <c r="UQN2" s="37"/>
      <c r="UQO2" s="37"/>
      <c r="UQP2" s="37"/>
      <c r="UQQ2" s="37"/>
      <c r="UQR2" s="37"/>
      <c r="UQS2" s="37"/>
      <c r="UQT2" s="37"/>
      <c r="UQU2" s="37"/>
      <c r="UQV2" s="37"/>
      <c r="UQW2" s="37"/>
      <c r="UQX2" s="37"/>
      <c r="UQY2" s="37"/>
      <c r="UQZ2" s="37"/>
      <c r="URA2" s="37"/>
      <c r="URB2" s="37"/>
      <c r="URC2" s="37"/>
      <c r="URD2" s="37"/>
      <c r="URE2" s="37"/>
      <c r="URF2" s="37"/>
      <c r="URG2" s="37"/>
      <c r="URH2" s="37"/>
      <c r="URI2" s="37"/>
      <c r="URJ2" s="37"/>
      <c r="URK2" s="37"/>
      <c r="URL2" s="37"/>
      <c r="URM2" s="37"/>
      <c r="URN2" s="37"/>
      <c r="URO2" s="37"/>
      <c r="URP2" s="37"/>
      <c r="URQ2" s="37"/>
      <c r="URR2" s="37"/>
      <c r="URS2" s="37"/>
      <c r="URT2" s="37"/>
      <c r="URU2" s="37"/>
      <c r="URV2" s="37"/>
      <c r="URW2" s="37"/>
      <c r="URX2" s="37"/>
      <c r="URY2" s="37"/>
      <c r="URZ2" s="37"/>
      <c r="USA2" s="37"/>
      <c r="USB2" s="37"/>
      <c r="USC2" s="37"/>
      <c r="USD2" s="37"/>
      <c r="USE2" s="37"/>
      <c r="USF2" s="37"/>
      <c r="USG2" s="37"/>
      <c r="USH2" s="37"/>
      <c r="USI2" s="37"/>
      <c r="USJ2" s="37"/>
      <c r="USK2" s="37"/>
      <c r="USL2" s="37"/>
      <c r="USM2" s="37"/>
      <c r="USN2" s="37"/>
      <c r="USO2" s="37"/>
      <c r="USP2" s="37"/>
      <c r="USQ2" s="37"/>
      <c r="USR2" s="37"/>
      <c r="USS2" s="37"/>
      <c r="UST2" s="37"/>
      <c r="USU2" s="37"/>
      <c r="USV2" s="37"/>
      <c r="USW2" s="37"/>
      <c r="USX2" s="37"/>
      <c r="USY2" s="37"/>
      <c r="USZ2" s="37"/>
      <c r="UTA2" s="37"/>
      <c r="UTB2" s="37"/>
      <c r="UTC2" s="37"/>
      <c r="UTD2" s="37"/>
      <c r="UTE2" s="37"/>
      <c r="UTF2" s="37"/>
      <c r="UTG2" s="37"/>
      <c r="UTH2" s="37"/>
      <c r="UTI2" s="37"/>
      <c r="UTJ2" s="37"/>
      <c r="UTK2" s="37"/>
      <c r="UTL2" s="37"/>
      <c r="UTM2" s="37"/>
      <c r="UTN2" s="37"/>
      <c r="UTO2" s="37"/>
      <c r="UTP2" s="37"/>
      <c r="UTQ2" s="37"/>
      <c r="UTR2" s="37"/>
      <c r="UTS2" s="37"/>
      <c r="UTT2" s="37"/>
      <c r="UTU2" s="37"/>
      <c r="UTV2" s="37"/>
      <c r="UTW2" s="37"/>
      <c r="UTX2" s="37"/>
      <c r="UTY2" s="37"/>
      <c r="UTZ2" s="37"/>
      <c r="UUA2" s="37"/>
      <c r="UUB2" s="37"/>
      <c r="UUC2" s="37"/>
      <c r="UUD2" s="37"/>
      <c r="UUE2" s="37"/>
      <c r="UUF2" s="37"/>
      <c r="UUG2" s="37"/>
      <c r="UUH2" s="37"/>
      <c r="UUI2" s="37"/>
      <c r="UUJ2" s="37"/>
      <c r="UUK2" s="37"/>
      <c r="UUL2" s="37"/>
      <c r="UUM2" s="37"/>
      <c r="UUN2" s="37"/>
      <c r="UUO2" s="37"/>
      <c r="UUP2" s="37"/>
      <c r="UUQ2" s="37"/>
      <c r="UUR2" s="37"/>
      <c r="UUS2" s="37"/>
      <c r="UUT2" s="37"/>
      <c r="UUU2" s="37"/>
      <c r="UUV2" s="37"/>
      <c r="UUW2" s="37"/>
      <c r="UUX2" s="37"/>
      <c r="UUY2" s="37"/>
      <c r="UUZ2" s="37"/>
      <c r="UVA2" s="37"/>
      <c r="UVB2" s="37"/>
      <c r="UVC2" s="37"/>
      <c r="UVD2" s="37"/>
      <c r="UVE2" s="37"/>
      <c r="UVF2" s="37"/>
      <c r="UVG2" s="37"/>
      <c r="UVH2" s="37"/>
      <c r="UVI2" s="37"/>
      <c r="UVJ2" s="37"/>
      <c r="UVK2" s="37"/>
      <c r="UVL2" s="37"/>
      <c r="UVM2" s="37"/>
      <c r="UVN2" s="37"/>
      <c r="UVO2" s="37"/>
      <c r="UVP2" s="37"/>
      <c r="UVQ2" s="37"/>
      <c r="UVR2" s="37"/>
      <c r="UVS2" s="37"/>
      <c r="UVT2" s="37"/>
      <c r="UVU2" s="37"/>
      <c r="UVV2" s="37"/>
      <c r="UVW2" s="37"/>
      <c r="UVX2" s="37"/>
      <c r="UVY2" s="37"/>
      <c r="UVZ2" s="37"/>
      <c r="UWA2" s="37"/>
      <c r="UWB2" s="37"/>
      <c r="UWC2" s="37"/>
      <c r="UWD2" s="37"/>
      <c r="UWE2" s="37"/>
      <c r="UWF2" s="37"/>
      <c r="UWG2" s="37"/>
      <c r="UWH2" s="37"/>
      <c r="UWI2" s="37"/>
      <c r="UWJ2" s="37"/>
      <c r="UWK2" s="37"/>
      <c r="UWL2" s="37"/>
      <c r="UWM2" s="37"/>
      <c r="UWN2" s="37"/>
      <c r="UWO2" s="37"/>
      <c r="UWP2" s="37"/>
      <c r="UWQ2" s="37"/>
      <c r="UWR2" s="37"/>
      <c r="UWS2" s="37"/>
      <c r="UWT2" s="37"/>
      <c r="UWU2" s="37"/>
      <c r="UWV2" s="37"/>
      <c r="UWW2" s="37"/>
      <c r="UWX2" s="37"/>
      <c r="UWY2" s="37"/>
      <c r="UWZ2" s="37"/>
      <c r="UXA2" s="37"/>
      <c r="UXB2" s="37"/>
      <c r="UXC2" s="37"/>
      <c r="UXD2" s="37"/>
      <c r="UXE2" s="37"/>
      <c r="UXF2" s="37"/>
      <c r="UXG2" s="37"/>
      <c r="UXH2" s="37"/>
      <c r="UXI2" s="37"/>
      <c r="UXJ2" s="37"/>
      <c r="UXK2" s="37"/>
      <c r="UXL2" s="37"/>
      <c r="UXM2" s="37"/>
      <c r="UXN2" s="37"/>
      <c r="UXO2" s="37"/>
      <c r="UXP2" s="37"/>
      <c r="UXQ2" s="37"/>
      <c r="UXR2" s="37"/>
      <c r="UXS2" s="37"/>
      <c r="UXT2" s="37"/>
      <c r="UXU2" s="37"/>
      <c r="UXV2" s="37"/>
      <c r="UXW2" s="37"/>
      <c r="UXX2" s="37"/>
      <c r="UXY2" s="37"/>
      <c r="UXZ2" s="37"/>
      <c r="UYA2" s="37"/>
      <c r="UYB2" s="37"/>
      <c r="UYC2" s="37"/>
      <c r="UYD2" s="37"/>
      <c r="UYE2" s="37"/>
      <c r="UYF2" s="37"/>
      <c r="UYG2" s="37"/>
      <c r="UYH2" s="37"/>
      <c r="UYI2" s="37"/>
      <c r="UYJ2" s="37"/>
      <c r="UYK2" s="37"/>
      <c r="UYL2" s="37"/>
      <c r="UYM2" s="37"/>
      <c r="UYN2" s="37"/>
      <c r="UYO2" s="37"/>
      <c r="UYP2" s="37"/>
      <c r="UYQ2" s="37"/>
      <c r="UYR2" s="37"/>
      <c r="UYS2" s="37"/>
      <c r="UYT2" s="37"/>
      <c r="UYU2" s="37"/>
      <c r="UYV2" s="37"/>
      <c r="UYW2" s="37"/>
      <c r="UYX2" s="37"/>
      <c r="UYY2" s="37"/>
      <c r="UYZ2" s="37"/>
      <c r="UZA2" s="37"/>
      <c r="UZB2" s="37"/>
      <c r="UZC2" s="37"/>
      <c r="UZD2" s="37"/>
      <c r="UZE2" s="37"/>
      <c r="UZF2" s="37"/>
      <c r="UZG2" s="37"/>
      <c r="UZH2" s="37"/>
      <c r="UZI2" s="37"/>
      <c r="UZJ2" s="37"/>
      <c r="UZK2" s="37"/>
      <c r="UZL2" s="37"/>
      <c r="UZM2" s="37"/>
      <c r="UZN2" s="37"/>
      <c r="UZO2" s="37"/>
      <c r="UZP2" s="37"/>
      <c r="UZQ2" s="37"/>
      <c r="UZR2" s="37"/>
      <c r="UZS2" s="37"/>
      <c r="UZT2" s="37"/>
      <c r="UZU2" s="37"/>
      <c r="UZV2" s="37"/>
      <c r="UZW2" s="37"/>
      <c r="UZX2" s="37"/>
      <c r="UZY2" s="37"/>
      <c r="UZZ2" s="37"/>
      <c r="VAA2" s="37"/>
      <c r="VAB2" s="37"/>
      <c r="VAC2" s="37"/>
      <c r="VAD2" s="37"/>
      <c r="VAE2" s="37"/>
      <c r="VAF2" s="37"/>
      <c r="VAG2" s="37"/>
      <c r="VAH2" s="37"/>
      <c r="VAI2" s="37"/>
      <c r="VAJ2" s="37"/>
      <c r="VAK2" s="37"/>
      <c r="VAL2" s="37"/>
      <c r="VAM2" s="37"/>
      <c r="VAN2" s="37"/>
      <c r="VAO2" s="37"/>
      <c r="VAP2" s="37"/>
      <c r="VAQ2" s="37"/>
      <c r="VAR2" s="37"/>
      <c r="VAS2" s="37"/>
      <c r="VAT2" s="37"/>
      <c r="VAU2" s="37"/>
      <c r="VAV2" s="37"/>
      <c r="VAW2" s="37"/>
      <c r="VAX2" s="37"/>
      <c r="VAY2" s="37"/>
      <c r="VAZ2" s="37"/>
      <c r="VBA2" s="37"/>
      <c r="VBB2" s="37"/>
      <c r="VBC2" s="37"/>
      <c r="VBD2" s="37"/>
      <c r="VBE2" s="37"/>
      <c r="VBF2" s="37"/>
      <c r="VBG2" s="37"/>
      <c r="VBH2" s="37"/>
      <c r="VBI2" s="37"/>
      <c r="VBJ2" s="37"/>
      <c r="VBK2" s="37"/>
      <c r="VBL2" s="37"/>
      <c r="VBM2" s="37"/>
      <c r="VBN2" s="37"/>
      <c r="VBO2" s="37"/>
      <c r="VBP2" s="37"/>
      <c r="VBQ2" s="37"/>
      <c r="VBR2" s="37"/>
      <c r="VBS2" s="37"/>
      <c r="VBT2" s="37"/>
      <c r="VBU2" s="37"/>
      <c r="VBV2" s="37"/>
      <c r="VBW2" s="37"/>
      <c r="VBX2" s="37"/>
      <c r="VBY2" s="37"/>
      <c r="VBZ2" s="37"/>
      <c r="VCA2" s="37"/>
      <c r="VCB2" s="37"/>
      <c r="VCC2" s="37"/>
      <c r="VCD2" s="37"/>
      <c r="VCE2" s="37"/>
      <c r="VCF2" s="37"/>
      <c r="VCG2" s="37"/>
      <c r="VCH2" s="37"/>
      <c r="VCI2" s="37"/>
      <c r="VCJ2" s="37"/>
      <c r="VCK2" s="37"/>
      <c r="VCL2" s="37"/>
      <c r="VCM2" s="37"/>
      <c r="VCN2" s="37"/>
      <c r="VCO2" s="37"/>
      <c r="VCP2" s="37"/>
      <c r="VCQ2" s="37"/>
      <c r="VCR2" s="37"/>
      <c r="VCS2" s="37"/>
      <c r="VCT2" s="37"/>
      <c r="VCU2" s="37"/>
      <c r="VCV2" s="37"/>
      <c r="VCW2" s="37"/>
      <c r="VCX2" s="37"/>
      <c r="VCY2" s="37"/>
      <c r="VCZ2" s="37"/>
      <c r="VDA2" s="37"/>
      <c r="VDB2" s="37"/>
      <c r="VDC2" s="37"/>
      <c r="VDD2" s="37"/>
      <c r="VDE2" s="37"/>
      <c r="VDF2" s="37"/>
      <c r="VDG2" s="37"/>
      <c r="VDH2" s="37"/>
      <c r="VDI2" s="37"/>
      <c r="VDJ2" s="37"/>
      <c r="VDK2" s="37"/>
      <c r="VDL2" s="37"/>
      <c r="VDM2" s="37"/>
      <c r="VDN2" s="37"/>
      <c r="VDO2" s="37"/>
      <c r="VDP2" s="37"/>
      <c r="VDQ2" s="37"/>
      <c r="VDR2" s="37"/>
      <c r="VDS2" s="37"/>
      <c r="VDT2" s="37"/>
      <c r="VDU2" s="37"/>
      <c r="VDV2" s="37"/>
      <c r="VDW2" s="37"/>
      <c r="VDX2" s="37"/>
      <c r="VDY2" s="37"/>
      <c r="VDZ2" s="37"/>
      <c r="VEA2" s="37"/>
      <c r="VEB2" s="37"/>
      <c r="VEC2" s="37"/>
      <c r="VED2" s="37"/>
      <c r="VEE2" s="37"/>
      <c r="VEF2" s="37"/>
      <c r="VEG2" s="37"/>
      <c r="VEH2" s="37"/>
      <c r="VEI2" s="37"/>
      <c r="VEJ2" s="37"/>
      <c r="VEK2" s="37"/>
      <c r="VEL2" s="37"/>
      <c r="VEM2" s="37"/>
      <c r="VEN2" s="37"/>
      <c r="VEO2" s="37"/>
      <c r="VEP2" s="37"/>
      <c r="VEQ2" s="37"/>
      <c r="VER2" s="37"/>
      <c r="VES2" s="37"/>
      <c r="VET2" s="37"/>
      <c r="VEU2" s="37"/>
      <c r="VEV2" s="37"/>
      <c r="VEW2" s="37"/>
      <c r="VEX2" s="37"/>
      <c r="VEY2" s="37"/>
      <c r="VEZ2" s="37"/>
      <c r="VFA2" s="37"/>
      <c r="VFB2" s="37"/>
      <c r="VFC2" s="37"/>
      <c r="VFD2" s="37"/>
      <c r="VFE2" s="37"/>
      <c r="VFF2" s="37"/>
      <c r="VFG2" s="37"/>
      <c r="VFH2" s="37"/>
      <c r="VFI2" s="37"/>
      <c r="VFJ2" s="37"/>
      <c r="VFK2" s="37"/>
      <c r="VFL2" s="37"/>
      <c r="VFM2" s="37"/>
      <c r="VFN2" s="37"/>
      <c r="VFO2" s="37"/>
      <c r="VFP2" s="37"/>
      <c r="VFQ2" s="37"/>
      <c r="VFR2" s="37"/>
      <c r="VFS2" s="37"/>
      <c r="VFT2" s="37"/>
      <c r="VFU2" s="37"/>
      <c r="VFV2" s="37"/>
      <c r="VFW2" s="37"/>
      <c r="VFX2" s="37"/>
      <c r="VFY2" s="37"/>
      <c r="VFZ2" s="37"/>
      <c r="VGA2" s="37"/>
      <c r="VGB2" s="37"/>
      <c r="VGC2" s="37"/>
      <c r="VGD2" s="37"/>
      <c r="VGE2" s="37"/>
      <c r="VGF2" s="37"/>
      <c r="VGG2" s="37"/>
      <c r="VGH2" s="37"/>
      <c r="VGI2" s="37"/>
      <c r="VGJ2" s="37"/>
      <c r="VGK2" s="37"/>
      <c r="VGL2" s="37"/>
      <c r="VGM2" s="37"/>
      <c r="VGN2" s="37"/>
      <c r="VGO2" s="37"/>
      <c r="VGP2" s="37"/>
      <c r="VGQ2" s="37"/>
      <c r="VGR2" s="37"/>
      <c r="VGS2" s="37"/>
      <c r="VGT2" s="37"/>
      <c r="VGU2" s="37"/>
      <c r="VGV2" s="37"/>
      <c r="VGW2" s="37"/>
      <c r="VGX2" s="37"/>
      <c r="VGY2" s="37"/>
      <c r="VGZ2" s="37"/>
      <c r="VHA2" s="37"/>
      <c r="VHB2" s="37"/>
      <c r="VHC2" s="37"/>
      <c r="VHD2" s="37"/>
      <c r="VHE2" s="37"/>
      <c r="VHF2" s="37"/>
      <c r="VHG2" s="37"/>
      <c r="VHH2" s="37"/>
      <c r="VHI2" s="37"/>
      <c r="VHJ2" s="37"/>
      <c r="VHK2" s="37"/>
      <c r="VHL2" s="37"/>
      <c r="VHM2" s="37"/>
      <c r="VHN2" s="37"/>
      <c r="VHO2" s="37"/>
      <c r="VHP2" s="37"/>
      <c r="VHQ2" s="37"/>
      <c r="VHR2" s="37"/>
      <c r="VHS2" s="37"/>
      <c r="VHT2" s="37"/>
      <c r="VHU2" s="37"/>
      <c r="VHV2" s="37"/>
      <c r="VHW2" s="37"/>
      <c r="VHX2" s="37"/>
      <c r="VHY2" s="37"/>
      <c r="VHZ2" s="37"/>
      <c r="VIA2" s="37"/>
      <c r="VIB2" s="37"/>
      <c r="VIC2" s="37"/>
      <c r="VID2" s="37"/>
      <c r="VIE2" s="37"/>
      <c r="VIF2" s="37"/>
      <c r="VIG2" s="37"/>
      <c r="VIH2" s="37"/>
      <c r="VII2" s="37"/>
      <c r="VIJ2" s="37"/>
      <c r="VIK2" s="37"/>
      <c r="VIL2" s="37"/>
      <c r="VIM2" s="37"/>
      <c r="VIN2" s="37"/>
      <c r="VIO2" s="37"/>
      <c r="VIP2" s="37"/>
      <c r="VIQ2" s="37"/>
      <c r="VIR2" s="37"/>
      <c r="VIS2" s="37"/>
      <c r="VIT2" s="37"/>
      <c r="VIU2" s="37"/>
      <c r="VIV2" s="37"/>
      <c r="VIW2" s="37"/>
      <c r="VIX2" s="37"/>
      <c r="VIY2" s="37"/>
      <c r="VIZ2" s="37"/>
      <c r="VJA2" s="37"/>
      <c r="VJB2" s="37"/>
      <c r="VJC2" s="37"/>
      <c r="VJD2" s="37"/>
      <c r="VJE2" s="37"/>
      <c r="VJF2" s="37"/>
      <c r="VJG2" s="37"/>
      <c r="VJH2" s="37"/>
      <c r="VJI2" s="37"/>
      <c r="VJJ2" s="37"/>
      <c r="VJK2" s="37"/>
      <c r="VJL2" s="37"/>
      <c r="VJM2" s="37"/>
      <c r="VJN2" s="37"/>
      <c r="VJO2" s="37"/>
      <c r="VJP2" s="37"/>
      <c r="VJQ2" s="37"/>
      <c r="VJR2" s="37"/>
      <c r="VJS2" s="37"/>
      <c r="VJT2" s="37"/>
      <c r="VJU2" s="37"/>
      <c r="VJV2" s="37"/>
      <c r="VJW2" s="37"/>
      <c r="VJX2" s="37"/>
      <c r="VJY2" s="37"/>
      <c r="VJZ2" s="37"/>
      <c r="VKA2" s="37"/>
      <c r="VKB2" s="37"/>
      <c r="VKC2" s="37"/>
      <c r="VKD2" s="37"/>
      <c r="VKE2" s="37"/>
      <c r="VKF2" s="37"/>
      <c r="VKG2" s="37"/>
      <c r="VKH2" s="37"/>
      <c r="VKI2" s="37"/>
      <c r="VKJ2" s="37"/>
      <c r="VKK2" s="37"/>
      <c r="VKL2" s="37"/>
      <c r="VKM2" s="37"/>
      <c r="VKN2" s="37"/>
      <c r="VKO2" s="37"/>
      <c r="VKP2" s="37"/>
      <c r="VKQ2" s="37"/>
      <c r="VKR2" s="37"/>
      <c r="VKS2" s="37"/>
      <c r="VKT2" s="37"/>
      <c r="VKU2" s="37"/>
      <c r="VKV2" s="37"/>
      <c r="VKW2" s="37"/>
      <c r="VKX2" s="37"/>
      <c r="VKY2" s="37"/>
      <c r="VKZ2" s="37"/>
      <c r="VLA2" s="37"/>
      <c r="VLB2" s="37"/>
      <c r="VLC2" s="37"/>
      <c r="VLD2" s="37"/>
      <c r="VLE2" s="37"/>
      <c r="VLF2" s="37"/>
      <c r="VLG2" s="37"/>
      <c r="VLH2" s="37"/>
      <c r="VLI2" s="37"/>
      <c r="VLJ2" s="37"/>
      <c r="VLK2" s="37"/>
      <c r="VLL2" s="37"/>
      <c r="VLM2" s="37"/>
      <c r="VLN2" s="37"/>
      <c r="VLO2" s="37"/>
      <c r="VLP2" s="37"/>
      <c r="VLQ2" s="37"/>
      <c r="VLR2" s="37"/>
      <c r="VLS2" s="37"/>
      <c r="VLT2" s="37"/>
      <c r="VLU2" s="37"/>
      <c r="VLV2" s="37"/>
      <c r="VLW2" s="37"/>
      <c r="VLX2" s="37"/>
      <c r="VLY2" s="37"/>
      <c r="VLZ2" s="37"/>
      <c r="VMA2" s="37"/>
      <c r="VMB2" s="37"/>
      <c r="VMC2" s="37"/>
      <c r="VMD2" s="37"/>
      <c r="VME2" s="37"/>
      <c r="VMF2" s="37"/>
      <c r="VMG2" s="37"/>
      <c r="VMH2" s="37"/>
      <c r="VMI2" s="37"/>
      <c r="VMJ2" s="37"/>
      <c r="VMK2" s="37"/>
      <c r="VML2" s="37"/>
      <c r="VMM2" s="37"/>
      <c r="VMN2" s="37"/>
      <c r="VMO2" s="37"/>
      <c r="VMP2" s="37"/>
      <c r="VMQ2" s="37"/>
      <c r="VMR2" s="37"/>
      <c r="VMS2" s="37"/>
      <c r="VMT2" s="37"/>
      <c r="VMU2" s="37"/>
      <c r="VMV2" s="37"/>
      <c r="VMW2" s="37"/>
      <c r="VMX2" s="37"/>
      <c r="VMY2" s="37"/>
      <c r="VMZ2" s="37"/>
      <c r="VNA2" s="37"/>
      <c r="VNB2" s="37"/>
      <c r="VNC2" s="37"/>
      <c r="VND2" s="37"/>
      <c r="VNE2" s="37"/>
      <c r="VNF2" s="37"/>
      <c r="VNG2" s="37"/>
      <c r="VNH2" s="37"/>
      <c r="VNI2" s="37"/>
      <c r="VNJ2" s="37"/>
      <c r="VNK2" s="37"/>
      <c r="VNL2" s="37"/>
      <c r="VNM2" s="37"/>
      <c r="VNN2" s="37"/>
      <c r="VNO2" s="37"/>
      <c r="VNP2" s="37"/>
      <c r="VNQ2" s="37"/>
      <c r="VNR2" s="37"/>
      <c r="VNS2" s="37"/>
      <c r="VNT2" s="37"/>
      <c r="VNU2" s="37"/>
      <c r="VNV2" s="37"/>
      <c r="VNW2" s="37"/>
      <c r="VNX2" s="37"/>
      <c r="VNY2" s="37"/>
      <c r="VNZ2" s="37"/>
      <c r="VOA2" s="37"/>
      <c r="VOB2" s="37"/>
      <c r="VOC2" s="37"/>
      <c r="VOD2" s="37"/>
      <c r="VOE2" s="37"/>
      <c r="VOF2" s="37"/>
      <c r="VOG2" s="37"/>
      <c r="VOH2" s="37"/>
      <c r="VOI2" s="37"/>
      <c r="VOJ2" s="37"/>
      <c r="VOK2" s="37"/>
      <c r="VOL2" s="37"/>
      <c r="VOM2" s="37"/>
      <c r="VON2" s="37"/>
      <c r="VOO2" s="37"/>
      <c r="VOP2" s="37"/>
      <c r="VOQ2" s="37"/>
      <c r="VOR2" s="37"/>
      <c r="VOS2" s="37"/>
      <c r="VOT2" s="37"/>
      <c r="VOU2" s="37"/>
      <c r="VOV2" s="37"/>
      <c r="VOW2" s="37"/>
      <c r="VOX2" s="37"/>
      <c r="VOY2" s="37"/>
      <c r="VOZ2" s="37"/>
      <c r="VPA2" s="37"/>
      <c r="VPB2" s="37"/>
      <c r="VPC2" s="37"/>
      <c r="VPD2" s="37"/>
      <c r="VPE2" s="37"/>
      <c r="VPF2" s="37"/>
      <c r="VPG2" s="37"/>
      <c r="VPH2" s="37"/>
      <c r="VPI2" s="37"/>
      <c r="VPJ2" s="37"/>
      <c r="VPK2" s="37"/>
      <c r="VPL2" s="37"/>
      <c r="VPM2" s="37"/>
      <c r="VPN2" s="37"/>
      <c r="VPO2" s="37"/>
      <c r="VPP2" s="37"/>
      <c r="VPQ2" s="37"/>
      <c r="VPR2" s="37"/>
      <c r="VPS2" s="37"/>
      <c r="VPT2" s="37"/>
      <c r="VPU2" s="37"/>
      <c r="VPV2" s="37"/>
      <c r="VPW2" s="37"/>
      <c r="VPX2" s="37"/>
      <c r="VPY2" s="37"/>
      <c r="VPZ2" s="37"/>
      <c r="VQA2" s="37"/>
      <c r="VQB2" s="37"/>
      <c r="VQC2" s="37"/>
      <c r="VQD2" s="37"/>
      <c r="VQE2" s="37"/>
      <c r="VQF2" s="37"/>
      <c r="VQG2" s="37"/>
      <c r="VQH2" s="37"/>
      <c r="VQI2" s="37"/>
      <c r="VQJ2" s="37"/>
      <c r="VQK2" s="37"/>
      <c r="VQL2" s="37"/>
      <c r="VQM2" s="37"/>
      <c r="VQN2" s="37"/>
      <c r="VQO2" s="37"/>
      <c r="VQP2" s="37"/>
      <c r="VQQ2" s="37"/>
      <c r="VQR2" s="37"/>
      <c r="VQS2" s="37"/>
      <c r="VQT2" s="37"/>
      <c r="VQU2" s="37"/>
      <c r="VQV2" s="37"/>
      <c r="VQW2" s="37"/>
      <c r="VQX2" s="37"/>
      <c r="VQY2" s="37"/>
      <c r="VQZ2" s="37"/>
      <c r="VRA2" s="37"/>
      <c r="VRB2" s="37"/>
      <c r="VRC2" s="37"/>
      <c r="VRD2" s="37"/>
      <c r="VRE2" s="37"/>
      <c r="VRF2" s="37"/>
      <c r="VRG2" s="37"/>
      <c r="VRH2" s="37"/>
      <c r="VRI2" s="37"/>
      <c r="VRJ2" s="37"/>
      <c r="VRK2" s="37"/>
      <c r="VRL2" s="37"/>
      <c r="VRM2" s="37"/>
      <c r="VRN2" s="37"/>
      <c r="VRO2" s="37"/>
      <c r="VRP2" s="37"/>
      <c r="VRQ2" s="37"/>
      <c r="VRR2" s="37"/>
      <c r="VRS2" s="37"/>
      <c r="VRT2" s="37"/>
      <c r="VRU2" s="37"/>
      <c r="VRV2" s="37"/>
      <c r="VRW2" s="37"/>
      <c r="VRX2" s="37"/>
      <c r="VRY2" s="37"/>
      <c r="VRZ2" s="37"/>
      <c r="VSA2" s="37"/>
      <c r="VSB2" s="37"/>
      <c r="VSC2" s="37"/>
      <c r="VSD2" s="37"/>
      <c r="VSE2" s="37"/>
      <c r="VSF2" s="37"/>
      <c r="VSG2" s="37"/>
      <c r="VSH2" s="37"/>
      <c r="VSI2" s="37"/>
      <c r="VSJ2" s="37"/>
      <c r="VSK2" s="37"/>
      <c r="VSL2" s="37"/>
      <c r="VSM2" s="37"/>
      <c r="VSN2" s="37"/>
      <c r="VSO2" s="37"/>
      <c r="VSP2" s="37"/>
      <c r="VSQ2" s="37"/>
      <c r="VSR2" s="37"/>
      <c r="VSS2" s="37"/>
      <c r="VST2" s="37"/>
      <c r="VSU2" s="37"/>
      <c r="VSV2" s="37"/>
      <c r="VSW2" s="37"/>
      <c r="VSX2" s="37"/>
      <c r="VSY2" s="37"/>
      <c r="VSZ2" s="37"/>
      <c r="VTA2" s="37"/>
      <c r="VTB2" s="37"/>
      <c r="VTC2" s="37"/>
      <c r="VTD2" s="37"/>
      <c r="VTE2" s="37"/>
      <c r="VTF2" s="37"/>
      <c r="VTG2" s="37"/>
      <c r="VTH2" s="37"/>
      <c r="VTI2" s="37"/>
      <c r="VTJ2" s="37"/>
      <c r="VTK2" s="37"/>
      <c r="VTL2" s="37"/>
      <c r="VTM2" s="37"/>
      <c r="VTN2" s="37"/>
      <c r="VTO2" s="37"/>
      <c r="VTP2" s="37"/>
      <c r="VTQ2" s="37"/>
      <c r="VTR2" s="37"/>
      <c r="VTS2" s="37"/>
      <c r="VTT2" s="37"/>
      <c r="VTU2" s="37"/>
      <c r="VTV2" s="37"/>
      <c r="VTW2" s="37"/>
      <c r="VTX2" s="37"/>
      <c r="VTY2" s="37"/>
      <c r="VTZ2" s="37"/>
      <c r="VUA2" s="37"/>
      <c r="VUB2" s="37"/>
      <c r="VUC2" s="37"/>
      <c r="VUD2" s="37"/>
      <c r="VUE2" s="37"/>
      <c r="VUF2" s="37"/>
      <c r="VUG2" s="37"/>
      <c r="VUH2" s="37"/>
      <c r="VUI2" s="37"/>
      <c r="VUJ2" s="37"/>
      <c r="VUK2" s="37"/>
      <c r="VUL2" s="37"/>
      <c r="VUM2" s="37"/>
      <c r="VUN2" s="37"/>
      <c r="VUO2" s="37"/>
      <c r="VUP2" s="37"/>
      <c r="VUQ2" s="37"/>
      <c r="VUR2" s="37"/>
      <c r="VUS2" s="37"/>
      <c r="VUT2" s="37"/>
      <c r="VUU2" s="37"/>
      <c r="VUV2" s="37"/>
      <c r="VUW2" s="37"/>
      <c r="VUX2" s="37"/>
      <c r="VUY2" s="37"/>
      <c r="VUZ2" s="37"/>
      <c r="VVA2" s="37"/>
      <c r="VVB2" s="37"/>
      <c r="VVC2" s="37"/>
      <c r="VVD2" s="37"/>
      <c r="VVE2" s="37"/>
      <c r="VVF2" s="37"/>
      <c r="VVG2" s="37"/>
      <c r="VVH2" s="37"/>
      <c r="VVI2" s="37"/>
      <c r="VVJ2" s="37"/>
      <c r="VVK2" s="37"/>
      <c r="VVL2" s="37"/>
      <c r="VVM2" s="37"/>
      <c r="VVN2" s="37"/>
      <c r="VVO2" s="37"/>
      <c r="VVP2" s="37"/>
      <c r="VVQ2" s="37"/>
      <c r="VVR2" s="37"/>
      <c r="VVS2" s="37"/>
      <c r="VVT2" s="37"/>
      <c r="VVU2" s="37"/>
      <c r="VVV2" s="37"/>
      <c r="VVW2" s="37"/>
      <c r="VVX2" s="37"/>
      <c r="VVY2" s="37"/>
      <c r="VVZ2" s="37"/>
      <c r="VWA2" s="37"/>
      <c r="VWB2" s="37"/>
      <c r="VWC2" s="37"/>
      <c r="VWD2" s="37"/>
      <c r="VWE2" s="37"/>
      <c r="VWF2" s="37"/>
      <c r="VWG2" s="37"/>
      <c r="VWH2" s="37"/>
      <c r="VWI2" s="37"/>
      <c r="VWJ2" s="37"/>
      <c r="VWK2" s="37"/>
      <c r="VWL2" s="37"/>
      <c r="VWM2" s="37"/>
      <c r="VWN2" s="37"/>
      <c r="VWO2" s="37"/>
      <c r="VWP2" s="37"/>
      <c r="VWQ2" s="37"/>
      <c r="VWR2" s="37"/>
      <c r="VWS2" s="37"/>
      <c r="VWT2" s="37"/>
      <c r="VWU2" s="37"/>
      <c r="VWV2" s="37"/>
      <c r="VWW2" s="37"/>
      <c r="VWX2" s="37"/>
      <c r="VWY2" s="37"/>
      <c r="VWZ2" s="37"/>
      <c r="VXA2" s="37"/>
      <c r="VXB2" s="37"/>
      <c r="VXC2" s="37"/>
      <c r="VXD2" s="37"/>
      <c r="VXE2" s="37"/>
      <c r="VXF2" s="37"/>
      <c r="VXG2" s="37"/>
      <c r="VXH2" s="37"/>
      <c r="VXI2" s="37"/>
      <c r="VXJ2" s="37"/>
      <c r="VXK2" s="37"/>
      <c r="VXL2" s="37"/>
      <c r="VXM2" s="37"/>
      <c r="VXN2" s="37"/>
      <c r="VXO2" s="37"/>
      <c r="VXP2" s="37"/>
      <c r="VXQ2" s="37"/>
      <c r="VXR2" s="37"/>
      <c r="VXS2" s="37"/>
      <c r="VXT2" s="37"/>
      <c r="VXU2" s="37"/>
      <c r="VXV2" s="37"/>
      <c r="VXW2" s="37"/>
      <c r="VXX2" s="37"/>
      <c r="VXY2" s="37"/>
      <c r="VXZ2" s="37"/>
      <c r="VYA2" s="37"/>
      <c r="VYB2" s="37"/>
      <c r="VYC2" s="37"/>
      <c r="VYD2" s="37"/>
      <c r="VYE2" s="37"/>
      <c r="VYF2" s="37"/>
      <c r="VYG2" s="37"/>
      <c r="VYH2" s="37"/>
      <c r="VYI2" s="37"/>
      <c r="VYJ2" s="37"/>
      <c r="VYK2" s="37"/>
      <c r="VYL2" s="37"/>
      <c r="VYM2" s="37"/>
      <c r="VYN2" s="37"/>
      <c r="VYO2" s="37"/>
      <c r="VYP2" s="37"/>
      <c r="VYQ2" s="37"/>
      <c r="VYR2" s="37"/>
      <c r="VYS2" s="37"/>
      <c r="VYT2" s="37"/>
      <c r="VYU2" s="37"/>
      <c r="VYV2" s="37"/>
      <c r="VYW2" s="37"/>
      <c r="VYX2" s="37"/>
      <c r="VYY2" s="37"/>
      <c r="VYZ2" s="37"/>
      <c r="VZA2" s="37"/>
      <c r="VZB2" s="37"/>
      <c r="VZC2" s="37"/>
      <c r="VZD2" s="37"/>
      <c r="VZE2" s="37"/>
      <c r="VZF2" s="37"/>
      <c r="VZG2" s="37"/>
      <c r="VZH2" s="37"/>
      <c r="VZI2" s="37"/>
      <c r="VZJ2" s="37"/>
      <c r="VZK2" s="37"/>
      <c r="VZL2" s="37"/>
      <c r="VZM2" s="37"/>
      <c r="VZN2" s="37"/>
      <c r="VZO2" s="37"/>
      <c r="VZP2" s="37"/>
      <c r="VZQ2" s="37"/>
      <c r="VZR2" s="37"/>
      <c r="VZS2" s="37"/>
      <c r="VZT2" s="37"/>
      <c r="VZU2" s="37"/>
      <c r="VZV2" s="37"/>
      <c r="VZW2" s="37"/>
      <c r="VZX2" s="37"/>
      <c r="VZY2" s="37"/>
      <c r="VZZ2" s="37"/>
      <c r="WAA2" s="37"/>
      <c r="WAB2" s="37"/>
      <c r="WAC2" s="37"/>
      <c r="WAD2" s="37"/>
      <c r="WAE2" s="37"/>
      <c r="WAF2" s="37"/>
      <c r="WAG2" s="37"/>
      <c r="WAH2" s="37"/>
      <c r="WAI2" s="37"/>
      <c r="WAJ2" s="37"/>
      <c r="WAK2" s="37"/>
      <c r="WAL2" s="37"/>
      <c r="WAM2" s="37"/>
      <c r="WAN2" s="37"/>
      <c r="WAO2" s="37"/>
      <c r="WAP2" s="37"/>
      <c r="WAQ2" s="37"/>
      <c r="WAR2" s="37"/>
      <c r="WAS2" s="37"/>
      <c r="WAT2" s="37"/>
      <c r="WAU2" s="37"/>
      <c r="WAV2" s="37"/>
      <c r="WAW2" s="37"/>
      <c r="WAX2" s="37"/>
      <c r="WAY2" s="37"/>
      <c r="WAZ2" s="37"/>
      <c r="WBA2" s="37"/>
      <c r="WBB2" s="37"/>
      <c r="WBC2" s="37"/>
      <c r="WBD2" s="37"/>
      <c r="WBE2" s="37"/>
      <c r="WBF2" s="37"/>
      <c r="WBG2" s="37"/>
      <c r="WBH2" s="37"/>
      <c r="WBI2" s="37"/>
      <c r="WBJ2" s="37"/>
      <c r="WBK2" s="37"/>
      <c r="WBL2" s="37"/>
      <c r="WBM2" s="37"/>
      <c r="WBN2" s="37"/>
      <c r="WBO2" s="37"/>
      <c r="WBP2" s="37"/>
      <c r="WBQ2" s="37"/>
      <c r="WBR2" s="37"/>
      <c r="WBS2" s="37"/>
      <c r="WBT2" s="37"/>
      <c r="WBU2" s="37"/>
      <c r="WBV2" s="37"/>
      <c r="WBW2" s="37"/>
      <c r="WBX2" s="37"/>
      <c r="WBY2" s="37"/>
      <c r="WBZ2" s="37"/>
      <c r="WCA2" s="37"/>
      <c r="WCB2" s="37"/>
      <c r="WCC2" s="37"/>
      <c r="WCD2" s="37"/>
      <c r="WCE2" s="37"/>
      <c r="WCF2" s="37"/>
      <c r="WCG2" s="37"/>
      <c r="WCH2" s="37"/>
      <c r="WCI2" s="37"/>
      <c r="WCJ2" s="37"/>
      <c r="WCK2" s="37"/>
      <c r="WCL2" s="37"/>
      <c r="WCM2" s="37"/>
      <c r="WCN2" s="37"/>
      <c r="WCO2" s="37"/>
      <c r="WCP2" s="37"/>
      <c r="WCQ2" s="37"/>
      <c r="WCR2" s="37"/>
      <c r="WCS2" s="37"/>
      <c r="WCT2" s="37"/>
      <c r="WCU2" s="37"/>
      <c r="WCV2" s="37"/>
      <c r="WCW2" s="37"/>
      <c r="WCX2" s="37"/>
      <c r="WCY2" s="37"/>
      <c r="WCZ2" s="37"/>
      <c r="WDA2" s="37"/>
      <c r="WDB2" s="37"/>
      <c r="WDC2" s="37"/>
      <c r="WDD2" s="37"/>
      <c r="WDE2" s="37"/>
      <c r="WDF2" s="37"/>
      <c r="WDG2" s="37"/>
      <c r="WDH2" s="37"/>
      <c r="WDI2" s="37"/>
      <c r="WDJ2" s="37"/>
      <c r="WDK2" s="37"/>
      <c r="WDL2" s="37"/>
      <c r="WDM2" s="37"/>
      <c r="WDN2" s="37"/>
      <c r="WDO2" s="37"/>
      <c r="WDP2" s="37"/>
      <c r="WDQ2" s="37"/>
      <c r="WDR2" s="37"/>
      <c r="WDS2" s="37"/>
      <c r="WDT2" s="37"/>
      <c r="WDU2" s="37"/>
      <c r="WDV2" s="37"/>
      <c r="WDW2" s="37"/>
      <c r="WDX2" s="37"/>
      <c r="WDY2" s="37"/>
      <c r="WDZ2" s="37"/>
      <c r="WEA2" s="37"/>
      <c r="WEB2" s="37"/>
      <c r="WEC2" s="37"/>
      <c r="WED2" s="37"/>
      <c r="WEE2" s="37"/>
      <c r="WEF2" s="37"/>
      <c r="WEG2" s="37"/>
      <c r="WEH2" s="37"/>
      <c r="WEI2" s="37"/>
      <c r="WEJ2" s="37"/>
      <c r="WEK2" s="37"/>
      <c r="WEL2" s="37"/>
      <c r="WEM2" s="37"/>
      <c r="WEN2" s="37"/>
      <c r="WEO2" s="37"/>
      <c r="WEP2" s="37"/>
      <c r="WEQ2" s="37"/>
      <c r="WER2" s="37"/>
      <c r="WES2" s="37"/>
      <c r="WET2" s="37"/>
      <c r="WEU2" s="37"/>
      <c r="WEV2" s="37"/>
      <c r="WEW2" s="37"/>
      <c r="WEX2" s="37"/>
      <c r="WEY2" s="37"/>
      <c r="WEZ2" s="37"/>
      <c r="WFA2" s="37"/>
      <c r="WFB2" s="37"/>
      <c r="WFC2" s="37"/>
      <c r="WFD2" s="37"/>
      <c r="WFE2" s="37"/>
      <c r="WFF2" s="37"/>
      <c r="WFG2" s="37"/>
      <c r="WFH2" s="37"/>
      <c r="WFI2" s="37"/>
      <c r="WFJ2" s="37"/>
      <c r="WFK2" s="37"/>
      <c r="WFL2" s="37"/>
      <c r="WFM2" s="37"/>
      <c r="WFN2" s="37"/>
      <c r="WFO2" s="37"/>
      <c r="WFP2" s="37"/>
      <c r="WFQ2" s="37"/>
      <c r="WFR2" s="37"/>
      <c r="WFS2" s="37"/>
      <c r="WFT2" s="37"/>
      <c r="WFU2" s="37"/>
      <c r="WFV2" s="37"/>
      <c r="WFW2" s="37"/>
      <c r="WFX2" s="37"/>
      <c r="WFY2" s="37"/>
      <c r="WFZ2" s="37"/>
      <c r="WGA2" s="37"/>
      <c r="WGB2" s="37"/>
      <c r="WGC2" s="37"/>
      <c r="WGD2" s="37"/>
      <c r="WGE2" s="37"/>
      <c r="WGF2" s="37"/>
      <c r="WGG2" s="37"/>
      <c r="WGH2" s="37"/>
      <c r="WGI2" s="37"/>
      <c r="WGJ2" s="37"/>
      <c r="WGK2" s="37"/>
      <c r="WGL2" s="37"/>
      <c r="WGM2" s="37"/>
      <c r="WGN2" s="37"/>
      <c r="WGO2" s="37"/>
      <c r="WGP2" s="37"/>
      <c r="WGQ2" s="37"/>
      <c r="WGR2" s="37"/>
      <c r="WGS2" s="37"/>
      <c r="WGT2" s="37"/>
      <c r="WGU2" s="37"/>
      <c r="WGV2" s="37"/>
      <c r="WGW2" s="37"/>
      <c r="WGX2" s="37"/>
      <c r="WGY2" s="37"/>
      <c r="WGZ2" s="37"/>
      <c r="WHA2" s="37"/>
      <c r="WHB2" s="37"/>
      <c r="WHC2" s="37"/>
      <c r="WHD2" s="37"/>
      <c r="WHE2" s="37"/>
      <c r="WHF2" s="37"/>
      <c r="WHG2" s="37"/>
      <c r="WHH2" s="37"/>
      <c r="WHI2" s="37"/>
      <c r="WHJ2" s="37"/>
      <c r="WHK2" s="37"/>
      <c r="WHL2" s="37"/>
      <c r="WHM2" s="37"/>
      <c r="WHN2" s="37"/>
      <c r="WHO2" s="37"/>
      <c r="WHP2" s="37"/>
      <c r="WHQ2" s="37"/>
      <c r="WHR2" s="37"/>
      <c r="WHS2" s="37"/>
      <c r="WHT2" s="37"/>
      <c r="WHU2" s="37"/>
      <c r="WHV2" s="37"/>
      <c r="WHW2" s="37"/>
      <c r="WHX2" s="37"/>
      <c r="WHY2" s="37"/>
      <c r="WHZ2" s="37"/>
      <c r="WIA2" s="37"/>
      <c r="WIB2" s="37"/>
      <c r="WIC2" s="37"/>
      <c r="WID2" s="37"/>
      <c r="WIE2" s="37"/>
      <c r="WIF2" s="37"/>
      <c r="WIG2" s="37"/>
      <c r="WIH2" s="37"/>
      <c r="WII2" s="37"/>
      <c r="WIJ2" s="37"/>
      <c r="WIK2" s="37"/>
      <c r="WIL2" s="37"/>
      <c r="WIM2" s="37"/>
      <c r="WIN2" s="37"/>
      <c r="WIO2" s="37"/>
      <c r="WIP2" s="37"/>
      <c r="WIQ2" s="37"/>
      <c r="WIR2" s="37"/>
      <c r="WIS2" s="37"/>
      <c r="WIT2" s="37"/>
      <c r="WIU2" s="37"/>
      <c r="WIV2" s="37"/>
      <c r="WIW2" s="37"/>
      <c r="WIX2" s="37"/>
      <c r="WIY2" s="37"/>
      <c r="WIZ2" s="37"/>
      <c r="WJA2" s="37"/>
      <c r="WJB2" s="37"/>
      <c r="WJC2" s="37"/>
      <c r="WJD2" s="37"/>
      <c r="WJE2" s="37"/>
      <c r="WJF2" s="37"/>
      <c r="WJG2" s="37"/>
      <c r="WJH2" s="37"/>
      <c r="WJI2" s="37"/>
      <c r="WJJ2" s="37"/>
      <c r="WJK2" s="37"/>
      <c r="WJL2" s="37"/>
      <c r="WJM2" s="37"/>
      <c r="WJN2" s="37"/>
      <c r="WJO2" s="37"/>
      <c r="WJP2" s="37"/>
      <c r="WJQ2" s="37"/>
      <c r="WJR2" s="37"/>
      <c r="WJS2" s="37"/>
      <c r="WJT2" s="37"/>
      <c r="WJU2" s="37"/>
      <c r="WJV2" s="37"/>
      <c r="WJW2" s="37"/>
      <c r="WJX2" s="37"/>
      <c r="WJY2" s="37"/>
      <c r="WJZ2" s="37"/>
      <c r="WKA2" s="37"/>
      <c r="WKB2" s="37"/>
      <c r="WKC2" s="37"/>
      <c r="WKD2" s="37"/>
      <c r="WKE2" s="37"/>
      <c r="WKF2" s="37"/>
      <c r="WKG2" s="37"/>
      <c r="WKH2" s="37"/>
      <c r="WKI2" s="37"/>
      <c r="WKJ2" s="37"/>
      <c r="WKK2" s="37"/>
      <c r="WKL2" s="37"/>
      <c r="WKM2" s="37"/>
      <c r="WKN2" s="37"/>
      <c r="WKO2" s="37"/>
      <c r="WKP2" s="37"/>
      <c r="WKQ2" s="37"/>
      <c r="WKR2" s="37"/>
      <c r="WKS2" s="37"/>
      <c r="WKT2" s="37"/>
      <c r="WKU2" s="37"/>
      <c r="WKV2" s="37"/>
      <c r="WKW2" s="37"/>
      <c r="WKX2" s="37"/>
      <c r="WKY2" s="37"/>
      <c r="WKZ2" s="37"/>
      <c r="WLA2" s="37"/>
      <c r="WLB2" s="37"/>
      <c r="WLC2" s="37"/>
      <c r="WLD2" s="37"/>
      <c r="WLE2" s="37"/>
      <c r="WLF2" s="37"/>
      <c r="WLG2" s="37"/>
      <c r="WLH2" s="37"/>
      <c r="WLI2" s="37"/>
      <c r="WLJ2" s="37"/>
      <c r="WLK2" s="37"/>
      <c r="WLL2" s="37"/>
      <c r="WLM2" s="37"/>
      <c r="WLN2" s="37"/>
      <c r="WLO2" s="37"/>
      <c r="WLP2" s="37"/>
      <c r="WLQ2" s="37"/>
      <c r="WLR2" s="37"/>
      <c r="WLS2" s="37"/>
      <c r="WLT2" s="37"/>
      <c r="WLU2" s="37"/>
      <c r="WLV2" s="37"/>
      <c r="WLW2" s="37"/>
      <c r="WLX2" s="37"/>
      <c r="WLY2" s="37"/>
      <c r="WLZ2" s="37"/>
      <c r="WMA2" s="37"/>
      <c r="WMB2" s="37"/>
      <c r="WMC2" s="37"/>
      <c r="WMD2" s="37"/>
      <c r="WME2" s="37"/>
      <c r="WMF2" s="37"/>
      <c r="WMG2" s="37"/>
      <c r="WMH2" s="37"/>
      <c r="WMI2" s="37"/>
      <c r="WMJ2" s="37"/>
      <c r="WMK2" s="37"/>
      <c r="WML2" s="37"/>
      <c r="WMM2" s="37"/>
      <c r="WMN2" s="37"/>
      <c r="WMO2" s="37"/>
      <c r="WMP2" s="37"/>
      <c r="WMQ2" s="37"/>
      <c r="WMR2" s="37"/>
      <c r="WMS2" s="37"/>
      <c r="WMT2" s="37"/>
      <c r="WMU2" s="37"/>
      <c r="WMV2" s="37"/>
      <c r="WMW2" s="37"/>
      <c r="WMX2" s="37"/>
      <c r="WMY2" s="37"/>
      <c r="WMZ2" s="37"/>
      <c r="WNA2" s="37"/>
      <c r="WNB2" s="37"/>
      <c r="WNC2" s="37"/>
      <c r="WND2" s="37"/>
      <c r="WNE2" s="37"/>
      <c r="WNF2" s="37"/>
      <c r="WNG2" s="37"/>
      <c r="WNH2" s="37"/>
      <c r="WNI2" s="37"/>
      <c r="WNJ2" s="37"/>
      <c r="WNK2" s="37"/>
      <c r="WNL2" s="37"/>
      <c r="WNM2" s="37"/>
      <c r="WNN2" s="37"/>
      <c r="WNO2" s="37"/>
      <c r="WNP2" s="37"/>
      <c r="WNQ2" s="37"/>
      <c r="WNR2" s="37"/>
      <c r="WNS2" s="37"/>
      <c r="WNT2" s="37"/>
      <c r="WNU2" s="37"/>
      <c r="WNV2" s="37"/>
      <c r="WNW2" s="37"/>
      <c r="WNX2" s="37"/>
      <c r="WNY2" s="37"/>
      <c r="WNZ2" s="37"/>
      <c r="WOA2" s="37"/>
      <c r="WOB2" s="37"/>
      <c r="WOC2" s="37"/>
      <c r="WOD2" s="37"/>
      <c r="WOE2" s="37"/>
      <c r="WOF2" s="37"/>
      <c r="WOG2" s="37"/>
      <c r="WOH2" s="37"/>
      <c r="WOI2" s="37"/>
      <c r="WOJ2" s="37"/>
      <c r="WOK2" s="37"/>
      <c r="WOL2" s="37"/>
      <c r="WOM2" s="37"/>
      <c r="WON2" s="37"/>
      <c r="WOO2" s="37"/>
      <c r="WOP2" s="37"/>
      <c r="WOQ2" s="37"/>
      <c r="WOR2" s="37"/>
      <c r="WOS2" s="37"/>
      <c r="WOT2" s="37"/>
      <c r="WOU2" s="37"/>
      <c r="WOV2" s="37"/>
      <c r="WOW2" s="37"/>
      <c r="WOX2" s="37"/>
      <c r="WOY2" s="37"/>
      <c r="WOZ2" s="37"/>
      <c r="WPA2" s="37"/>
      <c r="WPB2" s="37"/>
      <c r="WPC2" s="37"/>
      <c r="WPD2" s="37"/>
      <c r="WPE2" s="37"/>
      <c r="WPF2" s="37"/>
      <c r="WPG2" s="37"/>
      <c r="WPH2" s="37"/>
      <c r="WPI2" s="37"/>
      <c r="WPJ2" s="37"/>
      <c r="WPK2" s="37"/>
      <c r="WPL2" s="37"/>
      <c r="WPM2" s="37"/>
      <c r="WPN2" s="37"/>
      <c r="WPO2" s="37"/>
      <c r="WPP2" s="37"/>
      <c r="WPQ2" s="37"/>
      <c r="WPR2" s="37"/>
      <c r="WPS2" s="37"/>
      <c r="WPT2" s="37"/>
      <c r="WPU2" s="37"/>
      <c r="WPV2" s="37"/>
      <c r="WPW2" s="37"/>
      <c r="WPX2" s="37"/>
      <c r="WPY2" s="37"/>
      <c r="WPZ2" s="37"/>
      <c r="WQA2" s="37"/>
      <c r="WQB2" s="37"/>
      <c r="WQC2" s="37"/>
      <c r="WQD2" s="37"/>
      <c r="WQE2" s="37"/>
      <c r="WQF2" s="37"/>
      <c r="WQG2" s="37"/>
      <c r="WQH2" s="37"/>
      <c r="WQI2" s="37"/>
      <c r="WQJ2" s="37"/>
      <c r="WQK2" s="37"/>
      <c r="WQL2" s="37"/>
      <c r="WQM2" s="37"/>
      <c r="WQN2" s="37"/>
      <c r="WQO2" s="37"/>
      <c r="WQP2" s="37"/>
      <c r="WQQ2" s="37"/>
      <c r="WQR2" s="37"/>
      <c r="WQS2" s="37"/>
      <c r="WQT2" s="37"/>
      <c r="WQU2" s="37"/>
      <c r="WQV2" s="37"/>
      <c r="WQW2" s="37"/>
      <c r="WQX2" s="37"/>
      <c r="WQY2" s="37"/>
      <c r="WQZ2" s="37"/>
      <c r="WRA2" s="37"/>
      <c r="WRB2" s="37"/>
      <c r="WRC2" s="37"/>
      <c r="WRD2" s="37"/>
      <c r="WRE2" s="37"/>
      <c r="WRF2" s="37"/>
      <c r="WRG2" s="37"/>
      <c r="WRH2" s="37"/>
      <c r="WRI2" s="37"/>
      <c r="WRJ2" s="37"/>
      <c r="WRK2" s="37"/>
      <c r="WRL2" s="37"/>
      <c r="WRM2" s="37"/>
      <c r="WRN2" s="37"/>
      <c r="WRO2" s="37"/>
      <c r="WRP2" s="37"/>
      <c r="WRQ2" s="37"/>
      <c r="WRR2" s="37"/>
      <c r="WRS2" s="37"/>
      <c r="WRT2" s="37"/>
      <c r="WRU2" s="37"/>
      <c r="WRV2" s="37"/>
      <c r="WRW2" s="37"/>
      <c r="WRX2" s="37"/>
      <c r="WRY2" s="37"/>
      <c r="WRZ2" s="37"/>
      <c r="WSA2" s="37"/>
      <c r="WSB2" s="37"/>
      <c r="WSC2" s="37"/>
      <c r="WSD2" s="37"/>
      <c r="WSE2" s="37"/>
      <c r="WSF2" s="37"/>
      <c r="WSG2" s="37"/>
      <c r="WSH2" s="37"/>
      <c r="WSI2" s="37"/>
      <c r="WSJ2" s="37"/>
      <c r="WSK2" s="37"/>
      <c r="WSL2" s="37"/>
      <c r="WSM2" s="37"/>
      <c r="WSN2" s="37"/>
      <c r="WSO2" s="37"/>
      <c r="WSP2" s="37"/>
      <c r="WSQ2" s="37"/>
      <c r="WSR2" s="37"/>
      <c r="WSS2" s="37"/>
      <c r="WST2" s="37"/>
      <c r="WSU2" s="37"/>
      <c r="WSV2" s="37"/>
      <c r="WSW2" s="37"/>
      <c r="WSX2" s="37"/>
      <c r="WSY2" s="37"/>
      <c r="WSZ2" s="37"/>
      <c r="WTA2" s="37"/>
      <c r="WTB2" s="37"/>
      <c r="WTC2" s="37"/>
      <c r="WTD2" s="37"/>
      <c r="WTE2" s="37"/>
      <c r="WTF2" s="37"/>
      <c r="WTG2" s="37"/>
      <c r="WTH2" s="37"/>
      <c r="WTI2" s="37"/>
      <c r="WTJ2" s="37"/>
      <c r="WTK2" s="37"/>
      <c r="WTL2" s="37"/>
      <c r="WTM2" s="37"/>
      <c r="WTN2" s="37"/>
      <c r="WTO2" s="37"/>
      <c r="WTP2" s="37"/>
      <c r="WTQ2" s="37"/>
      <c r="WTR2" s="37"/>
      <c r="WTS2" s="37"/>
      <c r="WTT2" s="37"/>
      <c r="WTU2" s="37"/>
      <c r="WTV2" s="37"/>
      <c r="WTW2" s="37"/>
      <c r="WTX2" s="37"/>
      <c r="WTY2" s="37"/>
      <c r="WTZ2" s="37"/>
      <c r="WUA2" s="37"/>
      <c r="WUB2" s="37"/>
      <c r="WUC2" s="37"/>
      <c r="WUD2" s="37"/>
      <c r="WUE2" s="37"/>
      <c r="WUF2" s="37"/>
      <c r="WUG2" s="37"/>
      <c r="WUH2" s="37"/>
      <c r="WUI2" s="37"/>
      <c r="WUJ2" s="37"/>
      <c r="WUK2" s="37"/>
      <c r="WUL2" s="37"/>
      <c r="WUM2" s="37"/>
      <c r="WUN2" s="37"/>
      <c r="WUO2" s="37"/>
      <c r="WUP2" s="37"/>
      <c r="WUQ2" s="37"/>
      <c r="WUR2" s="37"/>
      <c r="WUS2" s="37"/>
      <c r="WUT2" s="37"/>
      <c r="WUU2" s="37"/>
      <c r="WUV2" s="37"/>
      <c r="WUW2" s="37"/>
      <c r="WUX2" s="37"/>
      <c r="WUY2" s="37"/>
      <c r="WUZ2" s="37"/>
      <c r="WVA2" s="37"/>
      <c r="WVB2" s="37"/>
      <c r="WVC2" s="37"/>
      <c r="WVD2" s="37"/>
      <c r="WVE2" s="37"/>
      <c r="WVF2" s="37"/>
      <c r="WVG2" s="37"/>
      <c r="WVH2" s="37"/>
      <c r="WVI2" s="37"/>
      <c r="WVJ2" s="37"/>
      <c r="WVK2" s="37"/>
      <c r="WVL2" s="37"/>
      <c r="WVM2" s="37"/>
      <c r="WVN2" s="37"/>
      <c r="WVO2" s="37"/>
      <c r="WVP2" s="37"/>
      <c r="WVQ2" s="37"/>
      <c r="WVR2" s="37"/>
      <c r="WVS2" s="37"/>
      <c r="WVT2" s="37"/>
      <c r="WVU2" s="37"/>
      <c r="WVV2" s="37"/>
      <c r="WVW2" s="37"/>
      <c r="WVX2" s="37"/>
      <c r="WVY2" s="37"/>
      <c r="WVZ2" s="37"/>
      <c r="WWA2" s="37"/>
      <c r="WWB2" s="37"/>
      <c r="WWC2" s="37"/>
      <c r="WWD2" s="37"/>
      <c r="WWE2" s="37"/>
      <c r="WWF2" s="37"/>
      <c r="WWG2" s="37"/>
      <c r="WWH2" s="37"/>
      <c r="WWI2" s="37"/>
      <c r="WWJ2" s="37"/>
      <c r="WWK2" s="37"/>
      <c r="WWL2" s="37"/>
      <c r="WWM2" s="37"/>
      <c r="WWN2" s="37"/>
      <c r="WWO2" s="37"/>
      <c r="WWP2" s="37"/>
      <c r="WWQ2" s="37"/>
      <c r="WWR2" s="37"/>
      <c r="WWS2" s="37"/>
      <c r="WWT2" s="37"/>
      <c r="WWU2" s="37"/>
      <c r="WWV2" s="37"/>
      <c r="WWW2" s="37"/>
      <c r="WWX2" s="37"/>
      <c r="WWY2" s="37"/>
      <c r="WWZ2" s="37"/>
      <c r="WXA2" s="37"/>
      <c r="WXB2" s="37"/>
      <c r="WXC2" s="37"/>
      <c r="WXD2" s="37"/>
      <c r="WXE2" s="37"/>
      <c r="WXF2" s="37"/>
      <c r="WXG2" s="37"/>
      <c r="WXH2" s="37"/>
      <c r="WXI2" s="37"/>
      <c r="WXJ2" s="37"/>
      <c r="WXK2" s="37"/>
      <c r="WXL2" s="37"/>
      <c r="WXM2" s="37"/>
      <c r="WXN2" s="37"/>
      <c r="WXO2" s="37"/>
      <c r="WXP2" s="37"/>
      <c r="WXQ2" s="37"/>
      <c r="WXR2" s="37"/>
      <c r="WXS2" s="37"/>
      <c r="WXT2" s="37"/>
      <c r="WXU2" s="37"/>
      <c r="WXV2" s="37"/>
      <c r="WXW2" s="37"/>
      <c r="WXX2" s="37"/>
      <c r="WXY2" s="37"/>
      <c r="WXZ2" s="37"/>
      <c r="WYA2" s="37"/>
      <c r="WYB2" s="37"/>
      <c r="WYC2" s="37"/>
      <c r="WYD2" s="37"/>
      <c r="WYE2" s="37"/>
      <c r="WYF2" s="37"/>
      <c r="WYG2" s="37"/>
      <c r="WYH2" s="37"/>
      <c r="WYI2" s="37"/>
      <c r="WYJ2" s="37"/>
      <c r="WYK2" s="37"/>
      <c r="WYL2" s="37"/>
      <c r="WYM2" s="37"/>
      <c r="WYN2" s="37"/>
      <c r="WYO2" s="37"/>
      <c r="WYP2" s="37"/>
      <c r="WYQ2" s="37"/>
      <c r="WYR2" s="37"/>
      <c r="WYS2" s="37"/>
      <c r="WYT2" s="37"/>
      <c r="WYU2" s="37"/>
      <c r="WYV2" s="37"/>
      <c r="WYW2" s="37"/>
      <c r="WYX2" s="37"/>
      <c r="WYY2" s="37"/>
      <c r="WYZ2" s="37"/>
      <c r="WZA2" s="37"/>
      <c r="WZB2" s="37"/>
      <c r="WZC2" s="37"/>
      <c r="WZD2" s="37"/>
      <c r="WZE2" s="37"/>
      <c r="WZF2" s="37"/>
      <c r="WZG2" s="37"/>
      <c r="WZH2" s="37"/>
      <c r="WZI2" s="37"/>
      <c r="WZJ2" s="37"/>
      <c r="WZK2" s="37"/>
      <c r="WZL2" s="37"/>
      <c r="WZM2" s="37"/>
      <c r="WZN2" s="37"/>
      <c r="WZO2" s="37"/>
      <c r="WZP2" s="37"/>
      <c r="WZQ2" s="37"/>
      <c r="WZR2" s="37"/>
      <c r="WZS2" s="37"/>
      <c r="WZT2" s="37"/>
      <c r="WZU2" s="37"/>
      <c r="WZV2" s="37"/>
      <c r="WZW2" s="37"/>
      <c r="WZX2" s="37"/>
      <c r="WZY2" s="37"/>
      <c r="WZZ2" s="37"/>
      <c r="XAA2" s="37"/>
      <c r="XAB2" s="37"/>
      <c r="XAC2" s="37"/>
      <c r="XAD2" s="37"/>
      <c r="XAE2" s="37"/>
      <c r="XAF2" s="37"/>
      <c r="XAG2" s="37"/>
      <c r="XAH2" s="37"/>
      <c r="XAI2" s="37"/>
      <c r="XAJ2" s="37"/>
      <c r="XAK2" s="37"/>
      <c r="XAL2" s="37"/>
      <c r="XAM2" s="37"/>
      <c r="XAN2" s="37"/>
      <c r="XAO2" s="37"/>
      <c r="XAP2" s="37"/>
      <c r="XAQ2" s="37"/>
      <c r="XAR2" s="37"/>
      <c r="XAS2" s="37"/>
      <c r="XAT2" s="37"/>
      <c r="XAU2" s="37"/>
      <c r="XAV2" s="37"/>
      <c r="XAW2" s="37"/>
      <c r="XAX2" s="37"/>
      <c r="XAY2" s="37"/>
      <c r="XAZ2" s="37"/>
      <c r="XBA2" s="37"/>
      <c r="XBB2" s="37"/>
      <c r="XBC2" s="37"/>
      <c r="XBD2" s="37"/>
      <c r="XBE2" s="37"/>
      <c r="XBF2" s="37"/>
      <c r="XBG2" s="37"/>
      <c r="XBH2" s="37"/>
      <c r="XBI2" s="37"/>
      <c r="XBJ2" s="37"/>
      <c r="XBK2" s="37"/>
      <c r="XBL2" s="37"/>
      <c r="XBM2" s="37"/>
      <c r="XBN2" s="37"/>
      <c r="XBO2" s="37"/>
      <c r="XBP2" s="37"/>
      <c r="XBQ2" s="37"/>
      <c r="XBR2" s="37"/>
      <c r="XBS2" s="37"/>
      <c r="XBT2" s="37"/>
      <c r="XBU2" s="37"/>
      <c r="XBV2" s="37"/>
      <c r="XBW2" s="37"/>
      <c r="XBX2" s="37"/>
      <c r="XBY2" s="37"/>
      <c r="XBZ2" s="37"/>
      <c r="XCA2" s="37"/>
      <c r="XCB2" s="37"/>
      <c r="XCC2" s="37"/>
      <c r="XCD2" s="37"/>
      <c r="XCE2" s="37"/>
      <c r="XCF2" s="37"/>
      <c r="XCG2" s="37"/>
      <c r="XCH2" s="37"/>
      <c r="XCI2" s="37"/>
      <c r="XCJ2" s="37"/>
      <c r="XCK2" s="37"/>
      <c r="XCL2" s="37"/>
      <c r="XCM2" s="37"/>
      <c r="XCN2" s="37"/>
      <c r="XCO2" s="37"/>
      <c r="XCP2" s="37"/>
      <c r="XCQ2" s="37"/>
      <c r="XCR2" s="37"/>
      <c r="XCS2" s="37"/>
      <c r="XCT2" s="37"/>
      <c r="XCU2" s="37"/>
      <c r="XCV2" s="37"/>
      <c r="XCW2" s="37"/>
      <c r="XCX2" s="37"/>
      <c r="XCY2" s="37"/>
      <c r="XCZ2" s="37"/>
      <c r="XDA2" s="37"/>
      <c r="XDB2" s="37"/>
      <c r="XDC2" s="37"/>
      <c r="XDD2" s="37"/>
      <c r="XDE2" s="37"/>
      <c r="XDF2" s="37"/>
      <c r="XDG2" s="37"/>
      <c r="XDH2" s="37"/>
      <c r="XDI2" s="37"/>
      <c r="XDJ2" s="37"/>
      <c r="XDK2" s="37"/>
      <c r="XDL2" s="37"/>
      <c r="XDM2" s="37"/>
      <c r="XDN2" s="37"/>
      <c r="XDO2" s="37"/>
      <c r="XDP2" s="37"/>
      <c r="XDQ2" s="37"/>
      <c r="XDR2" s="37"/>
      <c r="XDS2" s="37"/>
      <c r="XDT2" s="37"/>
      <c r="XDU2" s="37"/>
      <c r="XDV2" s="37"/>
      <c r="XDW2" s="37"/>
      <c r="XDX2" s="37"/>
      <c r="XDY2" s="37"/>
      <c r="XDZ2" s="37"/>
      <c r="XEA2" s="37"/>
      <c r="XEB2" s="37"/>
      <c r="XEC2" s="37"/>
      <c r="XED2" s="37"/>
      <c r="XEE2" s="37"/>
      <c r="XEF2" s="37"/>
      <c r="XEG2" s="37"/>
      <c r="XEH2" s="37"/>
      <c r="XEI2" s="37"/>
      <c r="XEJ2" s="37"/>
      <c r="XEK2" s="37"/>
      <c r="XEL2" s="37"/>
      <c r="XEM2" s="37"/>
      <c r="XEN2" s="37"/>
      <c r="XEO2" s="37"/>
      <c r="XEP2" s="37"/>
      <c r="XEQ2" s="37"/>
      <c r="XER2" s="37"/>
      <c r="XES2" s="37"/>
      <c r="XET2" s="37"/>
      <c r="XEU2" s="37"/>
      <c r="XEV2" s="37"/>
      <c r="XEW2" s="37"/>
      <c r="XEX2" s="37"/>
      <c r="XEY2" s="37"/>
      <c r="XEZ2" s="37"/>
      <c r="XFA2" s="37"/>
      <c r="XFB2" s="37"/>
      <c r="XFC2" s="37"/>
      <c r="XFD2" s="37"/>
    </row>
    <row r="3" spans="2:16384" ht="17" thickTop="1"/>
    <row r="4" spans="2:16384">
      <c r="B4" s="134" t="s">
        <v>247</v>
      </c>
      <c r="C4" s="135"/>
      <c r="E4" s="134" t="s">
        <v>250</v>
      </c>
      <c r="F4" s="135"/>
    </row>
    <row r="5" spans="2:16384">
      <c r="B5" s="136" t="s">
        <v>10</v>
      </c>
      <c r="C5" s="35" t="s">
        <v>0</v>
      </c>
      <c r="E5" s="137" t="s">
        <v>11</v>
      </c>
      <c r="F5" s="151" cm="1" vm="1">
        <f t="array" aca="1" ref="F5" ca="1">INDEX(_xlfn.STOCKHISTORY(Ticker, TODAY()-7, TODAY(), 0, 1), ROWS(_xlfn.STOCKHISTORY(Ticker, TODAY()-7, TODAY(), 0, 1)), 2)</f>
        <v>258.2</v>
      </c>
    </row>
    <row r="6" spans="2:16384">
      <c r="B6" s="136" t="s">
        <v>217</v>
      </c>
      <c r="C6" s="35" t="s">
        <v>218</v>
      </c>
    </row>
    <row r="7" spans="2:16384">
      <c r="B7" s="136"/>
      <c r="C7" s="35"/>
    </row>
    <row r="8" spans="2:16384">
      <c r="B8" s="136" t="s">
        <v>12</v>
      </c>
      <c r="C8" s="35">
        <v>5</v>
      </c>
    </row>
    <row r="9" spans="2:16384">
      <c r="B9" s="136" t="s">
        <v>13</v>
      </c>
      <c r="C9" s="35">
        <v>2023</v>
      </c>
    </row>
    <row r="10" spans="2:16384">
      <c r="B10" s="136" t="s">
        <v>92</v>
      </c>
      <c r="C10" s="35">
        <v>3</v>
      </c>
    </row>
    <row r="11" spans="2:16384">
      <c r="B11" s="136"/>
      <c r="C11" s="35"/>
    </row>
    <row r="12" spans="2:16384">
      <c r="B12" s="136" t="s">
        <v>115</v>
      </c>
      <c r="C12" s="35" t="s">
        <v>248</v>
      </c>
    </row>
    <row r="13" spans="2:16384">
      <c r="B13" s="136"/>
      <c r="C13" s="35"/>
    </row>
    <row r="14" spans="2:16384">
      <c r="B14" s="136" t="s">
        <v>97</v>
      </c>
      <c r="C14" s="133">
        <v>1</v>
      </c>
    </row>
    <row r="15" spans="2:16384">
      <c r="B15" s="136" t="s">
        <v>98</v>
      </c>
      <c r="C15" s="143">
        <v>0.04</v>
      </c>
    </row>
    <row r="16" spans="2:16384">
      <c r="B16" s="136" t="s">
        <v>100</v>
      </c>
      <c r="C16" s="143">
        <v>7.0000000000000007E-2</v>
      </c>
    </row>
    <row r="17" spans="2:3">
      <c r="B17" s="136" t="s">
        <v>99</v>
      </c>
      <c r="C17" s="143">
        <f>Market_Return-Riskfree_Return</f>
        <v>3.0000000000000006E-2</v>
      </c>
    </row>
    <row r="18" spans="2:3">
      <c r="B18" s="136"/>
      <c r="C18" s="35"/>
    </row>
    <row r="19" spans="2:3">
      <c r="B19" s="136" t="s">
        <v>128</v>
      </c>
      <c r="C19" s="144">
        <v>15171990000</v>
      </c>
    </row>
    <row r="20" spans="2:3">
      <c r="B20" s="136"/>
      <c r="C20" s="35"/>
    </row>
    <row r="21" spans="2:3">
      <c r="B21" s="136" t="s">
        <v>193</v>
      </c>
      <c r="C21" s="145">
        <v>280</v>
      </c>
    </row>
    <row r="22" spans="2:3">
      <c r="B22" s="137" t="s">
        <v>194</v>
      </c>
      <c r="C22" s="146">
        <v>120</v>
      </c>
    </row>
    <row r="25" spans="2:3">
      <c r="B25" s="150" t="s">
        <v>219</v>
      </c>
    </row>
    <row r="26" spans="2:3">
      <c r="B26" s="149" t="s">
        <v>249</v>
      </c>
    </row>
    <row r="27" spans="2:3">
      <c r="B27" s="147" t="str">
        <f>IF('Comparable multiples'!B23&lt;&gt;"",'Comparable multiples'!B23,"")</f>
        <v>Alphabet Inc.</v>
      </c>
    </row>
    <row r="28" spans="2:3">
      <c r="B28" s="147" t="str">
        <f>IF('Comparable multiples'!B24&lt;&gt;"",'Comparable multiples'!B24,"")</f>
        <v>Dell Technologies Inc.</v>
      </c>
    </row>
    <row r="29" spans="2:3">
      <c r="B29" s="147" t="str">
        <f>IF('Comparable multiples'!B25&lt;&gt;"",'Comparable multiples'!B25,"")</f>
        <v>Microsoft Corporation</v>
      </c>
    </row>
    <row r="30" spans="2:3">
      <c r="B30" s="147" t="str">
        <f>IF('Comparable multiples'!B26&lt;&gt;"",'Comparable multiples'!B26,"")</f>
        <v>Netflix, Inc.</v>
      </c>
    </row>
    <row r="31" spans="2:3">
      <c r="B31" s="147" t="str">
        <f>IF('Comparable multiples'!B27&lt;&gt;"",'Comparable multiples'!B27,"")</f>
        <v/>
      </c>
    </row>
    <row r="32" spans="2:3">
      <c r="B32" s="147" t="str">
        <f>IF('Comparable multiples'!B28&lt;&gt;"",'Comparable multiples'!B28,"")</f>
        <v/>
      </c>
    </row>
    <row r="33" spans="2:2">
      <c r="B33" s="147" t="str">
        <f>IF('Comparable multiples'!B29&lt;&gt;"",'Comparable multiples'!B29,"")</f>
        <v/>
      </c>
    </row>
    <row r="34" spans="2:2">
      <c r="B34" s="147" t="str">
        <f>IF('Comparable multiples'!B30&lt;&gt;"",'Comparable multiples'!B30,"")</f>
        <v/>
      </c>
    </row>
    <row r="35" spans="2:2">
      <c r="B35" s="147" t="str">
        <f>IF('Comparable multiples'!B31&lt;&gt;"",'Comparable multiples'!B31,"")</f>
        <v/>
      </c>
    </row>
    <row r="36" spans="2:2">
      <c r="B36" s="147" t="str">
        <f>IF('Comparable multiples'!B32&lt;&gt;"",'Comparable multiples'!B32,"")</f>
        <v/>
      </c>
    </row>
    <row r="37" spans="2:2">
      <c r="B37" s="148" t="str">
        <f>IF('Comparable multiples'!B33&lt;&gt;"",'Comparable multiples'!B33,"")</f>
        <v/>
      </c>
    </row>
    <row r="38" spans="2:2">
      <c r="B38" t="str">
        <f>IF('Comparable multiples'!B34&lt;&gt;"",'Comparable multiples'!B34,"")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EF1FE-DCFA-EE49-BFFE-D2C6C19D4F1D}">
  <sheetPr codeName="Sheet10"/>
  <dimension ref="B2:XFD11"/>
  <sheetViews>
    <sheetView workbookViewId="0">
      <selection activeCell="F5" sqref="F5"/>
    </sheetView>
  </sheetViews>
  <sheetFormatPr baseColWidth="10" defaultRowHeight="16"/>
  <cols>
    <col min="2" max="2" width="19.140625" bestFit="1" customWidth="1"/>
  </cols>
  <sheetData>
    <row r="2" spans="2:16384" ht="21" thickBot="1">
      <c r="B2" s="38" t="s">
        <v>221</v>
      </c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97"/>
      <c r="AB2" s="97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  <c r="DE2" s="97"/>
      <c r="DF2" s="97"/>
      <c r="DG2" s="97"/>
      <c r="DH2" s="97"/>
      <c r="DI2" s="97"/>
      <c r="DJ2" s="97"/>
      <c r="DK2" s="97"/>
      <c r="DL2" s="97"/>
      <c r="DM2" s="97"/>
      <c r="DN2" s="97"/>
      <c r="DO2" s="97"/>
      <c r="DP2" s="97"/>
      <c r="DQ2" s="97"/>
      <c r="DR2" s="97"/>
      <c r="DS2" s="97"/>
      <c r="DT2" s="97"/>
      <c r="DU2" s="97"/>
      <c r="DV2" s="97"/>
      <c r="DW2" s="97"/>
      <c r="DX2" s="97"/>
      <c r="DY2" s="97"/>
      <c r="DZ2" s="97"/>
      <c r="EA2" s="97"/>
      <c r="EB2" s="97"/>
      <c r="EC2" s="97"/>
      <c r="ED2" s="97"/>
      <c r="EE2" s="97"/>
      <c r="EF2" s="97"/>
      <c r="EG2" s="97"/>
      <c r="EH2" s="97"/>
      <c r="EI2" s="97"/>
      <c r="EJ2" s="97"/>
      <c r="EK2" s="97"/>
      <c r="EL2" s="97"/>
      <c r="EM2" s="97"/>
      <c r="EN2" s="97"/>
      <c r="EO2" s="97"/>
      <c r="EP2" s="97"/>
      <c r="EQ2" s="97"/>
      <c r="ER2" s="97"/>
      <c r="ES2" s="97"/>
      <c r="ET2" s="97"/>
      <c r="EU2" s="97"/>
      <c r="EV2" s="97"/>
      <c r="EW2" s="97"/>
      <c r="EX2" s="97"/>
      <c r="EY2" s="97"/>
      <c r="EZ2" s="97"/>
      <c r="FA2" s="97"/>
      <c r="FB2" s="97"/>
      <c r="FC2" s="97"/>
      <c r="FD2" s="97"/>
      <c r="FE2" s="97"/>
      <c r="FF2" s="97"/>
      <c r="FG2" s="97"/>
      <c r="FH2" s="97"/>
      <c r="FI2" s="97"/>
      <c r="FJ2" s="97"/>
      <c r="FK2" s="97"/>
      <c r="FL2" s="97"/>
      <c r="FM2" s="97"/>
      <c r="FN2" s="97"/>
      <c r="FO2" s="97"/>
      <c r="FP2" s="97"/>
      <c r="FQ2" s="97"/>
      <c r="FR2" s="97"/>
      <c r="FS2" s="97"/>
      <c r="FT2" s="97"/>
      <c r="FU2" s="97"/>
      <c r="FV2" s="97"/>
      <c r="FW2" s="97"/>
      <c r="FX2" s="97"/>
      <c r="FY2" s="97"/>
      <c r="FZ2" s="97"/>
      <c r="GA2" s="97"/>
      <c r="GB2" s="97"/>
      <c r="GC2" s="97"/>
      <c r="GD2" s="97"/>
      <c r="GE2" s="97"/>
      <c r="GF2" s="97"/>
      <c r="GG2" s="97"/>
      <c r="GH2" s="97"/>
      <c r="GI2" s="97"/>
      <c r="GJ2" s="97"/>
      <c r="GK2" s="97"/>
      <c r="GL2" s="97"/>
      <c r="GM2" s="97"/>
      <c r="GN2" s="97"/>
      <c r="GO2" s="97"/>
      <c r="GP2" s="97"/>
      <c r="GQ2" s="97"/>
      <c r="GR2" s="97"/>
      <c r="GS2" s="97"/>
      <c r="GT2" s="97"/>
      <c r="GU2" s="97"/>
      <c r="GV2" s="97"/>
      <c r="GW2" s="97"/>
      <c r="GX2" s="97"/>
      <c r="GY2" s="97"/>
      <c r="GZ2" s="97"/>
      <c r="HA2" s="97"/>
      <c r="HB2" s="97"/>
      <c r="HC2" s="97"/>
      <c r="HD2" s="97"/>
      <c r="HE2" s="97"/>
      <c r="HF2" s="97"/>
      <c r="HG2" s="97"/>
      <c r="HH2" s="97"/>
      <c r="HI2" s="97"/>
      <c r="HJ2" s="97"/>
      <c r="HK2" s="97"/>
      <c r="HL2" s="97"/>
      <c r="HM2" s="97"/>
      <c r="HN2" s="97"/>
      <c r="HO2" s="97"/>
      <c r="HP2" s="97"/>
      <c r="HQ2" s="97"/>
      <c r="HR2" s="97"/>
      <c r="HS2" s="97"/>
      <c r="HT2" s="97"/>
      <c r="HU2" s="97"/>
      <c r="HV2" s="97"/>
      <c r="HW2" s="97"/>
      <c r="HX2" s="97"/>
      <c r="HY2" s="97"/>
      <c r="HZ2" s="97"/>
      <c r="IA2" s="97"/>
      <c r="IB2" s="97"/>
      <c r="IC2" s="97"/>
      <c r="ID2" s="97"/>
      <c r="IE2" s="97"/>
      <c r="IF2" s="97"/>
      <c r="IG2" s="97"/>
      <c r="IH2" s="97"/>
      <c r="II2" s="97"/>
      <c r="IJ2" s="97"/>
      <c r="IK2" s="97"/>
      <c r="IL2" s="97"/>
      <c r="IM2" s="97"/>
      <c r="IN2" s="97"/>
      <c r="IO2" s="97"/>
      <c r="IP2" s="97"/>
      <c r="IQ2" s="97"/>
      <c r="IR2" s="97"/>
      <c r="IS2" s="97"/>
      <c r="IT2" s="97"/>
      <c r="IU2" s="97"/>
      <c r="IV2" s="97"/>
      <c r="IW2" s="97"/>
      <c r="IX2" s="97"/>
      <c r="IY2" s="97"/>
      <c r="IZ2" s="97"/>
      <c r="JA2" s="97"/>
      <c r="JB2" s="97"/>
      <c r="JC2" s="97"/>
      <c r="JD2" s="97"/>
      <c r="JE2" s="97"/>
      <c r="JF2" s="97"/>
      <c r="JG2" s="97"/>
      <c r="JH2" s="97"/>
      <c r="JI2" s="97"/>
      <c r="JJ2" s="97"/>
      <c r="JK2" s="97"/>
      <c r="JL2" s="97"/>
      <c r="JM2" s="97"/>
      <c r="JN2" s="97"/>
      <c r="JO2" s="97"/>
      <c r="JP2" s="97"/>
      <c r="JQ2" s="97"/>
      <c r="JR2" s="97"/>
      <c r="JS2" s="97"/>
      <c r="JT2" s="97"/>
      <c r="JU2" s="97"/>
      <c r="JV2" s="97"/>
      <c r="JW2" s="97"/>
      <c r="JX2" s="97"/>
      <c r="JY2" s="97"/>
      <c r="JZ2" s="97"/>
      <c r="KA2" s="97"/>
      <c r="KB2" s="97"/>
      <c r="KC2" s="97"/>
      <c r="KD2" s="97"/>
      <c r="KE2" s="97"/>
      <c r="KF2" s="97"/>
      <c r="KG2" s="97"/>
      <c r="KH2" s="97"/>
      <c r="KI2" s="97"/>
      <c r="KJ2" s="97"/>
      <c r="KK2" s="97"/>
      <c r="KL2" s="97"/>
      <c r="KM2" s="97"/>
      <c r="KN2" s="97"/>
      <c r="KO2" s="97"/>
      <c r="KP2" s="97"/>
      <c r="KQ2" s="97"/>
      <c r="KR2" s="97"/>
      <c r="KS2" s="97"/>
      <c r="KT2" s="97"/>
      <c r="KU2" s="97"/>
      <c r="KV2" s="97"/>
      <c r="KW2" s="97"/>
      <c r="KX2" s="97"/>
      <c r="KY2" s="97"/>
      <c r="KZ2" s="97"/>
      <c r="LA2" s="97"/>
      <c r="LB2" s="97"/>
      <c r="LC2" s="97"/>
      <c r="LD2" s="97"/>
      <c r="LE2" s="97"/>
      <c r="LF2" s="97"/>
      <c r="LG2" s="97"/>
      <c r="LH2" s="97"/>
      <c r="LI2" s="97"/>
      <c r="LJ2" s="97"/>
      <c r="LK2" s="97"/>
      <c r="LL2" s="97"/>
      <c r="LM2" s="97"/>
      <c r="LN2" s="97"/>
      <c r="LO2" s="97"/>
      <c r="LP2" s="97"/>
      <c r="LQ2" s="97"/>
      <c r="LR2" s="97"/>
      <c r="LS2" s="97"/>
      <c r="LT2" s="97"/>
      <c r="LU2" s="97"/>
      <c r="LV2" s="97"/>
      <c r="LW2" s="97"/>
      <c r="LX2" s="97"/>
      <c r="LY2" s="97"/>
      <c r="LZ2" s="97"/>
      <c r="MA2" s="97"/>
      <c r="MB2" s="97"/>
      <c r="MC2" s="97"/>
      <c r="MD2" s="97"/>
      <c r="ME2" s="97"/>
      <c r="MF2" s="97"/>
      <c r="MG2" s="97"/>
      <c r="MH2" s="97"/>
      <c r="MI2" s="97"/>
      <c r="MJ2" s="97"/>
      <c r="MK2" s="97"/>
      <c r="ML2" s="97"/>
      <c r="MM2" s="97"/>
      <c r="MN2" s="97"/>
      <c r="MO2" s="97"/>
      <c r="MP2" s="97"/>
      <c r="MQ2" s="97"/>
      <c r="MR2" s="97"/>
      <c r="MS2" s="97"/>
      <c r="MT2" s="97"/>
      <c r="MU2" s="97"/>
      <c r="MV2" s="97"/>
      <c r="MW2" s="97"/>
      <c r="MX2" s="97"/>
      <c r="MY2" s="97"/>
      <c r="MZ2" s="97"/>
      <c r="NA2" s="97"/>
      <c r="NB2" s="97"/>
      <c r="NC2" s="97"/>
      <c r="ND2" s="97"/>
      <c r="NE2" s="97"/>
      <c r="NF2" s="97"/>
      <c r="NG2" s="97"/>
      <c r="NH2" s="97"/>
      <c r="NI2" s="97"/>
      <c r="NJ2" s="97"/>
      <c r="NK2" s="97"/>
      <c r="NL2" s="97"/>
      <c r="NM2" s="97"/>
      <c r="NN2" s="97"/>
      <c r="NO2" s="97"/>
      <c r="NP2" s="97"/>
      <c r="NQ2" s="97"/>
      <c r="NR2" s="97"/>
      <c r="NS2" s="97"/>
      <c r="NT2" s="97"/>
      <c r="NU2" s="97"/>
      <c r="NV2" s="97"/>
      <c r="NW2" s="97"/>
      <c r="NX2" s="97"/>
      <c r="NY2" s="97"/>
      <c r="NZ2" s="97"/>
      <c r="OA2" s="97"/>
      <c r="OB2" s="97"/>
      <c r="OC2" s="97"/>
      <c r="OD2" s="97"/>
      <c r="OE2" s="97"/>
      <c r="OF2" s="97"/>
      <c r="OG2" s="97"/>
      <c r="OH2" s="97"/>
      <c r="OI2" s="97"/>
      <c r="OJ2" s="97"/>
      <c r="OK2" s="97"/>
      <c r="OL2" s="97"/>
      <c r="OM2" s="97"/>
      <c r="ON2" s="97"/>
      <c r="OO2" s="97"/>
      <c r="OP2" s="97"/>
      <c r="OQ2" s="97"/>
      <c r="OR2" s="97"/>
      <c r="OS2" s="97"/>
      <c r="OT2" s="97"/>
      <c r="OU2" s="97"/>
      <c r="OV2" s="97"/>
      <c r="OW2" s="97"/>
      <c r="OX2" s="97"/>
      <c r="OY2" s="97"/>
      <c r="OZ2" s="97"/>
      <c r="PA2" s="97"/>
      <c r="PB2" s="97"/>
      <c r="PC2" s="97"/>
      <c r="PD2" s="97"/>
      <c r="PE2" s="97"/>
      <c r="PF2" s="97"/>
      <c r="PG2" s="97"/>
      <c r="PH2" s="97"/>
      <c r="PI2" s="97"/>
      <c r="PJ2" s="97"/>
      <c r="PK2" s="97"/>
      <c r="PL2" s="97"/>
      <c r="PM2" s="97"/>
      <c r="PN2" s="97"/>
      <c r="PO2" s="97"/>
      <c r="PP2" s="97"/>
      <c r="PQ2" s="97"/>
      <c r="PR2" s="97"/>
      <c r="PS2" s="97"/>
      <c r="PT2" s="97"/>
      <c r="PU2" s="97"/>
      <c r="PV2" s="97"/>
      <c r="PW2" s="97"/>
      <c r="PX2" s="97"/>
      <c r="PY2" s="97"/>
      <c r="PZ2" s="97"/>
      <c r="QA2" s="97"/>
      <c r="QB2" s="97"/>
      <c r="QC2" s="97"/>
      <c r="QD2" s="97"/>
      <c r="QE2" s="97"/>
      <c r="QF2" s="97"/>
      <c r="QG2" s="97"/>
      <c r="QH2" s="97"/>
      <c r="QI2" s="97"/>
      <c r="QJ2" s="97"/>
      <c r="QK2" s="97"/>
      <c r="QL2" s="97"/>
      <c r="QM2" s="97"/>
      <c r="QN2" s="97"/>
      <c r="QO2" s="97"/>
      <c r="QP2" s="97"/>
      <c r="QQ2" s="97"/>
      <c r="QR2" s="97"/>
      <c r="QS2" s="97"/>
      <c r="QT2" s="97"/>
      <c r="QU2" s="97"/>
      <c r="QV2" s="97"/>
      <c r="QW2" s="97"/>
      <c r="QX2" s="97"/>
      <c r="QY2" s="97"/>
      <c r="QZ2" s="97"/>
      <c r="RA2" s="97"/>
      <c r="RB2" s="97"/>
      <c r="RC2" s="97"/>
      <c r="RD2" s="97"/>
      <c r="RE2" s="97"/>
      <c r="RF2" s="97"/>
      <c r="RG2" s="97"/>
      <c r="RH2" s="97"/>
      <c r="RI2" s="97"/>
      <c r="RJ2" s="97"/>
      <c r="RK2" s="97"/>
      <c r="RL2" s="97"/>
      <c r="RM2" s="97"/>
      <c r="RN2" s="97"/>
      <c r="RO2" s="97"/>
      <c r="RP2" s="97"/>
      <c r="RQ2" s="97"/>
      <c r="RR2" s="97"/>
      <c r="RS2" s="97"/>
      <c r="RT2" s="97"/>
      <c r="RU2" s="97"/>
      <c r="RV2" s="97"/>
      <c r="RW2" s="97"/>
      <c r="RX2" s="97"/>
      <c r="RY2" s="97"/>
      <c r="RZ2" s="97"/>
      <c r="SA2" s="97"/>
      <c r="SB2" s="97"/>
      <c r="SC2" s="97"/>
      <c r="SD2" s="97"/>
      <c r="SE2" s="97"/>
      <c r="SF2" s="97"/>
      <c r="SG2" s="97"/>
      <c r="SH2" s="97"/>
      <c r="SI2" s="97"/>
      <c r="SJ2" s="97"/>
      <c r="SK2" s="97"/>
      <c r="SL2" s="97"/>
      <c r="SM2" s="97"/>
      <c r="SN2" s="97"/>
      <c r="SO2" s="97"/>
      <c r="SP2" s="97"/>
      <c r="SQ2" s="97"/>
      <c r="SR2" s="97"/>
      <c r="SS2" s="97"/>
      <c r="ST2" s="97"/>
      <c r="SU2" s="97"/>
      <c r="SV2" s="97"/>
      <c r="SW2" s="97"/>
      <c r="SX2" s="97"/>
      <c r="SY2" s="97"/>
      <c r="SZ2" s="97"/>
      <c r="TA2" s="97"/>
      <c r="TB2" s="97"/>
      <c r="TC2" s="97"/>
      <c r="TD2" s="97"/>
      <c r="TE2" s="97"/>
      <c r="TF2" s="97"/>
      <c r="TG2" s="97"/>
      <c r="TH2" s="97"/>
      <c r="TI2" s="97"/>
      <c r="TJ2" s="97"/>
      <c r="TK2" s="97"/>
      <c r="TL2" s="97"/>
      <c r="TM2" s="97"/>
      <c r="TN2" s="97"/>
      <c r="TO2" s="97"/>
      <c r="TP2" s="97"/>
      <c r="TQ2" s="97"/>
      <c r="TR2" s="97"/>
      <c r="TS2" s="97"/>
      <c r="TT2" s="97"/>
      <c r="TU2" s="97"/>
      <c r="TV2" s="97"/>
      <c r="TW2" s="97"/>
      <c r="TX2" s="97"/>
      <c r="TY2" s="97"/>
      <c r="TZ2" s="97"/>
      <c r="UA2" s="97"/>
      <c r="UB2" s="97"/>
      <c r="UC2" s="97"/>
      <c r="UD2" s="97"/>
      <c r="UE2" s="97"/>
      <c r="UF2" s="97"/>
      <c r="UG2" s="97"/>
      <c r="UH2" s="97"/>
      <c r="UI2" s="97"/>
      <c r="UJ2" s="97"/>
      <c r="UK2" s="97"/>
      <c r="UL2" s="97"/>
      <c r="UM2" s="97"/>
      <c r="UN2" s="97"/>
      <c r="UO2" s="97"/>
      <c r="UP2" s="97"/>
      <c r="UQ2" s="97"/>
      <c r="UR2" s="97"/>
      <c r="US2" s="97"/>
      <c r="UT2" s="97"/>
      <c r="UU2" s="97"/>
      <c r="UV2" s="97"/>
      <c r="UW2" s="97"/>
      <c r="UX2" s="97"/>
      <c r="UY2" s="97"/>
      <c r="UZ2" s="97"/>
      <c r="VA2" s="97"/>
      <c r="VB2" s="97"/>
      <c r="VC2" s="97"/>
      <c r="VD2" s="97"/>
      <c r="VE2" s="97"/>
      <c r="VF2" s="97"/>
      <c r="VG2" s="97"/>
      <c r="VH2" s="97"/>
      <c r="VI2" s="97"/>
      <c r="VJ2" s="97"/>
      <c r="VK2" s="97"/>
      <c r="VL2" s="97"/>
      <c r="VM2" s="97"/>
      <c r="VN2" s="97"/>
      <c r="VO2" s="97"/>
      <c r="VP2" s="97"/>
      <c r="VQ2" s="97"/>
      <c r="VR2" s="97"/>
      <c r="VS2" s="97"/>
      <c r="VT2" s="97"/>
      <c r="VU2" s="97"/>
      <c r="VV2" s="97"/>
      <c r="VW2" s="97"/>
      <c r="VX2" s="97"/>
      <c r="VY2" s="97"/>
      <c r="VZ2" s="97"/>
      <c r="WA2" s="97"/>
      <c r="WB2" s="97"/>
      <c r="WC2" s="97"/>
      <c r="WD2" s="97"/>
      <c r="WE2" s="97"/>
      <c r="WF2" s="97"/>
      <c r="WG2" s="97"/>
      <c r="WH2" s="97"/>
      <c r="WI2" s="97"/>
      <c r="WJ2" s="97"/>
      <c r="WK2" s="97"/>
      <c r="WL2" s="97"/>
      <c r="WM2" s="97"/>
      <c r="WN2" s="97"/>
      <c r="WO2" s="97"/>
      <c r="WP2" s="97"/>
      <c r="WQ2" s="97"/>
      <c r="WR2" s="97"/>
      <c r="WS2" s="97"/>
      <c r="WT2" s="97"/>
      <c r="WU2" s="97"/>
      <c r="WV2" s="97"/>
      <c r="WW2" s="97"/>
      <c r="WX2" s="97"/>
      <c r="WY2" s="97"/>
      <c r="WZ2" s="97"/>
      <c r="XA2" s="97"/>
      <c r="XB2" s="97"/>
      <c r="XC2" s="97"/>
      <c r="XD2" s="97"/>
      <c r="XE2" s="97"/>
      <c r="XF2" s="97"/>
      <c r="XG2" s="97"/>
      <c r="XH2" s="97"/>
      <c r="XI2" s="97"/>
      <c r="XJ2" s="97"/>
      <c r="XK2" s="97"/>
      <c r="XL2" s="97"/>
      <c r="XM2" s="97"/>
      <c r="XN2" s="97"/>
      <c r="XO2" s="97"/>
      <c r="XP2" s="97"/>
      <c r="XQ2" s="97"/>
      <c r="XR2" s="97"/>
      <c r="XS2" s="97"/>
      <c r="XT2" s="97"/>
      <c r="XU2" s="97"/>
      <c r="XV2" s="97"/>
      <c r="XW2" s="97"/>
      <c r="XX2" s="97"/>
      <c r="XY2" s="97"/>
      <c r="XZ2" s="97"/>
      <c r="YA2" s="97"/>
      <c r="YB2" s="97"/>
      <c r="YC2" s="97"/>
      <c r="YD2" s="97"/>
      <c r="YE2" s="97"/>
      <c r="YF2" s="97"/>
      <c r="YG2" s="97"/>
      <c r="YH2" s="97"/>
      <c r="YI2" s="97"/>
      <c r="YJ2" s="97"/>
      <c r="YK2" s="97"/>
      <c r="YL2" s="97"/>
      <c r="YM2" s="97"/>
      <c r="YN2" s="97"/>
      <c r="YO2" s="97"/>
      <c r="YP2" s="97"/>
      <c r="YQ2" s="97"/>
      <c r="YR2" s="97"/>
      <c r="YS2" s="97"/>
      <c r="YT2" s="97"/>
      <c r="YU2" s="97"/>
      <c r="YV2" s="97"/>
      <c r="YW2" s="97"/>
      <c r="YX2" s="97"/>
      <c r="YY2" s="97"/>
      <c r="YZ2" s="97"/>
      <c r="ZA2" s="97"/>
      <c r="ZB2" s="97"/>
      <c r="ZC2" s="97"/>
      <c r="ZD2" s="97"/>
      <c r="ZE2" s="97"/>
      <c r="ZF2" s="97"/>
      <c r="ZG2" s="97"/>
      <c r="ZH2" s="97"/>
      <c r="ZI2" s="97"/>
      <c r="ZJ2" s="97"/>
      <c r="ZK2" s="97"/>
      <c r="ZL2" s="97"/>
      <c r="ZM2" s="97"/>
      <c r="ZN2" s="97"/>
      <c r="ZO2" s="97"/>
      <c r="ZP2" s="97"/>
      <c r="ZQ2" s="97"/>
      <c r="ZR2" s="97"/>
      <c r="ZS2" s="97"/>
      <c r="ZT2" s="97"/>
      <c r="ZU2" s="97"/>
      <c r="ZV2" s="97"/>
      <c r="ZW2" s="97"/>
      <c r="ZX2" s="97"/>
      <c r="ZY2" s="97"/>
      <c r="ZZ2" s="97"/>
      <c r="AAA2" s="97"/>
      <c r="AAB2" s="97"/>
      <c r="AAC2" s="97"/>
      <c r="AAD2" s="97"/>
      <c r="AAE2" s="97"/>
      <c r="AAF2" s="97"/>
      <c r="AAG2" s="97"/>
      <c r="AAH2" s="97"/>
      <c r="AAI2" s="97"/>
      <c r="AAJ2" s="97"/>
      <c r="AAK2" s="97"/>
      <c r="AAL2" s="97"/>
      <c r="AAM2" s="97"/>
      <c r="AAN2" s="97"/>
      <c r="AAO2" s="97"/>
      <c r="AAP2" s="97"/>
      <c r="AAQ2" s="97"/>
      <c r="AAR2" s="97"/>
      <c r="AAS2" s="97"/>
      <c r="AAT2" s="97"/>
      <c r="AAU2" s="97"/>
      <c r="AAV2" s="97"/>
      <c r="AAW2" s="97"/>
      <c r="AAX2" s="97"/>
      <c r="AAY2" s="97"/>
      <c r="AAZ2" s="97"/>
      <c r="ABA2" s="97"/>
      <c r="ABB2" s="97"/>
      <c r="ABC2" s="97"/>
      <c r="ABD2" s="97"/>
      <c r="ABE2" s="97"/>
      <c r="ABF2" s="97"/>
      <c r="ABG2" s="97"/>
      <c r="ABH2" s="97"/>
      <c r="ABI2" s="97"/>
      <c r="ABJ2" s="97"/>
      <c r="ABK2" s="97"/>
      <c r="ABL2" s="97"/>
      <c r="ABM2" s="97"/>
      <c r="ABN2" s="97"/>
      <c r="ABO2" s="97"/>
      <c r="ABP2" s="97"/>
      <c r="ABQ2" s="97"/>
      <c r="ABR2" s="97"/>
      <c r="ABS2" s="97"/>
      <c r="ABT2" s="97"/>
      <c r="ABU2" s="97"/>
      <c r="ABV2" s="97"/>
      <c r="ABW2" s="97"/>
      <c r="ABX2" s="97"/>
      <c r="ABY2" s="97"/>
      <c r="ABZ2" s="97"/>
      <c r="ACA2" s="97"/>
      <c r="ACB2" s="97"/>
      <c r="ACC2" s="97"/>
      <c r="ACD2" s="97"/>
      <c r="ACE2" s="97"/>
      <c r="ACF2" s="97"/>
      <c r="ACG2" s="97"/>
      <c r="ACH2" s="97"/>
      <c r="ACI2" s="97"/>
      <c r="ACJ2" s="97"/>
      <c r="ACK2" s="97"/>
      <c r="ACL2" s="97"/>
      <c r="ACM2" s="97"/>
      <c r="ACN2" s="97"/>
      <c r="ACO2" s="97"/>
      <c r="ACP2" s="97"/>
      <c r="ACQ2" s="97"/>
      <c r="ACR2" s="97"/>
      <c r="ACS2" s="97"/>
      <c r="ACT2" s="97"/>
      <c r="ACU2" s="97"/>
      <c r="ACV2" s="97"/>
      <c r="ACW2" s="97"/>
      <c r="ACX2" s="97"/>
      <c r="ACY2" s="97"/>
      <c r="ACZ2" s="97"/>
      <c r="ADA2" s="97"/>
      <c r="ADB2" s="97"/>
      <c r="ADC2" s="97"/>
      <c r="ADD2" s="97"/>
      <c r="ADE2" s="97"/>
      <c r="ADF2" s="97"/>
      <c r="ADG2" s="97"/>
      <c r="ADH2" s="97"/>
      <c r="ADI2" s="97"/>
      <c r="ADJ2" s="97"/>
      <c r="ADK2" s="97"/>
      <c r="ADL2" s="97"/>
      <c r="ADM2" s="97"/>
      <c r="ADN2" s="97"/>
      <c r="ADO2" s="97"/>
      <c r="ADP2" s="97"/>
      <c r="ADQ2" s="97"/>
      <c r="ADR2" s="97"/>
      <c r="ADS2" s="97"/>
      <c r="ADT2" s="97"/>
      <c r="ADU2" s="97"/>
      <c r="ADV2" s="97"/>
      <c r="ADW2" s="97"/>
      <c r="ADX2" s="97"/>
      <c r="ADY2" s="97"/>
      <c r="ADZ2" s="97"/>
      <c r="AEA2" s="97"/>
      <c r="AEB2" s="97"/>
      <c r="AEC2" s="97"/>
      <c r="AED2" s="97"/>
      <c r="AEE2" s="97"/>
      <c r="AEF2" s="97"/>
      <c r="AEG2" s="97"/>
      <c r="AEH2" s="97"/>
      <c r="AEI2" s="97"/>
      <c r="AEJ2" s="97"/>
      <c r="AEK2" s="97"/>
      <c r="AEL2" s="97"/>
      <c r="AEM2" s="97"/>
      <c r="AEN2" s="97"/>
      <c r="AEO2" s="97"/>
      <c r="AEP2" s="97"/>
      <c r="AEQ2" s="97"/>
      <c r="AER2" s="97"/>
      <c r="AES2" s="97"/>
      <c r="AET2" s="97"/>
      <c r="AEU2" s="97"/>
      <c r="AEV2" s="97"/>
      <c r="AEW2" s="97"/>
      <c r="AEX2" s="97"/>
      <c r="AEY2" s="97"/>
      <c r="AEZ2" s="97"/>
      <c r="AFA2" s="97"/>
      <c r="AFB2" s="97"/>
      <c r="AFC2" s="97"/>
      <c r="AFD2" s="97"/>
      <c r="AFE2" s="97"/>
      <c r="AFF2" s="97"/>
      <c r="AFG2" s="97"/>
      <c r="AFH2" s="97"/>
      <c r="AFI2" s="97"/>
      <c r="AFJ2" s="97"/>
      <c r="AFK2" s="97"/>
      <c r="AFL2" s="97"/>
      <c r="AFM2" s="97"/>
      <c r="AFN2" s="97"/>
      <c r="AFO2" s="97"/>
      <c r="AFP2" s="97"/>
      <c r="AFQ2" s="97"/>
      <c r="AFR2" s="97"/>
      <c r="AFS2" s="97"/>
      <c r="AFT2" s="97"/>
      <c r="AFU2" s="97"/>
      <c r="AFV2" s="97"/>
      <c r="AFW2" s="97"/>
      <c r="AFX2" s="97"/>
      <c r="AFY2" s="97"/>
      <c r="AFZ2" s="97"/>
      <c r="AGA2" s="97"/>
      <c r="AGB2" s="97"/>
      <c r="AGC2" s="97"/>
      <c r="AGD2" s="97"/>
      <c r="AGE2" s="97"/>
      <c r="AGF2" s="97"/>
      <c r="AGG2" s="97"/>
      <c r="AGH2" s="97"/>
      <c r="AGI2" s="97"/>
      <c r="AGJ2" s="97"/>
      <c r="AGK2" s="97"/>
      <c r="AGL2" s="97"/>
      <c r="AGM2" s="97"/>
      <c r="AGN2" s="97"/>
      <c r="AGO2" s="97"/>
      <c r="AGP2" s="97"/>
      <c r="AGQ2" s="97"/>
      <c r="AGR2" s="97"/>
      <c r="AGS2" s="97"/>
      <c r="AGT2" s="97"/>
      <c r="AGU2" s="97"/>
      <c r="AGV2" s="97"/>
      <c r="AGW2" s="97"/>
      <c r="AGX2" s="97"/>
      <c r="AGY2" s="97"/>
      <c r="AGZ2" s="97"/>
      <c r="AHA2" s="97"/>
      <c r="AHB2" s="97"/>
      <c r="AHC2" s="97"/>
      <c r="AHD2" s="97"/>
      <c r="AHE2" s="97"/>
      <c r="AHF2" s="97"/>
      <c r="AHG2" s="97"/>
      <c r="AHH2" s="97"/>
      <c r="AHI2" s="97"/>
      <c r="AHJ2" s="97"/>
      <c r="AHK2" s="97"/>
      <c r="AHL2" s="97"/>
      <c r="AHM2" s="97"/>
      <c r="AHN2" s="97"/>
      <c r="AHO2" s="97"/>
      <c r="AHP2" s="97"/>
      <c r="AHQ2" s="97"/>
      <c r="AHR2" s="97"/>
      <c r="AHS2" s="97"/>
      <c r="AHT2" s="97"/>
      <c r="AHU2" s="97"/>
      <c r="AHV2" s="97"/>
      <c r="AHW2" s="97"/>
      <c r="AHX2" s="97"/>
      <c r="AHY2" s="97"/>
      <c r="AHZ2" s="97"/>
      <c r="AIA2" s="97"/>
      <c r="AIB2" s="97"/>
      <c r="AIC2" s="97"/>
      <c r="AID2" s="97"/>
      <c r="AIE2" s="97"/>
      <c r="AIF2" s="97"/>
      <c r="AIG2" s="97"/>
      <c r="AIH2" s="97"/>
      <c r="AII2" s="97"/>
      <c r="AIJ2" s="97"/>
      <c r="AIK2" s="97"/>
      <c r="AIL2" s="97"/>
      <c r="AIM2" s="97"/>
      <c r="AIN2" s="97"/>
      <c r="AIO2" s="97"/>
      <c r="AIP2" s="97"/>
      <c r="AIQ2" s="97"/>
      <c r="AIR2" s="97"/>
      <c r="AIS2" s="97"/>
      <c r="AIT2" s="97"/>
      <c r="AIU2" s="97"/>
      <c r="AIV2" s="97"/>
      <c r="AIW2" s="97"/>
      <c r="AIX2" s="97"/>
      <c r="AIY2" s="97"/>
      <c r="AIZ2" s="97"/>
      <c r="AJA2" s="97"/>
      <c r="AJB2" s="97"/>
      <c r="AJC2" s="97"/>
      <c r="AJD2" s="97"/>
      <c r="AJE2" s="97"/>
      <c r="AJF2" s="97"/>
      <c r="AJG2" s="97"/>
      <c r="AJH2" s="97"/>
      <c r="AJI2" s="97"/>
      <c r="AJJ2" s="97"/>
      <c r="AJK2" s="97"/>
      <c r="AJL2" s="97"/>
      <c r="AJM2" s="97"/>
      <c r="AJN2" s="97"/>
      <c r="AJO2" s="97"/>
      <c r="AJP2" s="97"/>
      <c r="AJQ2" s="97"/>
      <c r="AJR2" s="97"/>
      <c r="AJS2" s="97"/>
      <c r="AJT2" s="97"/>
      <c r="AJU2" s="97"/>
      <c r="AJV2" s="97"/>
      <c r="AJW2" s="97"/>
      <c r="AJX2" s="97"/>
      <c r="AJY2" s="97"/>
      <c r="AJZ2" s="97"/>
      <c r="AKA2" s="97"/>
      <c r="AKB2" s="97"/>
      <c r="AKC2" s="97"/>
      <c r="AKD2" s="97"/>
      <c r="AKE2" s="97"/>
      <c r="AKF2" s="97"/>
      <c r="AKG2" s="97"/>
      <c r="AKH2" s="97"/>
      <c r="AKI2" s="97"/>
      <c r="AKJ2" s="97"/>
      <c r="AKK2" s="97"/>
      <c r="AKL2" s="97"/>
      <c r="AKM2" s="97"/>
      <c r="AKN2" s="97"/>
      <c r="AKO2" s="97"/>
      <c r="AKP2" s="97"/>
      <c r="AKQ2" s="97"/>
      <c r="AKR2" s="97"/>
      <c r="AKS2" s="97"/>
      <c r="AKT2" s="97"/>
      <c r="AKU2" s="97"/>
      <c r="AKV2" s="97"/>
      <c r="AKW2" s="97"/>
      <c r="AKX2" s="97"/>
      <c r="AKY2" s="97"/>
      <c r="AKZ2" s="97"/>
      <c r="ALA2" s="97"/>
      <c r="ALB2" s="97"/>
      <c r="ALC2" s="97"/>
      <c r="ALD2" s="97"/>
      <c r="ALE2" s="97"/>
      <c r="ALF2" s="97"/>
      <c r="ALG2" s="97"/>
      <c r="ALH2" s="97"/>
      <c r="ALI2" s="97"/>
      <c r="ALJ2" s="97"/>
      <c r="ALK2" s="97"/>
      <c r="ALL2" s="97"/>
      <c r="ALM2" s="97"/>
      <c r="ALN2" s="97"/>
      <c r="ALO2" s="97"/>
      <c r="ALP2" s="97"/>
      <c r="ALQ2" s="97"/>
      <c r="ALR2" s="97"/>
      <c r="ALS2" s="97"/>
      <c r="ALT2" s="97"/>
      <c r="ALU2" s="97"/>
      <c r="ALV2" s="97"/>
      <c r="ALW2" s="97"/>
      <c r="ALX2" s="97"/>
      <c r="ALY2" s="97"/>
      <c r="ALZ2" s="97"/>
      <c r="AMA2" s="97"/>
      <c r="AMB2" s="97"/>
      <c r="AMC2" s="97"/>
      <c r="AMD2" s="97"/>
      <c r="AME2" s="97"/>
      <c r="AMF2" s="97"/>
      <c r="AMG2" s="97"/>
      <c r="AMH2" s="97"/>
      <c r="AMI2" s="97"/>
      <c r="AMJ2" s="97"/>
      <c r="AMK2" s="97"/>
      <c r="AML2" s="97"/>
      <c r="AMM2" s="97"/>
      <c r="AMN2" s="97"/>
      <c r="AMO2" s="97"/>
      <c r="AMP2" s="97"/>
      <c r="AMQ2" s="97"/>
      <c r="AMR2" s="97"/>
      <c r="AMS2" s="97"/>
      <c r="AMT2" s="97"/>
      <c r="AMU2" s="97"/>
      <c r="AMV2" s="97"/>
      <c r="AMW2" s="97"/>
      <c r="AMX2" s="97"/>
      <c r="AMY2" s="97"/>
      <c r="AMZ2" s="97"/>
      <c r="ANA2" s="97"/>
      <c r="ANB2" s="97"/>
      <c r="ANC2" s="97"/>
      <c r="AND2" s="97"/>
      <c r="ANE2" s="97"/>
      <c r="ANF2" s="97"/>
      <c r="ANG2" s="97"/>
      <c r="ANH2" s="97"/>
      <c r="ANI2" s="97"/>
      <c r="ANJ2" s="97"/>
      <c r="ANK2" s="97"/>
      <c r="ANL2" s="97"/>
      <c r="ANM2" s="97"/>
      <c r="ANN2" s="97"/>
      <c r="ANO2" s="97"/>
      <c r="ANP2" s="97"/>
      <c r="ANQ2" s="97"/>
      <c r="ANR2" s="97"/>
      <c r="ANS2" s="97"/>
      <c r="ANT2" s="97"/>
      <c r="ANU2" s="97"/>
      <c r="ANV2" s="97"/>
      <c r="ANW2" s="97"/>
      <c r="ANX2" s="97"/>
      <c r="ANY2" s="97"/>
      <c r="ANZ2" s="97"/>
      <c r="AOA2" s="97"/>
      <c r="AOB2" s="97"/>
      <c r="AOC2" s="97"/>
      <c r="AOD2" s="97"/>
      <c r="AOE2" s="97"/>
      <c r="AOF2" s="97"/>
      <c r="AOG2" s="97"/>
      <c r="AOH2" s="97"/>
      <c r="AOI2" s="97"/>
      <c r="AOJ2" s="97"/>
      <c r="AOK2" s="97"/>
      <c r="AOL2" s="97"/>
      <c r="AOM2" s="97"/>
      <c r="AON2" s="97"/>
      <c r="AOO2" s="97"/>
      <c r="AOP2" s="97"/>
      <c r="AOQ2" s="97"/>
      <c r="AOR2" s="97"/>
      <c r="AOS2" s="97"/>
      <c r="AOT2" s="97"/>
      <c r="AOU2" s="97"/>
      <c r="AOV2" s="97"/>
      <c r="AOW2" s="97"/>
      <c r="AOX2" s="97"/>
      <c r="AOY2" s="97"/>
      <c r="AOZ2" s="97"/>
      <c r="APA2" s="97"/>
      <c r="APB2" s="97"/>
      <c r="APC2" s="97"/>
      <c r="APD2" s="97"/>
      <c r="APE2" s="97"/>
      <c r="APF2" s="97"/>
      <c r="APG2" s="97"/>
      <c r="APH2" s="97"/>
      <c r="API2" s="97"/>
      <c r="APJ2" s="97"/>
      <c r="APK2" s="97"/>
      <c r="APL2" s="97"/>
      <c r="APM2" s="97"/>
      <c r="APN2" s="97"/>
      <c r="APO2" s="97"/>
      <c r="APP2" s="97"/>
      <c r="APQ2" s="97"/>
      <c r="APR2" s="97"/>
      <c r="APS2" s="97"/>
      <c r="APT2" s="97"/>
      <c r="APU2" s="97"/>
      <c r="APV2" s="97"/>
      <c r="APW2" s="97"/>
      <c r="APX2" s="97"/>
      <c r="APY2" s="97"/>
      <c r="APZ2" s="97"/>
      <c r="AQA2" s="97"/>
      <c r="AQB2" s="97"/>
      <c r="AQC2" s="97"/>
      <c r="AQD2" s="97"/>
      <c r="AQE2" s="97"/>
      <c r="AQF2" s="97"/>
      <c r="AQG2" s="97"/>
      <c r="AQH2" s="97"/>
      <c r="AQI2" s="97"/>
      <c r="AQJ2" s="97"/>
      <c r="AQK2" s="97"/>
      <c r="AQL2" s="97"/>
      <c r="AQM2" s="97"/>
      <c r="AQN2" s="97"/>
      <c r="AQO2" s="97"/>
      <c r="AQP2" s="97"/>
      <c r="AQQ2" s="97"/>
      <c r="AQR2" s="97"/>
      <c r="AQS2" s="97"/>
      <c r="AQT2" s="97"/>
      <c r="AQU2" s="97"/>
      <c r="AQV2" s="97"/>
      <c r="AQW2" s="97"/>
      <c r="AQX2" s="97"/>
      <c r="AQY2" s="97"/>
      <c r="AQZ2" s="97"/>
      <c r="ARA2" s="97"/>
      <c r="ARB2" s="97"/>
      <c r="ARC2" s="97"/>
      <c r="ARD2" s="97"/>
      <c r="ARE2" s="97"/>
      <c r="ARF2" s="97"/>
      <c r="ARG2" s="97"/>
      <c r="ARH2" s="97"/>
      <c r="ARI2" s="97"/>
      <c r="ARJ2" s="97"/>
      <c r="ARK2" s="97"/>
      <c r="ARL2" s="97"/>
      <c r="ARM2" s="97"/>
      <c r="ARN2" s="97"/>
      <c r="ARO2" s="97"/>
      <c r="ARP2" s="97"/>
      <c r="ARQ2" s="97"/>
      <c r="ARR2" s="97"/>
      <c r="ARS2" s="97"/>
      <c r="ART2" s="97"/>
      <c r="ARU2" s="97"/>
      <c r="ARV2" s="97"/>
      <c r="ARW2" s="97"/>
      <c r="ARX2" s="97"/>
      <c r="ARY2" s="97"/>
      <c r="ARZ2" s="97"/>
      <c r="ASA2" s="97"/>
      <c r="ASB2" s="97"/>
      <c r="ASC2" s="97"/>
      <c r="ASD2" s="97"/>
      <c r="ASE2" s="97"/>
      <c r="ASF2" s="97"/>
      <c r="ASG2" s="97"/>
      <c r="ASH2" s="97"/>
      <c r="ASI2" s="97"/>
      <c r="ASJ2" s="97"/>
      <c r="ASK2" s="97"/>
      <c r="ASL2" s="97"/>
      <c r="ASM2" s="97"/>
      <c r="ASN2" s="97"/>
      <c r="ASO2" s="97"/>
      <c r="ASP2" s="97"/>
      <c r="ASQ2" s="97"/>
      <c r="ASR2" s="97"/>
      <c r="ASS2" s="97"/>
      <c r="AST2" s="97"/>
      <c r="ASU2" s="97"/>
      <c r="ASV2" s="97"/>
      <c r="ASW2" s="97"/>
      <c r="ASX2" s="97"/>
      <c r="ASY2" s="97"/>
      <c r="ASZ2" s="97"/>
      <c r="ATA2" s="97"/>
      <c r="ATB2" s="97"/>
      <c r="ATC2" s="97"/>
      <c r="ATD2" s="97"/>
      <c r="ATE2" s="97"/>
      <c r="ATF2" s="97"/>
      <c r="ATG2" s="97"/>
      <c r="ATH2" s="97"/>
      <c r="ATI2" s="97"/>
      <c r="ATJ2" s="97"/>
      <c r="ATK2" s="97"/>
      <c r="ATL2" s="97"/>
      <c r="ATM2" s="97"/>
      <c r="ATN2" s="97"/>
      <c r="ATO2" s="97"/>
      <c r="ATP2" s="97"/>
      <c r="ATQ2" s="97"/>
      <c r="ATR2" s="97"/>
      <c r="ATS2" s="97"/>
      <c r="ATT2" s="97"/>
      <c r="ATU2" s="97"/>
      <c r="ATV2" s="97"/>
      <c r="ATW2" s="97"/>
      <c r="ATX2" s="97"/>
      <c r="ATY2" s="97"/>
      <c r="ATZ2" s="97"/>
      <c r="AUA2" s="97"/>
      <c r="AUB2" s="97"/>
      <c r="AUC2" s="97"/>
      <c r="AUD2" s="97"/>
      <c r="AUE2" s="97"/>
      <c r="AUF2" s="97"/>
      <c r="AUG2" s="97"/>
      <c r="AUH2" s="97"/>
      <c r="AUI2" s="97"/>
      <c r="AUJ2" s="97"/>
      <c r="AUK2" s="97"/>
      <c r="AUL2" s="97"/>
      <c r="AUM2" s="97"/>
      <c r="AUN2" s="97"/>
      <c r="AUO2" s="97"/>
      <c r="AUP2" s="97"/>
      <c r="AUQ2" s="97"/>
      <c r="AUR2" s="97"/>
      <c r="AUS2" s="97"/>
      <c r="AUT2" s="97"/>
      <c r="AUU2" s="97"/>
      <c r="AUV2" s="97"/>
      <c r="AUW2" s="97"/>
      <c r="AUX2" s="97"/>
      <c r="AUY2" s="97"/>
      <c r="AUZ2" s="97"/>
      <c r="AVA2" s="97"/>
      <c r="AVB2" s="97"/>
      <c r="AVC2" s="97"/>
      <c r="AVD2" s="97"/>
      <c r="AVE2" s="97"/>
      <c r="AVF2" s="97"/>
      <c r="AVG2" s="97"/>
      <c r="AVH2" s="97"/>
      <c r="AVI2" s="97"/>
      <c r="AVJ2" s="97"/>
      <c r="AVK2" s="97"/>
      <c r="AVL2" s="97"/>
      <c r="AVM2" s="97"/>
      <c r="AVN2" s="97"/>
      <c r="AVO2" s="97"/>
      <c r="AVP2" s="97"/>
      <c r="AVQ2" s="97"/>
      <c r="AVR2" s="97"/>
      <c r="AVS2" s="97"/>
      <c r="AVT2" s="97"/>
      <c r="AVU2" s="97"/>
      <c r="AVV2" s="97"/>
      <c r="AVW2" s="97"/>
      <c r="AVX2" s="97"/>
      <c r="AVY2" s="97"/>
      <c r="AVZ2" s="97"/>
      <c r="AWA2" s="97"/>
      <c r="AWB2" s="97"/>
      <c r="AWC2" s="97"/>
      <c r="AWD2" s="97"/>
      <c r="AWE2" s="97"/>
      <c r="AWF2" s="97"/>
      <c r="AWG2" s="97"/>
      <c r="AWH2" s="97"/>
      <c r="AWI2" s="97"/>
      <c r="AWJ2" s="97"/>
      <c r="AWK2" s="97"/>
      <c r="AWL2" s="97"/>
      <c r="AWM2" s="97"/>
      <c r="AWN2" s="97"/>
      <c r="AWO2" s="97"/>
      <c r="AWP2" s="97"/>
      <c r="AWQ2" s="97"/>
      <c r="AWR2" s="97"/>
      <c r="AWS2" s="97"/>
      <c r="AWT2" s="97"/>
      <c r="AWU2" s="97"/>
      <c r="AWV2" s="97"/>
      <c r="AWW2" s="97"/>
      <c r="AWX2" s="97"/>
      <c r="AWY2" s="97"/>
      <c r="AWZ2" s="97"/>
      <c r="AXA2" s="97"/>
      <c r="AXB2" s="97"/>
      <c r="AXC2" s="97"/>
      <c r="AXD2" s="97"/>
      <c r="AXE2" s="97"/>
      <c r="AXF2" s="97"/>
      <c r="AXG2" s="97"/>
      <c r="AXH2" s="97"/>
      <c r="AXI2" s="97"/>
      <c r="AXJ2" s="97"/>
      <c r="AXK2" s="97"/>
      <c r="AXL2" s="97"/>
      <c r="AXM2" s="97"/>
      <c r="AXN2" s="97"/>
      <c r="AXO2" s="97"/>
      <c r="AXP2" s="97"/>
      <c r="AXQ2" s="97"/>
      <c r="AXR2" s="97"/>
      <c r="AXS2" s="97"/>
      <c r="AXT2" s="97"/>
      <c r="AXU2" s="97"/>
      <c r="AXV2" s="97"/>
      <c r="AXW2" s="97"/>
      <c r="AXX2" s="97"/>
      <c r="AXY2" s="97"/>
      <c r="AXZ2" s="97"/>
      <c r="AYA2" s="97"/>
      <c r="AYB2" s="97"/>
      <c r="AYC2" s="97"/>
      <c r="AYD2" s="97"/>
      <c r="AYE2" s="97"/>
      <c r="AYF2" s="97"/>
      <c r="AYG2" s="97"/>
      <c r="AYH2" s="97"/>
      <c r="AYI2" s="97"/>
      <c r="AYJ2" s="97"/>
      <c r="AYK2" s="97"/>
      <c r="AYL2" s="97"/>
      <c r="AYM2" s="97"/>
      <c r="AYN2" s="97"/>
      <c r="AYO2" s="97"/>
      <c r="AYP2" s="97"/>
      <c r="AYQ2" s="97"/>
      <c r="AYR2" s="97"/>
      <c r="AYS2" s="97"/>
      <c r="AYT2" s="97"/>
      <c r="AYU2" s="97"/>
      <c r="AYV2" s="97"/>
      <c r="AYW2" s="97"/>
      <c r="AYX2" s="97"/>
      <c r="AYY2" s="97"/>
      <c r="AYZ2" s="97"/>
      <c r="AZA2" s="97"/>
      <c r="AZB2" s="97"/>
      <c r="AZC2" s="97"/>
      <c r="AZD2" s="97"/>
      <c r="AZE2" s="97"/>
      <c r="AZF2" s="97"/>
      <c r="AZG2" s="97"/>
      <c r="AZH2" s="97"/>
      <c r="AZI2" s="97"/>
      <c r="AZJ2" s="97"/>
      <c r="AZK2" s="97"/>
      <c r="AZL2" s="97"/>
      <c r="AZM2" s="97"/>
      <c r="AZN2" s="97"/>
      <c r="AZO2" s="97"/>
      <c r="AZP2" s="97"/>
      <c r="AZQ2" s="97"/>
      <c r="AZR2" s="97"/>
      <c r="AZS2" s="97"/>
      <c r="AZT2" s="97"/>
      <c r="AZU2" s="97"/>
      <c r="AZV2" s="97"/>
      <c r="AZW2" s="97"/>
      <c r="AZX2" s="97"/>
      <c r="AZY2" s="97"/>
      <c r="AZZ2" s="97"/>
      <c r="BAA2" s="97"/>
      <c r="BAB2" s="97"/>
      <c r="BAC2" s="97"/>
      <c r="BAD2" s="97"/>
      <c r="BAE2" s="97"/>
      <c r="BAF2" s="97"/>
      <c r="BAG2" s="97"/>
      <c r="BAH2" s="97"/>
      <c r="BAI2" s="97"/>
      <c r="BAJ2" s="97"/>
      <c r="BAK2" s="97"/>
      <c r="BAL2" s="97"/>
      <c r="BAM2" s="97"/>
      <c r="BAN2" s="97"/>
      <c r="BAO2" s="97"/>
      <c r="BAP2" s="97"/>
      <c r="BAQ2" s="97"/>
      <c r="BAR2" s="97"/>
      <c r="BAS2" s="97"/>
      <c r="BAT2" s="97"/>
      <c r="BAU2" s="97"/>
      <c r="BAV2" s="97"/>
      <c r="BAW2" s="97"/>
      <c r="BAX2" s="97"/>
      <c r="BAY2" s="97"/>
      <c r="BAZ2" s="97"/>
      <c r="BBA2" s="97"/>
      <c r="BBB2" s="97"/>
      <c r="BBC2" s="97"/>
      <c r="BBD2" s="97"/>
      <c r="BBE2" s="97"/>
      <c r="BBF2" s="97"/>
      <c r="BBG2" s="97"/>
      <c r="BBH2" s="97"/>
      <c r="BBI2" s="97"/>
      <c r="BBJ2" s="97"/>
      <c r="BBK2" s="97"/>
      <c r="BBL2" s="97"/>
      <c r="BBM2" s="97"/>
      <c r="BBN2" s="97"/>
      <c r="BBO2" s="97"/>
      <c r="BBP2" s="97"/>
      <c r="BBQ2" s="97"/>
      <c r="BBR2" s="97"/>
      <c r="BBS2" s="97"/>
      <c r="BBT2" s="97"/>
      <c r="BBU2" s="97"/>
      <c r="BBV2" s="97"/>
      <c r="BBW2" s="97"/>
      <c r="BBX2" s="97"/>
      <c r="BBY2" s="97"/>
      <c r="BBZ2" s="97"/>
      <c r="BCA2" s="97"/>
      <c r="BCB2" s="97"/>
      <c r="BCC2" s="97"/>
      <c r="BCD2" s="97"/>
      <c r="BCE2" s="97"/>
      <c r="BCF2" s="97"/>
      <c r="BCG2" s="97"/>
      <c r="BCH2" s="97"/>
      <c r="BCI2" s="97"/>
      <c r="BCJ2" s="97"/>
      <c r="BCK2" s="97"/>
      <c r="BCL2" s="97"/>
      <c r="BCM2" s="97"/>
      <c r="BCN2" s="97"/>
      <c r="BCO2" s="97"/>
      <c r="BCP2" s="97"/>
      <c r="BCQ2" s="97"/>
      <c r="BCR2" s="97"/>
      <c r="BCS2" s="97"/>
      <c r="BCT2" s="97"/>
      <c r="BCU2" s="97"/>
      <c r="BCV2" s="97"/>
      <c r="BCW2" s="97"/>
      <c r="BCX2" s="97"/>
      <c r="BCY2" s="97"/>
      <c r="BCZ2" s="97"/>
      <c r="BDA2" s="97"/>
      <c r="BDB2" s="97"/>
      <c r="BDC2" s="97"/>
      <c r="BDD2" s="97"/>
      <c r="BDE2" s="97"/>
      <c r="BDF2" s="97"/>
      <c r="BDG2" s="97"/>
      <c r="BDH2" s="97"/>
      <c r="BDI2" s="97"/>
      <c r="BDJ2" s="97"/>
      <c r="BDK2" s="97"/>
      <c r="BDL2" s="97"/>
      <c r="BDM2" s="97"/>
      <c r="BDN2" s="97"/>
      <c r="BDO2" s="97"/>
      <c r="BDP2" s="97"/>
      <c r="BDQ2" s="97"/>
      <c r="BDR2" s="97"/>
      <c r="BDS2" s="97"/>
      <c r="BDT2" s="97"/>
      <c r="BDU2" s="97"/>
      <c r="BDV2" s="97"/>
      <c r="BDW2" s="97"/>
      <c r="BDX2" s="97"/>
      <c r="BDY2" s="97"/>
      <c r="BDZ2" s="97"/>
      <c r="BEA2" s="97"/>
      <c r="BEB2" s="97"/>
      <c r="BEC2" s="97"/>
      <c r="BED2" s="97"/>
      <c r="BEE2" s="97"/>
      <c r="BEF2" s="97"/>
      <c r="BEG2" s="97"/>
      <c r="BEH2" s="97"/>
      <c r="BEI2" s="97"/>
      <c r="BEJ2" s="97"/>
      <c r="BEK2" s="97"/>
      <c r="BEL2" s="97"/>
      <c r="BEM2" s="97"/>
      <c r="BEN2" s="97"/>
      <c r="BEO2" s="97"/>
      <c r="BEP2" s="97"/>
      <c r="BEQ2" s="97"/>
      <c r="BER2" s="97"/>
      <c r="BES2" s="97"/>
      <c r="BET2" s="97"/>
      <c r="BEU2" s="97"/>
      <c r="BEV2" s="97"/>
      <c r="BEW2" s="97"/>
      <c r="BEX2" s="97"/>
      <c r="BEY2" s="97"/>
      <c r="BEZ2" s="97"/>
      <c r="BFA2" s="97"/>
      <c r="BFB2" s="97"/>
      <c r="BFC2" s="97"/>
      <c r="BFD2" s="97"/>
      <c r="BFE2" s="97"/>
      <c r="BFF2" s="97"/>
      <c r="BFG2" s="97"/>
      <c r="BFH2" s="97"/>
      <c r="BFI2" s="97"/>
      <c r="BFJ2" s="97"/>
      <c r="BFK2" s="97"/>
      <c r="BFL2" s="97"/>
      <c r="BFM2" s="97"/>
      <c r="BFN2" s="97"/>
      <c r="BFO2" s="97"/>
      <c r="BFP2" s="97"/>
      <c r="BFQ2" s="97"/>
      <c r="BFR2" s="97"/>
      <c r="BFS2" s="97"/>
      <c r="BFT2" s="97"/>
      <c r="BFU2" s="97"/>
      <c r="BFV2" s="97"/>
      <c r="BFW2" s="97"/>
      <c r="BFX2" s="97"/>
      <c r="BFY2" s="97"/>
      <c r="BFZ2" s="97"/>
      <c r="BGA2" s="97"/>
      <c r="BGB2" s="97"/>
      <c r="BGC2" s="97"/>
      <c r="BGD2" s="97"/>
      <c r="BGE2" s="97"/>
      <c r="BGF2" s="97"/>
      <c r="BGG2" s="97"/>
      <c r="BGH2" s="97"/>
      <c r="BGI2" s="97"/>
      <c r="BGJ2" s="97"/>
      <c r="BGK2" s="97"/>
      <c r="BGL2" s="97"/>
      <c r="BGM2" s="97"/>
      <c r="BGN2" s="97"/>
      <c r="BGO2" s="97"/>
      <c r="BGP2" s="97"/>
      <c r="BGQ2" s="97"/>
      <c r="BGR2" s="97"/>
      <c r="BGS2" s="97"/>
      <c r="BGT2" s="97"/>
      <c r="BGU2" s="97"/>
      <c r="BGV2" s="97"/>
      <c r="BGW2" s="97"/>
      <c r="BGX2" s="97"/>
      <c r="BGY2" s="97"/>
      <c r="BGZ2" s="97"/>
      <c r="BHA2" s="97"/>
      <c r="BHB2" s="97"/>
      <c r="BHC2" s="97"/>
      <c r="BHD2" s="97"/>
      <c r="BHE2" s="97"/>
      <c r="BHF2" s="97"/>
      <c r="BHG2" s="97"/>
      <c r="BHH2" s="97"/>
      <c r="BHI2" s="97"/>
      <c r="BHJ2" s="97"/>
      <c r="BHK2" s="97"/>
      <c r="BHL2" s="97"/>
      <c r="BHM2" s="97"/>
      <c r="BHN2" s="97"/>
      <c r="BHO2" s="97"/>
      <c r="BHP2" s="97"/>
      <c r="BHQ2" s="97"/>
      <c r="BHR2" s="97"/>
      <c r="BHS2" s="97"/>
      <c r="BHT2" s="97"/>
      <c r="BHU2" s="97"/>
      <c r="BHV2" s="97"/>
      <c r="BHW2" s="97"/>
      <c r="BHX2" s="97"/>
      <c r="BHY2" s="97"/>
      <c r="BHZ2" s="97"/>
      <c r="BIA2" s="97"/>
      <c r="BIB2" s="97"/>
      <c r="BIC2" s="97"/>
      <c r="BID2" s="97"/>
      <c r="BIE2" s="97"/>
      <c r="BIF2" s="97"/>
      <c r="BIG2" s="97"/>
      <c r="BIH2" s="97"/>
      <c r="BII2" s="97"/>
      <c r="BIJ2" s="97"/>
      <c r="BIK2" s="97"/>
      <c r="BIL2" s="97"/>
      <c r="BIM2" s="97"/>
      <c r="BIN2" s="97"/>
      <c r="BIO2" s="97"/>
      <c r="BIP2" s="97"/>
      <c r="BIQ2" s="97"/>
      <c r="BIR2" s="97"/>
      <c r="BIS2" s="97"/>
      <c r="BIT2" s="97"/>
      <c r="BIU2" s="97"/>
      <c r="BIV2" s="97"/>
      <c r="BIW2" s="97"/>
      <c r="BIX2" s="97"/>
      <c r="BIY2" s="97"/>
      <c r="BIZ2" s="97"/>
      <c r="BJA2" s="97"/>
      <c r="BJB2" s="97"/>
      <c r="BJC2" s="97"/>
      <c r="BJD2" s="97"/>
      <c r="BJE2" s="97"/>
      <c r="BJF2" s="97"/>
      <c r="BJG2" s="97"/>
      <c r="BJH2" s="97"/>
      <c r="BJI2" s="97"/>
      <c r="BJJ2" s="97"/>
      <c r="BJK2" s="97"/>
      <c r="BJL2" s="97"/>
      <c r="BJM2" s="97"/>
      <c r="BJN2" s="97"/>
      <c r="BJO2" s="97"/>
      <c r="BJP2" s="97"/>
      <c r="BJQ2" s="97"/>
      <c r="BJR2" s="97"/>
      <c r="BJS2" s="97"/>
      <c r="BJT2" s="97"/>
      <c r="BJU2" s="97"/>
      <c r="BJV2" s="97"/>
      <c r="BJW2" s="97"/>
      <c r="BJX2" s="97"/>
      <c r="BJY2" s="97"/>
      <c r="BJZ2" s="97"/>
      <c r="BKA2" s="97"/>
      <c r="BKB2" s="97"/>
      <c r="BKC2" s="97"/>
      <c r="BKD2" s="97"/>
      <c r="BKE2" s="97"/>
      <c r="BKF2" s="97"/>
      <c r="BKG2" s="97"/>
      <c r="BKH2" s="97"/>
      <c r="BKI2" s="97"/>
      <c r="BKJ2" s="97"/>
      <c r="BKK2" s="97"/>
      <c r="BKL2" s="97"/>
      <c r="BKM2" s="97"/>
      <c r="BKN2" s="97"/>
      <c r="BKO2" s="97"/>
      <c r="BKP2" s="97"/>
      <c r="BKQ2" s="97"/>
      <c r="BKR2" s="97"/>
      <c r="BKS2" s="97"/>
      <c r="BKT2" s="97"/>
      <c r="BKU2" s="97"/>
      <c r="BKV2" s="97"/>
      <c r="BKW2" s="97"/>
      <c r="BKX2" s="97"/>
      <c r="BKY2" s="97"/>
      <c r="BKZ2" s="97"/>
      <c r="BLA2" s="97"/>
      <c r="BLB2" s="97"/>
      <c r="BLC2" s="97"/>
      <c r="BLD2" s="97"/>
      <c r="BLE2" s="97"/>
      <c r="BLF2" s="97"/>
      <c r="BLG2" s="97"/>
      <c r="BLH2" s="97"/>
      <c r="BLI2" s="97"/>
      <c r="BLJ2" s="97"/>
      <c r="BLK2" s="97"/>
      <c r="BLL2" s="97"/>
      <c r="BLM2" s="97"/>
      <c r="BLN2" s="97"/>
      <c r="BLO2" s="97"/>
      <c r="BLP2" s="97"/>
      <c r="BLQ2" s="97"/>
      <c r="BLR2" s="97"/>
      <c r="BLS2" s="97"/>
      <c r="BLT2" s="97"/>
      <c r="BLU2" s="97"/>
      <c r="BLV2" s="97"/>
      <c r="BLW2" s="97"/>
      <c r="BLX2" s="97"/>
      <c r="BLY2" s="97"/>
      <c r="BLZ2" s="97"/>
      <c r="BMA2" s="97"/>
      <c r="BMB2" s="97"/>
      <c r="BMC2" s="97"/>
      <c r="BMD2" s="97"/>
      <c r="BME2" s="97"/>
      <c r="BMF2" s="97"/>
      <c r="BMG2" s="97"/>
      <c r="BMH2" s="97"/>
      <c r="BMI2" s="97"/>
      <c r="BMJ2" s="97"/>
      <c r="BMK2" s="97"/>
      <c r="BML2" s="97"/>
      <c r="BMM2" s="97"/>
      <c r="BMN2" s="97"/>
      <c r="BMO2" s="97"/>
      <c r="BMP2" s="97"/>
      <c r="BMQ2" s="97"/>
      <c r="BMR2" s="97"/>
      <c r="BMS2" s="97"/>
      <c r="BMT2" s="97"/>
      <c r="BMU2" s="97"/>
      <c r="BMV2" s="97"/>
      <c r="BMW2" s="97"/>
      <c r="BMX2" s="97"/>
      <c r="BMY2" s="97"/>
      <c r="BMZ2" s="97"/>
      <c r="BNA2" s="97"/>
      <c r="BNB2" s="97"/>
      <c r="BNC2" s="97"/>
      <c r="BND2" s="97"/>
      <c r="BNE2" s="97"/>
      <c r="BNF2" s="97"/>
      <c r="BNG2" s="97"/>
      <c r="BNH2" s="97"/>
      <c r="BNI2" s="97"/>
      <c r="BNJ2" s="97"/>
      <c r="BNK2" s="97"/>
      <c r="BNL2" s="97"/>
      <c r="BNM2" s="97"/>
      <c r="BNN2" s="97"/>
      <c r="BNO2" s="97"/>
      <c r="BNP2" s="97"/>
      <c r="BNQ2" s="97"/>
      <c r="BNR2" s="97"/>
      <c r="BNS2" s="97"/>
      <c r="BNT2" s="97"/>
      <c r="BNU2" s="97"/>
      <c r="BNV2" s="97"/>
      <c r="BNW2" s="97"/>
      <c r="BNX2" s="97"/>
      <c r="BNY2" s="97"/>
      <c r="BNZ2" s="97"/>
      <c r="BOA2" s="97"/>
      <c r="BOB2" s="97"/>
      <c r="BOC2" s="97"/>
      <c r="BOD2" s="97"/>
      <c r="BOE2" s="97"/>
      <c r="BOF2" s="97"/>
      <c r="BOG2" s="97"/>
      <c r="BOH2" s="97"/>
      <c r="BOI2" s="97"/>
      <c r="BOJ2" s="97"/>
      <c r="BOK2" s="97"/>
      <c r="BOL2" s="97"/>
      <c r="BOM2" s="97"/>
      <c r="BON2" s="97"/>
      <c r="BOO2" s="97"/>
      <c r="BOP2" s="97"/>
      <c r="BOQ2" s="97"/>
      <c r="BOR2" s="97"/>
      <c r="BOS2" s="97"/>
      <c r="BOT2" s="97"/>
      <c r="BOU2" s="97"/>
      <c r="BOV2" s="97"/>
      <c r="BOW2" s="97"/>
      <c r="BOX2" s="97"/>
      <c r="BOY2" s="97"/>
      <c r="BOZ2" s="97"/>
      <c r="BPA2" s="97"/>
      <c r="BPB2" s="97"/>
      <c r="BPC2" s="97"/>
      <c r="BPD2" s="97"/>
      <c r="BPE2" s="97"/>
      <c r="BPF2" s="97"/>
      <c r="BPG2" s="97"/>
      <c r="BPH2" s="97"/>
      <c r="BPI2" s="97"/>
      <c r="BPJ2" s="97"/>
      <c r="BPK2" s="97"/>
      <c r="BPL2" s="97"/>
      <c r="BPM2" s="97"/>
      <c r="BPN2" s="97"/>
      <c r="BPO2" s="97"/>
      <c r="BPP2" s="97"/>
      <c r="BPQ2" s="97"/>
      <c r="BPR2" s="97"/>
      <c r="BPS2" s="97"/>
      <c r="BPT2" s="97"/>
      <c r="BPU2" s="97"/>
      <c r="BPV2" s="97"/>
      <c r="BPW2" s="97"/>
      <c r="BPX2" s="97"/>
      <c r="BPY2" s="97"/>
      <c r="BPZ2" s="97"/>
      <c r="BQA2" s="97"/>
      <c r="BQB2" s="97"/>
      <c r="BQC2" s="97"/>
      <c r="BQD2" s="97"/>
      <c r="BQE2" s="97"/>
      <c r="BQF2" s="97"/>
      <c r="BQG2" s="97"/>
      <c r="BQH2" s="97"/>
      <c r="BQI2" s="97"/>
      <c r="BQJ2" s="97"/>
      <c r="BQK2" s="97"/>
      <c r="BQL2" s="97"/>
      <c r="BQM2" s="97"/>
      <c r="BQN2" s="97"/>
      <c r="BQO2" s="97"/>
      <c r="BQP2" s="97"/>
      <c r="BQQ2" s="97"/>
      <c r="BQR2" s="97"/>
      <c r="BQS2" s="97"/>
      <c r="BQT2" s="97"/>
      <c r="BQU2" s="97"/>
      <c r="BQV2" s="97"/>
      <c r="BQW2" s="97"/>
      <c r="BQX2" s="97"/>
      <c r="BQY2" s="97"/>
      <c r="BQZ2" s="97"/>
      <c r="BRA2" s="97"/>
      <c r="BRB2" s="97"/>
      <c r="BRC2" s="97"/>
      <c r="BRD2" s="97"/>
      <c r="BRE2" s="97"/>
      <c r="BRF2" s="97"/>
      <c r="BRG2" s="97"/>
      <c r="BRH2" s="97"/>
      <c r="BRI2" s="97"/>
      <c r="BRJ2" s="97"/>
      <c r="BRK2" s="97"/>
      <c r="BRL2" s="97"/>
      <c r="BRM2" s="97"/>
      <c r="BRN2" s="97"/>
      <c r="BRO2" s="97"/>
      <c r="BRP2" s="97"/>
      <c r="BRQ2" s="97"/>
      <c r="BRR2" s="97"/>
      <c r="BRS2" s="97"/>
      <c r="BRT2" s="97"/>
      <c r="BRU2" s="97"/>
      <c r="BRV2" s="97"/>
      <c r="BRW2" s="97"/>
      <c r="BRX2" s="97"/>
      <c r="BRY2" s="97"/>
      <c r="BRZ2" s="97"/>
      <c r="BSA2" s="97"/>
      <c r="BSB2" s="97"/>
      <c r="BSC2" s="97"/>
      <c r="BSD2" s="97"/>
      <c r="BSE2" s="97"/>
      <c r="BSF2" s="97"/>
      <c r="BSG2" s="97"/>
      <c r="BSH2" s="97"/>
      <c r="BSI2" s="97"/>
      <c r="BSJ2" s="97"/>
      <c r="BSK2" s="97"/>
      <c r="BSL2" s="97"/>
      <c r="BSM2" s="97"/>
      <c r="BSN2" s="97"/>
      <c r="BSO2" s="97"/>
      <c r="BSP2" s="97"/>
      <c r="BSQ2" s="97"/>
      <c r="BSR2" s="97"/>
      <c r="BSS2" s="97"/>
      <c r="BST2" s="97"/>
      <c r="BSU2" s="97"/>
      <c r="BSV2" s="97"/>
      <c r="BSW2" s="97"/>
      <c r="BSX2" s="97"/>
      <c r="BSY2" s="97"/>
      <c r="BSZ2" s="97"/>
      <c r="BTA2" s="97"/>
      <c r="BTB2" s="97"/>
      <c r="BTC2" s="97"/>
      <c r="BTD2" s="97"/>
      <c r="BTE2" s="97"/>
      <c r="BTF2" s="97"/>
      <c r="BTG2" s="97"/>
      <c r="BTH2" s="97"/>
      <c r="BTI2" s="97"/>
      <c r="BTJ2" s="97"/>
      <c r="BTK2" s="97"/>
      <c r="BTL2" s="97"/>
      <c r="BTM2" s="97"/>
      <c r="BTN2" s="97"/>
      <c r="BTO2" s="97"/>
      <c r="BTP2" s="97"/>
      <c r="BTQ2" s="97"/>
      <c r="BTR2" s="97"/>
      <c r="BTS2" s="97"/>
      <c r="BTT2" s="97"/>
      <c r="BTU2" s="97"/>
      <c r="BTV2" s="97"/>
      <c r="BTW2" s="97"/>
      <c r="BTX2" s="97"/>
      <c r="BTY2" s="97"/>
      <c r="BTZ2" s="97"/>
      <c r="BUA2" s="97"/>
      <c r="BUB2" s="97"/>
      <c r="BUC2" s="97"/>
      <c r="BUD2" s="97"/>
      <c r="BUE2" s="97"/>
      <c r="BUF2" s="97"/>
      <c r="BUG2" s="97"/>
      <c r="BUH2" s="97"/>
      <c r="BUI2" s="97"/>
      <c r="BUJ2" s="97"/>
      <c r="BUK2" s="97"/>
      <c r="BUL2" s="97"/>
      <c r="BUM2" s="97"/>
      <c r="BUN2" s="97"/>
      <c r="BUO2" s="97"/>
      <c r="BUP2" s="97"/>
      <c r="BUQ2" s="97"/>
      <c r="BUR2" s="97"/>
      <c r="BUS2" s="97"/>
      <c r="BUT2" s="97"/>
      <c r="BUU2" s="97"/>
      <c r="BUV2" s="97"/>
      <c r="BUW2" s="97"/>
      <c r="BUX2" s="97"/>
      <c r="BUY2" s="97"/>
      <c r="BUZ2" s="97"/>
      <c r="BVA2" s="97"/>
      <c r="BVB2" s="97"/>
      <c r="BVC2" s="97"/>
      <c r="BVD2" s="97"/>
      <c r="BVE2" s="97"/>
      <c r="BVF2" s="97"/>
      <c r="BVG2" s="97"/>
      <c r="BVH2" s="97"/>
      <c r="BVI2" s="97"/>
      <c r="BVJ2" s="97"/>
      <c r="BVK2" s="97"/>
      <c r="BVL2" s="97"/>
      <c r="BVM2" s="97"/>
      <c r="BVN2" s="97"/>
      <c r="BVO2" s="97"/>
      <c r="BVP2" s="97"/>
      <c r="BVQ2" s="97"/>
      <c r="BVR2" s="97"/>
      <c r="BVS2" s="97"/>
      <c r="BVT2" s="97"/>
      <c r="BVU2" s="97"/>
      <c r="BVV2" s="97"/>
      <c r="BVW2" s="97"/>
      <c r="BVX2" s="97"/>
      <c r="BVY2" s="97"/>
      <c r="BVZ2" s="97"/>
      <c r="BWA2" s="97"/>
      <c r="BWB2" s="97"/>
      <c r="BWC2" s="97"/>
      <c r="BWD2" s="97"/>
      <c r="BWE2" s="97"/>
      <c r="BWF2" s="97"/>
      <c r="BWG2" s="97"/>
      <c r="BWH2" s="97"/>
      <c r="BWI2" s="97"/>
      <c r="BWJ2" s="97"/>
      <c r="BWK2" s="97"/>
      <c r="BWL2" s="97"/>
      <c r="BWM2" s="97"/>
      <c r="BWN2" s="97"/>
      <c r="BWO2" s="97"/>
      <c r="BWP2" s="97"/>
      <c r="BWQ2" s="97"/>
      <c r="BWR2" s="97"/>
      <c r="BWS2" s="97"/>
      <c r="BWT2" s="97"/>
      <c r="BWU2" s="97"/>
      <c r="BWV2" s="97"/>
      <c r="BWW2" s="97"/>
      <c r="BWX2" s="97"/>
      <c r="BWY2" s="97"/>
      <c r="BWZ2" s="97"/>
      <c r="BXA2" s="97"/>
      <c r="BXB2" s="97"/>
      <c r="BXC2" s="97"/>
      <c r="BXD2" s="97"/>
      <c r="BXE2" s="97"/>
      <c r="BXF2" s="97"/>
      <c r="BXG2" s="97"/>
      <c r="BXH2" s="97"/>
      <c r="BXI2" s="97"/>
      <c r="BXJ2" s="97"/>
      <c r="BXK2" s="97"/>
      <c r="BXL2" s="97"/>
      <c r="BXM2" s="97"/>
      <c r="BXN2" s="97"/>
      <c r="BXO2" s="97"/>
      <c r="BXP2" s="97"/>
      <c r="BXQ2" s="97"/>
      <c r="BXR2" s="97"/>
      <c r="BXS2" s="97"/>
      <c r="BXT2" s="97"/>
      <c r="BXU2" s="97"/>
      <c r="BXV2" s="97"/>
      <c r="BXW2" s="97"/>
      <c r="BXX2" s="97"/>
      <c r="BXY2" s="97"/>
      <c r="BXZ2" s="97"/>
      <c r="BYA2" s="97"/>
      <c r="BYB2" s="97"/>
      <c r="BYC2" s="97"/>
      <c r="BYD2" s="97"/>
      <c r="BYE2" s="97"/>
      <c r="BYF2" s="97"/>
      <c r="BYG2" s="97"/>
      <c r="BYH2" s="97"/>
      <c r="BYI2" s="97"/>
      <c r="BYJ2" s="97"/>
      <c r="BYK2" s="97"/>
      <c r="BYL2" s="97"/>
      <c r="BYM2" s="97"/>
      <c r="BYN2" s="97"/>
      <c r="BYO2" s="97"/>
      <c r="BYP2" s="97"/>
      <c r="BYQ2" s="97"/>
      <c r="BYR2" s="97"/>
      <c r="BYS2" s="97"/>
      <c r="BYT2" s="97"/>
      <c r="BYU2" s="97"/>
      <c r="BYV2" s="97"/>
      <c r="BYW2" s="97"/>
      <c r="BYX2" s="97"/>
      <c r="BYY2" s="97"/>
      <c r="BYZ2" s="97"/>
      <c r="BZA2" s="97"/>
      <c r="BZB2" s="97"/>
      <c r="BZC2" s="97"/>
      <c r="BZD2" s="97"/>
      <c r="BZE2" s="97"/>
      <c r="BZF2" s="97"/>
      <c r="BZG2" s="97"/>
      <c r="BZH2" s="97"/>
      <c r="BZI2" s="97"/>
      <c r="BZJ2" s="97"/>
      <c r="BZK2" s="97"/>
      <c r="BZL2" s="97"/>
      <c r="BZM2" s="97"/>
      <c r="BZN2" s="97"/>
      <c r="BZO2" s="97"/>
      <c r="BZP2" s="97"/>
      <c r="BZQ2" s="97"/>
      <c r="BZR2" s="97"/>
      <c r="BZS2" s="97"/>
      <c r="BZT2" s="97"/>
      <c r="BZU2" s="97"/>
      <c r="BZV2" s="97"/>
      <c r="BZW2" s="97"/>
      <c r="BZX2" s="97"/>
      <c r="BZY2" s="97"/>
      <c r="BZZ2" s="97"/>
      <c r="CAA2" s="97"/>
      <c r="CAB2" s="97"/>
      <c r="CAC2" s="97"/>
      <c r="CAD2" s="97"/>
      <c r="CAE2" s="97"/>
      <c r="CAF2" s="97"/>
      <c r="CAG2" s="97"/>
      <c r="CAH2" s="97"/>
      <c r="CAI2" s="97"/>
      <c r="CAJ2" s="97"/>
      <c r="CAK2" s="97"/>
      <c r="CAL2" s="97"/>
      <c r="CAM2" s="97"/>
      <c r="CAN2" s="97"/>
      <c r="CAO2" s="97"/>
      <c r="CAP2" s="97"/>
      <c r="CAQ2" s="97"/>
      <c r="CAR2" s="97"/>
      <c r="CAS2" s="97"/>
      <c r="CAT2" s="97"/>
      <c r="CAU2" s="97"/>
      <c r="CAV2" s="97"/>
      <c r="CAW2" s="97"/>
      <c r="CAX2" s="97"/>
      <c r="CAY2" s="97"/>
      <c r="CAZ2" s="97"/>
      <c r="CBA2" s="97"/>
      <c r="CBB2" s="97"/>
      <c r="CBC2" s="97"/>
      <c r="CBD2" s="97"/>
      <c r="CBE2" s="97"/>
      <c r="CBF2" s="97"/>
      <c r="CBG2" s="97"/>
      <c r="CBH2" s="97"/>
      <c r="CBI2" s="97"/>
      <c r="CBJ2" s="97"/>
      <c r="CBK2" s="97"/>
      <c r="CBL2" s="97"/>
      <c r="CBM2" s="97"/>
      <c r="CBN2" s="97"/>
      <c r="CBO2" s="97"/>
      <c r="CBP2" s="97"/>
      <c r="CBQ2" s="97"/>
      <c r="CBR2" s="97"/>
      <c r="CBS2" s="97"/>
      <c r="CBT2" s="97"/>
      <c r="CBU2" s="97"/>
      <c r="CBV2" s="97"/>
      <c r="CBW2" s="97"/>
      <c r="CBX2" s="97"/>
      <c r="CBY2" s="97"/>
      <c r="CBZ2" s="97"/>
      <c r="CCA2" s="97"/>
      <c r="CCB2" s="97"/>
      <c r="CCC2" s="97"/>
      <c r="CCD2" s="97"/>
      <c r="CCE2" s="97"/>
      <c r="CCF2" s="97"/>
      <c r="CCG2" s="97"/>
      <c r="CCH2" s="97"/>
      <c r="CCI2" s="97"/>
      <c r="CCJ2" s="97"/>
      <c r="CCK2" s="97"/>
      <c r="CCL2" s="97"/>
      <c r="CCM2" s="97"/>
      <c r="CCN2" s="97"/>
      <c r="CCO2" s="97"/>
      <c r="CCP2" s="97"/>
      <c r="CCQ2" s="97"/>
      <c r="CCR2" s="97"/>
      <c r="CCS2" s="97"/>
      <c r="CCT2" s="97"/>
      <c r="CCU2" s="97"/>
      <c r="CCV2" s="97"/>
      <c r="CCW2" s="97"/>
      <c r="CCX2" s="97"/>
      <c r="CCY2" s="97"/>
      <c r="CCZ2" s="97"/>
      <c r="CDA2" s="97"/>
      <c r="CDB2" s="97"/>
      <c r="CDC2" s="97"/>
      <c r="CDD2" s="97"/>
      <c r="CDE2" s="97"/>
      <c r="CDF2" s="97"/>
      <c r="CDG2" s="97"/>
      <c r="CDH2" s="97"/>
      <c r="CDI2" s="97"/>
      <c r="CDJ2" s="97"/>
      <c r="CDK2" s="97"/>
      <c r="CDL2" s="97"/>
      <c r="CDM2" s="97"/>
      <c r="CDN2" s="97"/>
      <c r="CDO2" s="97"/>
      <c r="CDP2" s="97"/>
      <c r="CDQ2" s="97"/>
      <c r="CDR2" s="97"/>
      <c r="CDS2" s="97"/>
      <c r="CDT2" s="97"/>
      <c r="CDU2" s="97"/>
      <c r="CDV2" s="97"/>
      <c r="CDW2" s="97"/>
      <c r="CDX2" s="97"/>
      <c r="CDY2" s="97"/>
      <c r="CDZ2" s="97"/>
      <c r="CEA2" s="97"/>
      <c r="CEB2" s="97"/>
      <c r="CEC2" s="97"/>
      <c r="CED2" s="97"/>
      <c r="CEE2" s="97"/>
      <c r="CEF2" s="97"/>
      <c r="CEG2" s="97"/>
      <c r="CEH2" s="97"/>
      <c r="CEI2" s="97"/>
      <c r="CEJ2" s="97"/>
      <c r="CEK2" s="97"/>
      <c r="CEL2" s="97"/>
      <c r="CEM2" s="97"/>
      <c r="CEN2" s="97"/>
      <c r="CEO2" s="97"/>
      <c r="CEP2" s="97"/>
      <c r="CEQ2" s="97"/>
      <c r="CER2" s="97"/>
      <c r="CES2" s="97"/>
      <c r="CET2" s="97"/>
      <c r="CEU2" s="97"/>
      <c r="CEV2" s="97"/>
      <c r="CEW2" s="97"/>
      <c r="CEX2" s="97"/>
      <c r="CEY2" s="97"/>
      <c r="CEZ2" s="97"/>
      <c r="CFA2" s="97"/>
      <c r="CFB2" s="97"/>
      <c r="CFC2" s="97"/>
      <c r="CFD2" s="97"/>
      <c r="CFE2" s="97"/>
      <c r="CFF2" s="97"/>
      <c r="CFG2" s="97"/>
      <c r="CFH2" s="97"/>
      <c r="CFI2" s="97"/>
      <c r="CFJ2" s="97"/>
      <c r="CFK2" s="97"/>
      <c r="CFL2" s="97"/>
      <c r="CFM2" s="97"/>
      <c r="CFN2" s="97"/>
      <c r="CFO2" s="97"/>
      <c r="CFP2" s="97"/>
      <c r="CFQ2" s="97"/>
      <c r="CFR2" s="97"/>
      <c r="CFS2" s="97"/>
      <c r="CFT2" s="97"/>
      <c r="CFU2" s="97"/>
      <c r="CFV2" s="97"/>
      <c r="CFW2" s="97"/>
      <c r="CFX2" s="97"/>
      <c r="CFY2" s="97"/>
      <c r="CFZ2" s="97"/>
      <c r="CGA2" s="97"/>
      <c r="CGB2" s="97"/>
      <c r="CGC2" s="97"/>
      <c r="CGD2" s="97"/>
      <c r="CGE2" s="97"/>
      <c r="CGF2" s="97"/>
      <c r="CGG2" s="97"/>
      <c r="CGH2" s="97"/>
      <c r="CGI2" s="97"/>
      <c r="CGJ2" s="97"/>
      <c r="CGK2" s="97"/>
      <c r="CGL2" s="97"/>
      <c r="CGM2" s="97"/>
      <c r="CGN2" s="97"/>
      <c r="CGO2" s="97"/>
      <c r="CGP2" s="97"/>
      <c r="CGQ2" s="97"/>
      <c r="CGR2" s="97"/>
      <c r="CGS2" s="97"/>
      <c r="CGT2" s="97"/>
      <c r="CGU2" s="97"/>
      <c r="CGV2" s="97"/>
      <c r="CGW2" s="97"/>
      <c r="CGX2" s="97"/>
      <c r="CGY2" s="97"/>
      <c r="CGZ2" s="97"/>
      <c r="CHA2" s="97"/>
      <c r="CHB2" s="97"/>
      <c r="CHC2" s="97"/>
      <c r="CHD2" s="97"/>
      <c r="CHE2" s="97"/>
      <c r="CHF2" s="97"/>
      <c r="CHG2" s="97"/>
      <c r="CHH2" s="97"/>
      <c r="CHI2" s="97"/>
      <c r="CHJ2" s="97"/>
      <c r="CHK2" s="97"/>
      <c r="CHL2" s="97"/>
      <c r="CHM2" s="97"/>
      <c r="CHN2" s="97"/>
      <c r="CHO2" s="97"/>
      <c r="CHP2" s="97"/>
      <c r="CHQ2" s="97"/>
      <c r="CHR2" s="97"/>
      <c r="CHS2" s="97"/>
      <c r="CHT2" s="97"/>
      <c r="CHU2" s="97"/>
      <c r="CHV2" s="97"/>
      <c r="CHW2" s="97"/>
      <c r="CHX2" s="97"/>
      <c r="CHY2" s="97"/>
      <c r="CHZ2" s="97"/>
      <c r="CIA2" s="97"/>
      <c r="CIB2" s="97"/>
      <c r="CIC2" s="97"/>
      <c r="CID2" s="97"/>
      <c r="CIE2" s="97"/>
      <c r="CIF2" s="97"/>
      <c r="CIG2" s="97"/>
      <c r="CIH2" s="97"/>
      <c r="CII2" s="97"/>
      <c r="CIJ2" s="97"/>
      <c r="CIK2" s="97"/>
      <c r="CIL2" s="97"/>
      <c r="CIM2" s="97"/>
      <c r="CIN2" s="97"/>
      <c r="CIO2" s="97"/>
      <c r="CIP2" s="97"/>
      <c r="CIQ2" s="97"/>
      <c r="CIR2" s="97"/>
      <c r="CIS2" s="97"/>
      <c r="CIT2" s="97"/>
      <c r="CIU2" s="97"/>
      <c r="CIV2" s="97"/>
      <c r="CIW2" s="97"/>
      <c r="CIX2" s="97"/>
      <c r="CIY2" s="97"/>
      <c r="CIZ2" s="97"/>
      <c r="CJA2" s="97"/>
      <c r="CJB2" s="97"/>
      <c r="CJC2" s="97"/>
      <c r="CJD2" s="97"/>
      <c r="CJE2" s="97"/>
      <c r="CJF2" s="97"/>
      <c r="CJG2" s="97"/>
      <c r="CJH2" s="97"/>
      <c r="CJI2" s="97"/>
      <c r="CJJ2" s="97"/>
      <c r="CJK2" s="97"/>
      <c r="CJL2" s="97"/>
      <c r="CJM2" s="97"/>
      <c r="CJN2" s="97"/>
      <c r="CJO2" s="97"/>
      <c r="CJP2" s="97"/>
      <c r="CJQ2" s="97"/>
      <c r="CJR2" s="97"/>
      <c r="CJS2" s="97"/>
      <c r="CJT2" s="97"/>
      <c r="CJU2" s="97"/>
      <c r="CJV2" s="97"/>
      <c r="CJW2" s="97"/>
      <c r="CJX2" s="97"/>
      <c r="CJY2" s="97"/>
      <c r="CJZ2" s="97"/>
      <c r="CKA2" s="97"/>
      <c r="CKB2" s="97"/>
      <c r="CKC2" s="97"/>
      <c r="CKD2" s="97"/>
      <c r="CKE2" s="97"/>
      <c r="CKF2" s="97"/>
      <c r="CKG2" s="97"/>
      <c r="CKH2" s="97"/>
      <c r="CKI2" s="97"/>
      <c r="CKJ2" s="97"/>
      <c r="CKK2" s="97"/>
      <c r="CKL2" s="97"/>
      <c r="CKM2" s="97"/>
      <c r="CKN2" s="97"/>
      <c r="CKO2" s="97"/>
      <c r="CKP2" s="97"/>
      <c r="CKQ2" s="97"/>
      <c r="CKR2" s="97"/>
      <c r="CKS2" s="97"/>
      <c r="CKT2" s="97"/>
      <c r="CKU2" s="97"/>
      <c r="CKV2" s="97"/>
      <c r="CKW2" s="97"/>
      <c r="CKX2" s="97"/>
      <c r="CKY2" s="97"/>
      <c r="CKZ2" s="97"/>
      <c r="CLA2" s="97"/>
      <c r="CLB2" s="97"/>
      <c r="CLC2" s="97"/>
      <c r="CLD2" s="97"/>
      <c r="CLE2" s="97"/>
      <c r="CLF2" s="97"/>
      <c r="CLG2" s="97"/>
      <c r="CLH2" s="97"/>
      <c r="CLI2" s="97"/>
      <c r="CLJ2" s="97"/>
      <c r="CLK2" s="97"/>
      <c r="CLL2" s="97"/>
      <c r="CLM2" s="97"/>
      <c r="CLN2" s="97"/>
      <c r="CLO2" s="97"/>
      <c r="CLP2" s="97"/>
      <c r="CLQ2" s="97"/>
      <c r="CLR2" s="97"/>
      <c r="CLS2" s="97"/>
      <c r="CLT2" s="97"/>
      <c r="CLU2" s="97"/>
      <c r="CLV2" s="97"/>
      <c r="CLW2" s="97"/>
      <c r="CLX2" s="97"/>
      <c r="CLY2" s="97"/>
      <c r="CLZ2" s="97"/>
      <c r="CMA2" s="97"/>
      <c r="CMB2" s="97"/>
      <c r="CMC2" s="97"/>
      <c r="CMD2" s="97"/>
      <c r="CME2" s="97"/>
      <c r="CMF2" s="97"/>
      <c r="CMG2" s="97"/>
      <c r="CMH2" s="97"/>
      <c r="CMI2" s="97"/>
      <c r="CMJ2" s="97"/>
      <c r="CMK2" s="97"/>
      <c r="CML2" s="97"/>
      <c r="CMM2" s="97"/>
      <c r="CMN2" s="97"/>
      <c r="CMO2" s="97"/>
      <c r="CMP2" s="97"/>
      <c r="CMQ2" s="97"/>
      <c r="CMR2" s="97"/>
      <c r="CMS2" s="97"/>
      <c r="CMT2" s="97"/>
      <c r="CMU2" s="97"/>
      <c r="CMV2" s="97"/>
      <c r="CMW2" s="97"/>
      <c r="CMX2" s="97"/>
      <c r="CMY2" s="97"/>
      <c r="CMZ2" s="97"/>
      <c r="CNA2" s="97"/>
      <c r="CNB2" s="97"/>
      <c r="CNC2" s="97"/>
      <c r="CND2" s="97"/>
      <c r="CNE2" s="97"/>
      <c r="CNF2" s="97"/>
      <c r="CNG2" s="97"/>
      <c r="CNH2" s="97"/>
      <c r="CNI2" s="97"/>
      <c r="CNJ2" s="97"/>
      <c r="CNK2" s="97"/>
      <c r="CNL2" s="97"/>
      <c r="CNM2" s="97"/>
      <c r="CNN2" s="97"/>
      <c r="CNO2" s="97"/>
      <c r="CNP2" s="97"/>
      <c r="CNQ2" s="97"/>
      <c r="CNR2" s="97"/>
      <c r="CNS2" s="97"/>
      <c r="CNT2" s="97"/>
      <c r="CNU2" s="97"/>
      <c r="CNV2" s="97"/>
      <c r="CNW2" s="97"/>
      <c r="CNX2" s="97"/>
      <c r="CNY2" s="97"/>
      <c r="CNZ2" s="97"/>
      <c r="COA2" s="97"/>
      <c r="COB2" s="97"/>
      <c r="COC2" s="97"/>
      <c r="COD2" s="97"/>
      <c r="COE2" s="97"/>
      <c r="COF2" s="97"/>
      <c r="COG2" s="97"/>
      <c r="COH2" s="97"/>
      <c r="COI2" s="97"/>
      <c r="COJ2" s="97"/>
      <c r="COK2" s="97"/>
      <c r="COL2" s="97"/>
      <c r="COM2" s="97"/>
      <c r="CON2" s="97"/>
      <c r="COO2" s="97"/>
      <c r="COP2" s="97"/>
      <c r="COQ2" s="97"/>
      <c r="COR2" s="97"/>
      <c r="COS2" s="97"/>
      <c r="COT2" s="97"/>
      <c r="COU2" s="97"/>
      <c r="COV2" s="97"/>
      <c r="COW2" s="97"/>
      <c r="COX2" s="97"/>
      <c r="COY2" s="97"/>
      <c r="COZ2" s="97"/>
      <c r="CPA2" s="97"/>
      <c r="CPB2" s="97"/>
      <c r="CPC2" s="97"/>
      <c r="CPD2" s="97"/>
      <c r="CPE2" s="97"/>
      <c r="CPF2" s="97"/>
      <c r="CPG2" s="97"/>
      <c r="CPH2" s="97"/>
      <c r="CPI2" s="97"/>
      <c r="CPJ2" s="97"/>
      <c r="CPK2" s="97"/>
      <c r="CPL2" s="97"/>
      <c r="CPM2" s="97"/>
      <c r="CPN2" s="97"/>
      <c r="CPO2" s="97"/>
      <c r="CPP2" s="97"/>
      <c r="CPQ2" s="97"/>
      <c r="CPR2" s="97"/>
      <c r="CPS2" s="97"/>
      <c r="CPT2" s="97"/>
      <c r="CPU2" s="97"/>
      <c r="CPV2" s="97"/>
      <c r="CPW2" s="97"/>
      <c r="CPX2" s="97"/>
      <c r="CPY2" s="97"/>
      <c r="CPZ2" s="97"/>
      <c r="CQA2" s="97"/>
      <c r="CQB2" s="97"/>
      <c r="CQC2" s="97"/>
      <c r="CQD2" s="97"/>
      <c r="CQE2" s="97"/>
      <c r="CQF2" s="97"/>
      <c r="CQG2" s="97"/>
      <c r="CQH2" s="97"/>
      <c r="CQI2" s="97"/>
      <c r="CQJ2" s="97"/>
      <c r="CQK2" s="97"/>
      <c r="CQL2" s="97"/>
      <c r="CQM2" s="97"/>
      <c r="CQN2" s="97"/>
      <c r="CQO2" s="97"/>
      <c r="CQP2" s="97"/>
      <c r="CQQ2" s="97"/>
      <c r="CQR2" s="97"/>
      <c r="CQS2" s="97"/>
      <c r="CQT2" s="97"/>
      <c r="CQU2" s="97"/>
      <c r="CQV2" s="97"/>
      <c r="CQW2" s="97"/>
      <c r="CQX2" s="97"/>
      <c r="CQY2" s="97"/>
      <c r="CQZ2" s="97"/>
      <c r="CRA2" s="97"/>
      <c r="CRB2" s="97"/>
      <c r="CRC2" s="97"/>
      <c r="CRD2" s="97"/>
      <c r="CRE2" s="97"/>
      <c r="CRF2" s="97"/>
      <c r="CRG2" s="97"/>
      <c r="CRH2" s="97"/>
      <c r="CRI2" s="97"/>
      <c r="CRJ2" s="97"/>
      <c r="CRK2" s="97"/>
      <c r="CRL2" s="97"/>
      <c r="CRM2" s="97"/>
      <c r="CRN2" s="97"/>
      <c r="CRO2" s="97"/>
      <c r="CRP2" s="97"/>
      <c r="CRQ2" s="97"/>
      <c r="CRR2" s="97"/>
      <c r="CRS2" s="97"/>
      <c r="CRT2" s="97"/>
      <c r="CRU2" s="97"/>
      <c r="CRV2" s="97"/>
      <c r="CRW2" s="97"/>
      <c r="CRX2" s="97"/>
      <c r="CRY2" s="97"/>
      <c r="CRZ2" s="97"/>
      <c r="CSA2" s="97"/>
      <c r="CSB2" s="97"/>
      <c r="CSC2" s="97"/>
      <c r="CSD2" s="97"/>
      <c r="CSE2" s="97"/>
      <c r="CSF2" s="97"/>
      <c r="CSG2" s="97"/>
      <c r="CSH2" s="97"/>
      <c r="CSI2" s="97"/>
      <c r="CSJ2" s="97"/>
      <c r="CSK2" s="97"/>
      <c r="CSL2" s="97"/>
      <c r="CSM2" s="97"/>
      <c r="CSN2" s="97"/>
      <c r="CSO2" s="97"/>
      <c r="CSP2" s="97"/>
      <c r="CSQ2" s="97"/>
      <c r="CSR2" s="97"/>
      <c r="CSS2" s="97"/>
      <c r="CST2" s="97"/>
      <c r="CSU2" s="97"/>
      <c r="CSV2" s="97"/>
      <c r="CSW2" s="97"/>
      <c r="CSX2" s="97"/>
      <c r="CSY2" s="97"/>
      <c r="CSZ2" s="97"/>
      <c r="CTA2" s="97"/>
      <c r="CTB2" s="97"/>
      <c r="CTC2" s="97"/>
      <c r="CTD2" s="97"/>
      <c r="CTE2" s="97"/>
      <c r="CTF2" s="97"/>
      <c r="CTG2" s="97"/>
      <c r="CTH2" s="97"/>
      <c r="CTI2" s="97"/>
      <c r="CTJ2" s="97"/>
      <c r="CTK2" s="97"/>
      <c r="CTL2" s="97"/>
      <c r="CTM2" s="97"/>
      <c r="CTN2" s="97"/>
      <c r="CTO2" s="97"/>
      <c r="CTP2" s="97"/>
      <c r="CTQ2" s="97"/>
      <c r="CTR2" s="97"/>
      <c r="CTS2" s="97"/>
      <c r="CTT2" s="97"/>
      <c r="CTU2" s="97"/>
      <c r="CTV2" s="97"/>
      <c r="CTW2" s="97"/>
      <c r="CTX2" s="97"/>
      <c r="CTY2" s="97"/>
      <c r="CTZ2" s="97"/>
      <c r="CUA2" s="97"/>
      <c r="CUB2" s="97"/>
      <c r="CUC2" s="97"/>
      <c r="CUD2" s="97"/>
      <c r="CUE2" s="97"/>
      <c r="CUF2" s="97"/>
      <c r="CUG2" s="97"/>
      <c r="CUH2" s="97"/>
      <c r="CUI2" s="97"/>
      <c r="CUJ2" s="97"/>
      <c r="CUK2" s="97"/>
      <c r="CUL2" s="97"/>
      <c r="CUM2" s="97"/>
      <c r="CUN2" s="97"/>
      <c r="CUO2" s="97"/>
      <c r="CUP2" s="97"/>
      <c r="CUQ2" s="97"/>
      <c r="CUR2" s="97"/>
      <c r="CUS2" s="97"/>
      <c r="CUT2" s="97"/>
      <c r="CUU2" s="97"/>
      <c r="CUV2" s="97"/>
      <c r="CUW2" s="97"/>
      <c r="CUX2" s="97"/>
      <c r="CUY2" s="97"/>
      <c r="CUZ2" s="97"/>
      <c r="CVA2" s="97"/>
      <c r="CVB2" s="97"/>
      <c r="CVC2" s="97"/>
      <c r="CVD2" s="97"/>
      <c r="CVE2" s="97"/>
      <c r="CVF2" s="97"/>
      <c r="CVG2" s="97"/>
      <c r="CVH2" s="97"/>
      <c r="CVI2" s="97"/>
      <c r="CVJ2" s="97"/>
      <c r="CVK2" s="97"/>
      <c r="CVL2" s="97"/>
      <c r="CVM2" s="97"/>
      <c r="CVN2" s="97"/>
      <c r="CVO2" s="97"/>
      <c r="CVP2" s="97"/>
      <c r="CVQ2" s="97"/>
      <c r="CVR2" s="97"/>
      <c r="CVS2" s="97"/>
      <c r="CVT2" s="97"/>
      <c r="CVU2" s="97"/>
      <c r="CVV2" s="97"/>
      <c r="CVW2" s="97"/>
      <c r="CVX2" s="97"/>
      <c r="CVY2" s="97"/>
      <c r="CVZ2" s="97"/>
      <c r="CWA2" s="97"/>
      <c r="CWB2" s="97"/>
      <c r="CWC2" s="97"/>
      <c r="CWD2" s="97"/>
      <c r="CWE2" s="97"/>
      <c r="CWF2" s="97"/>
      <c r="CWG2" s="97"/>
      <c r="CWH2" s="97"/>
      <c r="CWI2" s="97"/>
      <c r="CWJ2" s="97"/>
      <c r="CWK2" s="97"/>
      <c r="CWL2" s="97"/>
      <c r="CWM2" s="97"/>
      <c r="CWN2" s="97"/>
      <c r="CWO2" s="97"/>
      <c r="CWP2" s="97"/>
      <c r="CWQ2" s="97"/>
      <c r="CWR2" s="97"/>
      <c r="CWS2" s="97"/>
      <c r="CWT2" s="97"/>
      <c r="CWU2" s="97"/>
      <c r="CWV2" s="97"/>
      <c r="CWW2" s="97"/>
      <c r="CWX2" s="97"/>
      <c r="CWY2" s="97"/>
      <c r="CWZ2" s="97"/>
      <c r="CXA2" s="97"/>
      <c r="CXB2" s="97"/>
      <c r="CXC2" s="97"/>
      <c r="CXD2" s="97"/>
      <c r="CXE2" s="97"/>
      <c r="CXF2" s="97"/>
      <c r="CXG2" s="97"/>
      <c r="CXH2" s="97"/>
      <c r="CXI2" s="97"/>
      <c r="CXJ2" s="97"/>
      <c r="CXK2" s="97"/>
      <c r="CXL2" s="97"/>
      <c r="CXM2" s="97"/>
      <c r="CXN2" s="97"/>
      <c r="CXO2" s="97"/>
      <c r="CXP2" s="97"/>
      <c r="CXQ2" s="97"/>
      <c r="CXR2" s="97"/>
      <c r="CXS2" s="97"/>
      <c r="CXT2" s="97"/>
      <c r="CXU2" s="97"/>
      <c r="CXV2" s="97"/>
      <c r="CXW2" s="97"/>
      <c r="CXX2" s="97"/>
      <c r="CXY2" s="97"/>
      <c r="CXZ2" s="97"/>
      <c r="CYA2" s="97"/>
      <c r="CYB2" s="97"/>
      <c r="CYC2" s="97"/>
      <c r="CYD2" s="97"/>
      <c r="CYE2" s="97"/>
      <c r="CYF2" s="97"/>
      <c r="CYG2" s="97"/>
      <c r="CYH2" s="97"/>
      <c r="CYI2" s="97"/>
      <c r="CYJ2" s="97"/>
      <c r="CYK2" s="97"/>
      <c r="CYL2" s="97"/>
      <c r="CYM2" s="97"/>
      <c r="CYN2" s="97"/>
      <c r="CYO2" s="97"/>
      <c r="CYP2" s="97"/>
      <c r="CYQ2" s="97"/>
      <c r="CYR2" s="97"/>
      <c r="CYS2" s="97"/>
      <c r="CYT2" s="97"/>
      <c r="CYU2" s="97"/>
      <c r="CYV2" s="97"/>
      <c r="CYW2" s="97"/>
      <c r="CYX2" s="97"/>
      <c r="CYY2" s="97"/>
      <c r="CYZ2" s="97"/>
      <c r="CZA2" s="97"/>
      <c r="CZB2" s="97"/>
      <c r="CZC2" s="97"/>
      <c r="CZD2" s="97"/>
      <c r="CZE2" s="97"/>
      <c r="CZF2" s="97"/>
      <c r="CZG2" s="97"/>
      <c r="CZH2" s="97"/>
      <c r="CZI2" s="97"/>
      <c r="CZJ2" s="97"/>
      <c r="CZK2" s="97"/>
      <c r="CZL2" s="97"/>
      <c r="CZM2" s="97"/>
      <c r="CZN2" s="97"/>
      <c r="CZO2" s="97"/>
      <c r="CZP2" s="97"/>
      <c r="CZQ2" s="97"/>
      <c r="CZR2" s="97"/>
      <c r="CZS2" s="97"/>
      <c r="CZT2" s="97"/>
      <c r="CZU2" s="97"/>
      <c r="CZV2" s="97"/>
      <c r="CZW2" s="97"/>
      <c r="CZX2" s="97"/>
      <c r="CZY2" s="97"/>
      <c r="CZZ2" s="97"/>
      <c r="DAA2" s="97"/>
      <c r="DAB2" s="97"/>
      <c r="DAC2" s="97"/>
      <c r="DAD2" s="97"/>
      <c r="DAE2" s="97"/>
      <c r="DAF2" s="97"/>
      <c r="DAG2" s="97"/>
      <c r="DAH2" s="97"/>
      <c r="DAI2" s="97"/>
      <c r="DAJ2" s="97"/>
      <c r="DAK2" s="97"/>
      <c r="DAL2" s="97"/>
      <c r="DAM2" s="97"/>
      <c r="DAN2" s="97"/>
      <c r="DAO2" s="97"/>
      <c r="DAP2" s="97"/>
      <c r="DAQ2" s="97"/>
      <c r="DAR2" s="97"/>
      <c r="DAS2" s="97"/>
      <c r="DAT2" s="97"/>
      <c r="DAU2" s="97"/>
      <c r="DAV2" s="97"/>
      <c r="DAW2" s="97"/>
      <c r="DAX2" s="97"/>
      <c r="DAY2" s="97"/>
      <c r="DAZ2" s="97"/>
      <c r="DBA2" s="97"/>
      <c r="DBB2" s="97"/>
      <c r="DBC2" s="97"/>
      <c r="DBD2" s="97"/>
      <c r="DBE2" s="97"/>
      <c r="DBF2" s="97"/>
      <c r="DBG2" s="97"/>
      <c r="DBH2" s="97"/>
      <c r="DBI2" s="97"/>
      <c r="DBJ2" s="97"/>
      <c r="DBK2" s="97"/>
      <c r="DBL2" s="97"/>
      <c r="DBM2" s="97"/>
      <c r="DBN2" s="97"/>
      <c r="DBO2" s="97"/>
      <c r="DBP2" s="97"/>
      <c r="DBQ2" s="97"/>
      <c r="DBR2" s="97"/>
      <c r="DBS2" s="97"/>
      <c r="DBT2" s="97"/>
      <c r="DBU2" s="97"/>
      <c r="DBV2" s="97"/>
      <c r="DBW2" s="97"/>
      <c r="DBX2" s="97"/>
      <c r="DBY2" s="97"/>
      <c r="DBZ2" s="97"/>
      <c r="DCA2" s="97"/>
      <c r="DCB2" s="97"/>
      <c r="DCC2" s="97"/>
      <c r="DCD2" s="97"/>
      <c r="DCE2" s="97"/>
      <c r="DCF2" s="97"/>
      <c r="DCG2" s="97"/>
      <c r="DCH2" s="97"/>
      <c r="DCI2" s="97"/>
      <c r="DCJ2" s="97"/>
      <c r="DCK2" s="97"/>
      <c r="DCL2" s="97"/>
      <c r="DCM2" s="97"/>
      <c r="DCN2" s="97"/>
      <c r="DCO2" s="97"/>
      <c r="DCP2" s="97"/>
      <c r="DCQ2" s="97"/>
      <c r="DCR2" s="97"/>
      <c r="DCS2" s="97"/>
      <c r="DCT2" s="97"/>
      <c r="DCU2" s="97"/>
      <c r="DCV2" s="97"/>
      <c r="DCW2" s="97"/>
      <c r="DCX2" s="97"/>
      <c r="DCY2" s="97"/>
      <c r="DCZ2" s="97"/>
      <c r="DDA2" s="97"/>
      <c r="DDB2" s="97"/>
      <c r="DDC2" s="97"/>
      <c r="DDD2" s="97"/>
      <c r="DDE2" s="97"/>
      <c r="DDF2" s="97"/>
      <c r="DDG2" s="97"/>
      <c r="DDH2" s="97"/>
      <c r="DDI2" s="97"/>
      <c r="DDJ2" s="97"/>
      <c r="DDK2" s="97"/>
      <c r="DDL2" s="97"/>
      <c r="DDM2" s="97"/>
      <c r="DDN2" s="97"/>
      <c r="DDO2" s="97"/>
      <c r="DDP2" s="97"/>
      <c r="DDQ2" s="97"/>
      <c r="DDR2" s="97"/>
      <c r="DDS2" s="97"/>
      <c r="DDT2" s="97"/>
      <c r="DDU2" s="97"/>
      <c r="DDV2" s="97"/>
      <c r="DDW2" s="97"/>
      <c r="DDX2" s="97"/>
      <c r="DDY2" s="97"/>
      <c r="DDZ2" s="97"/>
      <c r="DEA2" s="97"/>
      <c r="DEB2" s="97"/>
      <c r="DEC2" s="97"/>
      <c r="DED2" s="97"/>
      <c r="DEE2" s="97"/>
      <c r="DEF2" s="97"/>
      <c r="DEG2" s="97"/>
      <c r="DEH2" s="97"/>
      <c r="DEI2" s="97"/>
      <c r="DEJ2" s="97"/>
      <c r="DEK2" s="97"/>
      <c r="DEL2" s="97"/>
      <c r="DEM2" s="97"/>
      <c r="DEN2" s="97"/>
      <c r="DEO2" s="97"/>
      <c r="DEP2" s="97"/>
      <c r="DEQ2" s="97"/>
      <c r="DER2" s="97"/>
      <c r="DES2" s="97"/>
      <c r="DET2" s="97"/>
      <c r="DEU2" s="97"/>
      <c r="DEV2" s="97"/>
      <c r="DEW2" s="97"/>
      <c r="DEX2" s="97"/>
      <c r="DEY2" s="97"/>
      <c r="DEZ2" s="97"/>
      <c r="DFA2" s="97"/>
      <c r="DFB2" s="97"/>
      <c r="DFC2" s="97"/>
      <c r="DFD2" s="97"/>
      <c r="DFE2" s="97"/>
      <c r="DFF2" s="97"/>
      <c r="DFG2" s="97"/>
      <c r="DFH2" s="97"/>
      <c r="DFI2" s="97"/>
      <c r="DFJ2" s="97"/>
      <c r="DFK2" s="97"/>
      <c r="DFL2" s="97"/>
      <c r="DFM2" s="97"/>
      <c r="DFN2" s="97"/>
      <c r="DFO2" s="97"/>
      <c r="DFP2" s="97"/>
      <c r="DFQ2" s="97"/>
      <c r="DFR2" s="97"/>
      <c r="DFS2" s="97"/>
      <c r="DFT2" s="97"/>
      <c r="DFU2" s="97"/>
      <c r="DFV2" s="97"/>
      <c r="DFW2" s="97"/>
      <c r="DFX2" s="97"/>
      <c r="DFY2" s="97"/>
      <c r="DFZ2" s="97"/>
      <c r="DGA2" s="97"/>
      <c r="DGB2" s="97"/>
      <c r="DGC2" s="97"/>
      <c r="DGD2" s="97"/>
      <c r="DGE2" s="97"/>
      <c r="DGF2" s="97"/>
      <c r="DGG2" s="97"/>
      <c r="DGH2" s="97"/>
      <c r="DGI2" s="97"/>
      <c r="DGJ2" s="97"/>
      <c r="DGK2" s="97"/>
      <c r="DGL2" s="97"/>
      <c r="DGM2" s="97"/>
      <c r="DGN2" s="97"/>
      <c r="DGO2" s="97"/>
      <c r="DGP2" s="97"/>
      <c r="DGQ2" s="97"/>
      <c r="DGR2" s="97"/>
      <c r="DGS2" s="97"/>
      <c r="DGT2" s="97"/>
      <c r="DGU2" s="97"/>
      <c r="DGV2" s="97"/>
      <c r="DGW2" s="97"/>
      <c r="DGX2" s="97"/>
      <c r="DGY2" s="97"/>
      <c r="DGZ2" s="97"/>
      <c r="DHA2" s="97"/>
      <c r="DHB2" s="97"/>
      <c r="DHC2" s="97"/>
      <c r="DHD2" s="97"/>
      <c r="DHE2" s="97"/>
      <c r="DHF2" s="97"/>
      <c r="DHG2" s="97"/>
      <c r="DHH2" s="97"/>
      <c r="DHI2" s="97"/>
      <c r="DHJ2" s="97"/>
      <c r="DHK2" s="97"/>
      <c r="DHL2" s="97"/>
      <c r="DHM2" s="97"/>
      <c r="DHN2" s="97"/>
      <c r="DHO2" s="97"/>
      <c r="DHP2" s="97"/>
      <c r="DHQ2" s="97"/>
      <c r="DHR2" s="97"/>
      <c r="DHS2" s="97"/>
      <c r="DHT2" s="97"/>
      <c r="DHU2" s="97"/>
      <c r="DHV2" s="97"/>
      <c r="DHW2" s="97"/>
      <c r="DHX2" s="97"/>
      <c r="DHY2" s="97"/>
      <c r="DHZ2" s="97"/>
      <c r="DIA2" s="97"/>
      <c r="DIB2" s="97"/>
      <c r="DIC2" s="97"/>
      <c r="DID2" s="97"/>
      <c r="DIE2" s="97"/>
      <c r="DIF2" s="97"/>
      <c r="DIG2" s="97"/>
      <c r="DIH2" s="97"/>
      <c r="DII2" s="97"/>
      <c r="DIJ2" s="97"/>
      <c r="DIK2" s="97"/>
      <c r="DIL2" s="97"/>
      <c r="DIM2" s="97"/>
      <c r="DIN2" s="97"/>
      <c r="DIO2" s="97"/>
      <c r="DIP2" s="97"/>
      <c r="DIQ2" s="97"/>
      <c r="DIR2" s="97"/>
      <c r="DIS2" s="97"/>
      <c r="DIT2" s="97"/>
      <c r="DIU2" s="97"/>
      <c r="DIV2" s="97"/>
      <c r="DIW2" s="97"/>
      <c r="DIX2" s="97"/>
      <c r="DIY2" s="97"/>
      <c r="DIZ2" s="97"/>
      <c r="DJA2" s="97"/>
      <c r="DJB2" s="97"/>
      <c r="DJC2" s="97"/>
      <c r="DJD2" s="97"/>
      <c r="DJE2" s="97"/>
      <c r="DJF2" s="97"/>
      <c r="DJG2" s="97"/>
      <c r="DJH2" s="97"/>
      <c r="DJI2" s="97"/>
      <c r="DJJ2" s="97"/>
      <c r="DJK2" s="97"/>
      <c r="DJL2" s="97"/>
      <c r="DJM2" s="97"/>
      <c r="DJN2" s="97"/>
      <c r="DJO2" s="97"/>
      <c r="DJP2" s="97"/>
      <c r="DJQ2" s="97"/>
      <c r="DJR2" s="97"/>
      <c r="DJS2" s="97"/>
      <c r="DJT2" s="97"/>
      <c r="DJU2" s="97"/>
      <c r="DJV2" s="97"/>
      <c r="DJW2" s="97"/>
      <c r="DJX2" s="97"/>
      <c r="DJY2" s="97"/>
      <c r="DJZ2" s="97"/>
      <c r="DKA2" s="97"/>
      <c r="DKB2" s="97"/>
      <c r="DKC2" s="97"/>
      <c r="DKD2" s="97"/>
      <c r="DKE2" s="97"/>
      <c r="DKF2" s="97"/>
      <c r="DKG2" s="97"/>
      <c r="DKH2" s="97"/>
      <c r="DKI2" s="97"/>
      <c r="DKJ2" s="97"/>
      <c r="DKK2" s="97"/>
      <c r="DKL2" s="97"/>
      <c r="DKM2" s="97"/>
      <c r="DKN2" s="97"/>
      <c r="DKO2" s="97"/>
      <c r="DKP2" s="97"/>
      <c r="DKQ2" s="97"/>
      <c r="DKR2" s="97"/>
      <c r="DKS2" s="97"/>
      <c r="DKT2" s="97"/>
      <c r="DKU2" s="97"/>
      <c r="DKV2" s="97"/>
      <c r="DKW2" s="97"/>
      <c r="DKX2" s="97"/>
      <c r="DKY2" s="97"/>
      <c r="DKZ2" s="97"/>
      <c r="DLA2" s="97"/>
      <c r="DLB2" s="97"/>
      <c r="DLC2" s="97"/>
      <c r="DLD2" s="97"/>
      <c r="DLE2" s="97"/>
      <c r="DLF2" s="97"/>
      <c r="DLG2" s="97"/>
      <c r="DLH2" s="97"/>
      <c r="DLI2" s="97"/>
      <c r="DLJ2" s="97"/>
      <c r="DLK2" s="97"/>
      <c r="DLL2" s="97"/>
      <c r="DLM2" s="97"/>
      <c r="DLN2" s="97"/>
      <c r="DLO2" s="97"/>
      <c r="DLP2" s="97"/>
      <c r="DLQ2" s="97"/>
      <c r="DLR2" s="97"/>
      <c r="DLS2" s="97"/>
      <c r="DLT2" s="97"/>
      <c r="DLU2" s="97"/>
      <c r="DLV2" s="97"/>
      <c r="DLW2" s="97"/>
      <c r="DLX2" s="97"/>
      <c r="DLY2" s="97"/>
      <c r="DLZ2" s="97"/>
      <c r="DMA2" s="97"/>
      <c r="DMB2" s="97"/>
      <c r="DMC2" s="97"/>
      <c r="DMD2" s="97"/>
      <c r="DME2" s="97"/>
      <c r="DMF2" s="97"/>
      <c r="DMG2" s="97"/>
      <c r="DMH2" s="97"/>
      <c r="DMI2" s="97"/>
      <c r="DMJ2" s="97"/>
      <c r="DMK2" s="97"/>
      <c r="DML2" s="97"/>
      <c r="DMM2" s="97"/>
      <c r="DMN2" s="97"/>
      <c r="DMO2" s="97"/>
      <c r="DMP2" s="97"/>
      <c r="DMQ2" s="97"/>
      <c r="DMR2" s="97"/>
      <c r="DMS2" s="97"/>
      <c r="DMT2" s="97"/>
      <c r="DMU2" s="97"/>
      <c r="DMV2" s="97"/>
      <c r="DMW2" s="97"/>
      <c r="DMX2" s="97"/>
      <c r="DMY2" s="97"/>
      <c r="DMZ2" s="97"/>
      <c r="DNA2" s="97"/>
      <c r="DNB2" s="97"/>
      <c r="DNC2" s="97"/>
      <c r="DND2" s="97"/>
      <c r="DNE2" s="97"/>
      <c r="DNF2" s="97"/>
      <c r="DNG2" s="97"/>
      <c r="DNH2" s="97"/>
      <c r="DNI2" s="97"/>
      <c r="DNJ2" s="97"/>
      <c r="DNK2" s="97"/>
      <c r="DNL2" s="97"/>
      <c r="DNM2" s="97"/>
      <c r="DNN2" s="97"/>
      <c r="DNO2" s="97"/>
      <c r="DNP2" s="97"/>
      <c r="DNQ2" s="97"/>
      <c r="DNR2" s="97"/>
      <c r="DNS2" s="97"/>
      <c r="DNT2" s="97"/>
      <c r="DNU2" s="97"/>
      <c r="DNV2" s="97"/>
      <c r="DNW2" s="97"/>
      <c r="DNX2" s="97"/>
      <c r="DNY2" s="97"/>
      <c r="DNZ2" s="97"/>
      <c r="DOA2" s="97"/>
      <c r="DOB2" s="97"/>
      <c r="DOC2" s="97"/>
      <c r="DOD2" s="97"/>
      <c r="DOE2" s="97"/>
      <c r="DOF2" s="97"/>
      <c r="DOG2" s="97"/>
      <c r="DOH2" s="97"/>
      <c r="DOI2" s="97"/>
      <c r="DOJ2" s="97"/>
      <c r="DOK2" s="97"/>
      <c r="DOL2" s="97"/>
      <c r="DOM2" s="97"/>
      <c r="DON2" s="97"/>
      <c r="DOO2" s="97"/>
      <c r="DOP2" s="97"/>
      <c r="DOQ2" s="97"/>
      <c r="DOR2" s="97"/>
      <c r="DOS2" s="97"/>
      <c r="DOT2" s="97"/>
      <c r="DOU2" s="97"/>
      <c r="DOV2" s="97"/>
      <c r="DOW2" s="97"/>
      <c r="DOX2" s="97"/>
      <c r="DOY2" s="97"/>
      <c r="DOZ2" s="97"/>
      <c r="DPA2" s="97"/>
      <c r="DPB2" s="97"/>
      <c r="DPC2" s="97"/>
      <c r="DPD2" s="97"/>
      <c r="DPE2" s="97"/>
      <c r="DPF2" s="97"/>
      <c r="DPG2" s="97"/>
      <c r="DPH2" s="97"/>
      <c r="DPI2" s="97"/>
      <c r="DPJ2" s="97"/>
      <c r="DPK2" s="97"/>
      <c r="DPL2" s="97"/>
      <c r="DPM2" s="97"/>
      <c r="DPN2" s="97"/>
      <c r="DPO2" s="97"/>
      <c r="DPP2" s="97"/>
      <c r="DPQ2" s="97"/>
      <c r="DPR2" s="97"/>
      <c r="DPS2" s="97"/>
      <c r="DPT2" s="97"/>
      <c r="DPU2" s="97"/>
      <c r="DPV2" s="97"/>
      <c r="DPW2" s="97"/>
      <c r="DPX2" s="97"/>
      <c r="DPY2" s="97"/>
      <c r="DPZ2" s="97"/>
      <c r="DQA2" s="97"/>
      <c r="DQB2" s="97"/>
      <c r="DQC2" s="97"/>
      <c r="DQD2" s="97"/>
      <c r="DQE2" s="97"/>
      <c r="DQF2" s="97"/>
      <c r="DQG2" s="97"/>
      <c r="DQH2" s="97"/>
      <c r="DQI2" s="97"/>
      <c r="DQJ2" s="97"/>
      <c r="DQK2" s="97"/>
      <c r="DQL2" s="97"/>
      <c r="DQM2" s="97"/>
      <c r="DQN2" s="97"/>
      <c r="DQO2" s="97"/>
      <c r="DQP2" s="97"/>
      <c r="DQQ2" s="97"/>
      <c r="DQR2" s="97"/>
      <c r="DQS2" s="97"/>
      <c r="DQT2" s="97"/>
      <c r="DQU2" s="97"/>
      <c r="DQV2" s="97"/>
      <c r="DQW2" s="97"/>
      <c r="DQX2" s="97"/>
      <c r="DQY2" s="97"/>
      <c r="DQZ2" s="97"/>
      <c r="DRA2" s="97"/>
      <c r="DRB2" s="97"/>
      <c r="DRC2" s="97"/>
      <c r="DRD2" s="97"/>
      <c r="DRE2" s="97"/>
      <c r="DRF2" s="97"/>
      <c r="DRG2" s="97"/>
      <c r="DRH2" s="97"/>
      <c r="DRI2" s="97"/>
      <c r="DRJ2" s="97"/>
      <c r="DRK2" s="97"/>
      <c r="DRL2" s="97"/>
      <c r="DRM2" s="97"/>
      <c r="DRN2" s="97"/>
      <c r="DRO2" s="97"/>
      <c r="DRP2" s="97"/>
      <c r="DRQ2" s="97"/>
      <c r="DRR2" s="97"/>
      <c r="DRS2" s="97"/>
      <c r="DRT2" s="97"/>
      <c r="DRU2" s="97"/>
      <c r="DRV2" s="97"/>
      <c r="DRW2" s="97"/>
      <c r="DRX2" s="97"/>
      <c r="DRY2" s="97"/>
      <c r="DRZ2" s="97"/>
      <c r="DSA2" s="97"/>
      <c r="DSB2" s="97"/>
      <c r="DSC2" s="97"/>
      <c r="DSD2" s="97"/>
      <c r="DSE2" s="97"/>
      <c r="DSF2" s="97"/>
      <c r="DSG2" s="97"/>
      <c r="DSH2" s="97"/>
      <c r="DSI2" s="97"/>
      <c r="DSJ2" s="97"/>
      <c r="DSK2" s="97"/>
      <c r="DSL2" s="97"/>
      <c r="DSM2" s="97"/>
      <c r="DSN2" s="97"/>
      <c r="DSO2" s="97"/>
      <c r="DSP2" s="97"/>
      <c r="DSQ2" s="97"/>
      <c r="DSR2" s="97"/>
      <c r="DSS2" s="97"/>
      <c r="DST2" s="97"/>
      <c r="DSU2" s="97"/>
      <c r="DSV2" s="97"/>
      <c r="DSW2" s="97"/>
      <c r="DSX2" s="97"/>
      <c r="DSY2" s="97"/>
      <c r="DSZ2" s="97"/>
      <c r="DTA2" s="97"/>
      <c r="DTB2" s="97"/>
      <c r="DTC2" s="97"/>
      <c r="DTD2" s="97"/>
      <c r="DTE2" s="97"/>
      <c r="DTF2" s="97"/>
      <c r="DTG2" s="97"/>
      <c r="DTH2" s="97"/>
      <c r="DTI2" s="97"/>
      <c r="DTJ2" s="97"/>
      <c r="DTK2" s="97"/>
      <c r="DTL2" s="97"/>
      <c r="DTM2" s="97"/>
      <c r="DTN2" s="97"/>
      <c r="DTO2" s="97"/>
      <c r="DTP2" s="97"/>
      <c r="DTQ2" s="97"/>
      <c r="DTR2" s="97"/>
      <c r="DTS2" s="97"/>
      <c r="DTT2" s="97"/>
      <c r="DTU2" s="97"/>
      <c r="DTV2" s="97"/>
      <c r="DTW2" s="97"/>
      <c r="DTX2" s="97"/>
      <c r="DTY2" s="97"/>
      <c r="DTZ2" s="97"/>
      <c r="DUA2" s="97"/>
      <c r="DUB2" s="97"/>
      <c r="DUC2" s="97"/>
      <c r="DUD2" s="97"/>
      <c r="DUE2" s="97"/>
      <c r="DUF2" s="97"/>
      <c r="DUG2" s="97"/>
      <c r="DUH2" s="97"/>
      <c r="DUI2" s="97"/>
      <c r="DUJ2" s="97"/>
      <c r="DUK2" s="97"/>
      <c r="DUL2" s="97"/>
      <c r="DUM2" s="97"/>
      <c r="DUN2" s="97"/>
      <c r="DUO2" s="97"/>
      <c r="DUP2" s="97"/>
      <c r="DUQ2" s="97"/>
      <c r="DUR2" s="97"/>
      <c r="DUS2" s="97"/>
      <c r="DUT2" s="97"/>
      <c r="DUU2" s="97"/>
      <c r="DUV2" s="97"/>
      <c r="DUW2" s="97"/>
      <c r="DUX2" s="97"/>
      <c r="DUY2" s="97"/>
      <c r="DUZ2" s="97"/>
      <c r="DVA2" s="97"/>
      <c r="DVB2" s="97"/>
      <c r="DVC2" s="97"/>
      <c r="DVD2" s="97"/>
      <c r="DVE2" s="97"/>
      <c r="DVF2" s="97"/>
      <c r="DVG2" s="97"/>
      <c r="DVH2" s="97"/>
      <c r="DVI2" s="97"/>
      <c r="DVJ2" s="97"/>
      <c r="DVK2" s="97"/>
      <c r="DVL2" s="97"/>
      <c r="DVM2" s="97"/>
      <c r="DVN2" s="97"/>
      <c r="DVO2" s="97"/>
      <c r="DVP2" s="97"/>
      <c r="DVQ2" s="97"/>
      <c r="DVR2" s="97"/>
      <c r="DVS2" s="97"/>
      <c r="DVT2" s="97"/>
      <c r="DVU2" s="97"/>
      <c r="DVV2" s="97"/>
      <c r="DVW2" s="97"/>
      <c r="DVX2" s="97"/>
      <c r="DVY2" s="97"/>
      <c r="DVZ2" s="97"/>
      <c r="DWA2" s="97"/>
      <c r="DWB2" s="97"/>
      <c r="DWC2" s="97"/>
      <c r="DWD2" s="97"/>
      <c r="DWE2" s="97"/>
      <c r="DWF2" s="97"/>
      <c r="DWG2" s="97"/>
      <c r="DWH2" s="97"/>
      <c r="DWI2" s="97"/>
      <c r="DWJ2" s="97"/>
      <c r="DWK2" s="97"/>
      <c r="DWL2" s="97"/>
      <c r="DWM2" s="97"/>
      <c r="DWN2" s="97"/>
      <c r="DWO2" s="97"/>
      <c r="DWP2" s="97"/>
      <c r="DWQ2" s="97"/>
      <c r="DWR2" s="97"/>
      <c r="DWS2" s="97"/>
      <c r="DWT2" s="97"/>
      <c r="DWU2" s="97"/>
      <c r="DWV2" s="97"/>
      <c r="DWW2" s="97"/>
      <c r="DWX2" s="97"/>
      <c r="DWY2" s="97"/>
      <c r="DWZ2" s="97"/>
      <c r="DXA2" s="97"/>
      <c r="DXB2" s="97"/>
      <c r="DXC2" s="97"/>
      <c r="DXD2" s="97"/>
      <c r="DXE2" s="97"/>
      <c r="DXF2" s="97"/>
      <c r="DXG2" s="97"/>
      <c r="DXH2" s="97"/>
      <c r="DXI2" s="97"/>
      <c r="DXJ2" s="97"/>
      <c r="DXK2" s="97"/>
      <c r="DXL2" s="97"/>
      <c r="DXM2" s="97"/>
      <c r="DXN2" s="97"/>
      <c r="DXO2" s="97"/>
      <c r="DXP2" s="97"/>
      <c r="DXQ2" s="97"/>
      <c r="DXR2" s="97"/>
      <c r="DXS2" s="97"/>
      <c r="DXT2" s="97"/>
      <c r="DXU2" s="97"/>
      <c r="DXV2" s="97"/>
      <c r="DXW2" s="97"/>
      <c r="DXX2" s="97"/>
      <c r="DXY2" s="97"/>
      <c r="DXZ2" s="97"/>
      <c r="DYA2" s="97"/>
      <c r="DYB2" s="97"/>
      <c r="DYC2" s="97"/>
      <c r="DYD2" s="97"/>
      <c r="DYE2" s="97"/>
      <c r="DYF2" s="97"/>
      <c r="DYG2" s="97"/>
      <c r="DYH2" s="97"/>
      <c r="DYI2" s="97"/>
      <c r="DYJ2" s="97"/>
      <c r="DYK2" s="97"/>
      <c r="DYL2" s="97"/>
      <c r="DYM2" s="97"/>
      <c r="DYN2" s="97"/>
      <c r="DYO2" s="97"/>
      <c r="DYP2" s="97"/>
      <c r="DYQ2" s="97"/>
      <c r="DYR2" s="97"/>
      <c r="DYS2" s="97"/>
      <c r="DYT2" s="97"/>
      <c r="DYU2" s="97"/>
      <c r="DYV2" s="97"/>
      <c r="DYW2" s="97"/>
      <c r="DYX2" s="97"/>
      <c r="DYY2" s="97"/>
      <c r="DYZ2" s="97"/>
      <c r="DZA2" s="97"/>
      <c r="DZB2" s="97"/>
      <c r="DZC2" s="97"/>
      <c r="DZD2" s="97"/>
      <c r="DZE2" s="97"/>
      <c r="DZF2" s="97"/>
      <c r="DZG2" s="97"/>
      <c r="DZH2" s="97"/>
      <c r="DZI2" s="97"/>
      <c r="DZJ2" s="97"/>
      <c r="DZK2" s="97"/>
      <c r="DZL2" s="97"/>
      <c r="DZM2" s="97"/>
      <c r="DZN2" s="97"/>
      <c r="DZO2" s="97"/>
      <c r="DZP2" s="97"/>
      <c r="DZQ2" s="97"/>
      <c r="DZR2" s="97"/>
      <c r="DZS2" s="97"/>
      <c r="DZT2" s="97"/>
      <c r="DZU2" s="97"/>
      <c r="DZV2" s="97"/>
      <c r="DZW2" s="97"/>
      <c r="DZX2" s="97"/>
      <c r="DZY2" s="97"/>
      <c r="DZZ2" s="97"/>
      <c r="EAA2" s="97"/>
      <c r="EAB2" s="97"/>
      <c r="EAC2" s="97"/>
      <c r="EAD2" s="97"/>
      <c r="EAE2" s="97"/>
      <c r="EAF2" s="97"/>
      <c r="EAG2" s="97"/>
      <c r="EAH2" s="97"/>
      <c r="EAI2" s="97"/>
      <c r="EAJ2" s="97"/>
      <c r="EAK2" s="97"/>
      <c r="EAL2" s="97"/>
      <c r="EAM2" s="97"/>
      <c r="EAN2" s="97"/>
      <c r="EAO2" s="97"/>
      <c r="EAP2" s="97"/>
      <c r="EAQ2" s="97"/>
      <c r="EAR2" s="97"/>
      <c r="EAS2" s="97"/>
      <c r="EAT2" s="97"/>
      <c r="EAU2" s="97"/>
      <c r="EAV2" s="97"/>
      <c r="EAW2" s="97"/>
      <c r="EAX2" s="97"/>
      <c r="EAY2" s="97"/>
      <c r="EAZ2" s="97"/>
      <c r="EBA2" s="97"/>
      <c r="EBB2" s="97"/>
      <c r="EBC2" s="97"/>
      <c r="EBD2" s="97"/>
      <c r="EBE2" s="97"/>
      <c r="EBF2" s="97"/>
      <c r="EBG2" s="97"/>
      <c r="EBH2" s="97"/>
      <c r="EBI2" s="97"/>
      <c r="EBJ2" s="97"/>
      <c r="EBK2" s="97"/>
      <c r="EBL2" s="97"/>
      <c r="EBM2" s="97"/>
      <c r="EBN2" s="97"/>
      <c r="EBO2" s="97"/>
      <c r="EBP2" s="97"/>
      <c r="EBQ2" s="97"/>
      <c r="EBR2" s="97"/>
      <c r="EBS2" s="97"/>
      <c r="EBT2" s="97"/>
      <c r="EBU2" s="97"/>
      <c r="EBV2" s="97"/>
      <c r="EBW2" s="97"/>
      <c r="EBX2" s="97"/>
      <c r="EBY2" s="97"/>
      <c r="EBZ2" s="97"/>
      <c r="ECA2" s="97"/>
      <c r="ECB2" s="97"/>
      <c r="ECC2" s="97"/>
      <c r="ECD2" s="97"/>
      <c r="ECE2" s="97"/>
      <c r="ECF2" s="97"/>
      <c r="ECG2" s="97"/>
      <c r="ECH2" s="97"/>
      <c r="ECI2" s="97"/>
      <c r="ECJ2" s="97"/>
      <c r="ECK2" s="97"/>
      <c r="ECL2" s="97"/>
      <c r="ECM2" s="97"/>
      <c r="ECN2" s="97"/>
      <c r="ECO2" s="97"/>
      <c r="ECP2" s="97"/>
      <c r="ECQ2" s="97"/>
      <c r="ECR2" s="97"/>
      <c r="ECS2" s="97"/>
      <c r="ECT2" s="97"/>
      <c r="ECU2" s="97"/>
      <c r="ECV2" s="97"/>
      <c r="ECW2" s="97"/>
      <c r="ECX2" s="97"/>
      <c r="ECY2" s="97"/>
      <c r="ECZ2" s="97"/>
      <c r="EDA2" s="97"/>
      <c r="EDB2" s="97"/>
      <c r="EDC2" s="97"/>
      <c r="EDD2" s="97"/>
      <c r="EDE2" s="97"/>
      <c r="EDF2" s="97"/>
      <c r="EDG2" s="97"/>
      <c r="EDH2" s="97"/>
      <c r="EDI2" s="97"/>
      <c r="EDJ2" s="97"/>
      <c r="EDK2" s="97"/>
      <c r="EDL2" s="97"/>
      <c r="EDM2" s="97"/>
      <c r="EDN2" s="97"/>
      <c r="EDO2" s="97"/>
      <c r="EDP2" s="97"/>
      <c r="EDQ2" s="97"/>
      <c r="EDR2" s="97"/>
      <c r="EDS2" s="97"/>
      <c r="EDT2" s="97"/>
      <c r="EDU2" s="97"/>
      <c r="EDV2" s="97"/>
      <c r="EDW2" s="97"/>
      <c r="EDX2" s="97"/>
      <c r="EDY2" s="97"/>
      <c r="EDZ2" s="97"/>
      <c r="EEA2" s="97"/>
      <c r="EEB2" s="97"/>
      <c r="EEC2" s="97"/>
      <c r="EED2" s="97"/>
      <c r="EEE2" s="97"/>
      <c r="EEF2" s="97"/>
      <c r="EEG2" s="97"/>
      <c r="EEH2" s="97"/>
      <c r="EEI2" s="97"/>
      <c r="EEJ2" s="97"/>
      <c r="EEK2" s="97"/>
      <c r="EEL2" s="97"/>
      <c r="EEM2" s="97"/>
      <c r="EEN2" s="97"/>
      <c r="EEO2" s="97"/>
      <c r="EEP2" s="97"/>
      <c r="EEQ2" s="97"/>
      <c r="EER2" s="97"/>
      <c r="EES2" s="97"/>
      <c r="EET2" s="97"/>
      <c r="EEU2" s="97"/>
      <c r="EEV2" s="97"/>
      <c r="EEW2" s="97"/>
      <c r="EEX2" s="97"/>
      <c r="EEY2" s="97"/>
      <c r="EEZ2" s="97"/>
      <c r="EFA2" s="97"/>
      <c r="EFB2" s="97"/>
      <c r="EFC2" s="97"/>
      <c r="EFD2" s="97"/>
      <c r="EFE2" s="97"/>
      <c r="EFF2" s="97"/>
      <c r="EFG2" s="97"/>
      <c r="EFH2" s="97"/>
      <c r="EFI2" s="97"/>
      <c r="EFJ2" s="97"/>
      <c r="EFK2" s="97"/>
      <c r="EFL2" s="97"/>
      <c r="EFM2" s="97"/>
      <c r="EFN2" s="97"/>
      <c r="EFO2" s="97"/>
      <c r="EFP2" s="97"/>
      <c r="EFQ2" s="97"/>
      <c r="EFR2" s="97"/>
      <c r="EFS2" s="97"/>
      <c r="EFT2" s="97"/>
      <c r="EFU2" s="97"/>
      <c r="EFV2" s="97"/>
      <c r="EFW2" s="97"/>
      <c r="EFX2" s="97"/>
      <c r="EFY2" s="97"/>
      <c r="EFZ2" s="97"/>
      <c r="EGA2" s="97"/>
      <c r="EGB2" s="97"/>
      <c r="EGC2" s="97"/>
      <c r="EGD2" s="97"/>
      <c r="EGE2" s="97"/>
      <c r="EGF2" s="97"/>
      <c r="EGG2" s="97"/>
      <c r="EGH2" s="97"/>
      <c r="EGI2" s="97"/>
      <c r="EGJ2" s="97"/>
      <c r="EGK2" s="97"/>
      <c r="EGL2" s="97"/>
      <c r="EGM2" s="97"/>
      <c r="EGN2" s="97"/>
      <c r="EGO2" s="97"/>
      <c r="EGP2" s="97"/>
      <c r="EGQ2" s="97"/>
      <c r="EGR2" s="97"/>
      <c r="EGS2" s="97"/>
      <c r="EGT2" s="97"/>
      <c r="EGU2" s="97"/>
      <c r="EGV2" s="97"/>
      <c r="EGW2" s="97"/>
      <c r="EGX2" s="97"/>
      <c r="EGY2" s="97"/>
      <c r="EGZ2" s="97"/>
      <c r="EHA2" s="97"/>
      <c r="EHB2" s="97"/>
      <c r="EHC2" s="97"/>
      <c r="EHD2" s="97"/>
      <c r="EHE2" s="97"/>
      <c r="EHF2" s="97"/>
      <c r="EHG2" s="97"/>
      <c r="EHH2" s="97"/>
      <c r="EHI2" s="97"/>
      <c r="EHJ2" s="97"/>
      <c r="EHK2" s="97"/>
      <c r="EHL2" s="97"/>
      <c r="EHM2" s="97"/>
      <c r="EHN2" s="97"/>
      <c r="EHO2" s="97"/>
      <c r="EHP2" s="97"/>
      <c r="EHQ2" s="97"/>
      <c r="EHR2" s="97"/>
      <c r="EHS2" s="97"/>
      <c r="EHT2" s="97"/>
      <c r="EHU2" s="97"/>
      <c r="EHV2" s="97"/>
      <c r="EHW2" s="97"/>
      <c r="EHX2" s="97"/>
      <c r="EHY2" s="97"/>
      <c r="EHZ2" s="97"/>
      <c r="EIA2" s="97"/>
      <c r="EIB2" s="97"/>
      <c r="EIC2" s="97"/>
      <c r="EID2" s="97"/>
      <c r="EIE2" s="97"/>
      <c r="EIF2" s="97"/>
      <c r="EIG2" s="97"/>
      <c r="EIH2" s="97"/>
      <c r="EII2" s="97"/>
      <c r="EIJ2" s="97"/>
      <c r="EIK2" s="97"/>
      <c r="EIL2" s="97"/>
      <c r="EIM2" s="97"/>
      <c r="EIN2" s="97"/>
      <c r="EIO2" s="97"/>
      <c r="EIP2" s="97"/>
      <c r="EIQ2" s="97"/>
      <c r="EIR2" s="97"/>
      <c r="EIS2" s="97"/>
      <c r="EIT2" s="97"/>
      <c r="EIU2" s="97"/>
      <c r="EIV2" s="97"/>
      <c r="EIW2" s="97"/>
      <c r="EIX2" s="97"/>
      <c r="EIY2" s="97"/>
      <c r="EIZ2" s="97"/>
      <c r="EJA2" s="97"/>
      <c r="EJB2" s="97"/>
      <c r="EJC2" s="97"/>
      <c r="EJD2" s="97"/>
      <c r="EJE2" s="97"/>
      <c r="EJF2" s="97"/>
      <c r="EJG2" s="97"/>
      <c r="EJH2" s="97"/>
      <c r="EJI2" s="97"/>
      <c r="EJJ2" s="97"/>
      <c r="EJK2" s="97"/>
      <c r="EJL2" s="97"/>
      <c r="EJM2" s="97"/>
      <c r="EJN2" s="97"/>
      <c r="EJO2" s="97"/>
      <c r="EJP2" s="97"/>
      <c r="EJQ2" s="97"/>
      <c r="EJR2" s="97"/>
      <c r="EJS2" s="97"/>
      <c r="EJT2" s="97"/>
      <c r="EJU2" s="97"/>
      <c r="EJV2" s="97"/>
      <c r="EJW2" s="97"/>
      <c r="EJX2" s="97"/>
      <c r="EJY2" s="97"/>
      <c r="EJZ2" s="97"/>
      <c r="EKA2" s="97"/>
      <c r="EKB2" s="97"/>
      <c r="EKC2" s="97"/>
      <c r="EKD2" s="97"/>
      <c r="EKE2" s="97"/>
      <c r="EKF2" s="97"/>
      <c r="EKG2" s="97"/>
      <c r="EKH2" s="97"/>
      <c r="EKI2" s="97"/>
      <c r="EKJ2" s="97"/>
      <c r="EKK2" s="97"/>
      <c r="EKL2" s="97"/>
      <c r="EKM2" s="97"/>
      <c r="EKN2" s="97"/>
      <c r="EKO2" s="97"/>
      <c r="EKP2" s="97"/>
      <c r="EKQ2" s="97"/>
      <c r="EKR2" s="97"/>
      <c r="EKS2" s="97"/>
      <c r="EKT2" s="97"/>
      <c r="EKU2" s="97"/>
      <c r="EKV2" s="97"/>
      <c r="EKW2" s="97"/>
      <c r="EKX2" s="97"/>
      <c r="EKY2" s="97"/>
      <c r="EKZ2" s="97"/>
      <c r="ELA2" s="97"/>
      <c r="ELB2" s="97"/>
      <c r="ELC2" s="97"/>
      <c r="ELD2" s="97"/>
      <c r="ELE2" s="97"/>
      <c r="ELF2" s="97"/>
      <c r="ELG2" s="97"/>
      <c r="ELH2" s="97"/>
      <c r="ELI2" s="97"/>
      <c r="ELJ2" s="97"/>
      <c r="ELK2" s="97"/>
      <c r="ELL2" s="97"/>
      <c r="ELM2" s="97"/>
      <c r="ELN2" s="97"/>
      <c r="ELO2" s="97"/>
      <c r="ELP2" s="97"/>
      <c r="ELQ2" s="97"/>
      <c r="ELR2" s="97"/>
      <c r="ELS2" s="97"/>
      <c r="ELT2" s="97"/>
      <c r="ELU2" s="97"/>
      <c r="ELV2" s="97"/>
      <c r="ELW2" s="97"/>
      <c r="ELX2" s="97"/>
      <c r="ELY2" s="97"/>
      <c r="ELZ2" s="97"/>
      <c r="EMA2" s="97"/>
      <c r="EMB2" s="97"/>
      <c r="EMC2" s="97"/>
      <c r="EMD2" s="97"/>
      <c r="EME2" s="97"/>
      <c r="EMF2" s="97"/>
      <c r="EMG2" s="97"/>
      <c r="EMH2" s="97"/>
      <c r="EMI2" s="97"/>
      <c r="EMJ2" s="97"/>
      <c r="EMK2" s="97"/>
      <c r="EML2" s="97"/>
      <c r="EMM2" s="97"/>
      <c r="EMN2" s="97"/>
      <c r="EMO2" s="97"/>
      <c r="EMP2" s="97"/>
      <c r="EMQ2" s="97"/>
      <c r="EMR2" s="97"/>
      <c r="EMS2" s="97"/>
      <c r="EMT2" s="97"/>
      <c r="EMU2" s="97"/>
      <c r="EMV2" s="97"/>
      <c r="EMW2" s="97"/>
      <c r="EMX2" s="97"/>
      <c r="EMY2" s="97"/>
      <c r="EMZ2" s="97"/>
      <c r="ENA2" s="97"/>
      <c r="ENB2" s="97"/>
      <c r="ENC2" s="97"/>
      <c r="END2" s="97"/>
      <c r="ENE2" s="97"/>
      <c r="ENF2" s="97"/>
      <c r="ENG2" s="97"/>
      <c r="ENH2" s="97"/>
      <c r="ENI2" s="97"/>
      <c r="ENJ2" s="97"/>
      <c r="ENK2" s="97"/>
      <c r="ENL2" s="97"/>
      <c r="ENM2" s="97"/>
      <c r="ENN2" s="97"/>
      <c r="ENO2" s="97"/>
      <c r="ENP2" s="97"/>
      <c r="ENQ2" s="97"/>
      <c r="ENR2" s="97"/>
      <c r="ENS2" s="97"/>
      <c r="ENT2" s="97"/>
      <c r="ENU2" s="97"/>
      <c r="ENV2" s="97"/>
      <c r="ENW2" s="97"/>
      <c r="ENX2" s="97"/>
      <c r="ENY2" s="97"/>
      <c r="ENZ2" s="97"/>
      <c r="EOA2" s="97"/>
      <c r="EOB2" s="97"/>
      <c r="EOC2" s="97"/>
      <c r="EOD2" s="97"/>
      <c r="EOE2" s="97"/>
      <c r="EOF2" s="97"/>
      <c r="EOG2" s="97"/>
      <c r="EOH2" s="97"/>
      <c r="EOI2" s="97"/>
      <c r="EOJ2" s="97"/>
      <c r="EOK2" s="97"/>
      <c r="EOL2" s="97"/>
      <c r="EOM2" s="97"/>
      <c r="EON2" s="97"/>
      <c r="EOO2" s="97"/>
      <c r="EOP2" s="97"/>
      <c r="EOQ2" s="97"/>
      <c r="EOR2" s="97"/>
      <c r="EOS2" s="97"/>
      <c r="EOT2" s="97"/>
      <c r="EOU2" s="97"/>
      <c r="EOV2" s="97"/>
      <c r="EOW2" s="97"/>
      <c r="EOX2" s="97"/>
      <c r="EOY2" s="97"/>
      <c r="EOZ2" s="97"/>
      <c r="EPA2" s="97"/>
      <c r="EPB2" s="97"/>
      <c r="EPC2" s="97"/>
      <c r="EPD2" s="97"/>
      <c r="EPE2" s="97"/>
      <c r="EPF2" s="97"/>
      <c r="EPG2" s="97"/>
      <c r="EPH2" s="97"/>
      <c r="EPI2" s="97"/>
      <c r="EPJ2" s="97"/>
      <c r="EPK2" s="97"/>
      <c r="EPL2" s="97"/>
      <c r="EPM2" s="97"/>
      <c r="EPN2" s="97"/>
      <c r="EPO2" s="97"/>
      <c r="EPP2" s="97"/>
      <c r="EPQ2" s="97"/>
      <c r="EPR2" s="97"/>
      <c r="EPS2" s="97"/>
      <c r="EPT2" s="97"/>
      <c r="EPU2" s="97"/>
      <c r="EPV2" s="97"/>
      <c r="EPW2" s="97"/>
      <c r="EPX2" s="97"/>
      <c r="EPY2" s="97"/>
      <c r="EPZ2" s="97"/>
      <c r="EQA2" s="97"/>
      <c r="EQB2" s="97"/>
      <c r="EQC2" s="97"/>
      <c r="EQD2" s="97"/>
      <c r="EQE2" s="97"/>
      <c r="EQF2" s="97"/>
      <c r="EQG2" s="97"/>
      <c r="EQH2" s="97"/>
      <c r="EQI2" s="97"/>
      <c r="EQJ2" s="97"/>
      <c r="EQK2" s="97"/>
      <c r="EQL2" s="97"/>
      <c r="EQM2" s="97"/>
      <c r="EQN2" s="97"/>
      <c r="EQO2" s="97"/>
      <c r="EQP2" s="97"/>
      <c r="EQQ2" s="97"/>
      <c r="EQR2" s="97"/>
      <c r="EQS2" s="97"/>
      <c r="EQT2" s="97"/>
      <c r="EQU2" s="97"/>
      <c r="EQV2" s="97"/>
      <c r="EQW2" s="97"/>
      <c r="EQX2" s="97"/>
      <c r="EQY2" s="97"/>
      <c r="EQZ2" s="97"/>
      <c r="ERA2" s="97"/>
      <c r="ERB2" s="97"/>
      <c r="ERC2" s="97"/>
      <c r="ERD2" s="97"/>
      <c r="ERE2" s="97"/>
      <c r="ERF2" s="97"/>
      <c r="ERG2" s="97"/>
      <c r="ERH2" s="97"/>
      <c r="ERI2" s="97"/>
      <c r="ERJ2" s="97"/>
      <c r="ERK2" s="97"/>
      <c r="ERL2" s="97"/>
      <c r="ERM2" s="97"/>
      <c r="ERN2" s="97"/>
      <c r="ERO2" s="97"/>
      <c r="ERP2" s="97"/>
      <c r="ERQ2" s="97"/>
      <c r="ERR2" s="97"/>
      <c r="ERS2" s="97"/>
      <c r="ERT2" s="97"/>
      <c r="ERU2" s="97"/>
      <c r="ERV2" s="97"/>
      <c r="ERW2" s="97"/>
      <c r="ERX2" s="97"/>
      <c r="ERY2" s="97"/>
      <c r="ERZ2" s="97"/>
      <c r="ESA2" s="97"/>
      <c r="ESB2" s="97"/>
      <c r="ESC2" s="97"/>
      <c r="ESD2" s="97"/>
      <c r="ESE2" s="97"/>
      <c r="ESF2" s="97"/>
      <c r="ESG2" s="97"/>
      <c r="ESH2" s="97"/>
      <c r="ESI2" s="97"/>
      <c r="ESJ2" s="97"/>
      <c r="ESK2" s="97"/>
      <c r="ESL2" s="97"/>
      <c r="ESM2" s="97"/>
      <c r="ESN2" s="97"/>
      <c r="ESO2" s="97"/>
      <c r="ESP2" s="97"/>
      <c r="ESQ2" s="97"/>
      <c r="ESR2" s="97"/>
      <c r="ESS2" s="97"/>
      <c r="EST2" s="97"/>
      <c r="ESU2" s="97"/>
      <c r="ESV2" s="97"/>
      <c r="ESW2" s="97"/>
      <c r="ESX2" s="97"/>
      <c r="ESY2" s="97"/>
      <c r="ESZ2" s="97"/>
      <c r="ETA2" s="97"/>
      <c r="ETB2" s="97"/>
      <c r="ETC2" s="97"/>
      <c r="ETD2" s="97"/>
      <c r="ETE2" s="97"/>
      <c r="ETF2" s="97"/>
      <c r="ETG2" s="97"/>
      <c r="ETH2" s="97"/>
      <c r="ETI2" s="97"/>
      <c r="ETJ2" s="97"/>
      <c r="ETK2" s="97"/>
      <c r="ETL2" s="97"/>
      <c r="ETM2" s="97"/>
      <c r="ETN2" s="97"/>
      <c r="ETO2" s="97"/>
      <c r="ETP2" s="97"/>
      <c r="ETQ2" s="97"/>
      <c r="ETR2" s="97"/>
      <c r="ETS2" s="97"/>
      <c r="ETT2" s="97"/>
      <c r="ETU2" s="97"/>
      <c r="ETV2" s="97"/>
      <c r="ETW2" s="97"/>
      <c r="ETX2" s="97"/>
      <c r="ETY2" s="97"/>
      <c r="ETZ2" s="97"/>
      <c r="EUA2" s="97"/>
      <c r="EUB2" s="97"/>
      <c r="EUC2" s="97"/>
      <c r="EUD2" s="97"/>
      <c r="EUE2" s="97"/>
      <c r="EUF2" s="97"/>
      <c r="EUG2" s="97"/>
      <c r="EUH2" s="97"/>
      <c r="EUI2" s="97"/>
      <c r="EUJ2" s="97"/>
      <c r="EUK2" s="97"/>
      <c r="EUL2" s="97"/>
      <c r="EUM2" s="97"/>
      <c r="EUN2" s="97"/>
      <c r="EUO2" s="97"/>
      <c r="EUP2" s="97"/>
      <c r="EUQ2" s="97"/>
      <c r="EUR2" s="97"/>
      <c r="EUS2" s="97"/>
      <c r="EUT2" s="97"/>
      <c r="EUU2" s="97"/>
      <c r="EUV2" s="97"/>
      <c r="EUW2" s="97"/>
      <c r="EUX2" s="97"/>
      <c r="EUY2" s="97"/>
      <c r="EUZ2" s="97"/>
      <c r="EVA2" s="97"/>
      <c r="EVB2" s="97"/>
      <c r="EVC2" s="97"/>
      <c r="EVD2" s="97"/>
      <c r="EVE2" s="97"/>
      <c r="EVF2" s="97"/>
      <c r="EVG2" s="97"/>
      <c r="EVH2" s="97"/>
      <c r="EVI2" s="97"/>
      <c r="EVJ2" s="97"/>
      <c r="EVK2" s="97"/>
      <c r="EVL2" s="97"/>
      <c r="EVM2" s="97"/>
      <c r="EVN2" s="97"/>
      <c r="EVO2" s="97"/>
      <c r="EVP2" s="97"/>
      <c r="EVQ2" s="97"/>
      <c r="EVR2" s="97"/>
      <c r="EVS2" s="97"/>
      <c r="EVT2" s="97"/>
      <c r="EVU2" s="97"/>
      <c r="EVV2" s="97"/>
      <c r="EVW2" s="97"/>
      <c r="EVX2" s="97"/>
      <c r="EVY2" s="97"/>
      <c r="EVZ2" s="97"/>
      <c r="EWA2" s="97"/>
      <c r="EWB2" s="97"/>
      <c r="EWC2" s="97"/>
      <c r="EWD2" s="97"/>
      <c r="EWE2" s="97"/>
      <c r="EWF2" s="97"/>
      <c r="EWG2" s="97"/>
      <c r="EWH2" s="97"/>
      <c r="EWI2" s="97"/>
      <c r="EWJ2" s="97"/>
      <c r="EWK2" s="97"/>
      <c r="EWL2" s="97"/>
      <c r="EWM2" s="97"/>
      <c r="EWN2" s="97"/>
      <c r="EWO2" s="97"/>
      <c r="EWP2" s="97"/>
      <c r="EWQ2" s="97"/>
      <c r="EWR2" s="97"/>
      <c r="EWS2" s="97"/>
      <c r="EWT2" s="97"/>
      <c r="EWU2" s="97"/>
      <c r="EWV2" s="97"/>
      <c r="EWW2" s="97"/>
      <c r="EWX2" s="97"/>
      <c r="EWY2" s="97"/>
      <c r="EWZ2" s="97"/>
      <c r="EXA2" s="97"/>
      <c r="EXB2" s="97"/>
      <c r="EXC2" s="97"/>
      <c r="EXD2" s="97"/>
      <c r="EXE2" s="97"/>
      <c r="EXF2" s="97"/>
      <c r="EXG2" s="97"/>
      <c r="EXH2" s="97"/>
      <c r="EXI2" s="97"/>
      <c r="EXJ2" s="97"/>
      <c r="EXK2" s="97"/>
      <c r="EXL2" s="97"/>
      <c r="EXM2" s="97"/>
      <c r="EXN2" s="97"/>
      <c r="EXO2" s="97"/>
      <c r="EXP2" s="97"/>
      <c r="EXQ2" s="97"/>
      <c r="EXR2" s="97"/>
      <c r="EXS2" s="97"/>
      <c r="EXT2" s="97"/>
      <c r="EXU2" s="97"/>
      <c r="EXV2" s="97"/>
      <c r="EXW2" s="97"/>
      <c r="EXX2" s="97"/>
      <c r="EXY2" s="97"/>
      <c r="EXZ2" s="97"/>
      <c r="EYA2" s="97"/>
      <c r="EYB2" s="97"/>
      <c r="EYC2" s="97"/>
      <c r="EYD2" s="97"/>
      <c r="EYE2" s="97"/>
      <c r="EYF2" s="97"/>
      <c r="EYG2" s="97"/>
      <c r="EYH2" s="97"/>
      <c r="EYI2" s="97"/>
      <c r="EYJ2" s="97"/>
      <c r="EYK2" s="97"/>
      <c r="EYL2" s="97"/>
      <c r="EYM2" s="97"/>
      <c r="EYN2" s="97"/>
      <c r="EYO2" s="97"/>
      <c r="EYP2" s="97"/>
      <c r="EYQ2" s="97"/>
      <c r="EYR2" s="97"/>
      <c r="EYS2" s="97"/>
      <c r="EYT2" s="97"/>
      <c r="EYU2" s="97"/>
      <c r="EYV2" s="97"/>
      <c r="EYW2" s="97"/>
      <c r="EYX2" s="97"/>
      <c r="EYY2" s="97"/>
      <c r="EYZ2" s="97"/>
      <c r="EZA2" s="97"/>
      <c r="EZB2" s="97"/>
      <c r="EZC2" s="97"/>
      <c r="EZD2" s="97"/>
      <c r="EZE2" s="97"/>
      <c r="EZF2" s="97"/>
      <c r="EZG2" s="97"/>
      <c r="EZH2" s="97"/>
      <c r="EZI2" s="97"/>
      <c r="EZJ2" s="97"/>
      <c r="EZK2" s="97"/>
      <c r="EZL2" s="97"/>
      <c r="EZM2" s="97"/>
      <c r="EZN2" s="97"/>
      <c r="EZO2" s="97"/>
      <c r="EZP2" s="97"/>
      <c r="EZQ2" s="97"/>
      <c r="EZR2" s="97"/>
      <c r="EZS2" s="97"/>
      <c r="EZT2" s="97"/>
      <c r="EZU2" s="97"/>
      <c r="EZV2" s="97"/>
      <c r="EZW2" s="97"/>
      <c r="EZX2" s="97"/>
      <c r="EZY2" s="97"/>
      <c r="EZZ2" s="97"/>
      <c r="FAA2" s="97"/>
      <c r="FAB2" s="97"/>
      <c r="FAC2" s="97"/>
      <c r="FAD2" s="97"/>
      <c r="FAE2" s="97"/>
      <c r="FAF2" s="97"/>
      <c r="FAG2" s="97"/>
      <c r="FAH2" s="97"/>
      <c r="FAI2" s="97"/>
      <c r="FAJ2" s="97"/>
      <c r="FAK2" s="97"/>
      <c r="FAL2" s="97"/>
      <c r="FAM2" s="97"/>
      <c r="FAN2" s="97"/>
      <c r="FAO2" s="97"/>
      <c r="FAP2" s="97"/>
      <c r="FAQ2" s="97"/>
      <c r="FAR2" s="97"/>
      <c r="FAS2" s="97"/>
      <c r="FAT2" s="97"/>
      <c r="FAU2" s="97"/>
      <c r="FAV2" s="97"/>
      <c r="FAW2" s="97"/>
      <c r="FAX2" s="97"/>
      <c r="FAY2" s="97"/>
      <c r="FAZ2" s="97"/>
      <c r="FBA2" s="97"/>
      <c r="FBB2" s="97"/>
      <c r="FBC2" s="97"/>
      <c r="FBD2" s="97"/>
      <c r="FBE2" s="97"/>
      <c r="FBF2" s="97"/>
      <c r="FBG2" s="97"/>
      <c r="FBH2" s="97"/>
      <c r="FBI2" s="97"/>
      <c r="FBJ2" s="97"/>
      <c r="FBK2" s="97"/>
      <c r="FBL2" s="97"/>
      <c r="FBM2" s="97"/>
      <c r="FBN2" s="97"/>
      <c r="FBO2" s="97"/>
      <c r="FBP2" s="97"/>
      <c r="FBQ2" s="97"/>
      <c r="FBR2" s="97"/>
      <c r="FBS2" s="97"/>
      <c r="FBT2" s="97"/>
      <c r="FBU2" s="97"/>
      <c r="FBV2" s="97"/>
      <c r="FBW2" s="97"/>
      <c r="FBX2" s="97"/>
      <c r="FBY2" s="97"/>
      <c r="FBZ2" s="97"/>
      <c r="FCA2" s="97"/>
      <c r="FCB2" s="97"/>
      <c r="FCC2" s="97"/>
      <c r="FCD2" s="97"/>
      <c r="FCE2" s="97"/>
      <c r="FCF2" s="97"/>
      <c r="FCG2" s="97"/>
      <c r="FCH2" s="97"/>
      <c r="FCI2" s="97"/>
      <c r="FCJ2" s="97"/>
      <c r="FCK2" s="97"/>
      <c r="FCL2" s="97"/>
      <c r="FCM2" s="97"/>
      <c r="FCN2" s="97"/>
      <c r="FCO2" s="97"/>
      <c r="FCP2" s="97"/>
      <c r="FCQ2" s="97"/>
      <c r="FCR2" s="97"/>
      <c r="FCS2" s="97"/>
      <c r="FCT2" s="97"/>
      <c r="FCU2" s="97"/>
      <c r="FCV2" s="97"/>
      <c r="FCW2" s="97"/>
      <c r="FCX2" s="97"/>
      <c r="FCY2" s="97"/>
      <c r="FCZ2" s="97"/>
      <c r="FDA2" s="97"/>
      <c r="FDB2" s="97"/>
      <c r="FDC2" s="97"/>
      <c r="FDD2" s="97"/>
      <c r="FDE2" s="97"/>
      <c r="FDF2" s="97"/>
      <c r="FDG2" s="97"/>
      <c r="FDH2" s="97"/>
      <c r="FDI2" s="97"/>
      <c r="FDJ2" s="97"/>
      <c r="FDK2" s="97"/>
      <c r="FDL2" s="97"/>
      <c r="FDM2" s="97"/>
      <c r="FDN2" s="97"/>
      <c r="FDO2" s="97"/>
      <c r="FDP2" s="97"/>
      <c r="FDQ2" s="97"/>
      <c r="FDR2" s="97"/>
      <c r="FDS2" s="97"/>
      <c r="FDT2" s="97"/>
      <c r="FDU2" s="97"/>
      <c r="FDV2" s="97"/>
      <c r="FDW2" s="97"/>
      <c r="FDX2" s="97"/>
      <c r="FDY2" s="97"/>
      <c r="FDZ2" s="97"/>
      <c r="FEA2" s="97"/>
      <c r="FEB2" s="97"/>
      <c r="FEC2" s="97"/>
      <c r="FED2" s="97"/>
      <c r="FEE2" s="97"/>
      <c r="FEF2" s="97"/>
      <c r="FEG2" s="97"/>
      <c r="FEH2" s="97"/>
      <c r="FEI2" s="97"/>
      <c r="FEJ2" s="97"/>
      <c r="FEK2" s="97"/>
      <c r="FEL2" s="97"/>
      <c r="FEM2" s="97"/>
      <c r="FEN2" s="97"/>
      <c r="FEO2" s="97"/>
      <c r="FEP2" s="97"/>
      <c r="FEQ2" s="97"/>
      <c r="FER2" s="97"/>
      <c r="FES2" s="97"/>
      <c r="FET2" s="97"/>
      <c r="FEU2" s="97"/>
      <c r="FEV2" s="97"/>
      <c r="FEW2" s="97"/>
      <c r="FEX2" s="97"/>
      <c r="FEY2" s="97"/>
      <c r="FEZ2" s="97"/>
      <c r="FFA2" s="97"/>
      <c r="FFB2" s="97"/>
      <c r="FFC2" s="97"/>
      <c r="FFD2" s="97"/>
      <c r="FFE2" s="97"/>
      <c r="FFF2" s="97"/>
      <c r="FFG2" s="97"/>
      <c r="FFH2" s="97"/>
      <c r="FFI2" s="97"/>
      <c r="FFJ2" s="97"/>
      <c r="FFK2" s="97"/>
      <c r="FFL2" s="97"/>
      <c r="FFM2" s="97"/>
      <c r="FFN2" s="97"/>
      <c r="FFO2" s="97"/>
      <c r="FFP2" s="97"/>
      <c r="FFQ2" s="97"/>
      <c r="FFR2" s="97"/>
      <c r="FFS2" s="97"/>
      <c r="FFT2" s="97"/>
      <c r="FFU2" s="97"/>
      <c r="FFV2" s="97"/>
      <c r="FFW2" s="97"/>
      <c r="FFX2" s="97"/>
      <c r="FFY2" s="97"/>
      <c r="FFZ2" s="97"/>
      <c r="FGA2" s="97"/>
      <c r="FGB2" s="97"/>
      <c r="FGC2" s="97"/>
      <c r="FGD2" s="97"/>
      <c r="FGE2" s="97"/>
      <c r="FGF2" s="97"/>
      <c r="FGG2" s="97"/>
      <c r="FGH2" s="97"/>
      <c r="FGI2" s="97"/>
      <c r="FGJ2" s="97"/>
      <c r="FGK2" s="97"/>
      <c r="FGL2" s="97"/>
      <c r="FGM2" s="97"/>
      <c r="FGN2" s="97"/>
      <c r="FGO2" s="97"/>
      <c r="FGP2" s="97"/>
      <c r="FGQ2" s="97"/>
      <c r="FGR2" s="97"/>
      <c r="FGS2" s="97"/>
      <c r="FGT2" s="97"/>
      <c r="FGU2" s="97"/>
      <c r="FGV2" s="97"/>
      <c r="FGW2" s="97"/>
      <c r="FGX2" s="97"/>
      <c r="FGY2" s="97"/>
      <c r="FGZ2" s="97"/>
      <c r="FHA2" s="97"/>
      <c r="FHB2" s="97"/>
      <c r="FHC2" s="97"/>
      <c r="FHD2" s="97"/>
      <c r="FHE2" s="97"/>
      <c r="FHF2" s="97"/>
      <c r="FHG2" s="97"/>
      <c r="FHH2" s="97"/>
      <c r="FHI2" s="97"/>
      <c r="FHJ2" s="97"/>
      <c r="FHK2" s="97"/>
      <c r="FHL2" s="97"/>
      <c r="FHM2" s="97"/>
      <c r="FHN2" s="97"/>
      <c r="FHO2" s="97"/>
      <c r="FHP2" s="97"/>
      <c r="FHQ2" s="97"/>
      <c r="FHR2" s="97"/>
      <c r="FHS2" s="97"/>
      <c r="FHT2" s="97"/>
      <c r="FHU2" s="97"/>
      <c r="FHV2" s="97"/>
      <c r="FHW2" s="97"/>
      <c r="FHX2" s="97"/>
      <c r="FHY2" s="97"/>
      <c r="FHZ2" s="97"/>
      <c r="FIA2" s="97"/>
      <c r="FIB2" s="97"/>
      <c r="FIC2" s="97"/>
      <c r="FID2" s="97"/>
      <c r="FIE2" s="97"/>
      <c r="FIF2" s="97"/>
      <c r="FIG2" s="97"/>
      <c r="FIH2" s="97"/>
      <c r="FII2" s="97"/>
      <c r="FIJ2" s="97"/>
      <c r="FIK2" s="97"/>
      <c r="FIL2" s="97"/>
      <c r="FIM2" s="97"/>
      <c r="FIN2" s="97"/>
      <c r="FIO2" s="97"/>
      <c r="FIP2" s="97"/>
      <c r="FIQ2" s="97"/>
      <c r="FIR2" s="97"/>
      <c r="FIS2" s="97"/>
      <c r="FIT2" s="97"/>
      <c r="FIU2" s="97"/>
      <c r="FIV2" s="97"/>
      <c r="FIW2" s="97"/>
      <c r="FIX2" s="97"/>
      <c r="FIY2" s="97"/>
      <c r="FIZ2" s="97"/>
      <c r="FJA2" s="97"/>
      <c r="FJB2" s="97"/>
      <c r="FJC2" s="97"/>
      <c r="FJD2" s="97"/>
      <c r="FJE2" s="97"/>
      <c r="FJF2" s="97"/>
      <c r="FJG2" s="97"/>
      <c r="FJH2" s="97"/>
      <c r="FJI2" s="97"/>
      <c r="FJJ2" s="97"/>
      <c r="FJK2" s="97"/>
      <c r="FJL2" s="97"/>
      <c r="FJM2" s="97"/>
      <c r="FJN2" s="97"/>
      <c r="FJO2" s="97"/>
      <c r="FJP2" s="97"/>
      <c r="FJQ2" s="97"/>
      <c r="FJR2" s="97"/>
      <c r="FJS2" s="97"/>
      <c r="FJT2" s="97"/>
      <c r="FJU2" s="97"/>
      <c r="FJV2" s="97"/>
      <c r="FJW2" s="97"/>
      <c r="FJX2" s="97"/>
      <c r="FJY2" s="97"/>
      <c r="FJZ2" s="97"/>
      <c r="FKA2" s="97"/>
      <c r="FKB2" s="97"/>
      <c r="FKC2" s="97"/>
      <c r="FKD2" s="97"/>
      <c r="FKE2" s="97"/>
      <c r="FKF2" s="97"/>
      <c r="FKG2" s="97"/>
      <c r="FKH2" s="97"/>
      <c r="FKI2" s="97"/>
      <c r="FKJ2" s="97"/>
      <c r="FKK2" s="97"/>
      <c r="FKL2" s="97"/>
      <c r="FKM2" s="97"/>
      <c r="FKN2" s="97"/>
      <c r="FKO2" s="97"/>
      <c r="FKP2" s="97"/>
      <c r="FKQ2" s="97"/>
      <c r="FKR2" s="97"/>
      <c r="FKS2" s="97"/>
      <c r="FKT2" s="97"/>
      <c r="FKU2" s="97"/>
      <c r="FKV2" s="97"/>
      <c r="FKW2" s="97"/>
      <c r="FKX2" s="97"/>
      <c r="FKY2" s="97"/>
      <c r="FKZ2" s="97"/>
      <c r="FLA2" s="97"/>
      <c r="FLB2" s="97"/>
      <c r="FLC2" s="97"/>
      <c r="FLD2" s="97"/>
      <c r="FLE2" s="97"/>
      <c r="FLF2" s="97"/>
      <c r="FLG2" s="97"/>
      <c r="FLH2" s="97"/>
      <c r="FLI2" s="97"/>
      <c r="FLJ2" s="97"/>
      <c r="FLK2" s="97"/>
      <c r="FLL2" s="97"/>
      <c r="FLM2" s="97"/>
      <c r="FLN2" s="97"/>
      <c r="FLO2" s="97"/>
      <c r="FLP2" s="97"/>
      <c r="FLQ2" s="97"/>
      <c r="FLR2" s="97"/>
      <c r="FLS2" s="97"/>
      <c r="FLT2" s="97"/>
      <c r="FLU2" s="97"/>
      <c r="FLV2" s="97"/>
      <c r="FLW2" s="97"/>
      <c r="FLX2" s="97"/>
      <c r="FLY2" s="97"/>
      <c r="FLZ2" s="97"/>
      <c r="FMA2" s="97"/>
      <c r="FMB2" s="97"/>
      <c r="FMC2" s="97"/>
      <c r="FMD2" s="97"/>
      <c r="FME2" s="97"/>
      <c r="FMF2" s="97"/>
      <c r="FMG2" s="97"/>
      <c r="FMH2" s="97"/>
      <c r="FMI2" s="97"/>
      <c r="FMJ2" s="97"/>
      <c r="FMK2" s="97"/>
      <c r="FML2" s="97"/>
      <c r="FMM2" s="97"/>
      <c r="FMN2" s="97"/>
      <c r="FMO2" s="97"/>
      <c r="FMP2" s="97"/>
      <c r="FMQ2" s="97"/>
      <c r="FMR2" s="97"/>
      <c r="FMS2" s="97"/>
      <c r="FMT2" s="97"/>
      <c r="FMU2" s="97"/>
      <c r="FMV2" s="97"/>
      <c r="FMW2" s="97"/>
      <c r="FMX2" s="97"/>
      <c r="FMY2" s="97"/>
      <c r="FMZ2" s="97"/>
      <c r="FNA2" s="97"/>
      <c r="FNB2" s="97"/>
      <c r="FNC2" s="97"/>
      <c r="FND2" s="97"/>
      <c r="FNE2" s="97"/>
      <c r="FNF2" s="97"/>
      <c r="FNG2" s="97"/>
      <c r="FNH2" s="97"/>
      <c r="FNI2" s="97"/>
      <c r="FNJ2" s="97"/>
      <c r="FNK2" s="97"/>
      <c r="FNL2" s="97"/>
      <c r="FNM2" s="97"/>
      <c r="FNN2" s="97"/>
      <c r="FNO2" s="97"/>
      <c r="FNP2" s="97"/>
      <c r="FNQ2" s="97"/>
      <c r="FNR2" s="97"/>
      <c r="FNS2" s="97"/>
      <c r="FNT2" s="97"/>
      <c r="FNU2" s="97"/>
      <c r="FNV2" s="97"/>
      <c r="FNW2" s="97"/>
      <c r="FNX2" s="97"/>
      <c r="FNY2" s="97"/>
      <c r="FNZ2" s="97"/>
      <c r="FOA2" s="97"/>
      <c r="FOB2" s="97"/>
      <c r="FOC2" s="97"/>
      <c r="FOD2" s="97"/>
      <c r="FOE2" s="97"/>
      <c r="FOF2" s="97"/>
      <c r="FOG2" s="97"/>
      <c r="FOH2" s="97"/>
      <c r="FOI2" s="97"/>
      <c r="FOJ2" s="97"/>
      <c r="FOK2" s="97"/>
      <c r="FOL2" s="97"/>
      <c r="FOM2" s="97"/>
      <c r="FON2" s="97"/>
      <c r="FOO2" s="97"/>
      <c r="FOP2" s="97"/>
      <c r="FOQ2" s="97"/>
      <c r="FOR2" s="97"/>
      <c r="FOS2" s="97"/>
      <c r="FOT2" s="97"/>
      <c r="FOU2" s="97"/>
      <c r="FOV2" s="97"/>
      <c r="FOW2" s="97"/>
      <c r="FOX2" s="97"/>
      <c r="FOY2" s="97"/>
      <c r="FOZ2" s="97"/>
      <c r="FPA2" s="97"/>
      <c r="FPB2" s="97"/>
      <c r="FPC2" s="97"/>
      <c r="FPD2" s="97"/>
      <c r="FPE2" s="97"/>
      <c r="FPF2" s="97"/>
      <c r="FPG2" s="97"/>
      <c r="FPH2" s="97"/>
      <c r="FPI2" s="97"/>
      <c r="FPJ2" s="97"/>
      <c r="FPK2" s="97"/>
      <c r="FPL2" s="97"/>
      <c r="FPM2" s="97"/>
      <c r="FPN2" s="97"/>
      <c r="FPO2" s="97"/>
      <c r="FPP2" s="97"/>
      <c r="FPQ2" s="97"/>
      <c r="FPR2" s="97"/>
      <c r="FPS2" s="97"/>
      <c r="FPT2" s="97"/>
      <c r="FPU2" s="97"/>
      <c r="FPV2" s="97"/>
      <c r="FPW2" s="97"/>
      <c r="FPX2" s="97"/>
      <c r="FPY2" s="97"/>
      <c r="FPZ2" s="97"/>
      <c r="FQA2" s="97"/>
      <c r="FQB2" s="97"/>
      <c r="FQC2" s="97"/>
      <c r="FQD2" s="97"/>
      <c r="FQE2" s="97"/>
      <c r="FQF2" s="97"/>
      <c r="FQG2" s="97"/>
      <c r="FQH2" s="97"/>
      <c r="FQI2" s="97"/>
      <c r="FQJ2" s="97"/>
      <c r="FQK2" s="97"/>
      <c r="FQL2" s="97"/>
      <c r="FQM2" s="97"/>
      <c r="FQN2" s="97"/>
      <c r="FQO2" s="97"/>
      <c r="FQP2" s="97"/>
      <c r="FQQ2" s="97"/>
      <c r="FQR2" s="97"/>
      <c r="FQS2" s="97"/>
      <c r="FQT2" s="97"/>
      <c r="FQU2" s="97"/>
      <c r="FQV2" s="97"/>
      <c r="FQW2" s="97"/>
      <c r="FQX2" s="97"/>
      <c r="FQY2" s="97"/>
      <c r="FQZ2" s="97"/>
      <c r="FRA2" s="97"/>
      <c r="FRB2" s="97"/>
      <c r="FRC2" s="97"/>
      <c r="FRD2" s="97"/>
      <c r="FRE2" s="97"/>
      <c r="FRF2" s="97"/>
      <c r="FRG2" s="97"/>
      <c r="FRH2" s="97"/>
      <c r="FRI2" s="97"/>
      <c r="FRJ2" s="97"/>
      <c r="FRK2" s="97"/>
      <c r="FRL2" s="97"/>
      <c r="FRM2" s="97"/>
      <c r="FRN2" s="97"/>
      <c r="FRO2" s="97"/>
      <c r="FRP2" s="97"/>
      <c r="FRQ2" s="97"/>
      <c r="FRR2" s="97"/>
      <c r="FRS2" s="97"/>
      <c r="FRT2" s="97"/>
      <c r="FRU2" s="97"/>
      <c r="FRV2" s="97"/>
      <c r="FRW2" s="97"/>
      <c r="FRX2" s="97"/>
      <c r="FRY2" s="97"/>
      <c r="FRZ2" s="97"/>
      <c r="FSA2" s="97"/>
      <c r="FSB2" s="97"/>
      <c r="FSC2" s="97"/>
      <c r="FSD2" s="97"/>
      <c r="FSE2" s="97"/>
      <c r="FSF2" s="97"/>
      <c r="FSG2" s="97"/>
      <c r="FSH2" s="97"/>
      <c r="FSI2" s="97"/>
      <c r="FSJ2" s="97"/>
      <c r="FSK2" s="97"/>
      <c r="FSL2" s="97"/>
      <c r="FSM2" s="97"/>
      <c r="FSN2" s="97"/>
      <c r="FSO2" s="97"/>
      <c r="FSP2" s="97"/>
      <c r="FSQ2" s="97"/>
      <c r="FSR2" s="97"/>
      <c r="FSS2" s="97"/>
      <c r="FST2" s="97"/>
      <c r="FSU2" s="97"/>
      <c r="FSV2" s="97"/>
      <c r="FSW2" s="97"/>
      <c r="FSX2" s="97"/>
      <c r="FSY2" s="97"/>
      <c r="FSZ2" s="97"/>
      <c r="FTA2" s="97"/>
      <c r="FTB2" s="97"/>
      <c r="FTC2" s="97"/>
      <c r="FTD2" s="97"/>
      <c r="FTE2" s="97"/>
      <c r="FTF2" s="97"/>
      <c r="FTG2" s="97"/>
      <c r="FTH2" s="97"/>
      <c r="FTI2" s="97"/>
      <c r="FTJ2" s="97"/>
      <c r="FTK2" s="97"/>
      <c r="FTL2" s="97"/>
      <c r="FTM2" s="97"/>
      <c r="FTN2" s="97"/>
      <c r="FTO2" s="97"/>
      <c r="FTP2" s="97"/>
      <c r="FTQ2" s="97"/>
      <c r="FTR2" s="97"/>
      <c r="FTS2" s="97"/>
      <c r="FTT2" s="97"/>
      <c r="FTU2" s="97"/>
      <c r="FTV2" s="97"/>
      <c r="FTW2" s="97"/>
      <c r="FTX2" s="97"/>
      <c r="FTY2" s="97"/>
      <c r="FTZ2" s="97"/>
      <c r="FUA2" s="97"/>
      <c r="FUB2" s="97"/>
      <c r="FUC2" s="97"/>
      <c r="FUD2" s="97"/>
      <c r="FUE2" s="97"/>
      <c r="FUF2" s="97"/>
      <c r="FUG2" s="97"/>
      <c r="FUH2" s="97"/>
      <c r="FUI2" s="97"/>
      <c r="FUJ2" s="97"/>
      <c r="FUK2" s="97"/>
      <c r="FUL2" s="97"/>
      <c r="FUM2" s="97"/>
      <c r="FUN2" s="97"/>
      <c r="FUO2" s="97"/>
      <c r="FUP2" s="97"/>
      <c r="FUQ2" s="97"/>
      <c r="FUR2" s="97"/>
      <c r="FUS2" s="97"/>
      <c r="FUT2" s="97"/>
      <c r="FUU2" s="97"/>
      <c r="FUV2" s="97"/>
      <c r="FUW2" s="97"/>
      <c r="FUX2" s="97"/>
      <c r="FUY2" s="97"/>
      <c r="FUZ2" s="97"/>
      <c r="FVA2" s="97"/>
      <c r="FVB2" s="97"/>
      <c r="FVC2" s="97"/>
      <c r="FVD2" s="97"/>
      <c r="FVE2" s="97"/>
      <c r="FVF2" s="97"/>
      <c r="FVG2" s="97"/>
      <c r="FVH2" s="97"/>
      <c r="FVI2" s="97"/>
      <c r="FVJ2" s="97"/>
      <c r="FVK2" s="97"/>
      <c r="FVL2" s="97"/>
      <c r="FVM2" s="97"/>
      <c r="FVN2" s="97"/>
      <c r="FVO2" s="97"/>
      <c r="FVP2" s="97"/>
      <c r="FVQ2" s="97"/>
      <c r="FVR2" s="97"/>
      <c r="FVS2" s="97"/>
      <c r="FVT2" s="97"/>
      <c r="FVU2" s="97"/>
      <c r="FVV2" s="97"/>
      <c r="FVW2" s="97"/>
      <c r="FVX2" s="97"/>
      <c r="FVY2" s="97"/>
      <c r="FVZ2" s="97"/>
      <c r="FWA2" s="97"/>
      <c r="FWB2" s="97"/>
      <c r="FWC2" s="97"/>
      <c r="FWD2" s="97"/>
      <c r="FWE2" s="97"/>
      <c r="FWF2" s="97"/>
      <c r="FWG2" s="97"/>
      <c r="FWH2" s="97"/>
      <c r="FWI2" s="97"/>
      <c r="FWJ2" s="97"/>
      <c r="FWK2" s="97"/>
      <c r="FWL2" s="97"/>
      <c r="FWM2" s="97"/>
      <c r="FWN2" s="97"/>
      <c r="FWO2" s="97"/>
      <c r="FWP2" s="97"/>
      <c r="FWQ2" s="97"/>
      <c r="FWR2" s="97"/>
      <c r="FWS2" s="97"/>
      <c r="FWT2" s="97"/>
      <c r="FWU2" s="97"/>
      <c r="FWV2" s="97"/>
      <c r="FWW2" s="97"/>
      <c r="FWX2" s="97"/>
      <c r="FWY2" s="97"/>
      <c r="FWZ2" s="97"/>
      <c r="FXA2" s="97"/>
      <c r="FXB2" s="97"/>
      <c r="FXC2" s="97"/>
      <c r="FXD2" s="97"/>
      <c r="FXE2" s="97"/>
      <c r="FXF2" s="97"/>
      <c r="FXG2" s="97"/>
      <c r="FXH2" s="97"/>
      <c r="FXI2" s="97"/>
      <c r="FXJ2" s="97"/>
      <c r="FXK2" s="97"/>
      <c r="FXL2" s="97"/>
      <c r="FXM2" s="97"/>
      <c r="FXN2" s="97"/>
      <c r="FXO2" s="97"/>
      <c r="FXP2" s="97"/>
      <c r="FXQ2" s="97"/>
      <c r="FXR2" s="97"/>
      <c r="FXS2" s="97"/>
      <c r="FXT2" s="97"/>
      <c r="FXU2" s="97"/>
      <c r="FXV2" s="97"/>
      <c r="FXW2" s="97"/>
      <c r="FXX2" s="97"/>
      <c r="FXY2" s="97"/>
      <c r="FXZ2" s="97"/>
      <c r="FYA2" s="97"/>
      <c r="FYB2" s="97"/>
      <c r="FYC2" s="97"/>
      <c r="FYD2" s="97"/>
      <c r="FYE2" s="97"/>
      <c r="FYF2" s="97"/>
      <c r="FYG2" s="97"/>
      <c r="FYH2" s="97"/>
      <c r="FYI2" s="97"/>
      <c r="FYJ2" s="97"/>
      <c r="FYK2" s="97"/>
      <c r="FYL2" s="97"/>
      <c r="FYM2" s="97"/>
      <c r="FYN2" s="97"/>
      <c r="FYO2" s="97"/>
      <c r="FYP2" s="97"/>
      <c r="FYQ2" s="97"/>
      <c r="FYR2" s="97"/>
      <c r="FYS2" s="97"/>
      <c r="FYT2" s="97"/>
      <c r="FYU2" s="97"/>
      <c r="FYV2" s="97"/>
      <c r="FYW2" s="97"/>
      <c r="FYX2" s="97"/>
      <c r="FYY2" s="97"/>
      <c r="FYZ2" s="97"/>
      <c r="FZA2" s="97"/>
      <c r="FZB2" s="97"/>
      <c r="FZC2" s="97"/>
      <c r="FZD2" s="97"/>
      <c r="FZE2" s="97"/>
      <c r="FZF2" s="97"/>
      <c r="FZG2" s="97"/>
      <c r="FZH2" s="97"/>
      <c r="FZI2" s="97"/>
      <c r="FZJ2" s="97"/>
      <c r="FZK2" s="97"/>
      <c r="FZL2" s="97"/>
      <c r="FZM2" s="97"/>
      <c r="FZN2" s="97"/>
      <c r="FZO2" s="97"/>
      <c r="FZP2" s="97"/>
      <c r="FZQ2" s="97"/>
      <c r="FZR2" s="97"/>
      <c r="FZS2" s="97"/>
      <c r="FZT2" s="97"/>
      <c r="FZU2" s="97"/>
      <c r="FZV2" s="97"/>
      <c r="FZW2" s="97"/>
      <c r="FZX2" s="97"/>
      <c r="FZY2" s="97"/>
      <c r="FZZ2" s="97"/>
      <c r="GAA2" s="97"/>
      <c r="GAB2" s="97"/>
      <c r="GAC2" s="97"/>
      <c r="GAD2" s="97"/>
      <c r="GAE2" s="97"/>
      <c r="GAF2" s="97"/>
      <c r="GAG2" s="97"/>
      <c r="GAH2" s="97"/>
      <c r="GAI2" s="97"/>
      <c r="GAJ2" s="97"/>
      <c r="GAK2" s="97"/>
      <c r="GAL2" s="97"/>
      <c r="GAM2" s="97"/>
      <c r="GAN2" s="97"/>
      <c r="GAO2" s="97"/>
      <c r="GAP2" s="97"/>
      <c r="GAQ2" s="97"/>
      <c r="GAR2" s="97"/>
      <c r="GAS2" s="97"/>
      <c r="GAT2" s="97"/>
      <c r="GAU2" s="97"/>
      <c r="GAV2" s="97"/>
      <c r="GAW2" s="97"/>
      <c r="GAX2" s="97"/>
      <c r="GAY2" s="97"/>
      <c r="GAZ2" s="97"/>
      <c r="GBA2" s="97"/>
      <c r="GBB2" s="97"/>
      <c r="GBC2" s="97"/>
      <c r="GBD2" s="97"/>
      <c r="GBE2" s="97"/>
      <c r="GBF2" s="97"/>
      <c r="GBG2" s="97"/>
      <c r="GBH2" s="97"/>
      <c r="GBI2" s="97"/>
      <c r="GBJ2" s="97"/>
      <c r="GBK2" s="97"/>
      <c r="GBL2" s="97"/>
      <c r="GBM2" s="97"/>
      <c r="GBN2" s="97"/>
      <c r="GBO2" s="97"/>
      <c r="GBP2" s="97"/>
      <c r="GBQ2" s="97"/>
      <c r="GBR2" s="97"/>
      <c r="GBS2" s="97"/>
      <c r="GBT2" s="97"/>
      <c r="GBU2" s="97"/>
      <c r="GBV2" s="97"/>
      <c r="GBW2" s="97"/>
      <c r="GBX2" s="97"/>
      <c r="GBY2" s="97"/>
      <c r="GBZ2" s="97"/>
      <c r="GCA2" s="97"/>
      <c r="GCB2" s="97"/>
      <c r="GCC2" s="97"/>
      <c r="GCD2" s="97"/>
      <c r="GCE2" s="97"/>
      <c r="GCF2" s="97"/>
      <c r="GCG2" s="97"/>
      <c r="GCH2" s="97"/>
      <c r="GCI2" s="97"/>
      <c r="GCJ2" s="97"/>
      <c r="GCK2" s="97"/>
      <c r="GCL2" s="97"/>
      <c r="GCM2" s="97"/>
      <c r="GCN2" s="97"/>
      <c r="GCO2" s="97"/>
      <c r="GCP2" s="97"/>
      <c r="GCQ2" s="97"/>
      <c r="GCR2" s="97"/>
      <c r="GCS2" s="97"/>
      <c r="GCT2" s="97"/>
      <c r="GCU2" s="97"/>
      <c r="GCV2" s="97"/>
      <c r="GCW2" s="97"/>
      <c r="GCX2" s="97"/>
      <c r="GCY2" s="97"/>
      <c r="GCZ2" s="97"/>
      <c r="GDA2" s="97"/>
      <c r="GDB2" s="97"/>
      <c r="GDC2" s="97"/>
      <c r="GDD2" s="97"/>
      <c r="GDE2" s="97"/>
      <c r="GDF2" s="97"/>
      <c r="GDG2" s="97"/>
      <c r="GDH2" s="97"/>
      <c r="GDI2" s="97"/>
      <c r="GDJ2" s="97"/>
      <c r="GDK2" s="97"/>
      <c r="GDL2" s="97"/>
      <c r="GDM2" s="97"/>
      <c r="GDN2" s="97"/>
      <c r="GDO2" s="97"/>
      <c r="GDP2" s="97"/>
      <c r="GDQ2" s="97"/>
      <c r="GDR2" s="97"/>
      <c r="GDS2" s="97"/>
      <c r="GDT2" s="97"/>
      <c r="GDU2" s="97"/>
      <c r="GDV2" s="97"/>
      <c r="GDW2" s="97"/>
      <c r="GDX2" s="97"/>
      <c r="GDY2" s="97"/>
      <c r="GDZ2" s="97"/>
      <c r="GEA2" s="97"/>
      <c r="GEB2" s="97"/>
      <c r="GEC2" s="97"/>
      <c r="GED2" s="97"/>
      <c r="GEE2" s="97"/>
      <c r="GEF2" s="97"/>
      <c r="GEG2" s="97"/>
      <c r="GEH2" s="97"/>
      <c r="GEI2" s="97"/>
      <c r="GEJ2" s="97"/>
      <c r="GEK2" s="97"/>
      <c r="GEL2" s="97"/>
      <c r="GEM2" s="97"/>
      <c r="GEN2" s="97"/>
      <c r="GEO2" s="97"/>
      <c r="GEP2" s="97"/>
      <c r="GEQ2" s="97"/>
      <c r="GER2" s="97"/>
      <c r="GES2" s="97"/>
      <c r="GET2" s="97"/>
      <c r="GEU2" s="97"/>
      <c r="GEV2" s="97"/>
      <c r="GEW2" s="97"/>
      <c r="GEX2" s="97"/>
      <c r="GEY2" s="97"/>
      <c r="GEZ2" s="97"/>
      <c r="GFA2" s="97"/>
      <c r="GFB2" s="97"/>
      <c r="GFC2" s="97"/>
      <c r="GFD2" s="97"/>
      <c r="GFE2" s="97"/>
      <c r="GFF2" s="97"/>
      <c r="GFG2" s="97"/>
      <c r="GFH2" s="97"/>
      <c r="GFI2" s="97"/>
      <c r="GFJ2" s="97"/>
      <c r="GFK2" s="97"/>
      <c r="GFL2" s="97"/>
      <c r="GFM2" s="97"/>
      <c r="GFN2" s="97"/>
      <c r="GFO2" s="97"/>
      <c r="GFP2" s="97"/>
      <c r="GFQ2" s="97"/>
      <c r="GFR2" s="97"/>
      <c r="GFS2" s="97"/>
      <c r="GFT2" s="97"/>
      <c r="GFU2" s="97"/>
      <c r="GFV2" s="97"/>
      <c r="GFW2" s="97"/>
      <c r="GFX2" s="97"/>
      <c r="GFY2" s="97"/>
      <c r="GFZ2" s="97"/>
      <c r="GGA2" s="97"/>
      <c r="GGB2" s="97"/>
      <c r="GGC2" s="97"/>
      <c r="GGD2" s="97"/>
      <c r="GGE2" s="97"/>
      <c r="GGF2" s="97"/>
      <c r="GGG2" s="97"/>
      <c r="GGH2" s="97"/>
      <c r="GGI2" s="97"/>
      <c r="GGJ2" s="97"/>
      <c r="GGK2" s="97"/>
      <c r="GGL2" s="97"/>
      <c r="GGM2" s="97"/>
      <c r="GGN2" s="97"/>
      <c r="GGO2" s="97"/>
      <c r="GGP2" s="97"/>
      <c r="GGQ2" s="97"/>
      <c r="GGR2" s="97"/>
      <c r="GGS2" s="97"/>
      <c r="GGT2" s="97"/>
      <c r="GGU2" s="97"/>
      <c r="GGV2" s="97"/>
      <c r="GGW2" s="97"/>
      <c r="GGX2" s="97"/>
      <c r="GGY2" s="97"/>
      <c r="GGZ2" s="97"/>
      <c r="GHA2" s="97"/>
      <c r="GHB2" s="97"/>
      <c r="GHC2" s="97"/>
      <c r="GHD2" s="97"/>
      <c r="GHE2" s="97"/>
      <c r="GHF2" s="97"/>
      <c r="GHG2" s="97"/>
      <c r="GHH2" s="97"/>
      <c r="GHI2" s="97"/>
      <c r="GHJ2" s="97"/>
      <c r="GHK2" s="97"/>
      <c r="GHL2" s="97"/>
      <c r="GHM2" s="97"/>
      <c r="GHN2" s="97"/>
      <c r="GHO2" s="97"/>
      <c r="GHP2" s="97"/>
      <c r="GHQ2" s="97"/>
      <c r="GHR2" s="97"/>
      <c r="GHS2" s="97"/>
      <c r="GHT2" s="97"/>
      <c r="GHU2" s="97"/>
      <c r="GHV2" s="97"/>
      <c r="GHW2" s="97"/>
      <c r="GHX2" s="97"/>
      <c r="GHY2" s="97"/>
      <c r="GHZ2" s="97"/>
      <c r="GIA2" s="97"/>
      <c r="GIB2" s="97"/>
      <c r="GIC2" s="97"/>
      <c r="GID2" s="97"/>
      <c r="GIE2" s="97"/>
      <c r="GIF2" s="97"/>
      <c r="GIG2" s="97"/>
      <c r="GIH2" s="97"/>
      <c r="GII2" s="97"/>
      <c r="GIJ2" s="97"/>
      <c r="GIK2" s="97"/>
      <c r="GIL2" s="97"/>
      <c r="GIM2" s="97"/>
      <c r="GIN2" s="97"/>
      <c r="GIO2" s="97"/>
      <c r="GIP2" s="97"/>
      <c r="GIQ2" s="97"/>
      <c r="GIR2" s="97"/>
      <c r="GIS2" s="97"/>
      <c r="GIT2" s="97"/>
      <c r="GIU2" s="97"/>
      <c r="GIV2" s="97"/>
      <c r="GIW2" s="97"/>
      <c r="GIX2" s="97"/>
      <c r="GIY2" s="97"/>
      <c r="GIZ2" s="97"/>
      <c r="GJA2" s="97"/>
      <c r="GJB2" s="97"/>
      <c r="GJC2" s="97"/>
      <c r="GJD2" s="97"/>
      <c r="GJE2" s="97"/>
      <c r="GJF2" s="97"/>
      <c r="GJG2" s="97"/>
      <c r="GJH2" s="97"/>
      <c r="GJI2" s="97"/>
      <c r="GJJ2" s="97"/>
      <c r="GJK2" s="97"/>
      <c r="GJL2" s="97"/>
      <c r="GJM2" s="97"/>
      <c r="GJN2" s="97"/>
      <c r="GJO2" s="97"/>
      <c r="GJP2" s="97"/>
      <c r="GJQ2" s="97"/>
      <c r="GJR2" s="97"/>
      <c r="GJS2" s="97"/>
      <c r="GJT2" s="97"/>
      <c r="GJU2" s="97"/>
      <c r="GJV2" s="97"/>
      <c r="GJW2" s="97"/>
      <c r="GJX2" s="97"/>
      <c r="GJY2" s="97"/>
      <c r="GJZ2" s="97"/>
      <c r="GKA2" s="97"/>
      <c r="GKB2" s="97"/>
      <c r="GKC2" s="97"/>
      <c r="GKD2" s="97"/>
      <c r="GKE2" s="97"/>
      <c r="GKF2" s="97"/>
      <c r="GKG2" s="97"/>
      <c r="GKH2" s="97"/>
      <c r="GKI2" s="97"/>
      <c r="GKJ2" s="97"/>
      <c r="GKK2" s="97"/>
      <c r="GKL2" s="97"/>
      <c r="GKM2" s="97"/>
      <c r="GKN2" s="97"/>
      <c r="GKO2" s="97"/>
      <c r="GKP2" s="97"/>
      <c r="GKQ2" s="97"/>
      <c r="GKR2" s="97"/>
      <c r="GKS2" s="97"/>
      <c r="GKT2" s="97"/>
      <c r="GKU2" s="97"/>
      <c r="GKV2" s="97"/>
      <c r="GKW2" s="97"/>
      <c r="GKX2" s="97"/>
      <c r="GKY2" s="97"/>
      <c r="GKZ2" s="97"/>
      <c r="GLA2" s="97"/>
      <c r="GLB2" s="97"/>
      <c r="GLC2" s="97"/>
      <c r="GLD2" s="97"/>
      <c r="GLE2" s="97"/>
      <c r="GLF2" s="97"/>
      <c r="GLG2" s="97"/>
      <c r="GLH2" s="97"/>
      <c r="GLI2" s="97"/>
      <c r="GLJ2" s="97"/>
      <c r="GLK2" s="97"/>
      <c r="GLL2" s="97"/>
      <c r="GLM2" s="97"/>
      <c r="GLN2" s="97"/>
      <c r="GLO2" s="97"/>
      <c r="GLP2" s="97"/>
      <c r="GLQ2" s="97"/>
      <c r="GLR2" s="97"/>
      <c r="GLS2" s="97"/>
      <c r="GLT2" s="97"/>
      <c r="GLU2" s="97"/>
      <c r="GLV2" s="97"/>
      <c r="GLW2" s="97"/>
      <c r="GLX2" s="97"/>
      <c r="GLY2" s="97"/>
      <c r="GLZ2" s="97"/>
      <c r="GMA2" s="97"/>
      <c r="GMB2" s="97"/>
      <c r="GMC2" s="97"/>
      <c r="GMD2" s="97"/>
      <c r="GME2" s="97"/>
      <c r="GMF2" s="97"/>
      <c r="GMG2" s="97"/>
      <c r="GMH2" s="97"/>
      <c r="GMI2" s="97"/>
      <c r="GMJ2" s="97"/>
      <c r="GMK2" s="97"/>
      <c r="GML2" s="97"/>
      <c r="GMM2" s="97"/>
      <c r="GMN2" s="97"/>
      <c r="GMO2" s="97"/>
      <c r="GMP2" s="97"/>
      <c r="GMQ2" s="97"/>
      <c r="GMR2" s="97"/>
      <c r="GMS2" s="97"/>
      <c r="GMT2" s="97"/>
      <c r="GMU2" s="97"/>
      <c r="GMV2" s="97"/>
      <c r="GMW2" s="97"/>
      <c r="GMX2" s="97"/>
      <c r="GMY2" s="97"/>
      <c r="GMZ2" s="97"/>
      <c r="GNA2" s="97"/>
      <c r="GNB2" s="97"/>
      <c r="GNC2" s="97"/>
      <c r="GND2" s="97"/>
      <c r="GNE2" s="97"/>
      <c r="GNF2" s="97"/>
      <c r="GNG2" s="97"/>
      <c r="GNH2" s="97"/>
      <c r="GNI2" s="97"/>
      <c r="GNJ2" s="97"/>
      <c r="GNK2" s="97"/>
      <c r="GNL2" s="97"/>
      <c r="GNM2" s="97"/>
      <c r="GNN2" s="97"/>
      <c r="GNO2" s="97"/>
      <c r="GNP2" s="97"/>
      <c r="GNQ2" s="97"/>
      <c r="GNR2" s="97"/>
      <c r="GNS2" s="97"/>
      <c r="GNT2" s="97"/>
      <c r="GNU2" s="97"/>
      <c r="GNV2" s="97"/>
      <c r="GNW2" s="97"/>
      <c r="GNX2" s="97"/>
      <c r="GNY2" s="97"/>
      <c r="GNZ2" s="97"/>
      <c r="GOA2" s="97"/>
      <c r="GOB2" s="97"/>
      <c r="GOC2" s="97"/>
      <c r="GOD2" s="97"/>
      <c r="GOE2" s="97"/>
      <c r="GOF2" s="97"/>
      <c r="GOG2" s="97"/>
      <c r="GOH2" s="97"/>
      <c r="GOI2" s="97"/>
      <c r="GOJ2" s="97"/>
      <c r="GOK2" s="97"/>
      <c r="GOL2" s="97"/>
      <c r="GOM2" s="97"/>
      <c r="GON2" s="97"/>
      <c r="GOO2" s="97"/>
      <c r="GOP2" s="97"/>
      <c r="GOQ2" s="97"/>
      <c r="GOR2" s="97"/>
      <c r="GOS2" s="97"/>
      <c r="GOT2" s="97"/>
      <c r="GOU2" s="97"/>
      <c r="GOV2" s="97"/>
      <c r="GOW2" s="97"/>
      <c r="GOX2" s="97"/>
      <c r="GOY2" s="97"/>
      <c r="GOZ2" s="97"/>
      <c r="GPA2" s="97"/>
      <c r="GPB2" s="97"/>
      <c r="GPC2" s="97"/>
      <c r="GPD2" s="97"/>
      <c r="GPE2" s="97"/>
      <c r="GPF2" s="97"/>
      <c r="GPG2" s="97"/>
      <c r="GPH2" s="97"/>
      <c r="GPI2" s="97"/>
      <c r="GPJ2" s="97"/>
      <c r="GPK2" s="97"/>
      <c r="GPL2" s="97"/>
      <c r="GPM2" s="97"/>
      <c r="GPN2" s="97"/>
      <c r="GPO2" s="97"/>
      <c r="GPP2" s="97"/>
      <c r="GPQ2" s="97"/>
      <c r="GPR2" s="97"/>
      <c r="GPS2" s="97"/>
      <c r="GPT2" s="97"/>
      <c r="GPU2" s="97"/>
      <c r="GPV2" s="97"/>
      <c r="GPW2" s="97"/>
      <c r="GPX2" s="97"/>
      <c r="GPY2" s="97"/>
      <c r="GPZ2" s="97"/>
      <c r="GQA2" s="97"/>
      <c r="GQB2" s="97"/>
      <c r="GQC2" s="97"/>
      <c r="GQD2" s="97"/>
      <c r="GQE2" s="97"/>
      <c r="GQF2" s="97"/>
      <c r="GQG2" s="97"/>
      <c r="GQH2" s="97"/>
      <c r="GQI2" s="97"/>
      <c r="GQJ2" s="97"/>
      <c r="GQK2" s="97"/>
      <c r="GQL2" s="97"/>
      <c r="GQM2" s="97"/>
      <c r="GQN2" s="97"/>
      <c r="GQO2" s="97"/>
      <c r="GQP2" s="97"/>
      <c r="GQQ2" s="97"/>
      <c r="GQR2" s="97"/>
      <c r="GQS2" s="97"/>
      <c r="GQT2" s="97"/>
      <c r="GQU2" s="97"/>
      <c r="GQV2" s="97"/>
      <c r="GQW2" s="97"/>
      <c r="GQX2" s="97"/>
      <c r="GQY2" s="97"/>
      <c r="GQZ2" s="97"/>
      <c r="GRA2" s="97"/>
      <c r="GRB2" s="97"/>
      <c r="GRC2" s="97"/>
      <c r="GRD2" s="97"/>
      <c r="GRE2" s="97"/>
      <c r="GRF2" s="97"/>
      <c r="GRG2" s="97"/>
      <c r="GRH2" s="97"/>
      <c r="GRI2" s="97"/>
      <c r="GRJ2" s="97"/>
      <c r="GRK2" s="97"/>
      <c r="GRL2" s="97"/>
      <c r="GRM2" s="97"/>
      <c r="GRN2" s="97"/>
      <c r="GRO2" s="97"/>
      <c r="GRP2" s="97"/>
      <c r="GRQ2" s="97"/>
      <c r="GRR2" s="97"/>
      <c r="GRS2" s="97"/>
      <c r="GRT2" s="97"/>
      <c r="GRU2" s="97"/>
      <c r="GRV2" s="97"/>
      <c r="GRW2" s="97"/>
      <c r="GRX2" s="97"/>
      <c r="GRY2" s="97"/>
      <c r="GRZ2" s="97"/>
      <c r="GSA2" s="97"/>
      <c r="GSB2" s="97"/>
      <c r="GSC2" s="97"/>
      <c r="GSD2" s="97"/>
      <c r="GSE2" s="97"/>
      <c r="GSF2" s="97"/>
      <c r="GSG2" s="97"/>
      <c r="GSH2" s="97"/>
      <c r="GSI2" s="97"/>
      <c r="GSJ2" s="97"/>
      <c r="GSK2" s="97"/>
      <c r="GSL2" s="97"/>
      <c r="GSM2" s="97"/>
      <c r="GSN2" s="97"/>
      <c r="GSO2" s="97"/>
      <c r="GSP2" s="97"/>
      <c r="GSQ2" s="97"/>
      <c r="GSR2" s="97"/>
      <c r="GSS2" s="97"/>
      <c r="GST2" s="97"/>
      <c r="GSU2" s="97"/>
      <c r="GSV2" s="97"/>
      <c r="GSW2" s="97"/>
      <c r="GSX2" s="97"/>
      <c r="GSY2" s="97"/>
      <c r="GSZ2" s="97"/>
      <c r="GTA2" s="97"/>
      <c r="GTB2" s="97"/>
      <c r="GTC2" s="97"/>
      <c r="GTD2" s="97"/>
      <c r="GTE2" s="97"/>
      <c r="GTF2" s="97"/>
      <c r="GTG2" s="97"/>
      <c r="GTH2" s="97"/>
      <c r="GTI2" s="97"/>
      <c r="GTJ2" s="97"/>
      <c r="GTK2" s="97"/>
      <c r="GTL2" s="97"/>
      <c r="GTM2" s="97"/>
      <c r="GTN2" s="97"/>
      <c r="GTO2" s="97"/>
      <c r="GTP2" s="97"/>
      <c r="GTQ2" s="97"/>
      <c r="GTR2" s="97"/>
      <c r="GTS2" s="97"/>
      <c r="GTT2" s="97"/>
      <c r="GTU2" s="97"/>
      <c r="GTV2" s="97"/>
      <c r="GTW2" s="97"/>
      <c r="GTX2" s="97"/>
      <c r="GTY2" s="97"/>
      <c r="GTZ2" s="97"/>
      <c r="GUA2" s="97"/>
      <c r="GUB2" s="97"/>
      <c r="GUC2" s="97"/>
      <c r="GUD2" s="97"/>
      <c r="GUE2" s="97"/>
      <c r="GUF2" s="97"/>
      <c r="GUG2" s="97"/>
      <c r="GUH2" s="97"/>
      <c r="GUI2" s="97"/>
      <c r="GUJ2" s="97"/>
      <c r="GUK2" s="97"/>
      <c r="GUL2" s="97"/>
      <c r="GUM2" s="97"/>
      <c r="GUN2" s="97"/>
      <c r="GUO2" s="97"/>
      <c r="GUP2" s="97"/>
      <c r="GUQ2" s="97"/>
      <c r="GUR2" s="97"/>
      <c r="GUS2" s="97"/>
      <c r="GUT2" s="97"/>
      <c r="GUU2" s="97"/>
      <c r="GUV2" s="97"/>
      <c r="GUW2" s="97"/>
      <c r="GUX2" s="97"/>
      <c r="GUY2" s="97"/>
      <c r="GUZ2" s="97"/>
      <c r="GVA2" s="97"/>
      <c r="GVB2" s="97"/>
      <c r="GVC2" s="97"/>
      <c r="GVD2" s="97"/>
      <c r="GVE2" s="97"/>
      <c r="GVF2" s="97"/>
      <c r="GVG2" s="97"/>
      <c r="GVH2" s="97"/>
      <c r="GVI2" s="97"/>
      <c r="GVJ2" s="97"/>
      <c r="GVK2" s="97"/>
      <c r="GVL2" s="97"/>
      <c r="GVM2" s="97"/>
      <c r="GVN2" s="97"/>
      <c r="GVO2" s="97"/>
      <c r="GVP2" s="97"/>
      <c r="GVQ2" s="97"/>
      <c r="GVR2" s="97"/>
      <c r="GVS2" s="97"/>
      <c r="GVT2" s="97"/>
      <c r="GVU2" s="97"/>
      <c r="GVV2" s="97"/>
      <c r="GVW2" s="97"/>
      <c r="GVX2" s="97"/>
      <c r="GVY2" s="97"/>
      <c r="GVZ2" s="97"/>
      <c r="GWA2" s="97"/>
      <c r="GWB2" s="97"/>
      <c r="GWC2" s="97"/>
      <c r="GWD2" s="97"/>
      <c r="GWE2" s="97"/>
      <c r="GWF2" s="97"/>
      <c r="GWG2" s="97"/>
      <c r="GWH2" s="97"/>
      <c r="GWI2" s="97"/>
      <c r="GWJ2" s="97"/>
      <c r="GWK2" s="97"/>
      <c r="GWL2" s="97"/>
      <c r="GWM2" s="97"/>
      <c r="GWN2" s="97"/>
      <c r="GWO2" s="97"/>
      <c r="GWP2" s="97"/>
      <c r="GWQ2" s="97"/>
      <c r="GWR2" s="97"/>
      <c r="GWS2" s="97"/>
      <c r="GWT2" s="97"/>
      <c r="GWU2" s="97"/>
      <c r="GWV2" s="97"/>
      <c r="GWW2" s="97"/>
      <c r="GWX2" s="97"/>
      <c r="GWY2" s="97"/>
      <c r="GWZ2" s="97"/>
      <c r="GXA2" s="97"/>
      <c r="GXB2" s="97"/>
      <c r="GXC2" s="97"/>
      <c r="GXD2" s="97"/>
      <c r="GXE2" s="97"/>
      <c r="GXF2" s="97"/>
      <c r="GXG2" s="97"/>
      <c r="GXH2" s="97"/>
      <c r="GXI2" s="97"/>
      <c r="GXJ2" s="97"/>
      <c r="GXK2" s="97"/>
      <c r="GXL2" s="97"/>
      <c r="GXM2" s="97"/>
      <c r="GXN2" s="97"/>
      <c r="GXO2" s="97"/>
      <c r="GXP2" s="97"/>
      <c r="GXQ2" s="97"/>
      <c r="GXR2" s="97"/>
      <c r="GXS2" s="97"/>
      <c r="GXT2" s="97"/>
      <c r="GXU2" s="97"/>
      <c r="GXV2" s="97"/>
      <c r="GXW2" s="97"/>
      <c r="GXX2" s="97"/>
      <c r="GXY2" s="97"/>
      <c r="GXZ2" s="97"/>
      <c r="GYA2" s="97"/>
      <c r="GYB2" s="97"/>
      <c r="GYC2" s="97"/>
      <c r="GYD2" s="97"/>
      <c r="GYE2" s="97"/>
      <c r="GYF2" s="97"/>
      <c r="GYG2" s="97"/>
      <c r="GYH2" s="97"/>
      <c r="GYI2" s="97"/>
      <c r="GYJ2" s="97"/>
      <c r="GYK2" s="97"/>
      <c r="GYL2" s="97"/>
      <c r="GYM2" s="97"/>
      <c r="GYN2" s="97"/>
      <c r="GYO2" s="97"/>
      <c r="GYP2" s="97"/>
      <c r="GYQ2" s="97"/>
      <c r="GYR2" s="97"/>
      <c r="GYS2" s="97"/>
      <c r="GYT2" s="97"/>
      <c r="GYU2" s="97"/>
      <c r="GYV2" s="97"/>
      <c r="GYW2" s="97"/>
      <c r="GYX2" s="97"/>
      <c r="GYY2" s="97"/>
      <c r="GYZ2" s="97"/>
      <c r="GZA2" s="97"/>
      <c r="GZB2" s="97"/>
      <c r="GZC2" s="97"/>
      <c r="GZD2" s="97"/>
      <c r="GZE2" s="97"/>
      <c r="GZF2" s="97"/>
      <c r="GZG2" s="97"/>
      <c r="GZH2" s="97"/>
      <c r="GZI2" s="97"/>
      <c r="GZJ2" s="97"/>
      <c r="GZK2" s="97"/>
      <c r="GZL2" s="97"/>
      <c r="GZM2" s="97"/>
      <c r="GZN2" s="97"/>
      <c r="GZO2" s="97"/>
      <c r="GZP2" s="97"/>
      <c r="GZQ2" s="97"/>
      <c r="GZR2" s="97"/>
      <c r="GZS2" s="97"/>
      <c r="GZT2" s="97"/>
      <c r="GZU2" s="97"/>
      <c r="GZV2" s="97"/>
      <c r="GZW2" s="97"/>
      <c r="GZX2" s="97"/>
      <c r="GZY2" s="97"/>
      <c r="GZZ2" s="97"/>
      <c r="HAA2" s="97"/>
      <c r="HAB2" s="97"/>
      <c r="HAC2" s="97"/>
      <c r="HAD2" s="97"/>
      <c r="HAE2" s="97"/>
      <c r="HAF2" s="97"/>
      <c r="HAG2" s="97"/>
      <c r="HAH2" s="97"/>
      <c r="HAI2" s="97"/>
      <c r="HAJ2" s="97"/>
      <c r="HAK2" s="97"/>
      <c r="HAL2" s="97"/>
      <c r="HAM2" s="97"/>
      <c r="HAN2" s="97"/>
      <c r="HAO2" s="97"/>
      <c r="HAP2" s="97"/>
      <c r="HAQ2" s="97"/>
      <c r="HAR2" s="97"/>
      <c r="HAS2" s="97"/>
      <c r="HAT2" s="97"/>
      <c r="HAU2" s="97"/>
      <c r="HAV2" s="97"/>
      <c r="HAW2" s="97"/>
      <c r="HAX2" s="97"/>
      <c r="HAY2" s="97"/>
      <c r="HAZ2" s="97"/>
      <c r="HBA2" s="97"/>
      <c r="HBB2" s="97"/>
      <c r="HBC2" s="97"/>
      <c r="HBD2" s="97"/>
      <c r="HBE2" s="97"/>
      <c r="HBF2" s="97"/>
      <c r="HBG2" s="97"/>
      <c r="HBH2" s="97"/>
      <c r="HBI2" s="97"/>
      <c r="HBJ2" s="97"/>
      <c r="HBK2" s="97"/>
      <c r="HBL2" s="97"/>
      <c r="HBM2" s="97"/>
      <c r="HBN2" s="97"/>
      <c r="HBO2" s="97"/>
      <c r="HBP2" s="97"/>
      <c r="HBQ2" s="97"/>
      <c r="HBR2" s="97"/>
      <c r="HBS2" s="97"/>
      <c r="HBT2" s="97"/>
      <c r="HBU2" s="97"/>
      <c r="HBV2" s="97"/>
      <c r="HBW2" s="97"/>
      <c r="HBX2" s="97"/>
      <c r="HBY2" s="97"/>
      <c r="HBZ2" s="97"/>
      <c r="HCA2" s="97"/>
      <c r="HCB2" s="97"/>
      <c r="HCC2" s="97"/>
      <c r="HCD2" s="97"/>
      <c r="HCE2" s="97"/>
      <c r="HCF2" s="97"/>
      <c r="HCG2" s="97"/>
      <c r="HCH2" s="97"/>
      <c r="HCI2" s="97"/>
      <c r="HCJ2" s="97"/>
      <c r="HCK2" s="97"/>
      <c r="HCL2" s="97"/>
      <c r="HCM2" s="97"/>
      <c r="HCN2" s="97"/>
      <c r="HCO2" s="97"/>
      <c r="HCP2" s="97"/>
      <c r="HCQ2" s="97"/>
      <c r="HCR2" s="97"/>
      <c r="HCS2" s="97"/>
      <c r="HCT2" s="97"/>
      <c r="HCU2" s="97"/>
      <c r="HCV2" s="97"/>
      <c r="HCW2" s="97"/>
      <c r="HCX2" s="97"/>
      <c r="HCY2" s="97"/>
      <c r="HCZ2" s="97"/>
      <c r="HDA2" s="97"/>
      <c r="HDB2" s="97"/>
      <c r="HDC2" s="97"/>
      <c r="HDD2" s="97"/>
      <c r="HDE2" s="97"/>
      <c r="HDF2" s="97"/>
      <c r="HDG2" s="97"/>
      <c r="HDH2" s="97"/>
      <c r="HDI2" s="97"/>
      <c r="HDJ2" s="97"/>
      <c r="HDK2" s="97"/>
      <c r="HDL2" s="97"/>
      <c r="HDM2" s="97"/>
      <c r="HDN2" s="97"/>
      <c r="HDO2" s="97"/>
      <c r="HDP2" s="97"/>
      <c r="HDQ2" s="97"/>
      <c r="HDR2" s="97"/>
      <c r="HDS2" s="97"/>
      <c r="HDT2" s="97"/>
      <c r="HDU2" s="97"/>
      <c r="HDV2" s="97"/>
      <c r="HDW2" s="97"/>
      <c r="HDX2" s="97"/>
      <c r="HDY2" s="97"/>
      <c r="HDZ2" s="97"/>
      <c r="HEA2" s="97"/>
      <c r="HEB2" s="97"/>
      <c r="HEC2" s="97"/>
      <c r="HED2" s="97"/>
      <c r="HEE2" s="97"/>
      <c r="HEF2" s="97"/>
      <c r="HEG2" s="97"/>
      <c r="HEH2" s="97"/>
      <c r="HEI2" s="97"/>
      <c r="HEJ2" s="97"/>
      <c r="HEK2" s="97"/>
      <c r="HEL2" s="97"/>
      <c r="HEM2" s="97"/>
      <c r="HEN2" s="97"/>
      <c r="HEO2" s="97"/>
      <c r="HEP2" s="97"/>
      <c r="HEQ2" s="97"/>
      <c r="HER2" s="97"/>
      <c r="HES2" s="97"/>
      <c r="HET2" s="97"/>
      <c r="HEU2" s="97"/>
      <c r="HEV2" s="97"/>
      <c r="HEW2" s="97"/>
      <c r="HEX2" s="97"/>
      <c r="HEY2" s="97"/>
      <c r="HEZ2" s="97"/>
      <c r="HFA2" s="97"/>
      <c r="HFB2" s="97"/>
      <c r="HFC2" s="97"/>
      <c r="HFD2" s="97"/>
      <c r="HFE2" s="97"/>
      <c r="HFF2" s="97"/>
      <c r="HFG2" s="97"/>
      <c r="HFH2" s="97"/>
      <c r="HFI2" s="97"/>
      <c r="HFJ2" s="97"/>
      <c r="HFK2" s="97"/>
      <c r="HFL2" s="97"/>
      <c r="HFM2" s="97"/>
      <c r="HFN2" s="97"/>
      <c r="HFO2" s="97"/>
      <c r="HFP2" s="97"/>
      <c r="HFQ2" s="97"/>
      <c r="HFR2" s="97"/>
      <c r="HFS2" s="97"/>
      <c r="HFT2" s="97"/>
      <c r="HFU2" s="97"/>
      <c r="HFV2" s="97"/>
      <c r="HFW2" s="97"/>
      <c r="HFX2" s="97"/>
      <c r="HFY2" s="97"/>
      <c r="HFZ2" s="97"/>
      <c r="HGA2" s="97"/>
      <c r="HGB2" s="97"/>
      <c r="HGC2" s="97"/>
      <c r="HGD2" s="97"/>
      <c r="HGE2" s="97"/>
      <c r="HGF2" s="97"/>
      <c r="HGG2" s="97"/>
      <c r="HGH2" s="97"/>
      <c r="HGI2" s="97"/>
      <c r="HGJ2" s="97"/>
      <c r="HGK2" s="97"/>
      <c r="HGL2" s="97"/>
      <c r="HGM2" s="97"/>
      <c r="HGN2" s="97"/>
      <c r="HGO2" s="97"/>
      <c r="HGP2" s="97"/>
      <c r="HGQ2" s="97"/>
      <c r="HGR2" s="97"/>
      <c r="HGS2" s="97"/>
      <c r="HGT2" s="97"/>
      <c r="HGU2" s="97"/>
      <c r="HGV2" s="97"/>
      <c r="HGW2" s="97"/>
      <c r="HGX2" s="97"/>
      <c r="HGY2" s="97"/>
      <c r="HGZ2" s="97"/>
      <c r="HHA2" s="97"/>
      <c r="HHB2" s="97"/>
      <c r="HHC2" s="97"/>
      <c r="HHD2" s="97"/>
      <c r="HHE2" s="97"/>
      <c r="HHF2" s="97"/>
      <c r="HHG2" s="97"/>
      <c r="HHH2" s="97"/>
      <c r="HHI2" s="97"/>
      <c r="HHJ2" s="97"/>
      <c r="HHK2" s="97"/>
      <c r="HHL2" s="97"/>
      <c r="HHM2" s="97"/>
      <c r="HHN2" s="97"/>
      <c r="HHO2" s="97"/>
      <c r="HHP2" s="97"/>
      <c r="HHQ2" s="97"/>
      <c r="HHR2" s="97"/>
      <c r="HHS2" s="97"/>
      <c r="HHT2" s="97"/>
      <c r="HHU2" s="97"/>
      <c r="HHV2" s="97"/>
      <c r="HHW2" s="97"/>
      <c r="HHX2" s="97"/>
      <c r="HHY2" s="97"/>
      <c r="HHZ2" s="97"/>
      <c r="HIA2" s="97"/>
      <c r="HIB2" s="97"/>
      <c r="HIC2" s="97"/>
      <c r="HID2" s="97"/>
      <c r="HIE2" s="97"/>
      <c r="HIF2" s="97"/>
      <c r="HIG2" s="97"/>
      <c r="HIH2" s="97"/>
      <c r="HII2" s="97"/>
      <c r="HIJ2" s="97"/>
      <c r="HIK2" s="97"/>
      <c r="HIL2" s="97"/>
      <c r="HIM2" s="97"/>
      <c r="HIN2" s="97"/>
      <c r="HIO2" s="97"/>
      <c r="HIP2" s="97"/>
      <c r="HIQ2" s="97"/>
      <c r="HIR2" s="97"/>
      <c r="HIS2" s="97"/>
      <c r="HIT2" s="97"/>
      <c r="HIU2" s="97"/>
      <c r="HIV2" s="97"/>
      <c r="HIW2" s="97"/>
      <c r="HIX2" s="97"/>
      <c r="HIY2" s="97"/>
      <c r="HIZ2" s="97"/>
      <c r="HJA2" s="97"/>
      <c r="HJB2" s="97"/>
      <c r="HJC2" s="97"/>
      <c r="HJD2" s="97"/>
      <c r="HJE2" s="97"/>
      <c r="HJF2" s="97"/>
      <c r="HJG2" s="97"/>
      <c r="HJH2" s="97"/>
      <c r="HJI2" s="97"/>
      <c r="HJJ2" s="97"/>
      <c r="HJK2" s="97"/>
      <c r="HJL2" s="97"/>
      <c r="HJM2" s="97"/>
      <c r="HJN2" s="97"/>
      <c r="HJO2" s="97"/>
      <c r="HJP2" s="97"/>
      <c r="HJQ2" s="97"/>
      <c r="HJR2" s="97"/>
      <c r="HJS2" s="97"/>
      <c r="HJT2" s="97"/>
      <c r="HJU2" s="97"/>
      <c r="HJV2" s="97"/>
      <c r="HJW2" s="97"/>
      <c r="HJX2" s="97"/>
      <c r="HJY2" s="97"/>
      <c r="HJZ2" s="97"/>
      <c r="HKA2" s="97"/>
      <c r="HKB2" s="97"/>
      <c r="HKC2" s="97"/>
      <c r="HKD2" s="97"/>
      <c r="HKE2" s="97"/>
      <c r="HKF2" s="97"/>
      <c r="HKG2" s="97"/>
      <c r="HKH2" s="97"/>
      <c r="HKI2" s="97"/>
      <c r="HKJ2" s="97"/>
      <c r="HKK2" s="97"/>
      <c r="HKL2" s="97"/>
      <c r="HKM2" s="97"/>
      <c r="HKN2" s="97"/>
      <c r="HKO2" s="97"/>
      <c r="HKP2" s="97"/>
      <c r="HKQ2" s="97"/>
      <c r="HKR2" s="97"/>
      <c r="HKS2" s="97"/>
      <c r="HKT2" s="97"/>
      <c r="HKU2" s="97"/>
      <c r="HKV2" s="97"/>
      <c r="HKW2" s="97"/>
      <c r="HKX2" s="97"/>
      <c r="HKY2" s="97"/>
      <c r="HKZ2" s="97"/>
      <c r="HLA2" s="97"/>
      <c r="HLB2" s="97"/>
      <c r="HLC2" s="97"/>
      <c r="HLD2" s="97"/>
      <c r="HLE2" s="97"/>
      <c r="HLF2" s="97"/>
      <c r="HLG2" s="97"/>
      <c r="HLH2" s="97"/>
      <c r="HLI2" s="97"/>
      <c r="HLJ2" s="97"/>
      <c r="HLK2" s="97"/>
      <c r="HLL2" s="97"/>
      <c r="HLM2" s="97"/>
      <c r="HLN2" s="97"/>
      <c r="HLO2" s="97"/>
      <c r="HLP2" s="97"/>
      <c r="HLQ2" s="97"/>
      <c r="HLR2" s="97"/>
      <c r="HLS2" s="97"/>
      <c r="HLT2" s="97"/>
      <c r="HLU2" s="97"/>
      <c r="HLV2" s="97"/>
      <c r="HLW2" s="97"/>
      <c r="HLX2" s="97"/>
      <c r="HLY2" s="97"/>
      <c r="HLZ2" s="97"/>
      <c r="HMA2" s="97"/>
      <c r="HMB2" s="97"/>
      <c r="HMC2" s="97"/>
      <c r="HMD2" s="97"/>
      <c r="HME2" s="97"/>
      <c r="HMF2" s="97"/>
      <c r="HMG2" s="97"/>
      <c r="HMH2" s="97"/>
      <c r="HMI2" s="97"/>
      <c r="HMJ2" s="97"/>
      <c r="HMK2" s="97"/>
      <c r="HML2" s="97"/>
      <c r="HMM2" s="97"/>
      <c r="HMN2" s="97"/>
      <c r="HMO2" s="97"/>
      <c r="HMP2" s="97"/>
      <c r="HMQ2" s="97"/>
      <c r="HMR2" s="97"/>
      <c r="HMS2" s="97"/>
      <c r="HMT2" s="97"/>
      <c r="HMU2" s="97"/>
      <c r="HMV2" s="97"/>
      <c r="HMW2" s="97"/>
      <c r="HMX2" s="97"/>
      <c r="HMY2" s="97"/>
      <c r="HMZ2" s="97"/>
      <c r="HNA2" s="97"/>
      <c r="HNB2" s="97"/>
      <c r="HNC2" s="97"/>
      <c r="HND2" s="97"/>
      <c r="HNE2" s="97"/>
      <c r="HNF2" s="97"/>
      <c r="HNG2" s="97"/>
      <c r="HNH2" s="97"/>
      <c r="HNI2" s="97"/>
      <c r="HNJ2" s="97"/>
      <c r="HNK2" s="97"/>
      <c r="HNL2" s="97"/>
      <c r="HNM2" s="97"/>
      <c r="HNN2" s="97"/>
      <c r="HNO2" s="97"/>
      <c r="HNP2" s="97"/>
      <c r="HNQ2" s="97"/>
      <c r="HNR2" s="97"/>
      <c r="HNS2" s="97"/>
      <c r="HNT2" s="97"/>
      <c r="HNU2" s="97"/>
      <c r="HNV2" s="97"/>
      <c r="HNW2" s="97"/>
      <c r="HNX2" s="97"/>
      <c r="HNY2" s="97"/>
      <c r="HNZ2" s="97"/>
      <c r="HOA2" s="97"/>
      <c r="HOB2" s="97"/>
      <c r="HOC2" s="97"/>
      <c r="HOD2" s="97"/>
      <c r="HOE2" s="97"/>
      <c r="HOF2" s="97"/>
      <c r="HOG2" s="97"/>
      <c r="HOH2" s="97"/>
      <c r="HOI2" s="97"/>
      <c r="HOJ2" s="97"/>
      <c r="HOK2" s="97"/>
      <c r="HOL2" s="97"/>
      <c r="HOM2" s="97"/>
      <c r="HON2" s="97"/>
      <c r="HOO2" s="97"/>
      <c r="HOP2" s="97"/>
      <c r="HOQ2" s="97"/>
      <c r="HOR2" s="97"/>
      <c r="HOS2" s="97"/>
      <c r="HOT2" s="97"/>
      <c r="HOU2" s="97"/>
      <c r="HOV2" s="97"/>
      <c r="HOW2" s="97"/>
      <c r="HOX2" s="97"/>
      <c r="HOY2" s="97"/>
      <c r="HOZ2" s="97"/>
      <c r="HPA2" s="97"/>
      <c r="HPB2" s="97"/>
      <c r="HPC2" s="97"/>
      <c r="HPD2" s="97"/>
      <c r="HPE2" s="97"/>
      <c r="HPF2" s="97"/>
      <c r="HPG2" s="97"/>
      <c r="HPH2" s="97"/>
      <c r="HPI2" s="97"/>
      <c r="HPJ2" s="97"/>
      <c r="HPK2" s="97"/>
      <c r="HPL2" s="97"/>
      <c r="HPM2" s="97"/>
      <c r="HPN2" s="97"/>
      <c r="HPO2" s="97"/>
      <c r="HPP2" s="97"/>
      <c r="HPQ2" s="97"/>
      <c r="HPR2" s="97"/>
      <c r="HPS2" s="97"/>
      <c r="HPT2" s="97"/>
      <c r="HPU2" s="97"/>
      <c r="HPV2" s="97"/>
      <c r="HPW2" s="97"/>
      <c r="HPX2" s="97"/>
      <c r="HPY2" s="97"/>
      <c r="HPZ2" s="97"/>
      <c r="HQA2" s="97"/>
      <c r="HQB2" s="97"/>
      <c r="HQC2" s="97"/>
      <c r="HQD2" s="97"/>
      <c r="HQE2" s="97"/>
      <c r="HQF2" s="97"/>
      <c r="HQG2" s="97"/>
      <c r="HQH2" s="97"/>
      <c r="HQI2" s="97"/>
      <c r="HQJ2" s="97"/>
      <c r="HQK2" s="97"/>
      <c r="HQL2" s="97"/>
      <c r="HQM2" s="97"/>
      <c r="HQN2" s="97"/>
      <c r="HQO2" s="97"/>
      <c r="HQP2" s="97"/>
      <c r="HQQ2" s="97"/>
      <c r="HQR2" s="97"/>
      <c r="HQS2" s="97"/>
      <c r="HQT2" s="97"/>
      <c r="HQU2" s="97"/>
      <c r="HQV2" s="97"/>
      <c r="HQW2" s="97"/>
      <c r="HQX2" s="97"/>
      <c r="HQY2" s="97"/>
      <c r="HQZ2" s="97"/>
      <c r="HRA2" s="97"/>
      <c r="HRB2" s="97"/>
      <c r="HRC2" s="97"/>
      <c r="HRD2" s="97"/>
      <c r="HRE2" s="97"/>
      <c r="HRF2" s="97"/>
      <c r="HRG2" s="97"/>
      <c r="HRH2" s="97"/>
      <c r="HRI2" s="97"/>
      <c r="HRJ2" s="97"/>
      <c r="HRK2" s="97"/>
      <c r="HRL2" s="97"/>
      <c r="HRM2" s="97"/>
      <c r="HRN2" s="97"/>
      <c r="HRO2" s="97"/>
      <c r="HRP2" s="97"/>
      <c r="HRQ2" s="97"/>
      <c r="HRR2" s="97"/>
      <c r="HRS2" s="97"/>
      <c r="HRT2" s="97"/>
      <c r="HRU2" s="97"/>
      <c r="HRV2" s="97"/>
      <c r="HRW2" s="97"/>
      <c r="HRX2" s="97"/>
      <c r="HRY2" s="97"/>
      <c r="HRZ2" s="97"/>
      <c r="HSA2" s="97"/>
      <c r="HSB2" s="97"/>
      <c r="HSC2" s="97"/>
      <c r="HSD2" s="97"/>
      <c r="HSE2" s="97"/>
      <c r="HSF2" s="97"/>
      <c r="HSG2" s="97"/>
      <c r="HSH2" s="97"/>
      <c r="HSI2" s="97"/>
      <c r="HSJ2" s="97"/>
      <c r="HSK2" s="97"/>
      <c r="HSL2" s="97"/>
      <c r="HSM2" s="97"/>
      <c r="HSN2" s="97"/>
      <c r="HSO2" s="97"/>
      <c r="HSP2" s="97"/>
      <c r="HSQ2" s="97"/>
      <c r="HSR2" s="97"/>
      <c r="HSS2" s="97"/>
      <c r="HST2" s="97"/>
      <c r="HSU2" s="97"/>
      <c r="HSV2" s="97"/>
      <c r="HSW2" s="97"/>
      <c r="HSX2" s="97"/>
      <c r="HSY2" s="97"/>
      <c r="HSZ2" s="97"/>
      <c r="HTA2" s="97"/>
      <c r="HTB2" s="97"/>
      <c r="HTC2" s="97"/>
      <c r="HTD2" s="97"/>
      <c r="HTE2" s="97"/>
      <c r="HTF2" s="97"/>
      <c r="HTG2" s="97"/>
      <c r="HTH2" s="97"/>
      <c r="HTI2" s="97"/>
      <c r="HTJ2" s="97"/>
      <c r="HTK2" s="97"/>
      <c r="HTL2" s="97"/>
      <c r="HTM2" s="97"/>
      <c r="HTN2" s="97"/>
      <c r="HTO2" s="97"/>
      <c r="HTP2" s="97"/>
      <c r="HTQ2" s="97"/>
      <c r="HTR2" s="97"/>
      <c r="HTS2" s="97"/>
      <c r="HTT2" s="97"/>
      <c r="HTU2" s="97"/>
      <c r="HTV2" s="97"/>
      <c r="HTW2" s="97"/>
      <c r="HTX2" s="97"/>
      <c r="HTY2" s="97"/>
      <c r="HTZ2" s="97"/>
      <c r="HUA2" s="97"/>
      <c r="HUB2" s="97"/>
      <c r="HUC2" s="97"/>
      <c r="HUD2" s="97"/>
      <c r="HUE2" s="97"/>
      <c r="HUF2" s="97"/>
      <c r="HUG2" s="97"/>
      <c r="HUH2" s="97"/>
      <c r="HUI2" s="97"/>
      <c r="HUJ2" s="97"/>
      <c r="HUK2" s="97"/>
      <c r="HUL2" s="97"/>
      <c r="HUM2" s="97"/>
      <c r="HUN2" s="97"/>
      <c r="HUO2" s="97"/>
      <c r="HUP2" s="97"/>
      <c r="HUQ2" s="97"/>
      <c r="HUR2" s="97"/>
      <c r="HUS2" s="97"/>
      <c r="HUT2" s="97"/>
      <c r="HUU2" s="97"/>
      <c r="HUV2" s="97"/>
      <c r="HUW2" s="97"/>
      <c r="HUX2" s="97"/>
      <c r="HUY2" s="97"/>
      <c r="HUZ2" s="97"/>
      <c r="HVA2" s="97"/>
      <c r="HVB2" s="97"/>
      <c r="HVC2" s="97"/>
      <c r="HVD2" s="97"/>
      <c r="HVE2" s="97"/>
      <c r="HVF2" s="97"/>
      <c r="HVG2" s="97"/>
      <c r="HVH2" s="97"/>
      <c r="HVI2" s="97"/>
      <c r="HVJ2" s="97"/>
      <c r="HVK2" s="97"/>
      <c r="HVL2" s="97"/>
      <c r="HVM2" s="97"/>
      <c r="HVN2" s="97"/>
      <c r="HVO2" s="97"/>
      <c r="HVP2" s="97"/>
      <c r="HVQ2" s="97"/>
      <c r="HVR2" s="97"/>
      <c r="HVS2" s="97"/>
      <c r="HVT2" s="97"/>
      <c r="HVU2" s="97"/>
      <c r="HVV2" s="97"/>
      <c r="HVW2" s="97"/>
      <c r="HVX2" s="97"/>
      <c r="HVY2" s="97"/>
      <c r="HVZ2" s="97"/>
      <c r="HWA2" s="97"/>
      <c r="HWB2" s="97"/>
      <c r="HWC2" s="97"/>
      <c r="HWD2" s="97"/>
      <c r="HWE2" s="97"/>
      <c r="HWF2" s="97"/>
      <c r="HWG2" s="97"/>
      <c r="HWH2" s="97"/>
      <c r="HWI2" s="97"/>
      <c r="HWJ2" s="97"/>
      <c r="HWK2" s="97"/>
      <c r="HWL2" s="97"/>
      <c r="HWM2" s="97"/>
      <c r="HWN2" s="97"/>
      <c r="HWO2" s="97"/>
      <c r="HWP2" s="97"/>
      <c r="HWQ2" s="97"/>
      <c r="HWR2" s="97"/>
      <c r="HWS2" s="97"/>
      <c r="HWT2" s="97"/>
      <c r="HWU2" s="97"/>
      <c r="HWV2" s="97"/>
      <c r="HWW2" s="97"/>
      <c r="HWX2" s="97"/>
      <c r="HWY2" s="97"/>
      <c r="HWZ2" s="97"/>
      <c r="HXA2" s="97"/>
      <c r="HXB2" s="97"/>
      <c r="HXC2" s="97"/>
      <c r="HXD2" s="97"/>
      <c r="HXE2" s="97"/>
      <c r="HXF2" s="97"/>
      <c r="HXG2" s="97"/>
      <c r="HXH2" s="97"/>
      <c r="HXI2" s="97"/>
      <c r="HXJ2" s="97"/>
      <c r="HXK2" s="97"/>
      <c r="HXL2" s="97"/>
      <c r="HXM2" s="97"/>
      <c r="HXN2" s="97"/>
      <c r="HXO2" s="97"/>
      <c r="HXP2" s="97"/>
      <c r="HXQ2" s="97"/>
      <c r="HXR2" s="97"/>
      <c r="HXS2" s="97"/>
      <c r="HXT2" s="97"/>
      <c r="HXU2" s="97"/>
      <c r="HXV2" s="97"/>
      <c r="HXW2" s="97"/>
      <c r="HXX2" s="97"/>
      <c r="HXY2" s="97"/>
      <c r="HXZ2" s="97"/>
      <c r="HYA2" s="97"/>
      <c r="HYB2" s="97"/>
      <c r="HYC2" s="97"/>
      <c r="HYD2" s="97"/>
      <c r="HYE2" s="97"/>
      <c r="HYF2" s="97"/>
      <c r="HYG2" s="97"/>
      <c r="HYH2" s="97"/>
      <c r="HYI2" s="97"/>
      <c r="HYJ2" s="97"/>
      <c r="HYK2" s="97"/>
      <c r="HYL2" s="97"/>
      <c r="HYM2" s="97"/>
      <c r="HYN2" s="97"/>
      <c r="HYO2" s="97"/>
      <c r="HYP2" s="97"/>
      <c r="HYQ2" s="97"/>
      <c r="HYR2" s="97"/>
      <c r="HYS2" s="97"/>
      <c r="HYT2" s="97"/>
      <c r="HYU2" s="97"/>
      <c r="HYV2" s="97"/>
      <c r="HYW2" s="97"/>
      <c r="HYX2" s="97"/>
      <c r="HYY2" s="97"/>
      <c r="HYZ2" s="97"/>
      <c r="HZA2" s="97"/>
      <c r="HZB2" s="97"/>
      <c r="HZC2" s="97"/>
      <c r="HZD2" s="97"/>
      <c r="HZE2" s="97"/>
      <c r="HZF2" s="97"/>
      <c r="HZG2" s="97"/>
      <c r="HZH2" s="97"/>
      <c r="HZI2" s="97"/>
      <c r="HZJ2" s="97"/>
      <c r="HZK2" s="97"/>
      <c r="HZL2" s="97"/>
      <c r="HZM2" s="97"/>
      <c r="HZN2" s="97"/>
      <c r="HZO2" s="97"/>
      <c r="HZP2" s="97"/>
      <c r="HZQ2" s="97"/>
      <c r="HZR2" s="97"/>
      <c r="HZS2" s="97"/>
      <c r="HZT2" s="97"/>
      <c r="HZU2" s="97"/>
      <c r="HZV2" s="97"/>
      <c r="HZW2" s="97"/>
      <c r="HZX2" s="97"/>
      <c r="HZY2" s="97"/>
      <c r="HZZ2" s="97"/>
      <c r="IAA2" s="97"/>
      <c r="IAB2" s="97"/>
      <c r="IAC2" s="97"/>
      <c r="IAD2" s="97"/>
      <c r="IAE2" s="97"/>
      <c r="IAF2" s="97"/>
      <c r="IAG2" s="97"/>
      <c r="IAH2" s="97"/>
      <c r="IAI2" s="97"/>
      <c r="IAJ2" s="97"/>
      <c r="IAK2" s="97"/>
      <c r="IAL2" s="97"/>
      <c r="IAM2" s="97"/>
      <c r="IAN2" s="97"/>
      <c r="IAO2" s="97"/>
      <c r="IAP2" s="97"/>
      <c r="IAQ2" s="97"/>
      <c r="IAR2" s="97"/>
      <c r="IAS2" s="97"/>
      <c r="IAT2" s="97"/>
      <c r="IAU2" s="97"/>
      <c r="IAV2" s="97"/>
      <c r="IAW2" s="97"/>
      <c r="IAX2" s="97"/>
      <c r="IAY2" s="97"/>
      <c r="IAZ2" s="97"/>
      <c r="IBA2" s="97"/>
      <c r="IBB2" s="97"/>
      <c r="IBC2" s="97"/>
      <c r="IBD2" s="97"/>
      <c r="IBE2" s="97"/>
      <c r="IBF2" s="97"/>
      <c r="IBG2" s="97"/>
      <c r="IBH2" s="97"/>
      <c r="IBI2" s="97"/>
      <c r="IBJ2" s="97"/>
      <c r="IBK2" s="97"/>
      <c r="IBL2" s="97"/>
      <c r="IBM2" s="97"/>
      <c r="IBN2" s="97"/>
      <c r="IBO2" s="97"/>
      <c r="IBP2" s="97"/>
      <c r="IBQ2" s="97"/>
      <c r="IBR2" s="97"/>
      <c r="IBS2" s="97"/>
      <c r="IBT2" s="97"/>
      <c r="IBU2" s="97"/>
      <c r="IBV2" s="97"/>
      <c r="IBW2" s="97"/>
      <c r="IBX2" s="97"/>
      <c r="IBY2" s="97"/>
      <c r="IBZ2" s="97"/>
      <c r="ICA2" s="97"/>
      <c r="ICB2" s="97"/>
      <c r="ICC2" s="97"/>
      <c r="ICD2" s="97"/>
      <c r="ICE2" s="97"/>
      <c r="ICF2" s="97"/>
      <c r="ICG2" s="97"/>
      <c r="ICH2" s="97"/>
      <c r="ICI2" s="97"/>
      <c r="ICJ2" s="97"/>
      <c r="ICK2" s="97"/>
      <c r="ICL2" s="97"/>
      <c r="ICM2" s="97"/>
      <c r="ICN2" s="97"/>
      <c r="ICO2" s="97"/>
      <c r="ICP2" s="97"/>
      <c r="ICQ2" s="97"/>
      <c r="ICR2" s="97"/>
      <c r="ICS2" s="97"/>
      <c r="ICT2" s="97"/>
      <c r="ICU2" s="97"/>
      <c r="ICV2" s="97"/>
      <c r="ICW2" s="97"/>
      <c r="ICX2" s="97"/>
      <c r="ICY2" s="97"/>
      <c r="ICZ2" s="97"/>
      <c r="IDA2" s="97"/>
      <c r="IDB2" s="97"/>
      <c r="IDC2" s="97"/>
      <c r="IDD2" s="97"/>
      <c r="IDE2" s="97"/>
      <c r="IDF2" s="97"/>
      <c r="IDG2" s="97"/>
      <c r="IDH2" s="97"/>
      <c r="IDI2" s="97"/>
      <c r="IDJ2" s="97"/>
      <c r="IDK2" s="97"/>
      <c r="IDL2" s="97"/>
      <c r="IDM2" s="97"/>
      <c r="IDN2" s="97"/>
      <c r="IDO2" s="97"/>
      <c r="IDP2" s="97"/>
      <c r="IDQ2" s="97"/>
      <c r="IDR2" s="97"/>
      <c r="IDS2" s="97"/>
      <c r="IDT2" s="97"/>
      <c r="IDU2" s="97"/>
      <c r="IDV2" s="97"/>
      <c r="IDW2" s="97"/>
      <c r="IDX2" s="97"/>
      <c r="IDY2" s="97"/>
      <c r="IDZ2" s="97"/>
      <c r="IEA2" s="97"/>
      <c r="IEB2" s="97"/>
      <c r="IEC2" s="97"/>
      <c r="IED2" s="97"/>
      <c r="IEE2" s="97"/>
      <c r="IEF2" s="97"/>
      <c r="IEG2" s="97"/>
      <c r="IEH2" s="97"/>
      <c r="IEI2" s="97"/>
      <c r="IEJ2" s="97"/>
      <c r="IEK2" s="97"/>
      <c r="IEL2" s="97"/>
      <c r="IEM2" s="97"/>
      <c r="IEN2" s="97"/>
      <c r="IEO2" s="97"/>
      <c r="IEP2" s="97"/>
      <c r="IEQ2" s="97"/>
      <c r="IER2" s="97"/>
      <c r="IES2" s="97"/>
      <c r="IET2" s="97"/>
      <c r="IEU2" s="97"/>
      <c r="IEV2" s="97"/>
      <c r="IEW2" s="97"/>
      <c r="IEX2" s="97"/>
      <c r="IEY2" s="97"/>
      <c r="IEZ2" s="97"/>
      <c r="IFA2" s="97"/>
      <c r="IFB2" s="97"/>
      <c r="IFC2" s="97"/>
      <c r="IFD2" s="97"/>
      <c r="IFE2" s="97"/>
      <c r="IFF2" s="97"/>
      <c r="IFG2" s="97"/>
      <c r="IFH2" s="97"/>
      <c r="IFI2" s="97"/>
      <c r="IFJ2" s="97"/>
      <c r="IFK2" s="97"/>
      <c r="IFL2" s="97"/>
      <c r="IFM2" s="97"/>
      <c r="IFN2" s="97"/>
      <c r="IFO2" s="97"/>
      <c r="IFP2" s="97"/>
      <c r="IFQ2" s="97"/>
      <c r="IFR2" s="97"/>
      <c r="IFS2" s="97"/>
      <c r="IFT2" s="97"/>
      <c r="IFU2" s="97"/>
      <c r="IFV2" s="97"/>
      <c r="IFW2" s="97"/>
      <c r="IFX2" s="97"/>
      <c r="IFY2" s="97"/>
      <c r="IFZ2" s="97"/>
      <c r="IGA2" s="97"/>
      <c r="IGB2" s="97"/>
      <c r="IGC2" s="97"/>
      <c r="IGD2" s="97"/>
      <c r="IGE2" s="97"/>
      <c r="IGF2" s="97"/>
      <c r="IGG2" s="97"/>
      <c r="IGH2" s="97"/>
      <c r="IGI2" s="97"/>
      <c r="IGJ2" s="97"/>
      <c r="IGK2" s="97"/>
      <c r="IGL2" s="97"/>
      <c r="IGM2" s="97"/>
      <c r="IGN2" s="97"/>
      <c r="IGO2" s="97"/>
      <c r="IGP2" s="97"/>
      <c r="IGQ2" s="97"/>
      <c r="IGR2" s="97"/>
      <c r="IGS2" s="97"/>
      <c r="IGT2" s="97"/>
      <c r="IGU2" s="97"/>
      <c r="IGV2" s="97"/>
      <c r="IGW2" s="97"/>
      <c r="IGX2" s="97"/>
      <c r="IGY2" s="97"/>
      <c r="IGZ2" s="97"/>
      <c r="IHA2" s="97"/>
      <c r="IHB2" s="97"/>
      <c r="IHC2" s="97"/>
      <c r="IHD2" s="97"/>
      <c r="IHE2" s="97"/>
      <c r="IHF2" s="97"/>
      <c r="IHG2" s="97"/>
      <c r="IHH2" s="97"/>
      <c r="IHI2" s="97"/>
      <c r="IHJ2" s="97"/>
      <c r="IHK2" s="97"/>
      <c r="IHL2" s="97"/>
      <c r="IHM2" s="97"/>
      <c r="IHN2" s="97"/>
      <c r="IHO2" s="97"/>
      <c r="IHP2" s="97"/>
      <c r="IHQ2" s="97"/>
      <c r="IHR2" s="97"/>
      <c r="IHS2" s="97"/>
      <c r="IHT2" s="97"/>
      <c r="IHU2" s="97"/>
      <c r="IHV2" s="97"/>
      <c r="IHW2" s="97"/>
      <c r="IHX2" s="97"/>
      <c r="IHY2" s="97"/>
      <c r="IHZ2" s="97"/>
      <c r="IIA2" s="97"/>
      <c r="IIB2" s="97"/>
      <c r="IIC2" s="97"/>
      <c r="IID2" s="97"/>
      <c r="IIE2" s="97"/>
      <c r="IIF2" s="97"/>
      <c r="IIG2" s="97"/>
      <c r="IIH2" s="97"/>
      <c r="III2" s="97"/>
      <c r="IIJ2" s="97"/>
      <c r="IIK2" s="97"/>
      <c r="IIL2" s="97"/>
      <c r="IIM2" s="97"/>
      <c r="IIN2" s="97"/>
      <c r="IIO2" s="97"/>
      <c r="IIP2" s="97"/>
      <c r="IIQ2" s="97"/>
      <c r="IIR2" s="97"/>
      <c r="IIS2" s="97"/>
      <c r="IIT2" s="97"/>
      <c r="IIU2" s="97"/>
      <c r="IIV2" s="97"/>
      <c r="IIW2" s="97"/>
      <c r="IIX2" s="97"/>
      <c r="IIY2" s="97"/>
      <c r="IIZ2" s="97"/>
      <c r="IJA2" s="97"/>
      <c r="IJB2" s="97"/>
      <c r="IJC2" s="97"/>
      <c r="IJD2" s="97"/>
      <c r="IJE2" s="97"/>
      <c r="IJF2" s="97"/>
      <c r="IJG2" s="97"/>
      <c r="IJH2" s="97"/>
      <c r="IJI2" s="97"/>
      <c r="IJJ2" s="97"/>
      <c r="IJK2" s="97"/>
      <c r="IJL2" s="97"/>
      <c r="IJM2" s="97"/>
      <c r="IJN2" s="97"/>
      <c r="IJO2" s="97"/>
      <c r="IJP2" s="97"/>
      <c r="IJQ2" s="97"/>
      <c r="IJR2" s="97"/>
      <c r="IJS2" s="97"/>
      <c r="IJT2" s="97"/>
      <c r="IJU2" s="97"/>
      <c r="IJV2" s="97"/>
      <c r="IJW2" s="97"/>
      <c r="IJX2" s="97"/>
      <c r="IJY2" s="97"/>
      <c r="IJZ2" s="97"/>
      <c r="IKA2" s="97"/>
      <c r="IKB2" s="97"/>
      <c r="IKC2" s="97"/>
      <c r="IKD2" s="97"/>
      <c r="IKE2" s="97"/>
      <c r="IKF2" s="97"/>
      <c r="IKG2" s="97"/>
      <c r="IKH2" s="97"/>
      <c r="IKI2" s="97"/>
      <c r="IKJ2" s="97"/>
      <c r="IKK2" s="97"/>
      <c r="IKL2" s="97"/>
      <c r="IKM2" s="97"/>
      <c r="IKN2" s="97"/>
      <c r="IKO2" s="97"/>
      <c r="IKP2" s="97"/>
      <c r="IKQ2" s="97"/>
      <c r="IKR2" s="97"/>
      <c r="IKS2" s="97"/>
      <c r="IKT2" s="97"/>
      <c r="IKU2" s="97"/>
      <c r="IKV2" s="97"/>
      <c r="IKW2" s="97"/>
      <c r="IKX2" s="97"/>
      <c r="IKY2" s="97"/>
      <c r="IKZ2" s="97"/>
      <c r="ILA2" s="97"/>
      <c r="ILB2" s="97"/>
      <c r="ILC2" s="97"/>
      <c r="ILD2" s="97"/>
      <c r="ILE2" s="97"/>
      <c r="ILF2" s="97"/>
      <c r="ILG2" s="97"/>
      <c r="ILH2" s="97"/>
      <c r="ILI2" s="97"/>
      <c r="ILJ2" s="97"/>
      <c r="ILK2" s="97"/>
      <c r="ILL2" s="97"/>
      <c r="ILM2" s="97"/>
      <c r="ILN2" s="97"/>
      <c r="ILO2" s="97"/>
      <c r="ILP2" s="97"/>
      <c r="ILQ2" s="97"/>
      <c r="ILR2" s="97"/>
      <c r="ILS2" s="97"/>
      <c r="ILT2" s="97"/>
      <c r="ILU2" s="97"/>
      <c r="ILV2" s="97"/>
      <c r="ILW2" s="97"/>
      <c r="ILX2" s="97"/>
      <c r="ILY2" s="97"/>
      <c r="ILZ2" s="97"/>
      <c r="IMA2" s="97"/>
      <c r="IMB2" s="97"/>
      <c r="IMC2" s="97"/>
      <c r="IMD2" s="97"/>
      <c r="IME2" s="97"/>
      <c r="IMF2" s="97"/>
      <c r="IMG2" s="97"/>
      <c r="IMH2" s="97"/>
      <c r="IMI2" s="97"/>
      <c r="IMJ2" s="97"/>
      <c r="IMK2" s="97"/>
      <c r="IML2" s="97"/>
      <c r="IMM2" s="97"/>
      <c r="IMN2" s="97"/>
      <c r="IMO2" s="97"/>
      <c r="IMP2" s="97"/>
      <c r="IMQ2" s="97"/>
      <c r="IMR2" s="97"/>
      <c r="IMS2" s="97"/>
      <c r="IMT2" s="97"/>
      <c r="IMU2" s="97"/>
      <c r="IMV2" s="97"/>
      <c r="IMW2" s="97"/>
      <c r="IMX2" s="97"/>
      <c r="IMY2" s="97"/>
      <c r="IMZ2" s="97"/>
      <c r="INA2" s="97"/>
      <c r="INB2" s="97"/>
      <c r="INC2" s="97"/>
      <c r="IND2" s="97"/>
      <c r="INE2" s="97"/>
      <c r="INF2" s="97"/>
      <c r="ING2" s="97"/>
      <c r="INH2" s="97"/>
      <c r="INI2" s="97"/>
      <c r="INJ2" s="97"/>
      <c r="INK2" s="97"/>
      <c r="INL2" s="97"/>
      <c r="INM2" s="97"/>
      <c r="INN2" s="97"/>
      <c r="INO2" s="97"/>
      <c r="INP2" s="97"/>
      <c r="INQ2" s="97"/>
      <c r="INR2" s="97"/>
      <c r="INS2" s="97"/>
      <c r="INT2" s="97"/>
      <c r="INU2" s="97"/>
      <c r="INV2" s="97"/>
      <c r="INW2" s="97"/>
      <c r="INX2" s="97"/>
      <c r="INY2" s="97"/>
      <c r="INZ2" s="97"/>
      <c r="IOA2" s="97"/>
      <c r="IOB2" s="97"/>
      <c r="IOC2" s="97"/>
      <c r="IOD2" s="97"/>
      <c r="IOE2" s="97"/>
      <c r="IOF2" s="97"/>
      <c r="IOG2" s="97"/>
      <c r="IOH2" s="97"/>
      <c r="IOI2" s="97"/>
      <c r="IOJ2" s="97"/>
      <c r="IOK2" s="97"/>
      <c r="IOL2" s="97"/>
      <c r="IOM2" s="97"/>
      <c r="ION2" s="97"/>
      <c r="IOO2" s="97"/>
      <c r="IOP2" s="97"/>
      <c r="IOQ2" s="97"/>
      <c r="IOR2" s="97"/>
      <c r="IOS2" s="97"/>
      <c r="IOT2" s="97"/>
      <c r="IOU2" s="97"/>
      <c r="IOV2" s="97"/>
      <c r="IOW2" s="97"/>
      <c r="IOX2" s="97"/>
      <c r="IOY2" s="97"/>
      <c r="IOZ2" s="97"/>
      <c r="IPA2" s="97"/>
      <c r="IPB2" s="97"/>
      <c r="IPC2" s="97"/>
      <c r="IPD2" s="97"/>
      <c r="IPE2" s="97"/>
      <c r="IPF2" s="97"/>
      <c r="IPG2" s="97"/>
      <c r="IPH2" s="97"/>
      <c r="IPI2" s="97"/>
      <c r="IPJ2" s="97"/>
      <c r="IPK2" s="97"/>
      <c r="IPL2" s="97"/>
      <c r="IPM2" s="97"/>
      <c r="IPN2" s="97"/>
      <c r="IPO2" s="97"/>
      <c r="IPP2" s="97"/>
      <c r="IPQ2" s="97"/>
      <c r="IPR2" s="97"/>
      <c r="IPS2" s="97"/>
      <c r="IPT2" s="97"/>
      <c r="IPU2" s="97"/>
      <c r="IPV2" s="97"/>
      <c r="IPW2" s="97"/>
      <c r="IPX2" s="97"/>
      <c r="IPY2" s="97"/>
      <c r="IPZ2" s="97"/>
      <c r="IQA2" s="97"/>
      <c r="IQB2" s="97"/>
      <c r="IQC2" s="97"/>
      <c r="IQD2" s="97"/>
      <c r="IQE2" s="97"/>
      <c r="IQF2" s="97"/>
      <c r="IQG2" s="97"/>
      <c r="IQH2" s="97"/>
      <c r="IQI2" s="97"/>
      <c r="IQJ2" s="97"/>
      <c r="IQK2" s="97"/>
      <c r="IQL2" s="97"/>
      <c r="IQM2" s="97"/>
      <c r="IQN2" s="97"/>
      <c r="IQO2" s="97"/>
      <c r="IQP2" s="97"/>
      <c r="IQQ2" s="97"/>
      <c r="IQR2" s="97"/>
      <c r="IQS2" s="97"/>
      <c r="IQT2" s="97"/>
      <c r="IQU2" s="97"/>
      <c r="IQV2" s="97"/>
      <c r="IQW2" s="97"/>
      <c r="IQX2" s="97"/>
      <c r="IQY2" s="97"/>
      <c r="IQZ2" s="97"/>
      <c r="IRA2" s="97"/>
      <c r="IRB2" s="97"/>
      <c r="IRC2" s="97"/>
      <c r="IRD2" s="97"/>
      <c r="IRE2" s="97"/>
      <c r="IRF2" s="97"/>
      <c r="IRG2" s="97"/>
      <c r="IRH2" s="97"/>
      <c r="IRI2" s="97"/>
      <c r="IRJ2" s="97"/>
      <c r="IRK2" s="97"/>
      <c r="IRL2" s="97"/>
      <c r="IRM2" s="97"/>
      <c r="IRN2" s="97"/>
      <c r="IRO2" s="97"/>
      <c r="IRP2" s="97"/>
      <c r="IRQ2" s="97"/>
      <c r="IRR2" s="97"/>
      <c r="IRS2" s="97"/>
      <c r="IRT2" s="97"/>
      <c r="IRU2" s="97"/>
      <c r="IRV2" s="97"/>
      <c r="IRW2" s="97"/>
      <c r="IRX2" s="97"/>
      <c r="IRY2" s="97"/>
      <c r="IRZ2" s="97"/>
      <c r="ISA2" s="97"/>
      <c r="ISB2" s="97"/>
      <c r="ISC2" s="97"/>
      <c r="ISD2" s="97"/>
      <c r="ISE2" s="97"/>
      <c r="ISF2" s="97"/>
      <c r="ISG2" s="97"/>
      <c r="ISH2" s="97"/>
      <c r="ISI2" s="97"/>
      <c r="ISJ2" s="97"/>
      <c r="ISK2" s="97"/>
      <c r="ISL2" s="97"/>
      <c r="ISM2" s="97"/>
      <c r="ISN2" s="97"/>
      <c r="ISO2" s="97"/>
      <c r="ISP2" s="97"/>
      <c r="ISQ2" s="97"/>
      <c r="ISR2" s="97"/>
      <c r="ISS2" s="97"/>
      <c r="IST2" s="97"/>
      <c r="ISU2" s="97"/>
      <c r="ISV2" s="97"/>
      <c r="ISW2" s="97"/>
      <c r="ISX2" s="97"/>
      <c r="ISY2" s="97"/>
      <c r="ISZ2" s="97"/>
      <c r="ITA2" s="97"/>
      <c r="ITB2" s="97"/>
      <c r="ITC2" s="97"/>
      <c r="ITD2" s="97"/>
      <c r="ITE2" s="97"/>
      <c r="ITF2" s="97"/>
      <c r="ITG2" s="97"/>
      <c r="ITH2" s="97"/>
      <c r="ITI2" s="97"/>
      <c r="ITJ2" s="97"/>
      <c r="ITK2" s="97"/>
      <c r="ITL2" s="97"/>
      <c r="ITM2" s="97"/>
      <c r="ITN2" s="97"/>
      <c r="ITO2" s="97"/>
      <c r="ITP2" s="97"/>
      <c r="ITQ2" s="97"/>
      <c r="ITR2" s="97"/>
      <c r="ITS2" s="97"/>
      <c r="ITT2" s="97"/>
      <c r="ITU2" s="97"/>
      <c r="ITV2" s="97"/>
      <c r="ITW2" s="97"/>
      <c r="ITX2" s="97"/>
      <c r="ITY2" s="97"/>
      <c r="ITZ2" s="97"/>
      <c r="IUA2" s="97"/>
      <c r="IUB2" s="97"/>
      <c r="IUC2" s="97"/>
      <c r="IUD2" s="97"/>
      <c r="IUE2" s="97"/>
      <c r="IUF2" s="97"/>
      <c r="IUG2" s="97"/>
      <c r="IUH2" s="97"/>
      <c r="IUI2" s="97"/>
      <c r="IUJ2" s="97"/>
      <c r="IUK2" s="97"/>
      <c r="IUL2" s="97"/>
      <c r="IUM2" s="97"/>
      <c r="IUN2" s="97"/>
      <c r="IUO2" s="97"/>
      <c r="IUP2" s="97"/>
      <c r="IUQ2" s="97"/>
      <c r="IUR2" s="97"/>
      <c r="IUS2" s="97"/>
      <c r="IUT2" s="97"/>
      <c r="IUU2" s="97"/>
      <c r="IUV2" s="97"/>
      <c r="IUW2" s="97"/>
      <c r="IUX2" s="97"/>
      <c r="IUY2" s="97"/>
      <c r="IUZ2" s="97"/>
      <c r="IVA2" s="97"/>
      <c r="IVB2" s="97"/>
      <c r="IVC2" s="97"/>
      <c r="IVD2" s="97"/>
      <c r="IVE2" s="97"/>
      <c r="IVF2" s="97"/>
      <c r="IVG2" s="97"/>
      <c r="IVH2" s="97"/>
      <c r="IVI2" s="97"/>
      <c r="IVJ2" s="97"/>
      <c r="IVK2" s="97"/>
      <c r="IVL2" s="97"/>
      <c r="IVM2" s="97"/>
      <c r="IVN2" s="97"/>
      <c r="IVO2" s="97"/>
      <c r="IVP2" s="97"/>
      <c r="IVQ2" s="97"/>
      <c r="IVR2" s="97"/>
      <c r="IVS2" s="97"/>
      <c r="IVT2" s="97"/>
      <c r="IVU2" s="97"/>
      <c r="IVV2" s="97"/>
      <c r="IVW2" s="97"/>
      <c r="IVX2" s="97"/>
      <c r="IVY2" s="97"/>
      <c r="IVZ2" s="97"/>
      <c r="IWA2" s="97"/>
      <c r="IWB2" s="97"/>
      <c r="IWC2" s="97"/>
      <c r="IWD2" s="97"/>
      <c r="IWE2" s="97"/>
      <c r="IWF2" s="97"/>
      <c r="IWG2" s="97"/>
      <c r="IWH2" s="97"/>
      <c r="IWI2" s="97"/>
      <c r="IWJ2" s="97"/>
      <c r="IWK2" s="97"/>
      <c r="IWL2" s="97"/>
      <c r="IWM2" s="97"/>
      <c r="IWN2" s="97"/>
      <c r="IWO2" s="97"/>
      <c r="IWP2" s="97"/>
      <c r="IWQ2" s="97"/>
      <c r="IWR2" s="97"/>
      <c r="IWS2" s="97"/>
      <c r="IWT2" s="97"/>
      <c r="IWU2" s="97"/>
      <c r="IWV2" s="97"/>
      <c r="IWW2" s="97"/>
      <c r="IWX2" s="97"/>
      <c r="IWY2" s="97"/>
      <c r="IWZ2" s="97"/>
      <c r="IXA2" s="97"/>
      <c r="IXB2" s="97"/>
      <c r="IXC2" s="97"/>
      <c r="IXD2" s="97"/>
      <c r="IXE2" s="97"/>
      <c r="IXF2" s="97"/>
      <c r="IXG2" s="97"/>
      <c r="IXH2" s="97"/>
      <c r="IXI2" s="97"/>
      <c r="IXJ2" s="97"/>
      <c r="IXK2" s="97"/>
      <c r="IXL2" s="97"/>
      <c r="IXM2" s="97"/>
      <c r="IXN2" s="97"/>
      <c r="IXO2" s="97"/>
      <c r="IXP2" s="97"/>
      <c r="IXQ2" s="97"/>
      <c r="IXR2" s="97"/>
      <c r="IXS2" s="97"/>
      <c r="IXT2" s="97"/>
      <c r="IXU2" s="97"/>
      <c r="IXV2" s="97"/>
      <c r="IXW2" s="97"/>
      <c r="IXX2" s="97"/>
      <c r="IXY2" s="97"/>
      <c r="IXZ2" s="97"/>
      <c r="IYA2" s="97"/>
      <c r="IYB2" s="97"/>
      <c r="IYC2" s="97"/>
      <c r="IYD2" s="97"/>
      <c r="IYE2" s="97"/>
      <c r="IYF2" s="97"/>
      <c r="IYG2" s="97"/>
      <c r="IYH2" s="97"/>
      <c r="IYI2" s="97"/>
      <c r="IYJ2" s="97"/>
      <c r="IYK2" s="97"/>
      <c r="IYL2" s="97"/>
      <c r="IYM2" s="97"/>
      <c r="IYN2" s="97"/>
      <c r="IYO2" s="97"/>
      <c r="IYP2" s="97"/>
      <c r="IYQ2" s="97"/>
      <c r="IYR2" s="97"/>
      <c r="IYS2" s="97"/>
      <c r="IYT2" s="97"/>
      <c r="IYU2" s="97"/>
      <c r="IYV2" s="97"/>
      <c r="IYW2" s="97"/>
      <c r="IYX2" s="97"/>
      <c r="IYY2" s="97"/>
      <c r="IYZ2" s="97"/>
      <c r="IZA2" s="97"/>
      <c r="IZB2" s="97"/>
      <c r="IZC2" s="97"/>
      <c r="IZD2" s="97"/>
      <c r="IZE2" s="97"/>
      <c r="IZF2" s="97"/>
      <c r="IZG2" s="97"/>
      <c r="IZH2" s="97"/>
      <c r="IZI2" s="97"/>
      <c r="IZJ2" s="97"/>
      <c r="IZK2" s="97"/>
      <c r="IZL2" s="97"/>
      <c r="IZM2" s="97"/>
      <c r="IZN2" s="97"/>
      <c r="IZO2" s="97"/>
      <c r="IZP2" s="97"/>
      <c r="IZQ2" s="97"/>
      <c r="IZR2" s="97"/>
      <c r="IZS2" s="97"/>
      <c r="IZT2" s="97"/>
      <c r="IZU2" s="97"/>
      <c r="IZV2" s="97"/>
      <c r="IZW2" s="97"/>
      <c r="IZX2" s="97"/>
      <c r="IZY2" s="97"/>
      <c r="IZZ2" s="97"/>
      <c r="JAA2" s="97"/>
      <c r="JAB2" s="97"/>
      <c r="JAC2" s="97"/>
      <c r="JAD2" s="97"/>
      <c r="JAE2" s="97"/>
      <c r="JAF2" s="97"/>
      <c r="JAG2" s="97"/>
      <c r="JAH2" s="97"/>
      <c r="JAI2" s="97"/>
      <c r="JAJ2" s="97"/>
      <c r="JAK2" s="97"/>
      <c r="JAL2" s="97"/>
      <c r="JAM2" s="97"/>
      <c r="JAN2" s="97"/>
      <c r="JAO2" s="97"/>
      <c r="JAP2" s="97"/>
      <c r="JAQ2" s="97"/>
      <c r="JAR2" s="97"/>
      <c r="JAS2" s="97"/>
      <c r="JAT2" s="97"/>
      <c r="JAU2" s="97"/>
      <c r="JAV2" s="97"/>
      <c r="JAW2" s="97"/>
      <c r="JAX2" s="97"/>
      <c r="JAY2" s="97"/>
      <c r="JAZ2" s="97"/>
      <c r="JBA2" s="97"/>
      <c r="JBB2" s="97"/>
      <c r="JBC2" s="97"/>
      <c r="JBD2" s="97"/>
      <c r="JBE2" s="97"/>
      <c r="JBF2" s="97"/>
      <c r="JBG2" s="97"/>
      <c r="JBH2" s="97"/>
      <c r="JBI2" s="97"/>
      <c r="JBJ2" s="97"/>
      <c r="JBK2" s="97"/>
      <c r="JBL2" s="97"/>
      <c r="JBM2" s="97"/>
      <c r="JBN2" s="97"/>
      <c r="JBO2" s="97"/>
      <c r="JBP2" s="97"/>
      <c r="JBQ2" s="97"/>
      <c r="JBR2" s="97"/>
      <c r="JBS2" s="97"/>
      <c r="JBT2" s="97"/>
      <c r="JBU2" s="97"/>
      <c r="JBV2" s="97"/>
      <c r="JBW2" s="97"/>
      <c r="JBX2" s="97"/>
      <c r="JBY2" s="97"/>
      <c r="JBZ2" s="97"/>
      <c r="JCA2" s="97"/>
      <c r="JCB2" s="97"/>
      <c r="JCC2" s="97"/>
      <c r="JCD2" s="97"/>
      <c r="JCE2" s="97"/>
      <c r="JCF2" s="97"/>
      <c r="JCG2" s="97"/>
      <c r="JCH2" s="97"/>
      <c r="JCI2" s="97"/>
      <c r="JCJ2" s="97"/>
      <c r="JCK2" s="97"/>
      <c r="JCL2" s="97"/>
      <c r="JCM2" s="97"/>
      <c r="JCN2" s="97"/>
      <c r="JCO2" s="97"/>
      <c r="JCP2" s="97"/>
      <c r="JCQ2" s="97"/>
      <c r="JCR2" s="97"/>
      <c r="JCS2" s="97"/>
      <c r="JCT2" s="97"/>
      <c r="JCU2" s="97"/>
      <c r="JCV2" s="97"/>
      <c r="JCW2" s="97"/>
      <c r="JCX2" s="97"/>
      <c r="JCY2" s="97"/>
      <c r="JCZ2" s="97"/>
      <c r="JDA2" s="97"/>
      <c r="JDB2" s="97"/>
      <c r="JDC2" s="97"/>
      <c r="JDD2" s="97"/>
      <c r="JDE2" s="97"/>
      <c r="JDF2" s="97"/>
      <c r="JDG2" s="97"/>
      <c r="JDH2" s="97"/>
      <c r="JDI2" s="97"/>
      <c r="JDJ2" s="97"/>
      <c r="JDK2" s="97"/>
      <c r="JDL2" s="97"/>
      <c r="JDM2" s="97"/>
      <c r="JDN2" s="97"/>
      <c r="JDO2" s="97"/>
      <c r="JDP2" s="97"/>
      <c r="JDQ2" s="97"/>
      <c r="JDR2" s="97"/>
      <c r="JDS2" s="97"/>
      <c r="JDT2" s="97"/>
      <c r="JDU2" s="97"/>
      <c r="JDV2" s="97"/>
      <c r="JDW2" s="97"/>
      <c r="JDX2" s="97"/>
      <c r="JDY2" s="97"/>
      <c r="JDZ2" s="97"/>
      <c r="JEA2" s="97"/>
      <c r="JEB2" s="97"/>
      <c r="JEC2" s="97"/>
      <c r="JED2" s="97"/>
      <c r="JEE2" s="97"/>
      <c r="JEF2" s="97"/>
      <c r="JEG2" s="97"/>
      <c r="JEH2" s="97"/>
      <c r="JEI2" s="97"/>
      <c r="JEJ2" s="97"/>
      <c r="JEK2" s="97"/>
      <c r="JEL2" s="97"/>
      <c r="JEM2" s="97"/>
      <c r="JEN2" s="97"/>
      <c r="JEO2" s="97"/>
      <c r="JEP2" s="97"/>
      <c r="JEQ2" s="97"/>
      <c r="JER2" s="97"/>
      <c r="JES2" s="97"/>
      <c r="JET2" s="97"/>
      <c r="JEU2" s="97"/>
      <c r="JEV2" s="97"/>
      <c r="JEW2" s="97"/>
      <c r="JEX2" s="97"/>
      <c r="JEY2" s="97"/>
      <c r="JEZ2" s="97"/>
      <c r="JFA2" s="97"/>
      <c r="JFB2" s="97"/>
      <c r="JFC2" s="97"/>
      <c r="JFD2" s="97"/>
      <c r="JFE2" s="97"/>
      <c r="JFF2" s="97"/>
      <c r="JFG2" s="97"/>
      <c r="JFH2" s="97"/>
      <c r="JFI2" s="97"/>
      <c r="JFJ2" s="97"/>
      <c r="JFK2" s="97"/>
      <c r="JFL2" s="97"/>
      <c r="JFM2" s="97"/>
      <c r="JFN2" s="97"/>
      <c r="JFO2" s="97"/>
      <c r="JFP2" s="97"/>
      <c r="JFQ2" s="97"/>
      <c r="JFR2" s="97"/>
      <c r="JFS2" s="97"/>
      <c r="JFT2" s="97"/>
      <c r="JFU2" s="97"/>
      <c r="JFV2" s="97"/>
      <c r="JFW2" s="97"/>
      <c r="JFX2" s="97"/>
      <c r="JFY2" s="97"/>
      <c r="JFZ2" s="97"/>
      <c r="JGA2" s="97"/>
      <c r="JGB2" s="97"/>
      <c r="JGC2" s="97"/>
      <c r="JGD2" s="97"/>
      <c r="JGE2" s="97"/>
      <c r="JGF2" s="97"/>
      <c r="JGG2" s="97"/>
      <c r="JGH2" s="97"/>
      <c r="JGI2" s="97"/>
      <c r="JGJ2" s="97"/>
      <c r="JGK2" s="97"/>
      <c r="JGL2" s="97"/>
      <c r="JGM2" s="97"/>
      <c r="JGN2" s="97"/>
      <c r="JGO2" s="97"/>
      <c r="JGP2" s="97"/>
      <c r="JGQ2" s="97"/>
      <c r="JGR2" s="97"/>
      <c r="JGS2" s="97"/>
      <c r="JGT2" s="97"/>
      <c r="JGU2" s="97"/>
      <c r="JGV2" s="97"/>
      <c r="JGW2" s="97"/>
      <c r="JGX2" s="97"/>
      <c r="JGY2" s="97"/>
      <c r="JGZ2" s="97"/>
      <c r="JHA2" s="97"/>
      <c r="JHB2" s="97"/>
      <c r="JHC2" s="97"/>
      <c r="JHD2" s="97"/>
      <c r="JHE2" s="97"/>
      <c r="JHF2" s="97"/>
      <c r="JHG2" s="97"/>
      <c r="JHH2" s="97"/>
      <c r="JHI2" s="97"/>
      <c r="JHJ2" s="97"/>
      <c r="JHK2" s="97"/>
      <c r="JHL2" s="97"/>
      <c r="JHM2" s="97"/>
      <c r="JHN2" s="97"/>
      <c r="JHO2" s="97"/>
      <c r="JHP2" s="97"/>
      <c r="JHQ2" s="97"/>
      <c r="JHR2" s="97"/>
      <c r="JHS2" s="97"/>
      <c r="JHT2" s="97"/>
      <c r="JHU2" s="97"/>
      <c r="JHV2" s="97"/>
      <c r="JHW2" s="97"/>
      <c r="JHX2" s="97"/>
      <c r="JHY2" s="97"/>
      <c r="JHZ2" s="97"/>
      <c r="JIA2" s="97"/>
      <c r="JIB2" s="97"/>
      <c r="JIC2" s="97"/>
      <c r="JID2" s="97"/>
      <c r="JIE2" s="97"/>
      <c r="JIF2" s="97"/>
      <c r="JIG2" s="97"/>
      <c r="JIH2" s="97"/>
      <c r="JII2" s="97"/>
      <c r="JIJ2" s="97"/>
      <c r="JIK2" s="97"/>
      <c r="JIL2" s="97"/>
      <c r="JIM2" s="97"/>
      <c r="JIN2" s="97"/>
      <c r="JIO2" s="97"/>
      <c r="JIP2" s="97"/>
      <c r="JIQ2" s="97"/>
      <c r="JIR2" s="97"/>
      <c r="JIS2" s="97"/>
      <c r="JIT2" s="97"/>
      <c r="JIU2" s="97"/>
      <c r="JIV2" s="97"/>
      <c r="JIW2" s="97"/>
      <c r="JIX2" s="97"/>
      <c r="JIY2" s="97"/>
      <c r="JIZ2" s="97"/>
      <c r="JJA2" s="97"/>
      <c r="JJB2" s="97"/>
      <c r="JJC2" s="97"/>
      <c r="JJD2" s="97"/>
      <c r="JJE2" s="97"/>
      <c r="JJF2" s="97"/>
      <c r="JJG2" s="97"/>
      <c r="JJH2" s="97"/>
      <c r="JJI2" s="97"/>
      <c r="JJJ2" s="97"/>
      <c r="JJK2" s="97"/>
      <c r="JJL2" s="97"/>
      <c r="JJM2" s="97"/>
      <c r="JJN2" s="97"/>
      <c r="JJO2" s="97"/>
      <c r="JJP2" s="97"/>
      <c r="JJQ2" s="97"/>
      <c r="JJR2" s="97"/>
      <c r="JJS2" s="97"/>
      <c r="JJT2" s="97"/>
      <c r="JJU2" s="97"/>
      <c r="JJV2" s="97"/>
      <c r="JJW2" s="97"/>
      <c r="JJX2" s="97"/>
      <c r="JJY2" s="97"/>
      <c r="JJZ2" s="97"/>
      <c r="JKA2" s="97"/>
      <c r="JKB2" s="97"/>
      <c r="JKC2" s="97"/>
      <c r="JKD2" s="97"/>
      <c r="JKE2" s="97"/>
      <c r="JKF2" s="97"/>
      <c r="JKG2" s="97"/>
      <c r="JKH2" s="97"/>
      <c r="JKI2" s="97"/>
      <c r="JKJ2" s="97"/>
      <c r="JKK2" s="97"/>
      <c r="JKL2" s="97"/>
      <c r="JKM2" s="97"/>
      <c r="JKN2" s="97"/>
      <c r="JKO2" s="97"/>
      <c r="JKP2" s="97"/>
      <c r="JKQ2" s="97"/>
      <c r="JKR2" s="97"/>
      <c r="JKS2" s="97"/>
      <c r="JKT2" s="97"/>
      <c r="JKU2" s="97"/>
      <c r="JKV2" s="97"/>
      <c r="JKW2" s="97"/>
      <c r="JKX2" s="97"/>
      <c r="JKY2" s="97"/>
      <c r="JKZ2" s="97"/>
      <c r="JLA2" s="97"/>
      <c r="JLB2" s="97"/>
      <c r="JLC2" s="97"/>
      <c r="JLD2" s="97"/>
      <c r="JLE2" s="97"/>
      <c r="JLF2" s="97"/>
      <c r="JLG2" s="97"/>
      <c r="JLH2" s="97"/>
      <c r="JLI2" s="97"/>
      <c r="JLJ2" s="97"/>
      <c r="JLK2" s="97"/>
      <c r="JLL2" s="97"/>
      <c r="JLM2" s="97"/>
      <c r="JLN2" s="97"/>
      <c r="JLO2" s="97"/>
      <c r="JLP2" s="97"/>
      <c r="JLQ2" s="97"/>
      <c r="JLR2" s="97"/>
      <c r="JLS2" s="97"/>
      <c r="JLT2" s="97"/>
      <c r="JLU2" s="97"/>
      <c r="JLV2" s="97"/>
      <c r="JLW2" s="97"/>
      <c r="JLX2" s="97"/>
      <c r="JLY2" s="97"/>
      <c r="JLZ2" s="97"/>
      <c r="JMA2" s="97"/>
      <c r="JMB2" s="97"/>
      <c r="JMC2" s="97"/>
      <c r="JMD2" s="97"/>
      <c r="JME2" s="97"/>
      <c r="JMF2" s="97"/>
      <c r="JMG2" s="97"/>
      <c r="JMH2" s="97"/>
      <c r="JMI2" s="97"/>
      <c r="JMJ2" s="97"/>
      <c r="JMK2" s="97"/>
      <c r="JML2" s="97"/>
      <c r="JMM2" s="97"/>
      <c r="JMN2" s="97"/>
      <c r="JMO2" s="97"/>
      <c r="JMP2" s="97"/>
      <c r="JMQ2" s="97"/>
      <c r="JMR2" s="97"/>
      <c r="JMS2" s="97"/>
      <c r="JMT2" s="97"/>
      <c r="JMU2" s="97"/>
      <c r="JMV2" s="97"/>
      <c r="JMW2" s="97"/>
      <c r="JMX2" s="97"/>
      <c r="JMY2" s="97"/>
      <c r="JMZ2" s="97"/>
      <c r="JNA2" s="97"/>
      <c r="JNB2" s="97"/>
      <c r="JNC2" s="97"/>
      <c r="JND2" s="97"/>
      <c r="JNE2" s="97"/>
      <c r="JNF2" s="97"/>
      <c r="JNG2" s="97"/>
      <c r="JNH2" s="97"/>
      <c r="JNI2" s="97"/>
      <c r="JNJ2" s="97"/>
      <c r="JNK2" s="97"/>
      <c r="JNL2" s="97"/>
      <c r="JNM2" s="97"/>
      <c r="JNN2" s="97"/>
      <c r="JNO2" s="97"/>
      <c r="JNP2" s="97"/>
      <c r="JNQ2" s="97"/>
      <c r="JNR2" s="97"/>
      <c r="JNS2" s="97"/>
      <c r="JNT2" s="97"/>
      <c r="JNU2" s="97"/>
      <c r="JNV2" s="97"/>
      <c r="JNW2" s="97"/>
      <c r="JNX2" s="97"/>
      <c r="JNY2" s="97"/>
      <c r="JNZ2" s="97"/>
      <c r="JOA2" s="97"/>
      <c r="JOB2" s="97"/>
      <c r="JOC2" s="97"/>
      <c r="JOD2" s="97"/>
      <c r="JOE2" s="97"/>
      <c r="JOF2" s="97"/>
      <c r="JOG2" s="97"/>
      <c r="JOH2" s="97"/>
      <c r="JOI2" s="97"/>
      <c r="JOJ2" s="97"/>
      <c r="JOK2" s="97"/>
      <c r="JOL2" s="97"/>
      <c r="JOM2" s="97"/>
      <c r="JON2" s="97"/>
      <c r="JOO2" s="97"/>
      <c r="JOP2" s="97"/>
      <c r="JOQ2" s="97"/>
      <c r="JOR2" s="97"/>
      <c r="JOS2" s="97"/>
      <c r="JOT2" s="97"/>
      <c r="JOU2" s="97"/>
      <c r="JOV2" s="97"/>
      <c r="JOW2" s="97"/>
      <c r="JOX2" s="97"/>
      <c r="JOY2" s="97"/>
      <c r="JOZ2" s="97"/>
      <c r="JPA2" s="97"/>
      <c r="JPB2" s="97"/>
      <c r="JPC2" s="97"/>
      <c r="JPD2" s="97"/>
      <c r="JPE2" s="97"/>
      <c r="JPF2" s="97"/>
      <c r="JPG2" s="97"/>
      <c r="JPH2" s="97"/>
      <c r="JPI2" s="97"/>
      <c r="JPJ2" s="97"/>
      <c r="JPK2" s="97"/>
      <c r="JPL2" s="97"/>
      <c r="JPM2" s="97"/>
      <c r="JPN2" s="97"/>
      <c r="JPO2" s="97"/>
      <c r="JPP2" s="97"/>
      <c r="JPQ2" s="97"/>
      <c r="JPR2" s="97"/>
      <c r="JPS2" s="97"/>
      <c r="JPT2" s="97"/>
      <c r="JPU2" s="97"/>
      <c r="JPV2" s="97"/>
      <c r="JPW2" s="97"/>
      <c r="JPX2" s="97"/>
      <c r="JPY2" s="97"/>
      <c r="JPZ2" s="97"/>
      <c r="JQA2" s="97"/>
      <c r="JQB2" s="97"/>
      <c r="JQC2" s="97"/>
      <c r="JQD2" s="97"/>
      <c r="JQE2" s="97"/>
      <c r="JQF2" s="97"/>
      <c r="JQG2" s="97"/>
      <c r="JQH2" s="97"/>
      <c r="JQI2" s="97"/>
      <c r="JQJ2" s="97"/>
      <c r="JQK2" s="97"/>
      <c r="JQL2" s="97"/>
      <c r="JQM2" s="97"/>
      <c r="JQN2" s="97"/>
      <c r="JQO2" s="97"/>
      <c r="JQP2" s="97"/>
      <c r="JQQ2" s="97"/>
      <c r="JQR2" s="97"/>
      <c r="JQS2" s="97"/>
      <c r="JQT2" s="97"/>
      <c r="JQU2" s="97"/>
      <c r="JQV2" s="97"/>
      <c r="JQW2" s="97"/>
      <c r="JQX2" s="97"/>
      <c r="JQY2" s="97"/>
      <c r="JQZ2" s="97"/>
      <c r="JRA2" s="97"/>
      <c r="JRB2" s="97"/>
      <c r="JRC2" s="97"/>
      <c r="JRD2" s="97"/>
      <c r="JRE2" s="97"/>
      <c r="JRF2" s="97"/>
      <c r="JRG2" s="97"/>
      <c r="JRH2" s="97"/>
      <c r="JRI2" s="97"/>
      <c r="JRJ2" s="97"/>
      <c r="JRK2" s="97"/>
      <c r="JRL2" s="97"/>
      <c r="JRM2" s="97"/>
      <c r="JRN2" s="97"/>
      <c r="JRO2" s="97"/>
      <c r="JRP2" s="97"/>
      <c r="JRQ2" s="97"/>
      <c r="JRR2" s="97"/>
      <c r="JRS2" s="97"/>
      <c r="JRT2" s="97"/>
      <c r="JRU2" s="97"/>
      <c r="JRV2" s="97"/>
      <c r="JRW2" s="97"/>
      <c r="JRX2" s="97"/>
      <c r="JRY2" s="97"/>
      <c r="JRZ2" s="97"/>
      <c r="JSA2" s="97"/>
      <c r="JSB2" s="97"/>
      <c r="JSC2" s="97"/>
      <c r="JSD2" s="97"/>
      <c r="JSE2" s="97"/>
      <c r="JSF2" s="97"/>
      <c r="JSG2" s="97"/>
      <c r="JSH2" s="97"/>
      <c r="JSI2" s="97"/>
      <c r="JSJ2" s="97"/>
      <c r="JSK2" s="97"/>
      <c r="JSL2" s="97"/>
      <c r="JSM2" s="97"/>
      <c r="JSN2" s="97"/>
      <c r="JSO2" s="97"/>
      <c r="JSP2" s="97"/>
      <c r="JSQ2" s="97"/>
      <c r="JSR2" s="97"/>
      <c r="JSS2" s="97"/>
      <c r="JST2" s="97"/>
      <c r="JSU2" s="97"/>
      <c r="JSV2" s="97"/>
      <c r="JSW2" s="97"/>
      <c r="JSX2" s="97"/>
      <c r="JSY2" s="97"/>
      <c r="JSZ2" s="97"/>
      <c r="JTA2" s="97"/>
      <c r="JTB2" s="97"/>
      <c r="JTC2" s="97"/>
      <c r="JTD2" s="97"/>
      <c r="JTE2" s="97"/>
      <c r="JTF2" s="97"/>
      <c r="JTG2" s="97"/>
      <c r="JTH2" s="97"/>
      <c r="JTI2" s="97"/>
      <c r="JTJ2" s="97"/>
      <c r="JTK2" s="97"/>
      <c r="JTL2" s="97"/>
      <c r="JTM2" s="97"/>
      <c r="JTN2" s="97"/>
      <c r="JTO2" s="97"/>
      <c r="JTP2" s="97"/>
      <c r="JTQ2" s="97"/>
      <c r="JTR2" s="97"/>
      <c r="JTS2" s="97"/>
      <c r="JTT2" s="97"/>
      <c r="JTU2" s="97"/>
      <c r="JTV2" s="97"/>
      <c r="JTW2" s="97"/>
      <c r="JTX2" s="97"/>
      <c r="JTY2" s="97"/>
      <c r="JTZ2" s="97"/>
      <c r="JUA2" s="97"/>
      <c r="JUB2" s="97"/>
      <c r="JUC2" s="97"/>
      <c r="JUD2" s="97"/>
      <c r="JUE2" s="97"/>
      <c r="JUF2" s="97"/>
      <c r="JUG2" s="97"/>
      <c r="JUH2" s="97"/>
      <c r="JUI2" s="97"/>
      <c r="JUJ2" s="97"/>
      <c r="JUK2" s="97"/>
      <c r="JUL2" s="97"/>
      <c r="JUM2" s="97"/>
      <c r="JUN2" s="97"/>
      <c r="JUO2" s="97"/>
      <c r="JUP2" s="97"/>
      <c r="JUQ2" s="97"/>
      <c r="JUR2" s="97"/>
      <c r="JUS2" s="97"/>
      <c r="JUT2" s="97"/>
      <c r="JUU2" s="97"/>
      <c r="JUV2" s="97"/>
      <c r="JUW2" s="97"/>
      <c r="JUX2" s="97"/>
      <c r="JUY2" s="97"/>
      <c r="JUZ2" s="97"/>
      <c r="JVA2" s="97"/>
      <c r="JVB2" s="97"/>
      <c r="JVC2" s="97"/>
      <c r="JVD2" s="97"/>
      <c r="JVE2" s="97"/>
      <c r="JVF2" s="97"/>
      <c r="JVG2" s="97"/>
      <c r="JVH2" s="97"/>
      <c r="JVI2" s="97"/>
      <c r="JVJ2" s="97"/>
      <c r="JVK2" s="97"/>
      <c r="JVL2" s="97"/>
      <c r="JVM2" s="97"/>
      <c r="JVN2" s="97"/>
      <c r="JVO2" s="97"/>
      <c r="JVP2" s="97"/>
      <c r="JVQ2" s="97"/>
      <c r="JVR2" s="97"/>
      <c r="JVS2" s="97"/>
      <c r="JVT2" s="97"/>
      <c r="JVU2" s="97"/>
      <c r="JVV2" s="97"/>
      <c r="JVW2" s="97"/>
      <c r="JVX2" s="97"/>
      <c r="JVY2" s="97"/>
      <c r="JVZ2" s="97"/>
      <c r="JWA2" s="97"/>
      <c r="JWB2" s="97"/>
      <c r="JWC2" s="97"/>
      <c r="JWD2" s="97"/>
      <c r="JWE2" s="97"/>
      <c r="JWF2" s="97"/>
      <c r="JWG2" s="97"/>
      <c r="JWH2" s="97"/>
      <c r="JWI2" s="97"/>
      <c r="JWJ2" s="97"/>
      <c r="JWK2" s="97"/>
      <c r="JWL2" s="97"/>
      <c r="JWM2" s="97"/>
      <c r="JWN2" s="97"/>
      <c r="JWO2" s="97"/>
      <c r="JWP2" s="97"/>
      <c r="JWQ2" s="97"/>
      <c r="JWR2" s="97"/>
      <c r="JWS2" s="97"/>
      <c r="JWT2" s="97"/>
      <c r="JWU2" s="97"/>
      <c r="JWV2" s="97"/>
      <c r="JWW2" s="97"/>
      <c r="JWX2" s="97"/>
      <c r="JWY2" s="97"/>
      <c r="JWZ2" s="97"/>
      <c r="JXA2" s="97"/>
      <c r="JXB2" s="97"/>
      <c r="JXC2" s="97"/>
      <c r="JXD2" s="97"/>
      <c r="JXE2" s="97"/>
      <c r="JXF2" s="97"/>
      <c r="JXG2" s="97"/>
      <c r="JXH2" s="97"/>
      <c r="JXI2" s="97"/>
      <c r="JXJ2" s="97"/>
      <c r="JXK2" s="97"/>
      <c r="JXL2" s="97"/>
      <c r="JXM2" s="97"/>
      <c r="JXN2" s="97"/>
      <c r="JXO2" s="97"/>
      <c r="JXP2" s="97"/>
      <c r="JXQ2" s="97"/>
      <c r="JXR2" s="97"/>
      <c r="JXS2" s="97"/>
      <c r="JXT2" s="97"/>
      <c r="JXU2" s="97"/>
      <c r="JXV2" s="97"/>
      <c r="JXW2" s="97"/>
      <c r="JXX2" s="97"/>
      <c r="JXY2" s="97"/>
      <c r="JXZ2" s="97"/>
      <c r="JYA2" s="97"/>
      <c r="JYB2" s="97"/>
      <c r="JYC2" s="97"/>
      <c r="JYD2" s="97"/>
      <c r="JYE2" s="97"/>
      <c r="JYF2" s="97"/>
      <c r="JYG2" s="97"/>
      <c r="JYH2" s="97"/>
      <c r="JYI2" s="97"/>
      <c r="JYJ2" s="97"/>
      <c r="JYK2" s="97"/>
      <c r="JYL2" s="97"/>
      <c r="JYM2" s="97"/>
      <c r="JYN2" s="97"/>
      <c r="JYO2" s="97"/>
      <c r="JYP2" s="97"/>
      <c r="JYQ2" s="97"/>
      <c r="JYR2" s="97"/>
      <c r="JYS2" s="97"/>
      <c r="JYT2" s="97"/>
      <c r="JYU2" s="97"/>
      <c r="JYV2" s="97"/>
      <c r="JYW2" s="97"/>
      <c r="JYX2" s="97"/>
      <c r="JYY2" s="97"/>
      <c r="JYZ2" s="97"/>
      <c r="JZA2" s="97"/>
      <c r="JZB2" s="97"/>
      <c r="JZC2" s="97"/>
      <c r="JZD2" s="97"/>
      <c r="JZE2" s="97"/>
      <c r="JZF2" s="97"/>
      <c r="JZG2" s="97"/>
      <c r="JZH2" s="97"/>
      <c r="JZI2" s="97"/>
      <c r="JZJ2" s="97"/>
      <c r="JZK2" s="97"/>
      <c r="JZL2" s="97"/>
      <c r="JZM2" s="97"/>
      <c r="JZN2" s="97"/>
      <c r="JZO2" s="97"/>
      <c r="JZP2" s="97"/>
      <c r="JZQ2" s="97"/>
      <c r="JZR2" s="97"/>
      <c r="JZS2" s="97"/>
      <c r="JZT2" s="97"/>
      <c r="JZU2" s="97"/>
      <c r="JZV2" s="97"/>
      <c r="JZW2" s="97"/>
      <c r="JZX2" s="97"/>
      <c r="JZY2" s="97"/>
      <c r="JZZ2" s="97"/>
      <c r="KAA2" s="97"/>
      <c r="KAB2" s="97"/>
      <c r="KAC2" s="97"/>
      <c r="KAD2" s="97"/>
      <c r="KAE2" s="97"/>
      <c r="KAF2" s="97"/>
      <c r="KAG2" s="97"/>
      <c r="KAH2" s="97"/>
      <c r="KAI2" s="97"/>
      <c r="KAJ2" s="97"/>
      <c r="KAK2" s="97"/>
      <c r="KAL2" s="97"/>
      <c r="KAM2" s="97"/>
      <c r="KAN2" s="97"/>
      <c r="KAO2" s="97"/>
      <c r="KAP2" s="97"/>
      <c r="KAQ2" s="97"/>
      <c r="KAR2" s="97"/>
      <c r="KAS2" s="97"/>
      <c r="KAT2" s="97"/>
      <c r="KAU2" s="97"/>
      <c r="KAV2" s="97"/>
      <c r="KAW2" s="97"/>
      <c r="KAX2" s="97"/>
      <c r="KAY2" s="97"/>
      <c r="KAZ2" s="97"/>
      <c r="KBA2" s="97"/>
      <c r="KBB2" s="97"/>
      <c r="KBC2" s="97"/>
      <c r="KBD2" s="97"/>
      <c r="KBE2" s="97"/>
      <c r="KBF2" s="97"/>
      <c r="KBG2" s="97"/>
      <c r="KBH2" s="97"/>
      <c r="KBI2" s="97"/>
      <c r="KBJ2" s="97"/>
      <c r="KBK2" s="97"/>
      <c r="KBL2" s="97"/>
      <c r="KBM2" s="97"/>
      <c r="KBN2" s="97"/>
      <c r="KBO2" s="97"/>
      <c r="KBP2" s="97"/>
      <c r="KBQ2" s="97"/>
      <c r="KBR2" s="97"/>
      <c r="KBS2" s="97"/>
      <c r="KBT2" s="97"/>
      <c r="KBU2" s="97"/>
      <c r="KBV2" s="97"/>
      <c r="KBW2" s="97"/>
      <c r="KBX2" s="97"/>
      <c r="KBY2" s="97"/>
      <c r="KBZ2" s="97"/>
      <c r="KCA2" s="97"/>
      <c r="KCB2" s="97"/>
      <c r="KCC2" s="97"/>
      <c r="KCD2" s="97"/>
      <c r="KCE2" s="97"/>
      <c r="KCF2" s="97"/>
      <c r="KCG2" s="97"/>
      <c r="KCH2" s="97"/>
      <c r="KCI2" s="97"/>
      <c r="KCJ2" s="97"/>
      <c r="KCK2" s="97"/>
      <c r="KCL2" s="97"/>
      <c r="KCM2" s="97"/>
      <c r="KCN2" s="97"/>
      <c r="KCO2" s="97"/>
      <c r="KCP2" s="97"/>
      <c r="KCQ2" s="97"/>
      <c r="KCR2" s="97"/>
      <c r="KCS2" s="97"/>
      <c r="KCT2" s="97"/>
      <c r="KCU2" s="97"/>
      <c r="KCV2" s="97"/>
      <c r="KCW2" s="97"/>
      <c r="KCX2" s="97"/>
      <c r="KCY2" s="97"/>
      <c r="KCZ2" s="97"/>
      <c r="KDA2" s="97"/>
      <c r="KDB2" s="97"/>
      <c r="KDC2" s="97"/>
      <c r="KDD2" s="97"/>
      <c r="KDE2" s="97"/>
      <c r="KDF2" s="97"/>
      <c r="KDG2" s="97"/>
      <c r="KDH2" s="97"/>
      <c r="KDI2" s="97"/>
      <c r="KDJ2" s="97"/>
      <c r="KDK2" s="97"/>
      <c r="KDL2" s="97"/>
      <c r="KDM2" s="97"/>
      <c r="KDN2" s="97"/>
      <c r="KDO2" s="97"/>
      <c r="KDP2" s="97"/>
      <c r="KDQ2" s="97"/>
      <c r="KDR2" s="97"/>
      <c r="KDS2" s="97"/>
      <c r="KDT2" s="97"/>
      <c r="KDU2" s="97"/>
      <c r="KDV2" s="97"/>
      <c r="KDW2" s="97"/>
      <c r="KDX2" s="97"/>
      <c r="KDY2" s="97"/>
      <c r="KDZ2" s="97"/>
      <c r="KEA2" s="97"/>
      <c r="KEB2" s="97"/>
      <c r="KEC2" s="97"/>
      <c r="KED2" s="97"/>
      <c r="KEE2" s="97"/>
      <c r="KEF2" s="97"/>
      <c r="KEG2" s="97"/>
      <c r="KEH2" s="97"/>
      <c r="KEI2" s="97"/>
      <c r="KEJ2" s="97"/>
      <c r="KEK2" s="97"/>
      <c r="KEL2" s="97"/>
      <c r="KEM2" s="97"/>
      <c r="KEN2" s="97"/>
      <c r="KEO2" s="97"/>
      <c r="KEP2" s="97"/>
      <c r="KEQ2" s="97"/>
      <c r="KER2" s="97"/>
      <c r="KES2" s="97"/>
      <c r="KET2" s="97"/>
      <c r="KEU2" s="97"/>
      <c r="KEV2" s="97"/>
      <c r="KEW2" s="97"/>
      <c r="KEX2" s="97"/>
      <c r="KEY2" s="97"/>
      <c r="KEZ2" s="97"/>
      <c r="KFA2" s="97"/>
      <c r="KFB2" s="97"/>
      <c r="KFC2" s="97"/>
      <c r="KFD2" s="97"/>
      <c r="KFE2" s="97"/>
      <c r="KFF2" s="97"/>
      <c r="KFG2" s="97"/>
      <c r="KFH2" s="97"/>
      <c r="KFI2" s="97"/>
      <c r="KFJ2" s="97"/>
      <c r="KFK2" s="97"/>
      <c r="KFL2" s="97"/>
      <c r="KFM2" s="97"/>
      <c r="KFN2" s="97"/>
      <c r="KFO2" s="97"/>
      <c r="KFP2" s="97"/>
      <c r="KFQ2" s="97"/>
      <c r="KFR2" s="97"/>
      <c r="KFS2" s="97"/>
      <c r="KFT2" s="97"/>
      <c r="KFU2" s="97"/>
      <c r="KFV2" s="97"/>
      <c r="KFW2" s="97"/>
      <c r="KFX2" s="97"/>
      <c r="KFY2" s="97"/>
      <c r="KFZ2" s="97"/>
      <c r="KGA2" s="97"/>
      <c r="KGB2" s="97"/>
      <c r="KGC2" s="97"/>
      <c r="KGD2" s="97"/>
      <c r="KGE2" s="97"/>
      <c r="KGF2" s="97"/>
      <c r="KGG2" s="97"/>
      <c r="KGH2" s="97"/>
      <c r="KGI2" s="97"/>
      <c r="KGJ2" s="97"/>
      <c r="KGK2" s="97"/>
      <c r="KGL2" s="97"/>
      <c r="KGM2" s="97"/>
      <c r="KGN2" s="97"/>
      <c r="KGO2" s="97"/>
      <c r="KGP2" s="97"/>
      <c r="KGQ2" s="97"/>
      <c r="KGR2" s="97"/>
      <c r="KGS2" s="97"/>
      <c r="KGT2" s="97"/>
      <c r="KGU2" s="97"/>
      <c r="KGV2" s="97"/>
      <c r="KGW2" s="97"/>
      <c r="KGX2" s="97"/>
      <c r="KGY2" s="97"/>
      <c r="KGZ2" s="97"/>
      <c r="KHA2" s="97"/>
      <c r="KHB2" s="97"/>
      <c r="KHC2" s="97"/>
      <c r="KHD2" s="97"/>
      <c r="KHE2" s="97"/>
      <c r="KHF2" s="97"/>
      <c r="KHG2" s="97"/>
      <c r="KHH2" s="97"/>
      <c r="KHI2" s="97"/>
      <c r="KHJ2" s="97"/>
      <c r="KHK2" s="97"/>
      <c r="KHL2" s="97"/>
      <c r="KHM2" s="97"/>
      <c r="KHN2" s="97"/>
      <c r="KHO2" s="97"/>
      <c r="KHP2" s="97"/>
      <c r="KHQ2" s="97"/>
      <c r="KHR2" s="97"/>
      <c r="KHS2" s="97"/>
      <c r="KHT2" s="97"/>
      <c r="KHU2" s="97"/>
      <c r="KHV2" s="97"/>
      <c r="KHW2" s="97"/>
      <c r="KHX2" s="97"/>
      <c r="KHY2" s="97"/>
      <c r="KHZ2" s="97"/>
      <c r="KIA2" s="97"/>
      <c r="KIB2" s="97"/>
      <c r="KIC2" s="97"/>
      <c r="KID2" s="97"/>
      <c r="KIE2" s="97"/>
      <c r="KIF2" s="97"/>
      <c r="KIG2" s="97"/>
      <c r="KIH2" s="97"/>
      <c r="KII2" s="97"/>
      <c r="KIJ2" s="97"/>
      <c r="KIK2" s="97"/>
      <c r="KIL2" s="97"/>
      <c r="KIM2" s="97"/>
      <c r="KIN2" s="97"/>
      <c r="KIO2" s="97"/>
      <c r="KIP2" s="97"/>
      <c r="KIQ2" s="97"/>
      <c r="KIR2" s="97"/>
      <c r="KIS2" s="97"/>
      <c r="KIT2" s="97"/>
      <c r="KIU2" s="97"/>
      <c r="KIV2" s="97"/>
      <c r="KIW2" s="97"/>
      <c r="KIX2" s="97"/>
      <c r="KIY2" s="97"/>
      <c r="KIZ2" s="97"/>
      <c r="KJA2" s="97"/>
      <c r="KJB2" s="97"/>
      <c r="KJC2" s="97"/>
      <c r="KJD2" s="97"/>
      <c r="KJE2" s="97"/>
      <c r="KJF2" s="97"/>
      <c r="KJG2" s="97"/>
      <c r="KJH2" s="97"/>
      <c r="KJI2" s="97"/>
      <c r="KJJ2" s="97"/>
      <c r="KJK2" s="97"/>
      <c r="KJL2" s="97"/>
      <c r="KJM2" s="97"/>
      <c r="KJN2" s="97"/>
      <c r="KJO2" s="97"/>
      <c r="KJP2" s="97"/>
      <c r="KJQ2" s="97"/>
      <c r="KJR2" s="97"/>
      <c r="KJS2" s="97"/>
      <c r="KJT2" s="97"/>
      <c r="KJU2" s="97"/>
      <c r="KJV2" s="97"/>
      <c r="KJW2" s="97"/>
      <c r="KJX2" s="97"/>
      <c r="KJY2" s="97"/>
      <c r="KJZ2" s="97"/>
      <c r="KKA2" s="97"/>
      <c r="KKB2" s="97"/>
      <c r="KKC2" s="97"/>
      <c r="KKD2" s="97"/>
      <c r="KKE2" s="97"/>
      <c r="KKF2" s="97"/>
      <c r="KKG2" s="97"/>
      <c r="KKH2" s="97"/>
      <c r="KKI2" s="97"/>
      <c r="KKJ2" s="97"/>
      <c r="KKK2" s="97"/>
      <c r="KKL2" s="97"/>
      <c r="KKM2" s="97"/>
      <c r="KKN2" s="97"/>
      <c r="KKO2" s="97"/>
      <c r="KKP2" s="97"/>
      <c r="KKQ2" s="97"/>
      <c r="KKR2" s="97"/>
      <c r="KKS2" s="97"/>
      <c r="KKT2" s="97"/>
      <c r="KKU2" s="97"/>
      <c r="KKV2" s="97"/>
      <c r="KKW2" s="97"/>
      <c r="KKX2" s="97"/>
      <c r="KKY2" s="97"/>
      <c r="KKZ2" s="97"/>
      <c r="KLA2" s="97"/>
      <c r="KLB2" s="97"/>
      <c r="KLC2" s="97"/>
      <c r="KLD2" s="97"/>
      <c r="KLE2" s="97"/>
      <c r="KLF2" s="97"/>
      <c r="KLG2" s="97"/>
      <c r="KLH2" s="97"/>
      <c r="KLI2" s="97"/>
      <c r="KLJ2" s="97"/>
      <c r="KLK2" s="97"/>
      <c r="KLL2" s="97"/>
      <c r="KLM2" s="97"/>
      <c r="KLN2" s="97"/>
      <c r="KLO2" s="97"/>
      <c r="KLP2" s="97"/>
      <c r="KLQ2" s="97"/>
      <c r="KLR2" s="97"/>
      <c r="KLS2" s="97"/>
      <c r="KLT2" s="97"/>
      <c r="KLU2" s="97"/>
      <c r="KLV2" s="97"/>
      <c r="KLW2" s="97"/>
      <c r="KLX2" s="97"/>
      <c r="KLY2" s="97"/>
      <c r="KLZ2" s="97"/>
      <c r="KMA2" s="97"/>
      <c r="KMB2" s="97"/>
      <c r="KMC2" s="97"/>
      <c r="KMD2" s="97"/>
      <c r="KME2" s="97"/>
      <c r="KMF2" s="97"/>
      <c r="KMG2" s="97"/>
      <c r="KMH2" s="97"/>
      <c r="KMI2" s="97"/>
      <c r="KMJ2" s="97"/>
      <c r="KMK2" s="97"/>
      <c r="KML2" s="97"/>
      <c r="KMM2" s="97"/>
      <c r="KMN2" s="97"/>
      <c r="KMO2" s="97"/>
      <c r="KMP2" s="97"/>
      <c r="KMQ2" s="97"/>
      <c r="KMR2" s="97"/>
      <c r="KMS2" s="97"/>
      <c r="KMT2" s="97"/>
      <c r="KMU2" s="97"/>
      <c r="KMV2" s="97"/>
      <c r="KMW2" s="97"/>
      <c r="KMX2" s="97"/>
      <c r="KMY2" s="97"/>
      <c r="KMZ2" s="97"/>
      <c r="KNA2" s="97"/>
      <c r="KNB2" s="97"/>
      <c r="KNC2" s="97"/>
      <c r="KND2" s="97"/>
      <c r="KNE2" s="97"/>
      <c r="KNF2" s="97"/>
      <c r="KNG2" s="97"/>
      <c r="KNH2" s="97"/>
      <c r="KNI2" s="97"/>
      <c r="KNJ2" s="97"/>
      <c r="KNK2" s="97"/>
      <c r="KNL2" s="97"/>
      <c r="KNM2" s="97"/>
      <c r="KNN2" s="97"/>
      <c r="KNO2" s="97"/>
      <c r="KNP2" s="97"/>
      <c r="KNQ2" s="97"/>
      <c r="KNR2" s="97"/>
      <c r="KNS2" s="97"/>
      <c r="KNT2" s="97"/>
      <c r="KNU2" s="97"/>
      <c r="KNV2" s="97"/>
      <c r="KNW2" s="97"/>
      <c r="KNX2" s="97"/>
      <c r="KNY2" s="97"/>
      <c r="KNZ2" s="97"/>
      <c r="KOA2" s="97"/>
      <c r="KOB2" s="97"/>
      <c r="KOC2" s="97"/>
      <c r="KOD2" s="97"/>
      <c r="KOE2" s="97"/>
      <c r="KOF2" s="97"/>
      <c r="KOG2" s="97"/>
      <c r="KOH2" s="97"/>
      <c r="KOI2" s="97"/>
      <c r="KOJ2" s="97"/>
      <c r="KOK2" s="97"/>
      <c r="KOL2" s="97"/>
      <c r="KOM2" s="97"/>
      <c r="KON2" s="97"/>
      <c r="KOO2" s="97"/>
      <c r="KOP2" s="97"/>
      <c r="KOQ2" s="97"/>
      <c r="KOR2" s="97"/>
      <c r="KOS2" s="97"/>
      <c r="KOT2" s="97"/>
      <c r="KOU2" s="97"/>
      <c r="KOV2" s="97"/>
      <c r="KOW2" s="97"/>
      <c r="KOX2" s="97"/>
      <c r="KOY2" s="97"/>
      <c r="KOZ2" s="97"/>
      <c r="KPA2" s="97"/>
      <c r="KPB2" s="97"/>
      <c r="KPC2" s="97"/>
      <c r="KPD2" s="97"/>
      <c r="KPE2" s="97"/>
      <c r="KPF2" s="97"/>
      <c r="KPG2" s="97"/>
      <c r="KPH2" s="97"/>
      <c r="KPI2" s="97"/>
      <c r="KPJ2" s="97"/>
      <c r="KPK2" s="97"/>
      <c r="KPL2" s="97"/>
      <c r="KPM2" s="97"/>
      <c r="KPN2" s="97"/>
      <c r="KPO2" s="97"/>
      <c r="KPP2" s="97"/>
      <c r="KPQ2" s="97"/>
      <c r="KPR2" s="97"/>
      <c r="KPS2" s="97"/>
      <c r="KPT2" s="97"/>
      <c r="KPU2" s="97"/>
      <c r="KPV2" s="97"/>
      <c r="KPW2" s="97"/>
      <c r="KPX2" s="97"/>
      <c r="KPY2" s="97"/>
      <c r="KPZ2" s="97"/>
      <c r="KQA2" s="97"/>
      <c r="KQB2" s="97"/>
      <c r="KQC2" s="97"/>
      <c r="KQD2" s="97"/>
      <c r="KQE2" s="97"/>
      <c r="KQF2" s="97"/>
      <c r="KQG2" s="97"/>
      <c r="KQH2" s="97"/>
      <c r="KQI2" s="97"/>
      <c r="KQJ2" s="97"/>
      <c r="KQK2" s="97"/>
      <c r="KQL2" s="97"/>
      <c r="KQM2" s="97"/>
      <c r="KQN2" s="97"/>
      <c r="KQO2" s="97"/>
      <c r="KQP2" s="97"/>
      <c r="KQQ2" s="97"/>
      <c r="KQR2" s="97"/>
      <c r="KQS2" s="97"/>
      <c r="KQT2" s="97"/>
      <c r="KQU2" s="97"/>
      <c r="KQV2" s="97"/>
      <c r="KQW2" s="97"/>
      <c r="KQX2" s="97"/>
      <c r="KQY2" s="97"/>
      <c r="KQZ2" s="97"/>
      <c r="KRA2" s="97"/>
      <c r="KRB2" s="97"/>
      <c r="KRC2" s="97"/>
      <c r="KRD2" s="97"/>
      <c r="KRE2" s="97"/>
      <c r="KRF2" s="97"/>
      <c r="KRG2" s="97"/>
      <c r="KRH2" s="97"/>
      <c r="KRI2" s="97"/>
      <c r="KRJ2" s="97"/>
      <c r="KRK2" s="97"/>
      <c r="KRL2" s="97"/>
      <c r="KRM2" s="97"/>
      <c r="KRN2" s="97"/>
      <c r="KRO2" s="97"/>
      <c r="KRP2" s="97"/>
      <c r="KRQ2" s="97"/>
      <c r="KRR2" s="97"/>
      <c r="KRS2" s="97"/>
      <c r="KRT2" s="97"/>
      <c r="KRU2" s="97"/>
      <c r="KRV2" s="97"/>
      <c r="KRW2" s="97"/>
      <c r="KRX2" s="97"/>
      <c r="KRY2" s="97"/>
      <c r="KRZ2" s="97"/>
      <c r="KSA2" s="97"/>
      <c r="KSB2" s="97"/>
      <c r="KSC2" s="97"/>
      <c r="KSD2" s="97"/>
      <c r="KSE2" s="97"/>
      <c r="KSF2" s="97"/>
      <c r="KSG2" s="97"/>
      <c r="KSH2" s="97"/>
      <c r="KSI2" s="97"/>
      <c r="KSJ2" s="97"/>
      <c r="KSK2" s="97"/>
      <c r="KSL2" s="97"/>
      <c r="KSM2" s="97"/>
      <c r="KSN2" s="97"/>
      <c r="KSO2" s="97"/>
      <c r="KSP2" s="97"/>
      <c r="KSQ2" s="97"/>
      <c r="KSR2" s="97"/>
      <c r="KSS2" s="97"/>
      <c r="KST2" s="97"/>
      <c r="KSU2" s="97"/>
      <c r="KSV2" s="97"/>
      <c r="KSW2" s="97"/>
      <c r="KSX2" s="97"/>
      <c r="KSY2" s="97"/>
      <c r="KSZ2" s="97"/>
      <c r="KTA2" s="97"/>
      <c r="KTB2" s="97"/>
      <c r="KTC2" s="97"/>
      <c r="KTD2" s="97"/>
      <c r="KTE2" s="97"/>
      <c r="KTF2" s="97"/>
      <c r="KTG2" s="97"/>
      <c r="KTH2" s="97"/>
      <c r="KTI2" s="97"/>
      <c r="KTJ2" s="97"/>
      <c r="KTK2" s="97"/>
      <c r="KTL2" s="97"/>
      <c r="KTM2" s="97"/>
      <c r="KTN2" s="97"/>
      <c r="KTO2" s="97"/>
      <c r="KTP2" s="97"/>
      <c r="KTQ2" s="97"/>
      <c r="KTR2" s="97"/>
      <c r="KTS2" s="97"/>
      <c r="KTT2" s="97"/>
      <c r="KTU2" s="97"/>
      <c r="KTV2" s="97"/>
      <c r="KTW2" s="97"/>
      <c r="KTX2" s="97"/>
      <c r="KTY2" s="97"/>
      <c r="KTZ2" s="97"/>
      <c r="KUA2" s="97"/>
      <c r="KUB2" s="97"/>
      <c r="KUC2" s="97"/>
      <c r="KUD2" s="97"/>
      <c r="KUE2" s="97"/>
      <c r="KUF2" s="97"/>
      <c r="KUG2" s="97"/>
      <c r="KUH2" s="97"/>
      <c r="KUI2" s="97"/>
      <c r="KUJ2" s="97"/>
      <c r="KUK2" s="97"/>
      <c r="KUL2" s="97"/>
      <c r="KUM2" s="97"/>
      <c r="KUN2" s="97"/>
      <c r="KUO2" s="97"/>
      <c r="KUP2" s="97"/>
      <c r="KUQ2" s="97"/>
      <c r="KUR2" s="97"/>
      <c r="KUS2" s="97"/>
      <c r="KUT2" s="97"/>
      <c r="KUU2" s="97"/>
      <c r="KUV2" s="97"/>
      <c r="KUW2" s="97"/>
      <c r="KUX2" s="97"/>
      <c r="KUY2" s="97"/>
      <c r="KUZ2" s="97"/>
      <c r="KVA2" s="97"/>
      <c r="KVB2" s="97"/>
      <c r="KVC2" s="97"/>
      <c r="KVD2" s="97"/>
      <c r="KVE2" s="97"/>
      <c r="KVF2" s="97"/>
      <c r="KVG2" s="97"/>
      <c r="KVH2" s="97"/>
      <c r="KVI2" s="97"/>
      <c r="KVJ2" s="97"/>
      <c r="KVK2" s="97"/>
      <c r="KVL2" s="97"/>
      <c r="KVM2" s="97"/>
      <c r="KVN2" s="97"/>
      <c r="KVO2" s="97"/>
      <c r="KVP2" s="97"/>
      <c r="KVQ2" s="97"/>
      <c r="KVR2" s="97"/>
      <c r="KVS2" s="97"/>
      <c r="KVT2" s="97"/>
      <c r="KVU2" s="97"/>
      <c r="KVV2" s="97"/>
      <c r="KVW2" s="97"/>
      <c r="KVX2" s="97"/>
      <c r="KVY2" s="97"/>
      <c r="KVZ2" s="97"/>
      <c r="KWA2" s="97"/>
      <c r="KWB2" s="97"/>
      <c r="KWC2" s="97"/>
      <c r="KWD2" s="97"/>
      <c r="KWE2" s="97"/>
      <c r="KWF2" s="97"/>
      <c r="KWG2" s="97"/>
      <c r="KWH2" s="97"/>
      <c r="KWI2" s="97"/>
      <c r="KWJ2" s="97"/>
      <c r="KWK2" s="97"/>
      <c r="KWL2" s="97"/>
      <c r="KWM2" s="97"/>
      <c r="KWN2" s="97"/>
      <c r="KWO2" s="97"/>
      <c r="KWP2" s="97"/>
      <c r="KWQ2" s="97"/>
      <c r="KWR2" s="97"/>
      <c r="KWS2" s="97"/>
      <c r="KWT2" s="97"/>
      <c r="KWU2" s="97"/>
      <c r="KWV2" s="97"/>
      <c r="KWW2" s="97"/>
      <c r="KWX2" s="97"/>
      <c r="KWY2" s="97"/>
      <c r="KWZ2" s="97"/>
      <c r="KXA2" s="97"/>
      <c r="KXB2" s="97"/>
      <c r="KXC2" s="97"/>
      <c r="KXD2" s="97"/>
      <c r="KXE2" s="97"/>
      <c r="KXF2" s="97"/>
      <c r="KXG2" s="97"/>
      <c r="KXH2" s="97"/>
      <c r="KXI2" s="97"/>
      <c r="KXJ2" s="97"/>
      <c r="KXK2" s="97"/>
      <c r="KXL2" s="97"/>
      <c r="KXM2" s="97"/>
      <c r="KXN2" s="97"/>
      <c r="KXO2" s="97"/>
      <c r="KXP2" s="97"/>
      <c r="KXQ2" s="97"/>
      <c r="KXR2" s="97"/>
      <c r="KXS2" s="97"/>
      <c r="KXT2" s="97"/>
      <c r="KXU2" s="97"/>
      <c r="KXV2" s="97"/>
      <c r="KXW2" s="97"/>
      <c r="KXX2" s="97"/>
      <c r="KXY2" s="97"/>
      <c r="KXZ2" s="97"/>
      <c r="KYA2" s="97"/>
      <c r="KYB2" s="97"/>
      <c r="KYC2" s="97"/>
      <c r="KYD2" s="97"/>
      <c r="KYE2" s="97"/>
      <c r="KYF2" s="97"/>
      <c r="KYG2" s="97"/>
      <c r="KYH2" s="97"/>
      <c r="KYI2" s="97"/>
      <c r="KYJ2" s="97"/>
      <c r="KYK2" s="97"/>
      <c r="KYL2" s="97"/>
      <c r="KYM2" s="97"/>
      <c r="KYN2" s="97"/>
      <c r="KYO2" s="97"/>
      <c r="KYP2" s="97"/>
      <c r="KYQ2" s="97"/>
      <c r="KYR2" s="97"/>
      <c r="KYS2" s="97"/>
      <c r="KYT2" s="97"/>
      <c r="KYU2" s="97"/>
      <c r="KYV2" s="97"/>
      <c r="KYW2" s="97"/>
      <c r="KYX2" s="97"/>
      <c r="KYY2" s="97"/>
      <c r="KYZ2" s="97"/>
      <c r="KZA2" s="97"/>
      <c r="KZB2" s="97"/>
      <c r="KZC2" s="97"/>
      <c r="KZD2" s="97"/>
      <c r="KZE2" s="97"/>
      <c r="KZF2" s="97"/>
      <c r="KZG2" s="97"/>
      <c r="KZH2" s="97"/>
      <c r="KZI2" s="97"/>
      <c r="KZJ2" s="97"/>
      <c r="KZK2" s="97"/>
      <c r="KZL2" s="97"/>
      <c r="KZM2" s="97"/>
      <c r="KZN2" s="97"/>
      <c r="KZO2" s="97"/>
      <c r="KZP2" s="97"/>
      <c r="KZQ2" s="97"/>
      <c r="KZR2" s="97"/>
      <c r="KZS2" s="97"/>
      <c r="KZT2" s="97"/>
      <c r="KZU2" s="97"/>
      <c r="KZV2" s="97"/>
      <c r="KZW2" s="97"/>
      <c r="KZX2" s="97"/>
      <c r="KZY2" s="97"/>
      <c r="KZZ2" s="97"/>
      <c r="LAA2" s="97"/>
      <c r="LAB2" s="97"/>
      <c r="LAC2" s="97"/>
      <c r="LAD2" s="97"/>
      <c r="LAE2" s="97"/>
      <c r="LAF2" s="97"/>
      <c r="LAG2" s="97"/>
      <c r="LAH2" s="97"/>
      <c r="LAI2" s="97"/>
      <c r="LAJ2" s="97"/>
      <c r="LAK2" s="97"/>
      <c r="LAL2" s="97"/>
      <c r="LAM2" s="97"/>
      <c r="LAN2" s="97"/>
      <c r="LAO2" s="97"/>
      <c r="LAP2" s="97"/>
      <c r="LAQ2" s="97"/>
      <c r="LAR2" s="97"/>
      <c r="LAS2" s="97"/>
      <c r="LAT2" s="97"/>
      <c r="LAU2" s="97"/>
      <c r="LAV2" s="97"/>
      <c r="LAW2" s="97"/>
      <c r="LAX2" s="97"/>
      <c r="LAY2" s="97"/>
      <c r="LAZ2" s="97"/>
      <c r="LBA2" s="97"/>
      <c r="LBB2" s="97"/>
      <c r="LBC2" s="97"/>
      <c r="LBD2" s="97"/>
      <c r="LBE2" s="97"/>
      <c r="LBF2" s="97"/>
      <c r="LBG2" s="97"/>
      <c r="LBH2" s="97"/>
      <c r="LBI2" s="97"/>
      <c r="LBJ2" s="97"/>
      <c r="LBK2" s="97"/>
      <c r="LBL2" s="97"/>
      <c r="LBM2" s="97"/>
      <c r="LBN2" s="97"/>
      <c r="LBO2" s="97"/>
      <c r="LBP2" s="97"/>
      <c r="LBQ2" s="97"/>
      <c r="LBR2" s="97"/>
      <c r="LBS2" s="97"/>
      <c r="LBT2" s="97"/>
      <c r="LBU2" s="97"/>
      <c r="LBV2" s="97"/>
      <c r="LBW2" s="97"/>
      <c r="LBX2" s="97"/>
      <c r="LBY2" s="97"/>
      <c r="LBZ2" s="97"/>
      <c r="LCA2" s="97"/>
      <c r="LCB2" s="97"/>
      <c r="LCC2" s="97"/>
      <c r="LCD2" s="97"/>
      <c r="LCE2" s="97"/>
      <c r="LCF2" s="97"/>
      <c r="LCG2" s="97"/>
      <c r="LCH2" s="97"/>
      <c r="LCI2" s="97"/>
      <c r="LCJ2" s="97"/>
      <c r="LCK2" s="97"/>
      <c r="LCL2" s="97"/>
      <c r="LCM2" s="97"/>
      <c r="LCN2" s="97"/>
      <c r="LCO2" s="97"/>
      <c r="LCP2" s="97"/>
      <c r="LCQ2" s="97"/>
      <c r="LCR2" s="97"/>
      <c r="LCS2" s="97"/>
      <c r="LCT2" s="97"/>
      <c r="LCU2" s="97"/>
      <c r="LCV2" s="97"/>
      <c r="LCW2" s="97"/>
      <c r="LCX2" s="97"/>
      <c r="LCY2" s="97"/>
      <c r="LCZ2" s="97"/>
      <c r="LDA2" s="97"/>
      <c r="LDB2" s="97"/>
      <c r="LDC2" s="97"/>
      <c r="LDD2" s="97"/>
      <c r="LDE2" s="97"/>
      <c r="LDF2" s="97"/>
      <c r="LDG2" s="97"/>
      <c r="LDH2" s="97"/>
      <c r="LDI2" s="97"/>
      <c r="LDJ2" s="97"/>
      <c r="LDK2" s="97"/>
      <c r="LDL2" s="97"/>
      <c r="LDM2" s="97"/>
      <c r="LDN2" s="97"/>
      <c r="LDO2" s="97"/>
      <c r="LDP2" s="97"/>
      <c r="LDQ2" s="97"/>
      <c r="LDR2" s="97"/>
      <c r="LDS2" s="97"/>
      <c r="LDT2" s="97"/>
      <c r="LDU2" s="97"/>
      <c r="LDV2" s="97"/>
      <c r="LDW2" s="97"/>
      <c r="LDX2" s="97"/>
      <c r="LDY2" s="97"/>
      <c r="LDZ2" s="97"/>
      <c r="LEA2" s="97"/>
      <c r="LEB2" s="97"/>
      <c r="LEC2" s="97"/>
      <c r="LED2" s="97"/>
      <c r="LEE2" s="97"/>
      <c r="LEF2" s="97"/>
      <c r="LEG2" s="97"/>
      <c r="LEH2" s="97"/>
      <c r="LEI2" s="97"/>
      <c r="LEJ2" s="97"/>
      <c r="LEK2" s="97"/>
      <c r="LEL2" s="97"/>
      <c r="LEM2" s="97"/>
      <c r="LEN2" s="97"/>
      <c r="LEO2" s="97"/>
      <c r="LEP2" s="97"/>
      <c r="LEQ2" s="97"/>
      <c r="LER2" s="97"/>
      <c r="LES2" s="97"/>
      <c r="LET2" s="97"/>
      <c r="LEU2" s="97"/>
      <c r="LEV2" s="97"/>
      <c r="LEW2" s="97"/>
      <c r="LEX2" s="97"/>
      <c r="LEY2" s="97"/>
      <c r="LEZ2" s="97"/>
      <c r="LFA2" s="97"/>
      <c r="LFB2" s="97"/>
      <c r="LFC2" s="97"/>
      <c r="LFD2" s="97"/>
      <c r="LFE2" s="97"/>
      <c r="LFF2" s="97"/>
      <c r="LFG2" s="97"/>
      <c r="LFH2" s="97"/>
      <c r="LFI2" s="97"/>
      <c r="LFJ2" s="97"/>
      <c r="LFK2" s="97"/>
      <c r="LFL2" s="97"/>
      <c r="LFM2" s="97"/>
      <c r="LFN2" s="97"/>
      <c r="LFO2" s="97"/>
      <c r="LFP2" s="97"/>
      <c r="LFQ2" s="97"/>
      <c r="LFR2" s="97"/>
      <c r="LFS2" s="97"/>
      <c r="LFT2" s="97"/>
      <c r="LFU2" s="97"/>
      <c r="LFV2" s="97"/>
      <c r="LFW2" s="97"/>
      <c r="LFX2" s="97"/>
      <c r="LFY2" s="97"/>
      <c r="LFZ2" s="97"/>
      <c r="LGA2" s="97"/>
      <c r="LGB2" s="97"/>
      <c r="LGC2" s="97"/>
      <c r="LGD2" s="97"/>
      <c r="LGE2" s="97"/>
      <c r="LGF2" s="97"/>
      <c r="LGG2" s="97"/>
      <c r="LGH2" s="97"/>
      <c r="LGI2" s="97"/>
      <c r="LGJ2" s="97"/>
      <c r="LGK2" s="97"/>
      <c r="LGL2" s="97"/>
      <c r="LGM2" s="97"/>
      <c r="LGN2" s="97"/>
      <c r="LGO2" s="97"/>
      <c r="LGP2" s="97"/>
      <c r="LGQ2" s="97"/>
      <c r="LGR2" s="97"/>
      <c r="LGS2" s="97"/>
      <c r="LGT2" s="97"/>
      <c r="LGU2" s="97"/>
      <c r="LGV2" s="97"/>
      <c r="LGW2" s="97"/>
      <c r="LGX2" s="97"/>
      <c r="LGY2" s="97"/>
      <c r="LGZ2" s="97"/>
      <c r="LHA2" s="97"/>
      <c r="LHB2" s="97"/>
      <c r="LHC2" s="97"/>
      <c r="LHD2" s="97"/>
      <c r="LHE2" s="97"/>
      <c r="LHF2" s="97"/>
      <c r="LHG2" s="97"/>
      <c r="LHH2" s="97"/>
      <c r="LHI2" s="97"/>
      <c r="LHJ2" s="97"/>
      <c r="LHK2" s="97"/>
      <c r="LHL2" s="97"/>
      <c r="LHM2" s="97"/>
      <c r="LHN2" s="97"/>
      <c r="LHO2" s="97"/>
      <c r="LHP2" s="97"/>
      <c r="LHQ2" s="97"/>
      <c r="LHR2" s="97"/>
      <c r="LHS2" s="97"/>
      <c r="LHT2" s="97"/>
      <c r="LHU2" s="97"/>
      <c r="LHV2" s="97"/>
      <c r="LHW2" s="97"/>
      <c r="LHX2" s="97"/>
      <c r="LHY2" s="97"/>
      <c r="LHZ2" s="97"/>
      <c r="LIA2" s="97"/>
      <c r="LIB2" s="97"/>
      <c r="LIC2" s="97"/>
      <c r="LID2" s="97"/>
      <c r="LIE2" s="97"/>
      <c r="LIF2" s="97"/>
      <c r="LIG2" s="97"/>
      <c r="LIH2" s="97"/>
      <c r="LII2" s="97"/>
      <c r="LIJ2" s="97"/>
      <c r="LIK2" s="97"/>
      <c r="LIL2" s="97"/>
      <c r="LIM2" s="97"/>
      <c r="LIN2" s="97"/>
      <c r="LIO2" s="97"/>
      <c r="LIP2" s="97"/>
      <c r="LIQ2" s="97"/>
      <c r="LIR2" s="97"/>
      <c r="LIS2" s="97"/>
      <c r="LIT2" s="97"/>
      <c r="LIU2" s="97"/>
      <c r="LIV2" s="97"/>
      <c r="LIW2" s="97"/>
      <c r="LIX2" s="97"/>
      <c r="LIY2" s="97"/>
      <c r="LIZ2" s="97"/>
      <c r="LJA2" s="97"/>
      <c r="LJB2" s="97"/>
      <c r="LJC2" s="97"/>
      <c r="LJD2" s="97"/>
      <c r="LJE2" s="97"/>
      <c r="LJF2" s="97"/>
      <c r="LJG2" s="97"/>
      <c r="LJH2" s="97"/>
      <c r="LJI2" s="97"/>
      <c r="LJJ2" s="97"/>
      <c r="LJK2" s="97"/>
      <c r="LJL2" s="97"/>
      <c r="LJM2" s="97"/>
      <c r="LJN2" s="97"/>
      <c r="LJO2" s="97"/>
      <c r="LJP2" s="97"/>
      <c r="LJQ2" s="97"/>
      <c r="LJR2" s="97"/>
      <c r="LJS2" s="97"/>
      <c r="LJT2" s="97"/>
      <c r="LJU2" s="97"/>
      <c r="LJV2" s="97"/>
      <c r="LJW2" s="97"/>
      <c r="LJX2" s="97"/>
      <c r="LJY2" s="97"/>
      <c r="LJZ2" s="97"/>
      <c r="LKA2" s="97"/>
      <c r="LKB2" s="97"/>
      <c r="LKC2" s="97"/>
      <c r="LKD2" s="97"/>
      <c r="LKE2" s="97"/>
      <c r="LKF2" s="97"/>
      <c r="LKG2" s="97"/>
      <c r="LKH2" s="97"/>
      <c r="LKI2" s="97"/>
      <c r="LKJ2" s="97"/>
      <c r="LKK2" s="97"/>
      <c r="LKL2" s="97"/>
      <c r="LKM2" s="97"/>
      <c r="LKN2" s="97"/>
      <c r="LKO2" s="97"/>
      <c r="LKP2" s="97"/>
      <c r="LKQ2" s="97"/>
      <c r="LKR2" s="97"/>
      <c r="LKS2" s="97"/>
      <c r="LKT2" s="97"/>
      <c r="LKU2" s="97"/>
      <c r="LKV2" s="97"/>
      <c r="LKW2" s="97"/>
      <c r="LKX2" s="97"/>
      <c r="LKY2" s="97"/>
      <c r="LKZ2" s="97"/>
      <c r="LLA2" s="97"/>
      <c r="LLB2" s="97"/>
      <c r="LLC2" s="97"/>
      <c r="LLD2" s="97"/>
      <c r="LLE2" s="97"/>
      <c r="LLF2" s="97"/>
      <c r="LLG2" s="97"/>
      <c r="LLH2" s="97"/>
      <c r="LLI2" s="97"/>
      <c r="LLJ2" s="97"/>
      <c r="LLK2" s="97"/>
      <c r="LLL2" s="97"/>
      <c r="LLM2" s="97"/>
      <c r="LLN2" s="97"/>
      <c r="LLO2" s="97"/>
      <c r="LLP2" s="97"/>
      <c r="LLQ2" s="97"/>
      <c r="LLR2" s="97"/>
      <c r="LLS2" s="97"/>
      <c r="LLT2" s="97"/>
      <c r="LLU2" s="97"/>
      <c r="LLV2" s="97"/>
      <c r="LLW2" s="97"/>
      <c r="LLX2" s="97"/>
      <c r="LLY2" s="97"/>
      <c r="LLZ2" s="97"/>
      <c r="LMA2" s="97"/>
      <c r="LMB2" s="97"/>
      <c r="LMC2" s="97"/>
      <c r="LMD2" s="97"/>
      <c r="LME2" s="97"/>
      <c r="LMF2" s="97"/>
      <c r="LMG2" s="97"/>
      <c r="LMH2" s="97"/>
      <c r="LMI2" s="97"/>
      <c r="LMJ2" s="97"/>
      <c r="LMK2" s="97"/>
      <c r="LML2" s="97"/>
      <c r="LMM2" s="97"/>
      <c r="LMN2" s="97"/>
      <c r="LMO2" s="97"/>
      <c r="LMP2" s="97"/>
      <c r="LMQ2" s="97"/>
      <c r="LMR2" s="97"/>
      <c r="LMS2" s="97"/>
      <c r="LMT2" s="97"/>
      <c r="LMU2" s="97"/>
      <c r="LMV2" s="97"/>
      <c r="LMW2" s="97"/>
      <c r="LMX2" s="97"/>
      <c r="LMY2" s="97"/>
      <c r="LMZ2" s="97"/>
      <c r="LNA2" s="97"/>
      <c r="LNB2" s="97"/>
      <c r="LNC2" s="97"/>
      <c r="LND2" s="97"/>
      <c r="LNE2" s="97"/>
      <c r="LNF2" s="97"/>
      <c r="LNG2" s="97"/>
      <c r="LNH2" s="97"/>
      <c r="LNI2" s="97"/>
      <c r="LNJ2" s="97"/>
      <c r="LNK2" s="97"/>
      <c r="LNL2" s="97"/>
      <c r="LNM2" s="97"/>
      <c r="LNN2" s="97"/>
      <c r="LNO2" s="97"/>
      <c r="LNP2" s="97"/>
      <c r="LNQ2" s="97"/>
      <c r="LNR2" s="97"/>
      <c r="LNS2" s="97"/>
      <c r="LNT2" s="97"/>
      <c r="LNU2" s="97"/>
      <c r="LNV2" s="97"/>
      <c r="LNW2" s="97"/>
      <c r="LNX2" s="97"/>
      <c r="LNY2" s="97"/>
      <c r="LNZ2" s="97"/>
      <c r="LOA2" s="97"/>
      <c r="LOB2" s="97"/>
      <c r="LOC2" s="97"/>
      <c r="LOD2" s="97"/>
      <c r="LOE2" s="97"/>
      <c r="LOF2" s="97"/>
      <c r="LOG2" s="97"/>
      <c r="LOH2" s="97"/>
      <c r="LOI2" s="97"/>
      <c r="LOJ2" s="97"/>
      <c r="LOK2" s="97"/>
      <c r="LOL2" s="97"/>
      <c r="LOM2" s="97"/>
      <c r="LON2" s="97"/>
      <c r="LOO2" s="97"/>
      <c r="LOP2" s="97"/>
      <c r="LOQ2" s="97"/>
      <c r="LOR2" s="97"/>
      <c r="LOS2" s="97"/>
      <c r="LOT2" s="97"/>
      <c r="LOU2" s="97"/>
      <c r="LOV2" s="97"/>
      <c r="LOW2" s="97"/>
      <c r="LOX2" s="97"/>
      <c r="LOY2" s="97"/>
      <c r="LOZ2" s="97"/>
      <c r="LPA2" s="97"/>
      <c r="LPB2" s="97"/>
      <c r="LPC2" s="97"/>
      <c r="LPD2" s="97"/>
      <c r="LPE2" s="97"/>
      <c r="LPF2" s="97"/>
      <c r="LPG2" s="97"/>
      <c r="LPH2" s="97"/>
      <c r="LPI2" s="97"/>
      <c r="LPJ2" s="97"/>
      <c r="LPK2" s="97"/>
      <c r="LPL2" s="97"/>
      <c r="LPM2" s="97"/>
      <c r="LPN2" s="97"/>
      <c r="LPO2" s="97"/>
      <c r="LPP2" s="97"/>
      <c r="LPQ2" s="97"/>
      <c r="LPR2" s="97"/>
      <c r="LPS2" s="97"/>
      <c r="LPT2" s="97"/>
      <c r="LPU2" s="97"/>
      <c r="LPV2" s="97"/>
      <c r="LPW2" s="97"/>
      <c r="LPX2" s="97"/>
      <c r="LPY2" s="97"/>
      <c r="LPZ2" s="97"/>
      <c r="LQA2" s="97"/>
      <c r="LQB2" s="97"/>
      <c r="LQC2" s="97"/>
      <c r="LQD2" s="97"/>
      <c r="LQE2" s="97"/>
      <c r="LQF2" s="97"/>
      <c r="LQG2" s="97"/>
      <c r="LQH2" s="97"/>
      <c r="LQI2" s="97"/>
      <c r="LQJ2" s="97"/>
      <c r="LQK2" s="97"/>
      <c r="LQL2" s="97"/>
      <c r="LQM2" s="97"/>
      <c r="LQN2" s="97"/>
      <c r="LQO2" s="97"/>
      <c r="LQP2" s="97"/>
      <c r="LQQ2" s="97"/>
      <c r="LQR2" s="97"/>
      <c r="LQS2" s="97"/>
      <c r="LQT2" s="97"/>
      <c r="LQU2" s="97"/>
      <c r="LQV2" s="97"/>
      <c r="LQW2" s="97"/>
      <c r="LQX2" s="97"/>
      <c r="LQY2" s="97"/>
      <c r="LQZ2" s="97"/>
      <c r="LRA2" s="97"/>
      <c r="LRB2" s="97"/>
      <c r="LRC2" s="97"/>
      <c r="LRD2" s="97"/>
      <c r="LRE2" s="97"/>
      <c r="LRF2" s="97"/>
      <c r="LRG2" s="97"/>
      <c r="LRH2" s="97"/>
      <c r="LRI2" s="97"/>
      <c r="LRJ2" s="97"/>
      <c r="LRK2" s="97"/>
      <c r="LRL2" s="97"/>
      <c r="LRM2" s="97"/>
      <c r="LRN2" s="97"/>
      <c r="LRO2" s="97"/>
      <c r="LRP2" s="97"/>
      <c r="LRQ2" s="97"/>
      <c r="LRR2" s="97"/>
      <c r="LRS2" s="97"/>
      <c r="LRT2" s="97"/>
      <c r="LRU2" s="97"/>
      <c r="LRV2" s="97"/>
      <c r="LRW2" s="97"/>
      <c r="LRX2" s="97"/>
      <c r="LRY2" s="97"/>
      <c r="LRZ2" s="97"/>
      <c r="LSA2" s="97"/>
      <c r="LSB2" s="97"/>
      <c r="LSC2" s="97"/>
      <c r="LSD2" s="97"/>
      <c r="LSE2" s="97"/>
      <c r="LSF2" s="97"/>
      <c r="LSG2" s="97"/>
      <c r="LSH2" s="97"/>
      <c r="LSI2" s="97"/>
      <c r="LSJ2" s="97"/>
      <c r="LSK2" s="97"/>
      <c r="LSL2" s="97"/>
      <c r="LSM2" s="97"/>
      <c r="LSN2" s="97"/>
      <c r="LSO2" s="97"/>
      <c r="LSP2" s="97"/>
      <c r="LSQ2" s="97"/>
      <c r="LSR2" s="97"/>
      <c r="LSS2" s="97"/>
      <c r="LST2" s="97"/>
      <c r="LSU2" s="97"/>
      <c r="LSV2" s="97"/>
      <c r="LSW2" s="97"/>
      <c r="LSX2" s="97"/>
      <c r="LSY2" s="97"/>
      <c r="LSZ2" s="97"/>
      <c r="LTA2" s="97"/>
      <c r="LTB2" s="97"/>
      <c r="LTC2" s="97"/>
      <c r="LTD2" s="97"/>
      <c r="LTE2" s="97"/>
      <c r="LTF2" s="97"/>
      <c r="LTG2" s="97"/>
      <c r="LTH2" s="97"/>
      <c r="LTI2" s="97"/>
      <c r="LTJ2" s="97"/>
      <c r="LTK2" s="97"/>
      <c r="LTL2" s="97"/>
      <c r="LTM2" s="97"/>
      <c r="LTN2" s="97"/>
      <c r="LTO2" s="97"/>
      <c r="LTP2" s="97"/>
      <c r="LTQ2" s="97"/>
      <c r="LTR2" s="97"/>
      <c r="LTS2" s="97"/>
      <c r="LTT2" s="97"/>
      <c r="LTU2" s="97"/>
      <c r="LTV2" s="97"/>
      <c r="LTW2" s="97"/>
      <c r="LTX2" s="97"/>
      <c r="LTY2" s="97"/>
      <c r="LTZ2" s="97"/>
      <c r="LUA2" s="97"/>
      <c r="LUB2" s="97"/>
      <c r="LUC2" s="97"/>
      <c r="LUD2" s="97"/>
      <c r="LUE2" s="97"/>
      <c r="LUF2" s="97"/>
      <c r="LUG2" s="97"/>
      <c r="LUH2" s="97"/>
      <c r="LUI2" s="97"/>
      <c r="LUJ2" s="97"/>
      <c r="LUK2" s="97"/>
      <c r="LUL2" s="97"/>
      <c r="LUM2" s="97"/>
      <c r="LUN2" s="97"/>
      <c r="LUO2" s="97"/>
      <c r="LUP2" s="97"/>
      <c r="LUQ2" s="97"/>
      <c r="LUR2" s="97"/>
      <c r="LUS2" s="97"/>
      <c r="LUT2" s="97"/>
      <c r="LUU2" s="97"/>
      <c r="LUV2" s="97"/>
      <c r="LUW2" s="97"/>
      <c r="LUX2" s="97"/>
      <c r="LUY2" s="97"/>
      <c r="LUZ2" s="97"/>
      <c r="LVA2" s="97"/>
      <c r="LVB2" s="97"/>
      <c r="LVC2" s="97"/>
      <c r="LVD2" s="97"/>
      <c r="LVE2" s="97"/>
      <c r="LVF2" s="97"/>
      <c r="LVG2" s="97"/>
      <c r="LVH2" s="97"/>
      <c r="LVI2" s="97"/>
      <c r="LVJ2" s="97"/>
      <c r="LVK2" s="97"/>
      <c r="LVL2" s="97"/>
      <c r="LVM2" s="97"/>
      <c r="LVN2" s="97"/>
      <c r="LVO2" s="97"/>
      <c r="LVP2" s="97"/>
      <c r="LVQ2" s="97"/>
      <c r="LVR2" s="97"/>
      <c r="LVS2" s="97"/>
      <c r="LVT2" s="97"/>
      <c r="LVU2" s="97"/>
      <c r="LVV2" s="97"/>
      <c r="LVW2" s="97"/>
      <c r="LVX2" s="97"/>
      <c r="LVY2" s="97"/>
      <c r="LVZ2" s="97"/>
      <c r="LWA2" s="97"/>
      <c r="LWB2" s="97"/>
      <c r="LWC2" s="97"/>
      <c r="LWD2" s="97"/>
      <c r="LWE2" s="97"/>
      <c r="LWF2" s="97"/>
      <c r="LWG2" s="97"/>
      <c r="LWH2" s="97"/>
      <c r="LWI2" s="97"/>
      <c r="LWJ2" s="97"/>
      <c r="LWK2" s="97"/>
      <c r="LWL2" s="97"/>
      <c r="LWM2" s="97"/>
      <c r="LWN2" s="97"/>
      <c r="LWO2" s="97"/>
      <c r="LWP2" s="97"/>
      <c r="LWQ2" s="97"/>
      <c r="LWR2" s="97"/>
      <c r="LWS2" s="97"/>
      <c r="LWT2" s="97"/>
      <c r="LWU2" s="97"/>
      <c r="LWV2" s="97"/>
      <c r="LWW2" s="97"/>
      <c r="LWX2" s="97"/>
      <c r="LWY2" s="97"/>
      <c r="LWZ2" s="97"/>
      <c r="LXA2" s="97"/>
      <c r="LXB2" s="97"/>
      <c r="LXC2" s="97"/>
      <c r="LXD2" s="97"/>
      <c r="LXE2" s="97"/>
      <c r="LXF2" s="97"/>
      <c r="LXG2" s="97"/>
      <c r="LXH2" s="97"/>
      <c r="LXI2" s="97"/>
      <c r="LXJ2" s="97"/>
      <c r="LXK2" s="97"/>
      <c r="LXL2" s="97"/>
      <c r="LXM2" s="97"/>
      <c r="LXN2" s="97"/>
      <c r="LXO2" s="97"/>
      <c r="LXP2" s="97"/>
      <c r="LXQ2" s="97"/>
      <c r="LXR2" s="97"/>
      <c r="LXS2" s="97"/>
      <c r="LXT2" s="97"/>
      <c r="LXU2" s="97"/>
      <c r="LXV2" s="97"/>
      <c r="LXW2" s="97"/>
      <c r="LXX2" s="97"/>
      <c r="LXY2" s="97"/>
      <c r="LXZ2" s="97"/>
      <c r="LYA2" s="97"/>
      <c r="LYB2" s="97"/>
      <c r="LYC2" s="97"/>
      <c r="LYD2" s="97"/>
      <c r="LYE2" s="97"/>
      <c r="LYF2" s="97"/>
      <c r="LYG2" s="97"/>
      <c r="LYH2" s="97"/>
      <c r="LYI2" s="97"/>
      <c r="LYJ2" s="97"/>
      <c r="LYK2" s="97"/>
      <c r="LYL2" s="97"/>
      <c r="LYM2" s="97"/>
      <c r="LYN2" s="97"/>
      <c r="LYO2" s="97"/>
      <c r="LYP2" s="97"/>
      <c r="LYQ2" s="97"/>
      <c r="LYR2" s="97"/>
      <c r="LYS2" s="97"/>
      <c r="LYT2" s="97"/>
      <c r="LYU2" s="97"/>
      <c r="LYV2" s="97"/>
      <c r="LYW2" s="97"/>
      <c r="LYX2" s="97"/>
      <c r="LYY2" s="97"/>
      <c r="LYZ2" s="97"/>
      <c r="LZA2" s="97"/>
      <c r="LZB2" s="97"/>
      <c r="LZC2" s="97"/>
      <c r="LZD2" s="97"/>
      <c r="LZE2" s="97"/>
      <c r="LZF2" s="97"/>
      <c r="LZG2" s="97"/>
      <c r="LZH2" s="97"/>
      <c r="LZI2" s="97"/>
      <c r="LZJ2" s="97"/>
      <c r="LZK2" s="97"/>
      <c r="LZL2" s="97"/>
      <c r="LZM2" s="97"/>
      <c r="LZN2" s="97"/>
      <c r="LZO2" s="97"/>
      <c r="LZP2" s="97"/>
      <c r="LZQ2" s="97"/>
      <c r="LZR2" s="97"/>
      <c r="LZS2" s="97"/>
      <c r="LZT2" s="97"/>
      <c r="LZU2" s="97"/>
      <c r="LZV2" s="97"/>
      <c r="LZW2" s="97"/>
      <c r="LZX2" s="97"/>
      <c r="LZY2" s="97"/>
      <c r="LZZ2" s="97"/>
      <c r="MAA2" s="97"/>
      <c r="MAB2" s="97"/>
      <c r="MAC2" s="97"/>
      <c r="MAD2" s="97"/>
      <c r="MAE2" s="97"/>
      <c r="MAF2" s="97"/>
      <c r="MAG2" s="97"/>
      <c r="MAH2" s="97"/>
      <c r="MAI2" s="97"/>
      <c r="MAJ2" s="97"/>
      <c r="MAK2" s="97"/>
      <c r="MAL2" s="97"/>
      <c r="MAM2" s="97"/>
      <c r="MAN2" s="97"/>
      <c r="MAO2" s="97"/>
      <c r="MAP2" s="97"/>
      <c r="MAQ2" s="97"/>
      <c r="MAR2" s="97"/>
      <c r="MAS2" s="97"/>
      <c r="MAT2" s="97"/>
      <c r="MAU2" s="97"/>
      <c r="MAV2" s="97"/>
      <c r="MAW2" s="97"/>
      <c r="MAX2" s="97"/>
      <c r="MAY2" s="97"/>
      <c r="MAZ2" s="97"/>
      <c r="MBA2" s="97"/>
      <c r="MBB2" s="97"/>
      <c r="MBC2" s="97"/>
      <c r="MBD2" s="97"/>
      <c r="MBE2" s="97"/>
      <c r="MBF2" s="97"/>
      <c r="MBG2" s="97"/>
      <c r="MBH2" s="97"/>
      <c r="MBI2" s="97"/>
      <c r="MBJ2" s="97"/>
      <c r="MBK2" s="97"/>
      <c r="MBL2" s="97"/>
      <c r="MBM2" s="97"/>
      <c r="MBN2" s="97"/>
      <c r="MBO2" s="97"/>
      <c r="MBP2" s="97"/>
      <c r="MBQ2" s="97"/>
      <c r="MBR2" s="97"/>
      <c r="MBS2" s="97"/>
      <c r="MBT2" s="97"/>
      <c r="MBU2" s="97"/>
      <c r="MBV2" s="97"/>
      <c r="MBW2" s="97"/>
      <c r="MBX2" s="97"/>
      <c r="MBY2" s="97"/>
      <c r="MBZ2" s="97"/>
      <c r="MCA2" s="97"/>
      <c r="MCB2" s="97"/>
      <c r="MCC2" s="97"/>
      <c r="MCD2" s="97"/>
      <c r="MCE2" s="97"/>
      <c r="MCF2" s="97"/>
      <c r="MCG2" s="97"/>
      <c r="MCH2" s="97"/>
      <c r="MCI2" s="97"/>
      <c r="MCJ2" s="97"/>
      <c r="MCK2" s="97"/>
      <c r="MCL2" s="97"/>
      <c r="MCM2" s="97"/>
      <c r="MCN2" s="97"/>
      <c r="MCO2" s="97"/>
      <c r="MCP2" s="97"/>
      <c r="MCQ2" s="97"/>
      <c r="MCR2" s="97"/>
      <c r="MCS2" s="97"/>
      <c r="MCT2" s="97"/>
      <c r="MCU2" s="97"/>
      <c r="MCV2" s="97"/>
      <c r="MCW2" s="97"/>
      <c r="MCX2" s="97"/>
      <c r="MCY2" s="97"/>
      <c r="MCZ2" s="97"/>
      <c r="MDA2" s="97"/>
      <c r="MDB2" s="97"/>
      <c r="MDC2" s="97"/>
      <c r="MDD2" s="97"/>
      <c r="MDE2" s="97"/>
      <c r="MDF2" s="97"/>
      <c r="MDG2" s="97"/>
      <c r="MDH2" s="97"/>
      <c r="MDI2" s="97"/>
      <c r="MDJ2" s="97"/>
      <c r="MDK2" s="97"/>
      <c r="MDL2" s="97"/>
      <c r="MDM2" s="97"/>
      <c r="MDN2" s="97"/>
      <c r="MDO2" s="97"/>
      <c r="MDP2" s="97"/>
      <c r="MDQ2" s="97"/>
      <c r="MDR2" s="97"/>
      <c r="MDS2" s="97"/>
      <c r="MDT2" s="97"/>
      <c r="MDU2" s="97"/>
      <c r="MDV2" s="97"/>
      <c r="MDW2" s="97"/>
      <c r="MDX2" s="97"/>
      <c r="MDY2" s="97"/>
      <c r="MDZ2" s="97"/>
      <c r="MEA2" s="97"/>
      <c r="MEB2" s="97"/>
      <c r="MEC2" s="97"/>
      <c r="MED2" s="97"/>
      <c r="MEE2" s="97"/>
      <c r="MEF2" s="97"/>
      <c r="MEG2" s="97"/>
      <c r="MEH2" s="97"/>
      <c r="MEI2" s="97"/>
      <c r="MEJ2" s="97"/>
      <c r="MEK2" s="97"/>
      <c r="MEL2" s="97"/>
      <c r="MEM2" s="97"/>
      <c r="MEN2" s="97"/>
      <c r="MEO2" s="97"/>
      <c r="MEP2" s="97"/>
      <c r="MEQ2" s="97"/>
      <c r="MER2" s="97"/>
      <c r="MES2" s="97"/>
      <c r="MET2" s="97"/>
      <c r="MEU2" s="97"/>
      <c r="MEV2" s="97"/>
      <c r="MEW2" s="97"/>
      <c r="MEX2" s="97"/>
      <c r="MEY2" s="97"/>
      <c r="MEZ2" s="97"/>
      <c r="MFA2" s="97"/>
      <c r="MFB2" s="97"/>
      <c r="MFC2" s="97"/>
      <c r="MFD2" s="97"/>
      <c r="MFE2" s="97"/>
      <c r="MFF2" s="97"/>
      <c r="MFG2" s="97"/>
      <c r="MFH2" s="97"/>
      <c r="MFI2" s="97"/>
      <c r="MFJ2" s="97"/>
      <c r="MFK2" s="97"/>
      <c r="MFL2" s="97"/>
      <c r="MFM2" s="97"/>
      <c r="MFN2" s="97"/>
      <c r="MFO2" s="97"/>
      <c r="MFP2" s="97"/>
      <c r="MFQ2" s="97"/>
      <c r="MFR2" s="97"/>
      <c r="MFS2" s="97"/>
      <c r="MFT2" s="97"/>
      <c r="MFU2" s="97"/>
      <c r="MFV2" s="97"/>
      <c r="MFW2" s="97"/>
      <c r="MFX2" s="97"/>
      <c r="MFY2" s="97"/>
      <c r="MFZ2" s="97"/>
      <c r="MGA2" s="97"/>
      <c r="MGB2" s="97"/>
      <c r="MGC2" s="97"/>
      <c r="MGD2" s="97"/>
      <c r="MGE2" s="97"/>
      <c r="MGF2" s="97"/>
      <c r="MGG2" s="97"/>
      <c r="MGH2" s="97"/>
      <c r="MGI2" s="97"/>
      <c r="MGJ2" s="97"/>
      <c r="MGK2" s="97"/>
      <c r="MGL2" s="97"/>
      <c r="MGM2" s="97"/>
      <c r="MGN2" s="97"/>
      <c r="MGO2" s="97"/>
      <c r="MGP2" s="97"/>
      <c r="MGQ2" s="97"/>
      <c r="MGR2" s="97"/>
      <c r="MGS2" s="97"/>
      <c r="MGT2" s="97"/>
      <c r="MGU2" s="97"/>
      <c r="MGV2" s="97"/>
      <c r="MGW2" s="97"/>
      <c r="MGX2" s="97"/>
      <c r="MGY2" s="97"/>
      <c r="MGZ2" s="97"/>
      <c r="MHA2" s="97"/>
      <c r="MHB2" s="97"/>
      <c r="MHC2" s="97"/>
      <c r="MHD2" s="97"/>
      <c r="MHE2" s="97"/>
      <c r="MHF2" s="97"/>
      <c r="MHG2" s="97"/>
      <c r="MHH2" s="97"/>
      <c r="MHI2" s="97"/>
      <c r="MHJ2" s="97"/>
      <c r="MHK2" s="97"/>
      <c r="MHL2" s="97"/>
      <c r="MHM2" s="97"/>
      <c r="MHN2" s="97"/>
      <c r="MHO2" s="97"/>
      <c r="MHP2" s="97"/>
      <c r="MHQ2" s="97"/>
      <c r="MHR2" s="97"/>
      <c r="MHS2" s="97"/>
      <c r="MHT2" s="97"/>
      <c r="MHU2" s="97"/>
      <c r="MHV2" s="97"/>
      <c r="MHW2" s="97"/>
      <c r="MHX2" s="97"/>
      <c r="MHY2" s="97"/>
      <c r="MHZ2" s="97"/>
      <c r="MIA2" s="97"/>
      <c r="MIB2" s="97"/>
      <c r="MIC2" s="97"/>
      <c r="MID2" s="97"/>
      <c r="MIE2" s="97"/>
      <c r="MIF2" s="97"/>
      <c r="MIG2" s="97"/>
      <c r="MIH2" s="97"/>
      <c r="MII2" s="97"/>
      <c r="MIJ2" s="97"/>
      <c r="MIK2" s="97"/>
      <c r="MIL2" s="97"/>
      <c r="MIM2" s="97"/>
      <c r="MIN2" s="97"/>
      <c r="MIO2" s="97"/>
      <c r="MIP2" s="97"/>
      <c r="MIQ2" s="97"/>
      <c r="MIR2" s="97"/>
      <c r="MIS2" s="97"/>
      <c r="MIT2" s="97"/>
      <c r="MIU2" s="97"/>
      <c r="MIV2" s="97"/>
      <c r="MIW2" s="97"/>
      <c r="MIX2" s="97"/>
      <c r="MIY2" s="97"/>
      <c r="MIZ2" s="97"/>
      <c r="MJA2" s="97"/>
      <c r="MJB2" s="97"/>
      <c r="MJC2" s="97"/>
      <c r="MJD2" s="97"/>
      <c r="MJE2" s="97"/>
      <c r="MJF2" s="97"/>
      <c r="MJG2" s="97"/>
      <c r="MJH2" s="97"/>
      <c r="MJI2" s="97"/>
      <c r="MJJ2" s="97"/>
      <c r="MJK2" s="97"/>
      <c r="MJL2" s="97"/>
      <c r="MJM2" s="97"/>
      <c r="MJN2" s="97"/>
      <c r="MJO2" s="97"/>
      <c r="MJP2" s="97"/>
      <c r="MJQ2" s="97"/>
      <c r="MJR2" s="97"/>
      <c r="MJS2" s="97"/>
      <c r="MJT2" s="97"/>
      <c r="MJU2" s="97"/>
      <c r="MJV2" s="97"/>
      <c r="MJW2" s="97"/>
      <c r="MJX2" s="97"/>
      <c r="MJY2" s="97"/>
      <c r="MJZ2" s="97"/>
      <c r="MKA2" s="97"/>
      <c r="MKB2" s="97"/>
      <c r="MKC2" s="97"/>
      <c r="MKD2" s="97"/>
      <c r="MKE2" s="97"/>
      <c r="MKF2" s="97"/>
      <c r="MKG2" s="97"/>
      <c r="MKH2" s="97"/>
      <c r="MKI2" s="97"/>
      <c r="MKJ2" s="97"/>
      <c r="MKK2" s="97"/>
      <c r="MKL2" s="97"/>
      <c r="MKM2" s="97"/>
      <c r="MKN2" s="97"/>
      <c r="MKO2" s="97"/>
      <c r="MKP2" s="97"/>
      <c r="MKQ2" s="97"/>
      <c r="MKR2" s="97"/>
      <c r="MKS2" s="97"/>
      <c r="MKT2" s="97"/>
      <c r="MKU2" s="97"/>
      <c r="MKV2" s="97"/>
      <c r="MKW2" s="97"/>
      <c r="MKX2" s="97"/>
      <c r="MKY2" s="97"/>
      <c r="MKZ2" s="97"/>
      <c r="MLA2" s="97"/>
      <c r="MLB2" s="97"/>
      <c r="MLC2" s="97"/>
      <c r="MLD2" s="97"/>
      <c r="MLE2" s="97"/>
      <c r="MLF2" s="97"/>
      <c r="MLG2" s="97"/>
      <c r="MLH2" s="97"/>
      <c r="MLI2" s="97"/>
      <c r="MLJ2" s="97"/>
      <c r="MLK2" s="97"/>
      <c r="MLL2" s="97"/>
      <c r="MLM2" s="97"/>
      <c r="MLN2" s="97"/>
      <c r="MLO2" s="97"/>
      <c r="MLP2" s="97"/>
      <c r="MLQ2" s="97"/>
      <c r="MLR2" s="97"/>
      <c r="MLS2" s="97"/>
      <c r="MLT2" s="97"/>
      <c r="MLU2" s="97"/>
      <c r="MLV2" s="97"/>
      <c r="MLW2" s="97"/>
      <c r="MLX2" s="97"/>
      <c r="MLY2" s="97"/>
      <c r="MLZ2" s="97"/>
      <c r="MMA2" s="97"/>
      <c r="MMB2" s="97"/>
      <c r="MMC2" s="97"/>
      <c r="MMD2" s="97"/>
      <c r="MME2" s="97"/>
      <c r="MMF2" s="97"/>
      <c r="MMG2" s="97"/>
      <c r="MMH2" s="97"/>
      <c r="MMI2" s="97"/>
      <c r="MMJ2" s="97"/>
      <c r="MMK2" s="97"/>
      <c r="MML2" s="97"/>
      <c r="MMM2" s="97"/>
      <c r="MMN2" s="97"/>
      <c r="MMO2" s="97"/>
      <c r="MMP2" s="97"/>
      <c r="MMQ2" s="97"/>
      <c r="MMR2" s="97"/>
      <c r="MMS2" s="97"/>
      <c r="MMT2" s="97"/>
      <c r="MMU2" s="97"/>
      <c r="MMV2" s="97"/>
      <c r="MMW2" s="97"/>
      <c r="MMX2" s="97"/>
      <c r="MMY2" s="97"/>
      <c r="MMZ2" s="97"/>
      <c r="MNA2" s="97"/>
      <c r="MNB2" s="97"/>
      <c r="MNC2" s="97"/>
      <c r="MND2" s="97"/>
      <c r="MNE2" s="97"/>
      <c r="MNF2" s="97"/>
      <c r="MNG2" s="97"/>
      <c r="MNH2" s="97"/>
      <c r="MNI2" s="97"/>
      <c r="MNJ2" s="97"/>
      <c r="MNK2" s="97"/>
      <c r="MNL2" s="97"/>
      <c r="MNM2" s="97"/>
      <c r="MNN2" s="97"/>
      <c r="MNO2" s="97"/>
      <c r="MNP2" s="97"/>
      <c r="MNQ2" s="97"/>
      <c r="MNR2" s="97"/>
      <c r="MNS2" s="97"/>
      <c r="MNT2" s="97"/>
      <c r="MNU2" s="97"/>
      <c r="MNV2" s="97"/>
      <c r="MNW2" s="97"/>
      <c r="MNX2" s="97"/>
      <c r="MNY2" s="97"/>
      <c r="MNZ2" s="97"/>
      <c r="MOA2" s="97"/>
      <c r="MOB2" s="97"/>
      <c r="MOC2" s="97"/>
      <c r="MOD2" s="97"/>
      <c r="MOE2" s="97"/>
      <c r="MOF2" s="97"/>
      <c r="MOG2" s="97"/>
      <c r="MOH2" s="97"/>
      <c r="MOI2" s="97"/>
      <c r="MOJ2" s="97"/>
      <c r="MOK2" s="97"/>
      <c r="MOL2" s="97"/>
      <c r="MOM2" s="97"/>
      <c r="MON2" s="97"/>
      <c r="MOO2" s="97"/>
      <c r="MOP2" s="97"/>
      <c r="MOQ2" s="97"/>
      <c r="MOR2" s="97"/>
      <c r="MOS2" s="97"/>
      <c r="MOT2" s="97"/>
      <c r="MOU2" s="97"/>
      <c r="MOV2" s="97"/>
      <c r="MOW2" s="97"/>
      <c r="MOX2" s="97"/>
      <c r="MOY2" s="97"/>
      <c r="MOZ2" s="97"/>
      <c r="MPA2" s="97"/>
      <c r="MPB2" s="97"/>
      <c r="MPC2" s="97"/>
      <c r="MPD2" s="97"/>
      <c r="MPE2" s="97"/>
      <c r="MPF2" s="97"/>
      <c r="MPG2" s="97"/>
      <c r="MPH2" s="97"/>
      <c r="MPI2" s="97"/>
      <c r="MPJ2" s="97"/>
      <c r="MPK2" s="97"/>
      <c r="MPL2" s="97"/>
      <c r="MPM2" s="97"/>
      <c r="MPN2" s="97"/>
      <c r="MPO2" s="97"/>
      <c r="MPP2" s="97"/>
      <c r="MPQ2" s="97"/>
      <c r="MPR2" s="97"/>
      <c r="MPS2" s="97"/>
      <c r="MPT2" s="97"/>
      <c r="MPU2" s="97"/>
      <c r="MPV2" s="97"/>
      <c r="MPW2" s="97"/>
      <c r="MPX2" s="97"/>
      <c r="MPY2" s="97"/>
      <c r="MPZ2" s="97"/>
      <c r="MQA2" s="97"/>
      <c r="MQB2" s="97"/>
      <c r="MQC2" s="97"/>
      <c r="MQD2" s="97"/>
      <c r="MQE2" s="97"/>
      <c r="MQF2" s="97"/>
      <c r="MQG2" s="97"/>
      <c r="MQH2" s="97"/>
      <c r="MQI2" s="97"/>
      <c r="MQJ2" s="97"/>
      <c r="MQK2" s="97"/>
      <c r="MQL2" s="97"/>
      <c r="MQM2" s="97"/>
      <c r="MQN2" s="97"/>
      <c r="MQO2" s="97"/>
      <c r="MQP2" s="97"/>
      <c r="MQQ2" s="97"/>
      <c r="MQR2" s="97"/>
      <c r="MQS2" s="97"/>
      <c r="MQT2" s="97"/>
      <c r="MQU2" s="97"/>
      <c r="MQV2" s="97"/>
      <c r="MQW2" s="97"/>
      <c r="MQX2" s="97"/>
      <c r="MQY2" s="97"/>
      <c r="MQZ2" s="97"/>
      <c r="MRA2" s="97"/>
      <c r="MRB2" s="97"/>
      <c r="MRC2" s="97"/>
      <c r="MRD2" s="97"/>
      <c r="MRE2" s="97"/>
      <c r="MRF2" s="97"/>
      <c r="MRG2" s="97"/>
      <c r="MRH2" s="97"/>
      <c r="MRI2" s="97"/>
      <c r="MRJ2" s="97"/>
      <c r="MRK2" s="97"/>
      <c r="MRL2" s="97"/>
      <c r="MRM2" s="97"/>
      <c r="MRN2" s="97"/>
      <c r="MRO2" s="97"/>
      <c r="MRP2" s="97"/>
      <c r="MRQ2" s="97"/>
      <c r="MRR2" s="97"/>
      <c r="MRS2" s="97"/>
      <c r="MRT2" s="97"/>
      <c r="MRU2" s="97"/>
      <c r="MRV2" s="97"/>
      <c r="MRW2" s="97"/>
      <c r="MRX2" s="97"/>
      <c r="MRY2" s="97"/>
      <c r="MRZ2" s="97"/>
      <c r="MSA2" s="97"/>
      <c r="MSB2" s="97"/>
      <c r="MSC2" s="97"/>
      <c r="MSD2" s="97"/>
      <c r="MSE2" s="97"/>
      <c r="MSF2" s="97"/>
      <c r="MSG2" s="97"/>
      <c r="MSH2" s="97"/>
      <c r="MSI2" s="97"/>
      <c r="MSJ2" s="97"/>
      <c r="MSK2" s="97"/>
      <c r="MSL2" s="97"/>
      <c r="MSM2" s="97"/>
      <c r="MSN2" s="97"/>
      <c r="MSO2" s="97"/>
      <c r="MSP2" s="97"/>
      <c r="MSQ2" s="97"/>
      <c r="MSR2" s="97"/>
      <c r="MSS2" s="97"/>
      <c r="MST2" s="97"/>
      <c r="MSU2" s="97"/>
      <c r="MSV2" s="97"/>
      <c r="MSW2" s="97"/>
      <c r="MSX2" s="97"/>
      <c r="MSY2" s="97"/>
      <c r="MSZ2" s="97"/>
      <c r="MTA2" s="97"/>
      <c r="MTB2" s="97"/>
      <c r="MTC2" s="97"/>
      <c r="MTD2" s="97"/>
      <c r="MTE2" s="97"/>
      <c r="MTF2" s="97"/>
      <c r="MTG2" s="97"/>
      <c r="MTH2" s="97"/>
      <c r="MTI2" s="97"/>
      <c r="MTJ2" s="97"/>
      <c r="MTK2" s="97"/>
      <c r="MTL2" s="97"/>
      <c r="MTM2" s="97"/>
      <c r="MTN2" s="97"/>
      <c r="MTO2" s="97"/>
      <c r="MTP2" s="97"/>
      <c r="MTQ2" s="97"/>
      <c r="MTR2" s="97"/>
      <c r="MTS2" s="97"/>
      <c r="MTT2" s="97"/>
      <c r="MTU2" s="97"/>
      <c r="MTV2" s="97"/>
      <c r="MTW2" s="97"/>
      <c r="MTX2" s="97"/>
      <c r="MTY2" s="97"/>
      <c r="MTZ2" s="97"/>
      <c r="MUA2" s="97"/>
      <c r="MUB2" s="97"/>
      <c r="MUC2" s="97"/>
      <c r="MUD2" s="97"/>
      <c r="MUE2" s="97"/>
      <c r="MUF2" s="97"/>
      <c r="MUG2" s="97"/>
      <c r="MUH2" s="97"/>
      <c r="MUI2" s="97"/>
      <c r="MUJ2" s="97"/>
      <c r="MUK2" s="97"/>
      <c r="MUL2" s="97"/>
      <c r="MUM2" s="97"/>
      <c r="MUN2" s="97"/>
      <c r="MUO2" s="97"/>
      <c r="MUP2" s="97"/>
      <c r="MUQ2" s="97"/>
      <c r="MUR2" s="97"/>
      <c r="MUS2" s="97"/>
      <c r="MUT2" s="97"/>
      <c r="MUU2" s="97"/>
      <c r="MUV2" s="97"/>
      <c r="MUW2" s="97"/>
      <c r="MUX2" s="97"/>
      <c r="MUY2" s="97"/>
      <c r="MUZ2" s="97"/>
      <c r="MVA2" s="97"/>
      <c r="MVB2" s="97"/>
      <c r="MVC2" s="97"/>
      <c r="MVD2" s="97"/>
      <c r="MVE2" s="97"/>
      <c r="MVF2" s="97"/>
      <c r="MVG2" s="97"/>
      <c r="MVH2" s="97"/>
      <c r="MVI2" s="97"/>
      <c r="MVJ2" s="97"/>
      <c r="MVK2" s="97"/>
      <c r="MVL2" s="97"/>
      <c r="MVM2" s="97"/>
      <c r="MVN2" s="97"/>
      <c r="MVO2" s="97"/>
      <c r="MVP2" s="97"/>
      <c r="MVQ2" s="97"/>
      <c r="MVR2" s="97"/>
      <c r="MVS2" s="97"/>
      <c r="MVT2" s="97"/>
      <c r="MVU2" s="97"/>
      <c r="MVV2" s="97"/>
      <c r="MVW2" s="97"/>
      <c r="MVX2" s="97"/>
      <c r="MVY2" s="97"/>
      <c r="MVZ2" s="97"/>
      <c r="MWA2" s="97"/>
      <c r="MWB2" s="97"/>
      <c r="MWC2" s="97"/>
      <c r="MWD2" s="97"/>
      <c r="MWE2" s="97"/>
      <c r="MWF2" s="97"/>
      <c r="MWG2" s="97"/>
      <c r="MWH2" s="97"/>
      <c r="MWI2" s="97"/>
      <c r="MWJ2" s="97"/>
      <c r="MWK2" s="97"/>
      <c r="MWL2" s="97"/>
      <c r="MWM2" s="97"/>
      <c r="MWN2" s="97"/>
      <c r="MWO2" s="97"/>
      <c r="MWP2" s="97"/>
      <c r="MWQ2" s="97"/>
      <c r="MWR2" s="97"/>
      <c r="MWS2" s="97"/>
      <c r="MWT2" s="97"/>
      <c r="MWU2" s="97"/>
      <c r="MWV2" s="97"/>
      <c r="MWW2" s="97"/>
      <c r="MWX2" s="97"/>
      <c r="MWY2" s="97"/>
      <c r="MWZ2" s="97"/>
      <c r="MXA2" s="97"/>
      <c r="MXB2" s="97"/>
      <c r="MXC2" s="97"/>
      <c r="MXD2" s="97"/>
      <c r="MXE2" s="97"/>
      <c r="MXF2" s="97"/>
      <c r="MXG2" s="97"/>
      <c r="MXH2" s="97"/>
      <c r="MXI2" s="97"/>
      <c r="MXJ2" s="97"/>
      <c r="MXK2" s="97"/>
      <c r="MXL2" s="97"/>
      <c r="MXM2" s="97"/>
      <c r="MXN2" s="97"/>
      <c r="MXO2" s="97"/>
      <c r="MXP2" s="97"/>
      <c r="MXQ2" s="97"/>
      <c r="MXR2" s="97"/>
      <c r="MXS2" s="97"/>
      <c r="MXT2" s="97"/>
      <c r="MXU2" s="97"/>
      <c r="MXV2" s="97"/>
      <c r="MXW2" s="97"/>
      <c r="MXX2" s="97"/>
      <c r="MXY2" s="97"/>
      <c r="MXZ2" s="97"/>
      <c r="MYA2" s="97"/>
      <c r="MYB2" s="97"/>
      <c r="MYC2" s="97"/>
      <c r="MYD2" s="97"/>
      <c r="MYE2" s="97"/>
      <c r="MYF2" s="97"/>
      <c r="MYG2" s="97"/>
      <c r="MYH2" s="97"/>
      <c r="MYI2" s="97"/>
      <c r="MYJ2" s="97"/>
      <c r="MYK2" s="97"/>
      <c r="MYL2" s="97"/>
      <c r="MYM2" s="97"/>
      <c r="MYN2" s="97"/>
      <c r="MYO2" s="97"/>
      <c r="MYP2" s="97"/>
      <c r="MYQ2" s="97"/>
      <c r="MYR2" s="97"/>
      <c r="MYS2" s="97"/>
      <c r="MYT2" s="97"/>
      <c r="MYU2" s="97"/>
      <c r="MYV2" s="97"/>
      <c r="MYW2" s="97"/>
      <c r="MYX2" s="97"/>
      <c r="MYY2" s="97"/>
      <c r="MYZ2" s="97"/>
      <c r="MZA2" s="97"/>
      <c r="MZB2" s="97"/>
      <c r="MZC2" s="97"/>
      <c r="MZD2" s="97"/>
      <c r="MZE2" s="97"/>
      <c r="MZF2" s="97"/>
      <c r="MZG2" s="97"/>
      <c r="MZH2" s="97"/>
      <c r="MZI2" s="97"/>
      <c r="MZJ2" s="97"/>
      <c r="MZK2" s="97"/>
      <c r="MZL2" s="97"/>
      <c r="MZM2" s="97"/>
      <c r="MZN2" s="97"/>
      <c r="MZO2" s="97"/>
      <c r="MZP2" s="97"/>
      <c r="MZQ2" s="97"/>
      <c r="MZR2" s="97"/>
      <c r="MZS2" s="97"/>
      <c r="MZT2" s="97"/>
      <c r="MZU2" s="97"/>
      <c r="MZV2" s="97"/>
      <c r="MZW2" s="97"/>
      <c r="MZX2" s="97"/>
      <c r="MZY2" s="97"/>
      <c r="MZZ2" s="97"/>
      <c r="NAA2" s="97"/>
      <c r="NAB2" s="97"/>
      <c r="NAC2" s="97"/>
      <c r="NAD2" s="97"/>
      <c r="NAE2" s="97"/>
      <c r="NAF2" s="97"/>
      <c r="NAG2" s="97"/>
      <c r="NAH2" s="97"/>
      <c r="NAI2" s="97"/>
      <c r="NAJ2" s="97"/>
      <c r="NAK2" s="97"/>
      <c r="NAL2" s="97"/>
      <c r="NAM2" s="97"/>
      <c r="NAN2" s="97"/>
      <c r="NAO2" s="97"/>
      <c r="NAP2" s="97"/>
      <c r="NAQ2" s="97"/>
      <c r="NAR2" s="97"/>
      <c r="NAS2" s="97"/>
      <c r="NAT2" s="97"/>
      <c r="NAU2" s="97"/>
      <c r="NAV2" s="97"/>
      <c r="NAW2" s="97"/>
      <c r="NAX2" s="97"/>
      <c r="NAY2" s="97"/>
      <c r="NAZ2" s="97"/>
      <c r="NBA2" s="97"/>
      <c r="NBB2" s="97"/>
      <c r="NBC2" s="97"/>
      <c r="NBD2" s="97"/>
      <c r="NBE2" s="97"/>
      <c r="NBF2" s="97"/>
      <c r="NBG2" s="97"/>
      <c r="NBH2" s="97"/>
      <c r="NBI2" s="97"/>
      <c r="NBJ2" s="97"/>
      <c r="NBK2" s="97"/>
      <c r="NBL2" s="97"/>
      <c r="NBM2" s="97"/>
      <c r="NBN2" s="97"/>
      <c r="NBO2" s="97"/>
      <c r="NBP2" s="97"/>
      <c r="NBQ2" s="97"/>
      <c r="NBR2" s="97"/>
      <c r="NBS2" s="97"/>
      <c r="NBT2" s="97"/>
      <c r="NBU2" s="97"/>
      <c r="NBV2" s="97"/>
      <c r="NBW2" s="97"/>
      <c r="NBX2" s="97"/>
      <c r="NBY2" s="97"/>
      <c r="NBZ2" s="97"/>
      <c r="NCA2" s="97"/>
      <c r="NCB2" s="97"/>
      <c r="NCC2" s="97"/>
      <c r="NCD2" s="97"/>
      <c r="NCE2" s="97"/>
      <c r="NCF2" s="97"/>
      <c r="NCG2" s="97"/>
      <c r="NCH2" s="97"/>
      <c r="NCI2" s="97"/>
      <c r="NCJ2" s="97"/>
      <c r="NCK2" s="97"/>
      <c r="NCL2" s="97"/>
      <c r="NCM2" s="97"/>
      <c r="NCN2" s="97"/>
      <c r="NCO2" s="97"/>
      <c r="NCP2" s="97"/>
      <c r="NCQ2" s="97"/>
      <c r="NCR2" s="97"/>
      <c r="NCS2" s="97"/>
      <c r="NCT2" s="97"/>
      <c r="NCU2" s="97"/>
      <c r="NCV2" s="97"/>
      <c r="NCW2" s="97"/>
      <c r="NCX2" s="97"/>
      <c r="NCY2" s="97"/>
      <c r="NCZ2" s="97"/>
      <c r="NDA2" s="97"/>
      <c r="NDB2" s="97"/>
      <c r="NDC2" s="97"/>
      <c r="NDD2" s="97"/>
      <c r="NDE2" s="97"/>
      <c r="NDF2" s="97"/>
      <c r="NDG2" s="97"/>
      <c r="NDH2" s="97"/>
      <c r="NDI2" s="97"/>
      <c r="NDJ2" s="97"/>
      <c r="NDK2" s="97"/>
      <c r="NDL2" s="97"/>
      <c r="NDM2" s="97"/>
      <c r="NDN2" s="97"/>
      <c r="NDO2" s="97"/>
      <c r="NDP2" s="97"/>
      <c r="NDQ2" s="97"/>
      <c r="NDR2" s="97"/>
      <c r="NDS2" s="97"/>
      <c r="NDT2" s="97"/>
      <c r="NDU2" s="97"/>
      <c r="NDV2" s="97"/>
      <c r="NDW2" s="97"/>
      <c r="NDX2" s="97"/>
      <c r="NDY2" s="97"/>
      <c r="NDZ2" s="97"/>
      <c r="NEA2" s="97"/>
      <c r="NEB2" s="97"/>
      <c r="NEC2" s="97"/>
      <c r="NED2" s="97"/>
      <c r="NEE2" s="97"/>
      <c r="NEF2" s="97"/>
      <c r="NEG2" s="97"/>
      <c r="NEH2" s="97"/>
      <c r="NEI2" s="97"/>
      <c r="NEJ2" s="97"/>
      <c r="NEK2" s="97"/>
      <c r="NEL2" s="97"/>
      <c r="NEM2" s="97"/>
      <c r="NEN2" s="97"/>
      <c r="NEO2" s="97"/>
      <c r="NEP2" s="97"/>
      <c r="NEQ2" s="97"/>
      <c r="NER2" s="97"/>
      <c r="NES2" s="97"/>
      <c r="NET2" s="97"/>
      <c r="NEU2" s="97"/>
      <c r="NEV2" s="97"/>
      <c r="NEW2" s="97"/>
      <c r="NEX2" s="97"/>
      <c r="NEY2" s="97"/>
      <c r="NEZ2" s="97"/>
      <c r="NFA2" s="97"/>
      <c r="NFB2" s="97"/>
      <c r="NFC2" s="97"/>
      <c r="NFD2" s="97"/>
      <c r="NFE2" s="97"/>
      <c r="NFF2" s="97"/>
      <c r="NFG2" s="97"/>
      <c r="NFH2" s="97"/>
      <c r="NFI2" s="97"/>
      <c r="NFJ2" s="97"/>
      <c r="NFK2" s="97"/>
      <c r="NFL2" s="97"/>
      <c r="NFM2" s="97"/>
      <c r="NFN2" s="97"/>
      <c r="NFO2" s="97"/>
      <c r="NFP2" s="97"/>
      <c r="NFQ2" s="97"/>
      <c r="NFR2" s="97"/>
      <c r="NFS2" s="97"/>
      <c r="NFT2" s="97"/>
      <c r="NFU2" s="97"/>
      <c r="NFV2" s="97"/>
      <c r="NFW2" s="97"/>
      <c r="NFX2" s="97"/>
      <c r="NFY2" s="97"/>
      <c r="NFZ2" s="97"/>
      <c r="NGA2" s="97"/>
      <c r="NGB2" s="97"/>
      <c r="NGC2" s="97"/>
      <c r="NGD2" s="97"/>
      <c r="NGE2" s="97"/>
      <c r="NGF2" s="97"/>
      <c r="NGG2" s="97"/>
      <c r="NGH2" s="97"/>
      <c r="NGI2" s="97"/>
      <c r="NGJ2" s="97"/>
      <c r="NGK2" s="97"/>
      <c r="NGL2" s="97"/>
      <c r="NGM2" s="97"/>
      <c r="NGN2" s="97"/>
      <c r="NGO2" s="97"/>
      <c r="NGP2" s="97"/>
      <c r="NGQ2" s="97"/>
      <c r="NGR2" s="97"/>
      <c r="NGS2" s="97"/>
      <c r="NGT2" s="97"/>
      <c r="NGU2" s="97"/>
      <c r="NGV2" s="97"/>
      <c r="NGW2" s="97"/>
      <c r="NGX2" s="97"/>
      <c r="NGY2" s="97"/>
      <c r="NGZ2" s="97"/>
      <c r="NHA2" s="97"/>
      <c r="NHB2" s="97"/>
      <c r="NHC2" s="97"/>
      <c r="NHD2" s="97"/>
      <c r="NHE2" s="97"/>
      <c r="NHF2" s="97"/>
      <c r="NHG2" s="97"/>
      <c r="NHH2" s="97"/>
      <c r="NHI2" s="97"/>
      <c r="NHJ2" s="97"/>
      <c r="NHK2" s="97"/>
      <c r="NHL2" s="97"/>
      <c r="NHM2" s="97"/>
      <c r="NHN2" s="97"/>
      <c r="NHO2" s="97"/>
      <c r="NHP2" s="97"/>
      <c r="NHQ2" s="97"/>
      <c r="NHR2" s="97"/>
      <c r="NHS2" s="97"/>
      <c r="NHT2" s="97"/>
      <c r="NHU2" s="97"/>
      <c r="NHV2" s="97"/>
      <c r="NHW2" s="97"/>
      <c r="NHX2" s="97"/>
      <c r="NHY2" s="97"/>
      <c r="NHZ2" s="97"/>
      <c r="NIA2" s="97"/>
      <c r="NIB2" s="97"/>
      <c r="NIC2" s="97"/>
      <c r="NID2" s="97"/>
      <c r="NIE2" s="97"/>
      <c r="NIF2" s="97"/>
      <c r="NIG2" s="97"/>
      <c r="NIH2" s="97"/>
      <c r="NII2" s="97"/>
      <c r="NIJ2" s="97"/>
      <c r="NIK2" s="97"/>
      <c r="NIL2" s="97"/>
      <c r="NIM2" s="97"/>
      <c r="NIN2" s="97"/>
      <c r="NIO2" s="97"/>
      <c r="NIP2" s="97"/>
      <c r="NIQ2" s="97"/>
      <c r="NIR2" s="97"/>
      <c r="NIS2" s="97"/>
      <c r="NIT2" s="97"/>
      <c r="NIU2" s="97"/>
      <c r="NIV2" s="97"/>
      <c r="NIW2" s="97"/>
      <c r="NIX2" s="97"/>
      <c r="NIY2" s="97"/>
      <c r="NIZ2" s="97"/>
      <c r="NJA2" s="97"/>
      <c r="NJB2" s="97"/>
      <c r="NJC2" s="97"/>
      <c r="NJD2" s="97"/>
      <c r="NJE2" s="97"/>
      <c r="NJF2" s="97"/>
      <c r="NJG2" s="97"/>
      <c r="NJH2" s="97"/>
      <c r="NJI2" s="97"/>
      <c r="NJJ2" s="97"/>
      <c r="NJK2" s="97"/>
      <c r="NJL2" s="97"/>
      <c r="NJM2" s="97"/>
      <c r="NJN2" s="97"/>
      <c r="NJO2" s="97"/>
      <c r="NJP2" s="97"/>
      <c r="NJQ2" s="97"/>
      <c r="NJR2" s="97"/>
      <c r="NJS2" s="97"/>
      <c r="NJT2" s="97"/>
      <c r="NJU2" s="97"/>
      <c r="NJV2" s="97"/>
      <c r="NJW2" s="97"/>
      <c r="NJX2" s="97"/>
      <c r="NJY2" s="97"/>
      <c r="NJZ2" s="97"/>
      <c r="NKA2" s="97"/>
      <c r="NKB2" s="97"/>
      <c r="NKC2" s="97"/>
      <c r="NKD2" s="97"/>
      <c r="NKE2" s="97"/>
      <c r="NKF2" s="97"/>
      <c r="NKG2" s="97"/>
      <c r="NKH2" s="97"/>
      <c r="NKI2" s="97"/>
      <c r="NKJ2" s="97"/>
      <c r="NKK2" s="97"/>
      <c r="NKL2" s="97"/>
      <c r="NKM2" s="97"/>
      <c r="NKN2" s="97"/>
      <c r="NKO2" s="97"/>
      <c r="NKP2" s="97"/>
      <c r="NKQ2" s="97"/>
      <c r="NKR2" s="97"/>
      <c r="NKS2" s="97"/>
      <c r="NKT2" s="97"/>
      <c r="NKU2" s="97"/>
      <c r="NKV2" s="97"/>
      <c r="NKW2" s="97"/>
      <c r="NKX2" s="97"/>
      <c r="NKY2" s="97"/>
      <c r="NKZ2" s="97"/>
      <c r="NLA2" s="97"/>
      <c r="NLB2" s="97"/>
      <c r="NLC2" s="97"/>
      <c r="NLD2" s="97"/>
      <c r="NLE2" s="97"/>
      <c r="NLF2" s="97"/>
      <c r="NLG2" s="97"/>
      <c r="NLH2" s="97"/>
      <c r="NLI2" s="97"/>
      <c r="NLJ2" s="97"/>
      <c r="NLK2" s="97"/>
      <c r="NLL2" s="97"/>
      <c r="NLM2" s="97"/>
      <c r="NLN2" s="97"/>
      <c r="NLO2" s="97"/>
      <c r="NLP2" s="97"/>
      <c r="NLQ2" s="97"/>
      <c r="NLR2" s="97"/>
      <c r="NLS2" s="97"/>
      <c r="NLT2" s="97"/>
      <c r="NLU2" s="97"/>
      <c r="NLV2" s="97"/>
      <c r="NLW2" s="97"/>
      <c r="NLX2" s="97"/>
      <c r="NLY2" s="97"/>
      <c r="NLZ2" s="97"/>
      <c r="NMA2" s="97"/>
      <c r="NMB2" s="97"/>
      <c r="NMC2" s="97"/>
      <c r="NMD2" s="97"/>
      <c r="NME2" s="97"/>
      <c r="NMF2" s="97"/>
      <c r="NMG2" s="97"/>
      <c r="NMH2" s="97"/>
      <c r="NMI2" s="97"/>
      <c r="NMJ2" s="97"/>
      <c r="NMK2" s="97"/>
      <c r="NML2" s="97"/>
      <c r="NMM2" s="97"/>
      <c r="NMN2" s="97"/>
      <c r="NMO2" s="97"/>
      <c r="NMP2" s="97"/>
      <c r="NMQ2" s="97"/>
      <c r="NMR2" s="97"/>
      <c r="NMS2" s="97"/>
      <c r="NMT2" s="97"/>
      <c r="NMU2" s="97"/>
      <c r="NMV2" s="97"/>
      <c r="NMW2" s="97"/>
      <c r="NMX2" s="97"/>
      <c r="NMY2" s="97"/>
      <c r="NMZ2" s="97"/>
      <c r="NNA2" s="97"/>
      <c r="NNB2" s="97"/>
      <c r="NNC2" s="97"/>
      <c r="NND2" s="97"/>
      <c r="NNE2" s="97"/>
      <c r="NNF2" s="97"/>
      <c r="NNG2" s="97"/>
      <c r="NNH2" s="97"/>
      <c r="NNI2" s="97"/>
      <c r="NNJ2" s="97"/>
      <c r="NNK2" s="97"/>
      <c r="NNL2" s="97"/>
      <c r="NNM2" s="97"/>
      <c r="NNN2" s="97"/>
      <c r="NNO2" s="97"/>
      <c r="NNP2" s="97"/>
      <c r="NNQ2" s="97"/>
      <c r="NNR2" s="97"/>
      <c r="NNS2" s="97"/>
      <c r="NNT2" s="97"/>
      <c r="NNU2" s="97"/>
      <c r="NNV2" s="97"/>
      <c r="NNW2" s="97"/>
      <c r="NNX2" s="97"/>
      <c r="NNY2" s="97"/>
      <c r="NNZ2" s="97"/>
      <c r="NOA2" s="97"/>
      <c r="NOB2" s="97"/>
      <c r="NOC2" s="97"/>
      <c r="NOD2" s="97"/>
      <c r="NOE2" s="97"/>
      <c r="NOF2" s="97"/>
      <c r="NOG2" s="97"/>
      <c r="NOH2" s="97"/>
      <c r="NOI2" s="97"/>
      <c r="NOJ2" s="97"/>
      <c r="NOK2" s="97"/>
      <c r="NOL2" s="97"/>
      <c r="NOM2" s="97"/>
      <c r="NON2" s="97"/>
      <c r="NOO2" s="97"/>
      <c r="NOP2" s="97"/>
      <c r="NOQ2" s="97"/>
      <c r="NOR2" s="97"/>
      <c r="NOS2" s="97"/>
      <c r="NOT2" s="97"/>
      <c r="NOU2" s="97"/>
      <c r="NOV2" s="97"/>
      <c r="NOW2" s="97"/>
      <c r="NOX2" s="97"/>
      <c r="NOY2" s="97"/>
      <c r="NOZ2" s="97"/>
      <c r="NPA2" s="97"/>
      <c r="NPB2" s="97"/>
      <c r="NPC2" s="97"/>
      <c r="NPD2" s="97"/>
      <c r="NPE2" s="97"/>
      <c r="NPF2" s="97"/>
      <c r="NPG2" s="97"/>
      <c r="NPH2" s="97"/>
      <c r="NPI2" s="97"/>
      <c r="NPJ2" s="97"/>
      <c r="NPK2" s="97"/>
      <c r="NPL2" s="97"/>
      <c r="NPM2" s="97"/>
      <c r="NPN2" s="97"/>
      <c r="NPO2" s="97"/>
      <c r="NPP2" s="97"/>
      <c r="NPQ2" s="97"/>
      <c r="NPR2" s="97"/>
      <c r="NPS2" s="97"/>
      <c r="NPT2" s="97"/>
      <c r="NPU2" s="97"/>
      <c r="NPV2" s="97"/>
      <c r="NPW2" s="97"/>
      <c r="NPX2" s="97"/>
      <c r="NPY2" s="97"/>
      <c r="NPZ2" s="97"/>
      <c r="NQA2" s="97"/>
      <c r="NQB2" s="97"/>
      <c r="NQC2" s="97"/>
      <c r="NQD2" s="97"/>
      <c r="NQE2" s="97"/>
      <c r="NQF2" s="97"/>
      <c r="NQG2" s="97"/>
      <c r="NQH2" s="97"/>
      <c r="NQI2" s="97"/>
      <c r="NQJ2" s="97"/>
      <c r="NQK2" s="97"/>
      <c r="NQL2" s="97"/>
      <c r="NQM2" s="97"/>
      <c r="NQN2" s="97"/>
      <c r="NQO2" s="97"/>
      <c r="NQP2" s="97"/>
      <c r="NQQ2" s="97"/>
      <c r="NQR2" s="97"/>
      <c r="NQS2" s="97"/>
      <c r="NQT2" s="97"/>
      <c r="NQU2" s="97"/>
      <c r="NQV2" s="97"/>
      <c r="NQW2" s="97"/>
      <c r="NQX2" s="97"/>
      <c r="NQY2" s="97"/>
      <c r="NQZ2" s="97"/>
      <c r="NRA2" s="97"/>
      <c r="NRB2" s="97"/>
      <c r="NRC2" s="97"/>
      <c r="NRD2" s="97"/>
      <c r="NRE2" s="97"/>
      <c r="NRF2" s="97"/>
      <c r="NRG2" s="97"/>
      <c r="NRH2" s="97"/>
      <c r="NRI2" s="97"/>
      <c r="NRJ2" s="97"/>
      <c r="NRK2" s="97"/>
      <c r="NRL2" s="97"/>
      <c r="NRM2" s="97"/>
      <c r="NRN2" s="97"/>
      <c r="NRO2" s="97"/>
      <c r="NRP2" s="97"/>
      <c r="NRQ2" s="97"/>
      <c r="NRR2" s="97"/>
      <c r="NRS2" s="97"/>
      <c r="NRT2" s="97"/>
      <c r="NRU2" s="97"/>
      <c r="NRV2" s="97"/>
      <c r="NRW2" s="97"/>
      <c r="NRX2" s="97"/>
      <c r="NRY2" s="97"/>
      <c r="NRZ2" s="97"/>
      <c r="NSA2" s="97"/>
      <c r="NSB2" s="97"/>
      <c r="NSC2" s="97"/>
      <c r="NSD2" s="97"/>
      <c r="NSE2" s="97"/>
      <c r="NSF2" s="97"/>
      <c r="NSG2" s="97"/>
      <c r="NSH2" s="97"/>
      <c r="NSI2" s="97"/>
      <c r="NSJ2" s="97"/>
      <c r="NSK2" s="97"/>
      <c r="NSL2" s="97"/>
      <c r="NSM2" s="97"/>
      <c r="NSN2" s="97"/>
      <c r="NSO2" s="97"/>
      <c r="NSP2" s="97"/>
      <c r="NSQ2" s="97"/>
      <c r="NSR2" s="97"/>
      <c r="NSS2" s="97"/>
      <c r="NST2" s="97"/>
      <c r="NSU2" s="97"/>
      <c r="NSV2" s="97"/>
      <c r="NSW2" s="97"/>
      <c r="NSX2" s="97"/>
      <c r="NSY2" s="97"/>
      <c r="NSZ2" s="97"/>
      <c r="NTA2" s="97"/>
      <c r="NTB2" s="97"/>
      <c r="NTC2" s="97"/>
      <c r="NTD2" s="97"/>
      <c r="NTE2" s="97"/>
      <c r="NTF2" s="97"/>
      <c r="NTG2" s="97"/>
      <c r="NTH2" s="97"/>
      <c r="NTI2" s="97"/>
      <c r="NTJ2" s="97"/>
      <c r="NTK2" s="97"/>
      <c r="NTL2" s="97"/>
      <c r="NTM2" s="97"/>
      <c r="NTN2" s="97"/>
      <c r="NTO2" s="97"/>
      <c r="NTP2" s="97"/>
      <c r="NTQ2" s="97"/>
      <c r="NTR2" s="97"/>
      <c r="NTS2" s="97"/>
      <c r="NTT2" s="97"/>
      <c r="NTU2" s="97"/>
      <c r="NTV2" s="97"/>
      <c r="NTW2" s="97"/>
      <c r="NTX2" s="97"/>
      <c r="NTY2" s="97"/>
      <c r="NTZ2" s="97"/>
      <c r="NUA2" s="97"/>
      <c r="NUB2" s="97"/>
      <c r="NUC2" s="97"/>
      <c r="NUD2" s="97"/>
      <c r="NUE2" s="97"/>
      <c r="NUF2" s="97"/>
      <c r="NUG2" s="97"/>
      <c r="NUH2" s="97"/>
      <c r="NUI2" s="97"/>
      <c r="NUJ2" s="97"/>
      <c r="NUK2" s="97"/>
      <c r="NUL2" s="97"/>
      <c r="NUM2" s="97"/>
      <c r="NUN2" s="97"/>
      <c r="NUO2" s="97"/>
      <c r="NUP2" s="97"/>
      <c r="NUQ2" s="97"/>
      <c r="NUR2" s="97"/>
      <c r="NUS2" s="97"/>
      <c r="NUT2" s="97"/>
      <c r="NUU2" s="97"/>
      <c r="NUV2" s="97"/>
      <c r="NUW2" s="97"/>
      <c r="NUX2" s="97"/>
      <c r="NUY2" s="97"/>
      <c r="NUZ2" s="97"/>
      <c r="NVA2" s="97"/>
      <c r="NVB2" s="97"/>
      <c r="NVC2" s="97"/>
      <c r="NVD2" s="97"/>
      <c r="NVE2" s="97"/>
      <c r="NVF2" s="97"/>
      <c r="NVG2" s="97"/>
      <c r="NVH2" s="97"/>
      <c r="NVI2" s="97"/>
      <c r="NVJ2" s="97"/>
      <c r="NVK2" s="97"/>
      <c r="NVL2" s="97"/>
      <c r="NVM2" s="97"/>
      <c r="NVN2" s="97"/>
      <c r="NVO2" s="97"/>
      <c r="NVP2" s="97"/>
      <c r="NVQ2" s="97"/>
      <c r="NVR2" s="97"/>
      <c r="NVS2" s="97"/>
      <c r="NVT2" s="97"/>
      <c r="NVU2" s="97"/>
      <c r="NVV2" s="97"/>
      <c r="NVW2" s="97"/>
      <c r="NVX2" s="97"/>
      <c r="NVY2" s="97"/>
      <c r="NVZ2" s="97"/>
      <c r="NWA2" s="97"/>
      <c r="NWB2" s="97"/>
      <c r="NWC2" s="97"/>
      <c r="NWD2" s="97"/>
      <c r="NWE2" s="97"/>
      <c r="NWF2" s="97"/>
      <c r="NWG2" s="97"/>
      <c r="NWH2" s="97"/>
      <c r="NWI2" s="97"/>
      <c r="NWJ2" s="97"/>
      <c r="NWK2" s="97"/>
      <c r="NWL2" s="97"/>
      <c r="NWM2" s="97"/>
      <c r="NWN2" s="97"/>
      <c r="NWO2" s="97"/>
      <c r="NWP2" s="97"/>
      <c r="NWQ2" s="97"/>
      <c r="NWR2" s="97"/>
      <c r="NWS2" s="97"/>
      <c r="NWT2" s="97"/>
      <c r="NWU2" s="97"/>
      <c r="NWV2" s="97"/>
      <c r="NWW2" s="97"/>
      <c r="NWX2" s="97"/>
      <c r="NWY2" s="97"/>
      <c r="NWZ2" s="97"/>
      <c r="NXA2" s="97"/>
      <c r="NXB2" s="97"/>
      <c r="NXC2" s="97"/>
      <c r="NXD2" s="97"/>
      <c r="NXE2" s="97"/>
      <c r="NXF2" s="97"/>
      <c r="NXG2" s="97"/>
      <c r="NXH2" s="97"/>
      <c r="NXI2" s="97"/>
      <c r="NXJ2" s="97"/>
      <c r="NXK2" s="97"/>
      <c r="NXL2" s="97"/>
      <c r="NXM2" s="97"/>
      <c r="NXN2" s="97"/>
      <c r="NXO2" s="97"/>
      <c r="NXP2" s="97"/>
      <c r="NXQ2" s="97"/>
      <c r="NXR2" s="97"/>
      <c r="NXS2" s="97"/>
      <c r="NXT2" s="97"/>
      <c r="NXU2" s="97"/>
      <c r="NXV2" s="97"/>
      <c r="NXW2" s="97"/>
      <c r="NXX2" s="97"/>
      <c r="NXY2" s="97"/>
      <c r="NXZ2" s="97"/>
      <c r="NYA2" s="97"/>
      <c r="NYB2" s="97"/>
      <c r="NYC2" s="97"/>
      <c r="NYD2" s="97"/>
      <c r="NYE2" s="97"/>
      <c r="NYF2" s="97"/>
      <c r="NYG2" s="97"/>
      <c r="NYH2" s="97"/>
      <c r="NYI2" s="97"/>
      <c r="NYJ2" s="97"/>
      <c r="NYK2" s="97"/>
      <c r="NYL2" s="97"/>
      <c r="NYM2" s="97"/>
      <c r="NYN2" s="97"/>
      <c r="NYO2" s="97"/>
      <c r="NYP2" s="97"/>
      <c r="NYQ2" s="97"/>
      <c r="NYR2" s="97"/>
      <c r="NYS2" s="97"/>
      <c r="NYT2" s="97"/>
      <c r="NYU2" s="97"/>
      <c r="NYV2" s="97"/>
      <c r="NYW2" s="97"/>
      <c r="NYX2" s="97"/>
      <c r="NYY2" s="97"/>
      <c r="NYZ2" s="97"/>
      <c r="NZA2" s="97"/>
      <c r="NZB2" s="97"/>
      <c r="NZC2" s="97"/>
      <c r="NZD2" s="97"/>
      <c r="NZE2" s="97"/>
      <c r="NZF2" s="97"/>
      <c r="NZG2" s="97"/>
      <c r="NZH2" s="97"/>
      <c r="NZI2" s="97"/>
      <c r="NZJ2" s="97"/>
      <c r="NZK2" s="97"/>
      <c r="NZL2" s="97"/>
      <c r="NZM2" s="97"/>
      <c r="NZN2" s="97"/>
      <c r="NZO2" s="97"/>
      <c r="NZP2" s="97"/>
      <c r="NZQ2" s="97"/>
      <c r="NZR2" s="97"/>
      <c r="NZS2" s="97"/>
      <c r="NZT2" s="97"/>
      <c r="NZU2" s="97"/>
      <c r="NZV2" s="97"/>
      <c r="NZW2" s="97"/>
      <c r="NZX2" s="97"/>
      <c r="NZY2" s="97"/>
      <c r="NZZ2" s="97"/>
      <c r="OAA2" s="97"/>
      <c r="OAB2" s="97"/>
      <c r="OAC2" s="97"/>
      <c r="OAD2" s="97"/>
      <c r="OAE2" s="97"/>
      <c r="OAF2" s="97"/>
      <c r="OAG2" s="97"/>
      <c r="OAH2" s="97"/>
      <c r="OAI2" s="97"/>
      <c r="OAJ2" s="97"/>
      <c r="OAK2" s="97"/>
      <c r="OAL2" s="97"/>
      <c r="OAM2" s="97"/>
      <c r="OAN2" s="97"/>
      <c r="OAO2" s="97"/>
      <c r="OAP2" s="97"/>
      <c r="OAQ2" s="97"/>
      <c r="OAR2" s="97"/>
      <c r="OAS2" s="97"/>
      <c r="OAT2" s="97"/>
      <c r="OAU2" s="97"/>
      <c r="OAV2" s="97"/>
      <c r="OAW2" s="97"/>
      <c r="OAX2" s="97"/>
      <c r="OAY2" s="97"/>
      <c r="OAZ2" s="97"/>
      <c r="OBA2" s="97"/>
      <c r="OBB2" s="97"/>
      <c r="OBC2" s="97"/>
      <c r="OBD2" s="97"/>
      <c r="OBE2" s="97"/>
      <c r="OBF2" s="97"/>
      <c r="OBG2" s="97"/>
      <c r="OBH2" s="97"/>
      <c r="OBI2" s="97"/>
      <c r="OBJ2" s="97"/>
      <c r="OBK2" s="97"/>
      <c r="OBL2" s="97"/>
      <c r="OBM2" s="97"/>
      <c r="OBN2" s="97"/>
      <c r="OBO2" s="97"/>
      <c r="OBP2" s="97"/>
      <c r="OBQ2" s="97"/>
      <c r="OBR2" s="97"/>
      <c r="OBS2" s="97"/>
      <c r="OBT2" s="97"/>
      <c r="OBU2" s="97"/>
      <c r="OBV2" s="97"/>
      <c r="OBW2" s="97"/>
      <c r="OBX2" s="97"/>
      <c r="OBY2" s="97"/>
      <c r="OBZ2" s="97"/>
      <c r="OCA2" s="97"/>
      <c r="OCB2" s="97"/>
      <c r="OCC2" s="97"/>
      <c r="OCD2" s="97"/>
      <c r="OCE2" s="97"/>
      <c r="OCF2" s="97"/>
      <c r="OCG2" s="97"/>
      <c r="OCH2" s="97"/>
      <c r="OCI2" s="97"/>
      <c r="OCJ2" s="97"/>
      <c r="OCK2" s="97"/>
      <c r="OCL2" s="97"/>
      <c r="OCM2" s="97"/>
      <c r="OCN2" s="97"/>
      <c r="OCO2" s="97"/>
      <c r="OCP2" s="97"/>
      <c r="OCQ2" s="97"/>
      <c r="OCR2" s="97"/>
      <c r="OCS2" s="97"/>
      <c r="OCT2" s="97"/>
      <c r="OCU2" s="97"/>
      <c r="OCV2" s="97"/>
      <c r="OCW2" s="97"/>
      <c r="OCX2" s="97"/>
      <c r="OCY2" s="97"/>
      <c r="OCZ2" s="97"/>
      <c r="ODA2" s="97"/>
      <c r="ODB2" s="97"/>
      <c r="ODC2" s="97"/>
      <c r="ODD2" s="97"/>
      <c r="ODE2" s="97"/>
      <c r="ODF2" s="97"/>
      <c r="ODG2" s="97"/>
      <c r="ODH2" s="97"/>
      <c r="ODI2" s="97"/>
      <c r="ODJ2" s="97"/>
      <c r="ODK2" s="97"/>
      <c r="ODL2" s="97"/>
      <c r="ODM2" s="97"/>
      <c r="ODN2" s="97"/>
      <c r="ODO2" s="97"/>
      <c r="ODP2" s="97"/>
      <c r="ODQ2" s="97"/>
      <c r="ODR2" s="97"/>
      <c r="ODS2" s="97"/>
      <c r="ODT2" s="97"/>
      <c r="ODU2" s="97"/>
      <c r="ODV2" s="97"/>
      <c r="ODW2" s="97"/>
      <c r="ODX2" s="97"/>
      <c r="ODY2" s="97"/>
      <c r="ODZ2" s="97"/>
      <c r="OEA2" s="97"/>
      <c r="OEB2" s="97"/>
      <c r="OEC2" s="97"/>
      <c r="OED2" s="97"/>
      <c r="OEE2" s="97"/>
      <c r="OEF2" s="97"/>
      <c r="OEG2" s="97"/>
      <c r="OEH2" s="97"/>
      <c r="OEI2" s="97"/>
      <c r="OEJ2" s="97"/>
      <c r="OEK2" s="97"/>
      <c r="OEL2" s="97"/>
      <c r="OEM2" s="97"/>
      <c r="OEN2" s="97"/>
      <c r="OEO2" s="97"/>
      <c r="OEP2" s="97"/>
      <c r="OEQ2" s="97"/>
      <c r="OER2" s="97"/>
      <c r="OES2" s="97"/>
      <c r="OET2" s="97"/>
      <c r="OEU2" s="97"/>
      <c r="OEV2" s="97"/>
      <c r="OEW2" s="97"/>
      <c r="OEX2" s="97"/>
      <c r="OEY2" s="97"/>
      <c r="OEZ2" s="97"/>
      <c r="OFA2" s="97"/>
      <c r="OFB2" s="97"/>
      <c r="OFC2" s="97"/>
      <c r="OFD2" s="97"/>
      <c r="OFE2" s="97"/>
      <c r="OFF2" s="97"/>
      <c r="OFG2" s="97"/>
      <c r="OFH2" s="97"/>
      <c r="OFI2" s="97"/>
      <c r="OFJ2" s="97"/>
      <c r="OFK2" s="97"/>
      <c r="OFL2" s="97"/>
      <c r="OFM2" s="97"/>
      <c r="OFN2" s="97"/>
      <c r="OFO2" s="97"/>
      <c r="OFP2" s="97"/>
      <c r="OFQ2" s="97"/>
      <c r="OFR2" s="97"/>
      <c r="OFS2" s="97"/>
      <c r="OFT2" s="97"/>
      <c r="OFU2" s="97"/>
      <c r="OFV2" s="97"/>
      <c r="OFW2" s="97"/>
      <c r="OFX2" s="97"/>
      <c r="OFY2" s="97"/>
      <c r="OFZ2" s="97"/>
      <c r="OGA2" s="97"/>
      <c r="OGB2" s="97"/>
      <c r="OGC2" s="97"/>
      <c r="OGD2" s="97"/>
      <c r="OGE2" s="97"/>
      <c r="OGF2" s="97"/>
      <c r="OGG2" s="97"/>
      <c r="OGH2" s="97"/>
      <c r="OGI2" s="97"/>
      <c r="OGJ2" s="97"/>
      <c r="OGK2" s="97"/>
      <c r="OGL2" s="97"/>
      <c r="OGM2" s="97"/>
      <c r="OGN2" s="97"/>
      <c r="OGO2" s="97"/>
      <c r="OGP2" s="97"/>
      <c r="OGQ2" s="97"/>
      <c r="OGR2" s="97"/>
      <c r="OGS2" s="97"/>
      <c r="OGT2" s="97"/>
      <c r="OGU2" s="97"/>
      <c r="OGV2" s="97"/>
      <c r="OGW2" s="97"/>
      <c r="OGX2" s="97"/>
      <c r="OGY2" s="97"/>
      <c r="OGZ2" s="97"/>
      <c r="OHA2" s="97"/>
      <c r="OHB2" s="97"/>
      <c r="OHC2" s="97"/>
      <c r="OHD2" s="97"/>
      <c r="OHE2" s="97"/>
      <c r="OHF2" s="97"/>
      <c r="OHG2" s="97"/>
      <c r="OHH2" s="97"/>
      <c r="OHI2" s="97"/>
      <c r="OHJ2" s="97"/>
      <c r="OHK2" s="97"/>
      <c r="OHL2" s="97"/>
      <c r="OHM2" s="97"/>
      <c r="OHN2" s="97"/>
      <c r="OHO2" s="97"/>
      <c r="OHP2" s="97"/>
      <c r="OHQ2" s="97"/>
      <c r="OHR2" s="97"/>
      <c r="OHS2" s="97"/>
      <c r="OHT2" s="97"/>
      <c r="OHU2" s="97"/>
      <c r="OHV2" s="97"/>
      <c r="OHW2" s="97"/>
      <c r="OHX2" s="97"/>
      <c r="OHY2" s="97"/>
      <c r="OHZ2" s="97"/>
      <c r="OIA2" s="97"/>
      <c r="OIB2" s="97"/>
      <c r="OIC2" s="97"/>
      <c r="OID2" s="97"/>
      <c r="OIE2" s="97"/>
      <c r="OIF2" s="97"/>
      <c r="OIG2" s="97"/>
      <c r="OIH2" s="97"/>
      <c r="OII2" s="97"/>
      <c r="OIJ2" s="97"/>
      <c r="OIK2" s="97"/>
      <c r="OIL2" s="97"/>
      <c r="OIM2" s="97"/>
      <c r="OIN2" s="97"/>
      <c r="OIO2" s="97"/>
      <c r="OIP2" s="97"/>
      <c r="OIQ2" s="97"/>
      <c r="OIR2" s="97"/>
      <c r="OIS2" s="97"/>
      <c r="OIT2" s="97"/>
      <c r="OIU2" s="97"/>
      <c r="OIV2" s="97"/>
      <c r="OIW2" s="97"/>
      <c r="OIX2" s="97"/>
      <c r="OIY2" s="97"/>
      <c r="OIZ2" s="97"/>
      <c r="OJA2" s="97"/>
      <c r="OJB2" s="97"/>
      <c r="OJC2" s="97"/>
      <c r="OJD2" s="97"/>
      <c r="OJE2" s="97"/>
      <c r="OJF2" s="97"/>
      <c r="OJG2" s="97"/>
      <c r="OJH2" s="97"/>
      <c r="OJI2" s="97"/>
      <c r="OJJ2" s="97"/>
      <c r="OJK2" s="97"/>
      <c r="OJL2" s="97"/>
      <c r="OJM2" s="97"/>
      <c r="OJN2" s="97"/>
      <c r="OJO2" s="97"/>
      <c r="OJP2" s="97"/>
      <c r="OJQ2" s="97"/>
      <c r="OJR2" s="97"/>
      <c r="OJS2" s="97"/>
      <c r="OJT2" s="97"/>
      <c r="OJU2" s="97"/>
      <c r="OJV2" s="97"/>
      <c r="OJW2" s="97"/>
      <c r="OJX2" s="97"/>
      <c r="OJY2" s="97"/>
      <c r="OJZ2" s="97"/>
      <c r="OKA2" s="97"/>
      <c r="OKB2" s="97"/>
      <c r="OKC2" s="97"/>
      <c r="OKD2" s="97"/>
      <c r="OKE2" s="97"/>
      <c r="OKF2" s="97"/>
      <c r="OKG2" s="97"/>
      <c r="OKH2" s="97"/>
      <c r="OKI2" s="97"/>
      <c r="OKJ2" s="97"/>
      <c r="OKK2" s="97"/>
      <c r="OKL2" s="97"/>
      <c r="OKM2" s="97"/>
      <c r="OKN2" s="97"/>
      <c r="OKO2" s="97"/>
      <c r="OKP2" s="97"/>
      <c r="OKQ2" s="97"/>
      <c r="OKR2" s="97"/>
      <c r="OKS2" s="97"/>
      <c r="OKT2" s="97"/>
      <c r="OKU2" s="97"/>
      <c r="OKV2" s="97"/>
      <c r="OKW2" s="97"/>
      <c r="OKX2" s="97"/>
      <c r="OKY2" s="97"/>
      <c r="OKZ2" s="97"/>
      <c r="OLA2" s="97"/>
      <c r="OLB2" s="97"/>
      <c r="OLC2" s="97"/>
      <c r="OLD2" s="97"/>
      <c r="OLE2" s="97"/>
      <c r="OLF2" s="97"/>
      <c r="OLG2" s="97"/>
      <c r="OLH2" s="97"/>
      <c r="OLI2" s="97"/>
      <c r="OLJ2" s="97"/>
      <c r="OLK2" s="97"/>
      <c r="OLL2" s="97"/>
      <c r="OLM2" s="97"/>
      <c r="OLN2" s="97"/>
      <c r="OLO2" s="97"/>
      <c r="OLP2" s="97"/>
      <c r="OLQ2" s="97"/>
      <c r="OLR2" s="97"/>
      <c r="OLS2" s="97"/>
      <c r="OLT2" s="97"/>
      <c r="OLU2" s="97"/>
      <c r="OLV2" s="97"/>
      <c r="OLW2" s="97"/>
      <c r="OLX2" s="97"/>
      <c r="OLY2" s="97"/>
      <c r="OLZ2" s="97"/>
      <c r="OMA2" s="97"/>
      <c r="OMB2" s="97"/>
      <c r="OMC2" s="97"/>
      <c r="OMD2" s="97"/>
      <c r="OME2" s="97"/>
      <c r="OMF2" s="97"/>
      <c r="OMG2" s="97"/>
      <c r="OMH2" s="97"/>
      <c r="OMI2" s="97"/>
      <c r="OMJ2" s="97"/>
      <c r="OMK2" s="97"/>
      <c r="OML2" s="97"/>
      <c r="OMM2" s="97"/>
      <c r="OMN2" s="97"/>
      <c r="OMO2" s="97"/>
      <c r="OMP2" s="97"/>
      <c r="OMQ2" s="97"/>
      <c r="OMR2" s="97"/>
      <c r="OMS2" s="97"/>
      <c r="OMT2" s="97"/>
      <c r="OMU2" s="97"/>
      <c r="OMV2" s="97"/>
      <c r="OMW2" s="97"/>
      <c r="OMX2" s="97"/>
      <c r="OMY2" s="97"/>
      <c r="OMZ2" s="97"/>
      <c r="ONA2" s="97"/>
      <c r="ONB2" s="97"/>
      <c r="ONC2" s="97"/>
      <c r="OND2" s="97"/>
      <c r="ONE2" s="97"/>
      <c r="ONF2" s="97"/>
      <c r="ONG2" s="97"/>
      <c r="ONH2" s="97"/>
      <c r="ONI2" s="97"/>
      <c r="ONJ2" s="97"/>
      <c r="ONK2" s="97"/>
      <c r="ONL2" s="97"/>
      <c r="ONM2" s="97"/>
      <c r="ONN2" s="97"/>
      <c r="ONO2" s="97"/>
      <c r="ONP2" s="97"/>
      <c r="ONQ2" s="97"/>
      <c r="ONR2" s="97"/>
      <c r="ONS2" s="97"/>
      <c r="ONT2" s="97"/>
      <c r="ONU2" s="97"/>
      <c r="ONV2" s="97"/>
      <c r="ONW2" s="97"/>
      <c r="ONX2" s="97"/>
      <c r="ONY2" s="97"/>
      <c r="ONZ2" s="97"/>
      <c r="OOA2" s="97"/>
      <c r="OOB2" s="97"/>
      <c r="OOC2" s="97"/>
      <c r="OOD2" s="97"/>
      <c r="OOE2" s="97"/>
      <c r="OOF2" s="97"/>
      <c r="OOG2" s="97"/>
      <c r="OOH2" s="97"/>
      <c r="OOI2" s="97"/>
      <c r="OOJ2" s="97"/>
      <c r="OOK2" s="97"/>
      <c r="OOL2" s="97"/>
      <c r="OOM2" s="97"/>
      <c r="OON2" s="97"/>
      <c r="OOO2" s="97"/>
      <c r="OOP2" s="97"/>
      <c r="OOQ2" s="97"/>
      <c r="OOR2" s="97"/>
      <c r="OOS2" s="97"/>
      <c r="OOT2" s="97"/>
      <c r="OOU2" s="97"/>
      <c r="OOV2" s="97"/>
      <c r="OOW2" s="97"/>
      <c r="OOX2" s="97"/>
      <c r="OOY2" s="97"/>
      <c r="OOZ2" s="97"/>
      <c r="OPA2" s="97"/>
      <c r="OPB2" s="97"/>
      <c r="OPC2" s="97"/>
      <c r="OPD2" s="97"/>
      <c r="OPE2" s="97"/>
      <c r="OPF2" s="97"/>
      <c r="OPG2" s="97"/>
      <c r="OPH2" s="97"/>
      <c r="OPI2" s="97"/>
      <c r="OPJ2" s="97"/>
      <c r="OPK2" s="97"/>
      <c r="OPL2" s="97"/>
      <c r="OPM2" s="97"/>
      <c r="OPN2" s="97"/>
      <c r="OPO2" s="97"/>
      <c r="OPP2" s="97"/>
      <c r="OPQ2" s="97"/>
      <c r="OPR2" s="97"/>
      <c r="OPS2" s="97"/>
      <c r="OPT2" s="97"/>
      <c r="OPU2" s="97"/>
      <c r="OPV2" s="97"/>
      <c r="OPW2" s="97"/>
      <c r="OPX2" s="97"/>
      <c r="OPY2" s="97"/>
      <c r="OPZ2" s="97"/>
      <c r="OQA2" s="97"/>
      <c r="OQB2" s="97"/>
      <c r="OQC2" s="97"/>
      <c r="OQD2" s="97"/>
      <c r="OQE2" s="97"/>
      <c r="OQF2" s="97"/>
      <c r="OQG2" s="97"/>
      <c r="OQH2" s="97"/>
      <c r="OQI2" s="97"/>
      <c r="OQJ2" s="97"/>
      <c r="OQK2" s="97"/>
      <c r="OQL2" s="97"/>
      <c r="OQM2" s="97"/>
      <c r="OQN2" s="97"/>
      <c r="OQO2" s="97"/>
      <c r="OQP2" s="97"/>
      <c r="OQQ2" s="97"/>
      <c r="OQR2" s="97"/>
      <c r="OQS2" s="97"/>
      <c r="OQT2" s="97"/>
      <c r="OQU2" s="97"/>
      <c r="OQV2" s="97"/>
      <c r="OQW2" s="97"/>
      <c r="OQX2" s="97"/>
      <c r="OQY2" s="97"/>
      <c r="OQZ2" s="97"/>
      <c r="ORA2" s="97"/>
      <c r="ORB2" s="97"/>
      <c r="ORC2" s="97"/>
      <c r="ORD2" s="97"/>
      <c r="ORE2" s="97"/>
      <c r="ORF2" s="97"/>
      <c r="ORG2" s="97"/>
      <c r="ORH2" s="97"/>
      <c r="ORI2" s="97"/>
      <c r="ORJ2" s="97"/>
      <c r="ORK2" s="97"/>
      <c r="ORL2" s="97"/>
      <c r="ORM2" s="97"/>
      <c r="ORN2" s="97"/>
      <c r="ORO2" s="97"/>
      <c r="ORP2" s="97"/>
      <c r="ORQ2" s="97"/>
      <c r="ORR2" s="97"/>
      <c r="ORS2" s="97"/>
      <c r="ORT2" s="97"/>
      <c r="ORU2" s="97"/>
      <c r="ORV2" s="97"/>
      <c r="ORW2" s="97"/>
      <c r="ORX2" s="97"/>
      <c r="ORY2" s="97"/>
      <c r="ORZ2" s="97"/>
      <c r="OSA2" s="97"/>
      <c r="OSB2" s="97"/>
      <c r="OSC2" s="97"/>
      <c r="OSD2" s="97"/>
      <c r="OSE2" s="97"/>
      <c r="OSF2" s="97"/>
      <c r="OSG2" s="97"/>
      <c r="OSH2" s="97"/>
      <c r="OSI2" s="97"/>
      <c r="OSJ2" s="97"/>
      <c r="OSK2" s="97"/>
      <c r="OSL2" s="97"/>
      <c r="OSM2" s="97"/>
      <c r="OSN2" s="97"/>
      <c r="OSO2" s="97"/>
      <c r="OSP2" s="97"/>
      <c r="OSQ2" s="97"/>
      <c r="OSR2" s="97"/>
      <c r="OSS2" s="97"/>
      <c r="OST2" s="97"/>
      <c r="OSU2" s="97"/>
      <c r="OSV2" s="97"/>
      <c r="OSW2" s="97"/>
      <c r="OSX2" s="97"/>
      <c r="OSY2" s="97"/>
      <c r="OSZ2" s="97"/>
      <c r="OTA2" s="97"/>
      <c r="OTB2" s="97"/>
      <c r="OTC2" s="97"/>
      <c r="OTD2" s="97"/>
      <c r="OTE2" s="97"/>
      <c r="OTF2" s="97"/>
      <c r="OTG2" s="97"/>
      <c r="OTH2" s="97"/>
      <c r="OTI2" s="97"/>
      <c r="OTJ2" s="97"/>
      <c r="OTK2" s="97"/>
      <c r="OTL2" s="97"/>
      <c r="OTM2" s="97"/>
      <c r="OTN2" s="97"/>
      <c r="OTO2" s="97"/>
      <c r="OTP2" s="97"/>
      <c r="OTQ2" s="97"/>
      <c r="OTR2" s="97"/>
      <c r="OTS2" s="97"/>
      <c r="OTT2" s="97"/>
      <c r="OTU2" s="97"/>
      <c r="OTV2" s="97"/>
      <c r="OTW2" s="97"/>
      <c r="OTX2" s="97"/>
      <c r="OTY2" s="97"/>
      <c r="OTZ2" s="97"/>
      <c r="OUA2" s="97"/>
      <c r="OUB2" s="97"/>
      <c r="OUC2" s="97"/>
      <c r="OUD2" s="97"/>
      <c r="OUE2" s="97"/>
      <c r="OUF2" s="97"/>
      <c r="OUG2" s="97"/>
      <c r="OUH2" s="97"/>
      <c r="OUI2" s="97"/>
      <c r="OUJ2" s="97"/>
      <c r="OUK2" s="97"/>
      <c r="OUL2" s="97"/>
      <c r="OUM2" s="97"/>
      <c r="OUN2" s="97"/>
      <c r="OUO2" s="97"/>
      <c r="OUP2" s="97"/>
      <c r="OUQ2" s="97"/>
      <c r="OUR2" s="97"/>
      <c r="OUS2" s="97"/>
      <c r="OUT2" s="97"/>
      <c r="OUU2" s="97"/>
      <c r="OUV2" s="97"/>
      <c r="OUW2" s="97"/>
      <c r="OUX2" s="97"/>
      <c r="OUY2" s="97"/>
      <c r="OUZ2" s="97"/>
      <c r="OVA2" s="97"/>
      <c r="OVB2" s="97"/>
      <c r="OVC2" s="97"/>
      <c r="OVD2" s="97"/>
      <c r="OVE2" s="97"/>
      <c r="OVF2" s="97"/>
      <c r="OVG2" s="97"/>
      <c r="OVH2" s="97"/>
      <c r="OVI2" s="97"/>
      <c r="OVJ2" s="97"/>
      <c r="OVK2" s="97"/>
      <c r="OVL2" s="97"/>
      <c r="OVM2" s="97"/>
      <c r="OVN2" s="97"/>
      <c r="OVO2" s="97"/>
      <c r="OVP2" s="97"/>
      <c r="OVQ2" s="97"/>
      <c r="OVR2" s="97"/>
      <c r="OVS2" s="97"/>
      <c r="OVT2" s="97"/>
      <c r="OVU2" s="97"/>
      <c r="OVV2" s="97"/>
      <c r="OVW2" s="97"/>
      <c r="OVX2" s="97"/>
      <c r="OVY2" s="97"/>
      <c r="OVZ2" s="97"/>
      <c r="OWA2" s="97"/>
      <c r="OWB2" s="97"/>
      <c r="OWC2" s="97"/>
      <c r="OWD2" s="97"/>
      <c r="OWE2" s="97"/>
      <c r="OWF2" s="97"/>
      <c r="OWG2" s="97"/>
      <c r="OWH2" s="97"/>
      <c r="OWI2" s="97"/>
      <c r="OWJ2" s="97"/>
      <c r="OWK2" s="97"/>
      <c r="OWL2" s="97"/>
      <c r="OWM2" s="97"/>
      <c r="OWN2" s="97"/>
      <c r="OWO2" s="97"/>
      <c r="OWP2" s="97"/>
      <c r="OWQ2" s="97"/>
      <c r="OWR2" s="97"/>
      <c r="OWS2" s="97"/>
      <c r="OWT2" s="97"/>
      <c r="OWU2" s="97"/>
      <c r="OWV2" s="97"/>
      <c r="OWW2" s="97"/>
      <c r="OWX2" s="97"/>
      <c r="OWY2" s="97"/>
      <c r="OWZ2" s="97"/>
      <c r="OXA2" s="97"/>
      <c r="OXB2" s="97"/>
      <c r="OXC2" s="97"/>
      <c r="OXD2" s="97"/>
      <c r="OXE2" s="97"/>
      <c r="OXF2" s="97"/>
      <c r="OXG2" s="97"/>
      <c r="OXH2" s="97"/>
      <c r="OXI2" s="97"/>
      <c r="OXJ2" s="97"/>
      <c r="OXK2" s="97"/>
      <c r="OXL2" s="97"/>
      <c r="OXM2" s="97"/>
      <c r="OXN2" s="97"/>
      <c r="OXO2" s="97"/>
      <c r="OXP2" s="97"/>
      <c r="OXQ2" s="97"/>
      <c r="OXR2" s="97"/>
      <c r="OXS2" s="97"/>
      <c r="OXT2" s="97"/>
      <c r="OXU2" s="97"/>
      <c r="OXV2" s="97"/>
      <c r="OXW2" s="97"/>
      <c r="OXX2" s="97"/>
      <c r="OXY2" s="97"/>
      <c r="OXZ2" s="97"/>
      <c r="OYA2" s="97"/>
      <c r="OYB2" s="97"/>
      <c r="OYC2" s="97"/>
      <c r="OYD2" s="97"/>
      <c r="OYE2" s="97"/>
      <c r="OYF2" s="97"/>
      <c r="OYG2" s="97"/>
      <c r="OYH2" s="97"/>
      <c r="OYI2" s="97"/>
      <c r="OYJ2" s="97"/>
      <c r="OYK2" s="97"/>
      <c r="OYL2" s="97"/>
      <c r="OYM2" s="97"/>
      <c r="OYN2" s="97"/>
      <c r="OYO2" s="97"/>
      <c r="OYP2" s="97"/>
      <c r="OYQ2" s="97"/>
      <c r="OYR2" s="97"/>
      <c r="OYS2" s="97"/>
      <c r="OYT2" s="97"/>
      <c r="OYU2" s="97"/>
      <c r="OYV2" s="97"/>
      <c r="OYW2" s="97"/>
      <c r="OYX2" s="97"/>
      <c r="OYY2" s="97"/>
      <c r="OYZ2" s="97"/>
      <c r="OZA2" s="97"/>
      <c r="OZB2" s="97"/>
      <c r="OZC2" s="97"/>
      <c r="OZD2" s="97"/>
      <c r="OZE2" s="97"/>
      <c r="OZF2" s="97"/>
      <c r="OZG2" s="97"/>
      <c r="OZH2" s="97"/>
      <c r="OZI2" s="97"/>
      <c r="OZJ2" s="97"/>
      <c r="OZK2" s="97"/>
      <c r="OZL2" s="97"/>
      <c r="OZM2" s="97"/>
      <c r="OZN2" s="97"/>
      <c r="OZO2" s="97"/>
      <c r="OZP2" s="97"/>
      <c r="OZQ2" s="97"/>
      <c r="OZR2" s="97"/>
      <c r="OZS2" s="97"/>
      <c r="OZT2" s="97"/>
      <c r="OZU2" s="97"/>
      <c r="OZV2" s="97"/>
      <c r="OZW2" s="97"/>
      <c r="OZX2" s="97"/>
      <c r="OZY2" s="97"/>
      <c r="OZZ2" s="97"/>
      <c r="PAA2" s="97"/>
      <c r="PAB2" s="97"/>
      <c r="PAC2" s="97"/>
      <c r="PAD2" s="97"/>
      <c r="PAE2" s="97"/>
      <c r="PAF2" s="97"/>
      <c r="PAG2" s="97"/>
      <c r="PAH2" s="97"/>
      <c r="PAI2" s="97"/>
      <c r="PAJ2" s="97"/>
      <c r="PAK2" s="97"/>
      <c r="PAL2" s="97"/>
      <c r="PAM2" s="97"/>
      <c r="PAN2" s="97"/>
      <c r="PAO2" s="97"/>
      <c r="PAP2" s="97"/>
      <c r="PAQ2" s="97"/>
      <c r="PAR2" s="97"/>
      <c r="PAS2" s="97"/>
      <c r="PAT2" s="97"/>
      <c r="PAU2" s="97"/>
      <c r="PAV2" s="97"/>
      <c r="PAW2" s="97"/>
      <c r="PAX2" s="97"/>
      <c r="PAY2" s="97"/>
      <c r="PAZ2" s="97"/>
      <c r="PBA2" s="97"/>
      <c r="PBB2" s="97"/>
      <c r="PBC2" s="97"/>
      <c r="PBD2" s="97"/>
      <c r="PBE2" s="97"/>
      <c r="PBF2" s="97"/>
      <c r="PBG2" s="97"/>
      <c r="PBH2" s="97"/>
      <c r="PBI2" s="97"/>
      <c r="PBJ2" s="97"/>
      <c r="PBK2" s="97"/>
      <c r="PBL2" s="97"/>
      <c r="PBM2" s="97"/>
      <c r="PBN2" s="97"/>
      <c r="PBO2" s="97"/>
      <c r="PBP2" s="97"/>
      <c r="PBQ2" s="97"/>
      <c r="PBR2" s="97"/>
      <c r="PBS2" s="97"/>
      <c r="PBT2" s="97"/>
      <c r="PBU2" s="97"/>
      <c r="PBV2" s="97"/>
      <c r="PBW2" s="97"/>
      <c r="PBX2" s="97"/>
      <c r="PBY2" s="97"/>
      <c r="PBZ2" s="97"/>
      <c r="PCA2" s="97"/>
      <c r="PCB2" s="97"/>
      <c r="PCC2" s="97"/>
      <c r="PCD2" s="97"/>
      <c r="PCE2" s="97"/>
      <c r="PCF2" s="97"/>
      <c r="PCG2" s="97"/>
      <c r="PCH2" s="97"/>
      <c r="PCI2" s="97"/>
      <c r="PCJ2" s="97"/>
      <c r="PCK2" s="97"/>
      <c r="PCL2" s="97"/>
      <c r="PCM2" s="97"/>
      <c r="PCN2" s="97"/>
      <c r="PCO2" s="97"/>
      <c r="PCP2" s="97"/>
      <c r="PCQ2" s="97"/>
      <c r="PCR2" s="97"/>
      <c r="PCS2" s="97"/>
      <c r="PCT2" s="97"/>
      <c r="PCU2" s="97"/>
      <c r="PCV2" s="97"/>
      <c r="PCW2" s="97"/>
      <c r="PCX2" s="97"/>
      <c r="PCY2" s="97"/>
      <c r="PCZ2" s="97"/>
      <c r="PDA2" s="97"/>
      <c r="PDB2" s="97"/>
      <c r="PDC2" s="97"/>
      <c r="PDD2" s="97"/>
      <c r="PDE2" s="97"/>
      <c r="PDF2" s="97"/>
      <c r="PDG2" s="97"/>
      <c r="PDH2" s="97"/>
      <c r="PDI2" s="97"/>
      <c r="PDJ2" s="97"/>
      <c r="PDK2" s="97"/>
      <c r="PDL2" s="97"/>
      <c r="PDM2" s="97"/>
      <c r="PDN2" s="97"/>
      <c r="PDO2" s="97"/>
      <c r="PDP2" s="97"/>
      <c r="PDQ2" s="97"/>
      <c r="PDR2" s="97"/>
      <c r="PDS2" s="97"/>
      <c r="PDT2" s="97"/>
      <c r="PDU2" s="97"/>
      <c r="PDV2" s="97"/>
      <c r="PDW2" s="97"/>
      <c r="PDX2" s="97"/>
      <c r="PDY2" s="97"/>
      <c r="PDZ2" s="97"/>
      <c r="PEA2" s="97"/>
      <c r="PEB2" s="97"/>
      <c r="PEC2" s="97"/>
      <c r="PED2" s="97"/>
      <c r="PEE2" s="97"/>
      <c r="PEF2" s="97"/>
      <c r="PEG2" s="97"/>
      <c r="PEH2" s="97"/>
      <c r="PEI2" s="97"/>
      <c r="PEJ2" s="97"/>
      <c r="PEK2" s="97"/>
      <c r="PEL2" s="97"/>
      <c r="PEM2" s="97"/>
      <c r="PEN2" s="97"/>
      <c r="PEO2" s="97"/>
      <c r="PEP2" s="97"/>
      <c r="PEQ2" s="97"/>
      <c r="PER2" s="97"/>
      <c r="PES2" s="97"/>
      <c r="PET2" s="97"/>
      <c r="PEU2" s="97"/>
      <c r="PEV2" s="97"/>
      <c r="PEW2" s="97"/>
      <c r="PEX2" s="97"/>
      <c r="PEY2" s="97"/>
      <c r="PEZ2" s="97"/>
      <c r="PFA2" s="97"/>
      <c r="PFB2" s="97"/>
      <c r="PFC2" s="97"/>
      <c r="PFD2" s="97"/>
      <c r="PFE2" s="97"/>
      <c r="PFF2" s="97"/>
      <c r="PFG2" s="97"/>
      <c r="PFH2" s="97"/>
      <c r="PFI2" s="97"/>
      <c r="PFJ2" s="97"/>
      <c r="PFK2" s="97"/>
      <c r="PFL2" s="97"/>
      <c r="PFM2" s="97"/>
      <c r="PFN2" s="97"/>
      <c r="PFO2" s="97"/>
      <c r="PFP2" s="97"/>
      <c r="PFQ2" s="97"/>
      <c r="PFR2" s="97"/>
      <c r="PFS2" s="97"/>
      <c r="PFT2" s="97"/>
      <c r="PFU2" s="97"/>
      <c r="PFV2" s="97"/>
      <c r="PFW2" s="97"/>
      <c r="PFX2" s="97"/>
      <c r="PFY2" s="97"/>
      <c r="PFZ2" s="97"/>
      <c r="PGA2" s="97"/>
      <c r="PGB2" s="97"/>
      <c r="PGC2" s="97"/>
      <c r="PGD2" s="97"/>
      <c r="PGE2" s="97"/>
      <c r="PGF2" s="97"/>
      <c r="PGG2" s="97"/>
      <c r="PGH2" s="97"/>
      <c r="PGI2" s="97"/>
      <c r="PGJ2" s="97"/>
      <c r="PGK2" s="97"/>
      <c r="PGL2" s="97"/>
      <c r="PGM2" s="97"/>
      <c r="PGN2" s="97"/>
      <c r="PGO2" s="97"/>
      <c r="PGP2" s="97"/>
      <c r="PGQ2" s="97"/>
      <c r="PGR2" s="97"/>
      <c r="PGS2" s="97"/>
      <c r="PGT2" s="97"/>
      <c r="PGU2" s="97"/>
      <c r="PGV2" s="97"/>
      <c r="PGW2" s="97"/>
      <c r="PGX2" s="97"/>
      <c r="PGY2" s="97"/>
      <c r="PGZ2" s="97"/>
      <c r="PHA2" s="97"/>
      <c r="PHB2" s="97"/>
      <c r="PHC2" s="97"/>
      <c r="PHD2" s="97"/>
      <c r="PHE2" s="97"/>
      <c r="PHF2" s="97"/>
      <c r="PHG2" s="97"/>
      <c r="PHH2" s="97"/>
      <c r="PHI2" s="97"/>
      <c r="PHJ2" s="97"/>
      <c r="PHK2" s="97"/>
      <c r="PHL2" s="97"/>
      <c r="PHM2" s="97"/>
      <c r="PHN2" s="97"/>
      <c r="PHO2" s="97"/>
      <c r="PHP2" s="97"/>
      <c r="PHQ2" s="97"/>
      <c r="PHR2" s="97"/>
      <c r="PHS2" s="97"/>
      <c r="PHT2" s="97"/>
      <c r="PHU2" s="97"/>
      <c r="PHV2" s="97"/>
      <c r="PHW2" s="97"/>
      <c r="PHX2" s="97"/>
      <c r="PHY2" s="97"/>
      <c r="PHZ2" s="97"/>
      <c r="PIA2" s="97"/>
      <c r="PIB2" s="97"/>
      <c r="PIC2" s="97"/>
      <c r="PID2" s="97"/>
      <c r="PIE2" s="97"/>
      <c r="PIF2" s="97"/>
      <c r="PIG2" s="97"/>
      <c r="PIH2" s="97"/>
      <c r="PII2" s="97"/>
      <c r="PIJ2" s="97"/>
      <c r="PIK2" s="97"/>
      <c r="PIL2" s="97"/>
      <c r="PIM2" s="97"/>
      <c r="PIN2" s="97"/>
      <c r="PIO2" s="97"/>
      <c r="PIP2" s="97"/>
      <c r="PIQ2" s="97"/>
      <c r="PIR2" s="97"/>
      <c r="PIS2" s="97"/>
      <c r="PIT2" s="97"/>
      <c r="PIU2" s="97"/>
      <c r="PIV2" s="97"/>
      <c r="PIW2" s="97"/>
      <c r="PIX2" s="97"/>
      <c r="PIY2" s="97"/>
      <c r="PIZ2" s="97"/>
      <c r="PJA2" s="97"/>
      <c r="PJB2" s="97"/>
      <c r="PJC2" s="97"/>
      <c r="PJD2" s="97"/>
      <c r="PJE2" s="97"/>
      <c r="PJF2" s="97"/>
      <c r="PJG2" s="97"/>
      <c r="PJH2" s="97"/>
      <c r="PJI2" s="97"/>
      <c r="PJJ2" s="97"/>
      <c r="PJK2" s="97"/>
      <c r="PJL2" s="97"/>
      <c r="PJM2" s="97"/>
      <c r="PJN2" s="97"/>
      <c r="PJO2" s="97"/>
      <c r="PJP2" s="97"/>
      <c r="PJQ2" s="97"/>
      <c r="PJR2" s="97"/>
      <c r="PJS2" s="97"/>
      <c r="PJT2" s="97"/>
      <c r="PJU2" s="97"/>
      <c r="PJV2" s="97"/>
      <c r="PJW2" s="97"/>
      <c r="PJX2" s="97"/>
      <c r="PJY2" s="97"/>
      <c r="PJZ2" s="97"/>
      <c r="PKA2" s="97"/>
      <c r="PKB2" s="97"/>
      <c r="PKC2" s="97"/>
      <c r="PKD2" s="97"/>
      <c r="PKE2" s="97"/>
      <c r="PKF2" s="97"/>
      <c r="PKG2" s="97"/>
      <c r="PKH2" s="97"/>
      <c r="PKI2" s="97"/>
      <c r="PKJ2" s="97"/>
      <c r="PKK2" s="97"/>
      <c r="PKL2" s="97"/>
      <c r="PKM2" s="97"/>
      <c r="PKN2" s="97"/>
      <c r="PKO2" s="97"/>
      <c r="PKP2" s="97"/>
      <c r="PKQ2" s="97"/>
      <c r="PKR2" s="97"/>
      <c r="PKS2" s="97"/>
      <c r="PKT2" s="97"/>
      <c r="PKU2" s="97"/>
      <c r="PKV2" s="97"/>
      <c r="PKW2" s="97"/>
      <c r="PKX2" s="97"/>
      <c r="PKY2" s="97"/>
      <c r="PKZ2" s="97"/>
      <c r="PLA2" s="97"/>
      <c r="PLB2" s="97"/>
      <c r="PLC2" s="97"/>
      <c r="PLD2" s="97"/>
      <c r="PLE2" s="97"/>
      <c r="PLF2" s="97"/>
      <c r="PLG2" s="97"/>
      <c r="PLH2" s="97"/>
      <c r="PLI2" s="97"/>
      <c r="PLJ2" s="97"/>
      <c r="PLK2" s="97"/>
      <c r="PLL2" s="97"/>
      <c r="PLM2" s="97"/>
      <c r="PLN2" s="97"/>
      <c r="PLO2" s="97"/>
      <c r="PLP2" s="97"/>
      <c r="PLQ2" s="97"/>
      <c r="PLR2" s="97"/>
      <c r="PLS2" s="97"/>
      <c r="PLT2" s="97"/>
      <c r="PLU2" s="97"/>
      <c r="PLV2" s="97"/>
      <c r="PLW2" s="97"/>
      <c r="PLX2" s="97"/>
      <c r="PLY2" s="97"/>
      <c r="PLZ2" s="97"/>
      <c r="PMA2" s="97"/>
      <c r="PMB2" s="97"/>
      <c r="PMC2" s="97"/>
      <c r="PMD2" s="97"/>
      <c r="PME2" s="97"/>
      <c r="PMF2" s="97"/>
      <c r="PMG2" s="97"/>
      <c r="PMH2" s="97"/>
      <c r="PMI2" s="97"/>
      <c r="PMJ2" s="97"/>
      <c r="PMK2" s="97"/>
      <c r="PML2" s="97"/>
      <c r="PMM2" s="97"/>
      <c r="PMN2" s="97"/>
      <c r="PMO2" s="97"/>
      <c r="PMP2" s="97"/>
      <c r="PMQ2" s="97"/>
      <c r="PMR2" s="97"/>
      <c r="PMS2" s="97"/>
      <c r="PMT2" s="97"/>
      <c r="PMU2" s="97"/>
      <c r="PMV2" s="97"/>
      <c r="PMW2" s="97"/>
      <c r="PMX2" s="97"/>
      <c r="PMY2" s="97"/>
      <c r="PMZ2" s="97"/>
      <c r="PNA2" s="97"/>
      <c r="PNB2" s="97"/>
      <c r="PNC2" s="97"/>
      <c r="PND2" s="97"/>
      <c r="PNE2" s="97"/>
      <c r="PNF2" s="97"/>
      <c r="PNG2" s="97"/>
      <c r="PNH2" s="97"/>
      <c r="PNI2" s="97"/>
      <c r="PNJ2" s="97"/>
      <c r="PNK2" s="97"/>
      <c r="PNL2" s="97"/>
      <c r="PNM2" s="97"/>
      <c r="PNN2" s="97"/>
      <c r="PNO2" s="97"/>
      <c r="PNP2" s="97"/>
      <c r="PNQ2" s="97"/>
      <c r="PNR2" s="97"/>
      <c r="PNS2" s="97"/>
      <c r="PNT2" s="97"/>
      <c r="PNU2" s="97"/>
      <c r="PNV2" s="97"/>
      <c r="PNW2" s="97"/>
      <c r="PNX2" s="97"/>
      <c r="PNY2" s="97"/>
      <c r="PNZ2" s="97"/>
      <c r="POA2" s="97"/>
      <c r="POB2" s="97"/>
      <c r="POC2" s="97"/>
      <c r="POD2" s="97"/>
      <c r="POE2" s="97"/>
      <c r="POF2" s="97"/>
      <c r="POG2" s="97"/>
      <c r="POH2" s="97"/>
      <c r="POI2" s="97"/>
      <c r="POJ2" s="97"/>
      <c r="POK2" s="97"/>
      <c r="POL2" s="97"/>
      <c r="POM2" s="97"/>
      <c r="PON2" s="97"/>
      <c r="POO2" s="97"/>
      <c r="POP2" s="97"/>
      <c r="POQ2" s="97"/>
      <c r="POR2" s="97"/>
      <c r="POS2" s="97"/>
      <c r="POT2" s="97"/>
      <c r="POU2" s="97"/>
      <c r="POV2" s="97"/>
      <c r="POW2" s="97"/>
      <c r="POX2" s="97"/>
      <c r="POY2" s="97"/>
      <c r="POZ2" s="97"/>
      <c r="PPA2" s="97"/>
      <c r="PPB2" s="97"/>
      <c r="PPC2" s="97"/>
      <c r="PPD2" s="97"/>
      <c r="PPE2" s="97"/>
      <c r="PPF2" s="97"/>
      <c r="PPG2" s="97"/>
      <c r="PPH2" s="97"/>
      <c r="PPI2" s="97"/>
      <c r="PPJ2" s="97"/>
      <c r="PPK2" s="97"/>
      <c r="PPL2" s="97"/>
      <c r="PPM2" s="97"/>
      <c r="PPN2" s="97"/>
      <c r="PPO2" s="97"/>
      <c r="PPP2" s="97"/>
      <c r="PPQ2" s="97"/>
      <c r="PPR2" s="97"/>
      <c r="PPS2" s="97"/>
      <c r="PPT2" s="97"/>
      <c r="PPU2" s="97"/>
      <c r="PPV2" s="97"/>
      <c r="PPW2" s="97"/>
      <c r="PPX2" s="97"/>
      <c r="PPY2" s="97"/>
      <c r="PPZ2" s="97"/>
      <c r="PQA2" s="97"/>
      <c r="PQB2" s="97"/>
      <c r="PQC2" s="97"/>
      <c r="PQD2" s="97"/>
      <c r="PQE2" s="97"/>
      <c r="PQF2" s="97"/>
      <c r="PQG2" s="97"/>
      <c r="PQH2" s="97"/>
      <c r="PQI2" s="97"/>
      <c r="PQJ2" s="97"/>
      <c r="PQK2" s="97"/>
      <c r="PQL2" s="97"/>
      <c r="PQM2" s="97"/>
      <c r="PQN2" s="97"/>
      <c r="PQO2" s="97"/>
      <c r="PQP2" s="97"/>
      <c r="PQQ2" s="97"/>
      <c r="PQR2" s="97"/>
      <c r="PQS2" s="97"/>
      <c r="PQT2" s="97"/>
      <c r="PQU2" s="97"/>
      <c r="PQV2" s="97"/>
      <c r="PQW2" s="97"/>
      <c r="PQX2" s="97"/>
      <c r="PQY2" s="97"/>
      <c r="PQZ2" s="97"/>
      <c r="PRA2" s="97"/>
      <c r="PRB2" s="97"/>
      <c r="PRC2" s="97"/>
      <c r="PRD2" s="97"/>
      <c r="PRE2" s="97"/>
      <c r="PRF2" s="97"/>
      <c r="PRG2" s="97"/>
      <c r="PRH2" s="97"/>
      <c r="PRI2" s="97"/>
      <c r="PRJ2" s="97"/>
      <c r="PRK2" s="97"/>
      <c r="PRL2" s="97"/>
      <c r="PRM2" s="97"/>
      <c r="PRN2" s="97"/>
      <c r="PRO2" s="97"/>
      <c r="PRP2" s="97"/>
      <c r="PRQ2" s="97"/>
      <c r="PRR2" s="97"/>
      <c r="PRS2" s="97"/>
      <c r="PRT2" s="97"/>
      <c r="PRU2" s="97"/>
      <c r="PRV2" s="97"/>
      <c r="PRW2" s="97"/>
      <c r="PRX2" s="97"/>
      <c r="PRY2" s="97"/>
      <c r="PRZ2" s="97"/>
      <c r="PSA2" s="97"/>
      <c r="PSB2" s="97"/>
      <c r="PSC2" s="97"/>
      <c r="PSD2" s="97"/>
      <c r="PSE2" s="97"/>
      <c r="PSF2" s="97"/>
      <c r="PSG2" s="97"/>
      <c r="PSH2" s="97"/>
      <c r="PSI2" s="97"/>
      <c r="PSJ2" s="97"/>
      <c r="PSK2" s="97"/>
      <c r="PSL2" s="97"/>
      <c r="PSM2" s="97"/>
      <c r="PSN2" s="97"/>
      <c r="PSO2" s="97"/>
      <c r="PSP2" s="97"/>
      <c r="PSQ2" s="97"/>
      <c r="PSR2" s="97"/>
      <c r="PSS2" s="97"/>
      <c r="PST2" s="97"/>
      <c r="PSU2" s="97"/>
      <c r="PSV2" s="97"/>
      <c r="PSW2" s="97"/>
      <c r="PSX2" s="97"/>
      <c r="PSY2" s="97"/>
      <c r="PSZ2" s="97"/>
      <c r="PTA2" s="97"/>
      <c r="PTB2" s="97"/>
      <c r="PTC2" s="97"/>
      <c r="PTD2" s="97"/>
      <c r="PTE2" s="97"/>
      <c r="PTF2" s="97"/>
      <c r="PTG2" s="97"/>
      <c r="PTH2" s="97"/>
      <c r="PTI2" s="97"/>
      <c r="PTJ2" s="97"/>
      <c r="PTK2" s="97"/>
      <c r="PTL2" s="97"/>
      <c r="PTM2" s="97"/>
      <c r="PTN2" s="97"/>
      <c r="PTO2" s="97"/>
      <c r="PTP2" s="97"/>
      <c r="PTQ2" s="97"/>
      <c r="PTR2" s="97"/>
      <c r="PTS2" s="97"/>
      <c r="PTT2" s="97"/>
      <c r="PTU2" s="97"/>
      <c r="PTV2" s="97"/>
      <c r="PTW2" s="97"/>
      <c r="PTX2" s="97"/>
      <c r="PTY2" s="97"/>
      <c r="PTZ2" s="97"/>
      <c r="PUA2" s="97"/>
      <c r="PUB2" s="97"/>
      <c r="PUC2" s="97"/>
      <c r="PUD2" s="97"/>
      <c r="PUE2" s="97"/>
      <c r="PUF2" s="97"/>
      <c r="PUG2" s="97"/>
      <c r="PUH2" s="97"/>
      <c r="PUI2" s="97"/>
      <c r="PUJ2" s="97"/>
      <c r="PUK2" s="97"/>
      <c r="PUL2" s="97"/>
      <c r="PUM2" s="97"/>
      <c r="PUN2" s="97"/>
      <c r="PUO2" s="97"/>
      <c r="PUP2" s="97"/>
      <c r="PUQ2" s="97"/>
      <c r="PUR2" s="97"/>
      <c r="PUS2" s="97"/>
      <c r="PUT2" s="97"/>
      <c r="PUU2" s="97"/>
      <c r="PUV2" s="97"/>
      <c r="PUW2" s="97"/>
      <c r="PUX2" s="97"/>
      <c r="PUY2" s="97"/>
      <c r="PUZ2" s="97"/>
      <c r="PVA2" s="97"/>
      <c r="PVB2" s="97"/>
      <c r="PVC2" s="97"/>
      <c r="PVD2" s="97"/>
      <c r="PVE2" s="97"/>
      <c r="PVF2" s="97"/>
      <c r="PVG2" s="97"/>
      <c r="PVH2" s="97"/>
      <c r="PVI2" s="97"/>
      <c r="PVJ2" s="97"/>
      <c r="PVK2" s="97"/>
      <c r="PVL2" s="97"/>
      <c r="PVM2" s="97"/>
      <c r="PVN2" s="97"/>
      <c r="PVO2" s="97"/>
      <c r="PVP2" s="97"/>
      <c r="PVQ2" s="97"/>
      <c r="PVR2" s="97"/>
      <c r="PVS2" s="97"/>
      <c r="PVT2" s="97"/>
      <c r="PVU2" s="97"/>
      <c r="PVV2" s="97"/>
      <c r="PVW2" s="97"/>
      <c r="PVX2" s="97"/>
      <c r="PVY2" s="97"/>
      <c r="PVZ2" s="97"/>
      <c r="PWA2" s="97"/>
      <c r="PWB2" s="97"/>
      <c r="PWC2" s="97"/>
      <c r="PWD2" s="97"/>
      <c r="PWE2" s="97"/>
      <c r="PWF2" s="97"/>
      <c r="PWG2" s="97"/>
      <c r="PWH2" s="97"/>
      <c r="PWI2" s="97"/>
      <c r="PWJ2" s="97"/>
      <c r="PWK2" s="97"/>
      <c r="PWL2" s="97"/>
      <c r="PWM2" s="97"/>
      <c r="PWN2" s="97"/>
      <c r="PWO2" s="97"/>
      <c r="PWP2" s="97"/>
      <c r="PWQ2" s="97"/>
      <c r="PWR2" s="97"/>
      <c r="PWS2" s="97"/>
      <c r="PWT2" s="97"/>
      <c r="PWU2" s="97"/>
      <c r="PWV2" s="97"/>
      <c r="PWW2" s="97"/>
      <c r="PWX2" s="97"/>
      <c r="PWY2" s="97"/>
      <c r="PWZ2" s="97"/>
      <c r="PXA2" s="97"/>
      <c r="PXB2" s="97"/>
      <c r="PXC2" s="97"/>
      <c r="PXD2" s="97"/>
      <c r="PXE2" s="97"/>
      <c r="PXF2" s="97"/>
      <c r="PXG2" s="97"/>
      <c r="PXH2" s="97"/>
      <c r="PXI2" s="97"/>
      <c r="PXJ2" s="97"/>
      <c r="PXK2" s="97"/>
      <c r="PXL2" s="97"/>
      <c r="PXM2" s="97"/>
      <c r="PXN2" s="97"/>
      <c r="PXO2" s="97"/>
      <c r="PXP2" s="97"/>
      <c r="PXQ2" s="97"/>
      <c r="PXR2" s="97"/>
      <c r="PXS2" s="97"/>
      <c r="PXT2" s="97"/>
      <c r="PXU2" s="97"/>
      <c r="PXV2" s="97"/>
      <c r="PXW2" s="97"/>
      <c r="PXX2" s="97"/>
      <c r="PXY2" s="97"/>
      <c r="PXZ2" s="97"/>
      <c r="PYA2" s="97"/>
      <c r="PYB2" s="97"/>
      <c r="PYC2" s="97"/>
      <c r="PYD2" s="97"/>
      <c r="PYE2" s="97"/>
      <c r="PYF2" s="97"/>
      <c r="PYG2" s="97"/>
      <c r="PYH2" s="97"/>
      <c r="PYI2" s="97"/>
      <c r="PYJ2" s="97"/>
      <c r="PYK2" s="97"/>
      <c r="PYL2" s="97"/>
      <c r="PYM2" s="97"/>
      <c r="PYN2" s="97"/>
      <c r="PYO2" s="97"/>
      <c r="PYP2" s="97"/>
      <c r="PYQ2" s="97"/>
      <c r="PYR2" s="97"/>
      <c r="PYS2" s="97"/>
      <c r="PYT2" s="97"/>
      <c r="PYU2" s="97"/>
      <c r="PYV2" s="97"/>
      <c r="PYW2" s="97"/>
      <c r="PYX2" s="97"/>
      <c r="PYY2" s="97"/>
      <c r="PYZ2" s="97"/>
      <c r="PZA2" s="97"/>
      <c r="PZB2" s="97"/>
      <c r="PZC2" s="97"/>
      <c r="PZD2" s="97"/>
      <c r="PZE2" s="97"/>
      <c r="PZF2" s="97"/>
      <c r="PZG2" s="97"/>
      <c r="PZH2" s="97"/>
      <c r="PZI2" s="97"/>
      <c r="PZJ2" s="97"/>
      <c r="PZK2" s="97"/>
      <c r="PZL2" s="97"/>
      <c r="PZM2" s="97"/>
      <c r="PZN2" s="97"/>
      <c r="PZO2" s="97"/>
      <c r="PZP2" s="97"/>
      <c r="PZQ2" s="97"/>
      <c r="PZR2" s="97"/>
      <c r="PZS2" s="97"/>
      <c r="PZT2" s="97"/>
      <c r="PZU2" s="97"/>
      <c r="PZV2" s="97"/>
      <c r="PZW2" s="97"/>
      <c r="PZX2" s="97"/>
      <c r="PZY2" s="97"/>
      <c r="PZZ2" s="97"/>
      <c r="QAA2" s="97"/>
      <c r="QAB2" s="97"/>
      <c r="QAC2" s="97"/>
      <c r="QAD2" s="97"/>
      <c r="QAE2" s="97"/>
      <c r="QAF2" s="97"/>
      <c r="QAG2" s="97"/>
      <c r="QAH2" s="97"/>
      <c r="QAI2" s="97"/>
      <c r="QAJ2" s="97"/>
      <c r="QAK2" s="97"/>
      <c r="QAL2" s="97"/>
      <c r="QAM2" s="97"/>
      <c r="QAN2" s="97"/>
      <c r="QAO2" s="97"/>
      <c r="QAP2" s="97"/>
      <c r="QAQ2" s="97"/>
      <c r="QAR2" s="97"/>
      <c r="QAS2" s="97"/>
      <c r="QAT2" s="97"/>
      <c r="QAU2" s="97"/>
      <c r="QAV2" s="97"/>
      <c r="QAW2" s="97"/>
      <c r="QAX2" s="97"/>
      <c r="QAY2" s="97"/>
      <c r="QAZ2" s="97"/>
      <c r="QBA2" s="97"/>
      <c r="QBB2" s="97"/>
      <c r="QBC2" s="97"/>
      <c r="QBD2" s="97"/>
      <c r="QBE2" s="97"/>
      <c r="QBF2" s="97"/>
      <c r="QBG2" s="97"/>
      <c r="QBH2" s="97"/>
      <c r="QBI2" s="97"/>
      <c r="QBJ2" s="97"/>
      <c r="QBK2" s="97"/>
      <c r="QBL2" s="97"/>
      <c r="QBM2" s="97"/>
      <c r="QBN2" s="97"/>
      <c r="QBO2" s="97"/>
      <c r="QBP2" s="97"/>
      <c r="QBQ2" s="97"/>
      <c r="QBR2" s="97"/>
      <c r="QBS2" s="97"/>
      <c r="QBT2" s="97"/>
      <c r="QBU2" s="97"/>
      <c r="QBV2" s="97"/>
      <c r="QBW2" s="97"/>
      <c r="QBX2" s="97"/>
      <c r="QBY2" s="97"/>
      <c r="QBZ2" s="97"/>
      <c r="QCA2" s="97"/>
      <c r="QCB2" s="97"/>
      <c r="QCC2" s="97"/>
      <c r="QCD2" s="97"/>
      <c r="QCE2" s="97"/>
      <c r="QCF2" s="97"/>
      <c r="QCG2" s="97"/>
      <c r="QCH2" s="97"/>
      <c r="QCI2" s="97"/>
      <c r="QCJ2" s="97"/>
      <c r="QCK2" s="97"/>
      <c r="QCL2" s="97"/>
      <c r="QCM2" s="97"/>
      <c r="QCN2" s="97"/>
      <c r="QCO2" s="97"/>
      <c r="QCP2" s="97"/>
      <c r="QCQ2" s="97"/>
      <c r="QCR2" s="97"/>
      <c r="QCS2" s="97"/>
      <c r="QCT2" s="97"/>
      <c r="QCU2" s="97"/>
      <c r="QCV2" s="97"/>
      <c r="QCW2" s="97"/>
      <c r="QCX2" s="97"/>
      <c r="QCY2" s="97"/>
      <c r="QCZ2" s="97"/>
      <c r="QDA2" s="97"/>
      <c r="QDB2" s="97"/>
      <c r="QDC2" s="97"/>
      <c r="QDD2" s="97"/>
      <c r="QDE2" s="97"/>
      <c r="QDF2" s="97"/>
      <c r="QDG2" s="97"/>
      <c r="QDH2" s="97"/>
      <c r="QDI2" s="97"/>
      <c r="QDJ2" s="97"/>
      <c r="QDK2" s="97"/>
      <c r="QDL2" s="97"/>
      <c r="QDM2" s="97"/>
      <c r="QDN2" s="97"/>
      <c r="QDO2" s="97"/>
      <c r="QDP2" s="97"/>
      <c r="QDQ2" s="97"/>
      <c r="QDR2" s="97"/>
      <c r="QDS2" s="97"/>
      <c r="QDT2" s="97"/>
      <c r="QDU2" s="97"/>
      <c r="QDV2" s="97"/>
      <c r="QDW2" s="97"/>
      <c r="QDX2" s="97"/>
      <c r="QDY2" s="97"/>
      <c r="QDZ2" s="97"/>
      <c r="QEA2" s="97"/>
      <c r="QEB2" s="97"/>
      <c r="QEC2" s="97"/>
      <c r="QED2" s="97"/>
      <c r="QEE2" s="97"/>
      <c r="QEF2" s="97"/>
      <c r="QEG2" s="97"/>
      <c r="QEH2" s="97"/>
      <c r="QEI2" s="97"/>
      <c r="QEJ2" s="97"/>
      <c r="QEK2" s="97"/>
      <c r="QEL2" s="97"/>
      <c r="QEM2" s="97"/>
      <c r="QEN2" s="97"/>
      <c r="QEO2" s="97"/>
      <c r="QEP2" s="97"/>
      <c r="QEQ2" s="97"/>
      <c r="QER2" s="97"/>
      <c r="QES2" s="97"/>
      <c r="QET2" s="97"/>
      <c r="QEU2" s="97"/>
      <c r="QEV2" s="97"/>
      <c r="QEW2" s="97"/>
      <c r="QEX2" s="97"/>
      <c r="QEY2" s="97"/>
      <c r="QEZ2" s="97"/>
      <c r="QFA2" s="97"/>
      <c r="QFB2" s="97"/>
      <c r="QFC2" s="97"/>
      <c r="QFD2" s="97"/>
      <c r="QFE2" s="97"/>
      <c r="QFF2" s="97"/>
      <c r="QFG2" s="97"/>
      <c r="QFH2" s="97"/>
      <c r="QFI2" s="97"/>
      <c r="QFJ2" s="97"/>
      <c r="QFK2" s="97"/>
      <c r="QFL2" s="97"/>
      <c r="QFM2" s="97"/>
      <c r="QFN2" s="97"/>
      <c r="QFO2" s="97"/>
      <c r="QFP2" s="97"/>
      <c r="QFQ2" s="97"/>
      <c r="QFR2" s="97"/>
      <c r="QFS2" s="97"/>
      <c r="QFT2" s="97"/>
      <c r="QFU2" s="97"/>
      <c r="QFV2" s="97"/>
      <c r="QFW2" s="97"/>
      <c r="QFX2" s="97"/>
      <c r="QFY2" s="97"/>
      <c r="QFZ2" s="97"/>
      <c r="QGA2" s="97"/>
      <c r="QGB2" s="97"/>
      <c r="QGC2" s="97"/>
      <c r="QGD2" s="97"/>
      <c r="QGE2" s="97"/>
      <c r="QGF2" s="97"/>
      <c r="QGG2" s="97"/>
      <c r="QGH2" s="97"/>
      <c r="QGI2" s="97"/>
      <c r="QGJ2" s="97"/>
      <c r="QGK2" s="97"/>
      <c r="QGL2" s="97"/>
      <c r="QGM2" s="97"/>
      <c r="QGN2" s="97"/>
      <c r="QGO2" s="97"/>
      <c r="QGP2" s="97"/>
      <c r="QGQ2" s="97"/>
      <c r="QGR2" s="97"/>
      <c r="QGS2" s="97"/>
      <c r="QGT2" s="97"/>
      <c r="QGU2" s="97"/>
      <c r="QGV2" s="97"/>
      <c r="QGW2" s="97"/>
      <c r="QGX2" s="97"/>
      <c r="QGY2" s="97"/>
      <c r="QGZ2" s="97"/>
      <c r="QHA2" s="97"/>
      <c r="QHB2" s="97"/>
      <c r="QHC2" s="97"/>
      <c r="QHD2" s="97"/>
      <c r="QHE2" s="97"/>
      <c r="QHF2" s="97"/>
      <c r="QHG2" s="97"/>
      <c r="QHH2" s="97"/>
      <c r="QHI2" s="97"/>
      <c r="QHJ2" s="97"/>
      <c r="QHK2" s="97"/>
      <c r="QHL2" s="97"/>
      <c r="QHM2" s="97"/>
      <c r="QHN2" s="97"/>
      <c r="QHO2" s="97"/>
      <c r="QHP2" s="97"/>
      <c r="QHQ2" s="97"/>
      <c r="QHR2" s="97"/>
      <c r="QHS2" s="97"/>
      <c r="QHT2" s="97"/>
      <c r="QHU2" s="97"/>
      <c r="QHV2" s="97"/>
      <c r="QHW2" s="97"/>
      <c r="QHX2" s="97"/>
      <c r="QHY2" s="97"/>
      <c r="QHZ2" s="97"/>
      <c r="QIA2" s="97"/>
      <c r="QIB2" s="97"/>
      <c r="QIC2" s="97"/>
      <c r="QID2" s="97"/>
      <c r="QIE2" s="97"/>
      <c r="QIF2" s="97"/>
      <c r="QIG2" s="97"/>
      <c r="QIH2" s="97"/>
      <c r="QII2" s="97"/>
      <c r="QIJ2" s="97"/>
      <c r="QIK2" s="97"/>
      <c r="QIL2" s="97"/>
      <c r="QIM2" s="97"/>
      <c r="QIN2" s="97"/>
      <c r="QIO2" s="97"/>
      <c r="QIP2" s="97"/>
      <c r="QIQ2" s="97"/>
      <c r="QIR2" s="97"/>
      <c r="QIS2" s="97"/>
      <c r="QIT2" s="97"/>
      <c r="QIU2" s="97"/>
      <c r="QIV2" s="97"/>
      <c r="QIW2" s="97"/>
      <c r="QIX2" s="97"/>
      <c r="QIY2" s="97"/>
      <c r="QIZ2" s="97"/>
      <c r="QJA2" s="97"/>
      <c r="QJB2" s="97"/>
      <c r="QJC2" s="97"/>
      <c r="QJD2" s="97"/>
      <c r="QJE2" s="97"/>
      <c r="QJF2" s="97"/>
      <c r="QJG2" s="97"/>
      <c r="QJH2" s="97"/>
      <c r="QJI2" s="97"/>
      <c r="QJJ2" s="97"/>
      <c r="QJK2" s="97"/>
      <c r="QJL2" s="97"/>
      <c r="QJM2" s="97"/>
      <c r="QJN2" s="97"/>
      <c r="QJO2" s="97"/>
      <c r="QJP2" s="97"/>
      <c r="QJQ2" s="97"/>
      <c r="QJR2" s="97"/>
      <c r="QJS2" s="97"/>
      <c r="QJT2" s="97"/>
      <c r="QJU2" s="97"/>
      <c r="QJV2" s="97"/>
      <c r="QJW2" s="97"/>
      <c r="QJX2" s="97"/>
      <c r="QJY2" s="97"/>
      <c r="QJZ2" s="97"/>
      <c r="QKA2" s="97"/>
      <c r="QKB2" s="97"/>
      <c r="QKC2" s="97"/>
      <c r="QKD2" s="97"/>
      <c r="QKE2" s="97"/>
      <c r="QKF2" s="97"/>
      <c r="QKG2" s="97"/>
      <c r="QKH2" s="97"/>
      <c r="QKI2" s="97"/>
      <c r="QKJ2" s="97"/>
      <c r="QKK2" s="97"/>
      <c r="QKL2" s="97"/>
      <c r="QKM2" s="97"/>
      <c r="QKN2" s="97"/>
      <c r="QKO2" s="97"/>
      <c r="QKP2" s="97"/>
      <c r="QKQ2" s="97"/>
      <c r="QKR2" s="97"/>
      <c r="QKS2" s="97"/>
      <c r="QKT2" s="97"/>
      <c r="QKU2" s="97"/>
      <c r="QKV2" s="97"/>
      <c r="QKW2" s="97"/>
      <c r="QKX2" s="97"/>
      <c r="QKY2" s="97"/>
      <c r="QKZ2" s="97"/>
      <c r="QLA2" s="97"/>
      <c r="QLB2" s="97"/>
      <c r="QLC2" s="97"/>
      <c r="QLD2" s="97"/>
      <c r="QLE2" s="97"/>
      <c r="QLF2" s="97"/>
      <c r="QLG2" s="97"/>
      <c r="QLH2" s="97"/>
      <c r="QLI2" s="97"/>
      <c r="QLJ2" s="97"/>
      <c r="QLK2" s="97"/>
      <c r="QLL2" s="97"/>
      <c r="QLM2" s="97"/>
      <c r="QLN2" s="97"/>
      <c r="QLO2" s="97"/>
      <c r="QLP2" s="97"/>
      <c r="QLQ2" s="97"/>
      <c r="QLR2" s="97"/>
      <c r="QLS2" s="97"/>
      <c r="QLT2" s="97"/>
      <c r="QLU2" s="97"/>
      <c r="QLV2" s="97"/>
      <c r="QLW2" s="97"/>
      <c r="QLX2" s="97"/>
      <c r="QLY2" s="97"/>
      <c r="QLZ2" s="97"/>
      <c r="QMA2" s="97"/>
      <c r="QMB2" s="97"/>
      <c r="QMC2" s="97"/>
      <c r="QMD2" s="97"/>
      <c r="QME2" s="97"/>
      <c r="QMF2" s="97"/>
      <c r="QMG2" s="97"/>
      <c r="QMH2" s="97"/>
      <c r="QMI2" s="97"/>
      <c r="QMJ2" s="97"/>
      <c r="QMK2" s="97"/>
      <c r="QML2" s="97"/>
      <c r="QMM2" s="97"/>
      <c r="QMN2" s="97"/>
      <c r="QMO2" s="97"/>
      <c r="QMP2" s="97"/>
      <c r="QMQ2" s="97"/>
      <c r="QMR2" s="97"/>
      <c r="QMS2" s="97"/>
      <c r="QMT2" s="97"/>
      <c r="QMU2" s="97"/>
      <c r="QMV2" s="97"/>
      <c r="QMW2" s="97"/>
      <c r="QMX2" s="97"/>
      <c r="QMY2" s="97"/>
      <c r="QMZ2" s="97"/>
      <c r="QNA2" s="97"/>
      <c r="QNB2" s="97"/>
      <c r="QNC2" s="97"/>
      <c r="QND2" s="97"/>
      <c r="QNE2" s="97"/>
      <c r="QNF2" s="97"/>
      <c r="QNG2" s="97"/>
      <c r="QNH2" s="97"/>
      <c r="QNI2" s="97"/>
      <c r="QNJ2" s="97"/>
      <c r="QNK2" s="97"/>
      <c r="QNL2" s="97"/>
      <c r="QNM2" s="97"/>
      <c r="QNN2" s="97"/>
      <c r="QNO2" s="97"/>
      <c r="QNP2" s="97"/>
      <c r="QNQ2" s="97"/>
      <c r="QNR2" s="97"/>
      <c r="QNS2" s="97"/>
      <c r="QNT2" s="97"/>
      <c r="QNU2" s="97"/>
      <c r="QNV2" s="97"/>
      <c r="QNW2" s="97"/>
      <c r="QNX2" s="97"/>
      <c r="QNY2" s="97"/>
      <c r="QNZ2" s="97"/>
      <c r="QOA2" s="97"/>
      <c r="QOB2" s="97"/>
      <c r="QOC2" s="97"/>
      <c r="QOD2" s="97"/>
      <c r="QOE2" s="97"/>
      <c r="QOF2" s="97"/>
      <c r="QOG2" s="97"/>
      <c r="QOH2" s="97"/>
      <c r="QOI2" s="97"/>
      <c r="QOJ2" s="97"/>
      <c r="QOK2" s="97"/>
      <c r="QOL2" s="97"/>
      <c r="QOM2" s="97"/>
      <c r="QON2" s="97"/>
      <c r="QOO2" s="97"/>
      <c r="QOP2" s="97"/>
      <c r="QOQ2" s="97"/>
      <c r="QOR2" s="97"/>
      <c r="QOS2" s="97"/>
      <c r="QOT2" s="97"/>
      <c r="QOU2" s="97"/>
      <c r="QOV2" s="97"/>
      <c r="QOW2" s="97"/>
      <c r="QOX2" s="97"/>
      <c r="QOY2" s="97"/>
      <c r="QOZ2" s="97"/>
      <c r="QPA2" s="97"/>
      <c r="QPB2" s="97"/>
      <c r="QPC2" s="97"/>
      <c r="QPD2" s="97"/>
      <c r="QPE2" s="97"/>
      <c r="QPF2" s="97"/>
      <c r="QPG2" s="97"/>
      <c r="QPH2" s="97"/>
      <c r="QPI2" s="97"/>
      <c r="QPJ2" s="97"/>
      <c r="QPK2" s="97"/>
      <c r="QPL2" s="97"/>
      <c r="QPM2" s="97"/>
      <c r="QPN2" s="97"/>
      <c r="QPO2" s="97"/>
      <c r="QPP2" s="97"/>
      <c r="QPQ2" s="97"/>
      <c r="QPR2" s="97"/>
      <c r="QPS2" s="97"/>
      <c r="QPT2" s="97"/>
      <c r="QPU2" s="97"/>
      <c r="QPV2" s="97"/>
      <c r="QPW2" s="97"/>
      <c r="QPX2" s="97"/>
      <c r="QPY2" s="97"/>
      <c r="QPZ2" s="97"/>
      <c r="QQA2" s="97"/>
      <c r="QQB2" s="97"/>
      <c r="QQC2" s="97"/>
      <c r="QQD2" s="97"/>
      <c r="QQE2" s="97"/>
      <c r="QQF2" s="97"/>
      <c r="QQG2" s="97"/>
      <c r="QQH2" s="97"/>
      <c r="QQI2" s="97"/>
      <c r="QQJ2" s="97"/>
      <c r="QQK2" s="97"/>
      <c r="QQL2" s="97"/>
      <c r="QQM2" s="97"/>
      <c r="QQN2" s="97"/>
      <c r="QQO2" s="97"/>
      <c r="QQP2" s="97"/>
      <c r="QQQ2" s="97"/>
      <c r="QQR2" s="97"/>
      <c r="QQS2" s="97"/>
      <c r="QQT2" s="97"/>
      <c r="QQU2" s="97"/>
      <c r="QQV2" s="97"/>
      <c r="QQW2" s="97"/>
      <c r="QQX2" s="97"/>
      <c r="QQY2" s="97"/>
      <c r="QQZ2" s="97"/>
      <c r="QRA2" s="97"/>
      <c r="QRB2" s="97"/>
      <c r="QRC2" s="97"/>
      <c r="QRD2" s="97"/>
      <c r="QRE2" s="97"/>
      <c r="QRF2" s="97"/>
      <c r="QRG2" s="97"/>
      <c r="QRH2" s="97"/>
      <c r="QRI2" s="97"/>
      <c r="QRJ2" s="97"/>
      <c r="QRK2" s="97"/>
      <c r="QRL2" s="97"/>
      <c r="QRM2" s="97"/>
      <c r="QRN2" s="97"/>
      <c r="QRO2" s="97"/>
      <c r="QRP2" s="97"/>
      <c r="QRQ2" s="97"/>
      <c r="QRR2" s="97"/>
      <c r="QRS2" s="97"/>
      <c r="QRT2" s="97"/>
      <c r="QRU2" s="97"/>
      <c r="QRV2" s="97"/>
      <c r="QRW2" s="97"/>
      <c r="QRX2" s="97"/>
      <c r="QRY2" s="97"/>
      <c r="QRZ2" s="97"/>
      <c r="QSA2" s="97"/>
      <c r="QSB2" s="97"/>
      <c r="QSC2" s="97"/>
      <c r="QSD2" s="97"/>
      <c r="QSE2" s="97"/>
      <c r="QSF2" s="97"/>
      <c r="QSG2" s="97"/>
      <c r="QSH2" s="97"/>
      <c r="QSI2" s="97"/>
      <c r="QSJ2" s="97"/>
      <c r="QSK2" s="97"/>
      <c r="QSL2" s="97"/>
      <c r="QSM2" s="97"/>
      <c r="QSN2" s="97"/>
      <c r="QSO2" s="97"/>
      <c r="QSP2" s="97"/>
      <c r="QSQ2" s="97"/>
      <c r="QSR2" s="97"/>
      <c r="QSS2" s="97"/>
      <c r="QST2" s="97"/>
      <c r="QSU2" s="97"/>
      <c r="QSV2" s="97"/>
      <c r="QSW2" s="97"/>
      <c r="QSX2" s="97"/>
      <c r="QSY2" s="97"/>
      <c r="QSZ2" s="97"/>
      <c r="QTA2" s="97"/>
      <c r="QTB2" s="97"/>
      <c r="QTC2" s="97"/>
      <c r="QTD2" s="97"/>
      <c r="QTE2" s="97"/>
      <c r="QTF2" s="97"/>
      <c r="QTG2" s="97"/>
      <c r="QTH2" s="97"/>
      <c r="QTI2" s="97"/>
      <c r="QTJ2" s="97"/>
      <c r="QTK2" s="97"/>
      <c r="QTL2" s="97"/>
      <c r="QTM2" s="97"/>
      <c r="QTN2" s="97"/>
      <c r="QTO2" s="97"/>
      <c r="QTP2" s="97"/>
      <c r="QTQ2" s="97"/>
      <c r="QTR2" s="97"/>
      <c r="QTS2" s="97"/>
      <c r="QTT2" s="97"/>
      <c r="QTU2" s="97"/>
      <c r="QTV2" s="97"/>
      <c r="QTW2" s="97"/>
      <c r="QTX2" s="97"/>
      <c r="QTY2" s="97"/>
      <c r="QTZ2" s="97"/>
      <c r="QUA2" s="97"/>
      <c r="QUB2" s="97"/>
      <c r="QUC2" s="97"/>
      <c r="QUD2" s="97"/>
      <c r="QUE2" s="97"/>
      <c r="QUF2" s="97"/>
      <c r="QUG2" s="97"/>
      <c r="QUH2" s="97"/>
      <c r="QUI2" s="97"/>
      <c r="QUJ2" s="97"/>
      <c r="QUK2" s="97"/>
      <c r="QUL2" s="97"/>
      <c r="QUM2" s="97"/>
      <c r="QUN2" s="97"/>
      <c r="QUO2" s="97"/>
      <c r="QUP2" s="97"/>
      <c r="QUQ2" s="97"/>
      <c r="QUR2" s="97"/>
      <c r="QUS2" s="97"/>
      <c r="QUT2" s="97"/>
      <c r="QUU2" s="97"/>
      <c r="QUV2" s="97"/>
      <c r="QUW2" s="97"/>
      <c r="QUX2" s="97"/>
      <c r="QUY2" s="97"/>
      <c r="QUZ2" s="97"/>
      <c r="QVA2" s="97"/>
      <c r="QVB2" s="97"/>
      <c r="QVC2" s="97"/>
      <c r="QVD2" s="97"/>
      <c r="QVE2" s="97"/>
      <c r="QVF2" s="97"/>
      <c r="QVG2" s="97"/>
      <c r="QVH2" s="97"/>
      <c r="QVI2" s="97"/>
      <c r="QVJ2" s="97"/>
      <c r="QVK2" s="97"/>
      <c r="QVL2" s="97"/>
      <c r="QVM2" s="97"/>
      <c r="QVN2" s="97"/>
      <c r="QVO2" s="97"/>
      <c r="QVP2" s="97"/>
      <c r="QVQ2" s="97"/>
      <c r="QVR2" s="97"/>
      <c r="QVS2" s="97"/>
      <c r="QVT2" s="97"/>
      <c r="QVU2" s="97"/>
      <c r="QVV2" s="97"/>
      <c r="QVW2" s="97"/>
      <c r="QVX2" s="97"/>
      <c r="QVY2" s="97"/>
      <c r="QVZ2" s="97"/>
      <c r="QWA2" s="97"/>
      <c r="QWB2" s="97"/>
      <c r="QWC2" s="97"/>
      <c r="QWD2" s="97"/>
      <c r="QWE2" s="97"/>
      <c r="QWF2" s="97"/>
      <c r="QWG2" s="97"/>
      <c r="QWH2" s="97"/>
      <c r="QWI2" s="97"/>
      <c r="QWJ2" s="97"/>
      <c r="QWK2" s="97"/>
      <c r="QWL2" s="97"/>
      <c r="QWM2" s="97"/>
      <c r="QWN2" s="97"/>
      <c r="QWO2" s="97"/>
      <c r="QWP2" s="97"/>
      <c r="QWQ2" s="97"/>
      <c r="QWR2" s="97"/>
      <c r="QWS2" s="97"/>
      <c r="QWT2" s="97"/>
      <c r="QWU2" s="97"/>
      <c r="QWV2" s="97"/>
      <c r="QWW2" s="97"/>
      <c r="QWX2" s="97"/>
      <c r="QWY2" s="97"/>
      <c r="QWZ2" s="97"/>
      <c r="QXA2" s="97"/>
      <c r="QXB2" s="97"/>
      <c r="QXC2" s="97"/>
      <c r="QXD2" s="97"/>
      <c r="QXE2" s="97"/>
      <c r="QXF2" s="97"/>
      <c r="QXG2" s="97"/>
      <c r="QXH2" s="97"/>
      <c r="QXI2" s="97"/>
      <c r="QXJ2" s="97"/>
      <c r="QXK2" s="97"/>
      <c r="QXL2" s="97"/>
      <c r="QXM2" s="97"/>
      <c r="QXN2" s="97"/>
      <c r="QXO2" s="97"/>
      <c r="QXP2" s="97"/>
      <c r="QXQ2" s="97"/>
      <c r="QXR2" s="97"/>
      <c r="QXS2" s="97"/>
      <c r="QXT2" s="97"/>
      <c r="QXU2" s="97"/>
      <c r="QXV2" s="97"/>
      <c r="QXW2" s="97"/>
      <c r="QXX2" s="97"/>
      <c r="QXY2" s="97"/>
      <c r="QXZ2" s="97"/>
      <c r="QYA2" s="97"/>
      <c r="QYB2" s="97"/>
      <c r="QYC2" s="97"/>
      <c r="QYD2" s="97"/>
      <c r="QYE2" s="97"/>
      <c r="QYF2" s="97"/>
      <c r="QYG2" s="97"/>
      <c r="QYH2" s="97"/>
      <c r="QYI2" s="97"/>
      <c r="QYJ2" s="97"/>
      <c r="QYK2" s="97"/>
      <c r="QYL2" s="97"/>
      <c r="QYM2" s="97"/>
      <c r="QYN2" s="97"/>
      <c r="QYO2" s="97"/>
      <c r="QYP2" s="97"/>
      <c r="QYQ2" s="97"/>
      <c r="QYR2" s="97"/>
      <c r="QYS2" s="97"/>
      <c r="QYT2" s="97"/>
      <c r="QYU2" s="97"/>
      <c r="QYV2" s="97"/>
      <c r="QYW2" s="97"/>
      <c r="QYX2" s="97"/>
      <c r="QYY2" s="97"/>
      <c r="QYZ2" s="97"/>
      <c r="QZA2" s="97"/>
      <c r="QZB2" s="97"/>
      <c r="QZC2" s="97"/>
      <c r="QZD2" s="97"/>
      <c r="QZE2" s="97"/>
      <c r="QZF2" s="97"/>
      <c r="QZG2" s="97"/>
      <c r="QZH2" s="97"/>
      <c r="QZI2" s="97"/>
      <c r="QZJ2" s="97"/>
      <c r="QZK2" s="97"/>
      <c r="QZL2" s="97"/>
      <c r="QZM2" s="97"/>
      <c r="QZN2" s="97"/>
      <c r="QZO2" s="97"/>
      <c r="QZP2" s="97"/>
      <c r="QZQ2" s="97"/>
      <c r="QZR2" s="97"/>
      <c r="QZS2" s="97"/>
      <c r="QZT2" s="97"/>
      <c r="QZU2" s="97"/>
      <c r="QZV2" s="97"/>
      <c r="QZW2" s="97"/>
      <c r="QZX2" s="97"/>
      <c r="QZY2" s="97"/>
      <c r="QZZ2" s="97"/>
      <c r="RAA2" s="97"/>
      <c r="RAB2" s="97"/>
      <c r="RAC2" s="97"/>
      <c r="RAD2" s="97"/>
      <c r="RAE2" s="97"/>
      <c r="RAF2" s="97"/>
      <c r="RAG2" s="97"/>
      <c r="RAH2" s="97"/>
      <c r="RAI2" s="97"/>
      <c r="RAJ2" s="97"/>
      <c r="RAK2" s="97"/>
      <c r="RAL2" s="97"/>
      <c r="RAM2" s="97"/>
      <c r="RAN2" s="97"/>
      <c r="RAO2" s="97"/>
      <c r="RAP2" s="97"/>
      <c r="RAQ2" s="97"/>
      <c r="RAR2" s="97"/>
      <c r="RAS2" s="97"/>
      <c r="RAT2" s="97"/>
      <c r="RAU2" s="97"/>
      <c r="RAV2" s="97"/>
      <c r="RAW2" s="97"/>
      <c r="RAX2" s="97"/>
      <c r="RAY2" s="97"/>
      <c r="RAZ2" s="97"/>
      <c r="RBA2" s="97"/>
      <c r="RBB2" s="97"/>
      <c r="RBC2" s="97"/>
      <c r="RBD2" s="97"/>
      <c r="RBE2" s="97"/>
      <c r="RBF2" s="97"/>
      <c r="RBG2" s="97"/>
      <c r="RBH2" s="97"/>
      <c r="RBI2" s="97"/>
      <c r="RBJ2" s="97"/>
      <c r="RBK2" s="97"/>
      <c r="RBL2" s="97"/>
      <c r="RBM2" s="97"/>
      <c r="RBN2" s="97"/>
      <c r="RBO2" s="97"/>
      <c r="RBP2" s="97"/>
      <c r="RBQ2" s="97"/>
      <c r="RBR2" s="97"/>
      <c r="RBS2" s="97"/>
      <c r="RBT2" s="97"/>
      <c r="RBU2" s="97"/>
      <c r="RBV2" s="97"/>
      <c r="RBW2" s="97"/>
      <c r="RBX2" s="97"/>
      <c r="RBY2" s="97"/>
      <c r="RBZ2" s="97"/>
      <c r="RCA2" s="97"/>
      <c r="RCB2" s="97"/>
      <c r="RCC2" s="97"/>
      <c r="RCD2" s="97"/>
      <c r="RCE2" s="97"/>
      <c r="RCF2" s="97"/>
      <c r="RCG2" s="97"/>
      <c r="RCH2" s="97"/>
      <c r="RCI2" s="97"/>
      <c r="RCJ2" s="97"/>
      <c r="RCK2" s="97"/>
      <c r="RCL2" s="97"/>
      <c r="RCM2" s="97"/>
      <c r="RCN2" s="97"/>
      <c r="RCO2" s="97"/>
      <c r="RCP2" s="97"/>
      <c r="RCQ2" s="97"/>
      <c r="RCR2" s="97"/>
      <c r="RCS2" s="97"/>
      <c r="RCT2" s="97"/>
      <c r="RCU2" s="97"/>
      <c r="RCV2" s="97"/>
      <c r="RCW2" s="97"/>
      <c r="RCX2" s="97"/>
      <c r="RCY2" s="97"/>
      <c r="RCZ2" s="97"/>
      <c r="RDA2" s="97"/>
      <c r="RDB2" s="97"/>
      <c r="RDC2" s="97"/>
      <c r="RDD2" s="97"/>
      <c r="RDE2" s="97"/>
      <c r="RDF2" s="97"/>
      <c r="RDG2" s="97"/>
      <c r="RDH2" s="97"/>
      <c r="RDI2" s="97"/>
      <c r="RDJ2" s="97"/>
      <c r="RDK2" s="97"/>
      <c r="RDL2" s="97"/>
      <c r="RDM2" s="97"/>
      <c r="RDN2" s="97"/>
      <c r="RDO2" s="97"/>
      <c r="RDP2" s="97"/>
      <c r="RDQ2" s="97"/>
      <c r="RDR2" s="97"/>
      <c r="RDS2" s="97"/>
      <c r="RDT2" s="97"/>
      <c r="RDU2" s="97"/>
      <c r="RDV2" s="97"/>
      <c r="RDW2" s="97"/>
      <c r="RDX2" s="97"/>
      <c r="RDY2" s="97"/>
      <c r="RDZ2" s="97"/>
      <c r="REA2" s="97"/>
      <c r="REB2" s="97"/>
      <c r="REC2" s="97"/>
      <c r="RED2" s="97"/>
      <c r="REE2" s="97"/>
      <c r="REF2" s="97"/>
      <c r="REG2" s="97"/>
      <c r="REH2" s="97"/>
      <c r="REI2" s="97"/>
      <c r="REJ2" s="97"/>
      <c r="REK2" s="97"/>
      <c r="REL2" s="97"/>
      <c r="REM2" s="97"/>
      <c r="REN2" s="97"/>
      <c r="REO2" s="97"/>
      <c r="REP2" s="97"/>
      <c r="REQ2" s="97"/>
      <c r="RER2" s="97"/>
      <c r="RES2" s="97"/>
      <c r="RET2" s="97"/>
      <c r="REU2" s="97"/>
      <c r="REV2" s="97"/>
      <c r="REW2" s="97"/>
      <c r="REX2" s="97"/>
      <c r="REY2" s="97"/>
      <c r="REZ2" s="97"/>
      <c r="RFA2" s="97"/>
      <c r="RFB2" s="97"/>
      <c r="RFC2" s="97"/>
      <c r="RFD2" s="97"/>
      <c r="RFE2" s="97"/>
      <c r="RFF2" s="97"/>
      <c r="RFG2" s="97"/>
      <c r="RFH2" s="97"/>
      <c r="RFI2" s="97"/>
      <c r="RFJ2" s="97"/>
      <c r="RFK2" s="97"/>
      <c r="RFL2" s="97"/>
      <c r="RFM2" s="97"/>
      <c r="RFN2" s="97"/>
      <c r="RFO2" s="97"/>
      <c r="RFP2" s="97"/>
      <c r="RFQ2" s="97"/>
      <c r="RFR2" s="97"/>
      <c r="RFS2" s="97"/>
      <c r="RFT2" s="97"/>
      <c r="RFU2" s="97"/>
      <c r="RFV2" s="97"/>
      <c r="RFW2" s="97"/>
      <c r="RFX2" s="97"/>
      <c r="RFY2" s="97"/>
      <c r="RFZ2" s="97"/>
      <c r="RGA2" s="97"/>
      <c r="RGB2" s="97"/>
      <c r="RGC2" s="97"/>
      <c r="RGD2" s="97"/>
      <c r="RGE2" s="97"/>
      <c r="RGF2" s="97"/>
      <c r="RGG2" s="97"/>
      <c r="RGH2" s="97"/>
      <c r="RGI2" s="97"/>
      <c r="RGJ2" s="97"/>
      <c r="RGK2" s="97"/>
      <c r="RGL2" s="97"/>
      <c r="RGM2" s="97"/>
      <c r="RGN2" s="97"/>
      <c r="RGO2" s="97"/>
      <c r="RGP2" s="97"/>
      <c r="RGQ2" s="97"/>
      <c r="RGR2" s="97"/>
      <c r="RGS2" s="97"/>
      <c r="RGT2" s="97"/>
      <c r="RGU2" s="97"/>
      <c r="RGV2" s="97"/>
      <c r="RGW2" s="97"/>
      <c r="RGX2" s="97"/>
      <c r="RGY2" s="97"/>
      <c r="RGZ2" s="97"/>
      <c r="RHA2" s="97"/>
      <c r="RHB2" s="97"/>
      <c r="RHC2" s="97"/>
      <c r="RHD2" s="97"/>
      <c r="RHE2" s="97"/>
      <c r="RHF2" s="97"/>
      <c r="RHG2" s="97"/>
      <c r="RHH2" s="97"/>
      <c r="RHI2" s="97"/>
      <c r="RHJ2" s="97"/>
      <c r="RHK2" s="97"/>
      <c r="RHL2" s="97"/>
      <c r="RHM2" s="97"/>
      <c r="RHN2" s="97"/>
      <c r="RHO2" s="97"/>
      <c r="RHP2" s="97"/>
      <c r="RHQ2" s="97"/>
      <c r="RHR2" s="97"/>
      <c r="RHS2" s="97"/>
      <c r="RHT2" s="97"/>
      <c r="RHU2" s="97"/>
      <c r="RHV2" s="97"/>
      <c r="RHW2" s="97"/>
      <c r="RHX2" s="97"/>
      <c r="RHY2" s="97"/>
      <c r="RHZ2" s="97"/>
      <c r="RIA2" s="97"/>
      <c r="RIB2" s="97"/>
      <c r="RIC2" s="97"/>
      <c r="RID2" s="97"/>
      <c r="RIE2" s="97"/>
      <c r="RIF2" s="97"/>
      <c r="RIG2" s="97"/>
      <c r="RIH2" s="97"/>
      <c r="RII2" s="97"/>
      <c r="RIJ2" s="97"/>
      <c r="RIK2" s="97"/>
      <c r="RIL2" s="97"/>
      <c r="RIM2" s="97"/>
      <c r="RIN2" s="97"/>
      <c r="RIO2" s="97"/>
      <c r="RIP2" s="97"/>
      <c r="RIQ2" s="97"/>
      <c r="RIR2" s="97"/>
      <c r="RIS2" s="97"/>
      <c r="RIT2" s="97"/>
      <c r="RIU2" s="97"/>
      <c r="RIV2" s="97"/>
      <c r="RIW2" s="97"/>
      <c r="RIX2" s="97"/>
      <c r="RIY2" s="97"/>
      <c r="RIZ2" s="97"/>
      <c r="RJA2" s="97"/>
      <c r="RJB2" s="97"/>
      <c r="RJC2" s="97"/>
      <c r="RJD2" s="97"/>
      <c r="RJE2" s="97"/>
      <c r="RJF2" s="97"/>
      <c r="RJG2" s="97"/>
      <c r="RJH2" s="97"/>
      <c r="RJI2" s="97"/>
      <c r="RJJ2" s="97"/>
      <c r="RJK2" s="97"/>
      <c r="RJL2" s="97"/>
      <c r="RJM2" s="97"/>
      <c r="RJN2" s="97"/>
      <c r="RJO2" s="97"/>
      <c r="RJP2" s="97"/>
      <c r="RJQ2" s="97"/>
      <c r="RJR2" s="97"/>
      <c r="RJS2" s="97"/>
      <c r="RJT2" s="97"/>
      <c r="RJU2" s="97"/>
      <c r="RJV2" s="97"/>
      <c r="RJW2" s="97"/>
      <c r="RJX2" s="97"/>
      <c r="RJY2" s="97"/>
      <c r="RJZ2" s="97"/>
      <c r="RKA2" s="97"/>
      <c r="RKB2" s="97"/>
      <c r="RKC2" s="97"/>
      <c r="RKD2" s="97"/>
      <c r="RKE2" s="97"/>
      <c r="RKF2" s="97"/>
      <c r="RKG2" s="97"/>
      <c r="RKH2" s="97"/>
      <c r="RKI2" s="97"/>
      <c r="RKJ2" s="97"/>
      <c r="RKK2" s="97"/>
      <c r="RKL2" s="97"/>
      <c r="RKM2" s="97"/>
      <c r="RKN2" s="97"/>
      <c r="RKO2" s="97"/>
      <c r="RKP2" s="97"/>
      <c r="RKQ2" s="97"/>
      <c r="RKR2" s="97"/>
      <c r="RKS2" s="97"/>
      <c r="RKT2" s="97"/>
      <c r="RKU2" s="97"/>
      <c r="RKV2" s="97"/>
      <c r="RKW2" s="97"/>
      <c r="RKX2" s="97"/>
      <c r="RKY2" s="97"/>
      <c r="RKZ2" s="97"/>
      <c r="RLA2" s="97"/>
      <c r="RLB2" s="97"/>
      <c r="RLC2" s="97"/>
      <c r="RLD2" s="97"/>
      <c r="RLE2" s="97"/>
      <c r="RLF2" s="97"/>
      <c r="RLG2" s="97"/>
      <c r="RLH2" s="97"/>
      <c r="RLI2" s="97"/>
      <c r="RLJ2" s="97"/>
      <c r="RLK2" s="97"/>
      <c r="RLL2" s="97"/>
      <c r="RLM2" s="97"/>
      <c r="RLN2" s="97"/>
      <c r="RLO2" s="97"/>
      <c r="RLP2" s="97"/>
      <c r="RLQ2" s="97"/>
      <c r="RLR2" s="97"/>
      <c r="RLS2" s="97"/>
      <c r="RLT2" s="97"/>
      <c r="RLU2" s="97"/>
      <c r="RLV2" s="97"/>
      <c r="RLW2" s="97"/>
      <c r="RLX2" s="97"/>
      <c r="RLY2" s="97"/>
      <c r="RLZ2" s="97"/>
      <c r="RMA2" s="97"/>
      <c r="RMB2" s="97"/>
      <c r="RMC2" s="97"/>
      <c r="RMD2" s="97"/>
      <c r="RME2" s="97"/>
      <c r="RMF2" s="97"/>
      <c r="RMG2" s="97"/>
      <c r="RMH2" s="97"/>
      <c r="RMI2" s="97"/>
      <c r="RMJ2" s="97"/>
      <c r="RMK2" s="97"/>
      <c r="RML2" s="97"/>
      <c r="RMM2" s="97"/>
      <c r="RMN2" s="97"/>
      <c r="RMO2" s="97"/>
      <c r="RMP2" s="97"/>
      <c r="RMQ2" s="97"/>
      <c r="RMR2" s="97"/>
      <c r="RMS2" s="97"/>
      <c r="RMT2" s="97"/>
      <c r="RMU2" s="97"/>
      <c r="RMV2" s="97"/>
      <c r="RMW2" s="97"/>
      <c r="RMX2" s="97"/>
      <c r="RMY2" s="97"/>
      <c r="RMZ2" s="97"/>
      <c r="RNA2" s="97"/>
      <c r="RNB2" s="97"/>
      <c r="RNC2" s="97"/>
      <c r="RND2" s="97"/>
      <c r="RNE2" s="97"/>
      <c r="RNF2" s="97"/>
      <c r="RNG2" s="97"/>
      <c r="RNH2" s="97"/>
      <c r="RNI2" s="97"/>
      <c r="RNJ2" s="97"/>
      <c r="RNK2" s="97"/>
      <c r="RNL2" s="97"/>
      <c r="RNM2" s="97"/>
      <c r="RNN2" s="97"/>
      <c r="RNO2" s="97"/>
      <c r="RNP2" s="97"/>
      <c r="RNQ2" s="97"/>
      <c r="RNR2" s="97"/>
      <c r="RNS2" s="97"/>
      <c r="RNT2" s="97"/>
      <c r="RNU2" s="97"/>
      <c r="RNV2" s="97"/>
      <c r="RNW2" s="97"/>
      <c r="RNX2" s="97"/>
      <c r="RNY2" s="97"/>
      <c r="RNZ2" s="97"/>
      <c r="ROA2" s="97"/>
      <c r="ROB2" s="97"/>
      <c r="ROC2" s="97"/>
      <c r="ROD2" s="97"/>
      <c r="ROE2" s="97"/>
      <c r="ROF2" s="97"/>
      <c r="ROG2" s="97"/>
      <c r="ROH2" s="97"/>
      <c r="ROI2" s="97"/>
      <c r="ROJ2" s="97"/>
      <c r="ROK2" s="97"/>
      <c r="ROL2" s="97"/>
      <c r="ROM2" s="97"/>
      <c r="RON2" s="97"/>
      <c r="ROO2" s="97"/>
      <c r="ROP2" s="97"/>
      <c r="ROQ2" s="97"/>
      <c r="ROR2" s="97"/>
      <c r="ROS2" s="97"/>
      <c r="ROT2" s="97"/>
      <c r="ROU2" s="97"/>
      <c r="ROV2" s="97"/>
      <c r="ROW2" s="97"/>
      <c r="ROX2" s="97"/>
      <c r="ROY2" s="97"/>
      <c r="ROZ2" s="97"/>
      <c r="RPA2" s="97"/>
      <c r="RPB2" s="97"/>
      <c r="RPC2" s="97"/>
      <c r="RPD2" s="97"/>
      <c r="RPE2" s="97"/>
      <c r="RPF2" s="97"/>
      <c r="RPG2" s="97"/>
      <c r="RPH2" s="97"/>
      <c r="RPI2" s="97"/>
      <c r="RPJ2" s="97"/>
      <c r="RPK2" s="97"/>
      <c r="RPL2" s="97"/>
      <c r="RPM2" s="97"/>
      <c r="RPN2" s="97"/>
      <c r="RPO2" s="97"/>
      <c r="RPP2" s="97"/>
      <c r="RPQ2" s="97"/>
      <c r="RPR2" s="97"/>
      <c r="RPS2" s="97"/>
      <c r="RPT2" s="97"/>
      <c r="RPU2" s="97"/>
      <c r="RPV2" s="97"/>
      <c r="RPW2" s="97"/>
      <c r="RPX2" s="97"/>
      <c r="RPY2" s="97"/>
      <c r="RPZ2" s="97"/>
      <c r="RQA2" s="97"/>
      <c r="RQB2" s="97"/>
      <c r="RQC2" s="97"/>
      <c r="RQD2" s="97"/>
      <c r="RQE2" s="97"/>
      <c r="RQF2" s="97"/>
      <c r="RQG2" s="97"/>
      <c r="RQH2" s="97"/>
      <c r="RQI2" s="97"/>
      <c r="RQJ2" s="97"/>
      <c r="RQK2" s="97"/>
      <c r="RQL2" s="97"/>
      <c r="RQM2" s="97"/>
      <c r="RQN2" s="97"/>
      <c r="RQO2" s="97"/>
      <c r="RQP2" s="97"/>
      <c r="RQQ2" s="97"/>
      <c r="RQR2" s="97"/>
      <c r="RQS2" s="97"/>
      <c r="RQT2" s="97"/>
      <c r="RQU2" s="97"/>
      <c r="RQV2" s="97"/>
      <c r="RQW2" s="97"/>
      <c r="RQX2" s="97"/>
      <c r="RQY2" s="97"/>
      <c r="RQZ2" s="97"/>
      <c r="RRA2" s="97"/>
      <c r="RRB2" s="97"/>
      <c r="RRC2" s="97"/>
      <c r="RRD2" s="97"/>
      <c r="RRE2" s="97"/>
      <c r="RRF2" s="97"/>
      <c r="RRG2" s="97"/>
      <c r="RRH2" s="97"/>
      <c r="RRI2" s="97"/>
      <c r="RRJ2" s="97"/>
      <c r="RRK2" s="97"/>
      <c r="RRL2" s="97"/>
      <c r="RRM2" s="97"/>
      <c r="RRN2" s="97"/>
      <c r="RRO2" s="97"/>
      <c r="RRP2" s="97"/>
      <c r="RRQ2" s="97"/>
      <c r="RRR2" s="97"/>
      <c r="RRS2" s="97"/>
      <c r="RRT2" s="97"/>
      <c r="RRU2" s="97"/>
      <c r="RRV2" s="97"/>
      <c r="RRW2" s="97"/>
      <c r="RRX2" s="97"/>
      <c r="RRY2" s="97"/>
      <c r="RRZ2" s="97"/>
      <c r="RSA2" s="97"/>
      <c r="RSB2" s="97"/>
      <c r="RSC2" s="97"/>
      <c r="RSD2" s="97"/>
      <c r="RSE2" s="97"/>
      <c r="RSF2" s="97"/>
      <c r="RSG2" s="97"/>
      <c r="RSH2" s="97"/>
      <c r="RSI2" s="97"/>
      <c r="RSJ2" s="97"/>
      <c r="RSK2" s="97"/>
      <c r="RSL2" s="97"/>
      <c r="RSM2" s="97"/>
      <c r="RSN2" s="97"/>
      <c r="RSO2" s="97"/>
      <c r="RSP2" s="97"/>
      <c r="RSQ2" s="97"/>
      <c r="RSR2" s="97"/>
      <c r="RSS2" s="97"/>
      <c r="RST2" s="97"/>
      <c r="RSU2" s="97"/>
      <c r="RSV2" s="97"/>
      <c r="RSW2" s="97"/>
      <c r="RSX2" s="97"/>
      <c r="RSY2" s="97"/>
      <c r="RSZ2" s="97"/>
      <c r="RTA2" s="97"/>
      <c r="RTB2" s="97"/>
      <c r="RTC2" s="97"/>
      <c r="RTD2" s="97"/>
      <c r="RTE2" s="97"/>
      <c r="RTF2" s="97"/>
      <c r="RTG2" s="97"/>
      <c r="RTH2" s="97"/>
      <c r="RTI2" s="97"/>
      <c r="RTJ2" s="97"/>
      <c r="RTK2" s="97"/>
      <c r="RTL2" s="97"/>
      <c r="RTM2" s="97"/>
      <c r="RTN2" s="97"/>
      <c r="RTO2" s="97"/>
      <c r="RTP2" s="97"/>
      <c r="RTQ2" s="97"/>
      <c r="RTR2" s="97"/>
      <c r="RTS2" s="97"/>
      <c r="RTT2" s="97"/>
      <c r="RTU2" s="97"/>
      <c r="RTV2" s="97"/>
      <c r="RTW2" s="97"/>
      <c r="RTX2" s="97"/>
      <c r="RTY2" s="97"/>
      <c r="RTZ2" s="97"/>
      <c r="RUA2" s="97"/>
      <c r="RUB2" s="97"/>
      <c r="RUC2" s="97"/>
      <c r="RUD2" s="97"/>
      <c r="RUE2" s="97"/>
      <c r="RUF2" s="97"/>
      <c r="RUG2" s="97"/>
      <c r="RUH2" s="97"/>
      <c r="RUI2" s="97"/>
      <c r="RUJ2" s="97"/>
      <c r="RUK2" s="97"/>
      <c r="RUL2" s="97"/>
      <c r="RUM2" s="97"/>
      <c r="RUN2" s="97"/>
      <c r="RUO2" s="97"/>
      <c r="RUP2" s="97"/>
      <c r="RUQ2" s="97"/>
      <c r="RUR2" s="97"/>
      <c r="RUS2" s="97"/>
      <c r="RUT2" s="97"/>
      <c r="RUU2" s="97"/>
      <c r="RUV2" s="97"/>
      <c r="RUW2" s="97"/>
      <c r="RUX2" s="97"/>
      <c r="RUY2" s="97"/>
      <c r="RUZ2" s="97"/>
      <c r="RVA2" s="97"/>
      <c r="RVB2" s="97"/>
      <c r="RVC2" s="97"/>
      <c r="RVD2" s="97"/>
      <c r="RVE2" s="97"/>
      <c r="RVF2" s="97"/>
      <c r="RVG2" s="97"/>
      <c r="RVH2" s="97"/>
      <c r="RVI2" s="97"/>
      <c r="RVJ2" s="97"/>
      <c r="RVK2" s="97"/>
      <c r="RVL2" s="97"/>
      <c r="RVM2" s="97"/>
      <c r="RVN2" s="97"/>
      <c r="RVO2" s="97"/>
      <c r="RVP2" s="97"/>
      <c r="RVQ2" s="97"/>
      <c r="RVR2" s="97"/>
      <c r="RVS2" s="97"/>
      <c r="RVT2" s="97"/>
      <c r="RVU2" s="97"/>
      <c r="RVV2" s="97"/>
      <c r="RVW2" s="97"/>
      <c r="RVX2" s="97"/>
      <c r="RVY2" s="97"/>
      <c r="RVZ2" s="97"/>
      <c r="RWA2" s="97"/>
      <c r="RWB2" s="97"/>
      <c r="RWC2" s="97"/>
      <c r="RWD2" s="97"/>
      <c r="RWE2" s="97"/>
      <c r="RWF2" s="97"/>
      <c r="RWG2" s="97"/>
      <c r="RWH2" s="97"/>
      <c r="RWI2" s="97"/>
      <c r="RWJ2" s="97"/>
      <c r="RWK2" s="97"/>
      <c r="RWL2" s="97"/>
      <c r="RWM2" s="97"/>
      <c r="RWN2" s="97"/>
      <c r="RWO2" s="97"/>
      <c r="RWP2" s="97"/>
      <c r="RWQ2" s="97"/>
      <c r="RWR2" s="97"/>
      <c r="RWS2" s="97"/>
      <c r="RWT2" s="97"/>
      <c r="RWU2" s="97"/>
      <c r="RWV2" s="97"/>
      <c r="RWW2" s="97"/>
      <c r="RWX2" s="97"/>
      <c r="RWY2" s="97"/>
      <c r="RWZ2" s="97"/>
      <c r="RXA2" s="97"/>
      <c r="RXB2" s="97"/>
      <c r="RXC2" s="97"/>
      <c r="RXD2" s="97"/>
      <c r="RXE2" s="97"/>
      <c r="RXF2" s="97"/>
      <c r="RXG2" s="97"/>
      <c r="RXH2" s="97"/>
      <c r="RXI2" s="97"/>
      <c r="RXJ2" s="97"/>
      <c r="RXK2" s="97"/>
      <c r="RXL2" s="97"/>
      <c r="RXM2" s="97"/>
      <c r="RXN2" s="97"/>
      <c r="RXO2" s="97"/>
      <c r="RXP2" s="97"/>
      <c r="RXQ2" s="97"/>
      <c r="RXR2" s="97"/>
      <c r="RXS2" s="97"/>
      <c r="RXT2" s="97"/>
      <c r="RXU2" s="97"/>
      <c r="RXV2" s="97"/>
      <c r="RXW2" s="97"/>
      <c r="RXX2" s="97"/>
      <c r="RXY2" s="97"/>
      <c r="RXZ2" s="97"/>
      <c r="RYA2" s="97"/>
      <c r="RYB2" s="97"/>
      <c r="RYC2" s="97"/>
      <c r="RYD2" s="97"/>
      <c r="RYE2" s="97"/>
      <c r="RYF2" s="97"/>
      <c r="RYG2" s="97"/>
      <c r="RYH2" s="97"/>
      <c r="RYI2" s="97"/>
      <c r="RYJ2" s="97"/>
      <c r="RYK2" s="97"/>
      <c r="RYL2" s="97"/>
      <c r="RYM2" s="97"/>
      <c r="RYN2" s="97"/>
      <c r="RYO2" s="97"/>
      <c r="RYP2" s="97"/>
      <c r="RYQ2" s="97"/>
      <c r="RYR2" s="97"/>
      <c r="RYS2" s="97"/>
      <c r="RYT2" s="97"/>
      <c r="RYU2" s="97"/>
      <c r="RYV2" s="97"/>
      <c r="RYW2" s="97"/>
      <c r="RYX2" s="97"/>
      <c r="RYY2" s="97"/>
      <c r="RYZ2" s="97"/>
      <c r="RZA2" s="97"/>
      <c r="RZB2" s="97"/>
      <c r="RZC2" s="97"/>
      <c r="RZD2" s="97"/>
      <c r="RZE2" s="97"/>
      <c r="RZF2" s="97"/>
      <c r="RZG2" s="97"/>
      <c r="RZH2" s="97"/>
      <c r="RZI2" s="97"/>
      <c r="RZJ2" s="97"/>
      <c r="RZK2" s="97"/>
      <c r="RZL2" s="97"/>
      <c r="RZM2" s="97"/>
      <c r="RZN2" s="97"/>
      <c r="RZO2" s="97"/>
      <c r="RZP2" s="97"/>
      <c r="RZQ2" s="97"/>
      <c r="RZR2" s="97"/>
      <c r="RZS2" s="97"/>
      <c r="RZT2" s="97"/>
      <c r="RZU2" s="97"/>
      <c r="RZV2" s="97"/>
      <c r="RZW2" s="97"/>
      <c r="RZX2" s="97"/>
      <c r="RZY2" s="97"/>
      <c r="RZZ2" s="97"/>
      <c r="SAA2" s="97"/>
      <c r="SAB2" s="97"/>
      <c r="SAC2" s="97"/>
      <c r="SAD2" s="97"/>
      <c r="SAE2" s="97"/>
      <c r="SAF2" s="97"/>
      <c r="SAG2" s="97"/>
      <c r="SAH2" s="97"/>
      <c r="SAI2" s="97"/>
      <c r="SAJ2" s="97"/>
      <c r="SAK2" s="97"/>
      <c r="SAL2" s="97"/>
      <c r="SAM2" s="97"/>
      <c r="SAN2" s="97"/>
      <c r="SAO2" s="97"/>
      <c r="SAP2" s="97"/>
      <c r="SAQ2" s="97"/>
      <c r="SAR2" s="97"/>
      <c r="SAS2" s="97"/>
      <c r="SAT2" s="97"/>
      <c r="SAU2" s="97"/>
      <c r="SAV2" s="97"/>
      <c r="SAW2" s="97"/>
      <c r="SAX2" s="97"/>
      <c r="SAY2" s="97"/>
      <c r="SAZ2" s="97"/>
      <c r="SBA2" s="97"/>
      <c r="SBB2" s="97"/>
      <c r="SBC2" s="97"/>
      <c r="SBD2" s="97"/>
      <c r="SBE2" s="97"/>
      <c r="SBF2" s="97"/>
      <c r="SBG2" s="97"/>
      <c r="SBH2" s="97"/>
      <c r="SBI2" s="97"/>
      <c r="SBJ2" s="97"/>
      <c r="SBK2" s="97"/>
      <c r="SBL2" s="97"/>
      <c r="SBM2" s="97"/>
      <c r="SBN2" s="97"/>
      <c r="SBO2" s="97"/>
      <c r="SBP2" s="97"/>
      <c r="SBQ2" s="97"/>
      <c r="SBR2" s="97"/>
      <c r="SBS2" s="97"/>
      <c r="SBT2" s="97"/>
      <c r="SBU2" s="97"/>
      <c r="SBV2" s="97"/>
      <c r="SBW2" s="97"/>
      <c r="SBX2" s="97"/>
      <c r="SBY2" s="97"/>
      <c r="SBZ2" s="97"/>
      <c r="SCA2" s="97"/>
      <c r="SCB2" s="97"/>
      <c r="SCC2" s="97"/>
      <c r="SCD2" s="97"/>
      <c r="SCE2" s="97"/>
      <c r="SCF2" s="97"/>
      <c r="SCG2" s="97"/>
      <c r="SCH2" s="97"/>
      <c r="SCI2" s="97"/>
      <c r="SCJ2" s="97"/>
      <c r="SCK2" s="97"/>
      <c r="SCL2" s="97"/>
      <c r="SCM2" s="97"/>
      <c r="SCN2" s="97"/>
      <c r="SCO2" s="97"/>
      <c r="SCP2" s="97"/>
      <c r="SCQ2" s="97"/>
      <c r="SCR2" s="97"/>
      <c r="SCS2" s="97"/>
      <c r="SCT2" s="97"/>
      <c r="SCU2" s="97"/>
      <c r="SCV2" s="97"/>
      <c r="SCW2" s="97"/>
      <c r="SCX2" s="97"/>
      <c r="SCY2" s="97"/>
      <c r="SCZ2" s="97"/>
      <c r="SDA2" s="97"/>
      <c r="SDB2" s="97"/>
      <c r="SDC2" s="97"/>
      <c r="SDD2" s="97"/>
      <c r="SDE2" s="97"/>
      <c r="SDF2" s="97"/>
      <c r="SDG2" s="97"/>
      <c r="SDH2" s="97"/>
      <c r="SDI2" s="97"/>
      <c r="SDJ2" s="97"/>
      <c r="SDK2" s="97"/>
      <c r="SDL2" s="97"/>
      <c r="SDM2" s="97"/>
      <c r="SDN2" s="97"/>
      <c r="SDO2" s="97"/>
      <c r="SDP2" s="97"/>
      <c r="SDQ2" s="97"/>
      <c r="SDR2" s="97"/>
      <c r="SDS2" s="97"/>
      <c r="SDT2" s="97"/>
      <c r="SDU2" s="97"/>
      <c r="SDV2" s="97"/>
      <c r="SDW2" s="97"/>
      <c r="SDX2" s="97"/>
      <c r="SDY2" s="97"/>
      <c r="SDZ2" s="97"/>
      <c r="SEA2" s="97"/>
      <c r="SEB2" s="97"/>
      <c r="SEC2" s="97"/>
      <c r="SED2" s="97"/>
      <c r="SEE2" s="97"/>
      <c r="SEF2" s="97"/>
      <c r="SEG2" s="97"/>
      <c r="SEH2" s="97"/>
      <c r="SEI2" s="97"/>
      <c r="SEJ2" s="97"/>
      <c r="SEK2" s="97"/>
      <c r="SEL2" s="97"/>
      <c r="SEM2" s="97"/>
      <c r="SEN2" s="97"/>
      <c r="SEO2" s="97"/>
      <c r="SEP2" s="97"/>
      <c r="SEQ2" s="97"/>
      <c r="SER2" s="97"/>
      <c r="SES2" s="97"/>
      <c r="SET2" s="97"/>
      <c r="SEU2" s="97"/>
      <c r="SEV2" s="97"/>
      <c r="SEW2" s="97"/>
      <c r="SEX2" s="97"/>
      <c r="SEY2" s="97"/>
      <c r="SEZ2" s="97"/>
      <c r="SFA2" s="97"/>
      <c r="SFB2" s="97"/>
      <c r="SFC2" s="97"/>
      <c r="SFD2" s="97"/>
      <c r="SFE2" s="97"/>
      <c r="SFF2" s="97"/>
      <c r="SFG2" s="97"/>
      <c r="SFH2" s="97"/>
      <c r="SFI2" s="97"/>
      <c r="SFJ2" s="97"/>
      <c r="SFK2" s="97"/>
      <c r="SFL2" s="97"/>
      <c r="SFM2" s="97"/>
      <c r="SFN2" s="97"/>
      <c r="SFO2" s="97"/>
      <c r="SFP2" s="97"/>
      <c r="SFQ2" s="97"/>
      <c r="SFR2" s="97"/>
      <c r="SFS2" s="97"/>
      <c r="SFT2" s="97"/>
      <c r="SFU2" s="97"/>
      <c r="SFV2" s="97"/>
      <c r="SFW2" s="97"/>
      <c r="SFX2" s="97"/>
      <c r="SFY2" s="97"/>
      <c r="SFZ2" s="97"/>
      <c r="SGA2" s="97"/>
      <c r="SGB2" s="97"/>
      <c r="SGC2" s="97"/>
      <c r="SGD2" s="97"/>
      <c r="SGE2" s="97"/>
      <c r="SGF2" s="97"/>
      <c r="SGG2" s="97"/>
      <c r="SGH2" s="97"/>
      <c r="SGI2" s="97"/>
      <c r="SGJ2" s="97"/>
      <c r="SGK2" s="97"/>
      <c r="SGL2" s="97"/>
      <c r="SGM2" s="97"/>
      <c r="SGN2" s="97"/>
      <c r="SGO2" s="97"/>
      <c r="SGP2" s="97"/>
      <c r="SGQ2" s="97"/>
      <c r="SGR2" s="97"/>
      <c r="SGS2" s="97"/>
      <c r="SGT2" s="97"/>
      <c r="SGU2" s="97"/>
      <c r="SGV2" s="97"/>
      <c r="SGW2" s="97"/>
      <c r="SGX2" s="97"/>
      <c r="SGY2" s="97"/>
      <c r="SGZ2" s="97"/>
      <c r="SHA2" s="97"/>
      <c r="SHB2" s="97"/>
      <c r="SHC2" s="97"/>
      <c r="SHD2" s="97"/>
      <c r="SHE2" s="97"/>
      <c r="SHF2" s="97"/>
      <c r="SHG2" s="97"/>
      <c r="SHH2" s="97"/>
      <c r="SHI2" s="97"/>
      <c r="SHJ2" s="97"/>
      <c r="SHK2" s="97"/>
      <c r="SHL2" s="97"/>
      <c r="SHM2" s="97"/>
      <c r="SHN2" s="97"/>
      <c r="SHO2" s="97"/>
      <c r="SHP2" s="97"/>
      <c r="SHQ2" s="97"/>
      <c r="SHR2" s="97"/>
      <c r="SHS2" s="97"/>
      <c r="SHT2" s="97"/>
      <c r="SHU2" s="97"/>
      <c r="SHV2" s="97"/>
      <c r="SHW2" s="97"/>
      <c r="SHX2" s="97"/>
      <c r="SHY2" s="97"/>
      <c r="SHZ2" s="97"/>
      <c r="SIA2" s="97"/>
      <c r="SIB2" s="97"/>
      <c r="SIC2" s="97"/>
      <c r="SID2" s="97"/>
      <c r="SIE2" s="97"/>
      <c r="SIF2" s="97"/>
      <c r="SIG2" s="97"/>
      <c r="SIH2" s="97"/>
      <c r="SII2" s="97"/>
      <c r="SIJ2" s="97"/>
      <c r="SIK2" s="97"/>
      <c r="SIL2" s="97"/>
      <c r="SIM2" s="97"/>
      <c r="SIN2" s="97"/>
      <c r="SIO2" s="97"/>
      <c r="SIP2" s="97"/>
      <c r="SIQ2" s="97"/>
      <c r="SIR2" s="97"/>
      <c r="SIS2" s="97"/>
      <c r="SIT2" s="97"/>
      <c r="SIU2" s="97"/>
      <c r="SIV2" s="97"/>
      <c r="SIW2" s="97"/>
      <c r="SIX2" s="97"/>
      <c r="SIY2" s="97"/>
      <c r="SIZ2" s="97"/>
      <c r="SJA2" s="97"/>
      <c r="SJB2" s="97"/>
      <c r="SJC2" s="97"/>
      <c r="SJD2" s="97"/>
      <c r="SJE2" s="97"/>
      <c r="SJF2" s="97"/>
      <c r="SJG2" s="97"/>
      <c r="SJH2" s="97"/>
      <c r="SJI2" s="97"/>
      <c r="SJJ2" s="97"/>
      <c r="SJK2" s="97"/>
      <c r="SJL2" s="97"/>
      <c r="SJM2" s="97"/>
      <c r="SJN2" s="97"/>
      <c r="SJO2" s="97"/>
      <c r="SJP2" s="97"/>
      <c r="SJQ2" s="97"/>
      <c r="SJR2" s="97"/>
      <c r="SJS2" s="97"/>
      <c r="SJT2" s="97"/>
      <c r="SJU2" s="97"/>
      <c r="SJV2" s="97"/>
      <c r="SJW2" s="97"/>
      <c r="SJX2" s="97"/>
      <c r="SJY2" s="97"/>
      <c r="SJZ2" s="97"/>
      <c r="SKA2" s="97"/>
      <c r="SKB2" s="97"/>
      <c r="SKC2" s="97"/>
      <c r="SKD2" s="97"/>
      <c r="SKE2" s="97"/>
      <c r="SKF2" s="97"/>
      <c r="SKG2" s="97"/>
      <c r="SKH2" s="97"/>
      <c r="SKI2" s="97"/>
      <c r="SKJ2" s="97"/>
      <c r="SKK2" s="97"/>
      <c r="SKL2" s="97"/>
      <c r="SKM2" s="97"/>
      <c r="SKN2" s="97"/>
      <c r="SKO2" s="97"/>
      <c r="SKP2" s="97"/>
      <c r="SKQ2" s="97"/>
      <c r="SKR2" s="97"/>
      <c r="SKS2" s="97"/>
      <c r="SKT2" s="97"/>
      <c r="SKU2" s="97"/>
      <c r="SKV2" s="97"/>
      <c r="SKW2" s="97"/>
      <c r="SKX2" s="97"/>
      <c r="SKY2" s="97"/>
      <c r="SKZ2" s="97"/>
      <c r="SLA2" s="97"/>
      <c r="SLB2" s="97"/>
      <c r="SLC2" s="97"/>
      <c r="SLD2" s="97"/>
      <c r="SLE2" s="97"/>
      <c r="SLF2" s="97"/>
      <c r="SLG2" s="97"/>
      <c r="SLH2" s="97"/>
      <c r="SLI2" s="97"/>
      <c r="SLJ2" s="97"/>
      <c r="SLK2" s="97"/>
      <c r="SLL2" s="97"/>
      <c r="SLM2" s="97"/>
      <c r="SLN2" s="97"/>
      <c r="SLO2" s="97"/>
      <c r="SLP2" s="97"/>
      <c r="SLQ2" s="97"/>
      <c r="SLR2" s="97"/>
      <c r="SLS2" s="97"/>
      <c r="SLT2" s="97"/>
      <c r="SLU2" s="97"/>
      <c r="SLV2" s="97"/>
      <c r="SLW2" s="97"/>
      <c r="SLX2" s="97"/>
      <c r="SLY2" s="97"/>
      <c r="SLZ2" s="97"/>
      <c r="SMA2" s="97"/>
      <c r="SMB2" s="97"/>
      <c r="SMC2" s="97"/>
      <c r="SMD2" s="97"/>
      <c r="SME2" s="97"/>
      <c r="SMF2" s="97"/>
      <c r="SMG2" s="97"/>
      <c r="SMH2" s="97"/>
      <c r="SMI2" s="97"/>
      <c r="SMJ2" s="97"/>
      <c r="SMK2" s="97"/>
      <c r="SML2" s="97"/>
      <c r="SMM2" s="97"/>
      <c r="SMN2" s="97"/>
      <c r="SMO2" s="97"/>
      <c r="SMP2" s="97"/>
      <c r="SMQ2" s="97"/>
      <c r="SMR2" s="97"/>
      <c r="SMS2" s="97"/>
      <c r="SMT2" s="97"/>
      <c r="SMU2" s="97"/>
      <c r="SMV2" s="97"/>
      <c r="SMW2" s="97"/>
      <c r="SMX2" s="97"/>
      <c r="SMY2" s="97"/>
      <c r="SMZ2" s="97"/>
      <c r="SNA2" s="97"/>
      <c r="SNB2" s="97"/>
      <c r="SNC2" s="97"/>
      <c r="SND2" s="97"/>
      <c r="SNE2" s="97"/>
      <c r="SNF2" s="97"/>
      <c r="SNG2" s="97"/>
      <c r="SNH2" s="97"/>
      <c r="SNI2" s="97"/>
      <c r="SNJ2" s="97"/>
      <c r="SNK2" s="97"/>
      <c r="SNL2" s="97"/>
      <c r="SNM2" s="97"/>
      <c r="SNN2" s="97"/>
      <c r="SNO2" s="97"/>
      <c r="SNP2" s="97"/>
      <c r="SNQ2" s="97"/>
      <c r="SNR2" s="97"/>
      <c r="SNS2" s="97"/>
      <c r="SNT2" s="97"/>
      <c r="SNU2" s="97"/>
      <c r="SNV2" s="97"/>
      <c r="SNW2" s="97"/>
      <c r="SNX2" s="97"/>
      <c r="SNY2" s="97"/>
      <c r="SNZ2" s="97"/>
      <c r="SOA2" s="97"/>
      <c r="SOB2" s="97"/>
      <c r="SOC2" s="97"/>
      <c r="SOD2" s="97"/>
      <c r="SOE2" s="97"/>
      <c r="SOF2" s="97"/>
      <c r="SOG2" s="97"/>
      <c r="SOH2" s="97"/>
      <c r="SOI2" s="97"/>
      <c r="SOJ2" s="97"/>
      <c r="SOK2" s="97"/>
      <c r="SOL2" s="97"/>
      <c r="SOM2" s="97"/>
      <c r="SON2" s="97"/>
      <c r="SOO2" s="97"/>
      <c r="SOP2" s="97"/>
      <c r="SOQ2" s="97"/>
      <c r="SOR2" s="97"/>
      <c r="SOS2" s="97"/>
      <c r="SOT2" s="97"/>
      <c r="SOU2" s="97"/>
      <c r="SOV2" s="97"/>
      <c r="SOW2" s="97"/>
      <c r="SOX2" s="97"/>
      <c r="SOY2" s="97"/>
      <c r="SOZ2" s="97"/>
      <c r="SPA2" s="97"/>
      <c r="SPB2" s="97"/>
      <c r="SPC2" s="97"/>
      <c r="SPD2" s="97"/>
      <c r="SPE2" s="97"/>
      <c r="SPF2" s="97"/>
      <c r="SPG2" s="97"/>
      <c r="SPH2" s="97"/>
      <c r="SPI2" s="97"/>
      <c r="SPJ2" s="97"/>
      <c r="SPK2" s="97"/>
      <c r="SPL2" s="97"/>
      <c r="SPM2" s="97"/>
      <c r="SPN2" s="97"/>
      <c r="SPO2" s="97"/>
      <c r="SPP2" s="97"/>
      <c r="SPQ2" s="97"/>
      <c r="SPR2" s="97"/>
      <c r="SPS2" s="97"/>
      <c r="SPT2" s="97"/>
      <c r="SPU2" s="97"/>
      <c r="SPV2" s="97"/>
      <c r="SPW2" s="97"/>
      <c r="SPX2" s="97"/>
      <c r="SPY2" s="97"/>
      <c r="SPZ2" s="97"/>
      <c r="SQA2" s="97"/>
      <c r="SQB2" s="97"/>
      <c r="SQC2" s="97"/>
      <c r="SQD2" s="97"/>
      <c r="SQE2" s="97"/>
      <c r="SQF2" s="97"/>
      <c r="SQG2" s="97"/>
      <c r="SQH2" s="97"/>
      <c r="SQI2" s="97"/>
      <c r="SQJ2" s="97"/>
      <c r="SQK2" s="97"/>
      <c r="SQL2" s="97"/>
      <c r="SQM2" s="97"/>
      <c r="SQN2" s="97"/>
      <c r="SQO2" s="97"/>
      <c r="SQP2" s="97"/>
      <c r="SQQ2" s="97"/>
      <c r="SQR2" s="97"/>
      <c r="SQS2" s="97"/>
      <c r="SQT2" s="97"/>
      <c r="SQU2" s="97"/>
      <c r="SQV2" s="97"/>
      <c r="SQW2" s="97"/>
      <c r="SQX2" s="97"/>
      <c r="SQY2" s="97"/>
      <c r="SQZ2" s="97"/>
      <c r="SRA2" s="97"/>
      <c r="SRB2" s="97"/>
      <c r="SRC2" s="97"/>
      <c r="SRD2" s="97"/>
      <c r="SRE2" s="97"/>
      <c r="SRF2" s="97"/>
      <c r="SRG2" s="97"/>
      <c r="SRH2" s="97"/>
      <c r="SRI2" s="97"/>
      <c r="SRJ2" s="97"/>
      <c r="SRK2" s="97"/>
      <c r="SRL2" s="97"/>
      <c r="SRM2" s="97"/>
      <c r="SRN2" s="97"/>
      <c r="SRO2" s="97"/>
      <c r="SRP2" s="97"/>
      <c r="SRQ2" s="97"/>
      <c r="SRR2" s="97"/>
      <c r="SRS2" s="97"/>
      <c r="SRT2" s="97"/>
      <c r="SRU2" s="97"/>
      <c r="SRV2" s="97"/>
      <c r="SRW2" s="97"/>
      <c r="SRX2" s="97"/>
      <c r="SRY2" s="97"/>
      <c r="SRZ2" s="97"/>
      <c r="SSA2" s="97"/>
      <c r="SSB2" s="97"/>
      <c r="SSC2" s="97"/>
      <c r="SSD2" s="97"/>
      <c r="SSE2" s="97"/>
      <c r="SSF2" s="97"/>
      <c r="SSG2" s="97"/>
      <c r="SSH2" s="97"/>
      <c r="SSI2" s="97"/>
      <c r="SSJ2" s="97"/>
      <c r="SSK2" s="97"/>
      <c r="SSL2" s="97"/>
      <c r="SSM2" s="97"/>
      <c r="SSN2" s="97"/>
      <c r="SSO2" s="97"/>
      <c r="SSP2" s="97"/>
      <c r="SSQ2" s="97"/>
      <c r="SSR2" s="97"/>
      <c r="SSS2" s="97"/>
      <c r="SST2" s="97"/>
      <c r="SSU2" s="97"/>
      <c r="SSV2" s="97"/>
      <c r="SSW2" s="97"/>
      <c r="SSX2" s="97"/>
      <c r="SSY2" s="97"/>
      <c r="SSZ2" s="97"/>
      <c r="STA2" s="97"/>
      <c r="STB2" s="97"/>
      <c r="STC2" s="97"/>
      <c r="STD2" s="97"/>
      <c r="STE2" s="97"/>
      <c r="STF2" s="97"/>
      <c r="STG2" s="97"/>
      <c r="STH2" s="97"/>
      <c r="STI2" s="97"/>
      <c r="STJ2" s="97"/>
      <c r="STK2" s="97"/>
      <c r="STL2" s="97"/>
      <c r="STM2" s="97"/>
      <c r="STN2" s="97"/>
      <c r="STO2" s="97"/>
      <c r="STP2" s="97"/>
      <c r="STQ2" s="97"/>
      <c r="STR2" s="97"/>
      <c r="STS2" s="97"/>
      <c r="STT2" s="97"/>
      <c r="STU2" s="97"/>
      <c r="STV2" s="97"/>
      <c r="STW2" s="97"/>
      <c r="STX2" s="97"/>
      <c r="STY2" s="97"/>
      <c r="STZ2" s="97"/>
      <c r="SUA2" s="97"/>
      <c r="SUB2" s="97"/>
      <c r="SUC2" s="97"/>
      <c r="SUD2" s="97"/>
      <c r="SUE2" s="97"/>
      <c r="SUF2" s="97"/>
      <c r="SUG2" s="97"/>
      <c r="SUH2" s="97"/>
      <c r="SUI2" s="97"/>
      <c r="SUJ2" s="97"/>
      <c r="SUK2" s="97"/>
      <c r="SUL2" s="97"/>
      <c r="SUM2" s="97"/>
      <c r="SUN2" s="97"/>
      <c r="SUO2" s="97"/>
      <c r="SUP2" s="97"/>
      <c r="SUQ2" s="97"/>
      <c r="SUR2" s="97"/>
      <c r="SUS2" s="97"/>
      <c r="SUT2" s="97"/>
      <c r="SUU2" s="97"/>
      <c r="SUV2" s="97"/>
      <c r="SUW2" s="97"/>
      <c r="SUX2" s="97"/>
      <c r="SUY2" s="97"/>
      <c r="SUZ2" s="97"/>
      <c r="SVA2" s="97"/>
      <c r="SVB2" s="97"/>
      <c r="SVC2" s="97"/>
      <c r="SVD2" s="97"/>
      <c r="SVE2" s="97"/>
      <c r="SVF2" s="97"/>
      <c r="SVG2" s="97"/>
      <c r="SVH2" s="97"/>
      <c r="SVI2" s="97"/>
      <c r="SVJ2" s="97"/>
      <c r="SVK2" s="97"/>
      <c r="SVL2" s="97"/>
      <c r="SVM2" s="97"/>
      <c r="SVN2" s="97"/>
      <c r="SVO2" s="97"/>
      <c r="SVP2" s="97"/>
      <c r="SVQ2" s="97"/>
      <c r="SVR2" s="97"/>
      <c r="SVS2" s="97"/>
      <c r="SVT2" s="97"/>
      <c r="SVU2" s="97"/>
      <c r="SVV2" s="97"/>
      <c r="SVW2" s="97"/>
      <c r="SVX2" s="97"/>
      <c r="SVY2" s="97"/>
      <c r="SVZ2" s="97"/>
      <c r="SWA2" s="97"/>
      <c r="SWB2" s="97"/>
      <c r="SWC2" s="97"/>
      <c r="SWD2" s="97"/>
      <c r="SWE2" s="97"/>
      <c r="SWF2" s="97"/>
      <c r="SWG2" s="97"/>
      <c r="SWH2" s="97"/>
      <c r="SWI2" s="97"/>
      <c r="SWJ2" s="97"/>
      <c r="SWK2" s="97"/>
      <c r="SWL2" s="97"/>
      <c r="SWM2" s="97"/>
      <c r="SWN2" s="97"/>
      <c r="SWO2" s="97"/>
      <c r="SWP2" s="97"/>
      <c r="SWQ2" s="97"/>
      <c r="SWR2" s="97"/>
      <c r="SWS2" s="97"/>
      <c r="SWT2" s="97"/>
      <c r="SWU2" s="97"/>
      <c r="SWV2" s="97"/>
      <c r="SWW2" s="97"/>
      <c r="SWX2" s="97"/>
      <c r="SWY2" s="97"/>
      <c r="SWZ2" s="97"/>
      <c r="SXA2" s="97"/>
      <c r="SXB2" s="97"/>
      <c r="SXC2" s="97"/>
      <c r="SXD2" s="97"/>
      <c r="SXE2" s="97"/>
      <c r="SXF2" s="97"/>
      <c r="SXG2" s="97"/>
      <c r="SXH2" s="97"/>
      <c r="SXI2" s="97"/>
      <c r="SXJ2" s="97"/>
      <c r="SXK2" s="97"/>
      <c r="SXL2" s="97"/>
      <c r="SXM2" s="97"/>
      <c r="SXN2" s="97"/>
      <c r="SXO2" s="97"/>
      <c r="SXP2" s="97"/>
      <c r="SXQ2" s="97"/>
      <c r="SXR2" s="97"/>
      <c r="SXS2" s="97"/>
      <c r="SXT2" s="97"/>
      <c r="SXU2" s="97"/>
      <c r="SXV2" s="97"/>
      <c r="SXW2" s="97"/>
      <c r="SXX2" s="97"/>
      <c r="SXY2" s="97"/>
      <c r="SXZ2" s="97"/>
      <c r="SYA2" s="97"/>
      <c r="SYB2" s="97"/>
      <c r="SYC2" s="97"/>
      <c r="SYD2" s="97"/>
      <c r="SYE2" s="97"/>
      <c r="SYF2" s="97"/>
      <c r="SYG2" s="97"/>
      <c r="SYH2" s="97"/>
      <c r="SYI2" s="97"/>
      <c r="SYJ2" s="97"/>
      <c r="SYK2" s="97"/>
      <c r="SYL2" s="97"/>
      <c r="SYM2" s="97"/>
      <c r="SYN2" s="97"/>
      <c r="SYO2" s="97"/>
      <c r="SYP2" s="97"/>
      <c r="SYQ2" s="97"/>
      <c r="SYR2" s="97"/>
      <c r="SYS2" s="97"/>
      <c r="SYT2" s="97"/>
      <c r="SYU2" s="97"/>
      <c r="SYV2" s="97"/>
      <c r="SYW2" s="97"/>
      <c r="SYX2" s="97"/>
      <c r="SYY2" s="97"/>
      <c r="SYZ2" s="97"/>
      <c r="SZA2" s="97"/>
      <c r="SZB2" s="97"/>
      <c r="SZC2" s="97"/>
      <c r="SZD2" s="97"/>
      <c r="SZE2" s="97"/>
      <c r="SZF2" s="97"/>
      <c r="SZG2" s="97"/>
      <c r="SZH2" s="97"/>
      <c r="SZI2" s="97"/>
      <c r="SZJ2" s="97"/>
      <c r="SZK2" s="97"/>
      <c r="SZL2" s="97"/>
      <c r="SZM2" s="97"/>
      <c r="SZN2" s="97"/>
      <c r="SZO2" s="97"/>
      <c r="SZP2" s="97"/>
      <c r="SZQ2" s="97"/>
      <c r="SZR2" s="97"/>
      <c r="SZS2" s="97"/>
      <c r="SZT2" s="97"/>
      <c r="SZU2" s="97"/>
      <c r="SZV2" s="97"/>
      <c r="SZW2" s="97"/>
      <c r="SZX2" s="97"/>
      <c r="SZY2" s="97"/>
      <c r="SZZ2" s="97"/>
      <c r="TAA2" s="97"/>
      <c r="TAB2" s="97"/>
      <c r="TAC2" s="97"/>
      <c r="TAD2" s="97"/>
      <c r="TAE2" s="97"/>
      <c r="TAF2" s="97"/>
      <c r="TAG2" s="97"/>
      <c r="TAH2" s="97"/>
      <c r="TAI2" s="97"/>
      <c r="TAJ2" s="97"/>
      <c r="TAK2" s="97"/>
      <c r="TAL2" s="97"/>
      <c r="TAM2" s="97"/>
      <c r="TAN2" s="97"/>
      <c r="TAO2" s="97"/>
      <c r="TAP2" s="97"/>
      <c r="TAQ2" s="97"/>
      <c r="TAR2" s="97"/>
      <c r="TAS2" s="97"/>
      <c r="TAT2" s="97"/>
      <c r="TAU2" s="97"/>
      <c r="TAV2" s="97"/>
      <c r="TAW2" s="97"/>
      <c r="TAX2" s="97"/>
      <c r="TAY2" s="97"/>
      <c r="TAZ2" s="97"/>
      <c r="TBA2" s="97"/>
      <c r="TBB2" s="97"/>
      <c r="TBC2" s="97"/>
      <c r="TBD2" s="97"/>
      <c r="TBE2" s="97"/>
      <c r="TBF2" s="97"/>
      <c r="TBG2" s="97"/>
      <c r="TBH2" s="97"/>
      <c r="TBI2" s="97"/>
      <c r="TBJ2" s="97"/>
      <c r="TBK2" s="97"/>
      <c r="TBL2" s="97"/>
      <c r="TBM2" s="97"/>
      <c r="TBN2" s="97"/>
      <c r="TBO2" s="97"/>
      <c r="TBP2" s="97"/>
      <c r="TBQ2" s="97"/>
      <c r="TBR2" s="97"/>
      <c r="TBS2" s="97"/>
      <c r="TBT2" s="97"/>
      <c r="TBU2" s="97"/>
      <c r="TBV2" s="97"/>
      <c r="TBW2" s="97"/>
      <c r="TBX2" s="97"/>
      <c r="TBY2" s="97"/>
      <c r="TBZ2" s="97"/>
      <c r="TCA2" s="97"/>
      <c r="TCB2" s="97"/>
      <c r="TCC2" s="97"/>
      <c r="TCD2" s="97"/>
      <c r="TCE2" s="97"/>
      <c r="TCF2" s="97"/>
      <c r="TCG2" s="97"/>
      <c r="TCH2" s="97"/>
      <c r="TCI2" s="97"/>
      <c r="TCJ2" s="97"/>
      <c r="TCK2" s="97"/>
      <c r="TCL2" s="97"/>
      <c r="TCM2" s="97"/>
      <c r="TCN2" s="97"/>
      <c r="TCO2" s="97"/>
      <c r="TCP2" s="97"/>
      <c r="TCQ2" s="97"/>
      <c r="TCR2" s="97"/>
      <c r="TCS2" s="97"/>
      <c r="TCT2" s="97"/>
      <c r="TCU2" s="97"/>
      <c r="TCV2" s="97"/>
      <c r="TCW2" s="97"/>
      <c r="TCX2" s="97"/>
      <c r="TCY2" s="97"/>
      <c r="TCZ2" s="97"/>
      <c r="TDA2" s="97"/>
      <c r="TDB2" s="97"/>
      <c r="TDC2" s="97"/>
      <c r="TDD2" s="97"/>
      <c r="TDE2" s="97"/>
      <c r="TDF2" s="97"/>
      <c r="TDG2" s="97"/>
      <c r="TDH2" s="97"/>
      <c r="TDI2" s="97"/>
      <c r="TDJ2" s="97"/>
      <c r="TDK2" s="97"/>
      <c r="TDL2" s="97"/>
      <c r="TDM2" s="97"/>
      <c r="TDN2" s="97"/>
      <c r="TDO2" s="97"/>
      <c r="TDP2" s="97"/>
      <c r="TDQ2" s="97"/>
      <c r="TDR2" s="97"/>
      <c r="TDS2" s="97"/>
      <c r="TDT2" s="97"/>
      <c r="TDU2" s="97"/>
      <c r="TDV2" s="97"/>
      <c r="TDW2" s="97"/>
      <c r="TDX2" s="97"/>
      <c r="TDY2" s="97"/>
      <c r="TDZ2" s="97"/>
      <c r="TEA2" s="97"/>
      <c r="TEB2" s="97"/>
      <c r="TEC2" s="97"/>
      <c r="TED2" s="97"/>
      <c r="TEE2" s="97"/>
      <c r="TEF2" s="97"/>
      <c r="TEG2" s="97"/>
      <c r="TEH2" s="97"/>
      <c r="TEI2" s="97"/>
      <c r="TEJ2" s="97"/>
      <c r="TEK2" s="97"/>
      <c r="TEL2" s="97"/>
      <c r="TEM2" s="97"/>
      <c r="TEN2" s="97"/>
      <c r="TEO2" s="97"/>
      <c r="TEP2" s="97"/>
      <c r="TEQ2" s="97"/>
      <c r="TER2" s="97"/>
      <c r="TES2" s="97"/>
      <c r="TET2" s="97"/>
      <c r="TEU2" s="97"/>
      <c r="TEV2" s="97"/>
      <c r="TEW2" s="97"/>
      <c r="TEX2" s="97"/>
      <c r="TEY2" s="97"/>
      <c r="TEZ2" s="97"/>
      <c r="TFA2" s="97"/>
      <c r="TFB2" s="97"/>
      <c r="TFC2" s="97"/>
      <c r="TFD2" s="97"/>
      <c r="TFE2" s="97"/>
      <c r="TFF2" s="97"/>
      <c r="TFG2" s="97"/>
      <c r="TFH2" s="97"/>
      <c r="TFI2" s="97"/>
      <c r="TFJ2" s="97"/>
      <c r="TFK2" s="97"/>
      <c r="TFL2" s="97"/>
      <c r="TFM2" s="97"/>
      <c r="TFN2" s="97"/>
      <c r="TFO2" s="97"/>
      <c r="TFP2" s="97"/>
      <c r="TFQ2" s="97"/>
      <c r="TFR2" s="97"/>
      <c r="TFS2" s="97"/>
      <c r="TFT2" s="97"/>
      <c r="TFU2" s="97"/>
      <c r="TFV2" s="97"/>
      <c r="TFW2" s="97"/>
      <c r="TFX2" s="97"/>
      <c r="TFY2" s="97"/>
      <c r="TFZ2" s="97"/>
      <c r="TGA2" s="97"/>
      <c r="TGB2" s="97"/>
      <c r="TGC2" s="97"/>
      <c r="TGD2" s="97"/>
      <c r="TGE2" s="97"/>
      <c r="TGF2" s="97"/>
      <c r="TGG2" s="97"/>
      <c r="TGH2" s="97"/>
      <c r="TGI2" s="97"/>
      <c r="TGJ2" s="97"/>
      <c r="TGK2" s="97"/>
      <c r="TGL2" s="97"/>
      <c r="TGM2" s="97"/>
      <c r="TGN2" s="97"/>
      <c r="TGO2" s="97"/>
      <c r="TGP2" s="97"/>
      <c r="TGQ2" s="97"/>
      <c r="TGR2" s="97"/>
      <c r="TGS2" s="97"/>
      <c r="TGT2" s="97"/>
      <c r="TGU2" s="97"/>
      <c r="TGV2" s="97"/>
      <c r="TGW2" s="97"/>
      <c r="TGX2" s="97"/>
      <c r="TGY2" s="97"/>
      <c r="TGZ2" s="97"/>
      <c r="THA2" s="97"/>
      <c r="THB2" s="97"/>
      <c r="THC2" s="97"/>
      <c r="THD2" s="97"/>
      <c r="THE2" s="97"/>
      <c r="THF2" s="97"/>
      <c r="THG2" s="97"/>
      <c r="THH2" s="97"/>
      <c r="THI2" s="97"/>
      <c r="THJ2" s="97"/>
      <c r="THK2" s="97"/>
      <c r="THL2" s="97"/>
      <c r="THM2" s="97"/>
      <c r="THN2" s="97"/>
      <c r="THO2" s="97"/>
      <c r="THP2" s="97"/>
      <c r="THQ2" s="97"/>
      <c r="THR2" s="97"/>
      <c r="THS2" s="97"/>
      <c r="THT2" s="97"/>
      <c r="THU2" s="97"/>
      <c r="THV2" s="97"/>
      <c r="THW2" s="97"/>
      <c r="THX2" s="97"/>
      <c r="THY2" s="97"/>
      <c r="THZ2" s="97"/>
      <c r="TIA2" s="97"/>
      <c r="TIB2" s="97"/>
      <c r="TIC2" s="97"/>
      <c r="TID2" s="97"/>
      <c r="TIE2" s="97"/>
      <c r="TIF2" s="97"/>
      <c r="TIG2" s="97"/>
      <c r="TIH2" s="97"/>
      <c r="TII2" s="97"/>
      <c r="TIJ2" s="97"/>
      <c r="TIK2" s="97"/>
      <c r="TIL2" s="97"/>
      <c r="TIM2" s="97"/>
      <c r="TIN2" s="97"/>
      <c r="TIO2" s="97"/>
      <c r="TIP2" s="97"/>
      <c r="TIQ2" s="97"/>
      <c r="TIR2" s="97"/>
      <c r="TIS2" s="97"/>
      <c r="TIT2" s="97"/>
      <c r="TIU2" s="97"/>
      <c r="TIV2" s="97"/>
      <c r="TIW2" s="97"/>
      <c r="TIX2" s="97"/>
      <c r="TIY2" s="97"/>
      <c r="TIZ2" s="97"/>
      <c r="TJA2" s="97"/>
      <c r="TJB2" s="97"/>
      <c r="TJC2" s="97"/>
      <c r="TJD2" s="97"/>
      <c r="TJE2" s="97"/>
      <c r="TJF2" s="97"/>
      <c r="TJG2" s="97"/>
      <c r="TJH2" s="97"/>
      <c r="TJI2" s="97"/>
      <c r="TJJ2" s="97"/>
      <c r="TJK2" s="97"/>
      <c r="TJL2" s="97"/>
      <c r="TJM2" s="97"/>
      <c r="TJN2" s="97"/>
      <c r="TJO2" s="97"/>
      <c r="TJP2" s="97"/>
      <c r="TJQ2" s="97"/>
      <c r="TJR2" s="97"/>
      <c r="TJS2" s="97"/>
      <c r="TJT2" s="97"/>
      <c r="TJU2" s="97"/>
      <c r="TJV2" s="97"/>
      <c r="TJW2" s="97"/>
      <c r="TJX2" s="97"/>
      <c r="TJY2" s="97"/>
      <c r="TJZ2" s="97"/>
      <c r="TKA2" s="97"/>
      <c r="TKB2" s="97"/>
      <c r="TKC2" s="97"/>
      <c r="TKD2" s="97"/>
      <c r="TKE2" s="97"/>
      <c r="TKF2" s="97"/>
      <c r="TKG2" s="97"/>
      <c r="TKH2" s="97"/>
      <c r="TKI2" s="97"/>
      <c r="TKJ2" s="97"/>
      <c r="TKK2" s="97"/>
      <c r="TKL2" s="97"/>
      <c r="TKM2" s="97"/>
      <c r="TKN2" s="97"/>
      <c r="TKO2" s="97"/>
      <c r="TKP2" s="97"/>
      <c r="TKQ2" s="97"/>
      <c r="TKR2" s="97"/>
      <c r="TKS2" s="97"/>
      <c r="TKT2" s="97"/>
      <c r="TKU2" s="97"/>
      <c r="TKV2" s="97"/>
      <c r="TKW2" s="97"/>
      <c r="TKX2" s="97"/>
      <c r="TKY2" s="97"/>
      <c r="TKZ2" s="97"/>
      <c r="TLA2" s="97"/>
      <c r="TLB2" s="97"/>
      <c r="TLC2" s="97"/>
      <c r="TLD2" s="97"/>
      <c r="TLE2" s="97"/>
      <c r="TLF2" s="97"/>
      <c r="TLG2" s="97"/>
      <c r="TLH2" s="97"/>
      <c r="TLI2" s="97"/>
      <c r="TLJ2" s="97"/>
      <c r="TLK2" s="97"/>
      <c r="TLL2" s="97"/>
      <c r="TLM2" s="97"/>
      <c r="TLN2" s="97"/>
      <c r="TLO2" s="97"/>
      <c r="TLP2" s="97"/>
      <c r="TLQ2" s="97"/>
      <c r="TLR2" s="97"/>
      <c r="TLS2" s="97"/>
      <c r="TLT2" s="97"/>
      <c r="TLU2" s="97"/>
      <c r="TLV2" s="97"/>
      <c r="TLW2" s="97"/>
      <c r="TLX2" s="97"/>
      <c r="TLY2" s="97"/>
      <c r="TLZ2" s="97"/>
      <c r="TMA2" s="97"/>
      <c r="TMB2" s="97"/>
      <c r="TMC2" s="97"/>
      <c r="TMD2" s="97"/>
      <c r="TME2" s="97"/>
      <c r="TMF2" s="97"/>
      <c r="TMG2" s="97"/>
      <c r="TMH2" s="97"/>
      <c r="TMI2" s="97"/>
      <c r="TMJ2" s="97"/>
      <c r="TMK2" s="97"/>
      <c r="TML2" s="97"/>
      <c r="TMM2" s="97"/>
      <c r="TMN2" s="97"/>
      <c r="TMO2" s="97"/>
      <c r="TMP2" s="97"/>
      <c r="TMQ2" s="97"/>
      <c r="TMR2" s="97"/>
      <c r="TMS2" s="97"/>
      <c r="TMT2" s="97"/>
      <c r="TMU2" s="97"/>
      <c r="TMV2" s="97"/>
      <c r="TMW2" s="97"/>
      <c r="TMX2" s="97"/>
      <c r="TMY2" s="97"/>
      <c r="TMZ2" s="97"/>
      <c r="TNA2" s="97"/>
      <c r="TNB2" s="97"/>
      <c r="TNC2" s="97"/>
      <c r="TND2" s="97"/>
      <c r="TNE2" s="97"/>
      <c r="TNF2" s="97"/>
      <c r="TNG2" s="97"/>
      <c r="TNH2" s="97"/>
      <c r="TNI2" s="97"/>
      <c r="TNJ2" s="97"/>
      <c r="TNK2" s="97"/>
      <c r="TNL2" s="97"/>
      <c r="TNM2" s="97"/>
      <c r="TNN2" s="97"/>
      <c r="TNO2" s="97"/>
      <c r="TNP2" s="97"/>
      <c r="TNQ2" s="97"/>
      <c r="TNR2" s="97"/>
      <c r="TNS2" s="97"/>
      <c r="TNT2" s="97"/>
      <c r="TNU2" s="97"/>
      <c r="TNV2" s="97"/>
      <c r="TNW2" s="97"/>
      <c r="TNX2" s="97"/>
      <c r="TNY2" s="97"/>
      <c r="TNZ2" s="97"/>
      <c r="TOA2" s="97"/>
      <c r="TOB2" s="97"/>
      <c r="TOC2" s="97"/>
      <c r="TOD2" s="97"/>
      <c r="TOE2" s="97"/>
      <c r="TOF2" s="97"/>
      <c r="TOG2" s="97"/>
      <c r="TOH2" s="97"/>
      <c r="TOI2" s="97"/>
      <c r="TOJ2" s="97"/>
      <c r="TOK2" s="97"/>
      <c r="TOL2" s="97"/>
      <c r="TOM2" s="97"/>
      <c r="TON2" s="97"/>
      <c r="TOO2" s="97"/>
      <c r="TOP2" s="97"/>
      <c r="TOQ2" s="97"/>
      <c r="TOR2" s="97"/>
      <c r="TOS2" s="97"/>
      <c r="TOT2" s="97"/>
      <c r="TOU2" s="97"/>
      <c r="TOV2" s="97"/>
      <c r="TOW2" s="97"/>
      <c r="TOX2" s="97"/>
      <c r="TOY2" s="97"/>
      <c r="TOZ2" s="97"/>
      <c r="TPA2" s="97"/>
      <c r="TPB2" s="97"/>
      <c r="TPC2" s="97"/>
      <c r="TPD2" s="97"/>
      <c r="TPE2" s="97"/>
      <c r="TPF2" s="97"/>
      <c r="TPG2" s="97"/>
      <c r="TPH2" s="97"/>
      <c r="TPI2" s="97"/>
      <c r="TPJ2" s="97"/>
      <c r="TPK2" s="97"/>
      <c r="TPL2" s="97"/>
      <c r="TPM2" s="97"/>
      <c r="TPN2" s="97"/>
      <c r="TPO2" s="97"/>
      <c r="TPP2" s="97"/>
      <c r="TPQ2" s="97"/>
      <c r="TPR2" s="97"/>
      <c r="TPS2" s="97"/>
      <c r="TPT2" s="97"/>
      <c r="TPU2" s="97"/>
      <c r="TPV2" s="97"/>
      <c r="TPW2" s="97"/>
      <c r="TPX2" s="97"/>
      <c r="TPY2" s="97"/>
      <c r="TPZ2" s="97"/>
      <c r="TQA2" s="97"/>
      <c r="TQB2" s="97"/>
      <c r="TQC2" s="97"/>
      <c r="TQD2" s="97"/>
      <c r="TQE2" s="97"/>
      <c r="TQF2" s="97"/>
      <c r="TQG2" s="97"/>
      <c r="TQH2" s="97"/>
      <c r="TQI2" s="97"/>
      <c r="TQJ2" s="97"/>
      <c r="TQK2" s="97"/>
      <c r="TQL2" s="97"/>
      <c r="TQM2" s="97"/>
      <c r="TQN2" s="97"/>
      <c r="TQO2" s="97"/>
      <c r="TQP2" s="97"/>
      <c r="TQQ2" s="97"/>
      <c r="TQR2" s="97"/>
      <c r="TQS2" s="97"/>
      <c r="TQT2" s="97"/>
      <c r="TQU2" s="97"/>
      <c r="TQV2" s="97"/>
      <c r="TQW2" s="97"/>
      <c r="TQX2" s="97"/>
      <c r="TQY2" s="97"/>
      <c r="TQZ2" s="97"/>
      <c r="TRA2" s="97"/>
      <c r="TRB2" s="97"/>
      <c r="TRC2" s="97"/>
      <c r="TRD2" s="97"/>
      <c r="TRE2" s="97"/>
      <c r="TRF2" s="97"/>
      <c r="TRG2" s="97"/>
      <c r="TRH2" s="97"/>
      <c r="TRI2" s="97"/>
      <c r="TRJ2" s="97"/>
      <c r="TRK2" s="97"/>
      <c r="TRL2" s="97"/>
      <c r="TRM2" s="97"/>
      <c r="TRN2" s="97"/>
      <c r="TRO2" s="97"/>
      <c r="TRP2" s="97"/>
      <c r="TRQ2" s="97"/>
      <c r="TRR2" s="97"/>
      <c r="TRS2" s="97"/>
      <c r="TRT2" s="97"/>
      <c r="TRU2" s="97"/>
      <c r="TRV2" s="97"/>
      <c r="TRW2" s="97"/>
      <c r="TRX2" s="97"/>
      <c r="TRY2" s="97"/>
      <c r="TRZ2" s="97"/>
      <c r="TSA2" s="97"/>
      <c r="TSB2" s="97"/>
      <c r="TSC2" s="97"/>
      <c r="TSD2" s="97"/>
      <c r="TSE2" s="97"/>
      <c r="TSF2" s="97"/>
      <c r="TSG2" s="97"/>
      <c r="TSH2" s="97"/>
      <c r="TSI2" s="97"/>
      <c r="TSJ2" s="97"/>
      <c r="TSK2" s="97"/>
      <c r="TSL2" s="97"/>
      <c r="TSM2" s="97"/>
      <c r="TSN2" s="97"/>
      <c r="TSO2" s="97"/>
      <c r="TSP2" s="97"/>
      <c r="TSQ2" s="97"/>
      <c r="TSR2" s="97"/>
      <c r="TSS2" s="97"/>
      <c r="TST2" s="97"/>
      <c r="TSU2" s="97"/>
      <c r="TSV2" s="97"/>
      <c r="TSW2" s="97"/>
      <c r="TSX2" s="97"/>
      <c r="TSY2" s="97"/>
      <c r="TSZ2" s="97"/>
      <c r="TTA2" s="97"/>
      <c r="TTB2" s="97"/>
      <c r="TTC2" s="97"/>
      <c r="TTD2" s="97"/>
      <c r="TTE2" s="97"/>
      <c r="TTF2" s="97"/>
      <c r="TTG2" s="97"/>
      <c r="TTH2" s="97"/>
      <c r="TTI2" s="97"/>
      <c r="TTJ2" s="97"/>
      <c r="TTK2" s="97"/>
      <c r="TTL2" s="97"/>
      <c r="TTM2" s="97"/>
      <c r="TTN2" s="97"/>
      <c r="TTO2" s="97"/>
      <c r="TTP2" s="97"/>
      <c r="TTQ2" s="97"/>
      <c r="TTR2" s="97"/>
      <c r="TTS2" s="97"/>
      <c r="TTT2" s="97"/>
      <c r="TTU2" s="97"/>
      <c r="TTV2" s="97"/>
      <c r="TTW2" s="97"/>
      <c r="TTX2" s="97"/>
      <c r="TTY2" s="97"/>
      <c r="TTZ2" s="97"/>
      <c r="TUA2" s="97"/>
      <c r="TUB2" s="97"/>
      <c r="TUC2" s="97"/>
      <c r="TUD2" s="97"/>
      <c r="TUE2" s="97"/>
      <c r="TUF2" s="97"/>
      <c r="TUG2" s="97"/>
      <c r="TUH2" s="97"/>
      <c r="TUI2" s="97"/>
      <c r="TUJ2" s="97"/>
      <c r="TUK2" s="97"/>
      <c r="TUL2" s="97"/>
      <c r="TUM2" s="97"/>
      <c r="TUN2" s="97"/>
      <c r="TUO2" s="97"/>
      <c r="TUP2" s="97"/>
      <c r="TUQ2" s="97"/>
      <c r="TUR2" s="97"/>
      <c r="TUS2" s="97"/>
      <c r="TUT2" s="97"/>
      <c r="TUU2" s="97"/>
      <c r="TUV2" s="97"/>
      <c r="TUW2" s="97"/>
      <c r="TUX2" s="97"/>
      <c r="TUY2" s="97"/>
      <c r="TUZ2" s="97"/>
      <c r="TVA2" s="97"/>
      <c r="TVB2" s="97"/>
      <c r="TVC2" s="97"/>
      <c r="TVD2" s="97"/>
      <c r="TVE2" s="97"/>
      <c r="TVF2" s="97"/>
      <c r="TVG2" s="97"/>
      <c r="TVH2" s="97"/>
      <c r="TVI2" s="97"/>
      <c r="TVJ2" s="97"/>
      <c r="TVK2" s="97"/>
      <c r="TVL2" s="97"/>
      <c r="TVM2" s="97"/>
      <c r="TVN2" s="97"/>
      <c r="TVO2" s="97"/>
      <c r="TVP2" s="97"/>
      <c r="TVQ2" s="97"/>
      <c r="TVR2" s="97"/>
      <c r="TVS2" s="97"/>
      <c r="TVT2" s="97"/>
      <c r="TVU2" s="97"/>
      <c r="TVV2" s="97"/>
      <c r="TVW2" s="97"/>
      <c r="TVX2" s="97"/>
      <c r="TVY2" s="97"/>
      <c r="TVZ2" s="97"/>
      <c r="TWA2" s="97"/>
      <c r="TWB2" s="97"/>
      <c r="TWC2" s="97"/>
      <c r="TWD2" s="97"/>
      <c r="TWE2" s="97"/>
      <c r="TWF2" s="97"/>
      <c r="TWG2" s="97"/>
      <c r="TWH2" s="97"/>
      <c r="TWI2" s="97"/>
      <c r="TWJ2" s="97"/>
      <c r="TWK2" s="97"/>
      <c r="TWL2" s="97"/>
      <c r="TWM2" s="97"/>
      <c r="TWN2" s="97"/>
      <c r="TWO2" s="97"/>
      <c r="TWP2" s="97"/>
      <c r="TWQ2" s="97"/>
      <c r="TWR2" s="97"/>
      <c r="TWS2" s="97"/>
      <c r="TWT2" s="97"/>
      <c r="TWU2" s="97"/>
      <c r="TWV2" s="97"/>
      <c r="TWW2" s="97"/>
      <c r="TWX2" s="97"/>
      <c r="TWY2" s="97"/>
      <c r="TWZ2" s="97"/>
      <c r="TXA2" s="97"/>
      <c r="TXB2" s="97"/>
      <c r="TXC2" s="97"/>
      <c r="TXD2" s="97"/>
      <c r="TXE2" s="97"/>
      <c r="TXF2" s="97"/>
      <c r="TXG2" s="97"/>
      <c r="TXH2" s="97"/>
      <c r="TXI2" s="97"/>
      <c r="TXJ2" s="97"/>
      <c r="TXK2" s="97"/>
      <c r="TXL2" s="97"/>
      <c r="TXM2" s="97"/>
      <c r="TXN2" s="97"/>
      <c r="TXO2" s="97"/>
      <c r="TXP2" s="97"/>
      <c r="TXQ2" s="97"/>
      <c r="TXR2" s="97"/>
      <c r="TXS2" s="97"/>
      <c r="TXT2" s="97"/>
      <c r="TXU2" s="97"/>
      <c r="TXV2" s="97"/>
      <c r="TXW2" s="97"/>
      <c r="TXX2" s="97"/>
      <c r="TXY2" s="97"/>
      <c r="TXZ2" s="97"/>
      <c r="TYA2" s="97"/>
      <c r="TYB2" s="97"/>
      <c r="TYC2" s="97"/>
      <c r="TYD2" s="97"/>
      <c r="TYE2" s="97"/>
      <c r="TYF2" s="97"/>
      <c r="TYG2" s="97"/>
      <c r="TYH2" s="97"/>
      <c r="TYI2" s="97"/>
      <c r="TYJ2" s="97"/>
      <c r="TYK2" s="97"/>
      <c r="TYL2" s="97"/>
      <c r="TYM2" s="97"/>
      <c r="TYN2" s="97"/>
      <c r="TYO2" s="97"/>
      <c r="TYP2" s="97"/>
      <c r="TYQ2" s="97"/>
      <c r="TYR2" s="97"/>
      <c r="TYS2" s="97"/>
      <c r="TYT2" s="97"/>
      <c r="TYU2" s="97"/>
      <c r="TYV2" s="97"/>
      <c r="TYW2" s="97"/>
      <c r="TYX2" s="97"/>
      <c r="TYY2" s="97"/>
      <c r="TYZ2" s="97"/>
      <c r="TZA2" s="97"/>
      <c r="TZB2" s="97"/>
      <c r="TZC2" s="97"/>
      <c r="TZD2" s="97"/>
      <c r="TZE2" s="97"/>
      <c r="TZF2" s="97"/>
      <c r="TZG2" s="97"/>
      <c r="TZH2" s="97"/>
      <c r="TZI2" s="97"/>
      <c r="TZJ2" s="97"/>
      <c r="TZK2" s="97"/>
      <c r="TZL2" s="97"/>
      <c r="TZM2" s="97"/>
      <c r="TZN2" s="97"/>
      <c r="TZO2" s="97"/>
      <c r="TZP2" s="97"/>
      <c r="TZQ2" s="97"/>
      <c r="TZR2" s="97"/>
      <c r="TZS2" s="97"/>
      <c r="TZT2" s="97"/>
      <c r="TZU2" s="97"/>
      <c r="TZV2" s="97"/>
      <c r="TZW2" s="97"/>
      <c r="TZX2" s="97"/>
      <c r="TZY2" s="97"/>
      <c r="TZZ2" s="97"/>
      <c r="UAA2" s="97"/>
      <c r="UAB2" s="97"/>
      <c r="UAC2" s="97"/>
      <c r="UAD2" s="97"/>
      <c r="UAE2" s="97"/>
      <c r="UAF2" s="97"/>
      <c r="UAG2" s="97"/>
      <c r="UAH2" s="97"/>
      <c r="UAI2" s="97"/>
      <c r="UAJ2" s="97"/>
      <c r="UAK2" s="97"/>
      <c r="UAL2" s="97"/>
      <c r="UAM2" s="97"/>
      <c r="UAN2" s="97"/>
      <c r="UAO2" s="97"/>
      <c r="UAP2" s="97"/>
      <c r="UAQ2" s="97"/>
      <c r="UAR2" s="97"/>
      <c r="UAS2" s="97"/>
      <c r="UAT2" s="97"/>
      <c r="UAU2" s="97"/>
      <c r="UAV2" s="97"/>
      <c r="UAW2" s="97"/>
      <c r="UAX2" s="97"/>
      <c r="UAY2" s="97"/>
      <c r="UAZ2" s="97"/>
      <c r="UBA2" s="97"/>
      <c r="UBB2" s="97"/>
      <c r="UBC2" s="97"/>
      <c r="UBD2" s="97"/>
      <c r="UBE2" s="97"/>
      <c r="UBF2" s="97"/>
      <c r="UBG2" s="97"/>
      <c r="UBH2" s="97"/>
      <c r="UBI2" s="97"/>
      <c r="UBJ2" s="97"/>
      <c r="UBK2" s="97"/>
      <c r="UBL2" s="97"/>
      <c r="UBM2" s="97"/>
      <c r="UBN2" s="97"/>
      <c r="UBO2" s="97"/>
      <c r="UBP2" s="97"/>
      <c r="UBQ2" s="97"/>
      <c r="UBR2" s="97"/>
      <c r="UBS2" s="97"/>
      <c r="UBT2" s="97"/>
      <c r="UBU2" s="97"/>
      <c r="UBV2" s="97"/>
      <c r="UBW2" s="97"/>
      <c r="UBX2" s="97"/>
      <c r="UBY2" s="97"/>
      <c r="UBZ2" s="97"/>
      <c r="UCA2" s="97"/>
      <c r="UCB2" s="97"/>
      <c r="UCC2" s="97"/>
      <c r="UCD2" s="97"/>
      <c r="UCE2" s="97"/>
      <c r="UCF2" s="97"/>
      <c r="UCG2" s="97"/>
      <c r="UCH2" s="97"/>
      <c r="UCI2" s="97"/>
      <c r="UCJ2" s="97"/>
      <c r="UCK2" s="97"/>
      <c r="UCL2" s="97"/>
      <c r="UCM2" s="97"/>
      <c r="UCN2" s="97"/>
      <c r="UCO2" s="97"/>
      <c r="UCP2" s="97"/>
      <c r="UCQ2" s="97"/>
      <c r="UCR2" s="97"/>
      <c r="UCS2" s="97"/>
      <c r="UCT2" s="97"/>
      <c r="UCU2" s="97"/>
      <c r="UCV2" s="97"/>
      <c r="UCW2" s="97"/>
      <c r="UCX2" s="97"/>
      <c r="UCY2" s="97"/>
      <c r="UCZ2" s="97"/>
      <c r="UDA2" s="97"/>
      <c r="UDB2" s="97"/>
      <c r="UDC2" s="97"/>
      <c r="UDD2" s="97"/>
      <c r="UDE2" s="97"/>
      <c r="UDF2" s="97"/>
      <c r="UDG2" s="97"/>
      <c r="UDH2" s="97"/>
      <c r="UDI2" s="97"/>
      <c r="UDJ2" s="97"/>
      <c r="UDK2" s="97"/>
      <c r="UDL2" s="97"/>
      <c r="UDM2" s="97"/>
      <c r="UDN2" s="97"/>
      <c r="UDO2" s="97"/>
      <c r="UDP2" s="97"/>
      <c r="UDQ2" s="97"/>
      <c r="UDR2" s="97"/>
      <c r="UDS2" s="97"/>
      <c r="UDT2" s="97"/>
      <c r="UDU2" s="97"/>
      <c r="UDV2" s="97"/>
      <c r="UDW2" s="97"/>
      <c r="UDX2" s="97"/>
      <c r="UDY2" s="97"/>
      <c r="UDZ2" s="97"/>
      <c r="UEA2" s="97"/>
      <c r="UEB2" s="97"/>
      <c r="UEC2" s="97"/>
      <c r="UED2" s="97"/>
      <c r="UEE2" s="97"/>
      <c r="UEF2" s="97"/>
      <c r="UEG2" s="97"/>
      <c r="UEH2" s="97"/>
      <c r="UEI2" s="97"/>
      <c r="UEJ2" s="97"/>
      <c r="UEK2" s="97"/>
      <c r="UEL2" s="97"/>
      <c r="UEM2" s="97"/>
      <c r="UEN2" s="97"/>
      <c r="UEO2" s="97"/>
      <c r="UEP2" s="97"/>
      <c r="UEQ2" s="97"/>
      <c r="UER2" s="97"/>
      <c r="UES2" s="97"/>
      <c r="UET2" s="97"/>
      <c r="UEU2" s="97"/>
      <c r="UEV2" s="97"/>
      <c r="UEW2" s="97"/>
      <c r="UEX2" s="97"/>
      <c r="UEY2" s="97"/>
      <c r="UEZ2" s="97"/>
      <c r="UFA2" s="97"/>
      <c r="UFB2" s="97"/>
      <c r="UFC2" s="97"/>
      <c r="UFD2" s="97"/>
      <c r="UFE2" s="97"/>
      <c r="UFF2" s="97"/>
      <c r="UFG2" s="97"/>
      <c r="UFH2" s="97"/>
      <c r="UFI2" s="97"/>
      <c r="UFJ2" s="97"/>
      <c r="UFK2" s="97"/>
      <c r="UFL2" s="97"/>
      <c r="UFM2" s="97"/>
      <c r="UFN2" s="97"/>
      <c r="UFO2" s="97"/>
      <c r="UFP2" s="97"/>
      <c r="UFQ2" s="97"/>
      <c r="UFR2" s="97"/>
      <c r="UFS2" s="97"/>
      <c r="UFT2" s="97"/>
      <c r="UFU2" s="97"/>
      <c r="UFV2" s="97"/>
      <c r="UFW2" s="97"/>
      <c r="UFX2" s="97"/>
      <c r="UFY2" s="97"/>
      <c r="UFZ2" s="97"/>
      <c r="UGA2" s="97"/>
      <c r="UGB2" s="97"/>
      <c r="UGC2" s="97"/>
      <c r="UGD2" s="97"/>
      <c r="UGE2" s="97"/>
      <c r="UGF2" s="97"/>
      <c r="UGG2" s="97"/>
      <c r="UGH2" s="97"/>
      <c r="UGI2" s="97"/>
      <c r="UGJ2" s="97"/>
      <c r="UGK2" s="97"/>
      <c r="UGL2" s="97"/>
      <c r="UGM2" s="97"/>
      <c r="UGN2" s="97"/>
      <c r="UGO2" s="97"/>
      <c r="UGP2" s="97"/>
      <c r="UGQ2" s="97"/>
      <c r="UGR2" s="97"/>
      <c r="UGS2" s="97"/>
      <c r="UGT2" s="97"/>
      <c r="UGU2" s="97"/>
      <c r="UGV2" s="97"/>
      <c r="UGW2" s="97"/>
      <c r="UGX2" s="97"/>
      <c r="UGY2" s="97"/>
      <c r="UGZ2" s="97"/>
      <c r="UHA2" s="97"/>
      <c r="UHB2" s="97"/>
      <c r="UHC2" s="97"/>
      <c r="UHD2" s="97"/>
      <c r="UHE2" s="97"/>
      <c r="UHF2" s="97"/>
      <c r="UHG2" s="97"/>
      <c r="UHH2" s="97"/>
      <c r="UHI2" s="97"/>
      <c r="UHJ2" s="97"/>
      <c r="UHK2" s="97"/>
      <c r="UHL2" s="97"/>
      <c r="UHM2" s="97"/>
      <c r="UHN2" s="97"/>
      <c r="UHO2" s="97"/>
      <c r="UHP2" s="97"/>
      <c r="UHQ2" s="97"/>
      <c r="UHR2" s="97"/>
      <c r="UHS2" s="97"/>
      <c r="UHT2" s="97"/>
      <c r="UHU2" s="97"/>
      <c r="UHV2" s="97"/>
      <c r="UHW2" s="97"/>
      <c r="UHX2" s="97"/>
      <c r="UHY2" s="97"/>
      <c r="UHZ2" s="97"/>
      <c r="UIA2" s="97"/>
      <c r="UIB2" s="97"/>
      <c r="UIC2" s="97"/>
      <c r="UID2" s="97"/>
      <c r="UIE2" s="97"/>
      <c r="UIF2" s="97"/>
      <c r="UIG2" s="97"/>
      <c r="UIH2" s="97"/>
      <c r="UII2" s="97"/>
      <c r="UIJ2" s="97"/>
      <c r="UIK2" s="97"/>
      <c r="UIL2" s="97"/>
      <c r="UIM2" s="97"/>
      <c r="UIN2" s="97"/>
      <c r="UIO2" s="97"/>
      <c r="UIP2" s="97"/>
      <c r="UIQ2" s="97"/>
      <c r="UIR2" s="97"/>
      <c r="UIS2" s="97"/>
      <c r="UIT2" s="97"/>
      <c r="UIU2" s="97"/>
      <c r="UIV2" s="97"/>
      <c r="UIW2" s="97"/>
      <c r="UIX2" s="97"/>
      <c r="UIY2" s="97"/>
      <c r="UIZ2" s="97"/>
      <c r="UJA2" s="97"/>
      <c r="UJB2" s="97"/>
      <c r="UJC2" s="97"/>
      <c r="UJD2" s="97"/>
      <c r="UJE2" s="97"/>
      <c r="UJF2" s="97"/>
      <c r="UJG2" s="97"/>
      <c r="UJH2" s="97"/>
      <c r="UJI2" s="97"/>
      <c r="UJJ2" s="97"/>
      <c r="UJK2" s="97"/>
      <c r="UJL2" s="97"/>
      <c r="UJM2" s="97"/>
      <c r="UJN2" s="97"/>
      <c r="UJO2" s="97"/>
      <c r="UJP2" s="97"/>
      <c r="UJQ2" s="97"/>
      <c r="UJR2" s="97"/>
      <c r="UJS2" s="97"/>
      <c r="UJT2" s="97"/>
      <c r="UJU2" s="97"/>
      <c r="UJV2" s="97"/>
      <c r="UJW2" s="97"/>
      <c r="UJX2" s="97"/>
      <c r="UJY2" s="97"/>
      <c r="UJZ2" s="97"/>
      <c r="UKA2" s="97"/>
      <c r="UKB2" s="97"/>
      <c r="UKC2" s="97"/>
      <c r="UKD2" s="97"/>
      <c r="UKE2" s="97"/>
      <c r="UKF2" s="97"/>
      <c r="UKG2" s="97"/>
      <c r="UKH2" s="97"/>
      <c r="UKI2" s="97"/>
      <c r="UKJ2" s="97"/>
      <c r="UKK2" s="97"/>
      <c r="UKL2" s="97"/>
      <c r="UKM2" s="97"/>
      <c r="UKN2" s="97"/>
      <c r="UKO2" s="97"/>
      <c r="UKP2" s="97"/>
      <c r="UKQ2" s="97"/>
      <c r="UKR2" s="97"/>
      <c r="UKS2" s="97"/>
      <c r="UKT2" s="97"/>
      <c r="UKU2" s="97"/>
      <c r="UKV2" s="97"/>
      <c r="UKW2" s="97"/>
      <c r="UKX2" s="97"/>
      <c r="UKY2" s="97"/>
      <c r="UKZ2" s="97"/>
      <c r="ULA2" s="97"/>
      <c r="ULB2" s="97"/>
      <c r="ULC2" s="97"/>
      <c r="ULD2" s="97"/>
      <c r="ULE2" s="97"/>
      <c r="ULF2" s="97"/>
      <c r="ULG2" s="97"/>
      <c r="ULH2" s="97"/>
      <c r="ULI2" s="97"/>
      <c r="ULJ2" s="97"/>
      <c r="ULK2" s="97"/>
      <c r="ULL2" s="97"/>
      <c r="ULM2" s="97"/>
      <c r="ULN2" s="97"/>
      <c r="ULO2" s="97"/>
      <c r="ULP2" s="97"/>
      <c r="ULQ2" s="97"/>
      <c r="ULR2" s="97"/>
      <c r="ULS2" s="97"/>
      <c r="ULT2" s="97"/>
      <c r="ULU2" s="97"/>
      <c r="ULV2" s="97"/>
      <c r="ULW2" s="97"/>
      <c r="ULX2" s="97"/>
      <c r="ULY2" s="97"/>
      <c r="ULZ2" s="97"/>
      <c r="UMA2" s="97"/>
      <c r="UMB2" s="97"/>
      <c r="UMC2" s="97"/>
      <c r="UMD2" s="97"/>
      <c r="UME2" s="97"/>
      <c r="UMF2" s="97"/>
      <c r="UMG2" s="97"/>
      <c r="UMH2" s="97"/>
      <c r="UMI2" s="97"/>
      <c r="UMJ2" s="97"/>
      <c r="UMK2" s="97"/>
      <c r="UML2" s="97"/>
      <c r="UMM2" s="97"/>
      <c r="UMN2" s="97"/>
      <c r="UMO2" s="97"/>
      <c r="UMP2" s="97"/>
      <c r="UMQ2" s="97"/>
      <c r="UMR2" s="97"/>
      <c r="UMS2" s="97"/>
      <c r="UMT2" s="97"/>
      <c r="UMU2" s="97"/>
      <c r="UMV2" s="97"/>
      <c r="UMW2" s="97"/>
      <c r="UMX2" s="97"/>
      <c r="UMY2" s="97"/>
      <c r="UMZ2" s="97"/>
      <c r="UNA2" s="97"/>
      <c r="UNB2" s="97"/>
      <c r="UNC2" s="97"/>
      <c r="UND2" s="97"/>
      <c r="UNE2" s="97"/>
      <c r="UNF2" s="97"/>
      <c r="UNG2" s="97"/>
      <c r="UNH2" s="97"/>
      <c r="UNI2" s="97"/>
      <c r="UNJ2" s="97"/>
      <c r="UNK2" s="97"/>
      <c r="UNL2" s="97"/>
      <c r="UNM2" s="97"/>
      <c r="UNN2" s="97"/>
      <c r="UNO2" s="97"/>
      <c r="UNP2" s="97"/>
      <c r="UNQ2" s="97"/>
      <c r="UNR2" s="97"/>
      <c r="UNS2" s="97"/>
      <c r="UNT2" s="97"/>
      <c r="UNU2" s="97"/>
      <c r="UNV2" s="97"/>
      <c r="UNW2" s="97"/>
      <c r="UNX2" s="97"/>
      <c r="UNY2" s="97"/>
      <c r="UNZ2" s="97"/>
      <c r="UOA2" s="97"/>
      <c r="UOB2" s="97"/>
      <c r="UOC2" s="97"/>
      <c r="UOD2" s="97"/>
      <c r="UOE2" s="97"/>
      <c r="UOF2" s="97"/>
      <c r="UOG2" s="97"/>
      <c r="UOH2" s="97"/>
      <c r="UOI2" s="97"/>
      <c r="UOJ2" s="97"/>
      <c r="UOK2" s="97"/>
      <c r="UOL2" s="97"/>
      <c r="UOM2" s="97"/>
      <c r="UON2" s="97"/>
      <c r="UOO2" s="97"/>
      <c r="UOP2" s="97"/>
      <c r="UOQ2" s="97"/>
      <c r="UOR2" s="97"/>
      <c r="UOS2" s="97"/>
      <c r="UOT2" s="97"/>
      <c r="UOU2" s="97"/>
      <c r="UOV2" s="97"/>
      <c r="UOW2" s="97"/>
      <c r="UOX2" s="97"/>
      <c r="UOY2" s="97"/>
      <c r="UOZ2" s="97"/>
      <c r="UPA2" s="97"/>
      <c r="UPB2" s="97"/>
      <c r="UPC2" s="97"/>
      <c r="UPD2" s="97"/>
      <c r="UPE2" s="97"/>
      <c r="UPF2" s="97"/>
      <c r="UPG2" s="97"/>
      <c r="UPH2" s="97"/>
      <c r="UPI2" s="97"/>
      <c r="UPJ2" s="97"/>
      <c r="UPK2" s="97"/>
      <c r="UPL2" s="97"/>
      <c r="UPM2" s="97"/>
      <c r="UPN2" s="97"/>
      <c r="UPO2" s="97"/>
      <c r="UPP2" s="97"/>
      <c r="UPQ2" s="97"/>
      <c r="UPR2" s="97"/>
      <c r="UPS2" s="97"/>
      <c r="UPT2" s="97"/>
      <c r="UPU2" s="97"/>
      <c r="UPV2" s="97"/>
      <c r="UPW2" s="97"/>
      <c r="UPX2" s="97"/>
      <c r="UPY2" s="97"/>
      <c r="UPZ2" s="97"/>
      <c r="UQA2" s="97"/>
      <c r="UQB2" s="97"/>
      <c r="UQC2" s="97"/>
      <c r="UQD2" s="97"/>
      <c r="UQE2" s="97"/>
      <c r="UQF2" s="97"/>
      <c r="UQG2" s="97"/>
      <c r="UQH2" s="97"/>
      <c r="UQI2" s="97"/>
      <c r="UQJ2" s="97"/>
      <c r="UQK2" s="97"/>
      <c r="UQL2" s="97"/>
      <c r="UQM2" s="97"/>
      <c r="UQN2" s="97"/>
      <c r="UQO2" s="97"/>
      <c r="UQP2" s="97"/>
      <c r="UQQ2" s="97"/>
      <c r="UQR2" s="97"/>
      <c r="UQS2" s="97"/>
      <c r="UQT2" s="97"/>
      <c r="UQU2" s="97"/>
      <c r="UQV2" s="97"/>
      <c r="UQW2" s="97"/>
      <c r="UQX2" s="97"/>
      <c r="UQY2" s="97"/>
      <c r="UQZ2" s="97"/>
      <c r="URA2" s="97"/>
      <c r="URB2" s="97"/>
      <c r="URC2" s="97"/>
      <c r="URD2" s="97"/>
      <c r="URE2" s="97"/>
      <c r="URF2" s="97"/>
      <c r="URG2" s="97"/>
      <c r="URH2" s="97"/>
      <c r="URI2" s="97"/>
      <c r="URJ2" s="97"/>
      <c r="URK2" s="97"/>
      <c r="URL2" s="97"/>
      <c r="URM2" s="97"/>
      <c r="URN2" s="97"/>
      <c r="URO2" s="97"/>
      <c r="URP2" s="97"/>
      <c r="URQ2" s="97"/>
      <c r="URR2" s="97"/>
      <c r="URS2" s="97"/>
      <c r="URT2" s="97"/>
      <c r="URU2" s="97"/>
      <c r="URV2" s="97"/>
      <c r="URW2" s="97"/>
      <c r="URX2" s="97"/>
      <c r="URY2" s="97"/>
      <c r="URZ2" s="97"/>
      <c r="USA2" s="97"/>
      <c r="USB2" s="97"/>
      <c r="USC2" s="97"/>
      <c r="USD2" s="97"/>
      <c r="USE2" s="97"/>
      <c r="USF2" s="97"/>
      <c r="USG2" s="97"/>
      <c r="USH2" s="97"/>
      <c r="USI2" s="97"/>
      <c r="USJ2" s="97"/>
      <c r="USK2" s="97"/>
      <c r="USL2" s="97"/>
      <c r="USM2" s="97"/>
      <c r="USN2" s="97"/>
      <c r="USO2" s="97"/>
      <c r="USP2" s="97"/>
      <c r="USQ2" s="97"/>
      <c r="USR2" s="97"/>
      <c r="USS2" s="97"/>
      <c r="UST2" s="97"/>
      <c r="USU2" s="97"/>
      <c r="USV2" s="97"/>
      <c r="USW2" s="97"/>
      <c r="USX2" s="97"/>
      <c r="USY2" s="97"/>
      <c r="USZ2" s="97"/>
      <c r="UTA2" s="97"/>
      <c r="UTB2" s="97"/>
      <c r="UTC2" s="97"/>
      <c r="UTD2" s="97"/>
      <c r="UTE2" s="97"/>
      <c r="UTF2" s="97"/>
      <c r="UTG2" s="97"/>
      <c r="UTH2" s="97"/>
      <c r="UTI2" s="97"/>
      <c r="UTJ2" s="97"/>
      <c r="UTK2" s="97"/>
      <c r="UTL2" s="97"/>
      <c r="UTM2" s="97"/>
      <c r="UTN2" s="97"/>
      <c r="UTO2" s="97"/>
      <c r="UTP2" s="97"/>
      <c r="UTQ2" s="97"/>
      <c r="UTR2" s="97"/>
      <c r="UTS2" s="97"/>
      <c r="UTT2" s="97"/>
      <c r="UTU2" s="97"/>
      <c r="UTV2" s="97"/>
      <c r="UTW2" s="97"/>
      <c r="UTX2" s="97"/>
      <c r="UTY2" s="97"/>
      <c r="UTZ2" s="97"/>
      <c r="UUA2" s="97"/>
      <c r="UUB2" s="97"/>
      <c r="UUC2" s="97"/>
      <c r="UUD2" s="97"/>
      <c r="UUE2" s="97"/>
      <c r="UUF2" s="97"/>
      <c r="UUG2" s="97"/>
      <c r="UUH2" s="97"/>
      <c r="UUI2" s="97"/>
      <c r="UUJ2" s="97"/>
      <c r="UUK2" s="97"/>
      <c r="UUL2" s="97"/>
      <c r="UUM2" s="97"/>
      <c r="UUN2" s="97"/>
      <c r="UUO2" s="97"/>
      <c r="UUP2" s="97"/>
      <c r="UUQ2" s="97"/>
      <c r="UUR2" s="97"/>
      <c r="UUS2" s="97"/>
      <c r="UUT2" s="97"/>
      <c r="UUU2" s="97"/>
      <c r="UUV2" s="97"/>
      <c r="UUW2" s="97"/>
      <c r="UUX2" s="97"/>
      <c r="UUY2" s="97"/>
      <c r="UUZ2" s="97"/>
      <c r="UVA2" s="97"/>
      <c r="UVB2" s="97"/>
      <c r="UVC2" s="97"/>
      <c r="UVD2" s="97"/>
      <c r="UVE2" s="97"/>
      <c r="UVF2" s="97"/>
      <c r="UVG2" s="97"/>
      <c r="UVH2" s="97"/>
      <c r="UVI2" s="97"/>
      <c r="UVJ2" s="97"/>
      <c r="UVK2" s="97"/>
      <c r="UVL2" s="97"/>
      <c r="UVM2" s="97"/>
      <c r="UVN2" s="97"/>
      <c r="UVO2" s="97"/>
      <c r="UVP2" s="97"/>
      <c r="UVQ2" s="97"/>
      <c r="UVR2" s="97"/>
      <c r="UVS2" s="97"/>
      <c r="UVT2" s="97"/>
      <c r="UVU2" s="97"/>
      <c r="UVV2" s="97"/>
      <c r="UVW2" s="97"/>
      <c r="UVX2" s="97"/>
      <c r="UVY2" s="97"/>
      <c r="UVZ2" s="97"/>
      <c r="UWA2" s="97"/>
      <c r="UWB2" s="97"/>
      <c r="UWC2" s="97"/>
      <c r="UWD2" s="97"/>
      <c r="UWE2" s="97"/>
      <c r="UWF2" s="97"/>
      <c r="UWG2" s="97"/>
      <c r="UWH2" s="97"/>
      <c r="UWI2" s="97"/>
      <c r="UWJ2" s="97"/>
      <c r="UWK2" s="97"/>
      <c r="UWL2" s="97"/>
      <c r="UWM2" s="97"/>
      <c r="UWN2" s="97"/>
      <c r="UWO2" s="97"/>
      <c r="UWP2" s="97"/>
      <c r="UWQ2" s="97"/>
      <c r="UWR2" s="97"/>
      <c r="UWS2" s="97"/>
      <c r="UWT2" s="97"/>
      <c r="UWU2" s="97"/>
      <c r="UWV2" s="97"/>
      <c r="UWW2" s="97"/>
      <c r="UWX2" s="97"/>
      <c r="UWY2" s="97"/>
      <c r="UWZ2" s="97"/>
      <c r="UXA2" s="97"/>
      <c r="UXB2" s="97"/>
      <c r="UXC2" s="97"/>
      <c r="UXD2" s="97"/>
      <c r="UXE2" s="97"/>
      <c r="UXF2" s="97"/>
      <c r="UXG2" s="97"/>
      <c r="UXH2" s="97"/>
      <c r="UXI2" s="97"/>
      <c r="UXJ2" s="97"/>
      <c r="UXK2" s="97"/>
      <c r="UXL2" s="97"/>
      <c r="UXM2" s="97"/>
      <c r="UXN2" s="97"/>
      <c r="UXO2" s="97"/>
      <c r="UXP2" s="97"/>
      <c r="UXQ2" s="97"/>
      <c r="UXR2" s="97"/>
      <c r="UXS2" s="97"/>
      <c r="UXT2" s="97"/>
      <c r="UXU2" s="97"/>
      <c r="UXV2" s="97"/>
      <c r="UXW2" s="97"/>
      <c r="UXX2" s="97"/>
      <c r="UXY2" s="97"/>
      <c r="UXZ2" s="97"/>
      <c r="UYA2" s="97"/>
      <c r="UYB2" s="97"/>
      <c r="UYC2" s="97"/>
      <c r="UYD2" s="97"/>
      <c r="UYE2" s="97"/>
      <c r="UYF2" s="97"/>
      <c r="UYG2" s="97"/>
      <c r="UYH2" s="97"/>
      <c r="UYI2" s="97"/>
      <c r="UYJ2" s="97"/>
      <c r="UYK2" s="97"/>
      <c r="UYL2" s="97"/>
      <c r="UYM2" s="97"/>
      <c r="UYN2" s="97"/>
      <c r="UYO2" s="97"/>
      <c r="UYP2" s="97"/>
      <c r="UYQ2" s="97"/>
      <c r="UYR2" s="97"/>
      <c r="UYS2" s="97"/>
      <c r="UYT2" s="97"/>
      <c r="UYU2" s="97"/>
      <c r="UYV2" s="97"/>
      <c r="UYW2" s="97"/>
      <c r="UYX2" s="97"/>
      <c r="UYY2" s="97"/>
      <c r="UYZ2" s="97"/>
      <c r="UZA2" s="97"/>
      <c r="UZB2" s="97"/>
      <c r="UZC2" s="97"/>
      <c r="UZD2" s="97"/>
      <c r="UZE2" s="97"/>
      <c r="UZF2" s="97"/>
      <c r="UZG2" s="97"/>
      <c r="UZH2" s="97"/>
      <c r="UZI2" s="97"/>
      <c r="UZJ2" s="97"/>
      <c r="UZK2" s="97"/>
      <c r="UZL2" s="97"/>
      <c r="UZM2" s="97"/>
      <c r="UZN2" s="97"/>
      <c r="UZO2" s="97"/>
      <c r="UZP2" s="97"/>
      <c r="UZQ2" s="97"/>
      <c r="UZR2" s="97"/>
      <c r="UZS2" s="97"/>
      <c r="UZT2" s="97"/>
      <c r="UZU2" s="97"/>
      <c r="UZV2" s="97"/>
      <c r="UZW2" s="97"/>
      <c r="UZX2" s="97"/>
      <c r="UZY2" s="97"/>
      <c r="UZZ2" s="97"/>
      <c r="VAA2" s="97"/>
      <c r="VAB2" s="97"/>
      <c r="VAC2" s="97"/>
      <c r="VAD2" s="97"/>
      <c r="VAE2" s="97"/>
      <c r="VAF2" s="97"/>
      <c r="VAG2" s="97"/>
      <c r="VAH2" s="97"/>
      <c r="VAI2" s="97"/>
      <c r="VAJ2" s="97"/>
      <c r="VAK2" s="97"/>
      <c r="VAL2" s="97"/>
      <c r="VAM2" s="97"/>
      <c r="VAN2" s="97"/>
      <c r="VAO2" s="97"/>
      <c r="VAP2" s="97"/>
      <c r="VAQ2" s="97"/>
      <c r="VAR2" s="97"/>
      <c r="VAS2" s="97"/>
      <c r="VAT2" s="97"/>
      <c r="VAU2" s="97"/>
      <c r="VAV2" s="97"/>
      <c r="VAW2" s="97"/>
      <c r="VAX2" s="97"/>
      <c r="VAY2" s="97"/>
      <c r="VAZ2" s="97"/>
      <c r="VBA2" s="97"/>
      <c r="VBB2" s="97"/>
      <c r="VBC2" s="97"/>
      <c r="VBD2" s="97"/>
      <c r="VBE2" s="97"/>
      <c r="VBF2" s="97"/>
      <c r="VBG2" s="97"/>
      <c r="VBH2" s="97"/>
      <c r="VBI2" s="97"/>
      <c r="VBJ2" s="97"/>
      <c r="VBK2" s="97"/>
      <c r="VBL2" s="97"/>
      <c r="VBM2" s="97"/>
      <c r="VBN2" s="97"/>
      <c r="VBO2" s="97"/>
      <c r="VBP2" s="97"/>
      <c r="VBQ2" s="97"/>
      <c r="VBR2" s="97"/>
      <c r="VBS2" s="97"/>
      <c r="VBT2" s="97"/>
      <c r="VBU2" s="97"/>
      <c r="VBV2" s="97"/>
      <c r="VBW2" s="97"/>
      <c r="VBX2" s="97"/>
      <c r="VBY2" s="97"/>
      <c r="VBZ2" s="97"/>
      <c r="VCA2" s="97"/>
      <c r="VCB2" s="97"/>
      <c r="VCC2" s="97"/>
      <c r="VCD2" s="97"/>
      <c r="VCE2" s="97"/>
      <c r="VCF2" s="97"/>
      <c r="VCG2" s="97"/>
      <c r="VCH2" s="97"/>
      <c r="VCI2" s="97"/>
      <c r="VCJ2" s="97"/>
      <c r="VCK2" s="97"/>
      <c r="VCL2" s="97"/>
      <c r="VCM2" s="97"/>
      <c r="VCN2" s="97"/>
      <c r="VCO2" s="97"/>
      <c r="VCP2" s="97"/>
      <c r="VCQ2" s="97"/>
      <c r="VCR2" s="97"/>
      <c r="VCS2" s="97"/>
      <c r="VCT2" s="97"/>
      <c r="VCU2" s="97"/>
      <c r="VCV2" s="97"/>
      <c r="VCW2" s="97"/>
      <c r="VCX2" s="97"/>
      <c r="VCY2" s="97"/>
      <c r="VCZ2" s="97"/>
      <c r="VDA2" s="97"/>
      <c r="VDB2" s="97"/>
      <c r="VDC2" s="97"/>
      <c r="VDD2" s="97"/>
      <c r="VDE2" s="97"/>
      <c r="VDF2" s="97"/>
      <c r="VDG2" s="97"/>
      <c r="VDH2" s="97"/>
      <c r="VDI2" s="97"/>
      <c r="VDJ2" s="97"/>
      <c r="VDK2" s="97"/>
      <c r="VDL2" s="97"/>
      <c r="VDM2" s="97"/>
      <c r="VDN2" s="97"/>
      <c r="VDO2" s="97"/>
      <c r="VDP2" s="97"/>
      <c r="VDQ2" s="97"/>
      <c r="VDR2" s="97"/>
      <c r="VDS2" s="97"/>
      <c r="VDT2" s="97"/>
      <c r="VDU2" s="97"/>
      <c r="VDV2" s="97"/>
      <c r="VDW2" s="97"/>
      <c r="VDX2" s="97"/>
      <c r="VDY2" s="97"/>
      <c r="VDZ2" s="97"/>
      <c r="VEA2" s="97"/>
      <c r="VEB2" s="97"/>
      <c r="VEC2" s="97"/>
      <c r="VED2" s="97"/>
      <c r="VEE2" s="97"/>
      <c r="VEF2" s="97"/>
      <c r="VEG2" s="97"/>
      <c r="VEH2" s="97"/>
      <c r="VEI2" s="97"/>
      <c r="VEJ2" s="97"/>
      <c r="VEK2" s="97"/>
      <c r="VEL2" s="97"/>
      <c r="VEM2" s="97"/>
      <c r="VEN2" s="97"/>
      <c r="VEO2" s="97"/>
      <c r="VEP2" s="97"/>
      <c r="VEQ2" s="97"/>
      <c r="VER2" s="97"/>
      <c r="VES2" s="97"/>
      <c r="VET2" s="97"/>
      <c r="VEU2" s="97"/>
      <c r="VEV2" s="97"/>
      <c r="VEW2" s="97"/>
      <c r="VEX2" s="97"/>
      <c r="VEY2" s="97"/>
      <c r="VEZ2" s="97"/>
      <c r="VFA2" s="97"/>
      <c r="VFB2" s="97"/>
      <c r="VFC2" s="97"/>
      <c r="VFD2" s="97"/>
      <c r="VFE2" s="97"/>
      <c r="VFF2" s="97"/>
      <c r="VFG2" s="97"/>
      <c r="VFH2" s="97"/>
      <c r="VFI2" s="97"/>
      <c r="VFJ2" s="97"/>
      <c r="VFK2" s="97"/>
      <c r="VFL2" s="97"/>
      <c r="VFM2" s="97"/>
      <c r="VFN2" s="97"/>
      <c r="VFO2" s="97"/>
      <c r="VFP2" s="97"/>
      <c r="VFQ2" s="97"/>
      <c r="VFR2" s="97"/>
      <c r="VFS2" s="97"/>
      <c r="VFT2" s="97"/>
      <c r="VFU2" s="97"/>
      <c r="VFV2" s="97"/>
      <c r="VFW2" s="97"/>
      <c r="VFX2" s="97"/>
      <c r="VFY2" s="97"/>
      <c r="VFZ2" s="97"/>
      <c r="VGA2" s="97"/>
      <c r="VGB2" s="97"/>
      <c r="VGC2" s="97"/>
      <c r="VGD2" s="97"/>
      <c r="VGE2" s="97"/>
      <c r="VGF2" s="97"/>
      <c r="VGG2" s="97"/>
      <c r="VGH2" s="97"/>
      <c r="VGI2" s="97"/>
      <c r="VGJ2" s="97"/>
      <c r="VGK2" s="97"/>
      <c r="VGL2" s="97"/>
      <c r="VGM2" s="97"/>
      <c r="VGN2" s="97"/>
      <c r="VGO2" s="97"/>
      <c r="VGP2" s="97"/>
      <c r="VGQ2" s="97"/>
      <c r="VGR2" s="97"/>
      <c r="VGS2" s="97"/>
      <c r="VGT2" s="97"/>
      <c r="VGU2" s="97"/>
      <c r="VGV2" s="97"/>
      <c r="VGW2" s="97"/>
      <c r="VGX2" s="97"/>
      <c r="VGY2" s="97"/>
      <c r="VGZ2" s="97"/>
      <c r="VHA2" s="97"/>
      <c r="VHB2" s="97"/>
      <c r="VHC2" s="97"/>
      <c r="VHD2" s="97"/>
      <c r="VHE2" s="97"/>
      <c r="VHF2" s="97"/>
      <c r="VHG2" s="97"/>
      <c r="VHH2" s="97"/>
      <c r="VHI2" s="97"/>
      <c r="VHJ2" s="97"/>
      <c r="VHK2" s="97"/>
      <c r="VHL2" s="97"/>
      <c r="VHM2" s="97"/>
      <c r="VHN2" s="97"/>
      <c r="VHO2" s="97"/>
      <c r="VHP2" s="97"/>
      <c r="VHQ2" s="97"/>
      <c r="VHR2" s="97"/>
      <c r="VHS2" s="97"/>
      <c r="VHT2" s="97"/>
      <c r="VHU2" s="97"/>
      <c r="VHV2" s="97"/>
      <c r="VHW2" s="97"/>
      <c r="VHX2" s="97"/>
      <c r="VHY2" s="97"/>
      <c r="VHZ2" s="97"/>
      <c r="VIA2" s="97"/>
      <c r="VIB2" s="97"/>
      <c r="VIC2" s="97"/>
      <c r="VID2" s="97"/>
      <c r="VIE2" s="97"/>
      <c r="VIF2" s="97"/>
      <c r="VIG2" s="97"/>
      <c r="VIH2" s="97"/>
      <c r="VII2" s="97"/>
      <c r="VIJ2" s="97"/>
      <c r="VIK2" s="97"/>
      <c r="VIL2" s="97"/>
      <c r="VIM2" s="97"/>
      <c r="VIN2" s="97"/>
      <c r="VIO2" s="97"/>
      <c r="VIP2" s="97"/>
      <c r="VIQ2" s="97"/>
      <c r="VIR2" s="97"/>
      <c r="VIS2" s="97"/>
      <c r="VIT2" s="97"/>
      <c r="VIU2" s="97"/>
      <c r="VIV2" s="97"/>
      <c r="VIW2" s="97"/>
      <c r="VIX2" s="97"/>
      <c r="VIY2" s="97"/>
      <c r="VIZ2" s="97"/>
      <c r="VJA2" s="97"/>
      <c r="VJB2" s="97"/>
      <c r="VJC2" s="97"/>
      <c r="VJD2" s="97"/>
      <c r="VJE2" s="97"/>
      <c r="VJF2" s="97"/>
      <c r="VJG2" s="97"/>
      <c r="VJH2" s="97"/>
      <c r="VJI2" s="97"/>
      <c r="VJJ2" s="97"/>
      <c r="VJK2" s="97"/>
      <c r="VJL2" s="97"/>
      <c r="VJM2" s="97"/>
      <c r="VJN2" s="97"/>
      <c r="VJO2" s="97"/>
      <c r="VJP2" s="97"/>
      <c r="VJQ2" s="97"/>
      <c r="VJR2" s="97"/>
      <c r="VJS2" s="97"/>
      <c r="VJT2" s="97"/>
      <c r="VJU2" s="97"/>
      <c r="VJV2" s="97"/>
      <c r="VJW2" s="97"/>
      <c r="VJX2" s="97"/>
      <c r="VJY2" s="97"/>
      <c r="VJZ2" s="97"/>
      <c r="VKA2" s="97"/>
      <c r="VKB2" s="97"/>
      <c r="VKC2" s="97"/>
      <c r="VKD2" s="97"/>
      <c r="VKE2" s="97"/>
      <c r="VKF2" s="97"/>
      <c r="VKG2" s="97"/>
      <c r="VKH2" s="97"/>
      <c r="VKI2" s="97"/>
      <c r="VKJ2" s="97"/>
      <c r="VKK2" s="97"/>
      <c r="VKL2" s="97"/>
      <c r="VKM2" s="97"/>
      <c r="VKN2" s="97"/>
      <c r="VKO2" s="97"/>
      <c r="VKP2" s="97"/>
      <c r="VKQ2" s="97"/>
      <c r="VKR2" s="97"/>
      <c r="VKS2" s="97"/>
      <c r="VKT2" s="97"/>
      <c r="VKU2" s="97"/>
      <c r="VKV2" s="97"/>
      <c r="VKW2" s="97"/>
      <c r="VKX2" s="97"/>
      <c r="VKY2" s="97"/>
      <c r="VKZ2" s="97"/>
      <c r="VLA2" s="97"/>
      <c r="VLB2" s="97"/>
      <c r="VLC2" s="97"/>
      <c r="VLD2" s="97"/>
      <c r="VLE2" s="97"/>
      <c r="VLF2" s="97"/>
      <c r="VLG2" s="97"/>
      <c r="VLH2" s="97"/>
      <c r="VLI2" s="97"/>
      <c r="VLJ2" s="97"/>
      <c r="VLK2" s="97"/>
      <c r="VLL2" s="97"/>
      <c r="VLM2" s="97"/>
      <c r="VLN2" s="97"/>
      <c r="VLO2" s="97"/>
      <c r="VLP2" s="97"/>
      <c r="VLQ2" s="97"/>
      <c r="VLR2" s="97"/>
      <c r="VLS2" s="97"/>
      <c r="VLT2" s="97"/>
      <c r="VLU2" s="97"/>
      <c r="VLV2" s="97"/>
      <c r="VLW2" s="97"/>
      <c r="VLX2" s="97"/>
      <c r="VLY2" s="97"/>
      <c r="VLZ2" s="97"/>
      <c r="VMA2" s="97"/>
      <c r="VMB2" s="97"/>
      <c r="VMC2" s="97"/>
      <c r="VMD2" s="97"/>
      <c r="VME2" s="97"/>
      <c r="VMF2" s="97"/>
      <c r="VMG2" s="97"/>
      <c r="VMH2" s="97"/>
      <c r="VMI2" s="97"/>
      <c r="VMJ2" s="97"/>
      <c r="VMK2" s="97"/>
      <c r="VML2" s="97"/>
      <c r="VMM2" s="97"/>
      <c r="VMN2" s="97"/>
      <c r="VMO2" s="97"/>
      <c r="VMP2" s="97"/>
      <c r="VMQ2" s="97"/>
      <c r="VMR2" s="97"/>
      <c r="VMS2" s="97"/>
      <c r="VMT2" s="97"/>
      <c r="VMU2" s="97"/>
      <c r="VMV2" s="97"/>
      <c r="VMW2" s="97"/>
      <c r="VMX2" s="97"/>
      <c r="VMY2" s="97"/>
      <c r="VMZ2" s="97"/>
      <c r="VNA2" s="97"/>
      <c r="VNB2" s="97"/>
      <c r="VNC2" s="97"/>
      <c r="VND2" s="97"/>
      <c r="VNE2" s="97"/>
      <c r="VNF2" s="97"/>
      <c r="VNG2" s="97"/>
      <c r="VNH2" s="97"/>
      <c r="VNI2" s="97"/>
      <c r="VNJ2" s="97"/>
      <c r="VNK2" s="97"/>
      <c r="VNL2" s="97"/>
      <c r="VNM2" s="97"/>
      <c r="VNN2" s="97"/>
      <c r="VNO2" s="97"/>
      <c r="VNP2" s="97"/>
      <c r="VNQ2" s="97"/>
      <c r="VNR2" s="97"/>
      <c r="VNS2" s="97"/>
      <c r="VNT2" s="97"/>
      <c r="VNU2" s="97"/>
      <c r="VNV2" s="97"/>
      <c r="VNW2" s="97"/>
      <c r="VNX2" s="97"/>
      <c r="VNY2" s="97"/>
      <c r="VNZ2" s="97"/>
      <c r="VOA2" s="97"/>
      <c r="VOB2" s="97"/>
      <c r="VOC2" s="97"/>
      <c r="VOD2" s="97"/>
      <c r="VOE2" s="97"/>
      <c r="VOF2" s="97"/>
      <c r="VOG2" s="97"/>
      <c r="VOH2" s="97"/>
      <c r="VOI2" s="97"/>
      <c r="VOJ2" s="97"/>
      <c r="VOK2" s="97"/>
      <c r="VOL2" s="97"/>
      <c r="VOM2" s="97"/>
      <c r="VON2" s="97"/>
      <c r="VOO2" s="97"/>
      <c r="VOP2" s="97"/>
      <c r="VOQ2" s="97"/>
      <c r="VOR2" s="97"/>
      <c r="VOS2" s="97"/>
      <c r="VOT2" s="97"/>
      <c r="VOU2" s="97"/>
      <c r="VOV2" s="97"/>
      <c r="VOW2" s="97"/>
      <c r="VOX2" s="97"/>
      <c r="VOY2" s="97"/>
      <c r="VOZ2" s="97"/>
      <c r="VPA2" s="97"/>
      <c r="VPB2" s="97"/>
      <c r="VPC2" s="97"/>
      <c r="VPD2" s="97"/>
      <c r="VPE2" s="97"/>
      <c r="VPF2" s="97"/>
      <c r="VPG2" s="97"/>
      <c r="VPH2" s="97"/>
      <c r="VPI2" s="97"/>
      <c r="VPJ2" s="97"/>
      <c r="VPK2" s="97"/>
      <c r="VPL2" s="97"/>
      <c r="VPM2" s="97"/>
      <c r="VPN2" s="97"/>
      <c r="VPO2" s="97"/>
      <c r="VPP2" s="97"/>
      <c r="VPQ2" s="97"/>
      <c r="VPR2" s="97"/>
      <c r="VPS2" s="97"/>
      <c r="VPT2" s="97"/>
      <c r="VPU2" s="97"/>
      <c r="VPV2" s="97"/>
      <c r="VPW2" s="97"/>
      <c r="VPX2" s="97"/>
      <c r="VPY2" s="97"/>
      <c r="VPZ2" s="97"/>
      <c r="VQA2" s="97"/>
      <c r="VQB2" s="97"/>
      <c r="VQC2" s="97"/>
      <c r="VQD2" s="97"/>
      <c r="VQE2" s="97"/>
      <c r="VQF2" s="97"/>
      <c r="VQG2" s="97"/>
      <c r="VQH2" s="97"/>
      <c r="VQI2" s="97"/>
      <c r="VQJ2" s="97"/>
      <c r="VQK2" s="97"/>
      <c r="VQL2" s="97"/>
      <c r="VQM2" s="97"/>
      <c r="VQN2" s="97"/>
      <c r="VQO2" s="97"/>
      <c r="VQP2" s="97"/>
      <c r="VQQ2" s="97"/>
      <c r="VQR2" s="97"/>
      <c r="VQS2" s="97"/>
      <c r="VQT2" s="97"/>
      <c r="VQU2" s="97"/>
      <c r="VQV2" s="97"/>
      <c r="VQW2" s="97"/>
      <c r="VQX2" s="97"/>
      <c r="VQY2" s="97"/>
      <c r="VQZ2" s="97"/>
      <c r="VRA2" s="97"/>
      <c r="VRB2" s="97"/>
      <c r="VRC2" s="97"/>
      <c r="VRD2" s="97"/>
      <c r="VRE2" s="97"/>
      <c r="VRF2" s="97"/>
      <c r="VRG2" s="97"/>
      <c r="VRH2" s="97"/>
      <c r="VRI2" s="97"/>
      <c r="VRJ2" s="97"/>
      <c r="VRK2" s="97"/>
      <c r="VRL2" s="97"/>
      <c r="VRM2" s="97"/>
      <c r="VRN2" s="97"/>
      <c r="VRO2" s="97"/>
      <c r="VRP2" s="97"/>
      <c r="VRQ2" s="97"/>
      <c r="VRR2" s="97"/>
      <c r="VRS2" s="97"/>
      <c r="VRT2" s="97"/>
      <c r="VRU2" s="97"/>
      <c r="VRV2" s="97"/>
      <c r="VRW2" s="97"/>
      <c r="VRX2" s="97"/>
      <c r="VRY2" s="97"/>
      <c r="VRZ2" s="97"/>
      <c r="VSA2" s="97"/>
      <c r="VSB2" s="97"/>
      <c r="VSC2" s="97"/>
      <c r="VSD2" s="97"/>
      <c r="VSE2" s="97"/>
      <c r="VSF2" s="97"/>
      <c r="VSG2" s="97"/>
      <c r="VSH2" s="97"/>
      <c r="VSI2" s="97"/>
      <c r="VSJ2" s="97"/>
      <c r="VSK2" s="97"/>
      <c r="VSL2" s="97"/>
      <c r="VSM2" s="97"/>
      <c r="VSN2" s="97"/>
      <c r="VSO2" s="97"/>
      <c r="VSP2" s="97"/>
      <c r="VSQ2" s="97"/>
      <c r="VSR2" s="97"/>
      <c r="VSS2" s="97"/>
      <c r="VST2" s="97"/>
      <c r="VSU2" s="97"/>
      <c r="VSV2" s="97"/>
      <c r="VSW2" s="97"/>
      <c r="VSX2" s="97"/>
      <c r="VSY2" s="97"/>
      <c r="VSZ2" s="97"/>
      <c r="VTA2" s="97"/>
      <c r="VTB2" s="97"/>
      <c r="VTC2" s="97"/>
      <c r="VTD2" s="97"/>
      <c r="VTE2" s="97"/>
      <c r="VTF2" s="97"/>
      <c r="VTG2" s="97"/>
      <c r="VTH2" s="97"/>
      <c r="VTI2" s="97"/>
      <c r="VTJ2" s="97"/>
      <c r="VTK2" s="97"/>
      <c r="VTL2" s="97"/>
      <c r="VTM2" s="97"/>
      <c r="VTN2" s="97"/>
      <c r="VTO2" s="97"/>
      <c r="VTP2" s="97"/>
      <c r="VTQ2" s="97"/>
      <c r="VTR2" s="97"/>
      <c r="VTS2" s="97"/>
      <c r="VTT2" s="97"/>
      <c r="VTU2" s="97"/>
      <c r="VTV2" s="97"/>
      <c r="VTW2" s="97"/>
      <c r="VTX2" s="97"/>
      <c r="VTY2" s="97"/>
      <c r="VTZ2" s="97"/>
      <c r="VUA2" s="97"/>
      <c r="VUB2" s="97"/>
      <c r="VUC2" s="97"/>
      <c r="VUD2" s="97"/>
      <c r="VUE2" s="97"/>
      <c r="VUF2" s="97"/>
      <c r="VUG2" s="97"/>
      <c r="VUH2" s="97"/>
      <c r="VUI2" s="97"/>
      <c r="VUJ2" s="97"/>
      <c r="VUK2" s="97"/>
      <c r="VUL2" s="97"/>
      <c r="VUM2" s="97"/>
      <c r="VUN2" s="97"/>
      <c r="VUO2" s="97"/>
      <c r="VUP2" s="97"/>
      <c r="VUQ2" s="97"/>
      <c r="VUR2" s="97"/>
      <c r="VUS2" s="97"/>
      <c r="VUT2" s="97"/>
      <c r="VUU2" s="97"/>
      <c r="VUV2" s="97"/>
      <c r="VUW2" s="97"/>
      <c r="VUX2" s="97"/>
      <c r="VUY2" s="97"/>
      <c r="VUZ2" s="97"/>
      <c r="VVA2" s="97"/>
      <c r="VVB2" s="97"/>
      <c r="VVC2" s="97"/>
      <c r="VVD2" s="97"/>
      <c r="VVE2" s="97"/>
      <c r="VVF2" s="97"/>
      <c r="VVG2" s="97"/>
      <c r="VVH2" s="97"/>
      <c r="VVI2" s="97"/>
      <c r="VVJ2" s="97"/>
      <c r="VVK2" s="97"/>
      <c r="VVL2" s="97"/>
      <c r="VVM2" s="97"/>
      <c r="VVN2" s="97"/>
      <c r="VVO2" s="97"/>
      <c r="VVP2" s="97"/>
      <c r="VVQ2" s="97"/>
      <c r="VVR2" s="97"/>
      <c r="VVS2" s="97"/>
      <c r="VVT2" s="97"/>
      <c r="VVU2" s="97"/>
      <c r="VVV2" s="97"/>
      <c r="VVW2" s="97"/>
      <c r="VVX2" s="97"/>
      <c r="VVY2" s="97"/>
      <c r="VVZ2" s="97"/>
      <c r="VWA2" s="97"/>
      <c r="VWB2" s="97"/>
      <c r="VWC2" s="97"/>
      <c r="VWD2" s="97"/>
      <c r="VWE2" s="97"/>
      <c r="VWF2" s="97"/>
      <c r="VWG2" s="97"/>
      <c r="VWH2" s="97"/>
      <c r="VWI2" s="97"/>
      <c r="VWJ2" s="97"/>
      <c r="VWK2" s="97"/>
      <c r="VWL2" s="97"/>
      <c r="VWM2" s="97"/>
      <c r="VWN2" s="97"/>
      <c r="VWO2" s="97"/>
      <c r="VWP2" s="97"/>
      <c r="VWQ2" s="97"/>
      <c r="VWR2" s="97"/>
      <c r="VWS2" s="97"/>
      <c r="VWT2" s="97"/>
      <c r="VWU2" s="97"/>
      <c r="VWV2" s="97"/>
      <c r="VWW2" s="97"/>
      <c r="VWX2" s="97"/>
      <c r="VWY2" s="97"/>
      <c r="VWZ2" s="97"/>
      <c r="VXA2" s="97"/>
      <c r="VXB2" s="97"/>
      <c r="VXC2" s="97"/>
      <c r="VXD2" s="97"/>
      <c r="VXE2" s="97"/>
      <c r="VXF2" s="97"/>
      <c r="VXG2" s="97"/>
      <c r="VXH2" s="97"/>
      <c r="VXI2" s="97"/>
      <c r="VXJ2" s="97"/>
      <c r="VXK2" s="97"/>
      <c r="VXL2" s="97"/>
      <c r="VXM2" s="97"/>
      <c r="VXN2" s="97"/>
      <c r="VXO2" s="97"/>
      <c r="VXP2" s="97"/>
      <c r="VXQ2" s="97"/>
      <c r="VXR2" s="97"/>
      <c r="VXS2" s="97"/>
      <c r="VXT2" s="97"/>
      <c r="VXU2" s="97"/>
      <c r="VXV2" s="97"/>
      <c r="VXW2" s="97"/>
      <c r="VXX2" s="97"/>
      <c r="VXY2" s="97"/>
      <c r="VXZ2" s="97"/>
      <c r="VYA2" s="97"/>
      <c r="VYB2" s="97"/>
      <c r="VYC2" s="97"/>
      <c r="VYD2" s="97"/>
      <c r="VYE2" s="97"/>
      <c r="VYF2" s="97"/>
      <c r="VYG2" s="97"/>
      <c r="VYH2" s="97"/>
      <c r="VYI2" s="97"/>
      <c r="VYJ2" s="97"/>
      <c r="VYK2" s="97"/>
      <c r="VYL2" s="97"/>
      <c r="VYM2" s="97"/>
      <c r="VYN2" s="97"/>
      <c r="VYO2" s="97"/>
      <c r="VYP2" s="97"/>
      <c r="VYQ2" s="97"/>
      <c r="VYR2" s="97"/>
      <c r="VYS2" s="97"/>
      <c r="VYT2" s="97"/>
      <c r="VYU2" s="97"/>
      <c r="VYV2" s="97"/>
      <c r="VYW2" s="97"/>
      <c r="VYX2" s="97"/>
      <c r="VYY2" s="97"/>
      <c r="VYZ2" s="97"/>
      <c r="VZA2" s="97"/>
      <c r="VZB2" s="97"/>
      <c r="VZC2" s="97"/>
      <c r="VZD2" s="97"/>
      <c r="VZE2" s="97"/>
      <c r="VZF2" s="97"/>
      <c r="VZG2" s="97"/>
      <c r="VZH2" s="97"/>
      <c r="VZI2" s="97"/>
      <c r="VZJ2" s="97"/>
      <c r="VZK2" s="97"/>
      <c r="VZL2" s="97"/>
      <c r="VZM2" s="97"/>
      <c r="VZN2" s="97"/>
      <c r="VZO2" s="97"/>
      <c r="VZP2" s="97"/>
      <c r="VZQ2" s="97"/>
      <c r="VZR2" s="97"/>
      <c r="VZS2" s="97"/>
      <c r="VZT2" s="97"/>
      <c r="VZU2" s="97"/>
      <c r="VZV2" s="97"/>
      <c r="VZW2" s="97"/>
      <c r="VZX2" s="97"/>
      <c r="VZY2" s="97"/>
      <c r="VZZ2" s="97"/>
      <c r="WAA2" s="97"/>
      <c r="WAB2" s="97"/>
      <c r="WAC2" s="97"/>
      <c r="WAD2" s="97"/>
      <c r="WAE2" s="97"/>
      <c r="WAF2" s="97"/>
      <c r="WAG2" s="97"/>
      <c r="WAH2" s="97"/>
      <c r="WAI2" s="97"/>
      <c r="WAJ2" s="97"/>
      <c r="WAK2" s="97"/>
      <c r="WAL2" s="97"/>
      <c r="WAM2" s="97"/>
      <c r="WAN2" s="97"/>
      <c r="WAO2" s="97"/>
      <c r="WAP2" s="97"/>
      <c r="WAQ2" s="97"/>
      <c r="WAR2" s="97"/>
      <c r="WAS2" s="97"/>
      <c r="WAT2" s="97"/>
      <c r="WAU2" s="97"/>
      <c r="WAV2" s="97"/>
      <c r="WAW2" s="97"/>
      <c r="WAX2" s="97"/>
      <c r="WAY2" s="97"/>
      <c r="WAZ2" s="97"/>
      <c r="WBA2" s="97"/>
      <c r="WBB2" s="97"/>
      <c r="WBC2" s="97"/>
      <c r="WBD2" s="97"/>
      <c r="WBE2" s="97"/>
      <c r="WBF2" s="97"/>
      <c r="WBG2" s="97"/>
      <c r="WBH2" s="97"/>
      <c r="WBI2" s="97"/>
      <c r="WBJ2" s="97"/>
      <c r="WBK2" s="97"/>
      <c r="WBL2" s="97"/>
      <c r="WBM2" s="97"/>
      <c r="WBN2" s="97"/>
      <c r="WBO2" s="97"/>
      <c r="WBP2" s="97"/>
      <c r="WBQ2" s="97"/>
      <c r="WBR2" s="97"/>
      <c r="WBS2" s="97"/>
      <c r="WBT2" s="97"/>
      <c r="WBU2" s="97"/>
      <c r="WBV2" s="97"/>
      <c r="WBW2" s="97"/>
      <c r="WBX2" s="97"/>
      <c r="WBY2" s="97"/>
      <c r="WBZ2" s="97"/>
      <c r="WCA2" s="97"/>
      <c r="WCB2" s="97"/>
      <c r="WCC2" s="97"/>
      <c r="WCD2" s="97"/>
      <c r="WCE2" s="97"/>
      <c r="WCF2" s="97"/>
      <c r="WCG2" s="97"/>
      <c r="WCH2" s="97"/>
      <c r="WCI2" s="97"/>
      <c r="WCJ2" s="97"/>
      <c r="WCK2" s="97"/>
      <c r="WCL2" s="97"/>
      <c r="WCM2" s="97"/>
      <c r="WCN2" s="97"/>
      <c r="WCO2" s="97"/>
      <c r="WCP2" s="97"/>
      <c r="WCQ2" s="97"/>
      <c r="WCR2" s="97"/>
      <c r="WCS2" s="97"/>
      <c r="WCT2" s="97"/>
      <c r="WCU2" s="97"/>
      <c r="WCV2" s="97"/>
      <c r="WCW2" s="97"/>
      <c r="WCX2" s="97"/>
      <c r="WCY2" s="97"/>
      <c r="WCZ2" s="97"/>
      <c r="WDA2" s="97"/>
      <c r="WDB2" s="97"/>
      <c r="WDC2" s="97"/>
      <c r="WDD2" s="97"/>
      <c r="WDE2" s="97"/>
      <c r="WDF2" s="97"/>
      <c r="WDG2" s="97"/>
      <c r="WDH2" s="97"/>
      <c r="WDI2" s="97"/>
      <c r="WDJ2" s="97"/>
      <c r="WDK2" s="97"/>
      <c r="WDL2" s="97"/>
      <c r="WDM2" s="97"/>
      <c r="WDN2" s="97"/>
      <c r="WDO2" s="97"/>
      <c r="WDP2" s="97"/>
      <c r="WDQ2" s="97"/>
      <c r="WDR2" s="97"/>
      <c r="WDS2" s="97"/>
      <c r="WDT2" s="97"/>
      <c r="WDU2" s="97"/>
      <c r="WDV2" s="97"/>
      <c r="WDW2" s="97"/>
      <c r="WDX2" s="97"/>
      <c r="WDY2" s="97"/>
      <c r="WDZ2" s="97"/>
      <c r="WEA2" s="97"/>
      <c r="WEB2" s="97"/>
      <c r="WEC2" s="97"/>
      <c r="WED2" s="97"/>
      <c r="WEE2" s="97"/>
      <c r="WEF2" s="97"/>
      <c r="WEG2" s="97"/>
      <c r="WEH2" s="97"/>
      <c r="WEI2" s="97"/>
      <c r="WEJ2" s="97"/>
      <c r="WEK2" s="97"/>
      <c r="WEL2" s="97"/>
      <c r="WEM2" s="97"/>
      <c r="WEN2" s="97"/>
      <c r="WEO2" s="97"/>
      <c r="WEP2" s="97"/>
      <c r="WEQ2" s="97"/>
      <c r="WER2" s="97"/>
      <c r="WES2" s="97"/>
      <c r="WET2" s="97"/>
      <c r="WEU2" s="97"/>
      <c r="WEV2" s="97"/>
      <c r="WEW2" s="97"/>
      <c r="WEX2" s="97"/>
      <c r="WEY2" s="97"/>
      <c r="WEZ2" s="97"/>
      <c r="WFA2" s="97"/>
      <c r="WFB2" s="97"/>
      <c r="WFC2" s="97"/>
      <c r="WFD2" s="97"/>
      <c r="WFE2" s="97"/>
      <c r="WFF2" s="97"/>
      <c r="WFG2" s="97"/>
      <c r="WFH2" s="97"/>
      <c r="WFI2" s="97"/>
      <c r="WFJ2" s="97"/>
      <c r="WFK2" s="97"/>
      <c r="WFL2" s="97"/>
      <c r="WFM2" s="97"/>
      <c r="WFN2" s="97"/>
      <c r="WFO2" s="97"/>
      <c r="WFP2" s="97"/>
      <c r="WFQ2" s="97"/>
      <c r="WFR2" s="97"/>
      <c r="WFS2" s="97"/>
      <c r="WFT2" s="97"/>
      <c r="WFU2" s="97"/>
      <c r="WFV2" s="97"/>
      <c r="WFW2" s="97"/>
      <c r="WFX2" s="97"/>
      <c r="WFY2" s="97"/>
      <c r="WFZ2" s="97"/>
      <c r="WGA2" s="97"/>
      <c r="WGB2" s="97"/>
      <c r="WGC2" s="97"/>
      <c r="WGD2" s="97"/>
      <c r="WGE2" s="97"/>
      <c r="WGF2" s="97"/>
      <c r="WGG2" s="97"/>
      <c r="WGH2" s="97"/>
      <c r="WGI2" s="97"/>
      <c r="WGJ2" s="97"/>
      <c r="WGK2" s="97"/>
      <c r="WGL2" s="97"/>
      <c r="WGM2" s="97"/>
      <c r="WGN2" s="97"/>
      <c r="WGO2" s="97"/>
      <c r="WGP2" s="97"/>
      <c r="WGQ2" s="97"/>
      <c r="WGR2" s="97"/>
      <c r="WGS2" s="97"/>
      <c r="WGT2" s="97"/>
      <c r="WGU2" s="97"/>
      <c r="WGV2" s="97"/>
      <c r="WGW2" s="97"/>
      <c r="WGX2" s="97"/>
      <c r="WGY2" s="97"/>
      <c r="WGZ2" s="97"/>
      <c r="WHA2" s="97"/>
      <c r="WHB2" s="97"/>
      <c r="WHC2" s="97"/>
      <c r="WHD2" s="97"/>
      <c r="WHE2" s="97"/>
      <c r="WHF2" s="97"/>
      <c r="WHG2" s="97"/>
      <c r="WHH2" s="97"/>
      <c r="WHI2" s="97"/>
      <c r="WHJ2" s="97"/>
      <c r="WHK2" s="97"/>
      <c r="WHL2" s="97"/>
      <c r="WHM2" s="97"/>
      <c r="WHN2" s="97"/>
      <c r="WHO2" s="97"/>
      <c r="WHP2" s="97"/>
      <c r="WHQ2" s="97"/>
      <c r="WHR2" s="97"/>
      <c r="WHS2" s="97"/>
      <c r="WHT2" s="97"/>
      <c r="WHU2" s="97"/>
      <c r="WHV2" s="97"/>
      <c r="WHW2" s="97"/>
      <c r="WHX2" s="97"/>
      <c r="WHY2" s="97"/>
      <c r="WHZ2" s="97"/>
      <c r="WIA2" s="97"/>
      <c r="WIB2" s="97"/>
      <c r="WIC2" s="97"/>
      <c r="WID2" s="97"/>
      <c r="WIE2" s="97"/>
      <c r="WIF2" s="97"/>
      <c r="WIG2" s="97"/>
      <c r="WIH2" s="97"/>
      <c r="WII2" s="97"/>
      <c r="WIJ2" s="97"/>
      <c r="WIK2" s="97"/>
      <c r="WIL2" s="97"/>
      <c r="WIM2" s="97"/>
      <c r="WIN2" s="97"/>
      <c r="WIO2" s="97"/>
      <c r="WIP2" s="97"/>
      <c r="WIQ2" s="97"/>
      <c r="WIR2" s="97"/>
      <c r="WIS2" s="97"/>
      <c r="WIT2" s="97"/>
      <c r="WIU2" s="97"/>
      <c r="WIV2" s="97"/>
      <c r="WIW2" s="97"/>
      <c r="WIX2" s="97"/>
      <c r="WIY2" s="97"/>
      <c r="WIZ2" s="97"/>
      <c r="WJA2" s="97"/>
      <c r="WJB2" s="97"/>
      <c r="WJC2" s="97"/>
      <c r="WJD2" s="97"/>
      <c r="WJE2" s="97"/>
      <c r="WJF2" s="97"/>
      <c r="WJG2" s="97"/>
      <c r="WJH2" s="97"/>
      <c r="WJI2" s="97"/>
      <c r="WJJ2" s="97"/>
      <c r="WJK2" s="97"/>
      <c r="WJL2" s="97"/>
      <c r="WJM2" s="97"/>
      <c r="WJN2" s="97"/>
      <c r="WJO2" s="97"/>
      <c r="WJP2" s="97"/>
      <c r="WJQ2" s="97"/>
      <c r="WJR2" s="97"/>
      <c r="WJS2" s="97"/>
      <c r="WJT2" s="97"/>
      <c r="WJU2" s="97"/>
      <c r="WJV2" s="97"/>
      <c r="WJW2" s="97"/>
      <c r="WJX2" s="97"/>
      <c r="WJY2" s="97"/>
      <c r="WJZ2" s="97"/>
      <c r="WKA2" s="97"/>
      <c r="WKB2" s="97"/>
      <c r="WKC2" s="97"/>
      <c r="WKD2" s="97"/>
      <c r="WKE2" s="97"/>
      <c r="WKF2" s="97"/>
      <c r="WKG2" s="97"/>
      <c r="WKH2" s="97"/>
      <c r="WKI2" s="97"/>
      <c r="WKJ2" s="97"/>
      <c r="WKK2" s="97"/>
      <c r="WKL2" s="97"/>
      <c r="WKM2" s="97"/>
      <c r="WKN2" s="97"/>
      <c r="WKO2" s="97"/>
      <c r="WKP2" s="97"/>
      <c r="WKQ2" s="97"/>
      <c r="WKR2" s="97"/>
      <c r="WKS2" s="97"/>
      <c r="WKT2" s="97"/>
      <c r="WKU2" s="97"/>
      <c r="WKV2" s="97"/>
      <c r="WKW2" s="97"/>
      <c r="WKX2" s="97"/>
      <c r="WKY2" s="97"/>
      <c r="WKZ2" s="97"/>
      <c r="WLA2" s="97"/>
      <c r="WLB2" s="97"/>
      <c r="WLC2" s="97"/>
      <c r="WLD2" s="97"/>
      <c r="WLE2" s="97"/>
      <c r="WLF2" s="97"/>
      <c r="WLG2" s="97"/>
      <c r="WLH2" s="97"/>
      <c r="WLI2" s="97"/>
      <c r="WLJ2" s="97"/>
      <c r="WLK2" s="97"/>
      <c r="WLL2" s="97"/>
      <c r="WLM2" s="97"/>
      <c r="WLN2" s="97"/>
      <c r="WLO2" s="97"/>
      <c r="WLP2" s="97"/>
      <c r="WLQ2" s="97"/>
      <c r="WLR2" s="97"/>
      <c r="WLS2" s="97"/>
      <c r="WLT2" s="97"/>
      <c r="WLU2" s="97"/>
      <c r="WLV2" s="97"/>
      <c r="WLW2" s="97"/>
      <c r="WLX2" s="97"/>
      <c r="WLY2" s="97"/>
      <c r="WLZ2" s="97"/>
      <c r="WMA2" s="97"/>
      <c r="WMB2" s="97"/>
      <c r="WMC2" s="97"/>
      <c r="WMD2" s="97"/>
      <c r="WME2" s="97"/>
      <c r="WMF2" s="97"/>
      <c r="WMG2" s="97"/>
      <c r="WMH2" s="97"/>
      <c r="WMI2" s="97"/>
      <c r="WMJ2" s="97"/>
      <c r="WMK2" s="97"/>
      <c r="WML2" s="97"/>
      <c r="WMM2" s="97"/>
      <c r="WMN2" s="97"/>
      <c r="WMO2" s="97"/>
      <c r="WMP2" s="97"/>
      <c r="WMQ2" s="97"/>
      <c r="WMR2" s="97"/>
      <c r="WMS2" s="97"/>
      <c r="WMT2" s="97"/>
      <c r="WMU2" s="97"/>
      <c r="WMV2" s="97"/>
      <c r="WMW2" s="97"/>
      <c r="WMX2" s="97"/>
      <c r="WMY2" s="97"/>
      <c r="WMZ2" s="97"/>
      <c r="WNA2" s="97"/>
      <c r="WNB2" s="97"/>
      <c r="WNC2" s="97"/>
      <c r="WND2" s="97"/>
      <c r="WNE2" s="97"/>
      <c r="WNF2" s="97"/>
      <c r="WNG2" s="97"/>
      <c r="WNH2" s="97"/>
      <c r="WNI2" s="97"/>
      <c r="WNJ2" s="97"/>
      <c r="WNK2" s="97"/>
      <c r="WNL2" s="97"/>
      <c r="WNM2" s="97"/>
      <c r="WNN2" s="97"/>
      <c r="WNO2" s="97"/>
      <c r="WNP2" s="97"/>
      <c r="WNQ2" s="97"/>
      <c r="WNR2" s="97"/>
      <c r="WNS2" s="97"/>
      <c r="WNT2" s="97"/>
      <c r="WNU2" s="97"/>
      <c r="WNV2" s="97"/>
      <c r="WNW2" s="97"/>
      <c r="WNX2" s="97"/>
      <c r="WNY2" s="97"/>
      <c r="WNZ2" s="97"/>
      <c r="WOA2" s="97"/>
      <c r="WOB2" s="97"/>
      <c r="WOC2" s="97"/>
      <c r="WOD2" s="97"/>
      <c r="WOE2" s="97"/>
      <c r="WOF2" s="97"/>
      <c r="WOG2" s="97"/>
      <c r="WOH2" s="97"/>
      <c r="WOI2" s="97"/>
      <c r="WOJ2" s="97"/>
      <c r="WOK2" s="97"/>
      <c r="WOL2" s="97"/>
      <c r="WOM2" s="97"/>
      <c r="WON2" s="97"/>
      <c r="WOO2" s="97"/>
      <c r="WOP2" s="97"/>
      <c r="WOQ2" s="97"/>
      <c r="WOR2" s="97"/>
      <c r="WOS2" s="97"/>
      <c r="WOT2" s="97"/>
      <c r="WOU2" s="97"/>
      <c r="WOV2" s="97"/>
      <c r="WOW2" s="97"/>
      <c r="WOX2" s="97"/>
      <c r="WOY2" s="97"/>
      <c r="WOZ2" s="97"/>
      <c r="WPA2" s="97"/>
      <c r="WPB2" s="97"/>
      <c r="WPC2" s="97"/>
      <c r="WPD2" s="97"/>
      <c r="WPE2" s="97"/>
      <c r="WPF2" s="97"/>
      <c r="WPG2" s="97"/>
      <c r="WPH2" s="97"/>
      <c r="WPI2" s="97"/>
      <c r="WPJ2" s="97"/>
      <c r="WPK2" s="97"/>
      <c r="WPL2" s="97"/>
      <c r="WPM2" s="97"/>
      <c r="WPN2" s="97"/>
      <c r="WPO2" s="97"/>
      <c r="WPP2" s="97"/>
      <c r="WPQ2" s="97"/>
      <c r="WPR2" s="97"/>
      <c r="WPS2" s="97"/>
      <c r="WPT2" s="97"/>
      <c r="WPU2" s="97"/>
      <c r="WPV2" s="97"/>
      <c r="WPW2" s="97"/>
      <c r="WPX2" s="97"/>
      <c r="WPY2" s="97"/>
      <c r="WPZ2" s="97"/>
      <c r="WQA2" s="97"/>
      <c r="WQB2" s="97"/>
      <c r="WQC2" s="97"/>
      <c r="WQD2" s="97"/>
      <c r="WQE2" s="97"/>
      <c r="WQF2" s="97"/>
      <c r="WQG2" s="97"/>
      <c r="WQH2" s="97"/>
      <c r="WQI2" s="97"/>
      <c r="WQJ2" s="97"/>
      <c r="WQK2" s="97"/>
      <c r="WQL2" s="97"/>
      <c r="WQM2" s="97"/>
      <c r="WQN2" s="97"/>
      <c r="WQO2" s="97"/>
      <c r="WQP2" s="97"/>
      <c r="WQQ2" s="97"/>
      <c r="WQR2" s="97"/>
      <c r="WQS2" s="97"/>
      <c r="WQT2" s="97"/>
      <c r="WQU2" s="97"/>
      <c r="WQV2" s="97"/>
      <c r="WQW2" s="97"/>
      <c r="WQX2" s="97"/>
      <c r="WQY2" s="97"/>
      <c r="WQZ2" s="97"/>
      <c r="WRA2" s="97"/>
      <c r="WRB2" s="97"/>
      <c r="WRC2" s="97"/>
      <c r="WRD2" s="97"/>
      <c r="WRE2" s="97"/>
      <c r="WRF2" s="97"/>
      <c r="WRG2" s="97"/>
      <c r="WRH2" s="97"/>
      <c r="WRI2" s="97"/>
      <c r="WRJ2" s="97"/>
      <c r="WRK2" s="97"/>
      <c r="WRL2" s="97"/>
      <c r="WRM2" s="97"/>
      <c r="WRN2" s="97"/>
      <c r="WRO2" s="97"/>
      <c r="WRP2" s="97"/>
      <c r="WRQ2" s="97"/>
      <c r="WRR2" s="97"/>
      <c r="WRS2" s="97"/>
      <c r="WRT2" s="97"/>
      <c r="WRU2" s="97"/>
      <c r="WRV2" s="97"/>
      <c r="WRW2" s="97"/>
      <c r="WRX2" s="97"/>
      <c r="WRY2" s="97"/>
      <c r="WRZ2" s="97"/>
      <c r="WSA2" s="97"/>
      <c r="WSB2" s="97"/>
      <c r="WSC2" s="97"/>
      <c r="WSD2" s="97"/>
      <c r="WSE2" s="97"/>
      <c r="WSF2" s="97"/>
      <c r="WSG2" s="97"/>
      <c r="WSH2" s="97"/>
      <c r="WSI2" s="97"/>
      <c r="WSJ2" s="97"/>
      <c r="WSK2" s="97"/>
      <c r="WSL2" s="97"/>
      <c r="WSM2" s="97"/>
      <c r="WSN2" s="97"/>
      <c r="WSO2" s="97"/>
      <c r="WSP2" s="97"/>
      <c r="WSQ2" s="97"/>
      <c r="WSR2" s="97"/>
      <c r="WSS2" s="97"/>
      <c r="WST2" s="97"/>
      <c r="WSU2" s="97"/>
      <c r="WSV2" s="97"/>
      <c r="WSW2" s="97"/>
      <c r="WSX2" s="97"/>
      <c r="WSY2" s="97"/>
      <c r="WSZ2" s="97"/>
      <c r="WTA2" s="97"/>
      <c r="WTB2" s="97"/>
      <c r="WTC2" s="97"/>
      <c r="WTD2" s="97"/>
      <c r="WTE2" s="97"/>
      <c r="WTF2" s="97"/>
      <c r="WTG2" s="97"/>
      <c r="WTH2" s="97"/>
      <c r="WTI2" s="97"/>
      <c r="WTJ2" s="97"/>
      <c r="WTK2" s="97"/>
      <c r="WTL2" s="97"/>
      <c r="WTM2" s="97"/>
      <c r="WTN2" s="97"/>
      <c r="WTO2" s="97"/>
      <c r="WTP2" s="97"/>
      <c r="WTQ2" s="97"/>
      <c r="WTR2" s="97"/>
      <c r="WTS2" s="97"/>
      <c r="WTT2" s="97"/>
      <c r="WTU2" s="97"/>
      <c r="WTV2" s="97"/>
      <c r="WTW2" s="97"/>
      <c r="WTX2" s="97"/>
      <c r="WTY2" s="97"/>
      <c r="WTZ2" s="97"/>
      <c r="WUA2" s="97"/>
      <c r="WUB2" s="97"/>
      <c r="WUC2" s="97"/>
      <c r="WUD2" s="97"/>
      <c r="WUE2" s="97"/>
      <c r="WUF2" s="97"/>
      <c r="WUG2" s="97"/>
      <c r="WUH2" s="97"/>
      <c r="WUI2" s="97"/>
      <c r="WUJ2" s="97"/>
      <c r="WUK2" s="97"/>
      <c r="WUL2" s="97"/>
      <c r="WUM2" s="97"/>
      <c r="WUN2" s="97"/>
      <c r="WUO2" s="97"/>
      <c r="WUP2" s="97"/>
      <c r="WUQ2" s="97"/>
      <c r="WUR2" s="97"/>
      <c r="WUS2" s="97"/>
      <c r="WUT2" s="97"/>
      <c r="WUU2" s="97"/>
      <c r="WUV2" s="97"/>
      <c r="WUW2" s="97"/>
      <c r="WUX2" s="97"/>
      <c r="WUY2" s="97"/>
      <c r="WUZ2" s="97"/>
      <c r="WVA2" s="97"/>
      <c r="WVB2" s="97"/>
      <c r="WVC2" s="97"/>
      <c r="WVD2" s="97"/>
      <c r="WVE2" s="97"/>
      <c r="WVF2" s="97"/>
      <c r="WVG2" s="97"/>
      <c r="WVH2" s="97"/>
      <c r="WVI2" s="97"/>
      <c r="WVJ2" s="97"/>
      <c r="WVK2" s="97"/>
      <c r="WVL2" s="97"/>
      <c r="WVM2" s="97"/>
      <c r="WVN2" s="97"/>
      <c r="WVO2" s="97"/>
      <c r="WVP2" s="97"/>
      <c r="WVQ2" s="97"/>
      <c r="WVR2" s="97"/>
      <c r="WVS2" s="97"/>
      <c r="WVT2" s="97"/>
      <c r="WVU2" s="97"/>
      <c r="WVV2" s="97"/>
      <c r="WVW2" s="97"/>
      <c r="WVX2" s="97"/>
      <c r="WVY2" s="97"/>
      <c r="WVZ2" s="97"/>
      <c r="WWA2" s="97"/>
      <c r="WWB2" s="97"/>
      <c r="WWC2" s="97"/>
      <c r="WWD2" s="97"/>
      <c r="WWE2" s="97"/>
      <c r="WWF2" s="97"/>
      <c r="WWG2" s="97"/>
      <c r="WWH2" s="97"/>
      <c r="WWI2" s="97"/>
      <c r="WWJ2" s="97"/>
      <c r="WWK2" s="97"/>
      <c r="WWL2" s="97"/>
      <c r="WWM2" s="97"/>
      <c r="WWN2" s="97"/>
      <c r="WWO2" s="97"/>
      <c r="WWP2" s="97"/>
      <c r="WWQ2" s="97"/>
      <c r="WWR2" s="97"/>
      <c r="WWS2" s="97"/>
      <c r="WWT2" s="97"/>
      <c r="WWU2" s="97"/>
      <c r="WWV2" s="97"/>
      <c r="WWW2" s="97"/>
      <c r="WWX2" s="97"/>
      <c r="WWY2" s="97"/>
      <c r="WWZ2" s="97"/>
      <c r="WXA2" s="97"/>
      <c r="WXB2" s="97"/>
      <c r="WXC2" s="97"/>
      <c r="WXD2" s="97"/>
      <c r="WXE2" s="97"/>
      <c r="WXF2" s="97"/>
      <c r="WXG2" s="97"/>
      <c r="WXH2" s="97"/>
      <c r="WXI2" s="97"/>
      <c r="WXJ2" s="97"/>
      <c r="WXK2" s="97"/>
      <c r="WXL2" s="97"/>
      <c r="WXM2" s="97"/>
      <c r="WXN2" s="97"/>
      <c r="WXO2" s="97"/>
      <c r="WXP2" s="97"/>
      <c r="WXQ2" s="97"/>
      <c r="WXR2" s="97"/>
      <c r="WXS2" s="97"/>
      <c r="WXT2" s="97"/>
      <c r="WXU2" s="97"/>
      <c r="WXV2" s="97"/>
      <c r="WXW2" s="97"/>
      <c r="WXX2" s="97"/>
      <c r="WXY2" s="97"/>
      <c r="WXZ2" s="97"/>
      <c r="WYA2" s="97"/>
      <c r="WYB2" s="97"/>
      <c r="WYC2" s="97"/>
      <c r="WYD2" s="97"/>
      <c r="WYE2" s="97"/>
      <c r="WYF2" s="97"/>
      <c r="WYG2" s="97"/>
      <c r="WYH2" s="97"/>
      <c r="WYI2" s="97"/>
      <c r="WYJ2" s="97"/>
      <c r="WYK2" s="97"/>
      <c r="WYL2" s="97"/>
      <c r="WYM2" s="97"/>
      <c r="WYN2" s="97"/>
      <c r="WYO2" s="97"/>
      <c r="WYP2" s="97"/>
      <c r="WYQ2" s="97"/>
      <c r="WYR2" s="97"/>
      <c r="WYS2" s="97"/>
      <c r="WYT2" s="97"/>
      <c r="WYU2" s="97"/>
      <c r="WYV2" s="97"/>
      <c r="WYW2" s="97"/>
      <c r="WYX2" s="97"/>
      <c r="WYY2" s="97"/>
      <c r="WYZ2" s="97"/>
      <c r="WZA2" s="97"/>
      <c r="WZB2" s="97"/>
      <c r="WZC2" s="97"/>
      <c r="WZD2" s="97"/>
      <c r="WZE2" s="97"/>
      <c r="WZF2" s="97"/>
      <c r="WZG2" s="97"/>
      <c r="WZH2" s="97"/>
      <c r="WZI2" s="97"/>
      <c r="WZJ2" s="97"/>
      <c r="WZK2" s="97"/>
      <c r="WZL2" s="97"/>
      <c r="WZM2" s="97"/>
      <c r="WZN2" s="97"/>
      <c r="WZO2" s="97"/>
      <c r="WZP2" s="97"/>
      <c r="WZQ2" s="97"/>
      <c r="WZR2" s="97"/>
      <c r="WZS2" s="97"/>
      <c r="WZT2" s="97"/>
      <c r="WZU2" s="97"/>
      <c r="WZV2" s="97"/>
      <c r="WZW2" s="97"/>
      <c r="WZX2" s="97"/>
      <c r="WZY2" s="97"/>
      <c r="WZZ2" s="97"/>
      <c r="XAA2" s="97"/>
      <c r="XAB2" s="97"/>
      <c r="XAC2" s="97"/>
      <c r="XAD2" s="97"/>
      <c r="XAE2" s="97"/>
      <c r="XAF2" s="97"/>
      <c r="XAG2" s="97"/>
      <c r="XAH2" s="97"/>
      <c r="XAI2" s="97"/>
      <c r="XAJ2" s="97"/>
      <c r="XAK2" s="97"/>
      <c r="XAL2" s="97"/>
      <c r="XAM2" s="97"/>
      <c r="XAN2" s="97"/>
      <c r="XAO2" s="97"/>
      <c r="XAP2" s="97"/>
      <c r="XAQ2" s="97"/>
      <c r="XAR2" s="97"/>
      <c r="XAS2" s="97"/>
      <c r="XAT2" s="97"/>
      <c r="XAU2" s="97"/>
      <c r="XAV2" s="97"/>
      <c r="XAW2" s="97"/>
      <c r="XAX2" s="97"/>
      <c r="XAY2" s="97"/>
      <c r="XAZ2" s="97"/>
      <c r="XBA2" s="97"/>
      <c r="XBB2" s="97"/>
      <c r="XBC2" s="97"/>
      <c r="XBD2" s="97"/>
      <c r="XBE2" s="97"/>
      <c r="XBF2" s="97"/>
      <c r="XBG2" s="97"/>
      <c r="XBH2" s="97"/>
      <c r="XBI2" s="97"/>
      <c r="XBJ2" s="97"/>
      <c r="XBK2" s="97"/>
      <c r="XBL2" s="97"/>
      <c r="XBM2" s="97"/>
      <c r="XBN2" s="97"/>
      <c r="XBO2" s="97"/>
      <c r="XBP2" s="97"/>
      <c r="XBQ2" s="97"/>
      <c r="XBR2" s="97"/>
      <c r="XBS2" s="97"/>
      <c r="XBT2" s="97"/>
      <c r="XBU2" s="97"/>
      <c r="XBV2" s="97"/>
      <c r="XBW2" s="97"/>
      <c r="XBX2" s="97"/>
      <c r="XBY2" s="97"/>
      <c r="XBZ2" s="97"/>
      <c r="XCA2" s="97"/>
      <c r="XCB2" s="97"/>
      <c r="XCC2" s="97"/>
      <c r="XCD2" s="97"/>
      <c r="XCE2" s="97"/>
      <c r="XCF2" s="97"/>
      <c r="XCG2" s="97"/>
      <c r="XCH2" s="97"/>
      <c r="XCI2" s="97"/>
      <c r="XCJ2" s="97"/>
      <c r="XCK2" s="97"/>
      <c r="XCL2" s="97"/>
      <c r="XCM2" s="97"/>
      <c r="XCN2" s="97"/>
      <c r="XCO2" s="97"/>
      <c r="XCP2" s="97"/>
      <c r="XCQ2" s="97"/>
      <c r="XCR2" s="97"/>
      <c r="XCS2" s="97"/>
      <c r="XCT2" s="97"/>
      <c r="XCU2" s="97"/>
      <c r="XCV2" s="97"/>
      <c r="XCW2" s="97"/>
      <c r="XCX2" s="97"/>
      <c r="XCY2" s="97"/>
      <c r="XCZ2" s="97"/>
      <c r="XDA2" s="97"/>
      <c r="XDB2" s="97"/>
      <c r="XDC2" s="97"/>
      <c r="XDD2" s="97"/>
      <c r="XDE2" s="97"/>
      <c r="XDF2" s="97"/>
      <c r="XDG2" s="97"/>
      <c r="XDH2" s="97"/>
      <c r="XDI2" s="97"/>
      <c r="XDJ2" s="97"/>
      <c r="XDK2" s="97"/>
      <c r="XDL2" s="97"/>
      <c r="XDM2" s="97"/>
      <c r="XDN2" s="97"/>
      <c r="XDO2" s="97"/>
      <c r="XDP2" s="97"/>
      <c r="XDQ2" s="97"/>
      <c r="XDR2" s="97"/>
      <c r="XDS2" s="97"/>
      <c r="XDT2" s="97"/>
      <c r="XDU2" s="97"/>
      <c r="XDV2" s="97"/>
      <c r="XDW2" s="97"/>
      <c r="XDX2" s="97"/>
      <c r="XDY2" s="97"/>
      <c r="XDZ2" s="97"/>
      <c r="XEA2" s="97"/>
      <c r="XEB2" s="97"/>
      <c r="XEC2" s="97"/>
      <c r="XED2" s="97"/>
      <c r="XEE2" s="97"/>
      <c r="XEF2" s="97"/>
      <c r="XEG2" s="97"/>
      <c r="XEH2" s="97"/>
      <c r="XEI2" s="97"/>
      <c r="XEJ2" s="97"/>
      <c r="XEK2" s="97"/>
      <c r="XEL2" s="97"/>
      <c r="XEM2" s="97"/>
      <c r="XEN2" s="97"/>
      <c r="XEO2" s="97"/>
      <c r="XEP2" s="97"/>
      <c r="XEQ2" s="97"/>
      <c r="XER2" s="97"/>
      <c r="XES2" s="97"/>
      <c r="XET2" s="97"/>
      <c r="XEU2" s="97"/>
      <c r="XEV2" s="97"/>
      <c r="XEW2" s="97"/>
      <c r="XEX2" s="97"/>
      <c r="XEY2" s="97"/>
      <c r="XEZ2" s="97"/>
      <c r="XFA2" s="97"/>
      <c r="XFB2" s="97"/>
      <c r="XFC2" s="97"/>
      <c r="XFD2" s="97"/>
    </row>
    <row r="3" spans="2:16384" ht="21" thickTop="1">
      <c r="B3" s="78"/>
      <c r="C3" s="98"/>
      <c r="D3" s="98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8"/>
      <c r="AF3" s="98"/>
      <c r="AG3" s="98"/>
      <c r="AH3" s="98"/>
      <c r="AI3" s="98"/>
      <c r="AJ3" s="98"/>
      <c r="AK3" s="98"/>
      <c r="AL3" s="98"/>
      <c r="AM3" s="98"/>
      <c r="AN3" s="98"/>
      <c r="AO3" s="98"/>
      <c r="AP3" s="98"/>
      <c r="AQ3" s="98"/>
      <c r="AR3" s="98"/>
      <c r="AS3" s="98"/>
      <c r="AT3" s="98"/>
      <c r="AU3" s="98"/>
      <c r="AV3" s="98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8"/>
      <c r="CB3" s="98"/>
      <c r="CC3" s="98"/>
      <c r="CD3" s="98"/>
      <c r="CE3" s="98"/>
      <c r="CF3" s="98"/>
      <c r="CG3" s="98"/>
      <c r="CH3" s="98"/>
      <c r="CI3" s="98"/>
      <c r="CJ3" s="98"/>
      <c r="CK3" s="98"/>
      <c r="CL3" s="98"/>
      <c r="CM3" s="98"/>
      <c r="CN3" s="98"/>
      <c r="CO3" s="98"/>
      <c r="CP3" s="98"/>
      <c r="CQ3" s="98"/>
      <c r="CR3" s="98"/>
      <c r="CS3" s="98"/>
      <c r="CT3" s="98"/>
      <c r="CU3" s="98"/>
      <c r="CV3" s="98"/>
      <c r="CW3" s="98"/>
      <c r="CX3" s="98"/>
      <c r="CY3" s="98"/>
      <c r="CZ3" s="98"/>
      <c r="DA3" s="98"/>
      <c r="DB3" s="98"/>
      <c r="DC3" s="98"/>
      <c r="DD3" s="98"/>
      <c r="DE3" s="98"/>
      <c r="DF3" s="98"/>
      <c r="DG3" s="98"/>
      <c r="DH3" s="98"/>
      <c r="DI3" s="98"/>
      <c r="DJ3" s="98"/>
      <c r="DK3" s="98"/>
      <c r="DL3" s="98"/>
      <c r="DM3" s="98"/>
      <c r="DN3" s="98"/>
      <c r="DO3" s="98"/>
      <c r="DP3" s="98"/>
      <c r="DQ3" s="98"/>
      <c r="DR3" s="98"/>
      <c r="DS3" s="98"/>
      <c r="DT3" s="98"/>
      <c r="DU3" s="98"/>
      <c r="DV3" s="98"/>
      <c r="DW3" s="98"/>
      <c r="DX3" s="98"/>
      <c r="DY3" s="98"/>
      <c r="DZ3" s="98"/>
      <c r="EA3" s="98"/>
      <c r="EB3" s="98"/>
      <c r="EC3" s="98"/>
      <c r="ED3" s="98"/>
      <c r="EE3" s="98"/>
      <c r="EF3" s="98"/>
      <c r="EG3" s="98"/>
      <c r="EH3" s="98"/>
      <c r="EI3" s="98"/>
      <c r="EJ3" s="98"/>
      <c r="EK3" s="98"/>
      <c r="EL3" s="98"/>
      <c r="EM3" s="98"/>
      <c r="EN3" s="98"/>
      <c r="EO3" s="98"/>
      <c r="EP3" s="98"/>
      <c r="EQ3" s="98"/>
      <c r="ER3" s="98"/>
      <c r="ES3" s="98"/>
      <c r="ET3" s="98"/>
      <c r="EU3" s="98"/>
      <c r="EV3" s="98"/>
      <c r="EW3" s="98"/>
      <c r="EX3" s="98"/>
      <c r="EY3" s="98"/>
      <c r="EZ3" s="98"/>
      <c r="FA3" s="98"/>
      <c r="FB3" s="98"/>
      <c r="FC3" s="98"/>
      <c r="FD3" s="98"/>
      <c r="FE3" s="98"/>
      <c r="FF3" s="98"/>
      <c r="FG3" s="98"/>
      <c r="FH3" s="98"/>
      <c r="FI3" s="98"/>
      <c r="FJ3" s="98"/>
      <c r="FK3" s="98"/>
      <c r="FL3" s="98"/>
      <c r="FM3" s="98"/>
      <c r="FN3" s="98"/>
      <c r="FO3" s="98"/>
      <c r="FP3" s="98"/>
      <c r="FQ3" s="98"/>
      <c r="FR3" s="98"/>
      <c r="FS3" s="98"/>
      <c r="FT3" s="98"/>
      <c r="FU3" s="98"/>
      <c r="FV3" s="98"/>
      <c r="FW3" s="98"/>
      <c r="FX3" s="98"/>
      <c r="FY3" s="98"/>
      <c r="FZ3" s="98"/>
      <c r="GA3" s="98"/>
      <c r="GB3" s="98"/>
      <c r="GC3" s="98"/>
      <c r="GD3" s="98"/>
      <c r="GE3" s="98"/>
      <c r="GF3" s="98"/>
      <c r="GG3" s="98"/>
      <c r="GH3" s="98"/>
      <c r="GI3" s="98"/>
      <c r="GJ3" s="98"/>
      <c r="GK3" s="98"/>
      <c r="GL3" s="98"/>
      <c r="GM3" s="98"/>
      <c r="GN3" s="98"/>
      <c r="GO3" s="98"/>
      <c r="GP3" s="98"/>
      <c r="GQ3" s="98"/>
      <c r="GR3" s="98"/>
      <c r="GS3" s="98"/>
      <c r="GT3" s="98"/>
      <c r="GU3" s="98"/>
      <c r="GV3" s="98"/>
      <c r="GW3" s="98"/>
      <c r="GX3" s="98"/>
      <c r="GY3" s="98"/>
      <c r="GZ3" s="98"/>
      <c r="HA3" s="98"/>
      <c r="HB3" s="98"/>
      <c r="HC3" s="98"/>
      <c r="HD3" s="98"/>
      <c r="HE3" s="98"/>
      <c r="HF3" s="98"/>
      <c r="HG3" s="98"/>
      <c r="HH3" s="98"/>
      <c r="HI3" s="98"/>
      <c r="HJ3" s="98"/>
      <c r="HK3" s="98"/>
      <c r="HL3" s="98"/>
      <c r="HM3" s="98"/>
      <c r="HN3" s="98"/>
      <c r="HO3" s="98"/>
      <c r="HP3" s="98"/>
      <c r="HQ3" s="98"/>
      <c r="HR3" s="98"/>
      <c r="HS3" s="98"/>
      <c r="HT3" s="98"/>
      <c r="HU3" s="98"/>
      <c r="HV3" s="98"/>
      <c r="HW3" s="98"/>
      <c r="HX3" s="98"/>
      <c r="HY3" s="98"/>
      <c r="HZ3" s="98"/>
      <c r="IA3" s="98"/>
      <c r="IB3" s="98"/>
      <c r="IC3" s="98"/>
      <c r="ID3" s="98"/>
      <c r="IE3" s="98"/>
      <c r="IF3" s="98"/>
      <c r="IG3" s="98"/>
      <c r="IH3" s="98"/>
      <c r="II3" s="98"/>
      <c r="IJ3" s="98"/>
      <c r="IK3" s="98"/>
      <c r="IL3" s="98"/>
      <c r="IM3" s="98"/>
      <c r="IN3" s="98"/>
      <c r="IO3" s="98"/>
      <c r="IP3" s="98"/>
      <c r="IQ3" s="98"/>
      <c r="IR3" s="98"/>
      <c r="IS3" s="98"/>
      <c r="IT3" s="98"/>
      <c r="IU3" s="98"/>
      <c r="IV3" s="98"/>
      <c r="IW3" s="98"/>
      <c r="IX3" s="98"/>
      <c r="IY3" s="98"/>
      <c r="IZ3" s="98"/>
      <c r="JA3" s="98"/>
      <c r="JB3" s="98"/>
      <c r="JC3" s="98"/>
      <c r="JD3" s="98"/>
      <c r="JE3" s="98"/>
      <c r="JF3" s="98"/>
      <c r="JG3" s="98"/>
      <c r="JH3" s="98"/>
      <c r="JI3" s="98"/>
      <c r="JJ3" s="98"/>
      <c r="JK3" s="98"/>
      <c r="JL3" s="98"/>
      <c r="JM3" s="98"/>
      <c r="JN3" s="98"/>
      <c r="JO3" s="98"/>
      <c r="JP3" s="98"/>
      <c r="JQ3" s="98"/>
      <c r="JR3" s="98"/>
      <c r="JS3" s="98"/>
      <c r="JT3" s="98"/>
      <c r="JU3" s="98"/>
      <c r="JV3" s="98"/>
      <c r="JW3" s="98"/>
      <c r="JX3" s="98"/>
      <c r="JY3" s="98"/>
      <c r="JZ3" s="98"/>
      <c r="KA3" s="98"/>
      <c r="KB3" s="98"/>
      <c r="KC3" s="98"/>
      <c r="KD3" s="98"/>
      <c r="KE3" s="98"/>
      <c r="KF3" s="98"/>
      <c r="KG3" s="98"/>
      <c r="KH3" s="98"/>
      <c r="KI3" s="98"/>
      <c r="KJ3" s="98"/>
      <c r="KK3" s="98"/>
      <c r="KL3" s="98"/>
      <c r="KM3" s="98"/>
      <c r="KN3" s="98"/>
      <c r="KO3" s="98"/>
      <c r="KP3" s="98"/>
      <c r="KQ3" s="98"/>
      <c r="KR3" s="98"/>
      <c r="KS3" s="98"/>
      <c r="KT3" s="98"/>
      <c r="KU3" s="98"/>
      <c r="KV3" s="98"/>
      <c r="KW3" s="98"/>
      <c r="KX3" s="98"/>
      <c r="KY3" s="98"/>
      <c r="KZ3" s="98"/>
      <c r="LA3" s="98"/>
      <c r="LB3" s="98"/>
      <c r="LC3" s="98"/>
      <c r="LD3" s="98"/>
      <c r="LE3" s="98"/>
      <c r="LF3" s="98"/>
      <c r="LG3" s="98"/>
      <c r="LH3" s="98"/>
      <c r="LI3" s="98"/>
      <c r="LJ3" s="98"/>
      <c r="LK3" s="98"/>
      <c r="LL3" s="98"/>
      <c r="LM3" s="98"/>
      <c r="LN3" s="98"/>
      <c r="LO3" s="98"/>
      <c r="LP3" s="98"/>
      <c r="LQ3" s="98"/>
      <c r="LR3" s="98"/>
      <c r="LS3" s="98"/>
      <c r="LT3" s="98"/>
      <c r="LU3" s="98"/>
      <c r="LV3" s="98"/>
      <c r="LW3" s="98"/>
      <c r="LX3" s="98"/>
      <c r="LY3" s="98"/>
      <c r="LZ3" s="98"/>
      <c r="MA3" s="98"/>
      <c r="MB3" s="98"/>
      <c r="MC3" s="98"/>
      <c r="MD3" s="98"/>
      <c r="ME3" s="98"/>
      <c r="MF3" s="98"/>
      <c r="MG3" s="98"/>
      <c r="MH3" s="98"/>
      <c r="MI3" s="98"/>
      <c r="MJ3" s="98"/>
      <c r="MK3" s="98"/>
      <c r="ML3" s="98"/>
      <c r="MM3" s="98"/>
      <c r="MN3" s="98"/>
      <c r="MO3" s="98"/>
      <c r="MP3" s="98"/>
      <c r="MQ3" s="98"/>
      <c r="MR3" s="98"/>
      <c r="MS3" s="98"/>
      <c r="MT3" s="98"/>
      <c r="MU3" s="98"/>
      <c r="MV3" s="98"/>
      <c r="MW3" s="98"/>
      <c r="MX3" s="98"/>
      <c r="MY3" s="98"/>
      <c r="MZ3" s="98"/>
      <c r="NA3" s="98"/>
      <c r="NB3" s="98"/>
      <c r="NC3" s="98"/>
      <c r="ND3" s="98"/>
      <c r="NE3" s="98"/>
      <c r="NF3" s="98"/>
      <c r="NG3" s="98"/>
      <c r="NH3" s="98"/>
      <c r="NI3" s="98"/>
      <c r="NJ3" s="98"/>
      <c r="NK3" s="98"/>
      <c r="NL3" s="98"/>
      <c r="NM3" s="98"/>
      <c r="NN3" s="98"/>
      <c r="NO3" s="98"/>
      <c r="NP3" s="98"/>
      <c r="NQ3" s="98"/>
      <c r="NR3" s="98"/>
      <c r="NS3" s="98"/>
      <c r="NT3" s="98"/>
      <c r="NU3" s="98"/>
      <c r="NV3" s="98"/>
      <c r="NW3" s="98"/>
      <c r="NX3" s="98"/>
      <c r="NY3" s="98"/>
      <c r="NZ3" s="98"/>
      <c r="OA3" s="98"/>
      <c r="OB3" s="98"/>
      <c r="OC3" s="98"/>
      <c r="OD3" s="98"/>
      <c r="OE3" s="98"/>
      <c r="OF3" s="98"/>
      <c r="OG3" s="98"/>
      <c r="OH3" s="98"/>
      <c r="OI3" s="98"/>
      <c r="OJ3" s="98"/>
      <c r="OK3" s="98"/>
      <c r="OL3" s="98"/>
      <c r="OM3" s="98"/>
      <c r="ON3" s="98"/>
      <c r="OO3" s="98"/>
      <c r="OP3" s="98"/>
      <c r="OQ3" s="98"/>
      <c r="OR3" s="98"/>
      <c r="OS3" s="98"/>
      <c r="OT3" s="98"/>
      <c r="OU3" s="98"/>
      <c r="OV3" s="98"/>
      <c r="OW3" s="98"/>
      <c r="OX3" s="98"/>
      <c r="OY3" s="98"/>
      <c r="OZ3" s="98"/>
      <c r="PA3" s="98"/>
      <c r="PB3" s="98"/>
      <c r="PC3" s="98"/>
      <c r="PD3" s="98"/>
      <c r="PE3" s="98"/>
      <c r="PF3" s="98"/>
      <c r="PG3" s="98"/>
      <c r="PH3" s="98"/>
      <c r="PI3" s="98"/>
      <c r="PJ3" s="98"/>
      <c r="PK3" s="98"/>
      <c r="PL3" s="98"/>
      <c r="PM3" s="98"/>
      <c r="PN3" s="98"/>
      <c r="PO3" s="98"/>
      <c r="PP3" s="98"/>
      <c r="PQ3" s="98"/>
      <c r="PR3" s="98"/>
      <c r="PS3" s="98"/>
      <c r="PT3" s="98"/>
      <c r="PU3" s="98"/>
      <c r="PV3" s="98"/>
      <c r="PW3" s="98"/>
      <c r="PX3" s="98"/>
      <c r="PY3" s="98"/>
      <c r="PZ3" s="98"/>
      <c r="QA3" s="98"/>
      <c r="QB3" s="98"/>
      <c r="QC3" s="98"/>
      <c r="QD3" s="98"/>
      <c r="QE3" s="98"/>
      <c r="QF3" s="98"/>
      <c r="QG3" s="98"/>
      <c r="QH3" s="98"/>
      <c r="QI3" s="98"/>
      <c r="QJ3" s="98"/>
      <c r="QK3" s="98"/>
      <c r="QL3" s="98"/>
      <c r="QM3" s="98"/>
      <c r="QN3" s="98"/>
      <c r="QO3" s="98"/>
      <c r="QP3" s="98"/>
      <c r="QQ3" s="98"/>
      <c r="QR3" s="98"/>
      <c r="QS3" s="98"/>
      <c r="QT3" s="98"/>
      <c r="QU3" s="98"/>
      <c r="QV3" s="98"/>
      <c r="QW3" s="98"/>
      <c r="QX3" s="98"/>
      <c r="QY3" s="98"/>
      <c r="QZ3" s="98"/>
      <c r="RA3" s="98"/>
      <c r="RB3" s="98"/>
      <c r="RC3" s="98"/>
      <c r="RD3" s="98"/>
      <c r="RE3" s="98"/>
      <c r="RF3" s="98"/>
      <c r="RG3" s="98"/>
      <c r="RH3" s="98"/>
      <c r="RI3" s="98"/>
      <c r="RJ3" s="98"/>
      <c r="RK3" s="98"/>
      <c r="RL3" s="98"/>
      <c r="RM3" s="98"/>
      <c r="RN3" s="98"/>
      <c r="RO3" s="98"/>
      <c r="RP3" s="98"/>
      <c r="RQ3" s="98"/>
      <c r="RR3" s="98"/>
      <c r="RS3" s="98"/>
      <c r="RT3" s="98"/>
      <c r="RU3" s="98"/>
      <c r="RV3" s="98"/>
      <c r="RW3" s="98"/>
      <c r="RX3" s="98"/>
      <c r="RY3" s="98"/>
      <c r="RZ3" s="98"/>
      <c r="SA3" s="98"/>
      <c r="SB3" s="98"/>
      <c r="SC3" s="98"/>
      <c r="SD3" s="98"/>
      <c r="SE3" s="98"/>
      <c r="SF3" s="98"/>
      <c r="SG3" s="98"/>
      <c r="SH3" s="98"/>
      <c r="SI3" s="98"/>
      <c r="SJ3" s="98"/>
      <c r="SK3" s="98"/>
      <c r="SL3" s="98"/>
      <c r="SM3" s="98"/>
      <c r="SN3" s="98"/>
      <c r="SO3" s="98"/>
      <c r="SP3" s="98"/>
      <c r="SQ3" s="98"/>
      <c r="SR3" s="98"/>
      <c r="SS3" s="98"/>
      <c r="ST3" s="98"/>
      <c r="SU3" s="98"/>
      <c r="SV3" s="98"/>
      <c r="SW3" s="98"/>
      <c r="SX3" s="98"/>
      <c r="SY3" s="98"/>
      <c r="SZ3" s="98"/>
      <c r="TA3" s="98"/>
      <c r="TB3" s="98"/>
      <c r="TC3" s="98"/>
      <c r="TD3" s="98"/>
      <c r="TE3" s="98"/>
      <c r="TF3" s="98"/>
      <c r="TG3" s="98"/>
      <c r="TH3" s="98"/>
      <c r="TI3" s="98"/>
      <c r="TJ3" s="98"/>
      <c r="TK3" s="98"/>
      <c r="TL3" s="98"/>
      <c r="TM3" s="98"/>
      <c r="TN3" s="98"/>
      <c r="TO3" s="98"/>
      <c r="TP3" s="98"/>
      <c r="TQ3" s="98"/>
      <c r="TR3" s="98"/>
      <c r="TS3" s="98"/>
      <c r="TT3" s="98"/>
      <c r="TU3" s="98"/>
      <c r="TV3" s="98"/>
      <c r="TW3" s="98"/>
      <c r="TX3" s="98"/>
      <c r="TY3" s="98"/>
      <c r="TZ3" s="98"/>
      <c r="UA3" s="98"/>
      <c r="UB3" s="98"/>
      <c r="UC3" s="98"/>
      <c r="UD3" s="98"/>
      <c r="UE3" s="98"/>
      <c r="UF3" s="98"/>
      <c r="UG3" s="98"/>
      <c r="UH3" s="98"/>
      <c r="UI3" s="98"/>
      <c r="UJ3" s="98"/>
      <c r="UK3" s="98"/>
      <c r="UL3" s="98"/>
      <c r="UM3" s="98"/>
      <c r="UN3" s="98"/>
      <c r="UO3" s="98"/>
      <c r="UP3" s="98"/>
      <c r="UQ3" s="98"/>
      <c r="UR3" s="98"/>
      <c r="US3" s="98"/>
      <c r="UT3" s="98"/>
      <c r="UU3" s="98"/>
      <c r="UV3" s="98"/>
      <c r="UW3" s="98"/>
      <c r="UX3" s="98"/>
      <c r="UY3" s="98"/>
      <c r="UZ3" s="98"/>
      <c r="VA3" s="98"/>
      <c r="VB3" s="98"/>
      <c r="VC3" s="98"/>
      <c r="VD3" s="98"/>
      <c r="VE3" s="98"/>
      <c r="VF3" s="98"/>
      <c r="VG3" s="98"/>
      <c r="VH3" s="98"/>
      <c r="VI3" s="98"/>
      <c r="VJ3" s="98"/>
      <c r="VK3" s="98"/>
      <c r="VL3" s="98"/>
      <c r="VM3" s="98"/>
      <c r="VN3" s="98"/>
      <c r="VO3" s="98"/>
      <c r="VP3" s="98"/>
      <c r="VQ3" s="98"/>
      <c r="VR3" s="98"/>
      <c r="VS3" s="98"/>
      <c r="VT3" s="98"/>
      <c r="VU3" s="98"/>
      <c r="VV3" s="98"/>
      <c r="VW3" s="98"/>
      <c r="VX3" s="98"/>
      <c r="VY3" s="98"/>
      <c r="VZ3" s="98"/>
      <c r="WA3" s="98"/>
      <c r="WB3" s="98"/>
      <c r="WC3" s="98"/>
      <c r="WD3" s="98"/>
      <c r="WE3" s="98"/>
      <c r="WF3" s="98"/>
      <c r="WG3" s="98"/>
      <c r="WH3" s="98"/>
      <c r="WI3" s="98"/>
      <c r="WJ3" s="98"/>
      <c r="WK3" s="98"/>
      <c r="WL3" s="98"/>
      <c r="WM3" s="98"/>
      <c r="WN3" s="98"/>
      <c r="WO3" s="98"/>
      <c r="WP3" s="98"/>
      <c r="WQ3" s="98"/>
      <c r="WR3" s="98"/>
      <c r="WS3" s="98"/>
      <c r="WT3" s="98"/>
      <c r="WU3" s="98"/>
      <c r="WV3" s="98"/>
      <c r="WW3" s="98"/>
      <c r="WX3" s="98"/>
      <c r="WY3" s="98"/>
      <c r="WZ3" s="98"/>
      <c r="XA3" s="98"/>
      <c r="XB3" s="98"/>
      <c r="XC3" s="98"/>
      <c r="XD3" s="98"/>
      <c r="XE3" s="98"/>
      <c r="XF3" s="98"/>
      <c r="XG3" s="98"/>
      <c r="XH3" s="98"/>
      <c r="XI3" s="98"/>
      <c r="XJ3" s="98"/>
      <c r="XK3" s="98"/>
      <c r="XL3" s="98"/>
      <c r="XM3" s="98"/>
      <c r="XN3" s="98"/>
      <c r="XO3" s="98"/>
      <c r="XP3" s="98"/>
      <c r="XQ3" s="98"/>
      <c r="XR3" s="98"/>
      <c r="XS3" s="98"/>
      <c r="XT3" s="98"/>
      <c r="XU3" s="98"/>
      <c r="XV3" s="98"/>
      <c r="XW3" s="98"/>
      <c r="XX3" s="98"/>
      <c r="XY3" s="98"/>
      <c r="XZ3" s="98"/>
      <c r="YA3" s="98"/>
      <c r="YB3" s="98"/>
      <c r="YC3" s="98"/>
      <c r="YD3" s="98"/>
      <c r="YE3" s="98"/>
      <c r="YF3" s="98"/>
      <c r="YG3" s="98"/>
      <c r="YH3" s="98"/>
      <c r="YI3" s="98"/>
      <c r="YJ3" s="98"/>
      <c r="YK3" s="98"/>
      <c r="YL3" s="98"/>
      <c r="YM3" s="98"/>
      <c r="YN3" s="98"/>
      <c r="YO3" s="98"/>
      <c r="YP3" s="98"/>
      <c r="YQ3" s="98"/>
      <c r="YR3" s="98"/>
      <c r="YS3" s="98"/>
      <c r="YT3" s="98"/>
      <c r="YU3" s="98"/>
      <c r="YV3" s="98"/>
      <c r="YW3" s="98"/>
      <c r="YX3" s="98"/>
      <c r="YY3" s="98"/>
      <c r="YZ3" s="98"/>
      <c r="ZA3" s="98"/>
      <c r="ZB3" s="98"/>
      <c r="ZC3" s="98"/>
      <c r="ZD3" s="98"/>
      <c r="ZE3" s="98"/>
      <c r="ZF3" s="98"/>
      <c r="ZG3" s="98"/>
      <c r="ZH3" s="98"/>
      <c r="ZI3" s="98"/>
      <c r="ZJ3" s="98"/>
      <c r="ZK3" s="98"/>
      <c r="ZL3" s="98"/>
      <c r="ZM3" s="98"/>
      <c r="ZN3" s="98"/>
      <c r="ZO3" s="98"/>
      <c r="ZP3" s="98"/>
      <c r="ZQ3" s="98"/>
      <c r="ZR3" s="98"/>
      <c r="ZS3" s="98"/>
      <c r="ZT3" s="98"/>
      <c r="ZU3" s="98"/>
      <c r="ZV3" s="98"/>
      <c r="ZW3" s="98"/>
      <c r="ZX3" s="98"/>
      <c r="ZY3" s="98"/>
      <c r="ZZ3" s="98"/>
      <c r="AAA3" s="98"/>
      <c r="AAB3" s="98"/>
      <c r="AAC3" s="98"/>
      <c r="AAD3" s="98"/>
      <c r="AAE3" s="98"/>
      <c r="AAF3" s="98"/>
      <c r="AAG3" s="98"/>
      <c r="AAH3" s="98"/>
      <c r="AAI3" s="98"/>
      <c r="AAJ3" s="98"/>
      <c r="AAK3" s="98"/>
      <c r="AAL3" s="98"/>
      <c r="AAM3" s="98"/>
      <c r="AAN3" s="98"/>
      <c r="AAO3" s="98"/>
      <c r="AAP3" s="98"/>
      <c r="AAQ3" s="98"/>
      <c r="AAR3" s="98"/>
      <c r="AAS3" s="98"/>
      <c r="AAT3" s="98"/>
      <c r="AAU3" s="98"/>
      <c r="AAV3" s="98"/>
      <c r="AAW3" s="98"/>
      <c r="AAX3" s="98"/>
      <c r="AAY3" s="98"/>
      <c r="AAZ3" s="98"/>
      <c r="ABA3" s="98"/>
      <c r="ABB3" s="98"/>
      <c r="ABC3" s="98"/>
      <c r="ABD3" s="98"/>
      <c r="ABE3" s="98"/>
      <c r="ABF3" s="98"/>
      <c r="ABG3" s="98"/>
      <c r="ABH3" s="98"/>
      <c r="ABI3" s="98"/>
      <c r="ABJ3" s="98"/>
      <c r="ABK3" s="98"/>
      <c r="ABL3" s="98"/>
      <c r="ABM3" s="98"/>
      <c r="ABN3" s="98"/>
      <c r="ABO3" s="98"/>
      <c r="ABP3" s="98"/>
      <c r="ABQ3" s="98"/>
      <c r="ABR3" s="98"/>
      <c r="ABS3" s="98"/>
      <c r="ABT3" s="98"/>
      <c r="ABU3" s="98"/>
      <c r="ABV3" s="98"/>
      <c r="ABW3" s="98"/>
      <c r="ABX3" s="98"/>
      <c r="ABY3" s="98"/>
      <c r="ABZ3" s="98"/>
      <c r="ACA3" s="98"/>
      <c r="ACB3" s="98"/>
      <c r="ACC3" s="98"/>
      <c r="ACD3" s="98"/>
      <c r="ACE3" s="98"/>
      <c r="ACF3" s="98"/>
      <c r="ACG3" s="98"/>
      <c r="ACH3" s="98"/>
      <c r="ACI3" s="98"/>
      <c r="ACJ3" s="98"/>
      <c r="ACK3" s="98"/>
      <c r="ACL3" s="98"/>
      <c r="ACM3" s="98"/>
      <c r="ACN3" s="98"/>
      <c r="ACO3" s="98"/>
      <c r="ACP3" s="98"/>
      <c r="ACQ3" s="98"/>
      <c r="ACR3" s="98"/>
      <c r="ACS3" s="98"/>
      <c r="ACT3" s="98"/>
      <c r="ACU3" s="98"/>
      <c r="ACV3" s="98"/>
      <c r="ACW3" s="98"/>
      <c r="ACX3" s="98"/>
      <c r="ACY3" s="98"/>
      <c r="ACZ3" s="98"/>
      <c r="ADA3" s="98"/>
      <c r="ADB3" s="98"/>
      <c r="ADC3" s="98"/>
      <c r="ADD3" s="98"/>
      <c r="ADE3" s="98"/>
      <c r="ADF3" s="98"/>
      <c r="ADG3" s="98"/>
      <c r="ADH3" s="98"/>
      <c r="ADI3" s="98"/>
      <c r="ADJ3" s="98"/>
      <c r="ADK3" s="98"/>
      <c r="ADL3" s="98"/>
      <c r="ADM3" s="98"/>
      <c r="ADN3" s="98"/>
      <c r="ADO3" s="98"/>
      <c r="ADP3" s="98"/>
      <c r="ADQ3" s="98"/>
      <c r="ADR3" s="98"/>
      <c r="ADS3" s="98"/>
      <c r="ADT3" s="98"/>
      <c r="ADU3" s="98"/>
      <c r="ADV3" s="98"/>
      <c r="ADW3" s="98"/>
      <c r="ADX3" s="98"/>
      <c r="ADY3" s="98"/>
      <c r="ADZ3" s="98"/>
      <c r="AEA3" s="98"/>
      <c r="AEB3" s="98"/>
      <c r="AEC3" s="98"/>
      <c r="AED3" s="98"/>
      <c r="AEE3" s="98"/>
      <c r="AEF3" s="98"/>
      <c r="AEG3" s="98"/>
      <c r="AEH3" s="98"/>
      <c r="AEI3" s="98"/>
      <c r="AEJ3" s="98"/>
      <c r="AEK3" s="98"/>
      <c r="AEL3" s="98"/>
      <c r="AEM3" s="98"/>
      <c r="AEN3" s="98"/>
      <c r="AEO3" s="98"/>
      <c r="AEP3" s="98"/>
      <c r="AEQ3" s="98"/>
      <c r="AER3" s="98"/>
      <c r="AES3" s="98"/>
      <c r="AET3" s="98"/>
      <c r="AEU3" s="98"/>
      <c r="AEV3" s="98"/>
      <c r="AEW3" s="98"/>
      <c r="AEX3" s="98"/>
      <c r="AEY3" s="98"/>
      <c r="AEZ3" s="98"/>
      <c r="AFA3" s="98"/>
      <c r="AFB3" s="98"/>
      <c r="AFC3" s="98"/>
      <c r="AFD3" s="98"/>
      <c r="AFE3" s="98"/>
      <c r="AFF3" s="98"/>
      <c r="AFG3" s="98"/>
      <c r="AFH3" s="98"/>
      <c r="AFI3" s="98"/>
      <c r="AFJ3" s="98"/>
      <c r="AFK3" s="98"/>
      <c r="AFL3" s="98"/>
      <c r="AFM3" s="98"/>
      <c r="AFN3" s="98"/>
      <c r="AFO3" s="98"/>
      <c r="AFP3" s="98"/>
      <c r="AFQ3" s="98"/>
      <c r="AFR3" s="98"/>
      <c r="AFS3" s="98"/>
      <c r="AFT3" s="98"/>
      <c r="AFU3" s="98"/>
      <c r="AFV3" s="98"/>
      <c r="AFW3" s="98"/>
      <c r="AFX3" s="98"/>
      <c r="AFY3" s="98"/>
      <c r="AFZ3" s="98"/>
      <c r="AGA3" s="98"/>
      <c r="AGB3" s="98"/>
      <c r="AGC3" s="98"/>
      <c r="AGD3" s="98"/>
      <c r="AGE3" s="98"/>
      <c r="AGF3" s="98"/>
      <c r="AGG3" s="98"/>
      <c r="AGH3" s="98"/>
      <c r="AGI3" s="98"/>
      <c r="AGJ3" s="98"/>
      <c r="AGK3" s="98"/>
      <c r="AGL3" s="98"/>
      <c r="AGM3" s="98"/>
      <c r="AGN3" s="98"/>
      <c r="AGO3" s="98"/>
      <c r="AGP3" s="98"/>
      <c r="AGQ3" s="98"/>
      <c r="AGR3" s="98"/>
      <c r="AGS3" s="98"/>
      <c r="AGT3" s="98"/>
      <c r="AGU3" s="98"/>
      <c r="AGV3" s="98"/>
      <c r="AGW3" s="98"/>
      <c r="AGX3" s="98"/>
      <c r="AGY3" s="98"/>
      <c r="AGZ3" s="98"/>
      <c r="AHA3" s="98"/>
      <c r="AHB3" s="98"/>
      <c r="AHC3" s="98"/>
      <c r="AHD3" s="98"/>
      <c r="AHE3" s="98"/>
      <c r="AHF3" s="98"/>
      <c r="AHG3" s="98"/>
      <c r="AHH3" s="98"/>
      <c r="AHI3" s="98"/>
      <c r="AHJ3" s="98"/>
      <c r="AHK3" s="98"/>
      <c r="AHL3" s="98"/>
      <c r="AHM3" s="98"/>
      <c r="AHN3" s="98"/>
      <c r="AHO3" s="98"/>
      <c r="AHP3" s="98"/>
      <c r="AHQ3" s="98"/>
      <c r="AHR3" s="98"/>
      <c r="AHS3" s="98"/>
      <c r="AHT3" s="98"/>
      <c r="AHU3" s="98"/>
      <c r="AHV3" s="98"/>
      <c r="AHW3" s="98"/>
      <c r="AHX3" s="98"/>
      <c r="AHY3" s="98"/>
      <c r="AHZ3" s="98"/>
      <c r="AIA3" s="98"/>
      <c r="AIB3" s="98"/>
      <c r="AIC3" s="98"/>
      <c r="AID3" s="98"/>
      <c r="AIE3" s="98"/>
      <c r="AIF3" s="98"/>
      <c r="AIG3" s="98"/>
      <c r="AIH3" s="98"/>
      <c r="AII3" s="98"/>
      <c r="AIJ3" s="98"/>
      <c r="AIK3" s="98"/>
      <c r="AIL3" s="98"/>
      <c r="AIM3" s="98"/>
      <c r="AIN3" s="98"/>
      <c r="AIO3" s="98"/>
      <c r="AIP3" s="98"/>
      <c r="AIQ3" s="98"/>
      <c r="AIR3" s="98"/>
      <c r="AIS3" s="98"/>
      <c r="AIT3" s="98"/>
      <c r="AIU3" s="98"/>
      <c r="AIV3" s="98"/>
      <c r="AIW3" s="98"/>
      <c r="AIX3" s="98"/>
      <c r="AIY3" s="98"/>
      <c r="AIZ3" s="98"/>
      <c r="AJA3" s="98"/>
      <c r="AJB3" s="98"/>
      <c r="AJC3" s="98"/>
      <c r="AJD3" s="98"/>
      <c r="AJE3" s="98"/>
      <c r="AJF3" s="98"/>
      <c r="AJG3" s="98"/>
      <c r="AJH3" s="98"/>
      <c r="AJI3" s="98"/>
      <c r="AJJ3" s="98"/>
      <c r="AJK3" s="98"/>
      <c r="AJL3" s="98"/>
      <c r="AJM3" s="98"/>
      <c r="AJN3" s="98"/>
      <c r="AJO3" s="98"/>
      <c r="AJP3" s="98"/>
      <c r="AJQ3" s="98"/>
      <c r="AJR3" s="98"/>
      <c r="AJS3" s="98"/>
      <c r="AJT3" s="98"/>
      <c r="AJU3" s="98"/>
      <c r="AJV3" s="98"/>
      <c r="AJW3" s="98"/>
      <c r="AJX3" s="98"/>
      <c r="AJY3" s="98"/>
      <c r="AJZ3" s="98"/>
      <c r="AKA3" s="98"/>
      <c r="AKB3" s="98"/>
      <c r="AKC3" s="98"/>
      <c r="AKD3" s="98"/>
      <c r="AKE3" s="98"/>
      <c r="AKF3" s="98"/>
      <c r="AKG3" s="98"/>
      <c r="AKH3" s="98"/>
      <c r="AKI3" s="98"/>
      <c r="AKJ3" s="98"/>
      <c r="AKK3" s="98"/>
      <c r="AKL3" s="98"/>
      <c r="AKM3" s="98"/>
      <c r="AKN3" s="98"/>
      <c r="AKO3" s="98"/>
      <c r="AKP3" s="98"/>
      <c r="AKQ3" s="98"/>
      <c r="AKR3" s="98"/>
      <c r="AKS3" s="98"/>
      <c r="AKT3" s="98"/>
      <c r="AKU3" s="98"/>
      <c r="AKV3" s="98"/>
      <c r="AKW3" s="98"/>
      <c r="AKX3" s="98"/>
      <c r="AKY3" s="98"/>
      <c r="AKZ3" s="98"/>
      <c r="ALA3" s="98"/>
      <c r="ALB3" s="98"/>
      <c r="ALC3" s="98"/>
      <c r="ALD3" s="98"/>
      <c r="ALE3" s="98"/>
      <c r="ALF3" s="98"/>
      <c r="ALG3" s="98"/>
      <c r="ALH3" s="98"/>
      <c r="ALI3" s="98"/>
      <c r="ALJ3" s="98"/>
      <c r="ALK3" s="98"/>
      <c r="ALL3" s="98"/>
      <c r="ALM3" s="98"/>
      <c r="ALN3" s="98"/>
      <c r="ALO3" s="98"/>
      <c r="ALP3" s="98"/>
      <c r="ALQ3" s="98"/>
      <c r="ALR3" s="98"/>
      <c r="ALS3" s="98"/>
      <c r="ALT3" s="98"/>
      <c r="ALU3" s="98"/>
      <c r="ALV3" s="98"/>
      <c r="ALW3" s="98"/>
      <c r="ALX3" s="98"/>
      <c r="ALY3" s="98"/>
      <c r="ALZ3" s="98"/>
      <c r="AMA3" s="98"/>
      <c r="AMB3" s="98"/>
      <c r="AMC3" s="98"/>
      <c r="AMD3" s="98"/>
      <c r="AME3" s="98"/>
      <c r="AMF3" s="98"/>
      <c r="AMG3" s="98"/>
      <c r="AMH3" s="98"/>
      <c r="AMI3" s="98"/>
      <c r="AMJ3" s="98"/>
      <c r="AMK3" s="98"/>
      <c r="AML3" s="98"/>
      <c r="AMM3" s="98"/>
      <c r="AMN3" s="98"/>
      <c r="AMO3" s="98"/>
      <c r="AMP3" s="98"/>
      <c r="AMQ3" s="98"/>
      <c r="AMR3" s="98"/>
      <c r="AMS3" s="98"/>
      <c r="AMT3" s="98"/>
      <c r="AMU3" s="98"/>
      <c r="AMV3" s="98"/>
      <c r="AMW3" s="98"/>
      <c r="AMX3" s="98"/>
      <c r="AMY3" s="98"/>
      <c r="AMZ3" s="98"/>
      <c r="ANA3" s="98"/>
      <c r="ANB3" s="98"/>
      <c r="ANC3" s="98"/>
      <c r="AND3" s="98"/>
      <c r="ANE3" s="98"/>
      <c r="ANF3" s="98"/>
      <c r="ANG3" s="98"/>
      <c r="ANH3" s="98"/>
      <c r="ANI3" s="98"/>
      <c r="ANJ3" s="98"/>
      <c r="ANK3" s="98"/>
      <c r="ANL3" s="98"/>
      <c r="ANM3" s="98"/>
      <c r="ANN3" s="98"/>
      <c r="ANO3" s="98"/>
      <c r="ANP3" s="98"/>
      <c r="ANQ3" s="98"/>
      <c r="ANR3" s="98"/>
      <c r="ANS3" s="98"/>
      <c r="ANT3" s="98"/>
      <c r="ANU3" s="98"/>
      <c r="ANV3" s="98"/>
      <c r="ANW3" s="98"/>
      <c r="ANX3" s="98"/>
      <c r="ANY3" s="98"/>
      <c r="ANZ3" s="98"/>
      <c r="AOA3" s="98"/>
      <c r="AOB3" s="98"/>
      <c r="AOC3" s="98"/>
      <c r="AOD3" s="98"/>
      <c r="AOE3" s="98"/>
      <c r="AOF3" s="98"/>
      <c r="AOG3" s="98"/>
      <c r="AOH3" s="98"/>
      <c r="AOI3" s="98"/>
      <c r="AOJ3" s="98"/>
      <c r="AOK3" s="98"/>
      <c r="AOL3" s="98"/>
      <c r="AOM3" s="98"/>
      <c r="AON3" s="98"/>
      <c r="AOO3" s="98"/>
      <c r="AOP3" s="98"/>
      <c r="AOQ3" s="98"/>
      <c r="AOR3" s="98"/>
      <c r="AOS3" s="98"/>
      <c r="AOT3" s="98"/>
      <c r="AOU3" s="98"/>
      <c r="AOV3" s="98"/>
      <c r="AOW3" s="98"/>
      <c r="AOX3" s="98"/>
      <c r="AOY3" s="98"/>
      <c r="AOZ3" s="98"/>
      <c r="APA3" s="98"/>
      <c r="APB3" s="98"/>
      <c r="APC3" s="98"/>
      <c r="APD3" s="98"/>
      <c r="APE3" s="98"/>
      <c r="APF3" s="98"/>
      <c r="APG3" s="98"/>
      <c r="APH3" s="98"/>
      <c r="API3" s="98"/>
      <c r="APJ3" s="98"/>
      <c r="APK3" s="98"/>
      <c r="APL3" s="98"/>
      <c r="APM3" s="98"/>
      <c r="APN3" s="98"/>
      <c r="APO3" s="98"/>
      <c r="APP3" s="98"/>
      <c r="APQ3" s="98"/>
      <c r="APR3" s="98"/>
      <c r="APS3" s="98"/>
      <c r="APT3" s="98"/>
      <c r="APU3" s="98"/>
      <c r="APV3" s="98"/>
      <c r="APW3" s="98"/>
      <c r="APX3" s="98"/>
      <c r="APY3" s="98"/>
      <c r="APZ3" s="98"/>
      <c r="AQA3" s="98"/>
      <c r="AQB3" s="98"/>
      <c r="AQC3" s="98"/>
      <c r="AQD3" s="98"/>
      <c r="AQE3" s="98"/>
      <c r="AQF3" s="98"/>
      <c r="AQG3" s="98"/>
      <c r="AQH3" s="98"/>
      <c r="AQI3" s="98"/>
      <c r="AQJ3" s="98"/>
      <c r="AQK3" s="98"/>
      <c r="AQL3" s="98"/>
      <c r="AQM3" s="98"/>
      <c r="AQN3" s="98"/>
      <c r="AQO3" s="98"/>
      <c r="AQP3" s="98"/>
      <c r="AQQ3" s="98"/>
      <c r="AQR3" s="98"/>
      <c r="AQS3" s="98"/>
      <c r="AQT3" s="98"/>
      <c r="AQU3" s="98"/>
      <c r="AQV3" s="98"/>
      <c r="AQW3" s="98"/>
      <c r="AQX3" s="98"/>
      <c r="AQY3" s="98"/>
      <c r="AQZ3" s="98"/>
      <c r="ARA3" s="98"/>
      <c r="ARB3" s="98"/>
      <c r="ARC3" s="98"/>
      <c r="ARD3" s="98"/>
      <c r="ARE3" s="98"/>
      <c r="ARF3" s="98"/>
      <c r="ARG3" s="98"/>
      <c r="ARH3" s="98"/>
      <c r="ARI3" s="98"/>
      <c r="ARJ3" s="98"/>
      <c r="ARK3" s="98"/>
      <c r="ARL3" s="98"/>
      <c r="ARM3" s="98"/>
      <c r="ARN3" s="98"/>
      <c r="ARO3" s="98"/>
      <c r="ARP3" s="98"/>
      <c r="ARQ3" s="98"/>
      <c r="ARR3" s="98"/>
      <c r="ARS3" s="98"/>
      <c r="ART3" s="98"/>
      <c r="ARU3" s="98"/>
      <c r="ARV3" s="98"/>
      <c r="ARW3" s="98"/>
      <c r="ARX3" s="98"/>
      <c r="ARY3" s="98"/>
      <c r="ARZ3" s="98"/>
      <c r="ASA3" s="98"/>
      <c r="ASB3" s="98"/>
      <c r="ASC3" s="98"/>
      <c r="ASD3" s="98"/>
      <c r="ASE3" s="98"/>
      <c r="ASF3" s="98"/>
      <c r="ASG3" s="98"/>
      <c r="ASH3" s="98"/>
      <c r="ASI3" s="98"/>
      <c r="ASJ3" s="98"/>
      <c r="ASK3" s="98"/>
      <c r="ASL3" s="98"/>
      <c r="ASM3" s="98"/>
      <c r="ASN3" s="98"/>
      <c r="ASO3" s="98"/>
      <c r="ASP3" s="98"/>
      <c r="ASQ3" s="98"/>
      <c r="ASR3" s="98"/>
      <c r="ASS3" s="98"/>
      <c r="AST3" s="98"/>
      <c r="ASU3" s="98"/>
      <c r="ASV3" s="98"/>
      <c r="ASW3" s="98"/>
      <c r="ASX3" s="98"/>
      <c r="ASY3" s="98"/>
      <c r="ASZ3" s="98"/>
      <c r="ATA3" s="98"/>
      <c r="ATB3" s="98"/>
      <c r="ATC3" s="98"/>
      <c r="ATD3" s="98"/>
      <c r="ATE3" s="98"/>
      <c r="ATF3" s="98"/>
      <c r="ATG3" s="98"/>
      <c r="ATH3" s="98"/>
      <c r="ATI3" s="98"/>
      <c r="ATJ3" s="98"/>
      <c r="ATK3" s="98"/>
      <c r="ATL3" s="98"/>
      <c r="ATM3" s="98"/>
      <c r="ATN3" s="98"/>
      <c r="ATO3" s="98"/>
      <c r="ATP3" s="98"/>
      <c r="ATQ3" s="98"/>
      <c r="ATR3" s="98"/>
      <c r="ATS3" s="98"/>
      <c r="ATT3" s="98"/>
      <c r="ATU3" s="98"/>
      <c r="ATV3" s="98"/>
      <c r="ATW3" s="98"/>
      <c r="ATX3" s="98"/>
      <c r="ATY3" s="98"/>
      <c r="ATZ3" s="98"/>
      <c r="AUA3" s="98"/>
      <c r="AUB3" s="98"/>
      <c r="AUC3" s="98"/>
      <c r="AUD3" s="98"/>
      <c r="AUE3" s="98"/>
      <c r="AUF3" s="98"/>
      <c r="AUG3" s="98"/>
      <c r="AUH3" s="98"/>
      <c r="AUI3" s="98"/>
      <c r="AUJ3" s="98"/>
      <c r="AUK3" s="98"/>
      <c r="AUL3" s="98"/>
      <c r="AUM3" s="98"/>
      <c r="AUN3" s="98"/>
      <c r="AUO3" s="98"/>
      <c r="AUP3" s="98"/>
      <c r="AUQ3" s="98"/>
      <c r="AUR3" s="98"/>
      <c r="AUS3" s="98"/>
      <c r="AUT3" s="98"/>
      <c r="AUU3" s="98"/>
      <c r="AUV3" s="98"/>
      <c r="AUW3" s="98"/>
      <c r="AUX3" s="98"/>
      <c r="AUY3" s="98"/>
      <c r="AUZ3" s="98"/>
      <c r="AVA3" s="98"/>
      <c r="AVB3" s="98"/>
      <c r="AVC3" s="98"/>
      <c r="AVD3" s="98"/>
      <c r="AVE3" s="98"/>
      <c r="AVF3" s="98"/>
      <c r="AVG3" s="98"/>
      <c r="AVH3" s="98"/>
      <c r="AVI3" s="98"/>
      <c r="AVJ3" s="98"/>
      <c r="AVK3" s="98"/>
      <c r="AVL3" s="98"/>
      <c r="AVM3" s="98"/>
      <c r="AVN3" s="98"/>
      <c r="AVO3" s="98"/>
      <c r="AVP3" s="98"/>
      <c r="AVQ3" s="98"/>
      <c r="AVR3" s="98"/>
      <c r="AVS3" s="98"/>
      <c r="AVT3" s="98"/>
      <c r="AVU3" s="98"/>
      <c r="AVV3" s="98"/>
      <c r="AVW3" s="98"/>
      <c r="AVX3" s="98"/>
      <c r="AVY3" s="98"/>
      <c r="AVZ3" s="98"/>
      <c r="AWA3" s="98"/>
      <c r="AWB3" s="98"/>
      <c r="AWC3" s="98"/>
      <c r="AWD3" s="98"/>
      <c r="AWE3" s="98"/>
      <c r="AWF3" s="98"/>
      <c r="AWG3" s="98"/>
      <c r="AWH3" s="98"/>
      <c r="AWI3" s="98"/>
      <c r="AWJ3" s="98"/>
      <c r="AWK3" s="98"/>
      <c r="AWL3" s="98"/>
      <c r="AWM3" s="98"/>
      <c r="AWN3" s="98"/>
      <c r="AWO3" s="98"/>
      <c r="AWP3" s="98"/>
      <c r="AWQ3" s="98"/>
      <c r="AWR3" s="98"/>
      <c r="AWS3" s="98"/>
      <c r="AWT3" s="98"/>
      <c r="AWU3" s="98"/>
      <c r="AWV3" s="98"/>
      <c r="AWW3" s="98"/>
      <c r="AWX3" s="98"/>
      <c r="AWY3" s="98"/>
      <c r="AWZ3" s="98"/>
      <c r="AXA3" s="98"/>
      <c r="AXB3" s="98"/>
      <c r="AXC3" s="98"/>
      <c r="AXD3" s="98"/>
      <c r="AXE3" s="98"/>
      <c r="AXF3" s="98"/>
      <c r="AXG3" s="98"/>
      <c r="AXH3" s="98"/>
      <c r="AXI3" s="98"/>
      <c r="AXJ3" s="98"/>
      <c r="AXK3" s="98"/>
      <c r="AXL3" s="98"/>
      <c r="AXM3" s="98"/>
      <c r="AXN3" s="98"/>
      <c r="AXO3" s="98"/>
      <c r="AXP3" s="98"/>
      <c r="AXQ3" s="98"/>
      <c r="AXR3" s="98"/>
      <c r="AXS3" s="98"/>
      <c r="AXT3" s="98"/>
      <c r="AXU3" s="98"/>
      <c r="AXV3" s="98"/>
      <c r="AXW3" s="98"/>
      <c r="AXX3" s="98"/>
      <c r="AXY3" s="98"/>
      <c r="AXZ3" s="98"/>
      <c r="AYA3" s="98"/>
      <c r="AYB3" s="98"/>
      <c r="AYC3" s="98"/>
      <c r="AYD3" s="98"/>
      <c r="AYE3" s="98"/>
      <c r="AYF3" s="98"/>
      <c r="AYG3" s="98"/>
      <c r="AYH3" s="98"/>
      <c r="AYI3" s="98"/>
      <c r="AYJ3" s="98"/>
      <c r="AYK3" s="98"/>
      <c r="AYL3" s="98"/>
      <c r="AYM3" s="98"/>
      <c r="AYN3" s="98"/>
      <c r="AYO3" s="98"/>
      <c r="AYP3" s="98"/>
      <c r="AYQ3" s="98"/>
      <c r="AYR3" s="98"/>
      <c r="AYS3" s="98"/>
      <c r="AYT3" s="98"/>
      <c r="AYU3" s="98"/>
      <c r="AYV3" s="98"/>
      <c r="AYW3" s="98"/>
      <c r="AYX3" s="98"/>
      <c r="AYY3" s="98"/>
      <c r="AYZ3" s="98"/>
      <c r="AZA3" s="98"/>
      <c r="AZB3" s="98"/>
      <c r="AZC3" s="98"/>
      <c r="AZD3" s="98"/>
      <c r="AZE3" s="98"/>
      <c r="AZF3" s="98"/>
      <c r="AZG3" s="98"/>
      <c r="AZH3" s="98"/>
      <c r="AZI3" s="98"/>
      <c r="AZJ3" s="98"/>
      <c r="AZK3" s="98"/>
      <c r="AZL3" s="98"/>
      <c r="AZM3" s="98"/>
      <c r="AZN3" s="98"/>
      <c r="AZO3" s="98"/>
      <c r="AZP3" s="98"/>
      <c r="AZQ3" s="98"/>
      <c r="AZR3" s="98"/>
      <c r="AZS3" s="98"/>
      <c r="AZT3" s="98"/>
      <c r="AZU3" s="98"/>
      <c r="AZV3" s="98"/>
      <c r="AZW3" s="98"/>
      <c r="AZX3" s="98"/>
      <c r="AZY3" s="98"/>
      <c r="AZZ3" s="98"/>
      <c r="BAA3" s="98"/>
      <c r="BAB3" s="98"/>
      <c r="BAC3" s="98"/>
      <c r="BAD3" s="98"/>
      <c r="BAE3" s="98"/>
      <c r="BAF3" s="98"/>
      <c r="BAG3" s="98"/>
      <c r="BAH3" s="98"/>
      <c r="BAI3" s="98"/>
      <c r="BAJ3" s="98"/>
      <c r="BAK3" s="98"/>
      <c r="BAL3" s="98"/>
      <c r="BAM3" s="98"/>
      <c r="BAN3" s="98"/>
      <c r="BAO3" s="98"/>
      <c r="BAP3" s="98"/>
      <c r="BAQ3" s="98"/>
      <c r="BAR3" s="98"/>
      <c r="BAS3" s="98"/>
      <c r="BAT3" s="98"/>
      <c r="BAU3" s="98"/>
      <c r="BAV3" s="98"/>
      <c r="BAW3" s="98"/>
      <c r="BAX3" s="98"/>
      <c r="BAY3" s="98"/>
      <c r="BAZ3" s="98"/>
      <c r="BBA3" s="98"/>
      <c r="BBB3" s="98"/>
      <c r="BBC3" s="98"/>
      <c r="BBD3" s="98"/>
      <c r="BBE3" s="98"/>
      <c r="BBF3" s="98"/>
      <c r="BBG3" s="98"/>
      <c r="BBH3" s="98"/>
      <c r="BBI3" s="98"/>
      <c r="BBJ3" s="98"/>
      <c r="BBK3" s="98"/>
      <c r="BBL3" s="98"/>
      <c r="BBM3" s="98"/>
      <c r="BBN3" s="98"/>
      <c r="BBO3" s="98"/>
      <c r="BBP3" s="98"/>
      <c r="BBQ3" s="98"/>
      <c r="BBR3" s="98"/>
      <c r="BBS3" s="98"/>
      <c r="BBT3" s="98"/>
      <c r="BBU3" s="98"/>
      <c r="BBV3" s="98"/>
      <c r="BBW3" s="98"/>
      <c r="BBX3" s="98"/>
      <c r="BBY3" s="98"/>
      <c r="BBZ3" s="98"/>
      <c r="BCA3" s="98"/>
      <c r="BCB3" s="98"/>
      <c r="BCC3" s="98"/>
      <c r="BCD3" s="98"/>
      <c r="BCE3" s="98"/>
      <c r="BCF3" s="98"/>
      <c r="BCG3" s="98"/>
      <c r="BCH3" s="98"/>
      <c r="BCI3" s="98"/>
      <c r="BCJ3" s="98"/>
      <c r="BCK3" s="98"/>
      <c r="BCL3" s="98"/>
      <c r="BCM3" s="98"/>
      <c r="BCN3" s="98"/>
      <c r="BCO3" s="98"/>
      <c r="BCP3" s="98"/>
      <c r="BCQ3" s="98"/>
      <c r="BCR3" s="98"/>
      <c r="BCS3" s="98"/>
      <c r="BCT3" s="98"/>
      <c r="BCU3" s="98"/>
      <c r="BCV3" s="98"/>
      <c r="BCW3" s="98"/>
      <c r="BCX3" s="98"/>
      <c r="BCY3" s="98"/>
      <c r="BCZ3" s="98"/>
      <c r="BDA3" s="98"/>
      <c r="BDB3" s="98"/>
      <c r="BDC3" s="98"/>
      <c r="BDD3" s="98"/>
      <c r="BDE3" s="98"/>
      <c r="BDF3" s="98"/>
      <c r="BDG3" s="98"/>
      <c r="BDH3" s="98"/>
      <c r="BDI3" s="98"/>
      <c r="BDJ3" s="98"/>
      <c r="BDK3" s="98"/>
      <c r="BDL3" s="98"/>
      <c r="BDM3" s="98"/>
      <c r="BDN3" s="98"/>
      <c r="BDO3" s="98"/>
      <c r="BDP3" s="98"/>
      <c r="BDQ3" s="98"/>
      <c r="BDR3" s="98"/>
      <c r="BDS3" s="98"/>
      <c r="BDT3" s="98"/>
      <c r="BDU3" s="98"/>
      <c r="BDV3" s="98"/>
      <c r="BDW3" s="98"/>
      <c r="BDX3" s="98"/>
      <c r="BDY3" s="98"/>
      <c r="BDZ3" s="98"/>
      <c r="BEA3" s="98"/>
      <c r="BEB3" s="98"/>
      <c r="BEC3" s="98"/>
      <c r="BED3" s="98"/>
      <c r="BEE3" s="98"/>
      <c r="BEF3" s="98"/>
      <c r="BEG3" s="98"/>
      <c r="BEH3" s="98"/>
      <c r="BEI3" s="98"/>
      <c r="BEJ3" s="98"/>
      <c r="BEK3" s="98"/>
      <c r="BEL3" s="98"/>
      <c r="BEM3" s="98"/>
      <c r="BEN3" s="98"/>
      <c r="BEO3" s="98"/>
      <c r="BEP3" s="98"/>
      <c r="BEQ3" s="98"/>
      <c r="BER3" s="98"/>
      <c r="BES3" s="98"/>
      <c r="BET3" s="98"/>
      <c r="BEU3" s="98"/>
      <c r="BEV3" s="98"/>
      <c r="BEW3" s="98"/>
      <c r="BEX3" s="98"/>
      <c r="BEY3" s="98"/>
      <c r="BEZ3" s="98"/>
      <c r="BFA3" s="98"/>
      <c r="BFB3" s="98"/>
      <c r="BFC3" s="98"/>
      <c r="BFD3" s="98"/>
      <c r="BFE3" s="98"/>
      <c r="BFF3" s="98"/>
      <c r="BFG3" s="98"/>
      <c r="BFH3" s="98"/>
      <c r="BFI3" s="98"/>
      <c r="BFJ3" s="98"/>
      <c r="BFK3" s="98"/>
      <c r="BFL3" s="98"/>
      <c r="BFM3" s="98"/>
      <c r="BFN3" s="98"/>
      <c r="BFO3" s="98"/>
      <c r="BFP3" s="98"/>
      <c r="BFQ3" s="98"/>
      <c r="BFR3" s="98"/>
      <c r="BFS3" s="98"/>
      <c r="BFT3" s="98"/>
      <c r="BFU3" s="98"/>
      <c r="BFV3" s="98"/>
      <c r="BFW3" s="98"/>
      <c r="BFX3" s="98"/>
      <c r="BFY3" s="98"/>
      <c r="BFZ3" s="98"/>
      <c r="BGA3" s="98"/>
      <c r="BGB3" s="98"/>
      <c r="BGC3" s="98"/>
      <c r="BGD3" s="98"/>
      <c r="BGE3" s="98"/>
      <c r="BGF3" s="98"/>
      <c r="BGG3" s="98"/>
      <c r="BGH3" s="98"/>
      <c r="BGI3" s="98"/>
      <c r="BGJ3" s="98"/>
      <c r="BGK3" s="98"/>
      <c r="BGL3" s="98"/>
      <c r="BGM3" s="98"/>
      <c r="BGN3" s="98"/>
      <c r="BGO3" s="98"/>
      <c r="BGP3" s="98"/>
      <c r="BGQ3" s="98"/>
      <c r="BGR3" s="98"/>
      <c r="BGS3" s="98"/>
      <c r="BGT3" s="98"/>
      <c r="BGU3" s="98"/>
      <c r="BGV3" s="98"/>
      <c r="BGW3" s="98"/>
      <c r="BGX3" s="98"/>
      <c r="BGY3" s="98"/>
      <c r="BGZ3" s="98"/>
      <c r="BHA3" s="98"/>
      <c r="BHB3" s="98"/>
      <c r="BHC3" s="98"/>
      <c r="BHD3" s="98"/>
      <c r="BHE3" s="98"/>
      <c r="BHF3" s="98"/>
      <c r="BHG3" s="98"/>
      <c r="BHH3" s="98"/>
      <c r="BHI3" s="98"/>
      <c r="BHJ3" s="98"/>
      <c r="BHK3" s="98"/>
      <c r="BHL3" s="98"/>
      <c r="BHM3" s="98"/>
      <c r="BHN3" s="98"/>
      <c r="BHO3" s="98"/>
      <c r="BHP3" s="98"/>
      <c r="BHQ3" s="98"/>
      <c r="BHR3" s="98"/>
      <c r="BHS3" s="98"/>
      <c r="BHT3" s="98"/>
      <c r="BHU3" s="98"/>
      <c r="BHV3" s="98"/>
      <c r="BHW3" s="98"/>
      <c r="BHX3" s="98"/>
      <c r="BHY3" s="98"/>
      <c r="BHZ3" s="98"/>
      <c r="BIA3" s="98"/>
      <c r="BIB3" s="98"/>
      <c r="BIC3" s="98"/>
      <c r="BID3" s="98"/>
      <c r="BIE3" s="98"/>
      <c r="BIF3" s="98"/>
      <c r="BIG3" s="98"/>
      <c r="BIH3" s="98"/>
      <c r="BII3" s="98"/>
      <c r="BIJ3" s="98"/>
      <c r="BIK3" s="98"/>
      <c r="BIL3" s="98"/>
      <c r="BIM3" s="98"/>
      <c r="BIN3" s="98"/>
      <c r="BIO3" s="98"/>
      <c r="BIP3" s="98"/>
      <c r="BIQ3" s="98"/>
      <c r="BIR3" s="98"/>
      <c r="BIS3" s="98"/>
      <c r="BIT3" s="98"/>
      <c r="BIU3" s="98"/>
      <c r="BIV3" s="98"/>
      <c r="BIW3" s="98"/>
      <c r="BIX3" s="98"/>
      <c r="BIY3" s="98"/>
      <c r="BIZ3" s="98"/>
      <c r="BJA3" s="98"/>
      <c r="BJB3" s="98"/>
      <c r="BJC3" s="98"/>
      <c r="BJD3" s="98"/>
      <c r="BJE3" s="98"/>
      <c r="BJF3" s="98"/>
      <c r="BJG3" s="98"/>
      <c r="BJH3" s="98"/>
      <c r="BJI3" s="98"/>
      <c r="BJJ3" s="98"/>
      <c r="BJK3" s="98"/>
      <c r="BJL3" s="98"/>
      <c r="BJM3" s="98"/>
      <c r="BJN3" s="98"/>
      <c r="BJO3" s="98"/>
      <c r="BJP3" s="98"/>
      <c r="BJQ3" s="98"/>
      <c r="BJR3" s="98"/>
      <c r="BJS3" s="98"/>
      <c r="BJT3" s="98"/>
      <c r="BJU3" s="98"/>
      <c r="BJV3" s="98"/>
      <c r="BJW3" s="98"/>
      <c r="BJX3" s="98"/>
      <c r="BJY3" s="98"/>
      <c r="BJZ3" s="98"/>
      <c r="BKA3" s="98"/>
      <c r="BKB3" s="98"/>
      <c r="BKC3" s="98"/>
      <c r="BKD3" s="98"/>
      <c r="BKE3" s="98"/>
      <c r="BKF3" s="98"/>
      <c r="BKG3" s="98"/>
      <c r="BKH3" s="98"/>
      <c r="BKI3" s="98"/>
      <c r="BKJ3" s="98"/>
      <c r="BKK3" s="98"/>
      <c r="BKL3" s="98"/>
      <c r="BKM3" s="98"/>
      <c r="BKN3" s="98"/>
      <c r="BKO3" s="98"/>
      <c r="BKP3" s="98"/>
      <c r="BKQ3" s="98"/>
      <c r="BKR3" s="98"/>
      <c r="BKS3" s="98"/>
      <c r="BKT3" s="98"/>
      <c r="BKU3" s="98"/>
      <c r="BKV3" s="98"/>
      <c r="BKW3" s="98"/>
      <c r="BKX3" s="98"/>
      <c r="BKY3" s="98"/>
      <c r="BKZ3" s="98"/>
      <c r="BLA3" s="98"/>
      <c r="BLB3" s="98"/>
      <c r="BLC3" s="98"/>
      <c r="BLD3" s="98"/>
      <c r="BLE3" s="98"/>
      <c r="BLF3" s="98"/>
      <c r="BLG3" s="98"/>
      <c r="BLH3" s="98"/>
      <c r="BLI3" s="98"/>
      <c r="BLJ3" s="98"/>
      <c r="BLK3" s="98"/>
      <c r="BLL3" s="98"/>
      <c r="BLM3" s="98"/>
      <c r="BLN3" s="98"/>
      <c r="BLO3" s="98"/>
      <c r="BLP3" s="98"/>
      <c r="BLQ3" s="98"/>
      <c r="BLR3" s="98"/>
      <c r="BLS3" s="98"/>
      <c r="BLT3" s="98"/>
      <c r="BLU3" s="98"/>
      <c r="BLV3" s="98"/>
      <c r="BLW3" s="98"/>
      <c r="BLX3" s="98"/>
      <c r="BLY3" s="98"/>
      <c r="BLZ3" s="98"/>
      <c r="BMA3" s="98"/>
      <c r="BMB3" s="98"/>
      <c r="BMC3" s="98"/>
      <c r="BMD3" s="98"/>
      <c r="BME3" s="98"/>
      <c r="BMF3" s="98"/>
      <c r="BMG3" s="98"/>
      <c r="BMH3" s="98"/>
      <c r="BMI3" s="98"/>
      <c r="BMJ3" s="98"/>
      <c r="BMK3" s="98"/>
      <c r="BML3" s="98"/>
      <c r="BMM3" s="98"/>
      <c r="BMN3" s="98"/>
      <c r="BMO3" s="98"/>
      <c r="BMP3" s="98"/>
      <c r="BMQ3" s="98"/>
      <c r="BMR3" s="98"/>
      <c r="BMS3" s="98"/>
      <c r="BMT3" s="98"/>
      <c r="BMU3" s="98"/>
      <c r="BMV3" s="98"/>
      <c r="BMW3" s="98"/>
      <c r="BMX3" s="98"/>
      <c r="BMY3" s="98"/>
      <c r="BMZ3" s="98"/>
      <c r="BNA3" s="98"/>
      <c r="BNB3" s="98"/>
      <c r="BNC3" s="98"/>
      <c r="BND3" s="98"/>
      <c r="BNE3" s="98"/>
      <c r="BNF3" s="98"/>
      <c r="BNG3" s="98"/>
      <c r="BNH3" s="98"/>
      <c r="BNI3" s="98"/>
      <c r="BNJ3" s="98"/>
      <c r="BNK3" s="98"/>
      <c r="BNL3" s="98"/>
      <c r="BNM3" s="98"/>
      <c r="BNN3" s="98"/>
      <c r="BNO3" s="98"/>
      <c r="BNP3" s="98"/>
      <c r="BNQ3" s="98"/>
      <c r="BNR3" s="98"/>
      <c r="BNS3" s="98"/>
      <c r="BNT3" s="98"/>
      <c r="BNU3" s="98"/>
      <c r="BNV3" s="98"/>
      <c r="BNW3" s="98"/>
      <c r="BNX3" s="98"/>
      <c r="BNY3" s="98"/>
      <c r="BNZ3" s="98"/>
      <c r="BOA3" s="98"/>
      <c r="BOB3" s="98"/>
      <c r="BOC3" s="98"/>
      <c r="BOD3" s="98"/>
      <c r="BOE3" s="98"/>
      <c r="BOF3" s="98"/>
      <c r="BOG3" s="98"/>
      <c r="BOH3" s="98"/>
      <c r="BOI3" s="98"/>
      <c r="BOJ3" s="98"/>
      <c r="BOK3" s="98"/>
      <c r="BOL3" s="98"/>
      <c r="BOM3" s="98"/>
      <c r="BON3" s="98"/>
      <c r="BOO3" s="98"/>
      <c r="BOP3" s="98"/>
      <c r="BOQ3" s="98"/>
      <c r="BOR3" s="98"/>
      <c r="BOS3" s="98"/>
      <c r="BOT3" s="98"/>
      <c r="BOU3" s="98"/>
      <c r="BOV3" s="98"/>
      <c r="BOW3" s="98"/>
      <c r="BOX3" s="98"/>
      <c r="BOY3" s="98"/>
      <c r="BOZ3" s="98"/>
      <c r="BPA3" s="98"/>
      <c r="BPB3" s="98"/>
      <c r="BPC3" s="98"/>
      <c r="BPD3" s="98"/>
      <c r="BPE3" s="98"/>
      <c r="BPF3" s="98"/>
      <c r="BPG3" s="98"/>
      <c r="BPH3" s="98"/>
      <c r="BPI3" s="98"/>
      <c r="BPJ3" s="98"/>
      <c r="BPK3" s="98"/>
      <c r="BPL3" s="98"/>
      <c r="BPM3" s="98"/>
      <c r="BPN3" s="98"/>
      <c r="BPO3" s="98"/>
      <c r="BPP3" s="98"/>
      <c r="BPQ3" s="98"/>
      <c r="BPR3" s="98"/>
      <c r="BPS3" s="98"/>
      <c r="BPT3" s="98"/>
      <c r="BPU3" s="98"/>
      <c r="BPV3" s="98"/>
      <c r="BPW3" s="98"/>
      <c r="BPX3" s="98"/>
      <c r="BPY3" s="98"/>
      <c r="BPZ3" s="98"/>
      <c r="BQA3" s="98"/>
      <c r="BQB3" s="98"/>
      <c r="BQC3" s="98"/>
      <c r="BQD3" s="98"/>
      <c r="BQE3" s="98"/>
      <c r="BQF3" s="98"/>
      <c r="BQG3" s="98"/>
      <c r="BQH3" s="98"/>
      <c r="BQI3" s="98"/>
      <c r="BQJ3" s="98"/>
      <c r="BQK3" s="98"/>
      <c r="BQL3" s="98"/>
      <c r="BQM3" s="98"/>
      <c r="BQN3" s="98"/>
      <c r="BQO3" s="98"/>
      <c r="BQP3" s="98"/>
      <c r="BQQ3" s="98"/>
      <c r="BQR3" s="98"/>
      <c r="BQS3" s="98"/>
      <c r="BQT3" s="98"/>
      <c r="BQU3" s="98"/>
      <c r="BQV3" s="98"/>
      <c r="BQW3" s="98"/>
      <c r="BQX3" s="98"/>
      <c r="BQY3" s="98"/>
      <c r="BQZ3" s="98"/>
      <c r="BRA3" s="98"/>
      <c r="BRB3" s="98"/>
      <c r="BRC3" s="98"/>
      <c r="BRD3" s="98"/>
      <c r="BRE3" s="98"/>
      <c r="BRF3" s="98"/>
      <c r="BRG3" s="98"/>
      <c r="BRH3" s="98"/>
      <c r="BRI3" s="98"/>
      <c r="BRJ3" s="98"/>
      <c r="BRK3" s="98"/>
      <c r="BRL3" s="98"/>
      <c r="BRM3" s="98"/>
      <c r="BRN3" s="98"/>
      <c r="BRO3" s="98"/>
      <c r="BRP3" s="98"/>
      <c r="BRQ3" s="98"/>
      <c r="BRR3" s="98"/>
      <c r="BRS3" s="98"/>
      <c r="BRT3" s="98"/>
      <c r="BRU3" s="98"/>
      <c r="BRV3" s="98"/>
      <c r="BRW3" s="98"/>
      <c r="BRX3" s="98"/>
      <c r="BRY3" s="98"/>
      <c r="BRZ3" s="98"/>
      <c r="BSA3" s="98"/>
      <c r="BSB3" s="98"/>
      <c r="BSC3" s="98"/>
      <c r="BSD3" s="98"/>
      <c r="BSE3" s="98"/>
      <c r="BSF3" s="98"/>
      <c r="BSG3" s="98"/>
      <c r="BSH3" s="98"/>
      <c r="BSI3" s="98"/>
      <c r="BSJ3" s="98"/>
      <c r="BSK3" s="98"/>
      <c r="BSL3" s="98"/>
      <c r="BSM3" s="98"/>
      <c r="BSN3" s="98"/>
      <c r="BSO3" s="98"/>
      <c r="BSP3" s="98"/>
      <c r="BSQ3" s="98"/>
      <c r="BSR3" s="98"/>
      <c r="BSS3" s="98"/>
      <c r="BST3" s="98"/>
      <c r="BSU3" s="98"/>
      <c r="BSV3" s="98"/>
      <c r="BSW3" s="98"/>
      <c r="BSX3" s="98"/>
      <c r="BSY3" s="98"/>
      <c r="BSZ3" s="98"/>
      <c r="BTA3" s="98"/>
      <c r="BTB3" s="98"/>
      <c r="BTC3" s="98"/>
      <c r="BTD3" s="98"/>
      <c r="BTE3" s="98"/>
      <c r="BTF3" s="98"/>
      <c r="BTG3" s="98"/>
      <c r="BTH3" s="98"/>
      <c r="BTI3" s="98"/>
      <c r="BTJ3" s="98"/>
      <c r="BTK3" s="98"/>
      <c r="BTL3" s="98"/>
      <c r="BTM3" s="98"/>
      <c r="BTN3" s="98"/>
      <c r="BTO3" s="98"/>
      <c r="BTP3" s="98"/>
      <c r="BTQ3" s="98"/>
      <c r="BTR3" s="98"/>
      <c r="BTS3" s="98"/>
      <c r="BTT3" s="98"/>
      <c r="BTU3" s="98"/>
      <c r="BTV3" s="98"/>
      <c r="BTW3" s="98"/>
      <c r="BTX3" s="98"/>
      <c r="BTY3" s="98"/>
      <c r="BTZ3" s="98"/>
      <c r="BUA3" s="98"/>
      <c r="BUB3" s="98"/>
      <c r="BUC3" s="98"/>
      <c r="BUD3" s="98"/>
      <c r="BUE3" s="98"/>
      <c r="BUF3" s="98"/>
      <c r="BUG3" s="98"/>
      <c r="BUH3" s="98"/>
      <c r="BUI3" s="98"/>
      <c r="BUJ3" s="98"/>
      <c r="BUK3" s="98"/>
      <c r="BUL3" s="98"/>
      <c r="BUM3" s="98"/>
      <c r="BUN3" s="98"/>
      <c r="BUO3" s="98"/>
      <c r="BUP3" s="98"/>
      <c r="BUQ3" s="98"/>
      <c r="BUR3" s="98"/>
      <c r="BUS3" s="98"/>
      <c r="BUT3" s="98"/>
      <c r="BUU3" s="98"/>
      <c r="BUV3" s="98"/>
      <c r="BUW3" s="98"/>
      <c r="BUX3" s="98"/>
      <c r="BUY3" s="98"/>
      <c r="BUZ3" s="98"/>
      <c r="BVA3" s="98"/>
      <c r="BVB3" s="98"/>
      <c r="BVC3" s="98"/>
      <c r="BVD3" s="98"/>
      <c r="BVE3" s="98"/>
      <c r="BVF3" s="98"/>
      <c r="BVG3" s="98"/>
      <c r="BVH3" s="98"/>
      <c r="BVI3" s="98"/>
      <c r="BVJ3" s="98"/>
      <c r="BVK3" s="98"/>
      <c r="BVL3" s="98"/>
      <c r="BVM3" s="98"/>
      <c r="BVN3" s="98"/>
      <c r="BVO3" s="98"/>
      <c r="BVP3" s="98"/>
      <c r="BVQ3" s="98"/>
      <c r="BVR3" s="98"/>
      <c r="BVS3" s="98"/>
      <c r="BVT3" s="98"/>
      <c r="BVU3" s="98"/>
      <c r="BVV3" s="98"/>
      <c r="BVW3" s="98"/>
      <c r="BVX3" s="98"/>
      <c r="BVY3" s="98"/>
      <c r="BVZ3" s="98"/>
      <c r="BWA3" s="98"/>
      <c r="BWB3" s="98"/>
      <c r="BWC3" s="98"/>
      <c r="BWD3" s="98"/>
      <c r="BWE3" s="98"/>
      <c r="BWF3" s="98"/>
      <c r="BWG3" s="98"/>
      <c r="BWH3" s="98"/>
      <c r="BWI3" s="98"/>
      <c r="BWJ3" s="98"/>
      <c r="BWK3" s="98"/>
      <c r="BWL3" s="98"/>
      <c r="BWM3" s="98"/>
      <c r="BWN3" s="98"/>
      <c r="BWO3" s="98"/>
      <c r="BWP3" s="98"/>
      <c r="BWQ3" s="98"/>
      <c r="BWR3" s="98"/>
      <c r="BWS3" s="98"/>
      <c r="BWT3" s="98"/>
      <c r="BWU3" s="98"/>
      <c r="BWV3" s="98"/>
      <c r="BWW3" s="98"/>
      <c r="BWX3" s="98"/>
      <c r="BWY3" s="98"/>
      <c r="BWZ3" s="98"/>
      <c r="BXA3" s="98"/>
      <c r="BXB3" s="98"/>
      <c r="BXC3" s="98"/>
      <c r="BXD3" s="98"/>
      <c r="BXE3" s="98"/>
      <c r="BXF3" s="98"/>
      <c r="BXG3" s="98"/>
      <c r="BXH3" s="98"/>
      <c r="BXI3" s="98"/>
      <c r="BXJ3" s="98"/>
      <c r="BXK3" s="98"/>
      <c r="BXL3" s="98"/>
      <c r="BXM3" s="98"/>
      <c r="BXN3" s="98"/>
      <c r="BXO3" s="98"/>
      <c r="BXP3" s="98"/>
      <c r="BXQ3" s="98"/>
      <c r="BXR3" s="98"/>
      <c r="BXS3" s="98"/>
      <c r="BXT3" s="98"/>
      <c r="BXU3" s="98"/>
      <c r="BXV3" s="98"/>
      <c r="BXW3" s="98"/>
      <c r="BXX3" s="98"/>
      <c r="BXY3" s="98"/>
      <c r="BXZ3" s="98"/>
      <c r="BYA3" s="98"/>
      <c r="BYB3" s="98"/>
      <c r="BYC3" s="98"/>
      <c r="BYD3" s="98"/>
      <c r="BYE3" s="98"/>
      <c r="BYF3" s="98"/>
      <c r="BYG3" s="98"/>
      <c r="BYH3" s="98"/>
      <c r="BYI3" s="98"/>
      <c r="BYJ3" s="98"/>
      <c r="BYK3" s="98"/>
      <c r="BYL3" s="98"/>
      <c r="BYM3" s="98"/>
      <c r="BYN3" s="98"/>
      <c r="BYO3" s="98"/>
      <c r="BYP3" s="98"/>
      <c r="BYQ3" s="98"/>
      <c r="BYR3" s="98"/>
      <c r="BYS3" s="98"/>
      <c r="BYT3" s="98"/>
      <c r="BYU3" s="98"/>
      <c r="BYV3" s="98"/>
      <c r="BYW3" s="98"/>
      <c r="BYX3" s="98"/>
      <c r="BYY3" s="98"/>
      <c r="BYZ3" s="98"/>
      <c r="BZA3" s="98"/>
      <c r="BZB3" s="98"/>
      <c r="BZC3" s="98"/>
      <c r="BZD3" s="98"/>
      <c r="BZE3" s="98"/>
      <c r="BZF3" s="98"/>
      <c r="BZG3" s="98"/>
      <c r="BZH3" s="98"/>
      <c r="BZI3" s="98"/>
      <c r="BZJ3" s="98"/>
      <c r="BZK3" s="98"/>
      <c r="BZL3" s="98"/>
      <c r="BZM3" s="98"/>
      <c r="BZN3" s="98"/>
      <c r="BZO3" s="98"/>
      <c r="BZP3" s="98"/>
      <c r="BZQ3" s="98"/>
      <c r="BZR3" s="98"/>
      <c r="BZS3" s="98"/>
      <c r="BZT3" s="98"/>
      <c r="BZU3" s="98"/>
      <c r="BZV3" s="98"/>
      <c r="BZW3" s="98"/>
      <c r="BZX3" s="98"/>
      <c r="BZY3" s="98"/>
      <c r="BZZ3" s="98"/>
      <c r="CAA3" s="98"/>
      <c r="CAB3" s="98"/>
      <c r="CAC3" s="98"/>
      <c r="CAD3" s="98"/>
      <c r="CAE3" s="98"/>
      <c r="CAF3" s="98"/>
      <c r="CAG3" s="98"/>
      <c r="CAH3" s="98"/>
      <c r="CAI3" s="98"/>
      <c r="CAJ3" s="98"/>
      <c r="CAK3" s="98"/>
      <c r="CAL3" s="98"/>
      <c r="CAM3" s="98"/>
      <c r="CAN3" s="98"/>
      <c r="CAO3" s="98"/>
      <c r="CAP3" s="98"/>
      <c r="CAQ3" s="98"/>
      <c r="CAR3" s="98"/>
      <c r="CAS3" s="98"/>
      <c r="CAT3" s="98"/>
      <c r="CAU3" s="98"/>
      <c r="CAV3" s="98"/>
      <c r="CAW3" s="98"/>
      <c r="CAX3" s="98"/>
      <c r="CAY3" s="98"/>
      <c r="CAZ3" s="98"/>
      <c r="CBA3" s="98"/>
      <c r="CBB3" s="98"/>
      <c r="CBC3" s="98"/>
      <c r="CBD3" s="98"/>
      <c r="CBE3" s="98"/>
      <c r="CBF3" s="98"/>
      <c r="CBG3" s="98"/>
      <c r="CBH3" s="98"/>
      <c r="CBI3" s="98"/>
      <c r="CBJ3" s="98"/>
      <c r="CBK3" s="98"/>
      <c r="CBL3" s="98"/>
      <c r="CBM3" s="98"/>
      <c r="CBN3" s="98"/>
      <c r="CBO3" s="98"/>
      <c r="CBP3" s="98"/>
      <c r="CBQ3" s="98"/>
      <c r="CBR3" s="98"/>
      <c r="CBS3" s="98"/>
      <c r="CBT3" s="98"/>
      <c r="CBU3" s="98"/>
      <c r="CBV3" s="98"/>
      <c r="CBW3" s="98"/>
      <c r="CBX3" s="98"/>
      <c r="CBY3" s="98"/>
      <c r="CBZ3" s="98"/>
      <c r="CCA3" s="98"/>
      <c r="CCB3" s="98"/>
      <c r="CCC3" s="98"/>
      <c r="CCD3" s="98"/>
      <c r="CCE3" s="98"/>
      <c r="CCF3" s="98"/>
      <c r="CCG3" s="98"/>
      <c r="CCH3" s="98"/>
      <c r="CCI3" s="98"/>
      <c r="CCJ3" s="98"/>
      <c r="CCK3" s="98"/>
      <c r="CCL3" s="98"/>
      <c r="CCM3" s="98"/>
      <c r="CCN3" s="98"/>
      <c r="CCO3" s="98"/>
      <c r="CCP3" s="98"/>
      <c r="CCQ3" s="98"/>
      <c r="CCR3" s="98"/>
      <c r="CCS3" s="98"/>
      <c r="CCT3" s="98"/>
      <c r="CCU3" s="98"/>
      <c r="CCV3" s="98"/>
      <c r="CCW3" s="98"/>
      <c r="CCX3" s="98"/>
      <c r="CCY3" s="98"/>
      <c r="CCZ3" s="98"/>
      <c r="CDA3" s="98"/>
      <c r="CDB3" s="98"/>
      <c r="CDC3" s="98"/>
      <c r="CDD3" s="98"/>
      <c r="CDE3" s="98"/>
      <c r="CDF3" s="98"/>
      <c r="CDG3" s="98"/>
      <c r="CDH3" s="98"/>
      <c r="CDI3" s="98"/>
      <c r="CDJ3" s="98"/>
      <c r="CDK3" s="98"/>
      <c r="CDL3" s="98"/>
      <c r="CDM3" s="98"/>
      <c r="CDN3" s="98"/>
      <c r="CDO3" s="98"/>
      <c r="CDP3" s="98"/>
      <c r="CDQ3" s="98"/>
      <c r="CDR3" s="98"/>
      <c r="CDS3" s="98"/>
      <c r="CDT3" s="98"/>
      <c r="CDU3" s="98"/>
      <c r="CDV3" s="98"/>
      <c r="CDW3" s="98"/>
      <c r="CDX3" s="98"/>
      <c r="CDY3" s="98"/>
      <c r="CDZ3" s="98"/>
      <c r="CEA3" s="98"/>
      <c r="CEB3" s="98"/>
      <c r="CEC3" s="98"/>
      <c r="CED3" s="98"/>
      <c r="CEE3" s="98"/>
      <c r="CEF3" s="98"/>
      <c r="CEG3" s="98"/>
      <c r="CEH3" s="98"/>
      <c r="CEI3" s="98"/>
      <c r="CEJ3" s="98"/>
      <c r="CEK3" s="98"/>
      <c r="CEL3" s="98"/>
      <c r="CEM3" s="98"/>
      <c r="CEN3" s="98"/>
      <c r="CEO3" s="98"/>
      <c r="CEP3" s="98"/>
      <c r="CEQ3" s="98"/>
      <c r="CER3" s="98"/>
      <c r="CES3" s="98"/>
      <c r="CET3" s="98"/>
      <c r="CEU3" s="98"/>
      <c r="CEV3" s="98"/>
      <c r="CEW3" s="98"/>
      <c r="CEX3" s="98"/>
      <c r="CEY3" s="98"/>
      <c r="CEZ3" s="98"/>
      <c r="CFA3" s="98"/>
      <c r="CFB3" s="98"/>
      <c r="CFC3" s="98"/>
      <c r="CFD3" s="98"/>
      <c r="CFE3" s="98"/>
      <c r="CFF3" s="98"/>
      <c r="CFG3" s="98"/>
      <c r="CFH3" s="98"/>
      <c r="CFI3" s="98"/>
      <c r="CFJ3" s="98"/>
      <c r="CFK3" s="98"/>
      <c r="CFL3" s="98"/>
      <c r="CFM3" s="98"/>
      <c r="CFN3" s="98"/>
      <c r="CFO3" s="98"/>
      <c r="CFP3" s="98"/>
      <c r="CFQ3" s="98"/>
      <c r="CFR3" s="98"/>
      <c r="CFS3" s="98"/>
      <c r="CFT3" s="98"/>
      <c r="CFU3" s="98"/>
      <c r="CFV3" s="98"/>
      <c r="CFW3" s="98"/>
      <c r="CFX3" s="98"/>
      <c r="CFY3" s="98"/>
      <c r="CFZ3" s="98"/>
      <c r="CGA3" s="98"/>
      <c r="CGB3" s="98"/>
      <c r="CGC3" s="98"/>
      <c r="CGD3" s="98"/>
      <c r="CGE3" s="98"/>
      <c r="CGF3" s="98"/>
      <c r="CGG3" s="98"/>
      <c r="CGH3" s="98"/>
      <c r="CGI3" s="98"/>
      <c r="CGJ3" s="98"/>
      <c r="CGK3" s="98"/>
      <c r="CGL3" s="98"/>
      <c r="CGM3" s="98"/>
      <c r="CGN3" s="98"/>
      <c r="CGO3" s="98"/>
      <c r="CGP3" s="98"/>
      <c r="CGQ3" s="98"/>
      <c r="CGR3" s="98"/>
      <c r="CGS3" s="98"/>
      <c r="CGT3" s="98"/>
      <c r="CGU3" s="98"/>
      <c r="CGV3" s="98"/>
      <c r="CGW3" s="98"/>
      <c r="CGX3" s="98"/>
      <c r="CGY3" s="98"/>
      <c r="CGZ3" s="98"/>
      <c r="CHA3" s="98"/>
      <c r="CHB3" s="98"/>
      <c r="CHC3" s="98"/>
      <c r="CHD3" s="98"/>
      <c r="CHE3" s="98"/>
      <c r="CHF3" s="98"/>
      <c r="CHG3" s="98"/>
      <c r="CHH3" s="98"/>
      <c r="CHI3" s="98"/>
      <c r="CHJ3" s="98"/>
      <c r="CHK3" s="98"/>
      <c r="CHL3" s="98"/>
      <c r="CHM3" s="98"/>
      <c r="CHN3" s="98"/>
      <c r="CHO3" s="98"/>
      <c r="CHP3" s="98"/>
      <c r="CHQ3" s="98"/>
      <c r="CHR3" s="98"/>
      <c r="CHS3" s="98"/>
      <c r="CHT3" s="98"/>
      <c r="CHU3" s="98"/>
      <c r="CHV3" s="98"/>
      <c r="CHW3" s="98"/>
      <c r="CHX3" s="98"/>
      <c r="CHY3" s="98"/>
      <c r="CHZ3" s="98"/>
      <c r="CIA3" s="98"/>
      <c r="CIB3" s="98"/>
      <c r="CIC3" s="98"/>
      <c r="CID3" s="98"/>
      <c r="CIE3" s="98"/>
      <c r="CIF3" s="98"/>
      <c r="CIG3" s="98"/>
      <c r="CIH3" s="98"/>
      <c r="CII3" s="98"/>
      <c r="CIJ3" s="98"/>
      <c r="CIK3" s="98"/>
      <c r="CIL3" s="98"/>
      <c r="CIM3" s="98"/>
      <c r="CIN3" s="98"/>
      <c r="CIO3" s="98"/>
      <c r="CIP3" s="98"/>
      <c r="CIQ3" s="98"/>
      <c r="CIR3" s="98"/>
      <c r="CIS3" s="98"/>
      <c r="CIT3" s="98"/>
      <c r="CIU3" s="98"/>
      <c r="CIV3" s="98"/>
      <c r="CIW3" s="98"/>
      <c r="CIX3" s="98"/>
      <c r="CIY3" s="98"/>
      <c r="CIZ3" s="98"/>
      <c r="CJA3" s="98"/>
      <c r="CJB3" s="98"/>
      <c r="CJC3" s="98"/>
      <c r="CJD3" s="98"/>
      <c r="CJE3" s="98"/>
      <c r="CJF3" s="98"/>
      <c r="CJG3" s="98"/>
      <c r="CJH3" s="98"/>
      <c r="CJI3" s="98"/>
      <c r="CJJ3" s="98"/>
      <c r="CJK3" s="98"/>
      <c r="CJL3" s="98"/>
      <c r="CJM3" s="98"/>
      <c r="CJN3" s="98"/>
      <c r="CJO3" s="98"/>
      <c r="CJP3" s="98"/>
      <c r="CJQ3" s="98"/>
      <c r="CJR3" s="98"/>
      <c r="CJS3" s="98"/>
      <c r="CJT3" s="98"/>
      <c r="CJU3" s="98"/>
      <c r="CJV3" s="98"/>
      <c r="CJW3" s="98"/>
      <c r="CJX3" s="98"/>
      <c r="CJY3" s="98"/>
      <c r="CJZ3" s="98"/>
      <c r="CKA3" s="98"/>
      <c r="CKB3" s="98"/>
      <c r="CKC3" s="98"/>
      <c r="CKD3" s="98"/>
      <c r="CKE3" s="98"/>
      <c r="CKF3" s="98"/>
      <c r="CKG3" s="98"/>
      <c r="CKH3" s="98"/>
      <c r="CKI3" s="98"/>
      <c r="CKJ3" s="98"/>
      <c r="CKK3" s="98"/>
      <c r="CKL3" s="98"/>
      <c r="CKM3" s="98"/>
      <c r="CKN3" s="98"/>
      <c r="CKO3" s="98"/>
      <c r="CKP3" s="98"/>
      <c r="CKQ3" s="98"/>
      <c r="CKR3" s="98"/>
      <c r="CKS3" s="98"/>
      <c r="CKT3" s="98"/>
      <c r="CKU3" s="98"/>
      <c r="CKV3" s="98"/>
      <c r="CKW3" s="98"/>
      <c r="CKX3" s="98"/>
      <c r="CKY3" s="98"/>
      <c r="CKZ3" s="98"/>
      <c r="CLA3" s="98"/>
      <c r="CLB3" s="98"/>
      <c r="CLC3" s="98"/>
      <c r="CLD3" s="98"/>
      <c r="CLE3" s="98"/>
      <c r="CLF3" s="98"/>
      <c r="CLG3" s="98"/>
      <c r="CLH3" s="98"/>
      <c r="CLI3" s="98"/>
      <c r="CLJ3" s="98"/>
      <c r="CLK3" s="98"/>
      <c r="CLL3" s="98"/>
      <c r="CLM3" s="98"/>
      <c r="CLN3" s="98"/>
      <c r="CLO3" s="98"/>
      <c r="CLP3" s="98"/>
      <c r="CLQ3" s="98"/>
      <c r="CLR3" s="98"/>
      <c r="CLS3" s="98"/>
      <c r="CLT3" s="98"/>
      <c r="CLU3" s="98"/>
      <c r="CLV3" s="98"/>
      <c r="CLW3" s="98"/>
      <c r="CLX3" s="98"/>
      <c r="CLY3" s="98"/>
      <c r="CLZ3" s="98"/>
      <c r="CMA3" s="98"/>
      <c r="CMB3" s="98"/>
      <c r="CMC3" s="98"/>
      <c r="CMD3" s="98"/>
      <c r="CME3" s="98"/>
      <c r="CMF3" s="98"/>
      <c r="CMG3" s="98"/>
      <c r="CMH3" s="98"/>
      <c r="CMI3" s="98"/>
      <c r="CMJ3" s="98"/>
      <c r="CMK3" s="98"/>
      <c r="CML3" s="98"/>
      <c r="CMM3" s="98"/>
      <c r="CMN3" s="98"/>
      <c r="CMO3" s="98"/>
      <c r="CMP3" s="98"/>
      <c r="CMQ3" s="98"/>
      <c r="CMR3" s="98"/>
      <c r="CMS3" s="98"/>
      <c r="CMT3" s="98"/>
      <c r="CMU3" s="98"/>
      <c r="CMV3" s="98"/>
      <c r="CMW3" s="98"/>
      <c r="CMX3" s="98"/>
      <c r="CMY3" s="98"/>
      <c r="CMZ3" s="98"/>
      <c r="CNA3" s="98"/>
      <c r="CNB3" s="98"/>
      <c r="CNC3" s="98"/>
      <c r="CND3" s="98"/>
      <c r="CNE3" s="98"/>
      <c r="CNF3" s="98"/>
      <c r="CNG3" s="98"/>
      <c r="CNH3" s="98"/>
      <c r="CNI3" s="98"/>
      <c r="CNJ3" s="98"/>
      <c r="CNK3" s="98"/>
      <c r="CNL3" s="98"/>
      <c r="CNM3" s="98"/>
      <c r="CNN3" s="98"/>
      <c r="CNO3" s="98"/>
      <c r="CNP3" s="98"/>
      <c r="CNQ3" s="98"/>
      <c r="CNR3" s="98"/>
      <c r="CNS3" s="98"/>
      <c r="CNT3" s="98"/>
      <c r="CNU3" s="98"/>
      <c r="CNV3" s="98"/>
      <c r="CNW3" s="98"/>
      <c r="CNX3" s="98"/>
      <c r="CNY3" s="98"/>
      <c r="CNZ3" s="98"/>
      <c r="COA3" s="98"/>
      <c r="COB3" s="98"/>
      <c r="COC3" s="98"/>
      <c r="COD3" s="98"/>
      <c r="COE3" s="98"/>
      <c r="COF3" s="98"/>
      <c r="COG3" s="98"/>
      <c r="COH3" s="98"/>
      <c r="COI3" s="98"/>
      <c r="COJ3" s="98"/>
      <c r="COK3" s="98"/>
      <c r="COL3" s="98"/>
      <c r="COM3" s="98"/>
      <c r="CON3" s="98"/>
      <c r="COO3" s="98"/>
      <c r="COP3" s="98"/>
      <c r="COQ3" s="98"/>
      <c r="COR3" s="98"/>
      <c r="COS3" s="98"/>
      <c r="COT3" s="98"/>
      <c r="COU3" s="98"/>
      <c r="COV3" s="98"/>
      <c r="COW3" s="98"/>
      <c r="COX3" s="98"/>
      <c r="COY3" s="98"/>
      <c r="COZ3" s="98"/>
      <c r="CPA3" s="98"/>
      <c r="CPB3" s="98"/>
      <c r="CPC3" s="98"/>
      <c r="CPD3" s="98"/>
      <c r="CPE3" s="98"/>
      <c r="CPF3" s="98"/>
      <c r="CPG3" s="98"/>
      <c r="CPH3" s="98"/>
      <c r="CPI3" s="98"/>
      <c r="CPJ3" s="98"/>
      <c r="CPK3" s="98"/>
      <c r="CPL3" s="98"/>
      <c r="CPM3" s="98"/>
      <c r="CPN3" s="98"/>
      <c r="CPO3" s="98"/>
      <c r="CPP3" s="98"/>
      <c r="CPQ3" s="98"/>
      <c r="CPR3" s="98"/>
      <c r="CPS3" s="98"/>
      <c r="CPT3" s="98"/>
      <c r="CPU3" s="98"/>
      <c r="CPV3" s="98"/>
      <c r="CPW3" s="98"/>
      <c r="CPX3" s="98"/>
      <c r="CPY3" s="98"/>
      <c r="CPZ3" s="98"/>
      <c r="CQA3" s="98"/>
      <c r="CQB3" s="98"/>
      <c r="CQC3" s="98"/>
      <c r="CQD3" s="98"/>
      <c r="CQE3" s="98"/>
      <c r="CQF3" s="98"/>
      <c r="CQG3" s="98"/>
      <c r="CQH3" s="98"/>
      <c r="CQI3" s="98"/>
      <c r="CQJ3" s="98"/>
      <c r="CQK3" s="98"/>
      <c r="CQL3" s="98"/>
      <c r="CQM3" s="98"/>
      <c r="CQN3" s="98"/>
      <c r="CQO3" s="98"/>
      <c r="CQP3" s="98"/>
      <c r="CQQ3" s="98"/>
      <c r="CQR3" s="98"/>
      <c r="CQS3" s="98"/>
      <c r="CQT3" s="98"/>
      <c r="CQU3" s="98"/>
      <c r="CQV3" s="98"/>
      <c r="CQW3" s="98"/>
      <c r="CQX3" s="98"/>
      <c r="CQY3" s="98"/>
      <c r="CQZ3" s="98"/>
      <c r="CRA3" s="98"/>
      <c r="CRB3" s="98"/>
      <c r="CRC3" s="98"/>
      <c r="CRD3" s="98"/>
      <c r="CRE3" s="98"/>
      <c r="CRF3" s="98"/>
      <c r="CRG3" s="98"/>
      <c r="CRH3" s="98"/>
      <c r="CRI3" s="98"/>
      <c r="CRJ3" s="98"/>
      <c r="CRK3" s="98"/>
      <c r="CRL3" s="98"/>
      <c r="CRM3" s="98"/>
      <c r="CRN3" s="98"/>
      <c r="CRO3" s="98"/>
      <c r="CRP3" s="98"/>
      <c r="CRQ3" s="98"/>
      <c r="CRR3" s="98"/>
      <c r="CRS3" s="98"/>
      <c r="CRT3" s="98"/>
      <c r="CRU3" s="98"/>
      <c r="CRV3" s="98"/>
      <c r="CRW3" s="98"/>
      <c r="CRX3" s="98"/>
      <c r="CRY3" s="98"/>
      <c r="CRZ3" s="98"/>
      <c r="CSA3" s="98"/>
      <c r="CSB3" s="98"/>
      <c r="CSC3" s="98"/>
      <c r="CSD3" s="98"/>
      <c r="CSE3" s="98"/>
      <c r="CSF3" s="98"/>
      <c r="CSG3" s="98"/>
      <c r="CSH3" s="98"/>
      <c r="CSI3" s="98"/>
      <c r="CSJ3" s="98"/>
      <c r="CSK3" s="98"/>
      <c r="CSL3" s="98"/>
      <c r="CSM3" s="98"/>
      <c r="CSN3" s="98"/>
      <c r="CSO3" s="98"/>
      <c r="CSP3" s="98"/>
      <c r="CSQ3" s="98"/>
      <c r="CSR3" s="98"/>
      <c r="CSS3" s="98"/>
      <c r="CST3" s="98"/>
      <c r="CSU3" s="98"/>
      <c r="CSV3" s="98"/>
      <c r="CSW3" s="98"/>
      <c r="CSX3" s="98"/>
      <c r="CSY3" s="98"/>
      <c r="CSZ3" s="98"/>
      <c r="CTA3" s="98"/>
      <c r="CTB3" s="98"/>
      <c r="CTC3" s="98"/>
      <c r="CTD3" s="98"/>
      <c r="CTE3" s="98"/>
      <c r="CTF3" s="98"/>
      <c r="CTG3" s="98"/>
      <c r="CTH3" s="98"/>
      <c r="CTI3" s="98"/>
      <c r="CTJ3" s="98"/>
      <c r="CTK3" s="98"/>
      <c r="CTL3" s="98"/>
      <c r="CTM3" s="98"/>
      <c r="CTN3" s="98"/>
      <c r="CTO3" s="98"/>
      <c r="CTP3" s="98"/>
      <c r="CTQ3" s="98"/>
      <c r="CTR3" s="98"/>
      <c r="CTS3" s="98"/>
      <c r="CTT3" s="98"/>
      <c r="CTU3" s="98"/>
      <c r="CTV3" s="98"/>
      <c r="CTW3" s="98"/>
      <c r="CTX3" s="98"/>
      <c r="CTY3" s="98"/>
      <c r="CTZ3" s="98"/>
      <c r="CUA3" s="98"/>
      <c r="CUB3" s="98"/>
      <c r="CUC3" s="98"/>
      <c r="CUD3" s="98"/>
      <c r="CUE3" s="98"/>
      <c r="CUF3" s="98"/>
      <c r="CUG3" s="98"/>
      <c r="CUH3" s="98"/>
      <c r="CUI3" s="98"/>
      <c r="CUJ3" s="98"/>
      <c r="CUK3" s="98"/>
      <c r="CUL3" s="98"/>
      <c r="CUM3" s="98"/>
      <c r="CUN3" s="98"/>
      <c r="CUO3" s="98"/>
      <c r="CUP3" s="98"/>
      <c r="CUQ3" s="98"/>
      <c r="CUR3" s="98"/>
      <c r="CUS3" s="98"/>
      <c r="CUT3" s="98"/>
      <c r="CUU3" s="98"/>
      <c r="CUV3" s="98"/>
      <c r="CUW3" s="98"/>
      <c r="CUX3" s="98"/>
      <c r="CUY3" s="98"/>
      <c r="CUZ3" s="98"/>
      <c r="CVA3" s="98"/>
      <c r="CVB3" s="98"/>
      <c r="CVC3" s="98"/>
      <c r="CVD3" s="98"/>
      <c r="CVE3" s="98"/>
      <c r="CVF3" s="98"/>
      <c r="CVG3" s="98"/>
      <c r="CVH3" s="98"/>
      <c r="CVI3" s="98"/>
      <c r="CVJ3" s="98"/>
      <c r="CVK3" s="98"/>
      <c r="CVL3" s="98"/>
      <c r="CVM3" s="98"/>
      <c r="CVN3" s="98"/>
      <c r="CVO3" s="98"/>
      <c r="CVP3" s="98"/>
      <c r="CVQ3" s="98"/>
      <c r="CVR3" s="98"/>
      <c r="CVS3" s="98"/>
      <c r="CVT3" s="98"/>
      <c r="CVU3" s="98"/>
      <c r="CVV3" s="98"/>
      <c r="CVW3" s="98"/>
      <c r="CVX3" s="98"/>
      <c r="CVY3" s="98"/>
      <c r="CVZ3" s="98"/>
      <c r="CWA3" s="98"/>
      <c r="CWB3" s="98"/>
      <c r="CWC3" s="98"/>
      <c r="CWD3" s="98"/>
      <c r="CWE3" s="98"/>
      <c r="CWF3" s="98"/>
      <c r="CWG3" s="98"/>
      <c r="CWH3" s="98"/>
      <c r="CWI3" s="98"/>
      <c r="CWJ3" s="98"/>
      <c r="CWK3" s="98"/>
      <c r="CWL3" s="98"/>
      <c r="CWM3" s="98"/>
      <c r="CWN3" s="98"/>
      <c r="CWO3" s="98"/>
      <c r="CWP3" s="98"/>
      <c r="CWQ3" s="98"/>
      <c r="CWR3" s="98"/>
      <c r="CWS3" s="98"/>
      <c r="CWT3" s="98"/>
      <c r="CWU3" s="98"/>
      <c r="CWV3" s="98"/>
      <c r="CWW3" s="98"/>
      <c r="CWX3" s="98"/>
      <c r="CWY3" s="98"/>
      <c r="CWZ3" s="98"/>
      <c r="CXA3" s="98"/>
      <c r="CXB3" s="98"/>
      <c r="CXC3" s="98"/>
      <c r="CXD3" s="98"/>
      <c r="CXE3" s="98"/>
      <c r="CXF3" s="98"/>
      <c r="CXG3" s="98"/>
      <c r="CXH3" s="98"/>
      <c r="CXI3" s="98"/>
      <c r="CXJ3" s="98"/>
      <c r="CXK3" s="98"/>
      <c r="CXL3" s="98"/>
      <c r="CXM3" s="98"/>
      <c r="CXN3" s="98"/>
      <c r="CXO3" s="98"/>
      <c r="CXP3" s="98"/>
      <c r="CXQ3" s="98"/>
      <c r="CXR3" s="98"/>
      <c r="CXS3" s="98"/>
      <c r="CXT3" s="98"/>
      <c r="CXU3" s="98"/>
      <c r="CXV3" s="98"/>
      <c r="CXW3" s="98"/>
      <c r="CXX3" s="98"/>
      <c r="CXY3" s="98"/>
      <c r="CXZ3" s="98"/>
      <c r="CYA3" s="98"/>
      <c r="CYB3" s="98"/>
      <c r="CYC3" s="98"/>
      <c r="CYD3" s="98"/>
      <c r="CYE3" s="98"/>
      <c r="CYF3" s="98"/>
      <c r="CYG3" s="98"/>
      <c r="CYH3" s="98"/>
      <c r="CYI3" s="98"/>
      <c r="CYJ3" s="98"/>
      <c r="CYK3" s="98"/>
      <c r="CYL3" s="98"/>
      <c r="CYM3" s="98"/>
      <c r="CYN3" s="98"/>
      <c r="CYO3" s="98"/>
      <c r="CYP3" s="98"/>
      <c r="CYQ3" s="98"/>
      <c r="CYR3" s="98"/>
      <c r="CYS3" s="98"/>
      <c r="CYT3" s="98"/>
      <c r="CYU3" s="98"/>
      <c r="CYV3" s="98"/>
      <c r="CYW3" s="98"/>
      <c r="CYX3" s="98"/>
      <c r="CYY3" s="98"/>
      <c r="CYZ3" s="98"/>
      <c r="CZA3" s="98"/>
      <c r="CZB3" s="98"/>
      <c r="CZC3" s="98"/>
      <c r="CZD3" s="98"/>
      <c r="CZE3" s="98"/>
      <c r="CZF3" s="98"/>
      <c r="CZG3" s="98"/>
      <c r="CZH3" s="98"/>
      <c r="CZI3" s="98"/>
      <c r="CZJ3" s="98"/>
      <c r="CZK3" s="98"/>
      <c r="CZL3" s="98"/>
      <c r="CZM3" s="98"/>
      <c r="CZN3" s="98"/>
      <c r="CZO3" s="98"/>
      <c r="CZP3" s="98"/>
      <c r="CZQ3" s="98"/>
      <c r="CZR3" s="98"/>
      <c r="CZS3" s="98"/>
      <c r="CZT3" s="98"/>
      <c r="CZU3" s="98"/>
      <c r="CZV3" s="98"/>
      <c r="CZW3" s="98"/>
      <c r="CZX3" s="98"/>
      <c r="CZY3" s="98"/>
      <c r="CZZ3" s="98"/>
      <c r="DAA3" s="98"/>
      <c r="DAB3" s="98"/>
      <c r="DAC3" s="98"/>
      <c r="DAD3" s="98"/>
      <c r="DAE3" s="98"/>
      <c r="DAF3" s="98"/>
      <c r="DAG3" s="98"/>
      <c r="DAH3" s="98"/>
      <c r="DAI3" s="98"/>
      <c r="DAJ3" s="98"/>
      <c r="DAK3" s="98"/>
      <c r="DAL3" s="98"/>
      <c r="DAM3" s="98"/>
      <c r="DAN3" s="98"/>
      <c r="DAO3" s="98"/>
      <c r="DAP3" s="98"/>
      <c r="DAQ3" s="98"/>
      <c r="DAR3" s="98"/>
      <c r="DAS3" s="98"/>
      <c r="DAT3" s="98"/>
      <c r="DAU3" s="98"/>
      <c r="DAV3" s="98"/>
      <c r="DAW3" s="98"/>
      <c r="DAX3" s="98"/>
      <c r="DAY3" s="98"/>
      <c r="DAZ3" s="98"/>
      <c r="DBA3" s="98"/>
      <c r="DBB3" s="98"/>
      <c r="DBC3" s="98"/>
      <c r="DBD3" s="98"/>
      <c r="DBE3" s="98"/>
      <c r="DBF3" s="98"/>
      <c r="DBG3" s="98"/>
      <c r="DBH3" s="98"/>
      <c r="DBI3" s="98"/>
      <c r="DBJ3" s="98"/>
      <c r="DBK3" s="98"/>
      <c r="DBL3" s="98"/>
      <c r="DBM3" s="98"/>
      <c r="DBN3" s="98"/>
      <c r="DBO3" s="98"/>
      <c r="DBP3" s="98"/>
      <c r="DBQ3" s="98"/>
      <c r="DBR3" s="98"/>
      <c r="DBS3" s="98"/>
      <c r="DBT3" s="98"/>
      <c r="DBU3" s="98"/>
      <c r="DBV3" s="98"/>
      <c r="DBW3" s="98"/>
      <c r="DBX3" s="98"/>
      <c r="DBY3" s="98"/>
      <c r="DBZ3" s="98"/>
      <c r="DCA3" s="98"/>
      <c r="DCB3" s="98"/>
      <c r="DCC3" s="98"/>
      <c r="DCD3" s="98"/>
      <c r="DCE3" s="98"/>
      <c r="DCF3" s="98"/>
      <c r="DCG3" s="98"/>
      <c r="DCH3" s="98"/>
      <c r="DCI3" s="98"/>
      <c r="DCJ3" s="98"/>
      <c r="DCK3" s="98"/>
      <c r="DCL3" s="98"/>
      <c r="DCM3" s="98"/>
      <c r="DCN3" s="98"/>
      <c r="DCO3" s="98"/>
      <c r="DCP3" s="98"/>
      <c r="DCQ3" s="98"/>
      <c r="DCR3" s="98"/>
      <c r="DCS3" s="98"/>
      <c r="DCT3" s="98"/>
      <c r="DCU3" s="98"/>
      <c r="DCV3" s="98"/>
      <c r="DCW3" s="98"/>
      <c r="DCX3" s="98"/>
      <c r="DCY3" s="98"/>
      <c r="DCZ3" s="98"/>
      <c r="DDA3" s="98"/>
      <c r="DDB3" s="98"/>
      <c r="DDC3" s="98"/>
      <c r="DDD3" s="98"/>
      <c r="DDE3" s="98"/>
      <c r="DDF3" s="98"/>
      <c r="DDG3" s="98"/>
      <c r="DDH3" s="98"/>
      <c r="DDI3" s="98"/>
      <c r="DDJ3" s="98"/>
      <c r="DDK3" s="98"/>
      <c r="DDL3" s="98"/>
      <c r="DDM3" s="98"/>
      <c r="DDN3" s="98"/>
      <c r="DDO3" s="98"/>
      <c r="DDP3" s="98"/>
      <c r="DDQ3" s="98"/>
      <c r="DDR3" s="98"/>
      <c r="DDS3" s="98"/>
      <c r="DDT3" s="98"/>
      <c r="DDU3" s="98"/>
      <c r="DDV3" s="98"/>
      <c r="DDW3" s="98"/>
      <c r="DDX3" s="98"/>
      <c r="DDY3" s="98"/>
      <c r="DDZ3" s="98"/>
      <c r="DEA3" s="98"/>
      <c r="DEB3" s="98"/>
      <c r="DEC3" s="98"/>
      <c r="DED3" s="98"/>
      <c r="DEE3" s="98"/>
      <c r="DEF3" s="98"/>
      <c r="DEG3" s="98"/>
      <c r="DEH3" s="98"/>
      <c r="DEI3" s="98"/>
      <c r="DEJ3" s="98"/>
      <c r="DEK3" s="98"/>
      <c r="DEL3" s="98"/>
      <c r="DEM3" s="98"/>
      <c r="DEN3" s="98"/>
      <c r="DEO3" s="98"/>
      <c r="DEP3" s="98"/>
      <c r="DEQ3" s="98"/>
      <c r="DER3" s="98"/>
      <c r="DES3" s="98"/>
      <c r="DET3" s="98"/>
      <c r="DEU3" s="98"/>
      <c r="DEV3" s="98"/>
      <c r="DEW3" s="98"/>
      <c r="DEX3" s="98"/>
      <c r="DEY3" s="98"/>
      <c r="DEZ3" s="98"/>
      <c r="DFA3" s="98"/>
      <c r="DFB3" s="98"/>
      <c r="DFC3" s="98"/>
      <c r="DFD3" s="98"/>
      <c r="DFE3" s="98"/>
      <c r="DFF3" s="98"/>
      <c r="DFG3" s="98"/>
      <c r="DFH3" s="98"/>
      <c r="DFI3" s="98"/>
      <c r="DFJ3" s="98"/>
      <c r="DFK3" s="98"/>
      <c r="DFL3" s="98"/>
      <c r="DFM3" s="98"/>
      <c r="DFN3" s="98"/>
      <c r="DFO3" s="98"/>
      <c r="DFP3" s="98"/>
      <c r="DFQ3" s="98"/>
      <c r="DFR3" s="98"/>
      <c r="DFS3" s="98"/>
      <c r="DFT3" s="98"/>
      <c r="DFU3" s="98"/>
      <c r="DFV3" s="98"/>
      <c r="DFW3" s="98"/>
      <c r="DFX3" s="98"/>
      <c r="DFY3" s="98"/>
      <c r="DFZ3" s="98"/>
      <c r="DGA3" s="98"/>
      <c r="DGB3" s="98"/>
      <c r="DGC3" s="98"/>
      <c r="DGD3" s="98"/>
      <c r="DGE3" s="98"/>
      <c r="DGF3" s="98"/>
      <c r="DGG3" s="98"/>
      <c r="DGH3" s="98"/>
      <c r="DGI3" s="98"/>
      <c r="DGJ3" s="98"/>
      <c r="DGK3" s="98"/>
      <c r="DGL3" s="98"/>
      <c r="DGM3" s="98"/>
      <c r="DGN3" s="98"/>
      <c r="DGO3" s="98"/>
      <c r="DGP3" s="98"/>
      <c r="DGQ3" s="98"/>
      <c r="DGR3" s="98"/>
      <c r="DGS3" s="98"/>
      <c r="DGT3" s="98"/>
      <c r="DGU3" s="98"/>
      <c r="DGV3" s="98"/>
      <c r="DGW3" s="98"/>
      <c r="DGX3" s="98"/>
      <c r="DGY3" s="98"/>
      <c r="DGZ3" s="98"/>
      <c r="DHA3" s="98"/>
      <c r="DHB3" s="98"/>
      <c r="DHC3" s="98"/>
      <c r="DHD3" s="98"/>
      <c r="DHE3" s="98"/>
      <c r="DHF3" s="98"/>
      <c r="DHG3" s="98"/>
      <c r="DHH3" s="98"/>
      <c r="DHI3" s="98"/>
      <c r="DHJ3" s="98"/>
      <c r="DHK3" s="98"/>
      <c r="DHL3" s="98"/>
      <c r="DHM3" s="98"/>
      <c r="DHN3" s="98"/>
      <c r="DHO3" s="98"/>
      <c r="DHP3" s="98"/>
      <c r="DHQ3" s="98"/>
      <c r="DHR3" s="98"/>
      <c r="DHS3" s="98"/>
      <c r="DHT3" s="98"/>
      <c r="DHU3" s="98"/>
      <c r="DHV3" s="98"/>
      <c r="DHW3" s="98"/>
      <c r="DHX3" s="98"/>
      <c r="DHY3" s="98"/>
      <c r="DHZ3" s="98"/>
      <c r="DIA3" s="98"/>
      <c r="DIB3" s="98"/>
      <c r="DIC3" s="98"/>
      <c r="DID3" s="98"/>
      <c r="DIE3" s="98"/>
      <c r="DIF3" s="98"/>
      <c r="DIG3" s="98"/>
      <c r="DIH3" s="98"/>
      <c r="DII3" s="98"/>
      <c r="DIJ3" s="98"/>
      <c r="DIK3" s="98"/>
      <c r="DIL3" s="98"/>
      <c r="DIM3" s="98"/>
      <c r="DIN3" s="98"/>
      <c r="DIO3" s="98"/>
      <c r="DIP3" s="98"/>
      <c r="DIQ3" s="98"/>
      <c r="DIR3" s="98"/>
      <c r="DIS3" s="98"/>
      <c r="DIT3" s="98"/>
      <c r="DIU3" s="98"/>
      <c r="DIV3" s="98"/>
      <c r="DIW3" s="98"/>
      <c r="DIX3" s="98"/>
      <c r="DIY3" s="98"/>
      <c r="DIZ3" s="98"/>
      <c r="DJA3" s="98"/>
      <c r="DJB3" s="98"/>
      <c r="DJC3" s="98"/>
      <c r="DJD3" s="98"/>
      <c r="DJE3" s="98"/>
      <c r="DJF3" s="98"/>
      <c r="DJG3" s="98"/>
      <c r="DJH3" s="98"/>
      <c r="DJI3" s="98"/>
      <c r="DJJ3" s="98"/>
      <c r="DJK3" s="98"/>
      <c r="DJL3" s="98"/>
      <c r="DJM3" s="98"/>
      <c r="DJN3" s="98"/>
      <c r="DJO3" s="98"/>
      <c r="DJP3" s="98"/>
      <c r="DJQ3" s="98"/>
      <c r="DJR3" s="98"/>
      <c r="DJS3" s="98"/>
      <c r="DJT3" s="98"/>
      <c r="DJU3" s="98"/>
      <c r="DJV3" s="98"/>
      <c r="DJW3" s="98"/>
      <c r="DJX3" s="98"/>
      <c r="DJY3" s="98"/>
      <c r="DJZ3" s="98"/>
      <c r="DKA3" s="98"/>
      <c r="DKB3" s="98"/>
      <c r="DKC3" s="98"/>
      <c r="DKD3" s="98"/>
      <c r="DKE3" s="98"/>
      <c r="DKF3" s="98"/>
      <c r="DKG3" s="98"/>
      <c r="DKH3" s="98"/>
      <c r="DKI3" s="98"/>
      <c r="DKJ3" s="98"/>
      <c r="DKK3" s="98"/>
      <c r="DKL3" s="98"/>
      <c r="DKM3" s="98"/>
      <c r="DKN3" s="98"/>
      <c r="DKO3" s="98"/>
      <c r="DKP3" s="98"/>
      <c r="DKQ3" s="98"/>
      <c r="DKR3" s="98"/>
      <c r="DKS3" s="98"/>
      <c r="DKT3" s="98"/>
      <c r="DKU3" s="98"/>
      <c r="DKV3" s="98"/>
      <c r="DKW3" s="98"/>
      <c r="DKX3" s="98"/>
      <c r="DKY3" s="98"/>
      <c r="DKZ3" s="98"/>
      <c r="DLA3" s="98"/>
      <c r="DLB3" s="98"/>
      <c r="DLC3" s="98"/>
      <c r="DLD3" s="98"/>
      <c r="DLE3" s="98"/>
      <c r="DLF3" s="98"/>
      <c r="DLG3" s="98"/>
      <c r="DLH3" s="98"/>
      <c r="DLI3" s="98"/>
      <c r="DLJ3" s="98"/>
      <c r="DLK3" s="98"/>
      <c r="DLL3" s="98"/>
      <c r="DLM3" s="98"/>
      <c r="DLN3" s="98"/>
      <c r="DLO3" s="98"/>
      <c r="DLP3" s="98"/>
      <c r="DLQ3" s="98"/>
      <c r="DLR3" s="98"/>
      <c r="DLS3" s="98"/>
      <c r="DLT3" s="98"/>
      <c r="DLU3" s="98"/>
      <c r="DLV3" s="98"/>
      <c r="DLW3" s="98"/>
      <c r="DLX3" s="98"/>
      <c r="DLY3" s="98"/>
      <c r="DLZ3" s="98"/>
      <c r="DMA3" s="98"/>
      <c r="DMB3" s="98"/>
      <c r="DMC3" s="98"/>
      <c r="DMD3" s="98"/>
      <c r="DME3" s="98"/>
      <c r="DMF3" s="98"/>
      <c r="DMG3" s="98"/>
      <c r="DMH3" s="98"/>
      <c r="DMI3" s="98"/>
      <c r="DMJ3" s="98"/>
      <c r="DMK3" s="98"/>
      <c r="DML3" s="98"/>
      <c r="DMM3" s="98"/>
      <c r="DMN3" s="98"/>
      <c r="DMO3" s="98"/>
      <c r="DMP3" s="98"/>
      <c r="DMQ3" s="98"/>
      <c r="DMR3" s="98"/>
      <c r="DMS3" s="98"/>
      <c r="DMT3" s="98"/>
      <c r="DMU3" s="98"/>
      <c r="DMV3" s="98"/>
      <c r="DMW3" s="98"/>
      <c r="DMX3" s="98"/>
      <c r="DMY3" s="98"/>
      <c r="DMZ3" s="98"/>
      <c r="DNA3" s="98"/>
      <c r="DNB3" s="98"/>
      <c r="DNC3" s="98"/>
      <c r="DND3" s="98"/>
      <c r="DNE3" s="98"/>
      <c r="DNF3" s="98"/>
      <c r="DNG3" s="98"/>
      <c r="DNH3" s="98"/>
      <c r="DNI3" s="98"/>
      <c r="DNJ3" s="98"/>
      <c r="DNK3" s="98"/>
      <c r="DNL3" s="98"/>
      <c r="DNM3" s="98"/>
      <c r="DNN3" s="98"/>
      <c r="DNO3" s="98"/>
      <c r="DNP3" s="98"/>
      <c r="DNQ3" s="98"/>
      <c r="DNR3" s="98"/>
      <c r="DNS3" s="98"/>
      <c r="DNT3" s="98"/>
      <c r="DNU3" s="98"/>
      <c r="DNV3" s="98"/>
      <c r="DNW3" s="98"/>
      <c r="DNX3" s="98"/>
      <c r="DNY3" s="98"/>
      <c r="DNZ3" s="98"/>
      <c r="DOA3" s="98"/>
      <c r="DOB3" s="98"/>
      <c r="DOC3" s="98"/>
      <c r="DOD3" s="98"/>
      <c r="DOE3" s="98"/>
      <c r="DOF3" s="98"/>
      <c r="DOG3" s="98"/>
      <c r="DOH3" s="98"/>
      <c r="DOI3" s="98"/>
      <c r="DOJ3" s="98"/>
      <c r="DOK3" s="98"/>
      <c r="DOL3" s="98"/>
      <c r="DOM3" s="98"/>
      <c r="DON3" s="98"/>
      <c r="DOO3" s="98"/>
      <c r="DOP3" s="98"/>
      <c r="DOQ3" s="98"/>
      <c r="DOR3" s="98"/>
      <c r="DOS3" s="98"/>
      <c r="DOT3" s="98"/>
      <c r="DOU3" s="98"/>
      <c r="DOV3" s="98"/>
      <c r="DOW3" s="98"/>
      <c r="DOX3" s="98"/>
      <c r="DOY3" s="98"/>
      <c r="DOZ3" s="98"/>
      <c r="DPA3" s="98"/>
      <c r="DPB3" s="98"/>
      <c r="DPC3" s="98"/>
      <c r="DPD3" s="98"/>
      <c r="DPE3" s="98"/>
      <c r="DPF3" s="98"/>
      <c r="DPG3" s="98"/>
      <c r="DPH3" s="98"/>
      <c r="DPI3" s="98"/>
      <c r="DPJ3" s="98"/>
      <c r="DPK3" s="98"/>
      <c r="DPL3" s="98"/>
      <c r="DPM3" s="98"/>
      <c r="DPN3" s="98"/>
      <c r="DPO3" s="98"/>
      <c r="DPP3" s="98"/>
      <c r="DPQ3" s="98"/>
      <c r="DPR3" s="98"/>
      <c r="DPS3" s="98"/>
      <c r="DPT3" s="98"/>
      <c r="DPU3" s="98"/>
      <c r="DPV3" s="98"/>
      <c r="DPW3" s="98"/>
      <c r="DPX3" s="98"/>
      <c r="DPY3" s="98"/>
      <c r="DPZ3" s="98"/>
      <c r="DQA3" s="98"/>
      <c r="DQB3" s="98"/>
      <c r="DQC3" s="98"/>
      <c r="DQD3" s="98"/>
      <c r="DQE3" s="98"/>
      <c r="DQF3" s="98"/>
      <c r="DQG3" s="98"/>
      <c r="DQH3" s="98"/>
      <c r="DQI3" s="98"/>
      <c r="DQJ3" s="98"/>
      <c r="DQK3" s="98"/>
      <c r="DQL3" s="98"/>
      <c r="DQM3" s="98"/>
      <c r="DQN3" s="98"/>
      <c r="DQO3" s="98"/>
      <c r="DQP3" s="98"/>
      <c r="DQQ3" s="98"/>
      <c r="DQR3" s="98"/>
      <c r="DQS3" s="98"/>
      <c r="DQT3" s="98"/>
      <c r="DQU3" s="98"/>
      <c r="DQV3" s="98"/>
      <c r="DQW3" s="98"/>
      <c r="DQX3" s="98"/>
      <c r="DQY3" s="98"/>
      <c r="DQZ3" s="98"/>
      <c r="DRA3" s="98"/>
      <c r="DRB3" s="98"/>
      <c r="DRC3" s="98"/>
      <c r="DRD3" s="98"/>
      <c r="DRE3" s="98"/>
      <c r="DRF3" s="98"/>
      <c r="DRG3" s="98"/>
      <c r="DRH3" s="98"/>
      <c r="DRI3" s="98"/>
      <c r="DRJ3" s="98"/>
      <c r="DRK3" s="98"/>
      <c r="DRL3" s="98"/>
      <c r="DRM3" s="98"/>
      <c r="DRN3" s="98"/>
      <c r="DRO3" s="98"/>
      <c r="DRP3" s="98"/>
      <c r="DRQ3" s="98"/>
      <c r="DRR3" s="98"/>
      <c r="DRS3" s="98"/>
      <c r="DRT3" s="98"/>
      <c r="DRU3" s="98"/>
      <c r="DRV3" s="98"/>
      <c r="DRW3" s="98"/>
      <c r="DRX3" s="98"/>
      <c r="DRY3" s="98"/>
      <c r="DRZ3" s="98"/>
      <c r="DSA3" s="98"/>
      <c r="DSB3" s="98"/>
      <c r="DSC3" s="98"/>
      <c r="DSD3" s="98"/>
      <c r="DSE3" s="98"/>
      <c r="DSF3" s="98"/>
      <c r="DSG3" s="98"/>
      <c r="DSH3" s="98"/>
      <c r="DSI3" s="98"/>
      <c r="DSJ3" s="98"/>
      <c r="DSK3" s="98"/>
      <c r="DSL3" s="98"/>
      <c r="DSM3" s="98"/>
      <c r="DSN3" s="98"/>
      <c r="DSO3" s="98"/>
      <c r="DSP3" s="98"/>
      <c r="DSQ3" s="98"/>
      <c r="DSR3" s="98"/>
      <c r="DSS3" s="98"/>
      <c r="DST3" s="98"/>
      <c r="DSU3" s="98"/>
      <c r="DSV3" s="98"/>
      <c r="DSW3" s="98"/>
      <c r="DSX3" s="98"/>
      <c r="DSY3" s="98"/>
      <c r="DSZ3" s="98"/>
      <c r="DTA3" s="98"/>
      <c r="DTB3" s="98"/>
      <c r="DTC3" s="98"/>
      <c r="DTD3" s="98"/>
      <c r="DTE3" s="98"/>
      <c r="DTF3" s="98"/>
      <c r="DTG3" s="98"/>
      <c r="DTH3" s="98"/>
      <c r="DTI3" s="98"/>
      <c r="DTJ3" s="98"/>
      <c r="DTK3" s="98"/>
      <c r="DTL3" s="98"/>
      <c r="DTM3" s="98"/>
      <c r="DTN3" s="98"/>
      <c r="DTO3" s="98"/>
      <c r="DTP3" s="98"/>
      <c r="DTQ3" s="98"/>
      <c r="DTR3" s="98"/>
      <c r="DTS3" s="98"/>
      <c r="DTT3" s="98"/>
      <c r="DTU3" s="98"/>
      <c r="DTV3" s="98"/>
      <c r="DTW3" s="98"/>
      <c r="DTX3" s="98"/>
      <c r="DTY3" s="98"/>
      <c r="DTZ3" s="98"/>
      <c r="DUA3" s="98"/>
      <c r="DUB3" s="98"/>
      <c r="DUC3" s="98"/>
      <c r="DUD3" s="98"/>
      <c r="DUE3" s="98"/>
      <c r="DUF3" s="98"/>
      <c r="DUG3" s="98"/>
      <c r="DUH3" s="98"/>
      <c r="DUI3" s="98"/>
      <c r="DUJ3" s="98"/>
      <c r="DUK3" s="98"/>
      <c r="DUL3" s="98"/>
      <c r="DUM3" s="98"/>
      <c r="DUN3" s="98"/>
      <c r="DUO3" s="98"/>
      <c r="DUP3" s="98"/>
      <c r="DUQ3" s="98"/>
      <c r="DUR3" s="98"/>
      <c r="DUS3" s="98"/>
      <c r="DUT3" s="98"/>
      <c r="DUU3" s="98"/>
      <c r="DUV3" s="98"/>
      <c r="DUW3" s="98"/>
      <c r="DUX3" s="98"/>
      <c r="DUY3" s="98"/>
      <c r="DUZ3" s="98"/>
      <c r="DVA3" s="98"/>
      <c r="DVB3" s="98"/>
      <c r="DVC3" s="98"/>
      <c r="DVD3" s="98"/>
      <c r="DVE3" s="98"/>
      <c r="DVF3" s="98"/>
      <c r="DVG3" s="98"/>
      <c r="DVH3" s="98"/>
      <c r="DVI3" s="98"/>
      <c r="DVJ3" s="98"/>
      <c r="DVK3" s="98"/>
      <c r="DVL3" s="98"/>
      <c r="DVM3" s="98"/>
      <c r="DVN3" s="98"/>
      <c r="DVO3" s="98"/>
      <c r="DVP3" s="98"/>
      <c r="DVQ3" s="98"/>
      <c r="DVR3" s="98"/>
      <c r="DVS3" s="98"/>
      <c r="DVT3" s="98"/>
      <c r="DVU3" s="98"/>
      <c r="DVV3" s="98"/>
      <c r="DVW3" s="98"/>
      <c r="DVX3" s="98"/>
      <c r="DVY3" s="98"/>
      <c r="DVZ3" s="98"/>
      <c r="DWA3" s="98"/>
      <c r="DWB3" s="98"/>
      <c r="DWC3" s="98"/>
      <c r="DWD3" s="98"/>
      <c r="DWE3" s="98"/>
      <c r="DWF3" s="98"/>
      <c r="DWG3" s="98"/>
      <c r="DWH3" s="98"/>
      <c r="DWI3" s="98"/>
      <c r="DWJ3" s="98"/>
      <c r="DWK3" s="98"/>
      <c r="DWL3" s="98"/>
      <c r="DWM3" s="98"/>
      <c r="DWN3" s="98"/>
      <c r="DWO3" s="98"/>
      <c r="DWP3" s="98"/>
      <c r="DWQ3" s="98"/>
      <c r="DWR3" s="98"/>
      <c r="DWS3" s="98"/>
      <c r="DWT3" s="98"/>
      <c r="DWU3" s="98"/>
      <c r="DWV3" s="98"/>
      <c r="DWW3" s="98"/>
      <c r="DWX3" s="98"/>
      <c r="DWY3" s="98"/>
      <c r="DWZ3" s="98"/>
      <c r="DXA3" s="98"/>
      <c r="DXB3" s="98"/>
      <c r="DXC3" s="98"/>
      <c r="DXD3" s="98"/>
      <c r="DXE3" s="98"/>
      <c r="DXF3" s="98"/>
      <c r="DXG3" s="98"/>
      <c r="DXH3" s="98"/>
      <c r="DXI3" s="98"/>
      <c r="DXJ3" s="98"/>
      <c r="DXK3" s="98"/>
      <c r="DXL3" s="98"/>
      <c r="DXM3" s="98"/>
      <c r="DXN3" s="98"/>
      <c r="DXO3" s="98"/>
      <c r="DXP3" s="98"/>
      <c r="DXQ3" s="98"/>
      <c r="DXR3" s="98"/>
      <c r="DXS3" s="98"/>
      <c r="DXT3" s="98"/>
      <c r="DXU3" s="98"/>
      <c r="DXV3" s="98"/>
      <c r="DXW3" s="98"/>
      <c r="DXX3" s="98"/>
      <c r="DXY3" s="98"/>
      <c r="DXZ3" s="98"/>
      <c r="DYA3" s="98"/>
      <c r="DYB3" s="98"/>
      <c r="DYC3" s="98"/>
      <c r="DYD3" s="98"/>
      <c r="DYE3" s="98"/>
      <c r="DYF3" s="98"/>
      <c r="DYG3" s="98"/>
      <c r="DYH3" s="98"/>
      <c r="DYI3" s="98"/>
      <c r="DYJ3" s="98"/>
      <c r="DYK3" s="98"/>
      <c r="DYL3" s="98"/>
      <c r="DYM3" s="98"/>
      <c r="DYN3" s="98"/>
      <c r="DYO3" s="98"/>
      <c r="DYP3" s="98"/>
      <c r="DYQ3" s="98"/>
      <c r="DYR3" s="98"/>
      <c r="DYS3" s="98"/>
      <c r="DYT3" s="98"/>
      <c r="DYU3" s="98"/>
      <c r="DYV3" s="98"/>
      <c r="DYW3" s="98"/>
      <c r="DYX3" s="98"/>
      <c r="DYY3" s="98"/>
      <c r="DYZ3" s="98"/>
      <c r="DZA3" s="98"/>
      <c r="DZB3" s="98"/>
      <c r="DZC3" s="98"/>
      <c r="DZD3" s="98"/>
      <c r="DZE3" s="98"/>
      <c r="DZF3" s="98"/>
      <c r="DZG3" s="98"/>
      <c r="DZH3" s="98"/>
      <c r="DZI3" s="98"/>
      <c r="DZJ3" s="98"/>
      <c r="DZK3" s="98"/>
      <c r="DZL3" s="98"/>
      <c r="DZM3" s="98"/>
      <c r="DZN3" s="98"/>
      <c r="DZO3" s="98"/>
      <c r="DZP3" s="98"/>
      <c r="DZQ3" s="98"/>
      <c r="DZR3" s="98"/>
      <c r="DZS3" s="98"/>
      <c r="DZT3" s="98"/>
      <c r="DZU3" s="98"/>
      <c r="DZV3" s="98"/>
      <c r="DZW3" s="98"/>
      <c r="DZX3" s="98"/>
      <c r="DZY3" s="98"/>
      <c r="DZZ3" s="98"/>
      <c r="EAA3" s="98"/>
      <c r="EAB3" s="98"/>
      <c r="EAC3" s="98"/>
      <c r="EAD3" s="98"/>
      <c r="EAE3" s="98"/>
      <c r="EAF3" s="98"/>
      <c r="EAG3" s="98"/>
      <c r="EAH3" s="98"/>
      <c r="EAI3" s="98"/>
      <c r="EAJ3" s="98"/>
      <c r="EAK3" s="98"/>
      <c r="EAL3" s="98"/>
      <c r="EAM3" s="98"/>
      <c r="EAN3" s="98"/>
      <c r="EAO3" s="98"/>
      <c r="EAP3" s="98"/>
      <c r="EAQ3" s="98"/>
      <c r="EAR3" s="98"/>
      <c r="EAS3" s="98"/>
      <c r="EAT3" s="98"/>
      <c r="EAU3" s="98"/>
      <c r="EAV3" s="98"/>
      <c r="EAW3" s="98"/>
      <c r="EAX3" s="98"/>
      <c r="EAY3" s="98"/>
      <c r="EAZ3" s="98"/>
      <c r="EBA3" s="98"/>
      <c r="EBB3" s="98"/>
      <c r="EBC3" s="98"/>
      <c r="EBD3" s="98"/>
      <c r="EBE3" s="98"/>
      <c r="EBF3" s="98"/>
      <c r="EBG3" s="98"/>
      <c r="EBH3" s="98"/>
      <c r="EBI3" s="98"/>
      <c r="EBJ3" s="98"/>
      <c r="EBK3" s="98"/>
      <c r="EBL3" s="98"/>
      <c r="EBM3" s="98"/>
      <c r="EBN3" s="98"/>
      <c r="EBO3" s="98"/>
      <c r="EBP3" s="98"/>
      <c r="EBQ3" s="98"/>
      <c r="EBR3" s="98"/>
      <c r="EBS3" s="98"/>
      <c r="EBT3" s="98"/>
      <c r="EBU3" s="98"/>
      <c r="EBV3" s="98"/>
      <c r="EBW3" s="98"/>
      <c r="EBX3" s="98"/>
      <c r="EBY3" s="98"/>
      <c r="EBZ3" s="98"/>
      <c r="ECA3" s="98"/>
      <c r="ECB3" s="98"/>
      <c r="ECC3" s="98"/>
      <c r="ECD3" s="98"/>
      <c r="ECE3" s="98"/>
      <c r="ECF3" s="98"/>
      <c r="ECG3" s="98"/>
      <c r="ECH3" s="98"/>
      <c r="ECI3" s="98"/>
      <c r="ECJ3" s="98"/>
      <c r="ECK3" s="98"/>
      <c r="ECL3" s="98"/>
      <c r="ECM3" s="98"/>
      <c r="ECN3" s="98"/>
      <c r="ECO3" s="98"/>
      <c r="ECP3" s="98"/>
      <c r="ECQ3" s="98"/>
      <c r="ECR3" s="98"/>
      <c r="ECS3" s="98"/>
      <c r="ECT3" s="98"/>
      <c r="ECU3" s="98"/>
      <c r="ECV3" s="98"/>
      <c r="ECW3" s="98"/>
      <c r="ECX3" s="98"/>
      <c r="ECY3" s="98"/>
      <c r="ECZ3" s="98"/>
      <c r="EDA3" s="98"/>
      <c r="EDB3" s="98"/>
      <c r="EDC3" s="98"/>
      <c r="EDD3" s="98"/>
      <c r="EDE3" s="98"/>
      <c r="EDF3" s="98"/>
      <c r="EDG3" s="98"/>
      <c r="EDH3" s="98"/>
      <c r="EDI3" s="98"/>
      <c r="EDJ3" s="98"/>
      <c r="EDK3" s="98"/>
      <c r="EDL3" s="98"/>
      <c r="EDM3" s="98"/>
      <c r="EDN3" s="98"/>
      <c r="EDO3" s="98"/>
      <c r="EDP3" s="98"/>
      <c r="EDQ3" s="98"/>
      <c r="EDR3" s="98"/>
      <c r="EDS3" s="98"/>
      <c r="EDT3" s="98"/>
      <c r="EDU3" s="98"/>
      <c r="EDV3" s="98"/>
      <c r="EDW3" s="98"/>
      <c r="EDX3" s="98"/>
      <c r="EDY3" s="98"/>
      <c r="EDZ3" s="98"/>
      <c r="EEA3" s="98"/>
      <c r="EEB3" s="98"/>
      <c r="EEC3" s="98"/>
      <c r="EED3" s="98"/>
      <c r="EEE3" s="98"/>
      <c r="EEF3" s="98"/>
      <c r="EEG3" s="98"/>
      <c r="EEH3" s="98"/>
      <c r="EEI3" s="98"/>
      <c r="EEJ3" s="98"/>
      <c r="EEK3" s="98"/>
      <c r="EEL3" s="98"/>
      <c r="EEM3" s="98"/>
      <c r="EEN3" s="98"/>
      <c r="EEO3" s="98"/>
      <c r="EEP3" s="98"/>
      <c r="EEQ3" s="98"/>
      <c r="EER3" s="98"/>
      <c r="EES3" s="98"/>
      <c r="EET3" s="98"/>
      <c r="EEU3" s="98"/>
      <c r="EEV3" s="98"/>
      <c r="EEW3" s="98"/>
      <c r="EEX3" s="98"/>
      <c r="EEY3" s="98"/>
      <c r="EEZ3" s="98"/>
      <c r="EFA3" s="98"/>
      <c r="EFB3" s="98"/>
      <c r="EFC3" s="98"/>
      <c r="EFD3" s="98"/>
      <c r="EFE3" s="98"/>
      <c r="EFF3" s="98"/>
      <c r="EFG3" s="98"/>
      <c r="EFH3" s="98"/>
      <c r="EFI3" s="98"/>
      <c r="EFJ3" s="98"/>
      <c r="EFK3" s="98"/>
      <c r="EFL3" s="98"/>
      <c r="EFM3" s="98"/>
      <c r="EFN3" s="98"/>
      <c r="EFO3" s="98"/>
      <c r="EFP3" s="98"/>
      <c r="EFQ3" s="98"/>
      <c r="EFR3" s="98"/>
      <c r="EFS3" s="98"/>
      <c r="EFT3" s="98"/>
      <c r="EFU3" s="98"/>
      <c r="EFV3" s="98"/>
      <c r="EFW3" s="98"/>
      <c r="EFX3" s="98"/>
      <c r="EFY3" s="98"/>
      <c r="EFZ3" s="98"/>
      <c r="EGA3" s="98"/>
      <c r="EGB3" s="98"/>
      <c r="EGC3" s="98"/>
      <c r="EGD3" s="98"/>
      <c r="EGE3" s="98"/>
      <c r="EGF3" s="98"/>
      <c r="EGG3" s="98"/>
      <c r="EGH3" s="98"/>
      <c r="EGI3" s="98"/>
      <c r="EGJ3" s="98"/>
      <c r="EGK3" s="98"/>
      <c r="EGL3" s="98"/>
      <c r="EGM3" s="98"/>
      <c r="EGN3" s="98"/>
      <c r="EGO3" s="98"/>
      <c r="EGP3" s="98"/>
      <c r="EGQ3" s="98"/>
      <c r="EGR3" s="98"/>
      <c r="EGS3" s="98"/>
      <c r="EGT3" s="98"/>
      <c r="EGU3" s="98"/>
      <c r="EGV3" s="98"/>
      <c r="EGW3" s="98"/>
      <c r="EGX3" s="98"/>
      <c r="EGY3" s="98"/>
      <c r="EGZ3" s="98"/>
      <c r="EHA3" s="98"/>
      <c r="EHB3" s="98"/>
      <c r="EHC3" s="98"/>
      <c r="EHD3" s="98"/>
      <c r="EHE3" s="98"/>
      <c r="EHF3" s="98"/>
      <c r="EHG3" s="98"/>
      <c r="EHH3" s="98"/>
      <c r="EHI3" s="98"/>
      <c r="EHJ3" s="98"/>
      <c r="EHK3" s="98"/>
      <c r="EHL3" s="98"/>
      <c r="EHM3" s="98"/>
      <c r="EHN3" s="98"/>
      <c r="EHO3" s="98"/>
      <c r="EHP3" s="98"/>
      <c r="EHQ3" s="98"/>
      <c r="EHR3" s="98"/>
      <c r="EHS3" s="98"/>
      <c r="EHT3" s="98"/>
      <c r="EHU3" s="98"/>
      <c r="EHV3" s="98"/>
      <c r="EHW3" s="98"/>
      <c r="EHX3" s="98"/>
      <c r="EHY3" s="98"/>
      <c r="EHZ3" s="98"/>
      <c r="EIA3" s="98"/>
      <c r="EIB3" s="98"/>
      <c r="EIC3" s="98"/>
      <c r="EID3" s="98"/>
      <c r="EIE3" s="98"/>
      <c r="EIF3" s="98"/>
      <c r="EIG3" s="98"/>
      <c r="EIH3" s="98"/>
      <c r="EII3" s="98"/>
      <c r="EIJ3" s="98"/>
      <c r="EIK3" s="98"/>
      <c r="EIL3" s="98"/>
      <c r="EIM3" s="98"/>
      <c r="EIN3" s="98"/>
      <c r="EIO3" s="98"/>
      <c r="EIP3" s="98"/>
      <c r="EIQ3" s="98"/>
      <c r="EIR3" s="98"/>
      <c r="EIS3" s="98"/>
      <c r="EIT3" s="98"/>
      <c r="EIU3" s="98"/>
      <c r="EIV3" s="98"/>
      <c r="EIW3" s="98"/>
      <c r="EIX3" s="98"/>
      <c r="EIY3" s="98"/>
      <c r="EIZ3" s="98"/>
      <c r="EJA3" s="98"/>
      <c r="EJB3" s="98"/>
      <c r="EJC3" s="98"/>
      <c r="EJD3" s="98"/>
      <c r="EJE3" s="98"/>
      <c r="EJF3" s="98"/>
      <c r="EJG3" s="98"/>
      <c r="EJH3" s="98"/>
      <c r="EJI3" s="98"/>
      <c r="EJJ3" s="98"/>
      <c r="EJK3" s="98"/>
      <c r="EJL3" s="98"/>
      <c r="EJM3" s="98"/>
      <c r="EJN3" s="98"/>
      <c r="EJO3" s="98"/>
      <c r="EJP3" s="98"/>
      <c r="EJQ3" s="98"/>
      <c r="EJR3" s="98"/>
      <c r="EJS3" s="98"/>
      <c r="EJT3" s="98"/>
      <c r="EJU3" s="98"/>
      <c r="EJV3" s="98"/>
      <c r="EJW3" s="98"/>
      <c r="EJX3" s="98"/>
      <c r="EJY3" s="98"/>
      <c r="EJZ3" s="98"/>
      <c r="EKA3" s="98"/>
      <c r="EKB3" s="98"/>
      <c r="EKC3" s="98"/>
      <c r="EKD3" s="98"/>
      <c r="EKE3" s="98"/>
      <c r="EKF3" s="98"/>
      <c r="EKG3" s="98"/>
      <c r="EKH3" s="98"/>
      <c r="EKI3" s="98"/>
      <c r="EKJ3" s="98"/>
      <c r="EKK3" s="98"/>
      <c r="EKL3" s="98"/>
      <c r="EKM3" s="98"/>
      <c r="EKN3" s="98"/>
      <c r="EKO3" s="98"/>
      <c r="EKP3" s="98"/>
      <c r="EKQ3" s="98"/>
      <c r="EKR3" s="98"/>
      <c r="EKS3" s="98"/>
      <c r="EKT3" s="98"/>
      <c r="EKU3" s="98"/>
      <c r="EKV3" s="98"/>
      <c r="EKW3" s="98"/>
      <c r="EKX3" s="98"/>
      <c r="EKY3" s="98"/>
      <c r="EKZ3" s="98"/>
      <c r="ELA3" s="98"/>
      <c r="ELB3" s="98"/>
      <c r="ELC3" s="98"/>
      <c r="ELD3" s="98"/>
      <c r="ELE3" s="98"/>
      <c r="ELF3" s="98"/>
      <c r="ELG3" s="98"/>
      <c r="ELH3" s="98"/>
      <c r="ELI3" s="98"/>
      <c r="ELJ3" s="98"/>
      <c r="ELK3" s="98"/>
      <c r="ELL3" s="98"/>
      <c r="ELM3" s="98"/>
      <c r="ELN3" s="98"/>
      <c r="ELO3" s="98"/>
      <c r="ELP3" s="98"/>
      <c r="ELQ3" s="98"/>
      <c r="ELR3" s="98"/>
      <c r="ELS3" s="98"/>
      <c r="ELT3" s="98"/>
      <c r="ELU3" s="98"/>
      <c r="ELV3" s="98"/>
      <c r="ELW3" s="98"/>
      <c r="ELX3" s="98"/>
      <c r="ELY3" s="98"/>
      <c r="ELZ3" s="98"/>
      <c r="EMA3" s="98"/>
      <c r="EMB3" s="98"/>
      <c r="EMC3" s="98"/>
      <c r="EMD3" s="98"/>
      <c r="EME3" s="98"/>
      <c r="EMF3" s="98"/>
      <c r="EMG3" s="98"/>
      <c r="EMH3" s="98"/>
      <c r="EMI3" s="98"/>
      <c r="EMJ3" s="98"/>
      <c r="EMK3" s="98"/>
      <c r="EML3" s="98"/>
      <c r="EMM3" s="98"/>
      <c r="EMN3" s="98"/>
      <c r="EMO3" s="98"/>
      <c r="EMP3" s="98"/>
      <c r="EMQ3" s="98"/>
      <c r="EMR3" s="98"/>
      <c r="EMS3" s="98"/>
      <c r="EMT3" s="98"/>
      <c r="EMU3" s="98"/>
      <c r="EMV3" s="98"/>
      <c r="EMW3" s="98"/>
      <c r="EMX3" s="98"/>
      <c r="EMY3" s="98"/>
      <c r="EMZ3" s="98"/>
      <c r="ENA3" s="98"/>
      <c r="ENB3" s="98"/>
      <c r="ENC3" s="98"/>
      <c r="END3" s="98"/>
      <c r="ENE3" s="98"/>
      <c r="ENF3" s="98"/>
      <c r="ENG3" s="98"/>
      <c r="ENH3" s="98"/>
      <c r="ENI3" s="98"/>
      <c r="ENJ3" s="98"/>
      <c r="ENK3" s="98"/>
      <c r="ENL3" s="98"/>
      <c r="ENM3" s="98"/>
      <c r="ENN3" s="98"/>
      <c r="ENO3" s="98"/>
      <c r="ENP3" s="98"/>
      <c r="ENQ3" s="98"/>
      <c r="ENR3" s="98"/>
      <c r="ENS3" s="98"/>
      <c r="ENT3" s="98"/>
      <c r="ENU3" s="98"/>
      <c r="ENV3" s="98"/>
      <c r="ENW3" s="98"/>
      <c r="ENX3" s="98"/>
      <c r="ENY3" s="98"/>
      <c r="ENZ3" s="98"/>
      <c r="EOA3" s="98"/>
      <c r="EOB3" s="98"/>
      <c r="EOC3" s="98"/>
      <c r="EOD3" s="98"/>
      <c r="EOE3" s="98"/>
      <c r="EOF3" s="98"/>
      <c r="EOG3" s="98"/>
      <c r="EOH3" s="98"/>
      <c r="EOI3" s="98"/>
      <c r="EOJ3" s="98"/>
      <c r="EOK3" s="98"/>
      <c r="EOL3" s="98"/>
      <c r="EOM3" s="98"/>
      <c r="EON3" s="98"/>
      <c r="EOO3" s="98"/>
      <c r="EOP3" s="98"/>
      <c r="EOQ3" s="98"/>
      <c r="EOR3" s="98"/>
      <c r="EOS3" s="98"/>
      <c r="EOT3" s="98"/>
      <c r="EOU3" s="98"/>
      <c r="EOV3" s="98"/>
      <c r="EOW3" s="98"/>
      <c r="EOX3" s="98"/>
      <c r="EOY3" s="98"/>
      <c r="EOZ3" s="98"/>
      <c r="EPA3" s="98"/>
      <c r="EPB3" s="98"/>
      <c r="EPC3" s="98"/>
      <c r="EPD3" s="98"/>
      <c r="EPE3" s="98"/>
      <c r="EPF3" s="98"/>
      <c r="EPG3" s="98"/>
      <c r="EPH3" s="98"/>
      <c r="EPI3" s="98"/>
      <c r="EPJ3" s="98"/>
      <c r="EPK3" s="98"/>
      <c r="EPL3" s="98"/>
      <c r="EPM3" s="98"/>
      <c r="EPN3" s="98"/>
      <c r="EPO3" s="98"/>
      <c r="EPP3" s="98"/>
      <c r="EPQ3" s="98"/>
      <c r="EPR3" s="98"/>
      <c r="EPS3" s="98"/>
      <c r="EPT3" s="98"/>
      <c r="EPU3" s="98"/>
      <c r="EPV3" s="98"/>
      <c r="EPW3" s="98"/>
      <c r="EPX3" s="98"/>
      <c r="EPY3" s="98"/>
      <c r="EPZ3" s="98"/>
      <c r="EQA3" s="98"/>
      <c r="EQB3" s="98"/>
      <c r="EQC3" s="98"/>
      <c r="EQD3" s="98"/>
      <c r="EQE3" s="98"/>
      <c r="EQF3" s="98"/>
      <c r="EQG3" s="98"/>
      <c r="EQH3" s="98"/>
      <c r="EQI3" s="98"/>
      <c r="EQJ3" s="98"/>
      <c r="EQK3" s="98"/>
      <c r="EQL3" s="98"/>
      <c r="EQM3" s="98"/>
      <c r="EQN3" s="98"/>
      <c r="EQO3" s="98"/>
      <c r="EQP3" s="98"/>
      <c r="EQQ3" s="98"/>
      <c r="EQR3" s="98"/>
      <c r="EQS3" s="98"/>
      <c r="EQT3" s="98"/>
      <c r="EQU3" s="98"/>
      <c r="EQV3" s="98"/>
      <c r="EQW3" s="98"/>
      <c r="EQX3" s="98"/>
      <c r="EQY3" s="98"/>
      <c r="EQZ3" s="98"/>
      <c r="ERA3" s="98"/>
      <c r="ERB3" s="98"/>
      <c r="ERC3" s="98"/>
      <c r="ERD3" s="98"/>
      <c r="ERE3" s="98"/>
      <c r="ERF3" s="98"/>
      <c r="ERG3" s="98"/>
      <c r="ERH3" s="98"/>
      <c r="ERI3" s="98"/>
      <c r="ERJ3" s="98"/>
      <c r="ERK3" s="98"/>
      <c r="ERL3" s="98"/>
      <c r="ERM3" s="98"/>
      <c r="ERN3" s="98"/>
      <c r="ERO3" s="98"/>
      <c r="ERP3" s="98"/>
      <c r="ERQ3" s="98"/>
      <c r="ERR3" s="98"/>
      <c r="ERS3" s="98"/>
      <c r="ERT3" s="98"/>
      <c r="ERU3" s="98"/>
      <c r="ERV3" s="98"/>
      <c r="ERW3" s="98"/>
      <c r="ERX3" s="98"/>
      <c r="ERY3" s="98"/>
      <c r="ERZ3" s="98"/>
      <c r="ESA3" s="98"/>
      <c r="ESB3" s="98"/>
      <c r="ESC3" s="98"/>
      <c r="ESD3" s="98"/>
      <c r="ESE3" s="98"/>
      <c r="ESF3" s="98"/>
      <c r="ESG3" s="98"/>
      <c r="ESH3" s="98"/>
      <c r="ESI3" s="98"/>
      <c r="ESJ3" s="98"/>
      <c r="ESK3" s="98"/>
      <c r="ESL3" s="98"/>
      <c r="ESM3" s="98"/>
      <c r="ESN3" s="98"/>
      <c r="ESO3" s="98"/>
      <c r="ESP3" s="98"/>
      <c r="ESQ3" s="98"/>
      <c r="ESR3" s="98"/>
      <c r="ESS3" s="98"/>
      <c r="EST3" s="98"/>
      <c r="ESU3" s="98"/>
      <c r="ESV3" s="98"/>
      <c r="ESW3" s="98"/>
      <c r="ESX3" s="98"/>
      <c r="ESY3" s="98"/>
      <c r="ESZ3" s="98"/>
      <c r="ETA3" s="98"/>
      <c r="ETB3" s="98"/>
      <c r="ETC3" s="98"/>
      <c r="ETD3" s="98"/>
      <c r="ETE3" s="98"/>
      <c r="ETF3" s="98"/>
      <c r="ETG3" s="98"/>
      <c r="ETH3" s="98"/>
      <c r="ETI3" s="98"/>
      <c r="ETJ3" s="98"/>
      <c r="ETK3" s="98"/>
      <c r="ETL3" s="98"/>
      <c r="ETM3" s="98"/>
      <c r="ETN3" s="98"/>
      <c r="ETO3" s="98"/>
      <c r="ETP3" s="98"/>
      <c r="ETQ3" s="98"/>
      <c r="ETR3" s="98"/>
      <c r="ETS3" s="98"/>
      <c r="ETT3" s="98"/>
      <c r="ETU3" s="98"/>
      <c r="ETV3" s="98"/>
      <c r="ETW3" s="98"/>
      <c r="ETX3" s="98"/>
      <c r="ETY3" s="98"/>
      <c r="ETZ3" s="98"/>
      <c r="EUA3" s="98"/>
      <c r="EUB3" s="98"/>
      <c r="EUC3" s="98"/>
      <c r="EUD3" s="98"/>
      <c r="EUE3" s="98"/>
      <c r="EUF3" s="98"/>
      <c r="EUG3" s="98"/>
      <c r="EUH3" s="98"/>
      <c r="EUI3" s="98"/>
      <c r="EUJ3" s="98"/>
      <c r="EUK3" s="98"/>
      <c r="EUL3" s="98"/>
      <c r="EUM3" s="98"/>
      <c r="EUN3" s="98"/>
      <c r="EUO3" s="98"/>
      <c r="EUP3" s="98"/>
      <c r="EUQ3" s="98"/>
      <c r="EUR3" s="98"/>
      <c r="EUS3" s="98"/>
      <c r="EUT3" s="98"/>
      <c r="EUU3" s="98"/>
      <c r="EUV3" s="98"/>
      <c r="EUW3" s="98"/>
      <c r="EUX3" s="98"/>
      <c r="EUY3" s="98"/>
      <c r="EUZ3" s="98"/>
      <c r="EVA3" s="98"/>
      <c r="EVB3" s="98"/>
      <c r="EVC3" s="98"/>
      <c r="EVD3" s="98"/>
      <c r="EVE3" s="98"/>
      <c r="EVF3" s="98"/>
      <c r="EVG3" s="98"/>
      <c r="EVH3" s="98"/>
      <c r="EVI3" s="98"/>
      <c r="EVJ3" s="98"/>
      <c r="EVK3" s="98"/>
      <c r="EVL3" s="98"/>
      <c r="EVM3" s="98"/>
      <c r="EVN3" s="98"/>
      <c r="EVO3" s="98"/>
      <c r="EVP3" s="98"/>
      <c r="EVQ3" s="98"/>
      <c r="EVR3" s="98"/>
      <c r="EVS3" s="98"/>
      <c r="EVT3" s="98"/>
      <c r="EVU3" s="98"/>
      <c r="EVV3" s="98"/>
      <c r="EVW3" s="98"/>
      <c r="EVX3" s="98"/>
      <c r="EVY3" s="98"/>
      <c r="EVZ3" s="98"/>
      <c r="EWA3" s="98"/>
      <c r="EWB3" s="98"/>
      <c r="EWC3" s="98"/>
      <c r="EWD3" s="98"/>
      <c r="EWE3" s="98"/>
      <c r="EWF3" s="98"/>
      <c r="EWG3" s="98"/>
      <c r="EWH3" s="98"/>
      <c r="EWI3" s="98"/>
      <c r="EWJ3" s="98"/>
      <c r="EWK3" s="98"/>
      <c r="EWL3" s="98"/>
      <c r="EWM3" s="98"/>
      <c r="EWN3" s="98"/>
      <c r="EWO3" s="98"/>
      <c r="EWP3" s="98"/>
      <c r="EWQ3" s="98"/>
      <c r="EWR3" s="98"/>
      <c r="EWS3" s="98"/>
      <c r="EWT3" s="98"/>
      <c r="EWU3" s="98"/>
      <c r="EWV3" s="98"/>
      <c r="EWW3" s="98"/>
      <c r="EWX3" s="98"/>
      <c r="EWY3" s="98"/>
      <c r="EWZ3" s="98"/>
      <c r="EXA3" s="98"/>
      <c r="EXB3" s="98"/>
      <c r="EXC3" s="98"/>
      <c r="EXD3" s="98"/>
      <c r="EXE3" s="98"/>
      <c r="EXF3" s="98"/>
      <c r="EXG3" s="98"/>
      <c r="EXH3" s="98"/>
      <c r="EXI3" s="98"/>
      <c r="EXJ3" s="98"/>
      <c r="EXK3" s="98"/>
      <c r="EXL3" s="98"/>
      <c r="EXM3" s="98"/>
      <c r="EXN3" s="98"/>
      <c r="EXO3" s="98"/>
      <c r="EXP3" s="98"/>
      <c r="EXQ3" s="98"/>
      <c r="EXR3" s="98"/>
      <c r="EXS3" s="98"/>
      <c r="EXT3" s="98"/>
      <c r="EXU3" s="98"/>
      <c r="EXV3" s="98"/>
      <c r="EXW3" s="98"/>
      <c r="EXX3" s="98"/>
      <c r="EXY3" s="98"/>
      <c r="EXZ3" s="98"/>
      <c r="EYA3" s="98"/>
      <c r="EYB3" s="98"/>
      <c r="EYC3" s="98"/>
      <c r="EYD3" s="98"/>
      <c r="EYE3" s="98"/>
      <c r="EYF3" s="98"/>
      <c r="EYG3" s="98"/>
      <c r="EYH3" s="98"/>
      <c r="EYI3" s="98"/>
      <c r="EYJ3" s="98"/>
      <c r="EYK3" s="98"/>
      <c r="EYL3" s="98"/>
      <c r="EYM3" s="98"/>
      <c r="EYN3" s="98"/>
      <c r="EYO3" s="98"/>
      <c r="EYP3" s="98"/>
      <c r="EYQ3" s="98"/>
      <c r="EYR3" s="98"/>
      <c r="EYS3" s="98"/>
      <c r="EYT3" s="98"/>
      <c r="EYU3" s="98"/>
      <c r="EYV3" s="98"/>
      <c r="EYW3" s="98"/>
      <c r="EYX3" s="98"/>
      <c r="EYY3" s="98"/>
      <c r="EYZ3" s="98"/>
      <c r="EZA3" s="98"/>
      <c r="EZB3" s="98"/>
      <c r="EZC3" s="98"/>
      <c r="EZD3" s="98"/>
      <c r="EZE3" s="98"/>
      <c r="EZF3" s="98"/>
      <c r="EZG3" s="98"/>
      <c r="EZH3" s="98"/>
      <c r="EZI3" s="98"/>
      <c r="EZJ3" s="98"/>
      <c r="EZK3" s="98"/>
      <c r="EZL3" s="98"/>
      <c r="EZM3" s="98"/>
      <c r="EZN3" s="98"/>
      <c r="EZO3" s="98"/>
      <c r="EZP3" s="98"/>
      <c r="EZQ3" s="98"/>
      <c r="EZR3" s="98"/>
      <c r="EZS3" s="98"/>
      <c r="EZT3" s="98"/>
      <c r="EZU3" s="98"/>
      <c r="EZV3" s="98"/>
      <c r="EZW3" s="98"/>
      <c r="EZX3" s="98"/>
      <c r="EZY3" s="98"/>
      <c r="EZZ3" s="98"/>
      <c r="FAA3" s="98"/>
      <c r="FAB3" s="98"/>
      <c r="FAC3" s="98"/>
      <c r="FAD3" s="98"/>
      <c r="FAE3" s="98"/>
      <c r="FAF3" s="98"/>
      <c r="FAG3" s="98"/>
      <c r="FAH3" s="98"/>
      <c r="FAI3" s="98"/>
      <c r="FAJ3" s="98"/>
      <c r="FAK3" s="98"/>
      <c r="FAL3" s="98"/>
      <c r="FAM3" s="98"/>
      <c r="FAN3" s="98"/>
      <c r="FAO3" s="98"/>
      <c r="FAP3" s="98"/>
      <c r="FAQ3" s="98"/>
      <c r="FAR3" s="98"/>
      <c r="FAS3" s="98"/>
      <c r="FAT3" s="98"/>
      <c r="FAU3" s="98"/>
      <c r="FAV3" s="98"/>
      <c r="FAW3" s="98"/>
      <c r="FAX3" s="98"/>
      <c r="FAY3" s="98"/>
      <c r="FAZ3" s="98"/>
      <c r="FBA3" s="98"/>
      <c r="FBB3" s="98"/>
      <c r="FBC3" s="98"/>
      <c r="FBD3" s="98"/>
      <c r="FBE3" s="98"/>
      <c r="FBF3" s="98"/>
      <c r="FBG3" s="98"/>
      <c r="FBH3" s="98"/>
      <c r="FBI3" s="98"/>
      <c r="FBJ3" s="98"/>
      <c r="FBK3" s="98"/>
      <c r="FBL3" s="98"/>
      <c r="FBM3" s="98"/>
      <c r="FBN3" s="98"/>
      <c r="FBO3" s="98"/>
      <c r="FBP3" s="98"/>
      <c r="FBQ3" s="98"/>
      <c r="FBR3" s="98"/>
      <c r="FBS3" s="98"/>
      <c r="FBT3" s="98"/>
      <c r="FBU3" s="98"/>
      <c r="FBV3" s="98"/>
      <c r="FBW3" s="98"/>
      <c r="FBX3" s="98"/>
      <c r="FBY3" s="98"/>
      <c r="FBZ3" s="98"/>
      <c r="FCA3" s="98"/>
      <c r="FCB3" s="98"/>
      <c r="FCC3" s="98"/>
      <c r="FCD3" s="98"/>
      <c r="FCE3" s="98"/>
      <c r="FCF3" s="98"/>
      <c r="FCG3" s="98"/>
      <c r="FCH3" s="98"/>
      <c r="FCI3" s="98"/>
      <c r="FCJ3" s="98"/>
      <c r="FCK3" s="98"/>
      <c r="FCL3" s="98"/>
      <c r="FCM3" s="98"/>
      <c r="FCN3" s="98"/>
      <c r="FCO3" s="98"/>
      <c r="FCP3" s="98"/>
      <c r="FCQ3" s="98"/>
      <c r="FCR3" s="98"/>
      <c r="FCS3" s="98"/>
      <c r="FCT3" s="98"/>
      <c r="FCU3" s="98"/>
      <c r="FCV3" s="98"/>
      <c r="FCW3" s="98"/>
      <c r="FCX3" s="98"/>
      <c r="FCY3" s="98"/>
      <c r="FCZ3" s="98"/>
      <c r="FDA3" s="98"/>
      <c r="FDB3" s="98"/>
      <c r="FDC3" s="98"/>
      <c r="FDD3" s="98"/>
      <c r="FDE3" s="98"/>
      <c r="FDF3" s="98"/>
      <c r="FDG3" s="98"/>
      <c r="FDH3" s="98"/>
      <c r="FDI3" s="98"/>
      <c r="FDJ3" s="98"/>
      <c r="FDK3" s="98"/>
      <c r="FDL3" s="98"/>
      <c r="FDM3" s="98"/>
      <c r="FDN3" s="98"/>
      <c r="FDO3" s="98"/>
      <c r="FDP3" s="98"/>
      <c r="FDQ3" s="98"/>
      <c r="FDR3" s="98"/>
      <c r="FDS3" s="98"/>
      <c r="FDT3" s="98"/>
      <c r="FDU3" s="98"/>
      <c r="FDV3" s="98"/>
      <c r="FDW3" s="98"/>
      <c r="FDX3" s="98"/>
      <c r="FDY3" s="98"/>
      <c r="FDZ3" s="98"/>
      <c r="FEA3" s="98"/>
      <c r="FEB3" s="98"/>
      <c r="FEC3" s="98"/>
      <c r="FED3" s="98"/>
      <c r="FEE3" s="98"/>
      <c r="FEF3" s="98"/>
      <c r="FEG3" s="98"/>
      <c r="FEH3" s="98"/>
      <c r="FEI3" s="98"/>
      <c r="FEJ3" s="98"/>
      <c r="FEK3" s="98"/>
      <c r="FEL3" s="98"/>
      <c r="FEM3" s="98"/>
      <c r="FEN3" s="98"/>
      <c r="FEO3" s="98"/>
      <c r="FEP3" s="98"/>
      <c r="FEQ3" s="98"/>
      <c r="FER3" s="98"/>
      <c r="FES3" s="98"/>
      <c r="FET3" s="98"/>
      <c r="FEU3" s="98"/>
      <c r="FEV3" s="98"/>
      <c r="FEW3" s="98"/>
      <c r="FEX3" s="98"/>
      <c r="FEY3" s="98"/>
      <c r="FEZ3" s="98"/>
      <c r="FFA3" s="98"/>
      <c r="FFB3" s="98"/>
      <c r="FFC3" s="98"/>
      <c r="FFD3" s="98"/>
      <c r="FFE3" s="98"/>
      <c r="FFF3" s="98"/>
      <c r="FFG3" s="98"/>
      <c r="FFH3" s="98"/>
      <c r="FFI3" s="98"/>
      <c r="FFJ3" s="98"/>
      <c r="FFK3" s="98"/>
      <c r="FFL3" s="98"/>
      <c r="FFM3" s="98"/>
      <c r="FFN3" s="98"/>
      <c r="FFO3" s="98"/>
      <c r="FFP3" s="98"/>
      <c r="FFQ3" s="98"/>
      <c r="FFR3" s="98"/>
      <c r="FFS3" s="98"/>
      <c r="FFT3" s="98"/>
      <c r="FFU3" s="98"/>
      <c r="FFV3" s="98"/>
      <c r="FFW3" s="98"/>
      <c r="FFX3" s="98"/>
      <c r="FFY3" s="98"/>
      <c r="FFZ3" s="98"/>
      <c r="FGA3" s="98"/>
      <c r="FGB3" s="98"/>
      <c r="FGC3" s="98"/>
      <c r="FGD3" s="98"/>
      <c r="FGE3" s="98"/>
      <c r="FGF3" s="98"/>
      <c r="FGG3" s="98"/>
      <c r="FGH3" s="98"/>
      <c r="FGI3" s="98"/>
      <c r="FGJ3" s="98"/>
      <c r="FGK3" s="98"/>
      <c r="FGL3" s="98"/>
      <c r="FGM3" s="98"/>
      <c r="FGN3" s="98"/>
      <c r="FGO3" s="98"/>
      <c r="FGP3" s="98"/>
      <c r="FGQ3" s="98"/>
      <c r="FGR3" s="98"/>
      <c r="FGS3" s="98"/>
      <c r="FGT3" s="98"/>
      <c r="FGU3" s="98"/>
      <c r="FGV3" s="98"/>
      <c r="FGW3" s="98"/>
      <c r="FGX3" s="98"/>
      <c r="FGY3" s="98"/>
      <c r="FGZ3" s="98"/>
      <c r="FHA3" s="98"/>
      <c r="FHB3" s="98"/>
      <c r="FHC3" s="98"/>
      <c r="FHD3" s="98"/>
      <c r="FHE3" s="98"/>
      <c r="FHF3" s="98"/>
      <c r="FHG3" s="98"/>
      <c r="FHH3" s="98"/>
      <c r="FHI3" s="98"/>
      <c r="FHJ3" s="98"/>
      <c r="FHK3" s="98"/>
      <c r="FHL3" s="98"/>
      <c r="FHM3" s="98"/>
      <c r="FHN3" s="98"/>
      <c r="FHO3" s="98"/>
      <c r="FHP3" s="98"/>
      <c r="FHQ3" s="98"/>
      <c r="FHR3" s="98"/>
      <c r="FHS3" s="98"/>
      <c r="FHT3" s="98"/>
      <c r="FHU3" s="98"/>
      <c r="FHV3" s="98"/>
      <c r="FHW3" s="98"/>
      <c r="FHX3" s="98"/>
      <c r="FHY3" s="98"/>
      <c r="FHZ3" s="98"/>
      <c r="FIA3" s="98"/>
      <c r="FIB3" s="98"/>
      <c r="FIC3" s="98"/>
      <c r="FID3" s="98"/>
      <c r="FIE3" s="98"/>
      <c r="FIF3" s="98"/>
      <c r="FIG3" s="98"/>
      <c r="FIH3" s="98"/>
      <c r="FII3" s="98"/>
      <c r="FIJ3" s="98"/>
      <c r="FIK3" s="98"/>
      <c r="FIL3" s="98"/>
      <c r="FIM3" s="98"/>
      <c r="FIN3" s="98"/>
      <c r="FIO3" s="98"/>
      <c r="FIP3" s="98"/>
      <c r="FIQ3" s="98"/>
      <c r="FIR3" s="98"/>
      <c r="FIS3" s="98"/>
      <c r="FIT3" s="98"/>
      <c r="FIU3" s="98"/>
      <c r="FIV3" s="98"/>
      <c r="FIW3" s="98"/>
      <c r="FIX3" s="98"/>
      <c r="FIY3" s="98"/>
      <c r="FIZ3" s="98"/>
      <c r="FJA3" s="98"/>
      <c r="FJB3" s="98"/>
      <c r="FJC3" s="98"/>
      <c r="FJD3" s="98"/>
      <c r="FJE3" s="98"/>
      <c r="FJF3" s="98"/>
      <c r="FJG3" s="98"/>
      <c r="FJH3" s="98"/>
      <c r="FJI3" s="98"/>
      <c r="FJJ3" s="98"/>
      <c r="FJK3" s="98"/>
      <c r="FJL3" s="98"/>
      <c r="FJM3" s="98"/>
      <c r="FJN3" s="98"/>
      <c r="FJO3" s="98"/>
      <c r="FJP3" s="98"/>
      <c r="FJQ3" s="98"/>
      <c r="FJR3" s="98"/>
      <c r="FJS3" s="98"/>
      <c r="FJT3" s="98"/>
      <c r="FJU3" s="98"/>
      <c r="FJV3" s="98"/>
      <c r="FJW3" s="98"/>
      <c r="FJX3" s="98"/>
      <c r="FJY3" s="98"/>
      <c r="FJZ3" s="98"/>
      <c r="FKA3" s="98"/>
      <c r="FKB3" s="98"/>
      <c r="FKC3" s="98"/>
      <c r="FKD3" s="98"/>
      <c r="FKE3" s="98"/>
      <c r="FKF3" s="98"/>
      <c r="FKG3" s="98"/>
      <c r="FKH3" s="98"/>
      <c r="FKI3" s="98"/>
      <c r="FKJ3" s="98"/>
      <c r="FKK3" s="98"/>
      <c r="FKL3" s="98"/>
      <c r="FKM3" s="98"/>
      <c r="FKN3" s="98"/>
      <c r="FKO3" s="98"/>
      <c r="FKP3" s="98"/>
      <c r="FKQ3" s="98"/>
      <c r="FKR3" s="98"/>
      <c r="FKS3" s="98"/>
      <c r="FKT3" s="98"/>
      <c r="FKU3" s="98"/>
      <c r="FKV3" s="98"/>
      <c r="FKW3" s="98"/>
      <c r="FKX3" s="98"/>
      <c r="FKY3" s="98"/>
      <c r="FKZ3" s="98"/>
      <c r="FLA3" s="98"/>
      <c r="FLB3" s="98"/>
      <c r="FLC3" s="98"/>
      <c r="FLD3" s="98"/>
      <c r="FLE3" s="98"/>
      <c r="FLF3" s="98"/>
      <c r="FLG3" s="98"/>
      <c r="FLH3" s="98"/>
      <c r="FLI3" s="98"/>
      <c r="FLJ3" s="98"/>
      <c r="FLK3" s="98"/>
      <c r="FLL3" s="98"/>
      <c r="FLM3" s="98"/>
      <c r="FLN3" s="98"/>
      <c r="FLO3" s="98"/>
      <c r="FLP3" s="98"/>
      <c r="FLQ3" s="98"/>
      <c r="FLR3" s="98"/>
      <c r="FLS3" s="98"/>
      <c r="FLT3" s="98"/>
      <c r="FLU3" s="98"/>
      <c r="FLV3" s="98"/>
      <c r="FLW3" s="98"/>
      <c r="FLX3" s="98"/>
      <c r="FLY3" s="98"/>
      <c r="FLZ3" s="98"/>
      <c r="FMA3" s="98"/>
      <c r="FMB3" s="98"/>
      <c r="FMC3" s="98"/>
      <c r="FMD3" s="98"/>
      <c r="FME3" s="98"/>
      <c r="FMF3" s="98"/>
      <c r="FMG3" s="98"/>
      <c r="FMH3" s="98"/>
      <c r="FMI3" s="98"/>
      <c r="FMJ3" s="98"/>
      <c r="FMK3" s="98"/>
      <c r="FML3" s="98"/>
      <c r="FMM3" s="98"/>
      <c r="FMN3" s="98"/>
      <c r="FMO3" s="98"/>
      <c r="FMP3" s="98"/>
      <c r="FMQ3" s="98"/>
      <c r="FMR3" s="98"/>
      <c r="FMS3" s="98"/>
      <c r="FMT3" s="98"/>
      <c r="FMU3" s="98"/>
      <c r="FMV3" s="98"/>
      <c r="FMW3" s="98"/>
      <c r="FMX3" s="98"/>
      <c r="FMY3" s="98"/>
      <c r="FMZ3" s="98"/>
      <c r="FNA3" s="98"/>
      <c r="FNB3" s="98"/>
      <c r="FNC3" s="98"/>
      <c r="FND3" s="98"/>
      <c r="FNE3" s="98"/>
      <c r="FNF3" s="98"/>
      <c r="FNG3" s="98"/>
      <c r="FNH3" s="98"/>
      <c r="FNI3" s="98"/>
      <c r="FNJ3" s="98"/>
      <c r="FNK3" s="98"/>
      <c r="FNL3" s="98"/>
      <c r="FNM3" s="98"/>
      <c r="FNN3" s="98"/>
      <c r="FNO3" s="98"/>
      <c r="FNP3" s="98"/>
      <c r="FNQ3" s="98"/>
      <c r="FNR3" s="98"/>
      <c r="FNS3" s="98"/>
      <c r="FNT3" s="98"/>
      <c r="FNU3" s="98"/>
      <c r="FNV3" s="98"/>
      <c r="FNW3" s="98"/>
      <c r="FNX3" s="98"/>
      <c r="FNY3" s="98"/>
      <c r="FNZ3" s="98"/>
      <c r="FOA3" s="98"/>
      <c r="FOB3" s="98"/>
      <c r="FOC3" s="98"/>
      <c r="FOD3" s="98"/>
      <c r="FOE3" s="98"/>
      <c r="FOF3" s="98"/>
      <c r="FOG3" s="98"/>
      <c r="FOH3" s="98"/>
      <c r="FOI3" s="98"/>
      <c r="FOJ3" s="98"/>
      <c r="FOK3" s="98"/>
      <c r="FOL3" s="98"/>
      <c r="FOM3" s="98"/>
      <c r="FON3" s="98"/>
      <c r="FOO3" s="98"/>
      <c r="FOP3" s="98"/>
      <c r="FOQ3" s="98"/>
      <c r="FOR3" s="98"/>
      <c r="FOS3" s="98"/>
      <c r="FOT3" s="98"/>
      <c r="FOU3" s="98"/>
      <c r="FOV3" s="98"/>
      <c r="FOW3" s="98"/>
      <c r="FOX3" s="98"/>
      <c r="FOY3" s="98"/>
      <c r="FOZ3" s="98"/>
      <c r="FPA3" s="98"/>
      <c r="FPB3" s="98"/>
      <c r="FPC3" s="98"/>
      <c r="FPD3" s="98"/>
      <c r="FPE3" s="98"/>
      <c r="FPF3" s="98"/>
      <c r="FPG3" s="98"/>
      <c r="FPH3" s="98"/>
      <c r="FPI3" s="98"/>
      <c r="FPJ3" s="98"/>
      <c r="FPK3" s="98"/>
      <c r="FPL3" s="98"/>
      <c r="FPM3" s="98"/>
      <c r="FPN3" s="98"/>
      <c r="FPO3" s="98"/>
      <c r="FPP3" s="98"/>
      <c r="FPQ3" s="98"/>
      <c r="FPR3" s="98"/>
      <c r="FPS3" s="98"/>
      <c r="FPT3" s="98"/>
      <c r="FPU3" s="98"/>
      <c r="FPV3" s="98"/>
      <c r="FPW3" s="98"/>
      <c r="FPX3" s="98"/>
      <c r="FPY3" s="98"/>
      <c r="FPZ3" s="98"/>
      <c r="FQA3" s="98"/>
      <c r="FQB3" s="98"/>
      <c r="FQC3" s="98"/>
      <c r="FQD3" s="98"/>
      <c r="FQE3" s="98"/>
      <c r="FQF3" s="98"/>
      <c r="FQG3" s="98"/>
      <c r="FQH3" s="98"/>
      <c r="FQI3" s="98"/>
      <c r="FQJ3" s="98"/>
      <c r="FQK3" s="98"/>
      <c r="FQL3" s="98"/>
      <c r="FQM3" s="98"/>
      <c r="FQN3" s="98"/>
      <c r="FQO3" s="98"/>
      <c r="FQP3" s="98"/>
      <c r="FQQ3" s="98"/>
      <c r="FQR3" s="98"/>
      <c r="FQS3" s="98"/>
      <c r="FQT3" s="98"/>
      <c r="FQU3" s="98"/>
      <c r="FQV3" s="98"/>
      <c r="FQW3" s="98"/>
      <c r="FQX3" s="98"/>
      <c r="FQY3" s="98"/>
      <c r="FQZ3" s="98"/>
      <c r="FRA3" s="98"/>
      <c r="FRB3" s="98"/>
      <c r="FRC3" s="98"/>
      <c r="FRD3" s="98"/>
      <c r="FRE3" s="98"/>
      <c r="FRF3" s="98"/>
      <c r="FRG3" s="98"/>
      <c r="FRH3" s="98"/>
      <c r="FRI3" s="98"/>
      <c r="FRJ3" s="98"/>
      <c r="FRK3" s="98"/>
      <c r="FRL3" s="98"/>
      <c r="FRM3" s="98"/>
      <c r="FRN3" s="98"/>
      <c r="FRO3" s="98"/>
      <c r="FRP3" s="98"/>
      <c r="FRQ3" s="98"/>
      <c r="FRR3" s="98"/>
      <c r="FRS3" s="98"/>
      <c r="FRT3" s="98"/>
      <c r="FRU3" s="98"/>
      <c r="FRV3" s="98"/>
      <c r="FRW3" s="98"/>
      <c r="FRX3" s="98"/>
      <c r="FRY3" s="98"/>
      <c r="FRZ3" s="98"/>
      <c r="FSA3" s="98"/>
      <c r="FSB3" s="98"/>
      <c r="FSC3" s="98"/>
      <c r="FSD3" s="98"/>
      <c r="FSE3" s="98"/>
      <c r="FSF3" s="98"/>
      <c r="FSG3" s="98"/>
      <c r="FSH3" s="98"/>
      <c r="FSI3" s="98"/>
      <c r="FSJ3" s="98"/>
      <c r="FSK3" s="98"/>
      <c r="FSL3" s="98"/>
      <c r="FSM3" s="98"/>
      <c r="FSN3" s="98"/>
      <c r="FSO3" s="98"/>
      <c r="FSP3" s="98"/>
      <c r="FSQ3" s="98"/>
      <c r="FSR3" s="98"/>
      <c r="FSS3" s="98"/>
      <c r="FST3" s="98"/>
      <c r="FSU3" s="98"/>
      <c r="FSV3" s="98"/>
      <c r="FSW3" s="98"/>
      <c r="FSX3" s="98"/>
      <c r="FSY3" s="98"/>
      <c r="FSZ3" s="98"/>
      <c r="FTA3" s="98"/>
      <c r="FTB3" s="98"/>
      <c r="FTC3" s="98"/>
      <c r="FTD3" s="98"/>
      <c r="FTE3" s="98"/>
      <c r="FTF3" s="98"/>
      <c r="FTG3" s="98"/>
      <c r="FTH3" s="98"/>
      <c r="FTI3" s="98"/>
      <c r="FTJ3" s="98"/>
      <c r="FTK3" s="98"/>
      <c r="FTL3" s="98"/>
      <c r="FTM3" s="98"/>
      <c r="FTN3" s="98"/>
      <c r="FTO3" s="98"/>
      <c r="FTP3" s="98"/>
      <c r="FTQ3" s="98"/>
      <c r="FTR3" s="98"/>
      <c r="FTS3" s="98"/>
      <c r="FTT3" s="98"/>
      <c r="FTU3" s="98"/>
      <c r="FTV3" s="98"/>
      <c r="FTW3" s="98"/>
      <c r="FTX3" s="98"/>
      <c r="FTY3" s="98"/>
      <c r="FTZ3" s="98"/>
      <c r="FUA3" s="98"/>
      <c r="FUB3" s="98"/>
      <c r="FUC3" s="98"/>
      <c r="FUD3" s="98"/>
      <c r="FUE3" s="98"/>
      <c r="FUF3" s="98"/>
      <c r="FUG3" s="98"/>
      <c r="FUH3" s="98"/>
      <c r="FUI3" s="98"/>
      <c r="FUJ3" s="98"/>
      <c r="FUK3" s="98"/>
      <c r="FUL3" s="98"/>
      <c r="FUM3" s="98"/>
      <c r="FUN3" s="98"/>
      <c r="FUO3" s="98"/>
      <c r="FUP3" s="98"/>
      <c r="FUQ3" s="98"/>
      <c r="FUR3" s="98"/>
      <c r="FUS3" s="98"/>
      <c r="FUT3" s="98"/>
      <c r="FUU3" s="98"/>
      <c r="FUV3" s="98"/>
      <c r="FUW3" s="98"/>
      <c r="FUX3" s="98"/>
      <c r="FUY3" s="98"/>
      <c r="FUZ3" s="98"/>
      <c r="FVA3" s="98"/>
      <c r="FVB3" s="98"/>
      <c r="FVC3" s="98"/>
      <c r="FVD3" s="98"/>
      <c r="FVE3" s="98"/>
      <c r="FVF3" s="98"/>
      <c r="FVG3" s="98"/>
      <c r="FVH3" s="98"/>
      <c r="FVI3" s="98"/>
      <c r="FVJ3" s="98"/>
      <c r="FVK3" s="98"/>
      <c r="FVL3" s="98"/>
      <c r="FVM3" s="98"/>
      <c r="FVN3" s="98"/>
      <c r="FVO3" s="98"/>
      <c r="FVP3" s="98"/>
      <c r="FVQ3" s="98"/>
      <c r="FVR3" s="98"/>
      <c r="FVS3" s="98"/>
      <c r="FVT3" s="98"/>
      <c r="FVU3" s="98"/>
      <c r="FVV3" s="98"/>
      <c r="FVW3" s="98"/>
      <c r="FVX3" s="98"/>
      <c r="FVY3" s="98"/>
      <c r="FVZ3" s="98"/>
      <c r="FWA3" s="98"/>
      <c r="FWB3" s="98"/>
      <c r="FWC3" s="98"/>
      <c r="FWD3" s="98"/>
      <c r="FWE3" s="98"/>
      <c r="FWF3" s="98"/>
      <c r="FWG3" s="98"/>
      <c r="FWH3" s="98"/>
      <c r="FWI3" s="98"/>
      <c r="FWJ3" s="98"/>
      <c r="FWK3" s="98"/>
      <c r="FWL3" s="98"/>
      <c r="FWM3" s="98"/>
      <c r="FWN3" s="98"/>
      <c r="FWO3" s="98"/>
      <c r="FWP3" s="98"/>
      <c r="FWQ3" s="98"/>
      <c r="FWR3" s="98"/>
      <c r="FWS3" s="98"/>
      <c r="FWT3" s="98"/>
      <c r="FWU3" s="98"/>
      <c r="FWV3" s="98"/>
      <c r="FWW3" s="98"/>
      <c r="FWX3" s="98"/>
      <c r="FWY3" s="98"/>
      <c r="FWZ3" s="98"/>
      <c r="FXA3" s="98"/>
      <c r="FXB3" s="98"/>
      <c r="FXC3" s="98"/>
      <c r="FXD3" s="98"/>
      <c r="FXE3" s="98"/>
      <c r="FXF3" s="98"/>
      <c r="FXG3" s="98"/>
      <c r="FXH3" s="98"/>
      <c r="FXI3" s="98"/>
      <c r="FXJ3" s="98"/>
      <c r="FXK3" s="98"/>
      <c r="FXL3" s="98"/>
      <c r="FXM3" s="98"/>
      <c r="FXN3" s="98"/>
      <c r="FXO3" s="98"/>
      <c r="FXP3" s="98"/>
      <c r="FXQ3" s="98"/>
      <c r="FXR3" s="98"/>
      <c r="FXS3" s="98"/>
      <c r="FXT3" s="98"/>
      <c r="FXU3" s="98"/>
      <c r="FXV3" s="98"/>
      <c r="FXW3" s="98"/>
      <c r="FXX3" s="98"/>
      <c r="FXY3" s="98"/>
      <c r="FXZ3" s="98"/>
      <c r="FYA3" s="98"/>
      <c r="FYB3" s="98"/>
      <c r="FYC3" s="98"/>
      <c r="FYD3" s="98"/>
      <c r="FYE3" s="98"/>
      <c r="FYF3" s="98"/>
      <c r="FYG3" s="98"/>
      <c r="FYH3" s="98"/>
      <c r="FYI3" s="98"/>
      <c r="FYJ3" s="98"/>
      <c r="FYK3" s="98"/>
      <c r="FYL3" s="98"/>
      <c r="FYM3" s="98"/>
      <c r="FYN3" s="98"/>
      <c r="FYO3" s="98"/>
      <c r="FYP3" s="98"/>
      <c r="FYQ3" s="98"/>
      <c r="FYR3" s="98"/>
      <c r="FYS3" s="98"/>
      <c r="FYT3" s="98"/>
      <c r="FYU3" s="98"/>
      <c r="FYV3" s="98"/>
      <c r="FYW3" s="98"/>
      <c r="FYX3" s="98"/>
      <c r="FYY3" s="98"/>
      <c r="FYZ3" s="98"/>
      <c r="FZA3" s="98"/>
      <c r="FZB3" s="98"/>
      <c r="FZC3" s="98"/>
      <c r="FZD3" s="98"/>
      <c r="FZE3" s="98"/>
      <c r="FZF3" s="98"/>
      <c r="FZG3" s="98"/>
      <c r="FZH3" s="98"/>
      <c r="FZI3" s="98"/>
      <c r="FZJ3" s="98"/>
      <c r="FZK3" s="98"/>
      <c r="FZL3" s="98"/>
      <c r="FZM3" s="98"/>
      <c r="FZN3" s="98"/>
      <c r="FZO3" s="98"/>
      <c r="FZP3" s="98"/>
      <c r="FZQ3" s="98"/>
      <c r="FZR3" s="98"/>
      <c r="FZS3" s="98"/>
      <c r="FZT3" s="98"/>
      <c r="FZU3" s="98"/>
      <c r="FZV3" s="98"/>
      <c r="FZW3" s="98"/>
      <c r="FZX3" s="98"/>
      <c r="FZY3" s="98"/>
      <c r="FZZ3" s="98"/>
      <c r="GAA3" s="98"/>
      <c r="GAB3" s="98"/>
      <c r="GAC3" s="98"/>
      <c r="GAD3" s="98"/>
      <c r="GAE3" s="98"/>
      <c r="GAF3" s="98"/>
      <c r="GAG3" s="98"/>
      <c r="GAH3" s="98"/>
      <c r="GAI3" s="98"/>
      <c r="GAJ3" s="98"/>
      <c r="GAK3" s="98"/>
      <c r="GAL3" s="98"/>
      <c r="GAM3" s="98"/>
      <c r="GAN3" s="98"/>
      <c r="GAO3" s="98"/>
      <c r="GAP3" s="98"/>
      <c r="GAQ3" s="98"/>
      <c r="GAR3" s="98"/>
      <c r="GAS3" s="98"/>
      <c r="GAT3" s="98"/>
      <c r="GAU3" s="98"/>
      <c r="GAV3" s="98"/>
      <c r="GAW3" s="98"/>
      <c r="GAX3" s="98"/>
      <c r="GAY3" s="98"/>
      <c r="GAZ3" s="98"/>
      <c r="GBA3" s="98"/>
      <c r="GBB3" s="98"/>
      <c r="GBC3" s="98"/>
      <c r="GBD3" s="98"/>
      <c r="GBE3" s="98"/>
      <c r="GBF3" s="98"/>
      <c r="GBG3" s="98"/>
      <c r="GBH3" s="98"/>
      <c r="GBI3" s="98"/>
      <c r="GBJ3" s="98"/>
      <c r="GBK3" s="98"/>
      <c r="GBL3" s="98"/>
      <c r="GBM3" s="98"/>
      <c r="GBN3" s="98"/>
      <c r="GBO3" s="98"/>
      <c r="GBP3" s="98"/>
      <c r="GBQ3" s="98"/>
      <c r="GBR3" s="98"/>
      <c r="GBS3" s="98"/>
      <c r="GBT3" s="98"/>
      <c r="GBU3" s="98"/>
      <c r="GBV3" s="98"/>
      <c r="GBW3" s="98"/>
      <c r="GBX3" s="98"/>
      <c r="GBY3" s="98"/>
      <c r="GBZ3" s="98"/>
      <c r="GCA3" s="98"/>
      <c r="GCB3" s="98"/>
      <c r="GCC3" s="98"/>
      <c r="GCD3" s="98"/>
      <c r="GCE3" s="98"/>
      <c r="GCF3" s="98"/>
      <c r="GCG3" s="98"/>
      <c r="GCH3" s="98"/>
      <c r="GCI3" s="98"/>
      <c r="GCJ3" s="98"/>
      <c r="GCK3" s="98"/>
      <c r="GCL3" s="98"/>
      <c r="GCM3" s="98"/>
      <c r="GCN3" s="98"/>
      <c r="GCO3" s="98"/>
      <c r="GCP3" s="98"/>
      <c r="GCQ3" s="98"/>
      <c r="GCR3" s="98"/>
      <c r="GCS3" s="98"/>
      <c r="GCT3" s="98"/>
      <c r="GCU3" s="98"/>
      <c r="GCV3" s="98"/>
      <c r="GCW3" s="98"/>
      <c r="GCX3" s="98"/>
      <c r="GCY3" s="98"/>
      <c r="GCZ3" s="98"/>
      <c r="GDA3" s="98"/>
      <c r="GDB3" s="98"/>
      <c r="GDC3" s="98"/>
      <c r="GDD3" s="98"/>
      <c r="GDE3" s="98"/>
      <c r="GDF3" s="98"/>
      <c r="GDG3" s="98"/>
      <c r="GDH3" s="98"/>
      <c r="GDI3" s="98"/>
      <c r="GDJ3" s="98"/>
      <c r="GDK3" s="98"/>
      <c r="GDL3" s="98"/>
      <c r="GDM3" s="98"/>
      <c r="GDN3" s="98"/>
      <c r="GDO3" s="98"/>
      <c r="GDP3" s="98"/>
      <c r="GDQ3" s="98"/>
      <c r="GDR3" s="98"/>
      <c r="GDS3" s="98"/>
      <c r="GDT3" s="98"/>
      <c r="GDU3" s="98"/>
      <c r="GDV3" s="98"/>
      <c r="GDW3" s="98"/>
      <c r="GDX3" s="98"/>
      <c r="GDY3" s="98"/>
      <c r="GDZ3" s="98"/>
      <c r="GEA3" s="98"/>
      <c r="GEB3" s="98"/>
      <c r="GEC3" s="98"/>
      <c r="GED3" s="98"/>
      <c r="GEE3" s="98"/>
      <c r="GEF3" s="98"/>
      <c r="GEG3" s="98"/>
      <c r="GEH3" s="98"/>
      <c r="GEI3" s="98"/>
      <c r="GEJ3" s="98"/>
      <c r="GEK3" s="98"/>
      <c r="GEL3" s="98"/>
      <c r="GEM3" s="98"/>
      <c r="GEN3" s="98"/>
      <c r="GEO3" s="98"/>
      <c r="GEP3" s="98"/>
      <c r="GEQ3" s="98"/>
      <c r="GER3" s="98"/>
      <c r="GES3" s="98"/>
      <c r="GET3" s="98"/>
      <c r="GEU3" s="98"/>
      <c r="GEV3" s="98"/>
      <c r="GEW3" s="98"/>
      <c r="GEX3" s="98"/>
      <c r="GEY3" s="98"/>
      <c r="GEZ3" s="98"/>
      <c r="GFA3" s="98"/>
      <c r="GFB3" s="98"/>
      <c r="GFC3" s="98"/>
      <c r="GFD3" s="98"/>
      <c r="GFE3" s="98"/>
      <c r="GFF3" s="98"/>
      <c r="GFG3" s="98"/>
      <c r="GFH3" s="98"/>
      <c r="GFI3" s="98"/>
      <c r="GFJ3" s="98"/>
      <c r="GFK3" s="98"/>
      <c r="GFL3" s="98"/>
      <c r="GFM3" s="98"/>
      <c r="GFN3" s="98"/>
      <c r="GFO3" s="98"/>
      <c r="GFP3" s="98"/>
      <c r="GFQ3" s="98"/>
      <c r="GFR3" s="98"/>
      <c r="GFS3" s="98"/>
      <c r="GFT3" s="98"/>
      <c r="GFU3" s="98"/>
      <c r="GFV3" s="98"/>
      <c r="GFW3" s="98"/>
      <c r="GFX3" s="98"/>
      <c r="GFY3" s="98"/>
      <c r="GFZ3" s="98"/>
      <c r="GGA3" s="98"/>
      <c r="GGB3" s="98"/>
      <c r="GGC3" s="98"/>
      <c r="GGD3" s="98"/>
      <c r="GGE3" s="98"/>
      <c r="GGF3" s="98"/>
      <c r="GGG3" s="98"/>
      <c r="GGH3" s="98"/>
      <c r="GGI3" s="98"/>
      <c r="GGJ3" s="98"/>
      <c r="GGK3" s="98"/>
      <c r="GGL3" s="98"/>
      <c r="GGM3" s="98"/>
      <c r="GGN3" s="98"/>
      <c r="GGO3" s="98"/>
      <c r="GGP3" s="98"/>
      <c r="GGQ3" s="98"/>
      <c r="GGR3" s="98"/>
      <c r="GGS3" s="98"/>
      <c r="GGT3" s="98"/>
      <c r="GGU3" s="98"/>
      <c r="GGV3" s="98"/>
      <c r="GGW3" s="98"/>
      <c r="GGX3" s="98"/>
      <c r="GGY3" s="98"/>
      <c r="GGZ3" s="98"/>
      <c r="GHA3" s="98"/>
      <c r="GHB3" s="98"/>
      <c r="GHC3" s="98"/>
      <c r="GHD3" s="98"/>
      <c r="GHE3" s="98"/>
      <c r="GHF3" s="98"/>
      <c r="GHG3" s="98"/>
      <c r="GHH3" s="98"/>
      <c r="GHI3" s="98"/>
      <c r="GHJ3" s="98"/>
      <c r="GHK3" s="98"/>
      <c r="GHL3" s="98"/>
      <c r="GHM3" s="98"/>
      <c r="GHN3" s="98"/>
      <c r="GHO3" s="98"/>
      <c r="GHP3" s="98"/>
      <c r="GHQ3" s="98"/>
      <c r="GHR3" s="98"/>
      <c r="GHS3" s="98"/>
      <c r="GHT3" s="98"/>
      <c r="GHU3" s="98"/>
      <c r="GHV3" s="98"/>
      <c r="GHW3" s="98"/>
      <c r="GHX3" s="98"/>
      <c r="GHY3" s="98"/>
      <c r="GHZ3" s="98"/>
      <c r="GIA3" s="98"/>
      <c r="GIB3" s="98"/>
      <c r="GIC3" s="98"/>
      <c r="GID3" s="98"/>
      <c r="GIE3" s="98"/>
      <c r="GIF3" s="98"/>
      <c r="GIG3" s="98"/>
      <c r="GIH3" s="98"/>
      <c r="GII3" s="98"/>
      <c r="GIJ3" s="98"/>
      <c r="GIK3" s="98"/>
      <c r="GIL3" s="98"/>
      <c r="GIM3" s="98"/>
      <c r="GIN3" s="98"/>
      <c r="GIO3" s="98"/>
      <c r="GIP3" s="98"/>
      <c r="GIQ3" s="98"/>
      <c r="GIR3" s="98"/>
      <c r="GIS3" s="98"/>
      <c r="GIT3" s="98"/>
      <c r="GIU3" s="98"/>
      <c r="GIV3" s="98"/>
      <c r="GIW3" s="98"/>
      <c r="GIX3" s="98"/>
      <c r="GIY3" s="98"/>
      <c r="GIZ3" s="98"/>
      <c r="GJA3" s="98"/>
      <c r="GJB3" s="98"/>
      <c r="GJC3" s="98"/>
      <c r="GJD3" s="98"/>
      <c r="GJE3" s="98"/>
      <c r="GJF3" s="98"/>
      <c r="GJG3" s="98"/>
      <c r="GJH3" s="98"/>
      <c r="GJI3" s="98"/>
      <c r="GJJ3" s="98"/>
      <c r="GJK3" s="98"/>
      <c r="GJL3" s="98"/>
      <c r="GJM3" s="98"/>
      <c r="GJN3" s="98"/>
      <c r="GJO3" s="98"/>
      <c r="GJP3" s="98"/>
      <c r="GJQ3" s="98"/>
      <c r="GJR3" s="98"/>
      <c r="GJS3" s="98"/>
      <c r="GJT3" s="98"/>
      <c r="GJU3" s="98"/>
      <c r="GJV3" s="98"/>
      <c r="GJW3" s="98"/>
      <c r="GJX3" s="98"/>
      <c r="GJY3" s="98"/>
      <c r="GJZ3" s="98"/>
      <c r="GKA3" s="98"/>
      <c r="GKB3" s="98"/>
      <c r="GKC3" s="98"/>
      <c r="GKD3" s="98"/>
      <c r="GKE3" s="98"/>
      <c r="GKF3" s="98"/>
      <c r="GKG3" s="98"/>
      <c r="GKH3" s="98"/>
      <c r="GKI3" s="98"/>
      <c r="GKJ3" s="98"/>
      <c r="GKK3" s="98"/>
      <c r="GKL3" s="98"/>
      <c r="GKM3" s="98"/>
      <c r="GKN3" s="98"/>
      <c r="GKO3" s="98"/>
      <c r="GKP3" s="98"/>
      <c r="GKQ3" s="98"/>
      <c r="GKR3" s="98"/>
      <c r="GKS3" s="98"/>
      <c r="GKT3" s="98"/>
      <c r="GKU3" s="98"/>
      <c r="GKV3" s="98"/>
      <c r="GKW3" s="98"/>
      <c r="GKX3" s="98"/>
      <c r="GKY3" s="98"/>
      <c r="GKZ3" s="98"/>
      <c r="GLA3" s="98"/>
      <c r="GLB3" s="98"/>
      <c r="GLC3" s="98"/>
      <c r="GLD3" s="98"/>
      <c r="GLE3" s="98"/>
      <c r="GLF3" s="98"/>
      <c r="GLG3" s="98"/>
      <c r="GLH3" s="98"/>
      <c r="GLI3" s="98"/>
      <c r="GLJ3" s="98"/>
      <c r="GLK3" s="98"/>
      <c r="GLL3" s="98"/>
      <c r="GLM3" s="98"/>
      <c r="GLN3" s="98"/>
      <c r="GLO3" s="98"/>
      <c r="GLP3" s="98"/>
      <c r="GLQ3" s="98"/>
      <c r="GLR3" s="98"/>
      <c r="GLS3" s="98"/>
      <c r="GLT3" s="98"/>
      <c r="GLU3" s="98"/>
      <c r="GLV3" s="98"/>
      <c r="GLW3" s="98"/>
      <c r="GLX3" s="98"/>
      <c r="GLY3" s="98"/>
      <c r="GLZ3" s="98"/>
      <c r="GMA3" s="98"/>
      <c r="GMB3" s="98"/>
      <c r="GMC3" s="98"/>
      <c r="GMD3" s="98"/>
      <c r="GME3" s="98"/>
      <c r="GMF3" s="98"/>
      <c r="GMG3" s="98"/>
      <c r="GMH3" s="98"/>
      <c r="GMI3" s="98"/>
      <c r="GMJ3" s="98"/>
      <c r="GMK3" s="98"/>
      <c r="GML3" s="98"/>
      <c r="GMM3" s="98"/>
      <c r="GMN3" s="98"/>
      <c r="GMO3" s="98"/>
      <c r="GMP3" s="98"/>
      <c r="GMQ3" s="98"/>
      <c r="GMR3" s="98"/>
      <c r="GMS3" s="98"/>
      <c r="GMT3" s="98"/>
      <c r="GMU3" s="98"/>
      <c r="GMV3" s="98"/>
      <c r="GMW3" s="98"/>
      <c r="GMX3" s="98"/>
      <c r="GMY3" s="98"/>
      <c r="GMZ3" s="98"/>
      <c r="GNA3" s="98"/>
      <c r="GNB3" s="98"/>
      <c r="GNC3" s="98"/>
      <c r="GND3" s="98"/>
      <c r="GNE3" s="98"/>
      <c r="GNF3" s="98"/>
      <c r="GNG3" s="98"/>
      <c r="GNH3" s="98"/>
      <c r="GNI3" s="98"/>
      <c r="GNJ3" s="98"/>
      <c r="GNK3" s="98"/>
      <c r="GNL3" s="98"/>
      <c r="GNM3" s="98"/>
      <c r="GNN3" s="98"/>
      <c r="GNO3" s="98"/>
      <c r="GNP3" s="98"/>
      <c r="GNQ3" s="98"/>
      <c r="GNR3" s="98"/>
      <c r="GNS3" s="98"/>
      <c r="GNT3" s="98"/>
      <c r="GNU3" s="98"/>
      <c r="GNV3" s="98"/>
      <c r="GNW3" s="98"/>
      <c r="GNX3" s="98"/>
      <c r="GNY3" s="98"/>
      <c r="GNZ3" s="98"/>
      <c r="GOA3" s="98"/>
      <c r="GOB3" s="98"/>
      <c r="GOC3" s="98"/>
      <c r="GOD3" s="98"/>
      <c r="GOE3" s="98"/>
      <c r="GOF3" s="98"/>
      <c r="GOG3" s="98"/>
      <c r="GOH3" s="98"/>
      <c r="GOI3" s="98"/>
      <c r="GOJ3" s="98"/>
      <c r="GOK3" s="98"/>
      <c r="GOL3" s="98"/>
      <c r="GOM3" s="98"/>
      <c r="GON3" s="98"/>
      <c r="GOO3" s="98"/>
      <c r="GOP3" s="98"/>
      <c r="GOQ3" s="98"/>
      <c r="GOR3" s="98"/>
      <c r="GOS3" s="98"/>
      <c r="GOT3" s="98"/>
      <c r="GOU3" s="98"/>
      <c r="GOV3" s="98"/>
      <c r="GOW3" s="98"/>
      <c r="GOX3" s="98"/>
      <c r="GOY3" s="98"/>
      <c r="GOZ3" s="98"/>
      <c r="GPA3" s="98"/>
      <c r="GPB3" s="98"/>
      <c r="GPC3" s="98"/>
      <c r="GPD3" s="98"/>
      <c r="GPE3" s="98"/>
      <c r="GPF3" s="98"/>
      <c r="GPG3" s="98"/>
      <c r="GPH3" s="98"/>
      <c r="GPI3" s="98"/>
      <c r="GPJ3" s="98"/>
      <c r="GPK3" s="98"/>
      <c r="GPL3" s="98"/>
      <c r="GPM3" s="98"/>
      <c r="GPN3" s="98"/>
      <c r="GPO3" s="98"/>
      <c r="GPP3" s="98"/>
      <c r="GPQ3" s="98"/>
      <c r="GPR3" s="98"/>
      <c r="GPS3" s="98"/>
      <c r="GPT3" s="98"/>
      <c r="GPU3" s="98"/>
      <c r="GPV3" s="98"/>
      <c r="GPW3" s="98"/>
      <c r="GPX3" s="98"/>
      <c r="GPY3" s="98"/>
      <c r="GPZ3" s="98"/>
      <c r="GQA3" s="98"/>
      <c r="GQB3" s="98"/>
      <c r="GQC3" s="98"/>
      <c r="GQD3" s="98"/>
      <c r="GQE3" s="98"/>
      <c r="GQF3" s="98"/>
      <c r="GQG3" s="98"/>
      <c r="GQH3" s="98"/>
      <c r="GQI3" s="98"/>
      <c r="GQJ3" s="98"/>
      <c r="GQK3" s="98"/>
      <c r="GQL3" s="98"/>
      <c r="GQM3" s="98"/>
      <c r="GQN3" s="98"/>
      <c r="GQO3" s="98"/>
      <c r="GQP3" s="98"/>
      <c r="GQQ3" s="98"/>
      <c r="GQR3" s="98"/>
      <c r="GQS3" s="98"/>
      <c r="GQT3" s="98"/>
      <c r="GQU3" s="98"/>
      <c r="GQV3" s="98"/>
      <c r="GQW3" s="98"/>
      <c r="GQX3" s="98"/>
      <c r="GQY3" s="98"/>
      <c r="GQZ3" s="98"/>
      <c r="GRA3" s="98"/>
      <c r="GRB3" s="98"/>
      <c r="GRC3" s="98"/>
      <c r="GRD3" s="98"/>
      <c r="GRE3" s="98"/>
      <c r="GRF3" s="98"/>
      <c r="GRG3" s="98"/>
      <c r="GRH3" s="98"/>
      <c r="GRI3" s="98"/>
      <c r="GRJ3" s="98"/>
      <c r="GRK3" s="98"/>
      <c r="GRL3" s="98"/>
      <c r="GRM3" s="98"/>
      <c r="GRN3" s="98"/>
      <c r="GRO3" s="98"/>
      <c r="GRP3" s="98"/>
      <c r="GRQ3" s="98"/>
      <c r="GRR3" s="98"/>
      <c r="GRS3" s="98"/>
      <c r="GRT3" s="98"/>
      <c r="GRU3" s="98"/>
      <c r="GRV3" s="98"/>
      <c r="GRW3" s="98"/>
      <c r="GRX3" s="98"/>
      <c r="GRY3" s="98"/>
      <c r="GRZ3" s="98"/>
      <c r="GSA3" s="98"/>
      <c r="GSB3" s="98"/>
      <c r="GSC3" s="98"/>
      <c r="GSD3" s="98"/>
      <c r="GSE3" s="98"/>
      <c r="GSF3" s="98"/>
      <c r="GSG3" s="98"/>
      <c r="GSH3" s="98"/>
      <c r="GSI3" s="98"/>
      <c r="GSJ3" s="98"/>
      <c r="GSK3" s="98"/>
      <c r="GSL3" s="98"/>
      <c r="GSM3" s="98"/>
      <c r="GSN3" s="98"/>
      <c r="GSO3" s="98"/>
      <c r="GSP3" s="98"/>
      <c r="GSQ3" s="98"/>
      <c r="GSR3" s="98"/>
      <c r="GSS3" s="98"/>
      <c r="GST3" s="98"/>
      <c r="GSU3" s="98"/>
      <c r="GSV3" s="98"/>
      <c r="GSW3" s="98"/>
      <c r="GSX3" s="98"/>
      <c r="GSY3" s="98"/>
      <c r="GSZ3" s="98"/>
      <c r="GTA3" s="98"/>
      <c r="GTB3" s="98"/>
      <c r="GTC3" s="98"/>
      <c r="GTD3" s="98"/>
      <c r="GTE3" s="98"/>
      <c r="GTF3" s="98"/>
      <c r="GTG3" s="98"/>
      <c r="GTH3" s="98"/>
      <c r="GTI3" s="98"/>
      <c r="GTJ3" s="98"/>
      <c r="GTK3" s="98"/>
      <c r="GTL3" s="98"/>
      <c r="GTM3" s="98"/>
      <c r="GTN3" s="98"/>
      <c r="GTO3" s="98"/>
      <c r="GTP3" s="98"/>
      <c r="GTQ3" s="98"/>
      <c r="GTR3" s="98"/>
      <c r="GTS3" s="98"/>
      <c r="GTT3" s="98"/>
      <c r="GTU3" s="98"/>
      <c r="GTV3" s="98"/>
      <c r="GTW3" s="98"/>
      <c r="GTX3" s="98"/>
      <c r="GTY3" s="98"/>
      <c r="GTZ3" s="98"/>
      <c r="GUA3" s="98"/>
      <c r="GUB3" s="98"/>
      <c r="GUC3" s="98"/>
      <c r="GUD3" s="98"/>
      <c r="GUE3" s="98"/>
      <c r="GUF3" s="98"/>
      <c r="GUG3" s="98"/>
      <c r="GUH3" s="98"/>
      <c r="GUI3" s="98"/>
      <c r="GUJ3" s="98"/>
      <c r="GUK3" s="98"/>
      <c r="GUL3" s="98"/>
      <c r="GUM3" s="98"/>
      <c r="GUN3" s="98"/>
      <c r="GUO3" s="98"/>
      <c r="GUP3" s="98"/>
      <c r="GUQ3" s="98"/>
      <c r="GUR3" s="98"/>
      <c r="GUS3" s="98"/>
      <c r="GUT3" s="98"/>
      <c r="GUU3" s="98"/>
      <c r="GUV3" s="98"/>
      <c r="GUW3" s="98"/>
      <c r="GUX3" s="98"/>
      <c r="GUY3" s="98"/>
      <c r="GUZ3" s="98"/>
      <c r="GVA3" s="98"/>
      <c r="GVB3" s="98"/>
      <c r="GVC3" s="98"/>
      <c r="GVD3" s="98"/>
      <c r="GVE3" s="98"/>
      <c r="GVF3" s="98"/>
      <c r="GVG3" s="98"/>
      <c r="GVH3" s="98"/>
      <c r="GVI3" s="98"/>
      <c r="GVJ3" s="98"/>
      <c r="GVK3" s="98"/>
      <c r="GVL3" s="98"/>
      <c r="GVM3" s="98"/>
      <c r="GVN3" s="98"/>
      <c r="GVO3" s="98"/>
      <c r="GVP3" s="98"/>
      <c r="GVQ3" s="98"/>
      <c r="GVR3" s="98"/>
      <c r="GVS3" s="98"/>
      <c r="GVT3" s="98"/>
      <c r="GVU3" s="98"/>
      <c r="GVV3" s="98"/>
      <c r="GVW3" s="98"/>
      <c r="GVX3" s="98"/>
      <c r="GVY3" s="98"/>
      <c r="GVZ3" s="98"/>
      <c r="GWA3" s="98"/>
      <c r="GWB3" s="98"/>
      <c r="GWC3" s="98"/>
      <c r="GWD3" s="98"/>
      <c r="GWE3" s="98"/>
      <c r="GWF3" s="98"/>
      <c r="GWG3" s="98"/>
      <c r="GWH3" s="98"/>
      <c r="GWI3" s="98"/>
      <c r="GWJ3" s="98"/>
      <c r="GWK3" s="98"/>
      <c r="GWL3" s="98"/>
      <c r="GWM3" s="98"/>
      <c r="GWN3" s="98"/>
      <c r="GWO3" s="98"/>
      <c r="GWP3" s="98"/>
      <c r="GWQ3" s="98"/>
      <c r="GWR3" s="98"/>
      <c r="GWS3" s="98"/>
      <c r="GWT3" s="98"/>
      <c r="GWU3" s="98"/>
      <c r="GWV3" s="98"/>
      <c r="GWW3" s="98"/>
      <c r="GWX3" s="98"/>
      <c r="GWY3" s="98"/>
      <c r="GWZ3" s="98"/>
      <c r="GXA3" s="98"/>
      <c r="GXB3" s="98"/>
      <c r="GXC3" s="98"/>
      <c r="GXD3" s="98"/>
      <c r="GXE3" s="98"/>
      <c r="GXF3" s="98"/>
      <c r="GXG3" s="98"/>
      <c r="GXH3" s="98"/>
      <c r="GXI3" s="98"/>
      <c r="GXJ3" s="98"/>
      <c r="GXK3" s="98"/>
      <c r="GXL3" s="98"/>
      <c r="GXM3" s="98"/>
      <c r="GXN3" s="98"/>
      <c r="GXO3" s="98"/>
      <c r="GXP3" s="98"/>
      <c r="GXQ3" s="98"/>
      <c r="GXR3" s="98"/>
      <c r="GXS3" s="98"/>
      <c r="GXT3" s="98"/>
      <c r="GXU3" s="98"/>
      <c r="GXV3" s="98"/>
      <c r="GXW3" s="98"/>
      <c r="GXX3" s="98"/>
      <c r="GXY3" s="98"/>
      <c r="GXZ3" s="98"/>
      <c r="GYA3" s="98"/>
      <c r="GYB3" s="98"/>
      <c r="GYC3" s="98"/>
      <c r="GYD3" s="98"/>
      <c r="GYE3" s="98"/>
      <c r="GYF3" s="98"/>
      <c r="GYG3" s="98"/>
      <c r="GYH3" s="98"/>
      <c r="GYI3" s="98"/>
      <c r="GYJ3" s="98"/>
      <c r="GYK3" s="98"/>
      <c r="GYL3" s="98"/>
      <c r="GYM3" s="98"/>
      <c r="GYN3" s="98"/>
      <c r="GYO3" s="98"/>
      <c r="GYP3" s="98"/>
      <c r="GYQ3" s="98"/>
      <c r="GYR3" s="98"/>
      <c r="GYS3" s="98"/>
      <c r="GYT3" s="98"/>
      <c r="GYU3" s="98"/>
      <c r="GYV3" s="98"/>
      <c r="GYW3" s="98"/>
      <c r="GYX3" s="98"/>
      <c r="GYY3" s="98"/>
      <c r="GYZ3" s="98"/>
      <c r="GZA3" s="98"/>
      <c r="GZB3" s="98"/>
      <c r="GZC3" s="98"/>
      <c r="GZD3" s="98"/>
      <c r="GZE3" s="98"/>
      <c r="GZF3" s="98"/>
      <c r="GZG3" s="98"/>
      <c r="GZH3" s="98"/>
      <c r="GZI3" s="98"/>
      <c r="GZJ3" s="98"/>
      <c r="GZK3" s="98"/>
      <c r="GZL3" s="98"/>
      <c r="GZM3" s="98"/>
      <c r="GZN3" s="98"/>
      <c r="GZO3" s="98"/>
      <c r="GZP3" s="98"/>
      <c r="GZQ3" s="98"/>
      <c r="GZR3" s="98"/>
      <c r="GZS3" s="98"/>
      <c r="GZT3" s="98"/>
      <c r="GZU3" s="98"/>
      <c r="GZV3" s="98"/>
      <c r="GZW3" s="98"/>
      <c r="GZX3" s="98"/>
      <c r="GZY3" s="98"/>
      <c r="GZZ3" s="98"/>
      <c r="HAA3" s="98"/>
      <c r="HAB3" s="98"/>
      <c r="HAC3" s="98"/>
      <c r="HAD3" s="98"/>
      <c r="HAE3" s="98"/>
      <c r="HAF3" s="98"/>
      <c r="HAG3" s="98"/>
      <c r="HAH3" s="98"/>
      <c r="HAI3" s="98"/>
      <c r="HAJ3" s="98"/>
      <c r="HAK3" s="98"/>
      <c r="HAL3" s="98"/>
      <c r="HAM3" s="98"/>
      <c r="HAN3" s="98"/>
      <c r="HAO3" s="98"/>
      <c r="HAP3" s="98"/>
      <c r="HAQ3" s="98"/>
      <c r="HAR3" s="98"/>
      <c r="HAS3" s="98"/>
      <c r="HAT3" s="98"/>
      <c r="HAU3" s="98"/>
      <c r="HAV3" s="98"/>
      <c r="HAW3" s="98"/>
      <c r="HAX3" s="98"/>
      <c r="HAY3" s="98"/>
      <c r="HAZ3" s="98"/>
      <c r="HBA3" s="98"/>
      <c r="HBB3" s="98"/>
      <c r="HBC3" s="98"/>
      <c r="HBD3" s="98"/>
      <c r="HBE3" s="98"/>
      <c r="HBF3" s="98"/>
      <c r="HBG3" s="98"/>
      <c r="HBH3" s="98"/>
      <c r="HBI3" s="98"/>
      <c r="HBJ3" s="98"/>
      <c r="HBK3" s="98"/>
      <c r="HBL3" s="98"/>
      <c r="HBM3" s="98"/>
      <c r="HBN3" s="98"/>
      <c r="HBO3" s="98"/>
      <c r="HBP3" s="98"/>
      <c r="HBQ3" s="98"/>
      <c r="HBR3" s="98"/>
      <c r="HBS3" s="98"/>
      <c r="HBT3" s="98"/>
      <c r="HBU3" s="98"/>
      <c r="HBV3" s="98"/>
      <c r="HBW3" s="98"/>
      <c r="HBX3" s="98"/>
      <c r="HBY3" s="98"/>
      <c r="HBZ3" s="98"/>
      <c r="HCA3" s="98"/>
      <c r="HCB3" s="98"/>
      <c r="HCC3" s="98"/>
      <c r="HCD3" s="98"/>
      <c r="HCE3" s="98"/>
      <c r="HCF3" s="98"/>
      <c r="HCG3" s="98"/>
      <c r="HCH3" s="98"/>
      <c r="HCI3" s="98"/>
      <c r="HCJ3" s="98"/>
      <c r="HCK3" s="98"/>
      <c r="HCL3" s="98"/>
      <c r="HCM3" s="98"/>
      <c r="HCN3" s="98"/>
      <c r="HCO3" s="98"/>
      <c r="HCP3" s="98"/>
      <c r="HCQ3" s="98"/>
      <c r="HCR3" s="98"/>
      <c r="HCS3" s="98"/>
      <c r="HCT3" s="98"/>
      <c r="HCU3" s="98"/>
      <c r="HCV3" s="98"/>
      <c r="HCW3" s="98"/>
      <c r="HCX3" s="98"/>
      <c r="HCY3" s="98"/>
      <c r="HCZ3" s="98"/>
      <c r="HDA3" s="98"/>
      <c r="HDB3" s="98"/>
      <c r="HDC3" s="98"/>
      <c r="HDD3" s="98"/>
      <c r="HDE3" s="98"/>
      <c r="HDF3" s="98"/>
      <c r="HDG3" s="98"/>
      <c r="HDH3" s="98"/>
      <c r="HDI3" s="98"/>
      <c r="HDJ3" s="98"/>
      <c r="HDK3" s="98"/>
      <c r="HDL3" s="98"/>
      <c r="HDM3" s="98"/>
      <c r="HDN3" s="98"/>
      <c r="HDO3" s="98"/>
      <c r="HDP3" s="98"/>
      <c r="HDQ3" s="98"/>
      <c r="HDR3" s="98"/>
      <c r="HDS3" s="98"/>
      <c r="HDT3" s="98"/>
      <c r="HDU3" s="98"/>
      <c r="HDV3" s="98"/>
      <c r="HDW3" s="98"/>
      <c r="HDX3" s="98"/>
      <c r="HDY3" s="98"/>
      <c r="HDZ3" s="98"/>
      <c r="HEA3" s="98"/>
      <c r="HEB3" s="98"/>
      <c r="HEC3" s="98"/>
      <c r="HED3" s="98"/>
      <c r="HEE3" s="98"/>
      <c r="HEF3" s="98"/>
      <c r="HEG3" s="98"/>
      <c r="HEH3" s="98"/>
      <c r="HEI3" s="98"/>
      <c r="HEJ3" s="98"/>
      <c r="HEK3" s="98"/>
      <c r="HEL3" s="98"/>
      <c r="HEM3" s="98"/>
      <c r="HEN3" s="98"/>
      <c r="HEO3" s="98"/>
      <c r="HEP3" s="98"/>
      <c r="HEQ3" s="98"/>
      <c r="HER3" s="98"/>
      <c r="HES3" s="98"/>
      <c r="HET3" s="98"/>
      <c r="HEU3" s="98"/>
      <c r="HEV3" s="98"/>
      <c r="HEW3" s="98"/>
      <c r="HEX3" s="98"/>
      <c r="HEY3" s="98"/>
      <c r="HEZ3" s="98"/>
      <c r="HFA3" s="98"/>
      <c r="HFB3" s="98"/>
      <c r="HFC3" s="98"/>
      <c r="HFD3" s="98"/>
      <c r="HFE3" s="98"/>
      <c r="HFF3" s="98"/>
      <c r="HFG3" s="98"/>
      <c r="HFH3" s="98"/>
      <c r="HFI3" s="98"/>
      <c r="HFJ3" s="98"/>
      <c r="HFK3" s="98"/>
      <c r="HFL3" s="98"/>
      <c r="HFM3" s="98"/>
      <c r="HFN3" s="98"/>
      <c r="HFO3" s="98"/>
      <c r="HFP3" s="98"/>
      <c r="HFQ3" s="98"/>
      <c r="HFR3" s="98"/>
      <c r="HFS3" s="98"/>
      <c r="HFT3" s="98"/>
      <c r="HFU3" s="98"/>
      <c r="HFV3" s="98"/>
      <c r="HFW3" s="98"/>
      <c r="HFX3" s="98"/>
      <c r="HFY3" s="98"/>
      <c r="HFZ3" s="98"/>
      <c r="HGA3" s="98"/>
      <c r="HGB3" s="98"/>
      <c r="HGC3" s="98"/>
      <c r="HGD3" s="98"/>
      <c r="HGE3" s="98"/>
      <c r="HGF3" s="98"/>
      <c r="HGG3" s="98"/>
      <c r="HGH3" s="98"/>
      <c r="HGI3" s="98"/>
      <c r="HGJ3" s="98"/>
      <c r="HGK3" s="98"/>
      <c r="HGL3" s="98"/>
      <c r="HGM3" s="98"/>
      <c r="HGN3" s="98"/>
      <c r="HGO3" s="98"/>
      <c r="HGP3" s="98"/>
      <c r="HGQ3" s="98"/>
      <c r="HGR3" s="98"/>
      <c r="HGS3" s="98"/>
      <c r="HGT3" s="98"/>
      <c r="HGU3" s="98"/>
      <c r="HGV3" s="98"/>
      <c r="HGW3" s="98"/>
      <c r="HGX3" s="98"/>
      <c r="HGY3" s="98"/>
      <c r="HGZ3" s="98"/>
      <c r="HHA3" s="98"/>
      <c r="HHB3" s="98"/>
      <c r="HHC3" s="98"/>
      <c r="HHD3" s="98"/>
      <c r="HHE3" s="98"/>
      <c r="HHF3" s="98"/>
      <c r="HHG3" s="98"/>
      <c r="HHH3" s="98"/>
      <c r="HHI3" s="98"/>
      <c r="HHJ3" s="98"/>
      <c r="HHK3" s="98"/>
      <c r="HHL3" s="98"/>
      <c r="HHM3" s="98"/>
      <c r="HHN3" s="98"/>
      <c r="HHO3" s="98"/>
      <c r="HHP3" s="98"/>
      <c r="HHQ3" s="98"/>
      <c r="HHR3" s="98"/>
      <c r="HHS3" s="98"/>
      <c r="HHT3" s="98"/>
      <c r="HHU3" s="98"/>
      <c r="HHV3" s="98"/>
      <c r="HHW3" s="98"/>
      <c r="HHX3" s="98"/>
      <c r="HHY3" s="98"/>
      <c r="HHZ3" s="98"/>
      <c r="HIA3" s="98"/>
      <c r="HIB3" s="98"/>
      <c r="HIC3" s="98"/>
      <c r="HID3" s="98"/>
      <c r="HIE3" s="98"/>
      <c r="HIF3" s="98"/>
      <c r="HIG3" s="98"/>
      <c r="HIH3" s="98"/>
      <c r="HII3" s="98"/>
      <c r="HIJ3" s="98"/>
      <c r="HIK3" s="98"/>
      <c r="HIL3" s="98"/>
      <c r="HIM3" s="98"/>
      <c r="HIN3" s="98"/>
      <c r="HIO3" s="98"/>
      <c r="HIP3" s="98"/>
      <c r="HIQ3" s="98"/>
      <c r="HIR3" s="98"/>
      <c r="HIS3" s="98"/>
      <c r="HIT3" s="98"/>
      <c r="HIU3" s="98"/>
      <c r="HIV3" s="98"/>
      <c r="HIW3" s="98"/>
      <c r="HIX3" s="98"/>
      <c r="HIY3" s="98"/>
      <c r="HIZ3" s="98"/>
      <c r="HJA3" s="98"/>
      <c r="HJB3" s="98"/>
      <c r="HJC3" s="98"/>
      <c r="HJD3" s="98"/>
      <c r="HJE3" s="98"/>
      <c r="HJF3" s="98"/>
      <c r="HJG3" s="98"/>
      <c r="HJH3" s="98"/>
      <c r="HJI3" s="98"/>
      <c r="HJJ3" s="98"/>
      <c r="HJK3" s="98"/>
      <c r="HJL3" s="98"/>
      <c r="HJM3" s="98"/>
      <c r="HJN3" s="98"/>
      <c r="HJO3" s="98"/>
      <c r="HJP3" s="98"/>
      <c r="HJQ3" s="98"/>
      <c r="HJR3" s="98"/>
      <c r="HJS3" s="98"/>
      <c r="HJT3" s="98"/>
      <c r="HJU3" s="98"/>
      <c r="HJV3" s="98"/>
      <c r="HJW3" s="98"/>
      <c r="HJX3" s="98"/>
      <c r="HJY3" s="98"/>
      <c r="HJZ3" s="98"/>
      <c r="HKA3" s="98"/>
      <c r="HKB3" s="98"/>
      <c r="HKC3" s="98"/>
      <c r="HKD3" s="98"/>
      <c r="HKE3" s="98"/>
      <c r="HKF3" s="98"/>
      <c r="HKG3" s="98"/>
      <c r="HKH3" s="98"/>
      <c r="HKI3" s="98"/>
      <c r="HKJ3" s="98"/>
      <c r="HKK3" s="98"/>
      <c r="HKL3" s="98"/>
      <c r="HKM3" s="98"/>
      <c r="HKN3" s="98"/>
      <c r="HKO3" s="98"/>
      <c r="HKP3" s="98"/>
      <c r="HKQ3" s="98"/>
      <c r="HKR3" s="98"/>
      <c r="HKS3" s="98"/>
      <c r="HKT3" s="98"/>
      <c r="HKU3" s="98"/>
      <c r="HKV3" s="98"/>
      <c r="HKW3" s="98"/>
      <c r="HKX3" s="98"/>
      <c r="HKY3" s="98"/>
      <c r="HKZ3" s="98"/>
      <c r="HLA3" s="98"/>
      <c r="HLB3" s="98"/>
      <c r="HLC3" s="98"/>
      <c r="HLD3" s="98"/>
      <c r="HLE3" s="98"/>
      <c r="HLF3" s="98"/>
      <c r="HLG3" s="98"/>
      <c r="HLH3" s="98"/>
      <c r="HLI3" s="98"/>
      <c r="HLJ3" s="98"/>
      <c r="HLK3" s="98"/>
      <c r="HLL3" s="98"/>
      <c r="HLM3" s="98"/>
      <c r="HLN3" s="98"/>
      <c r="HLO3" s="98"/>
      <c r="HLP3" s="98"/>
      <c r="HLQ3" s="98"/>
      <c r="HLR3" s="98"/>
      <c r="HLS3" s="98"/>
      <c r="HLT3" s="98"/>
      <c r="HLU3" s="98"/>
      <c r="HLV3" s="98"/>
      <c r="HLW3" s="98"/>
      <c r="HLX3" s="98"/>
      <c r="HLY3" s="98"/>
      <c r="HLZ3" s="98"/>
      <c r="HMA3" s="98"/>
      <c r="HMB3" s="98"/>
      <c r="HMC3" s="98"/>
      <c r="HMD3" s="98"/>
      <c r="HME3" s="98"/>
      <c r="HMF3" s="98"/>
      <c r="HMG3" s="98"/>
      <c r="HMH3" s="98"/>
      <c r="HMI3" s="98"/>
      <c r="HMJ3" s="98"/>
      <c r="HMK3" s="98"/>
      <c r="HML3" s="98"/>
      <c r="HMM3" s="98"/>
      <c r="HMN3" s="98"/>
      <c r="HMO3" s="98"/>
      <c r="HMP3" s="98"/>
      <c r="HMQ3" s="98"/>
      <c r="HMR3" s="98"/>
      <c r="HMS3" s="98"/>
      <c r="HMT3" s="98"/>
      <c r="HMU3" s="98"/>
      <c r="HMV3" s="98"/>
      <c r="HMW3" s="98"/>
      <c r="HMX3" s="98"/>
      <c r="HMY3" s="98"/>
      <c r="HMZ3" s="98"/>
      <c r="HNA3" s="98"/>
      <c r="HNB3" s="98"/>
      <c r="HNC3" s="98"/>
      <c r="HND3" s="98"/>
      <c r="HNE3" s="98"/>
      <c r="HNF3" s="98"/>
      <c r="HNG3" s="98"/>
      <c r="HNH3" s="98"/>
      <c r="HNI3" s="98"/>
      <c r="HNJ3" s="98"/>
      <c r="HNK3" s="98"/>
      <c r="HNL3" s="98"/>
      <c r="HNM3" s="98"/>
      <c r="HNN3" s="98"/>
      <c r="HNO3" s="98"/>
      <c r="HNP3" s="98"/>
      <c r="HNQ3" s="98"/>
      <c r="HNR3" s="98"/>
      <c r="HNS3" s="98"/>
      <c r="HNT3" s="98"/>
      <c r="HNU3" s="98"/>
      <c r="HNV3" s="98"/>
      <c r="HNW3" s="98"/>
      <c r="HNX3" s="98"/>
      <c r="HNY3" s="98"/>
      <c r="HNZ3" s="98"/>
      <c r="HOA3" s="98"/>
      <c r="HOB3" s="98"/>
      <c r="HOC3" s="98"/>
      <c r="HOD3" s="98"/>
      <c r="HOE3" s="98"/>
      <c r="HOF3" s="98"/>
      <c r="HOG3" s="98"/>
      <c r="HOH3" s="98"/>
      <c r="HOI3" s="98"/>
      <c r="HOJ3" s="98"/>
      <c r="HOK3" s="98"/>
      <c r="HOL3" s="98"/>
      <c r="HOM3" s="98"/>
      <c r="HON3" s="98"/>
      <c r="HOO3" s="98"/>
      <c r="HOP3" s="98"/>
      <c r="HOQ3" s="98"/>
      <c r="HOR3" s="98"/>
      <c r="HOS3" s="98"/>
      <c r="HOT3" s="98"/>
      <c r="HOU3" s="98"/>
      <c r="HOV3" s="98"/>
      <c r="HOW3" s="98"/>
      <c r="HOX3" s="98"/>
      <c r="HOY3" s="98"/>
      <c r="HOZ3" s="98"/>
      <c r="HPA3" s="98"/>
      <c r="HPB3" s="98"/>
      <c r="HPC3" s="98"/>
      <c r="HPD3" s="98"/>
      <c r="HPE3" s="98"/>
      <c r="HPF3" s="98"/>
      <c r="HPG3" s="98"/>
      <c r="HPH3" s="98"/>
      <c r="HPI3" s="98"/>
      <c r="HPJ3" s="98"/>
      <c r="HPK3" s="98"/>
      <c r="HPL3" s="98"/>
      <c r="HPM3" s="98"/>
      <c r="HPN3" s="98"/>
      <c r="HPO3" s="98"/>
      <c r="HPP3" s="98"/>
      <c r="HPQ3" s="98"/>
      <c r="HPR3" s="98"/>
      <c r="HPS3" s="98"/>
      <c r="HPT3" s="98"/>
      <c r="HPU3" s="98"/>
      <c r="HPV3" s="98"/>
      <c r="HPW3" s="98"/>
      <c r="HPX3" s="98"/>
      <c r="HPY3" s="98"/>
      <c r="HPZ3" s="98"/>
      <c r="HQA3" s="98"/>
      <c r="HQB3" s="98"/>
      <c r="HQC3" s="98"/>
      <c r="HQD3" s="98"/>
      <c r="HQE3" s="98"/>
      <c r="HQF3" s="98"/>
      <c r="HQG3" s="98"/>
      <c r="HQH3" s="98"/>
      <c r="HQI3" s="98"/>
      <c r="HQJ3" s="98"/>
      <c r="HQK3" s="98"/>
      <c r="HQL3" s="98"/>
      <c r="HQM3" s="98"/>
      <c r="HQN3" s="98"/>
      <c r="HQO3" s="98"/>
      <c r="HQP3" s="98"/>
      <c r="HQQ3" s="98"/>
      <c r="HQR3" s="98"/>
      <c r="HQS3" s="98"/>
      <c r="HQT3" s="98"/>
      <c r="HQU3" s="98"/>
      <c r="HQV3" s="98"/>
      <c r="HQW3" s="98"/>
      <c r="HQX3" s="98"/>
      <c r="HQY3" s="98"/>
      <c r="HQZ3" s="98"/>
      <c r="HRA3" s="98"/>
      <c r="HRB3" s="98"/>
      <c r="HRC3" s="98"/>
      <c r="HRD3" s="98"/>
      <c r="HRE3" s="98"/>
      <c r="HRF3" s="98"/>
      <c r="HRG3" s="98"/>
      <c r="HRH3" s="98"/>
      <c r="HRI3" s="98"/>
      <c r="HRJ3" s="98"/>
      <c r="HRK3" s="98"/>
      <c r="HRL3" s="98"/>
      <c r="HRM3" s="98"/>
      <c r="HRN3" s="98"/>
      <c r="HRO3" s="98"/>
      <c r="HRP3" s="98"/>
      <c r="HRQ3" s="98"/>
      <c r="HRR3" s="98"/>
      <c r="HRS3" s="98"/>
      <c r="HRT3" s="98"/>
      <c r="HRU3" s="98"/>
      <c r="HRV3" s="98"/>
      <c r="HRW3" s="98"/>
      <c r="HRX3" s="98"/>
      <c r="HRY3" s="98"/>
      <c r="HRZ3" s="98"/>
      <c r="HSA3" s="98"/>
      <c r="HSB3" s="98"/>
      <c r="HSC3" s="98"/>
      <c r="HSD3" s="98"/>
      <c r="HSE3" s="98"/>
      <c r="HSF3" s="98"/>
      <c r="HSG3" s="98"/>
      <c r="HSH3" s="98"/>
      <c r="HSI3" s="98"/>
      <c r="HSJ3" s="98"/>
      <c r="HSK3" s="98"/>
      <c r="HSL3" s="98"/>
      <c r="HSM3" s="98"/>
      <c r="HSN3" s="98"/>
      <c r="HSO3" s="98"/>
      <c r="HSP3" s="98"/>
      <c r="HSQ3" s="98"/>
      <c r="HSR3" s="98"/>
      <c r="HSS3" s="98"/>
      <c r="HST3" s="98"/>
      <c r="HSU3" s="98"/>
      <c r="HSV3" s="98"/>
      <c r="HSW3" s="98"/>
      <c r="HSX3" s="98"/>
      <c r="HSY3" s="98"/>
      <c r="HSZ3" s="98"/>
      <c r="HTA3" s="98"/>
      <c r="HTB3" s="98"/>
      <c r="HTC3" s="98"/>
      <c r="HTD3" s="98"/>
      <c r="HTE3" s="98"/>
      <c r="HTF3" s="98"/>
      <c r="HTG3" s="98"/>
      <c r="HTH3" s="98"/>
      <c r="HTI3" s="98"/>
      <c r="HTJ3" s="98"/>
      <c r="HTK3" s="98"/>
      <c r="HTL3" s="98"/>
      <c r="HTM3" s="98"/>
      <c r="HTN3" s="98"/>
      <c r="HTO3" s="98"/>
      <c r="HTP3" s="98"/>
      <c r="HTQ3" s="98"/>
      <c r="HTR3" s="98"/>
      <c r="HTS3" s="98"/>
      <c r="HTT3" s="98"/>
      <c r="HTU3" s="98"/>
      <c r="HTV3" s="98"/>
      <c r="HTW3" s="98"/>
      <c r="HTX3" s="98"/>
      <c r="HTY3" s="98"/>
      <c r="HTZ3" s="98"/>
      <c r="HUA3" s="98"/>
      <c r="HUB3" s="98"/>
      <c r="HUC3" s="98"/>
      <c r="HUD3" s="98"/>
      <c r="HUE3" s="98"/>
      <c r="HUF3" s="98"/>
      <c r="HUG3" s="98"/>
      <c r="HUH3" s="98"/>
      <c r="HUI3" s="98"/>
      <c r="HUJ3" s="98"/>
      <c r="HUK3" s="98"/>
      <c r="HUL3" s="98"/>
      <c r="HUM3" s="98"/>
      <c r="HUN3" s="98"/>
      <c r="HUO3" s="98"/>
      <c r="HUP3" s="98"/>
      <c r="HUQ3" s="98"/>
      <c r="HUR3" s="98"/>
      <c r="HUS3" s="98"/>
      <c r="HUT3" s="98"/>
      <c r="HUU3" s="98"/>
      <c r="HUV3" s="98"/>
      <c r="HUW3" s="98"/>
      <c r="HUX3" s="98"/>
      <c r="HUY3" s="98"/>
      <c r="HUZ3" s="98"/>
      <c r="HVA3" s="98"/>
      <c r="HVB3" s="98"/>
      <c r="HVC3" s="98"/>
      <c r="HVD3" s="98"/>
      <c r="HVE3" s="98"/>
      <c r="HVF3" s="98"/>
      <c r="HVG3" s="98"/>
      <c r="HVH3" s="98"/>
      <c r="HVI3" s="98"/>
      <c r="HVJ3" s="98"/>
      <c r="HVK3" s="98"/>
      <c r="HVL3" s="98"/>
      <c r="HVM3" s="98"/>
      <c r="HVN3" s="98"/>
      <c r="HVO3" s="98"/>
      <c r="HVP3" s="98"/>
      <c r="HVQ3" s="98"/>
      <c r="HVR3" s="98"/>
      <c r="HVS3" s="98"/>
      <c r="HVT3" s="98"/>
      <c r="HVU3" s="98"/>
      <c r="HVV3" s="98"/>
      <c r="HVW3" s="98"/>
      <c r="HVX3" s="98"/>
      <c r="HVY3" s="98"/>
      <c r="HVZ3" s="98"/>
      <c r="HWA3" s="98"/>
      <c r="HWB3" s="98"/>
      <c r="HWC3" s="98"/>
      <c r="HWD3" s="98"/>
      <c r="HWE3" s="98"/>
      <c r="HWF3" s="98"/>
      <c r="HWG3" s="98"/>
      <c r="HWH3" s="98"/>
      <c r="HWI3" s="98"/>
      <c r="HWJ3" s="98"/>
      <c r="HWK3" s="98"/>
      <c r="HWL3" s="98"/>
      <c r="HWM3" s="98"/>
      <c r="HWN3" s="98"/>
      <c r="HWO3" s="98"/>
      <c r="HWP3" s="98"/>
      <c r="HWQ3" s="98"/>
      <c r="HWR3" s="98"/>
      <c r="HWS3" s="98"/>
      <c r="HWT3" s="98"/>
      <c r="HWU3" s="98"/>
      <c r="HWV3" s="98"/>
      <c r="HWW3" s="98"/>
      <c r="HWX3" s="98"/>
      <c r="HWY3" s="98"/>
      <c r="HWZ3" s="98"/>
      <c r="HXA3" s="98"/>
      <c r="HXB3" s="98"/>
      <c r="HXC3" s="98"/>
      <c r="HXD3" s="98"/>
      <c r="HXE3" s="98"/>
      <c r="HXF3" s="98"/>
      <c r="HXG3" s="98"/>
      <c r="HXH3" s="98"/>
      <c r="HXI3" s="98"/>
      <c r="HXJ3" s="98"/>
      <c r="HXK3" s="98"/>
      <c r="HXL3" s="98"/>
      <c r="HXM3" s="98"/>
      <c r="HXN3" s="98"/>
      <c r="HXO3" s="98"/>
      <c r="HXP3" s="98"/>
      <c r="HXQ3" s="98"/>
      <c r="HXR3" s="98"/>
      <c r="HXS3" s="98"/>
      <c r="HXT3" s="98"/>
      <c r="HXU3" s="98"/>
      <c r="HXV3" s="98"/>
      <c r="HXW3" s="98"/>
      <c r="HXX3" s="98"/>
      <c r="HXY3" s="98"/>
      <c r="HXZ3" s="98"/>
      <c r="HYA3" s="98"/>
      <c r="HYB3" s="98"/>
      <c r="HYC3" s="98"/>
      <c r="HYD3" s="98"/>
      <c r="HYE3" s="98"/>
      <c r="HYF3" s="98"/>
      <c r="HYG3" s="98"/>
      <c r="HYH3" s="98"/>
      <c r="HYI3" s="98"/>
      <c r="HYJ3" s="98"/>
      <c r="HYK3" s="98"/>
      <c r="HYL3" s="98"/>
      <c r="HYM3" s="98"/>
      <c r="HYN3" s="98"/>
      <c r="HYO3" s="98"/>
      <c r="HYP3" s="98"/>
      <c r="HYQ3" s="98"/>
      <c r="HYR3" s="98"/>
      <c r="HYS3" s="98"/>
      <c r="HYT3" s="98"/>
      <c r="HYU3" s="98"/>
      <c r="HYV3" s="98"/>
      <c r="HYW3" s="98"/>
      <c r="HYX3" s="98"/>
      <c r="HYY3" s="98"/>
      <c r="HYZ3" s="98"/>
      <c r="HZA3" s="98"/>
      <c r="HZB3" s="98"/>
      <c r="HZC3" s="98"/>
      <c r="HZD3" s="98"/>
      <c r="HZE3" s="98"/>
      <c r="HZF3" s="98"/>
      <c r="HZG3" s="98"/>
      <c r="HZH3" s="98"/>
      <c r="HZI3" s="98"/>
      <c r="HZJ3" s="98"/>
      <c r="HZK3" s="98"/>
      <c r="HZL3" s="98"/>
      <c r="HZM3" s="98"/>
      <c r="HZN3" s="98"/>
      <c r="HZO3" s="98"/>
      <c r="HZP3" s="98"/>
      <c r="HZQ3" s="98"/>
      <c r="HZR3" s="98"/>
      <c r="HZS3" s="98"/>
      <c r="HZT3" s="98"/>
      <c r="HZU3" s="98"/>
      <c r="HZV3" s="98"/>
      <c r="HZW3" s="98"/>
      <c r="HZX3" s="98"/>
      <c r="HZY3" s="98"/>
      <c r="HZZ3" s="98"/>
      <c r="IAA3" s="98"/>
      <c r="IAB3" s="98"/>
      <c r="IAC3" s="98"/>
      <c r="IAD3" s="98"/>
      <c r="IAE3" s="98"/>
      <c r="IAF3" s="98"/>
      <c r="IAG3" s="98"/>
      <c r="IAH3" s="98"/>
      <c r="IAI3" s="98"/>
      <c r="IAJ3" s="98"/>
      <c r="IAK3" s="98"/>
      <c r="IAL3" s="98"/>
      <c r="IAM3" s="98"/>
      <c r="IAN3" s="98"/>
      <c r="IAO3" s="98"/>
      <c r="IAP3" s="98"/>
      <c r="IAQ3" s="98"/>
      <c r="IAR3" s="98"/>
      <c r="IAS3" s="98"/>
      <c r="IAT3" s="98"/>
      <c r="IAU3" s="98"/>
      <c r="IAV3" s="98"/>
      <c r="IAW3" s="98"/>
      <c r="IAX3" s="98"/>
      <c r="IAY3" s="98"/>
      <c r="IAZ3" s="98"/>
      <c r="IBA3" s="98"/>
      <c r="IBB3" s="98"/>
      <c r="IBC3" s="98"/>
      <c r="IBD3" s="98"/>
      <c r="IBE3" s="98"/>
      <c r="IBF3" s="98"/>
      <c r="IBG3" s="98"/>
      <c r="IBH3" s="98"/>
      <c r="IBI3" s="98"/>
      <c r="IBJ3" s="98"/>
      <c r="IBK3" s="98"/>
      <c r="IBL3" s="98"/>
      <c r="IBM3" s="98"/>
      <c r="IBN3" s="98"/>
      <c r="IBO3" s="98"/>
      <c r="IBP3" s="98"/>
      <c r="IBQ3" s="98"/>
      <c r="IBR3" s="98"/>
      <c r="IBS3" s="98"/>
      <c r="IBT3" s="98"/>
      <c r="IBU3" s="98"/>
      <c r="IBV3" s="98"/>
      <c r="IBW3" s="98"/>
      <c r="IBX3" s="98"/>
      <c r="IBY3" s="98"/>
      <c r="IBZ3" s="98"/>
      <c r="ICA3" s="98"/>
      <c r="ICB3" s="98"/>
      <c r="ICC3" s="98"/>
      <c r="ICD3" s="98"/>
      <c r="ICE3" s="98"/>
      <c r="ICF3" s="98"/>
      <c r="ICG3" s="98"/>
      <c r="ICH3" s="98"/>
      <c r="ICI3" s="98"/>
      <c r="ICJ3" s="98"/>
      <c r="ICK3" s="98"/>
      <c r="ICL3" s="98"/>
      <c r="ICM3" s="98"/>
      <c r="ICN3" s="98"/>
      <c r="ICO3" s="98"/>
      <c r="ICP3" s="98"/>
      <c r="ICQ3" s="98"/>
      <c r="ICR3" s="98"/>
      <c r="ICS3" s="98"/>
      <c r="ICT3" s="98"/>
      <c r="ICU3" s="98"/>
      <c r="ICV3" s="98"/>
      <c r="ICW3" s="98"/>
      <c r="ICX3" s="98"/>
      <c r="ICY3" s="98"/>
      <c r="ICZ3" s="98"/>
      <c r="IDA3" s="98"/>
      <c r="IDB3" s="98"/>
      <c r="IDC3" s="98"/>
      <c r="IDD3" s="98"/>
      <c r="IDE3" s="98"/>
      <c r="IDF3" s="98"/>
      <c r="IDG3" s="98"/>
      <c r="IDH3" s="98"/>
      <c r="IDI3" s="98"/>
      <c r="IDJ3" s="98"/>
      <c r="IDK3" s="98"/>
      <c r="IDL3" s="98"/>
      <c r="IDM3" s="98"/>
      <c r="IDN3" s="98"/>
      <c r="IDO3" s="98"/>
      <c r="IDP3" s="98"/>
      <c r="IDQ3" s="98"/>
      <c r="IDR3" s="98"/>
      <c r="IDS3" s="98"/>
      <c r="IDT3" s="98"/>
      <c r="IDU3" s="98"/>
      <c r="IDV3" s="98"/>
      <c r="IDW3" s="98"/>
      <c r="IDX3" s="98"/>
      <c r="IDY3" s="98"/>
      <c r="IDZ3" s="98"/>
      <c r="IEA3" s="98"/>
      <c r="IEB3" s="98"/>
      <c r="IEC3" s="98"/>
      <c r="IED3" s="98"/>
      <c r="IEE3" s="98"/>
      <c r="IEF3" s="98"/>
      <c r="IEG3" s="98"/>
      <c r="IEH3" s="98"/>
      <c r="IEI3" s="98"/>
      <c r="IEJ3" s="98"/>
      <c r="IEK3" s="98"/>
      <c r="IEL3" s="98"/>
      <c r="IEM3" s="98"/>
      <c r="IEN3" s="98"/>
      <c r="IEO3" s="98"/>
      <c r="IEP3" s="98"/>
      <c r="IEQ3" s="98"/>
      <c r="IER3" s="98"/>
      <c r="IES3" s="98"/>
      <c r="IET3" s="98"/>
      <c r="IEU3" s="98"/>
      <c r="IEV3" s="98"/>
      <c r="IEW3" s="98"/>
      <c r="IEX3" s="98"/>
      <c r="IEY3" s="98"/>
      <c r="IEZ3" s="98"/>
      <c r="IFA3" s="98"/>
      <c r="IFB3" s="98"/>
      <c r="IFC3" s="98"/>
      <c r="IFD3" s="98"/>
      <c r="IFE3" s="98"/>
      <c r="IFF3" s="98"/>
      <c r="IFG3" s="98"/>
      <c r="IFH3" s="98"/>
      <c r="IFI3" s="98"/>
      <c r="IFJ3" s="98"/>
      <c r="IFK3" s="98"/>
      <c r="IFL3" s="98"/>
      <c r="IFM3" s="98"/>
      <c r="IFN3" s="98"/>
      <c r="IFO3" s="98"/>
      <c r="IFP3" s="98"/>
      <c r="IFQ3" s="98"/>
      <c r="IFR3" s="98"/>
      <c r="IFS3" s="98"/>
      <c r="IFT3" s="98"/>
      <c r="IFU3" s="98"/>
      <c r="IFV3" s="98"/>
      <c r="IFW3" s="98"/>
      <c r="IFX3" s="98"/>
      <c r="IFY3" s="98"/>
      <c r="IFZ3" s="98"/>
      <c r="IGA3" s="98"/>
      <c r="IGB3" s="98"/>
      <c r="IGC3" s="98"/>
      <c r="IGD3" s="98"/>
      <c r="IGE3" s="98"/>
      <c r="IGF3" s="98"/>
      <c r="IGG3" s="98"/>
      <c r="IGH3" s="98"/>
      <c r="IGI3" s="98"/>
      <c r="IGJ3" s="98"/>
      <c r="IGK3" s="98"/>
      <c r="IGL3" s="98"/>
      <c r="IGM3" s="98"/>
      <c r="IGN3" s="98"/>
      <c r="IGO3" s="98"/>
      <c r="IGP3" s="98"/>
      <c r="IGQ3" s="98"/>
      <c r="IGR3" s="98"/>
      <c r="IGS3" s="98"/>
      <c r="IGT3" s="98"/>
      <c r="IGU3" s="98"/>
      <c r="IGV3" s="98"/>
      <c r="IGW3" s="98"/>
      <c r="IGX3" s="98"/>
      <c r="IGY3" s="98"/>
      <c r="IGZ3" s="98"/>
      <c r="IHA3" s="98"/>
      <c r="IHB3" s="98"/>
      <c r="IHC3" s="98"/>
      <c r="IHD3" s="98"/>
      <c r="IHE3" s="98"/>
      <c r="IHF3" s="98"/>
      <c r="IHG3" s="98"/>
      <c r="IHH3" s="98"/>
      <c r="IHI3" s="98"/>
      <c r="IHJ3" s="98"/>
      <c r="IHK3" s="98"/>
      <c r="IHL3" s="98"/>
      <c r="IHM3" s="98"/>
      <c r="IHN3" s="98"/>
      <c r="IHO3" s="98"/>
      <c r="IHP3" s="98"/>
      <c r="IHQ3" s="98"/>
      <c r="IHR3" s="98"/>
      <c r="IHS3" s="98"/>
      <c r="IHT3" s="98"/>
      <c r="IHU3" s="98"/>
      <c r="IHV3" s="98"/>
      <c r="IHW3" s="98"/>
      <c r="IHX3" s="98"/>
      <c r="IHY3" s="98"/>
      <c r="IHZ3" s="98"/>
      <c r="IIA3" s="98"/>
      <c r="IIB3" s="98"/>
      <c r="IIC3" s="98"/>
      <c r="IID3" s="98"/>
      <c r="IIE3" s="98"/>
      <c r="IIF3" s="98"/>
      <c r="IIG3" s="98"/>
      <c r="IIH3" s="98"/>
      <c r="III3" s="98"/>
      <c r="IIJ3" s="98"/>
      <c r="IIK3" s="98"/>
      <c r="IIL3" s="98"/>
      <c r="IIM3" s="98"/>
      <c r="IIN3" s="98"/>
      <c r="IIO3" s="98"/>
      <c r="IIP3" s="98"/>
      <c r="IIQ3" s="98"/>
      <c r="IIR3" s="98"/>
      <c r="IIS3" s="98"/>
      <c r="IIT3" s="98"/>
      <c r="IIU3" s="98"/>
      <c r="IIV3" s="98"/>
      <c r="IIW3" s="98"/>
      <c r="IIX3" s="98"/>
      <c r="IIY3" s="98"/>
      <c r="IIZ3" s="98"/>
      <c r="IJA3" s="98"/>
      <c r="IJB3" s="98"/>
      <c r="IJC3" s="98"/>
      <c r="IJD3" s="98"/>
      <c r="IJE3" s="98"/>
      <c r="IJF3" s="98"/>
      <c r="IJG3" s="98"/>
      <c r="IJH3" s="98"/>
      <c r="IJI3" s="98"/>
      <c r="IJJ3" s="98"/>
      <c r="IJK3" s="98"/>
      <c r="IJL3" s="98"/>
      <c r="IJM3" s="98"/>
      <c r="IJN3" s="98"/>
      <c r="IJO3" s="98"/>
      <c r="IJP3" s="98"/>
      <c r="IJQ3" s="98"/>
      <c r="IJR3" s="98"/>
      <c r="IJS3" s="98"/>
      <c r="IJT3" s="98"/>
      <c r="IJU3" s="98"/>
      <c r="IJV3" s="98"/>
      <c r="IJW3" s="98"/>
      <c r="IJX3" s="98"/>
      <c r="IJY3" s="98"/>
      <c r="IJZ3" s="98"/>
      <c r="IKA3" s="98"/>
      <c r="IKB3" s="98"/>
      <c r="IKC3" s="98"/>
      <c r="IKD3" s="98"/>
      <c r="IKE3" s="98"/>
      <c r="IKF3" s="98"/>
      <c r="IKG3" s="98"/>
      <c r="IKH3" s="98"/>
      <c r="IKI3" s="98"/>
      <c r="IKJ3" s="98"/>
      <c r="IKK3" s="98"/>
      <c r="IKL3" s="98"/>
      <c r="IKM3" s="98"/>
      <c r="IKN3" s="98"/>
      <c r="IKO3" s="98"/>
      <c r="IKP3" s="98"/>
      <c r="IKQ3" s="98"/>
      <c r="IKR3" s="98"/>
      <c r="IKS3" s="98"/>
      <c r="IKT3" s="98"/>
      <c r="IKU3" s="98"/>
      <c r="IKV3" s="98"/>
      <c r="IKW3" s="98"/>
      <c r="IKX3" s="98"/>
      <c r="IKY3" s="98"/>
      <c r="IKZ3" s="98"/>
      <c r="ILA3" s="98"/>
      <c r="ILB3" s="98"/>
      <c r="ILC3" s="98"/>
      <c r="ILD3" s="98"/>
      <c r="ILE3" s="98"/>
      <c r="ILF3" s="98"/>
      <c r="ILG3" s="98"/>
      <c r="ILH3" s="98"/>
      <c r="ILI3" s="98"/>
      <c r="ILJ3" s="98"/>
      <c r="ILK3" s="98"/>
      <c r="ILL3" s="98"/>
      <c r="ILM3" s="98"/>
      <c r="ILN3" s="98"/>
      <c r="ILO3" s="98"/>
      <c r="ILP3" s="98"/>
      <c r="ILQ3" s="98"/>
      <c r="ILR3" s="98"/>
      <c r="ILS3" s="98"/>
      <c r="ILT3" s="98"/>
      <c r="ILU3" s="98"/>
      <c r="ILV3" s="98"/>
      <c r="ILW3" s="98"/>
      <c r="ILX3" s="98"/>
      <c r="ILY3" s="98"/>
      <c r="ILZ3" s="98"/>
      <c r="IMA3" s="98"/>
      <c r="IMB3" s="98"/>
      <c r="IMC3" s="98"/>
      <c r="IMD3" s="98"/>
      <c r="IME3" s="98"/>
      <c r="IMF3" s="98"/>
      <c r="IMG3" s="98"/>
      <c r="IMH3" s="98"/>
      <c r="IMI3" s="98"/>
      <c r="IMJ3" s="98"/>
      <c r="IMK3" s="98"/>
      <c r="IML3" s="98"/>
      <c r="IMM3" s="98"/>
      <c r="IMN3" s="98"/>
      <c r="IMO3" s="98"/>
      <c r="IMP3" s="98"/>
      <c r="IMQ3" s="98"/>
      <c r="IMR3" s="98"/>
      <c r="IMS3" s="98"/>
      <c r="IMT3" s="98"/>
      <c r="IMU3" s="98"/>
      <c r="IMV3" s="98"/>
      <c r="IMW3" s="98"/>
      <c r="IMX3" s="98"/>
      <c r="IMY3" s="98"/>
      <c r="IMZ3" s="98"/>
      <c r="INA3" s="98"/>
      <c r="INB3" s="98"/>
      <c r="INC3" s="98"/>
      <c r="IND3" s="98"/>
      <c r="INE3" s="98"/>
      <c r="INF3" s="98"/>
      <c r="ING3" s="98"/>
      <c r="INH3" s="98"/>
      <c r="INI3" s="98"/>
      <c r="INJ3" s="98"/>
      <c r="INK3" s="98"/>
      <c r="INL3" s="98"/>
      <c r="INM3" s="98"/>
      <c r="INN3" s="98"/>
      <c r="INO3" s="98"/>
      <c r="INP3" s="98"/>
      <c r="INQ3" s="98"/>
      <c r="INR3" s="98"/>
      <c r="INS3" s="98"/>
      <c r="INT3" s="98"/>
      <c r="INU3" s="98"/>
      <c r="INV3" s="98"/>
      <c r="INW3" s="98"/>
      <c r="INX3" s="98"/>
      <c r="INY3" s="98"/>
      <c r="INZ3" s="98"/>
      <c r="IOA3" s="98"/>
      <c r="IOB3" s="98"/>
      <c r="IOC3" s="98"/>
      <c r="IOD3" s="98"/>
      <c r="IOE3" s="98"/>
      <c r="IOF3" s="98"/>
      <c r="IOG3" s="98"/>
      <c r="IOH3" s="98"/>
      <c r="IOI3" s="98"/>
      <c r="IOJ3" s="98"/>
      <c r="IOK3" s="98"/>
      <c r="IOL3" s="98"/>
      <c r="IOM3" s="98"/>
      <c r="ION3" s="98"/>
      <c r="IOO3" s="98"/>
      <c r="IOP3" s="98"/>
      <c r="IOQ3" s="98"/>
      <c r="IOR3" s="98"/>
      <c r="IOS3" s="98"/>
      <c r="IOT3" s="98"/>
      <c r="IOU3" s="98"/>
      <c r="IOV3" s="98"/>
      <c r="IOW3" s="98"/>
      <c r="IOX3" s="98"/>
      <c r="IOY3" s="98"/>
      <c r="IOZ3" s="98"/>
      <c r="IPA3" s="98"/>
      <c r="IPB3" s="98"/>
      <c r="IPC3" s="98"/>
      <c r="IPD3" s="98"/>
      <c r="IPE3" s="98"/>
      <c r="IPF3" s="98"/>
      <c r="IPG3" s="98"/>
      <c r="IPH3" s="98"/>
      <c r="IPI3" s="98"/>
      <c r="IPJ3" s="98"/>
      <c r="IPK3" s="98"/>
      <c r="IPL3" s="98"/>
      <c r="IPM3" s="98"/>
      <c r="IPN3" s="98"/>
      <c r="IPO3" s="98"/>
      <c r="IPP3" s="98"/>
      <c r="IPQ3" s="98"/>
      <c r="IPR3" s="98"/>
      <c r="IPS3" s="98"/>
      <c r="IPT3" s="98"/>
      <c r="IPU3" s="98"/>
      <c r="IPV3" s="98"/>
      <c r="IPW3" s="98"/>
      <c r="IPX3" s="98"/>
      <c r="IPY3" s="98"/>
      <c r="IPZ3" s="98"/>
      <c r="IQA3" s="98"/>
      <c r="IQB3" s="98"/>
      <c r="IQC3" s="98"/>
      <c r="IQD3" s="98"/>
      <c r="IQE3" s="98"/>
      <c r="IQF3" s="98"/>
      <c r="IQG3" s="98"/>
      <c r="IQH3" s="98"/>
      <c r="IQI3" s="98"/>
      <c r="IQJ3" s="98"/>
      <c r="IQK3" s="98"/>
      <c r="IQL3" s="98"/>
      <c r="IQM3" s="98"/>
      <c r="IQN3" s="98"/>
      <c r="IQO3" s="98"/>
      <c r="IQP3" s="98"/>
      <c r="IQQ3" s="98"/>
      <c r="IQR3" s="98"/>
      <c r="IQS3" s="98"/>
      <c r="IQT3" s="98"/>
      <c r="IQU3" s="98"/>
      <c r="IQV3" s="98"/>
      <c r="IQW3" s="98"/>
      <c r="IQX3" s="98"/>
      <c r="IQY3" s="98"/>
      <c r="IQZ3" s="98"/>
      <c r="IRA3" s="98"/>
      <c r="IRB3" s="98"/>
      <c r="IRC3" s="98"/>
      <c r="IRD3" s="98"/>
      <c r="IRE3" s="98"/>
      <c r="IRF3" s="98"/>
      <c r="IRG3" s="98"/>
      <c r="IRH3" s="98"/>
      <c r="IRI3" s="98"/>
      <c r="IRJ3" s="98"/>
      <c r="IRK3" s="98"/>
      <c r="IRL3" s="98"/>
      <c r="IRM3" s="98"/>
      <c r="IRN3" s="98"/>
      <c r="IRO3" s="98"/>
      <c r="IRP3" s="98"/>
      <c r="IRQ3" s="98"/>
      <c r="IRR3" s="98"/>
      <c r="IRS3" s="98"/>
      <c r="IRT3" s="98"/>
      <c r="IRU3" s="98"/>
      <c r="IRV3" s="98"/>
      <c r="IRW3" s="98"/>
      <c r="IRX3" s="98"/>
      <c r="IRY3" s="98"/>
      <c r="IRZ3" s="98"/>
      <c r="ISA3" s="98"/>
      <c r="ISB3" s="98"/>
      <c r="ISC3" s="98"/>
      <c r="ISD3" s="98"/>
      <c r="ISE3" s="98"/>
      <c r="ISF3" s="98"/>
      <c r="ISG3" s="98"/>
      <c r="ISH3" s="98"/>
      <c r="ISI3" s="98"/>
      <c r="ISJ3" s="98"/>
      <c r="ISK3" s="98"/>
      <c r="ISL3" s="98"/>
      <c r="ISM3" s="98"/>
      <c r="ISN3" s="98"/>
      <c r="ISO3" s="98"/>
      <c r="ISP3" s="98"/>
      <c r="ISQ3" s="98"/>
      <c r="ISR3" s="98"/>
      <c r="ISS3" s="98"/>
      <c r="IST3" s="98"/>
      <c r="ISU3" s="98"/>
      <c r="ISV3" s="98"/>
      <c r="ISW3" s="98"/>
      <c r="ISX3" s="98"/>
      <c r="ISY3" s="98"/>
      <c r="ISZ3" s="98"/>
      <c r="ITA3" s="98"/>
      <c r="ITB3" s="98"/>
      <c r="ITC3" s="98"/>
      <c r="ITD3" s="98"/>
      <c r="ITE3" s="98"/>
      <c r="ITF3" s="98"/>
      <c r="ITG3" s="98"/>
      <c r="ITH3" s="98"/>
      <c r="ITI3" s="98"/>
      <c r="ITJ3" s="98"/>
      <c r="ITK3" s="98"/>
      <c r="ITL3" s="98"/>
      <c r="ITM3" s="98"/>
      <c r="ITN3" s="98"/>
      <c r="ITO3" s="98"/>
      <c r="ITP3" s="98"/>
      <c r="ITQ3" s="98"/>
      <c r="ITR3" s="98"/>
      <c r="ITS3" s="98"/>
      <c r="ITT3" s="98"/>
      <c r="ITU3" s="98"/>
      <c r="ITV3" s="98"/>
      <c r="ITW3" s="98"/>
      <c r="ITX3" s="98"/>
      <c r="ITY3" s="98"/>
      <c r="ITZ3" s="98"/>
      <c r="IUA3" s="98"/>
      <c r="IUB3" s="98"/>
      <c r="IUC3" s="98"/>
      <c r="IUD3" s="98"/>
      <c r="IUE3" s="98"/>
      <c r="IUF3" s="98"/>
      <c r="IUG3" s="98"/>
      <c r="IUH3" s="98"/>
      <c r="IUI3" s="98"/>
      <c r="IUJ3" s="98"/>
      <c r="IUK3" s="98"/>
      <c r="IUL3" s="98"/>
      <c r="IUM3" s="98"/>
      <c r="IUN3" s="98"/>
      <c r="IUO3" s="98"/>
      <c r="IUP3" s="98"/>
      <c r="IUQ3" s="98"/>
      <c r="IUR3" s="98"/>
      <c r="IUS3" s="98"/>
      <c r="IUT3" s="98"/>
      <c r="IUU3" s="98"/>
      <c r="IUV3" s="98"/>
      <c r="IUW3" s="98"/>
      <c r="IUX3" s="98"/>
      <c r="IUY3" s="98"/>
      <c r="IUZ3" s="98"/>
      <c r="IVA3" s="98"/>
      <c r="IVB3" s="98"/>
      <c r="IVC3" s="98"/>
      <c r="IVD3" s="98"/>
      <c r="IVE3" s="98"/>
      <c r="IVF3" s="98"/>
      <c r="IVG3" s="98"/>
      <c r="IVH3" s="98"/>
      <c r="IVI3" s="98"/>
      <c r="IVJ3" s="98"/>
      <c r="IVK3" s="98"/>
      <c r="IVL3" s="98"/>
      <c r="IVM3" s="98"/>
      <c r="IVN3" s="98"/>
      <c r="IVO3" s="98"/>
      <c r="IVP3" s="98"/>
      <c r="IVQ3" s="98"/>
      <c r="IVR3" s="98"/>
      <c r="IVS3" s="98"/>
      <c r="IVT3" s="98"/>
      <c r="IVU3" s="98"/>
      <c r="IVV3" s="98"/>
      <c r="IVW3" s="98"/>
      <c r="IVX3" s="98"/>
      <c r="IVY3" s="98"/>
      <c r="IVZ3" s="98"/>
      <c r="IWA3" s="98"/>
      <c r="IWB3" s="98"/>
      <c r="IWC3" s="98"/>
      <c r="IWD3" s="98"/>
      <c r="IWE3" s="98"/>
      <c r="IWF3" s="98"/>
      <c r="IWG3" s="98"/>
      <c r="IWH3" s="98"/>
      <c r="IWI3" s="98"/>
      <c r="IWJ3" s="98"/>
      <c r="IWK3" s="98"/>
      <c r="IWL3" s="98"/>
      <c r="IWM3" s="98"/>
      <c r="IWN3" s="98"/>
      <c r="IWO3" s="98"/>
      <c r="IWP3" s="98"/>
      <c r="IWQ3" s="98"/>
      <c r="IWR3" s="98"/>
      <c r="IWS3" s="98"/>
      <c r="IWT3" s="98"/>
      <c r="IWU3" s="98"/>
      <c r="IWV3" s="98"/>
      <c r="IWW3" s="98"/>
      <c r="IWX3" s="98"/>
      <c r="IWY3" s="98"/>
      <c r="IWZ3" s="98"/>
      <c r="IXA3" s="98"/>
      <c r="IXB3" s="98"/>
      <c r="IXC3" s="98"/>
      <c r="IXD3" s="98"/>
      <c r="IXE3" s="98"/>
      <c r="IXF3" s="98"/>
      <c r="IXG3" s="98"/>
      <c r="IXH3" s="98"/>
      <c r="IXI3" s="98"/>
      <c r="IXJ3" s="98"/>
      <c r="IXK3" s="98"/>
      <c r="IXL3" s="98"/>
      <c r="IXM3" s="98"/>
      <c r="IXN3" s="98"/>
      <c r="IXO3" s="98"/>
      <c r="IXP3" s="98"/>
      <c r="IXQ3" s="98"/>
      <c r="IXR3" s="98"/>
      <c r="IXS3" s="98"/>
      <c r="IXT3" s="98"/>
      <c r="IXU3" s="98"/>
      <c r="IXV3" s="98"/>
      <c r="IXW3" s="98"/>
      <c r="IXX3" s="98"/>
      <c r="IXY3" s="98"/>
      <c r="IXZ3" s="98"/>
      <c r="IYA3" s="98"/>
      <c r="IYB3" s="98"/>
      <c r="IYC3" s="98"/>
      <c r="IYD3" s="98"/>
      <c r="IYE3" s="98"/>
      <c r="IYF3" s="98"/>
      <c r="IYG3" s="98"/>
      <c r="IYH3" s="98"/>
      <c r="IYI3" s="98"/>
      <c r="IYJ3" s="98"/>
      <c r="IYK3" s="98"/>
      <c r="IYL3" s="98"/>
      <c r="IYM3" s="98"/>
      <c r="IYN3" s="98"/>
      <c r="IYO3" s="98"/>
      <c r="IYP3" s="98"/>
      <c r="IYQ3" s="98"/>
      <c r="IYR3" s="98"/>
      <c r="IYS3" s="98"/>
      <c r="IYT3" s="98"/>
      <c r="IYU3" s="98"/>
      <c r="IYV3" s="98"/>
      <c r="IYW3" s="98"/>
      <c r="IYX3" s="98"/>
      <c r="IYY3" s="98"/>
      <c r="IYZ3" s="98"/>
      <c r="IZA3" s="98"/>
      <c r="IZB3" s="98"/>
      <c r="IZC3" s="98"/>
      <c r="IZD3" s="98"/>
      <c r="IZE3" s="98"/>
      <c r="IZF3" s="98"/>
      <c r="IZG3" s="98"/>
      <c r="IZH3" s="98"/>
      <c r="IZI3" s="98"/>
      <c r="IZJ3" s="98"/>
      <c r="IZK3" s="98"/>
      <c r="IZL3" s="98"/>
      <c r="IZM3" s="98"/>
      <c r="IZN3" s="98"/>
      <c r="IZO3" s="98"/>
      <c r="IZP3" s="98"/>
      <c r="IZQ3" s="98"/>
      <c r="IZR3" s="98"/>
      <c r="IZS3" s="98"/>
      <c r="IZT3" s="98"/>
      <c r="IZU3" s="98"/>
      <c r="IZV3" s="98"/>
      <c r="IZW3" s="98"/>
      <c r="IZX3" s="98"/>
      <c r="IZY3" s="98"/>
      <c r="IZZ3" s="98"/>
      <c r="JAA3" s="98"/>
      <c r="JAB3" s="98"/>
      <c r="JAC3" s="98"/>
      <c r="JAD3" s="98"/>
      <c r="JAE3" s="98"/>
      <c r="JAF3" s="98"/>
      <c r="JAG3" s="98"/>
      <c r="JAH3" s="98"/>
      <c r="JAI3" s="98"/>
      <c r="JAJ3" s="98"/>
      <c r="JAK3" s="98"/>
      <c r="JAL3" s="98"/>
      <c r="JAM3" s="98"/>
      <c r="JAN3" s="98"/>
      <c r="JAO3" s="98"/>
      <c r="JAP3" s="98"/>
      <c r="JAQ3" s="98"/>
      <c r="JAR3" s="98"/>
      <c r="JAS3" s="98"/>
      <c r="JAT3" s="98"/>
      <c r="JAU3" s="98"/>
      <c r="JAV3" s="98"/>
      <c r="JAW3" s="98"/>
      <c r="JAX3" s="98"/>
      <c r="JAY3" s="98"/>
      <c r="JAZ3" s="98"/>
      <c r="JBA3" s="98"/>
      <c r="JBB3" s="98"/>
      <c r="JBC3" s="98"/>
      <c r="JBD3" s="98"/>
      <c r="JBE3" s="98"/>
      <c r="JBF3" s="98"/>
      <c r="JBG3" s="98"/>
      <c r="JBH3" s="98"/>
      <c r="JBI3" s="98"/>
      <c r="JBJ3" s="98"/>
      <c r="JBK3" s="98"/>
      <c r="JBL3" s="98"/>
      <c r="JBM3" s="98"/>
      <c r="JBN3" s="98"/>
      <c r="JBO3" s="98"/>
      <c r="JBP3" s="98"/>
      <c r="JBQ3" s="98"/>
      <c r="JBR3" s="98"/>
      <c r="JBS3" s="98"/>
      <c r="JBT3" s="98"/>
      <c r="JBU3" s="98"/>
      <c r="JBV3" s="98"/>
      <c r="JBW3" s="98"/>
      <c r="JBX3" s="98"/>
      <c r="JBY3" s="98"/>
      <c r="JBZ3" s="98"/>
      <c r="JCA3" s="98"/>
      <c r="JCB3" s="98"/>
      <c r="JCC3" s="98"/>
      <c r="JCD3" s="98"/>
      <c r="JCE3" s="98"/>
      <c r="JCF3" s="98"/>
      <c r="JCG3" s="98"/>
      <c r="JCH3" s="98"/>
      <c r="JCI3" s="98"/>
      <c r="JCJ3" s="98"/>
      <c r="JCK3" s="98"/>
      <c r="JCL3" s="98"/>
      <c r="JCM3" s="98"/>
      <c r="JCN3" s="98"/>
      <c r="JCO3" s="98"/>
      <c r="JCP3" s="98"/>
      <c r="JCQ3" s="98"/>
      <c r="JCR3" s="98"/>
      <c r="JCS3" s="98"/>
      <c r="JCT3" s="98"/>
      <c r="JCU3" s="98"/>
      <c r="JCV3" s="98"/>
      <c r="JCW3" s="98"/>
      <c r="JCX3" s="98"/>
      <c r="JCY3" s="98"/>
      <c r="JCZ3" s="98"/>
      <c r="JDA3" s="98"/>
      <c r="JDB3" s="98"/>
      <c r="JDC3" s="98"/>
      <c r="JDD3" s="98"/>
      <c r="JDE3" s="98"/>
      <c r="JDF3" s="98"/>
      <c r="JDG3" s="98"/>
      <c r="JDH3" s="98"/>
      <c r="JDI3" s="98"/>
      <c r="JDJ3" s="98"/>
      <c r="JDK3" s="98"/>
      <c r="JDL3" s="98"/>
      <c r="JDM3" s="98"/>
      <c r="JDN3" s="98"/>
      <c r="JDO3" s="98"/>
      <c r="JDP3" s="98"/>
      <c r="JDQ3" s="98"/>
      <c r="JDR3" s="98"/>
      <c r="JDS3" s="98"/>
      <c r="JDT3" s="98"/>
      <c r="JDU3" s="98"/>
      <c r="JDV3" s="98"/>
      <c r="JDW3" s="98"/>
      <c r="JDX3" s="98"/>
      <c r="JDY3" s="98"/>
      <c r="JDZ3" s="98"/>
      <c r="JEA3" s="98"/>
      <c r="JEB3" s="98"/>
      <c r="JEC3" s="98"/>
      <c r="JED3" s="98"/>
      <c r="JEE3" s="98"/>
      <c r="JEF3" s="98"/>
      <c r="JEG3" s="98"/>
      <c r="JEH3" s="98"/>
      <c r="JEI3" s="98"/>
      <c r="JEJ3" s="98"/>
      <c r="JEK3" s="98"/>
      <c r="JEL3" s="98"/>
      <c r="JEM3" s="98"/>
      <c r="JEN3" s="98"/>
      <c r="JEO3" s="98"/>
      <c r="JEP3" s="98"/>
      <c r="JEQ3" s="98"/>
      <c r="JER3" s="98"/>
      <c r="JES3" s="98"/>
      <c r="JET3" s="98"/>
      <c r="JEU3" s="98"/>
      <c r="JEV3" s="98"/>
      <c r="JEW3" s="98"/>
      <c r="JEX3" s="98"/>
      <c r="JEY3" s="98"/>
      <c r="JEZ3" s="98"/>
      <c r="JFA3" s="98"/>
      <c r="JFB3" s="98"/>
      <c r="JFC3" s="98"/>
      <c r="JFD3" s="98"/>
      <c r="JFE3" s="98"/>
      <c r="JFF3" s="98"/>
      <c r="JFG3" s="98"/>
      <c r="JFH3" s="98"/>
      <c r="JFI3" s="98"/>
      <c r="JFJ3" s="98"/>
      <c r="JFK3" s="98"/>
      <c r="JFL3" s="98"/>
      <c r="JFM3" s="98"/>
      <c r="JFN3" s="98"/>
      <c r="JFO3" s="98"/>
      <c r="JFP3" s="98"/>
      <c r="JFQ3" s="98"/>
      <c r="JFR3" s="98"/>
      <c r="JFS3" s="98"/>
      <c r="JFT3" s="98"/>
      <c r="JFU3" s="98"/>
      <c r="JFV3" s="98"/>
      <c r="JFW3" s="98"/>
      <c r="JFX3" s="98"/>
      <c r="JFY3" s="98"/>
      <c r="JFZ3" s="98"/>
      <c r="JGA3" s="98"/>
      <c r="JGB3" s="98"/>
      <c r="JGC3" s="98"/>
      <c r="JGD3" s="98"/>
      <c r="JGE3" s="98"/>
      <c r="JGF3" s="98"/>
      <c r="JGG3" s="98"/>
      <c r="JGH3" s="98"/>
      <c r="JGI3" s="98"/>
      <c r="JGJ3" s="98"/>
      <c r="JGK3" s="98"/>
      <c r="JGL3" s="98"/>
      <c r="JGM3" s="98"/>
      <c r="JGN3" s="98"/>
      <c r="JGO3" s="98"/>
      <c r="JGP3" s="98"/>
      <c r="JGQ3" s="98"/>
      <c r="JGR3" s="98"/>
      <c r="JGS3" s="98"/>
      <c r="JGT3" s="98"/>
      <c r="JGU3" s="98"/>
      <c r="JGV3" s="98"/>
      <c r="JGW3" s="98"/>
      <c r="JGX3" s="98"/>
      <c r="JGY3" s="98"/>
      <c r="JGZ3" s="98"/>
      <c r="JHA3" s="98"/>
      <c r="JHB3" s="98"/>
      <c r="JHC3" s="98"/>
      <c r="JHD3" s="98"/>
      <c r="JHE3" s="98"/>
      <c r="JHF3" s="98"/>
      <c r="JHG3" s="98"/>
      <c r="JHH3" s="98"/>
      <c r="JHI3" s="98"/>
      <c r="JHJ3" s="98"/>
      <c r="JHK3" s="98"/>
      <c r="JHL3" s="98"/>
      <c r="JHM3" s="98"/>
      <c r="JHN3" s="98"/>
      <c r="JHO3" s="98"/>
      <c r="JHP3" s="98"/>
      <c r="JHQ3" s="98"/>
      <c r="JHR3" s="98"/>
      <c r="JHS3" s="98"/>
      <c r="JHT3" s="98"/>
      <c r="JHU3" s="98"/>
      <c r="JHV3" s="98"/>
      <c r="JHW3" s="98"/>
      <c r="JHX3" s="98"/>
      <c r="JHY3" s="98"/>
      <c r="JHZ3" s="98"/>
      <c r="JIA3" s="98"/>
      <c r="JIB3" s="98"/>
      <c r="JIC3" s="98"/>
      <c r="JID3" s="98"/>
      <c r="JIE3" s="98"/>
      <c r="JIF3" s="98"/>
      <c r="JIG3" s="98"/>
      <c r="JIH3" s="98"/>
      <c r="JII3" s="98"/>
      <c r="JIJ3" s="98"/>
      <c r="JIK3" s="98"/>
      <c r="JIL3" s="98"/>
      <c r="JIM3" s="98"/>
      <c r="JIN3" s="98"/>
      <c r="JIO3" s="98"/>
      <c r="JIP3" s="98"/>
      <c r="JIQ3" s="98"/>
      <c r="JIR3" s="98"/>
      <c r="JIS3" s="98"/>
      <c r="JIT3" s="98"/>
      <c r="JIU3" s="98"/>
      <c r="JIV3" s="98"/>
      <c r="JIW3" s="98"/>
      <c r="JIX3" s="98"/>
      <c r="JIY3" s="98"/>
      <c r="JIZ3" s="98"/>
      <c r="JJA3" s="98"/>
      <c r="JJB3" s="98"/>
      <c r="JJC3" s="98"/>
      <c r="JJD3" s="98"/>
      <c r="JJE3" s="98"/>
      <c r="JJF3" s="98"/>
      <c r="JJG3" s="98"/>
      <c r="JJH3" s="98"/>
      <c r="JJI3" s="98"/>
      <c r="JJJ3" s="98"/>
      <c r="JJK3" s="98"/>
      <c r="JJL3" s="98"/>
      <c r="JJM3" s="98"/>
      <c r="JJN3" s="98"/>
      <c r="JJO3" s="98"/>
      <c r="JJP3" s="98"/>
      <c r="JJQ3" s="98"/>
      <c r="JJR3" s="98"/>
      <c r="JJS3" s="98"/>
      <c r="JJT3" s="98"/>
      <c r="JJU3" s="98"/>
      <c r="JJV3" s="98"/>
      <c r="JJW3" s="98"/>
      <c r="JJX3" s="98"/>
      <c r="JJY3" s="98"/>
      <c r="JJZ3" s="98"/>
      <c r="JKA3" s="98"/>
      <c r="JKB3" s="98"/>
      <c r="JKC3" s="98"/>
      <c r="JKD3" s="98"/>
      <c r="JKE3" s="98"/>
      <c r="JKF3" s="98"/>
      <c r="JKG3" s="98"/>
      <c r="JKH3" s="98"/>
      <c r="JKI3" s="98"/>
      <c r="JKJ3" s="98"/>
      <c r="JKK3" s="98"/>
      <c r="JKL3" s="98"/>
      <c r="JKM3" s="98"/>
      <c r="JKN3" s="98"/>
      <c r="JKO3" s="98"/>
      <c r="JKP3" s="98"/>
      <c r="JKQ3" s="98"/>
      <c r="JKR3" s="98"/>
      <c r="JKS3" s="98"/>
      <c r="JKT3" s="98"/>
      <c r="JKU3" s="98"/>
      <c r="JKV3" s="98"/>
      <c r="JKW3" s="98"/>
      <c r="JKX3" s="98"/>
      <c r="JKY3" s="98"/>
      <c r="JKZ3" s="98"/>
      <c r="JLA3" s="98"/>
      <c r="JLB3" s="98"/>
      <c r="JLC3" s="98"/>
      <c r="JLD3" s="98"/>
      <c r="JLE3" s="98"/>
      <c r="JLF3" s="98"/>
      <c r="JLG3" s="98"/>
      <c r="JLH3" s="98"/>
      <c r="JLI3" s="98"/>
      <c r="JLJ3" s="98"/>
      <c r="JLK3" s="98"/>
      <c r="JLL3" s="98"/>
      <c r="JLM3" s="98"/>
      <c r="JLN3" s="98"/>
      <c r="JLO3" s="98"/>
      <c r="JLP3" s="98"/>
      <c r="JLQ3" s="98"/>
      <c r="JLR3" s="98"/>
      <c r="JLS3" s="98"/>
      <c r="JLT3" s="98"/>
      <c r="JLU3" s="98"/>
      <c r="JLV3" s="98"/>
      <c r="JLW3" s="98"/>
      <c r="JLX3" s="98"/>
      <c r="JLY3" s="98"/>
      <c r="JLZ3" s="98"/>
      <c r="JMA3" s="98"/>
      <c r="JMB3" s="98"/>
      <c r="JMC3" s="98"/>
      <c r="JMD3" s="98"/>
      <c r="JME3" s="98"/>
      <c r="JMF3" s="98"/>
      <c r="JMG3" s="98"/>
      <c r="JMH3" s="98"/>
      <c r="JMI3" s="98"/>
      <c r="JMJ3" s="98"/>
      <c r="JMK3" s="98"/>
      <c r="JML3" s="98"/>
      <c r="JMM3" s="98"/>
      <c r="JMN3" s="98"/>
      <c r="JMO3" s="98"/>
      <c r="JMP3" s="98"/>
      <c r="JMQ3" s="98"/>
      <c r="JMR3" s="98"/>
      <c r="JMS3" s="98"/>
      <c r="JMT3" s="98"/>
      <c r="JMU3" s="98"/>
      <c r="JMV3" s="98"/>
      <c r="JMW3" s="98"/>
      <c r="JMX3" s="98"/>
      <c r="JMY3" s="98"/>
      <c r="JMZ3" s="98"/>
      <c r="JNA3" s="98"/>
      <c r="JNB3" s="98"/>
      <c r="JNC3" s="98"/>
      <c r="JND3" s="98"/>
      <c r="JNE3" s="98"/>
      <c r="JNF3" s="98"/>
      <c r="JNG3" s="98"/>
      <c r="JNH3" s="98"/>
      <c r="JNI3" s="98"/>
      <c r="JNJ3" s="98"/>
      <c r="JNK3" s="98"/>
      <c r="JNL3" s="98"/>
      <c r="JNM3" s="98"/>
      <c r="JNN3" s="98"/>
      <c r="JNO3" s="98"/>
      <c r="JNP3" s="98"/>
      <c r="JNQ3" s="98"/>
      <c r="JNR3" s="98"/>
      <c r="JNS3" s="98"/>
      <c r="JNT3" s="98"/>
      <c r="JNU3" s="98"/>
      <c r="JNV3" s="98"/>
      <c r="JNW3" s="98"/>
      <c r="JNX3" s="98"/>
      <c r="JNY3" s="98"/>
      <c r="JNZ3" s="98"/>
      <c r="JOA3" s="98"/>
      <c r="JOB3" s="98"/>
      <c r="JOC3" s="98"/>
      <c r="JOD3" s="98"/>
      <c r="JOE3" s="98"/>
      <c r="JOF3" s="98"/>
      <c r="JOG3" s="98"/>
      <c r="JOH3" s="98"/>
      <c r="JOI3" s="98"/>
      <c r="JOJ3" s="98"/>
      <c r="JOK3" s="98"/>
      <c r="JOL3" s="98"/>
      <c r="JOM3" s="98"/>
      <c r="JON3" s="98"/>
      <c r="JOO3" s="98"/>
      <c r="JOP3" s="98"/>
      <c r="JOQ3" s="98"/>
      <c r="JOR3" s="98"/>
      <c r="JOS3" s="98"/>
      <c r="JOT3" s="98"/>
      <c r="JOU3" s="98"/>
      <c r="JOV3" s="98"/>
      <c r="JOW3" s="98"/>
      <c r="JOX3" s="98"/>
      <c r="JOY3" s="98"/>
      <c r="JOZ3" s="98"/>
      <c r="JPA3" s="98"/>
      <c r="JPB3" s="98"/>
      <c r="JPC3" s="98"/>
      <c r="JPD3" s="98"/>
      <c r="JPE3" s="98"/>
      <c r="JPF3" s="98"/>
      <c r="JPG3" s="98"/>
      <c r="JPH3" s="98"/>
      <c r="JPI3" s="98"/>
      <c r="JPJ3" s="98"/>
      <c r="JPK3" s="98"/>
      <c r="JPL3" s="98"/>
      <c r="JPM3" s="98"/>
      <c r="JPN3" s="98"/>
      <c r="JPO3" s="98"/>
      <c r="JPP3" s="98"/>
      <c r="JPQ3" s="98"/>
      <c r="JPR3" s="98"/>
      <c r="JPS3" s="98"/>
      <c r="JPT3" s="98"/>
      <c r="JPU3" s="98"/>
      <c r="JPV3" s="98"/>
      <c r="JPW3" s="98"/>
      <c r="JPX3" s="98"/>
      <c r="JPY3" s="98"/>
      <c r="JPZ3" s="98"/>
      <c r="JQA3" s="98"/>
      <c r="JQB3" s="98"/>
      <c r="JQC3" s="98"/>
      <c r="JQD3" s="98"/>
      <c r="JQE3" s="98"/>
      <c r="JQF3" s="98"/>
      <c r="JQG3" s="98"/>
      <c r="JQH3" s="98"/>
      <c r="JQI3" s="98"/>
      <c r="JQJ3" s="98"/>
      <c r="JQK3" s="98"/>
      <c r="JQL3" s="98"/>
      <c r="JQM3" s="98"/>
      <c r="JQN3" s="98"/>
      <c r="JQO3" s="98"/>
      <c r="JQP3" s="98"/>
      <c r="JQQ3" s="98"/>
      <c r="JQR3" s="98"/>
      <c r="JQS3" s="98"/>
      <c r="JQT3" s="98"/>
      <c r="JQU3" s="98"/>
      <c r="JQV3" s="98"/>
      <c r="JQW3" s="98"/>
      <c r="JQX3" s="98"/>
      <c r="JQY3" s="98"/>
      <c r="JQZ3" s="98"/>
      <c r="JRA3" s="98"/>
      <c r="JRB3" s="98"/>
      <c r="JRC3" s="98"/>
      <c r="JRD3" s="98"/>
      <c r="JRE3" s="98"/>
      <c r="JRF3" s="98"/>
      <c r="JRG3" s="98"/>
      <c r="JRH3" s="98"/>
      <c r="JRI3" s="98"/>
      <c r="JRJ3" s="98"/>
      <c r="JRK3" s="98"/>
      <c r="JRL3" s="98"/>
      <c r="JRM3" s="98"/>
      <c r="JRN3" s="98"/>
      <c r="JRO3" s="98"/>
      <c r="JRP3" s="98"/>
      <c r="JRQ3" s="98"/>
      <c r="JRR3" s="98"/>
      <c r="JRS3" s="98"/>
      <c r="JRT3" s="98"/>
      <c r="JRU3" s="98"/>
      <c r="JRV3" s="98"/>
      <c r="JRW3" s="98"/>
      <c r="JRX3" s="98"/>
      <c r="JRY3" s="98"/>
      <c r="JRZ3" s="98"/>
      <c r="JSA3" s="98"/>
      <c r="JSB3" s="98"/>
      <c r="JSC3" s="98"/>
      <c r="JSD3" s="98"/>
      <c r="JSE3" s="98"/>
      <c r="JSF3" s="98"/>
      <c r="JSG3" s="98"/>
      <c r="JSH3" s="98"/>
      <c r="JSI3" s="98"/>
      <c r="JSJ3" s="98"/>
      <c r="JSK3" s="98"/>
      <c r="JSL3" s="98"/>
      <c r="JSM3" s="98"/>
      <c r="JSN3" s="98"/>
      <c r="JSO3" s="98"/>
      <c r="JSP3" s="98"/>
      <c r="JSQ3" s="98"/>
      <c r="JSR3" s="98"/>
      <c r="JSS3" s="98"/>
      <c r="JST3" s="98"/>
      <c r="JSU3" s="98"/>
      <c r="JSV3" s="98"/>
      <c r="JSW3" s="98"/>
      <c r="JSX3" s="98"/>
      <c r="JSY3" s="98"/>
      <c r="JSZ3" s="98"/>
      <c r="JTA3" s="98"/>
      <c r="JTB3" s="98"/>
      <c r="JTC3" s="98"/>
      <c r="JTD3" s="98"/>
      <c r="JTE3" s="98"/>
      <c r="JTF3" s="98"/>
      <c r="JTG3" s="98"/>
      <c r="JTH3" s="98"/>
      <c r="JTI3" s="98"/>
      <c r="JTJ3" s="98"/>
      <c r="JTK3" s="98"/>
      <c r="JTL3" s="98"/>
      <c r="JTM3" s="98"/>
      <c r="JTN3" s="98"/>
      <c r="JTO3" s="98"/>
      <c r="JTP3" s="98"/>
      <c r="JTQ3" s="98"/>
      <c r="JTR3" s="98"/>
      <c r="JTS3" s="98"/>
      <c r="JTT3" s="98"/>
      <c r="JTU3" s="98"/>
      <c r="JTV3" s="98"/>
      <c r="JTW3" s="98"/>
      <c r="JTX3" s="98"/>
      <c r="JTY3" s="98"/>
      <c r="JTZ3" s="98"/>
      <c r="JUA3" s="98"/>
      <c r="JUB3" s="98"/>
      <c r="JUC3" s="98"/>
      <c r="JUD3" s="98"/>
      <c r="JUE3" s="98"/>
      <c r="JUF3" s="98"/>
      <c r="JUG3" s="98"/>
      <c r="JUH3" s="98"/>
      <c r="JUI3" s="98"/>
      <c r="JUJ3" s="98"/>
      <c r="JUK3" s="98"/>
      <c r="JUL3" s="98"/>
      <c r="JUM3" s="98"/>
      <c r="JUN3" s="98"/>
      <c r="JUO3" s="98"/>
      <c r="JUP3" s="98"/>
      <c r="JUQ3" s="98"/>
      <c r="JUR3" s="98"/>
      <c r="JUS3" s="98"/>
      <c r="JUT3" s="98"/>
      <c r="JUU3" s="98"/>
      <c r="JUV3" s="98"/>
      <c r="JUW3" s="98"/>
      <c r="JUX3" s="98"/>
      <c r="JUY3" s="98"/>
      <c r="JUZ3" s="98"/>
      <c r="JVA3" s="98"/>
      <c r="JVB3" s="98"/>
      <c r="JVC3" s="98"/>
      <c r="JVD3" s="98"/>
      <c r="JVE3" s="98"/>
      <c r="JVF3" s="98"/>
      <c r="JVG3" s="98"/>
      <c r="JVH3" s="98"/>
      <c r="JVI3" s="98"/>
      <c r="JVJ3" s="98"/>
      <c r="JVK3" s="98"/>
      <c r="JVL3" s="98"/>
      <c r="JVM3" s="98"/>
      <c r="JVN3" s="98"/>
      <c r="JVO3" s="98"/>
      <c r="JVP3" s="98"/>
      <c r="JVQ3" s="98"/>
      <c r="JVR3" s="98"/>
      <c r="JVS3" s="98"/>
      <c r="JVT3" s="98"/>
      <c r="JVU3" s="98"/>
      <c r="JVV3" s="98"/>
      <c r="JVW3" s="98"/>
      <c r="JVX3" s="98"/>
      <c r="JVY3" s="98"/>
      <c r="JVZ3" s="98"/>
      <c r="JWA3" s="98"/>
      <c r="JWB3" s="98"/>
      <c r="JWC3" s="98"/>
      <c r="JWD3" s="98"/>
      <c r="JWE3" s="98"/>
      <c r="JWF3" s="98"/>
      <c r="JWG3" s="98"/>
      <c r="JWH3" s="98"/>
      <c r="JWI3" s="98"/>
      <c r="JWJ3" s="98"/>
      <c r="JWK3" s="98"/>
      <c r="JWL3" s="98"/>
      <c r="JWM3" s="98"/>
      <c r="JWN3" s="98"/>
      <c r="JWO3" s="98"/>
      <c r="JWP3" s="98"/>
      <c r="JWQ3" s="98"/>
      <c r="JWR3" s="98"/>
      <c r="JWS3" s="98"/>
      <c r="JWT3" s="98"/>
      <c r="JWU3" s="98"/>
      <c r="JWV3" s="98"/>
      <c r="JWW3" s="98"/>
      <c r="JWX3" s="98"/>
      <c r="JWY3" s="98"/>
      <c r="JWZ3" s="98"/>
      <c r="JXA3" s="98"/>
      <c r="JXB3" s="98"/>
      <c r="JXC3" s="98"/>
      <c r="JXD3" s="98"/>
      <c r="JXE3" s="98"/>
      <c r="JXF3" s="98"/>
      <c r="JXG3" s="98"/>
      <c r="JXH3" s="98"/>
      <c r="JXI3" s="98"/>
      <c r="JXJ3" s="98"/>
      <c r="JXK3" s="98"/>
      <c r="JXL3" s="98"/>
      <c r="JXM3" s="98"/>
      <c r="JXN3" s="98"/>
      <c r="JXO3" s="98"/>
      <c r="JXP3" s="98"/>
      <c r="JXQ3" s="98"/>
      <c r="JXR3" s="98"/>
      <c r="JXS3" s="98"/>
      <c r="JXT3" s="98"/>
      <c r="JXU3" s="98"/>
      <c r="JXV3" s="98"/>
      <c r="JXW3" s="98"/>
      <c r="JXX3" s="98"/>
      <c r="JXY3" s="98"/>
      <c r="JXZ3" s="98"/>
      <c r="JYA3" s="98"/>
      <c r="JYB3" s="98"/>
      <c r="JYC3" s="98"/>
      <c r="JYD3" s="98"/>
      <c r="JYE3" s="98"/>
      <c r="JYF3" s="98"/>
      <c r="JYG3" s="98"/>
      <c r="JYH3" s="98"/>
      <c r="JYI3" s="98"/>
      <c r="JYJ3" s="98"/>
      <c r="JYK3" s="98"/>
      <c r="JYL3" s="98"/>
      <c r="JYM3" s="98"/>
      <c r="JYN3" s="98"/>
      <c r="JYO3" s="98"/>
      <c r="JYP3" s="98"/>
      <c r="JYQ3" s="98"/>
      <c r="JYR3" s="98"/>
      <c r="JYS3" s="98"/>
      <c r="JYT3" s="98"/>
      <c r="JYU3" s="98"/>
      <c r="JYV3" s="98"/>
      <c r="JYW3" s="98"/>
      <c r="JYX3" s="98"/>
      <c r="JYY3" s="98"/>
      <c r="JYZ3" s="98"/>
      <c r="JZA3" s="98"/>
      <c r="JZB3" s="98"/>
      <c r="JZC3" s="98"/>
      <c r="JZD3" s="98"/>
      <c r="JZE3" s="98"/>
      <c r="JZF3" s="98"/>
      <c r="JZG3" s="98"/>
      <c r="JZH3" s="98"/>
      <c r="JZI3" s="98"/>
      <c r="JZJ3" s="98"/>
      <c r="JZK3" s="98"/>
      <c r="JZL3" s="98"/>
      <c r="JZM3" s="98"/>
      <c r="JZN3" s="98"/>
      <c r="JZO3" s="98"/>
      <c r="JZP3" s="98"/>
      <c r="JZQ3" s="98"/>
      <c r="JZR3" s="98"/>
      <c r="JZS3" s="98"/>
      <c r="JZT3" s="98"/>
      <c r="JZU3" s="98"/>
      <c r="JZV3" s="98"/>
      <c r="JZW3" s="98"/>
      <c r="JZX3" s="98"/>
      <c r="JZY3" s="98"/>
      <c r="JZZ3" s="98"/>
      <c r="KAA3" s="98"/>
      <c r="KAB3" s="98"/>
      <c r="KAC3" s="98"/>
      <c r="KAD3" s="98"/>
      <c r="KAE3" s="98"/>
      <c r="KAF3" s="98"/>
      <c r="KAG3" s="98"/>
      <c r="KAH3" s="98"/>
      <c r="KAI3" s="98"/>
      <c r="KAJ3" s="98"/>
      <c r="KAK3" s="98"/>
      <c r="KAL3" s="98"/>
      <c r="KAM3" s="98"/>
      <c r="KAN3" s="98"/>
      <c r="KAO3" s="98"/>
      <c r="KAP3" s="98"/>
      <c r="KAQ3" s="98"/>
      <c r="KAR3" s="98"/>
      <c r="KAS3" s="98"/>
      <c r="KAT3" s="98"/>
      <c r="KAU3" s="98"/>
      <c r="KAV3" s="98"/>
      <c r="KAW3" s="98"/>
      <c r="KAX3" s="98"/>
      <c r="KAY3" s="98"/>
      <c r="KAZ3" s="98"/>
      <c r="KBA3" s="98"/>
      <c r="KBB3" s="98"/>
      <c r="KBC3" s="98"/>
      <c r="KBD3" s="98"/>
      <c r="KBE3" s="98"/>
      <c r="KBF3" s="98"/>
      <c r="KBG3" s="98"/>
      <c r="KBH3" s="98"/>
      <c r="KBI3" s="98"/>
      <c r="KBJ3" s="98"/>
      <c r="KBK3" s="98"/>
      <c r="KBL3" s="98"/>
      <c r="KBM3" s="98"/>
      <c r="KBN3" s="98"/>
      <c r="KBO3" s="98"/>
      <c r="KBP3" s="98"/>
      <c r="KBQ3" s="98"/>
      <c r="KBR3" s="98"/>
      <c r="KBS3" s="98"/>
      <c r="KBT3" s="98"/>
      <c r="KBU3" s="98"/>
      <c r="KBV3" s="98"/>
      <c r="KBW3" s="98"/>
      <c r="KBX3" s="98"/>
      <c r="KBY3" s="98"/>
      <c r="KBZ3" s="98"/>
      <c r="KCA3" s="98"/>
      <c r="KCB3" s="98"/>
      <c r="KCC3" s="98"/>
      <c r="KCD3" s="98"/>
      <c r="KCE3" s="98"/>
      <c r="KCF3" s="98"/>
      <c r="KCG3" s="98"/>
      <c r="KCH3" s="98"/>
      <c r="KCI3" s="98"/>
      <c r="KCJ3" s="98"/>
      <c r="KCK3" s="98"/>
      <c r="KCL3" s="98"/>
      <c r="KCM3" s="98"/>
      <c r="KCN3" s="98"/>
      <c r="KCO3" s="98"/>
      <c r="KCP3" s="98"/>
      <c r="KCQ3" s="98"/>
      <c r="KCR3" s="98"/>
      <c r="KCS3" s="98"/>
      <c r="KCT3" s="98"/>
      <c r="KCU3" s="98"/>
      <c r="KCV3" s="98"/>
      <c r="KCW3" s="98"/>
      <c r="KCX3" s="98"/>
      <c r="KCY3" s="98"/>
      <c r="KCZ3" s="98"/>
      <c r="KDA3" s="98"/>
      <c r="KDB3" s="98"/>
      <c r="KDC3" s="98"/>
      <c r="KDD3" s="98"/>
      <c r="KDE3" s="98"/>
      <c r="KDF3" s="98"/>
      <c r="KDG3" s="98"/>
      <c r="KDH3" s="98"/>
      <c r="KDI3" s="98"/>
      <c r="KDJ3" s="98"/>
      <c r="KDK3" s="98"/>
      <c r="KDL3" s="98"/>
      <c r="KDM3" s="98"/>
      <c r="KDN3" s="98"/>
      <c r="KDO3" s="98"/>
      <c r="KDP3" s="98"/>
      <c r="KDQ3" s="98"/>
      <c r="KDR3" s="98"/>
      <c r="KDS3" s="98"/>
      <c r="KDT3" s="98"/>
      <c r="KDU3" s="98"/>
      <c r="KDV3" s="98"/>
      <c r="KDW3" s="98"/>
      <c r="KDX3" s="98"/>
      <c r="KDY3" s="98"/>
      <c r="KDZ3" s="98"/>
      <c r="KEA3" s="98"/>
      <c r="KEB3" s="98"/>
      <c r="KEC3" s="98"/>
      <c r="KED3" s="98"/>
      <c r="KEE3" s="98"/>
      <c r="KEF3" s="98"/>
      <c r="KEG3" s="98"/>
      <c r="KEH3" s="98"/>
      <c r="KEI3" s="98"/>
      <c r="KEJ3" s="98"/>
      <c r="KEK3" s="98"/>
      <c r="KEL3" s="98"/>
      <c r="KEM3" s="98"/>
      <c r="KEN3" s="98"/>
      <c r="KEO3" s="98"/>
      <c r="KEP3" s="98"/>
      <c r="KEQ3" s="98"/>
      <c r="KER3" s="98"/>
      <c r="KES3" s="98"/>
      <c r="KET3" s="98"/>
      <c r="KEU3" s="98"/>
      <c r="KEV3" s="98"/>
      <c r="KEW3" s="98"/>
      <c r="KEX3" s="98"/>
      <c r="KEY3" s="98"/>
      <c r="KEZ3" s="98"/>
      <c r="KFA3" s="98"/>
      <c r="KFB3" s="98"/>
      <c r="KFC3" s="98"/>
      <c r="KFD3" s="98"/>
      <c r="KFE3" s="98"/>
      <c r="KFF3" s="98"/>
      <c r="KFG3" s="98"/>
      <c r="KFH3" s="98"/>
      <c r="KFI3" s="98"/>
      <c r="KFJ3" s="98"/>
      <c r="KFK3" s="98"/>
      <c r="KFL3" s="98"/>
      <c r="KFM3" s="98"/>
      <c r="KFN3" s="98"/>
      <c r="KFO3" s="98"/>
      <c r="KFP3" s="98"/>
      <c r="KFQ3" s="98"/>
      <c r="KFR3" s="98"/>
      <c r="KFS3" s="98"/>
      <c r="KFT3" s="98"/>
      <c r="KFU3" s="98"/>
      <c r="KFV3" s="98"/>
      <c r="KFW3" s="98"/>
      <c r="KFX3" s="98"/>
      <c r="KFY3" s="98"/>
      <c r="KFZ3" s="98"/>
      <c r="KGA3" s="98"/>
      <c r="KGB3" s="98"/>
      <c r="KGC3" s="98"/>
      <c r="KGD3" s="98"/>
      <c r="KGE3" s="98"/>
      <c r="KGF3" s="98"/>
      <c r="KGG3" s="98"/>
      <c r="KGH3" s="98"/>
      <c r="KGI3" s="98"/>
      <c r="KGJ3" s="98"/>
      <c r="KGK3" s="98"/>
      <c r="KGL3" s="98"/>
      <c r="KGM3" s="98"/>
      <c r="KGN3" s="98"/>
      <c r="KGO3" s="98"/>
      <c r="KGP3" s="98"/>
      <c r="KGQ3" s="98"/>
      <c r="KGR3" s="98"/>
      <c r="KGS3" s="98"/>
      <c r="KGT3" s="98"/>
      <c r="KGU3" s="98"/>
      <c r="KGV3" s="98"/>
      <c r="KGW3" s="98"/>
      <c r="KGX3" s="98"/>
      <c r="KGY3" s="98"/>
      <c r="KGZ3" s="98"/>
      <c r="KHA3" s="98"/>
      <c r="KHB3" s="98"/>
      <c r="KHC3" s="98"/>
      <c r="KHD3" s="98"/>
      <c r="KHE3" s="98"/>
      <c r="KHF3" s="98"/>
      <c r="KHG3" s="98"/>
      <c r="KHH3" s="98"/>
      <c r="KHI3" s="98"/>
      <c r="KHJ3" s="98"/>
      <c r="KHK3" s="98"/>
      <c r="KHL3" s="98"/>
      <c r="KHM3" s="98"/>
      <c r="KHN3" s="98"/>
      <c r="KHO3" s="98"/>
      <c r="KHP3" s="98"/>
      <c r="KHQ3" s="98"/>
      <c r="KHR3" s="98"/>
      <c r="KHS3" s="98"/>
      <c r="KHT3" s="98"/>
      <c r="KHU3" s="98"/>
      <c r="KHV3" s="98"/>
      <c r="KHW3" s="98"/>
      <c r="KHX3" s="98"/>
      <c r="KHY3" s="98"/>
      <c r="KHZ3" s="98"/>
      <c r="KIA3" s="98"/>
      <c r="KIB3" s="98"/>
      <c r="KIC3" s="98"/>
      <c r="KID3" s="98"/>
      <c r="KIE3" s="98"/>
      <c r="KIF3" s="98"/>
      <c r="KIG3" s="98"/>
      <c r="KIH3" s="98"/>
      <c r="KII3" s="98"/>
      <c r="KIJ3" s="98"/>
      <c r="KIK3" s="98"/>
      <c r="KIL3" s="98"/>
      <c r="KIM3" s="98"/>
      <c r="KIN3" s="98"/>
      <c r="KIO3" s="98"/>
      <c r="KIP3" s="98"/>
      <c r="KIQ3" s="98"/>
      <c r="KIR3" s="98"/>
      <c r="KIS3" s="98"/>
      <c r="KIT3" s="98"/>
      <c r="KIU3" s="98"/>
      <c r="KIV3" s="98"/>
      <c r="KIW3" s="98"/>
      <c r="KIX3" s="98"/>
      <c r="KIY3" s="98"/>
      <c r="KIZ3" s="98"/>
      <c r="KJA3" s="98"/>
      <c r="KJB3" s="98"/>
      <c r="KJC3" s="98"/>
      <c r="KJD3" s="98"/>
      <c r="KJE3" s="98"/>
      <c r="KJF3" s="98"/>
      <c r="KJG3" s="98"/>
      <c r="KJH3" s="98"/>
      <c r="KJI3" s="98"/>
      <c r="KJJ3" s="98"/>
      <c r="KJK3" s="98"/>
      <c r="KJL3" s="98"/>
      <c r="KJM3" s="98"/>
      <c r="KJN3" s="98"/>
      <c r="KJO3" s="98"/>
      <c r="KJP3" s="98"/>
      <c r="KJQ3" s="98"/>
      <c r="KJR3" s="98"/>
      <c r="KJS3" s="98"/>
      <c r="KJT3" s="98"/>
      <c r="KJU3" s="98"/>
      <c r="KJV3" s="98"/>
      <c r="KJW3" s="98"/>
      <c r="KJX3" s="98"/>
      <c r="KJY3" s="98"/>
      <c r="KJZ3" s="98"/>
      <c r="KKA3" s="98"/>
      <c r="KKB3" s="98"/>
      <c r="KKC3" s="98"/>
      <c r="KKD3" s="98"/>
      <c r="KKE3" s="98"/>
      <c r="KKF3" s="98"/>
      <c r="KKG3" s="98"/>
      <c r="KKH3" s="98"/>
      <c r="KKI3" s="98"/>
      <c r="KKJ3" s="98"/>
      <c r="KKK3" s="98"/>
      <c r="KKL3" s="98"/>
      <c r="KKM3" s="98"/>
      <c r="KKN3" s="98"/>
      <c r="KKO3" s="98"/>
      <c r="KKP3" s="98"/>
      <c r="KKQ3" s="98"/>
      <c r="KKR3" s="98"/>
      <c r="KKS3" s="98"/>
      <c r="KKT3" s="98"/>
      <c r="KKU3" s="98"/>
      <c r="KKV3" s="98"/>
      <c r="KKW3" s="98"/>
      <c r="KKX3" s="98"/>
      <c r="KKY3" s="98"/>
      <c r="KKZ3" s="98"/>
      <c r="KLA3" s="98"/>
      <c r="KLB3" s="98"/>
      <c r="KLC3" s="98"/>
      <c r="KLD3" s="98"/>
      <c r="KLE3" s="98"/>
      <c r="KLF3" s="98"/>
      <c r="KLG3" s="98"/>
      <c r="KLH3" s="98"/>
      <c r="KLI3" s="98"/>
      <c r="KLJ3" s="98"/>
      <c r="KLK3" s="98"/>
      <c r="KLL3" s="98"/>
      <c r="KLM3" s="98"/>
      <c r="KLN3" s="98"/>
      <c r="KLO3" s="98"/>
      <c r="KLP3" s="98"/>
      <c r="KLQ3" s="98"/>
      <c r="KLR3" s="98"/>
      <c r="KLS3" s="98"/>
      <c r="KLT3" s="98"/>
      <c r="KLU3" s="98"/>
      <c r="KLV3" s="98"/>
      <c r="KLW3" s="98"/>
      <c r="KLX3" s="98"/>
      <c r="KLY3" s="98"/>
      <c r="KLZ3" s="98"/>
      <c r="KMA3" s="98"/>
      <c r="KMB3" s="98"/>
      <c r="KMC3" s="98"/>
      <c r="KMD3" s="98"/>
      <c r="KME3" s="98"/>
      <c r="KMF3" s="98"/>
      <c r="KMG3" s="98"/>
      <c r="KMH3" s="98"/>
      <c r="KMI3" s="98"/>
      <c r="KMJ3" s="98"/>
      <c r="KMK3" s="98"/>
      <c r="KML3" s="98"/>
      <c r="KMM3" s="98"/>
      <c r="KMN3" s="98"/>
      <c r="KMO3" s="98"/>
      <c r="KMP3" s="98"/>
      <c r="KMQ3" s="98"/>
      <c r="KMR3" s="98"/>
      <c r="KMS3" s="98"/>
      <c r="KMT3" s="98"/>
      <c r="KMU3" s="98"/>
      <c r="KMV3" s="98"/>
      <c r="KMW3" s="98"/>
      <c r="KMX3" s="98"/>
      <c r="KMY3" s="98"/>
      <c r="KMZ3" s="98"/>
      <c r="KNA3" s="98"/>
      <c r="KNB3" s="98"/>
      <c r="KNC3" s="98"/>
      <c r="KND3" s="98"/>
      <c r="KNE3" s="98"/>
      <c r="KNF3" s="98"/>
      <c r="KNG3" s="98"/>
      <c r="KNH3" s="98"/>
      <c r="KNI3" s="98"/>
      <c r="KNJ3" s="98"/>
      <c r="KNK3" s="98"/>
      <c r="KNL3" s="98"/>
      <c r="KNM3" s="98"/>
      <c r="KNN3" s="98"/>
      <c r="KNO3" s="98"/>
      <c r="KNP3" s="98"/>
      <c r="KNQ3" s="98"/>
      <c r="KNR3" s="98"/>
      <c r="KNS3" s="98"/>
      <c r="KNT3" s="98"/>
      <c r="KNU3" s="98"/>
      <c r="KNV3" s="98"/>
      <c r="KNW3" s="98"/>
      <c r="KNX3" s="98"/>
      <c r="KNY3" s="98"/>
      <c r="KNZ3" s="98"/>
      <c r="KOA3" s="98"/>
      <c r="KOB3" s="98"/>
      <c r="KOC3" s="98"/>
      <c r="KOD3" s="98"/>
      <c r="KOE3" s="98"/>
      <c r="KOF3" s="98"/>
      <c r="KOG3" s="98"/>
      <c r="KOH3" s="98"/>
      <c r="KOI3" s="98"/>
      <c r="KOJ3" s="98"/>
      <c r="KOK3" s="98"/>
      <c r="KOL3" s="98"/>
      <c r="KOM3" s="98"/>
      <c r="KON3" s="98"/>
      <c r="KOO3" s="98"/>
      <c r="KOP3" s="98"/>
      <c r="KOQ3" s="98"/>
      <c r="KOR3" s="98"/>
      <c r="KOS3" s="98"/>
      <c r="KOT3" s="98"/>
      <c r="KOU3" s="98"/>
      <c r="KOV3" s="98"/>
      <c r="KOW3" s="98"/>
      <c r="KOX3" s="98"/>
      <c r="KOY3" s="98"/>
      <c r="KOZ3" s="98"/>
      <c r="KPA3" s="98"/>
      <c r="KPB3" s="98"/>
      <c r="KPC3" s="98"/>
      <c r="KPD3" s="98"/>
      <c r="KPE3" s="98"/>
      <c r="KPF3" s="98"/>
      <c r="KPG3" s="98"/>
      <c r="KPH3" s="98"/>
      <c r="KPI3" s="98"/>
      <c r="KPJ3" s="98"/>
      <c r="KPK3" s="98"/>
      <c r="KPL3" s="98"/>
      <c r="KPM3" s="98"/>
      <c r="KPN3" s="98"/>
      <c r="KPO3" s="98"/>
      <c r="KPP3" s="98"/>
      <c r="KPQ3" s="98"/>
      <c r="KPR3" s="98"/>
      <c r="KPS3" s="98"/>
      <c r="KPT3" s="98"/>
      <c r="KPU3" s="98"/>
      <c r="KPV3" s="98"/>
      <c r="KPW3" s="98"/>
      <c r="KPX3" s="98"/>
      <c r="KPY3" s="98"/>
      <c r="KPZ3" s="98"/>
      <c r="KQA3" s="98"/>
      <c r="KQB3" s="98"/>
      <c r="KQC3" s="98"/>
      <c r="KQD3" s="98"/>
      <c r="KQE3" s="98"/>
      <c r="KQF3" s="98"/>
      <c r="KQG3" s="98"/>
      <c r="KQH3" s="98"/>
      <c r="KQI3" s="98"/>
      <c r="KQJ3" s="98"/>
      <c r="KQK3" s="98"/>
      <c r="KQL3" s="98"/>
      <c r="KQM3" s="98"/>
      <c r="KQN3" s="98"/>
      <c r="KQO3" s="98"/>
      <c r="KQP3" s="98"/>
      <c r="KQQ3" s="98"/>
      <c r="KQR3" s="98"/>
      <c r="KQS3" s="98"/>
      <c r="KQT3" s="98"/>
      <c r="KQU3" s="98"/>
      <c r="KQV3" s="98"/>
      <c r="KQW3" s="98"/>
      <c r="KQX3" s="98"/>
      <c r="KQY3" s="98"/>
      <c r="KQZ3" s="98"/>
      <c r="KRA3" s="98"/>
      <c r="KRB3" s="98"/>
      <c r="KRC3" s="98"/>
      <c r="KRD3" s="98"/>
      <c r="KRE3" s="98"/>
      <c r="KRF3" s="98"/>
      <c r="KRG3" s="98"/>
      <c r="KRH3" s="98"/>
      <c r="KRI3" s="98"/>
      <c r="KRJ3" s="98"/>
      <c r="KRK3" s="98"/>
      <c r="KRL3" s="98"/>
      <c r="KRM3" s="98"/>
      <c r="KRN3" s="98"/>
      <c r="KRO3" s="98"/>
      <c r="KRP3" s="98"/>
      <c r="KRQ3" s="98"/>
      <c r="KRR3" s="98"/>
      <c r="KRS3" s="98"/>
      <c r="KRT3" s="98"/>
      <c r="KRU3" s="98"/>
      <c r="KRV3" s="98"/>
      <c r="KRW3" s="98"/>
      <c r="KRX3" s="98"/>
      <c r="KRY3" s="98"/>
      <c r="KRZ3" s="98"/>
      <c r="KSA3" s="98"/>
      <c r="KSB3" s="98"/>
      <c r="KSC3" s="98"/>
      <c r="KSD3" s="98"/>
      <c r="KSE3" s="98"/>
      <c r="KSF3" s="98"/>
      <c r="KSG3" s="98"/>
      <c r="KSH3" s="98"/>
      <c r="KSI3" s="98"/>
      <c r="KSJ3" s="98"/>
      <c r="KSK3" s="98"/>
      <c r="KSL3" s="98"/>
      <c r="KSM3" s="98"/>
      <c r="KSN3" s="98"/>
      <c r="KSO3" s="98"/>
      <c r="KSP3" s="98"/>
      <c r="KSQ3" s="98"/>
      <c r="KSR3" s="98"/>
      <c r="KSS3" s="98"/>
      <c r="KST3" s="98"/>
      <c r="KSU3" s="98"/>
      <c r="KSV3" s="98"/>
      <c r="KSW3" s="98"/>
      <c r="KSX3" s="98"/>
      <c r="KSY3" s="98"/>
      <c r="KSZ3" s="98"/>
      <c r="KTA3" s="98"/>
      <c r="KTB3" s="98"/>
      <c r="KTC3" s="98"/>
      <c r="KTD3" s="98"/>
      <c r="KTE3" s="98"/>
      <c r="KTF3" s="98"/>
      <c r="KTG3" s="98"/>
      <c r="KTH3" s="98"/>
      <c r="KTI3" s="98"/>
      <c r="KTJ3" s="98"/>
      <c r="KTK3" s="98"/>
      <c r="KTL3" s="98"/>
      <c r="KTM3" s="98"/>
      <c r="KTN3" s="98"/>
      <c r="KTO3" s="98"/>
      <c r="KTP3" s="98"/>
      <c r="KTQ3" s="98"/>
      <c r="KTR3" s="98"/>
      <c r="KTS3" s="98"/>
      <c r="KTT3" s="98"/>
      <c r="KTU3" s="98"/>
      <c r="KTV3" s="98"/>
      <c r="KTW3" s="98"/>
      <c r="KTX3" s="98"/>
      <c r="KTY3" s="98"/>
      <c r="KTZ3" s="98"/>
      <c r="KUA3" s="98"/>
      <c r="KUB3" s="98"/>
      <c r="KUC3" s="98"/>
      <c r="KUD3" s="98"/>
      <c r="KUE3" s="98"/>
      <c r="KUF3" s="98"/>
      <c r="KUG3" s="98"/>
      <c r="KUH3" s="98"/>
      <c r="KUI3" s="98"/>
      <c r="KUJ3" s="98"/>
      <c r="KUK3" s="98"/>
      <c r="KUL3" s="98"/>
      <c r="KUM3" s="98"/>
      <c r="KUN3" s="98"/>
      <c r="KUO3" s="98"/>
      <c r="KUP3" s="98"/>
      <c r="KUQ3" s="98"/>
      <c r="KUR3" s="98"/>
      <c r="KUS3" s="98"/>
      <c r="KUT3" s="98"/>
      <c r="KUU3" s="98"/>
      <c r="KUV3" s="98"/>
      <c r="KUW3" s="98"/>
      <c r="KUX3" s="98"/>
      <c r="KUY3" s="98"/>
      <c r="KUZ3" s="98"/>
      <c r="KVA3" s="98"/>
      <c r="KVB3" s="98"/>
      <c r="KVC3" s="98"/>
      <c r="KVD3" s="98"/>
      <c r="KVE3" s="98"/>
      <c r="KVF3" s="98"/>
      <c r="KVG3" s="98"/>
      <c r="KVH3" s="98"/>
      <c r="KVI3" s="98"/>
      <c r="KVJ3" s="98"/>
      <c r="KVK3" s="98"/>
      <c r="KVL3" s="98"/>
      <c r="KVM3" s="98"/>
      <c r="KVN3" s="98"/>
      <c r="KVO3" s="98"/>
      <c r="KVP3" s="98"/>
      <c r="KVQ3" s="98"/>
      <c r="KVR3" s="98"/>
      <c r="KVS3" s="98"/>
      <c r="KVT3" s="98"/>
      <c r="KVU3" s="98"/>
      <c r="KVV3" s="98"/>
      <c r="KVW3" s="98"/>
      <c r="KVX3" s="98"/>
      <c r="KVY3" s="98"/>
      <c r="KVZ3" s="98"/>
      <c r="KWA3" s="98"/>
      <c r="KWB3" s="98"/>
      <c r="KWC3" s="98"/>
      <c r="KWD3" s="98"/>
      <c r="KWE3" s="98"/>
      <c r="KWF3" s="98"/>
      <c r="KWG3" s="98"/>
      <c r="KWH3" s="98"/>
      <c r="KWI3" s="98"/>
      <c r="KWJ3" s="98"/>
      <c r="KWK3" s="98"/>
      <c r="KWL3" s="98"/>
      <c r="KWM3" s="98"/>
      <c r="KWN3" s="98"/>
      <c r="KWO3" s="98"/>
      <c r="KWP3" s="98"/>
      <c r="KWQ3" s="98"/>
      <c r="KWR3" s="98"/>
      <c r="KWS3" s="98"/>
      <c r="KWT3" s="98"/>
      <c r="KWU3" s="98"/>
      <c r="KWV3" s="98"/>
      <c r="KWW3" s="98"/>
      <c r="KWX3" s="98"/>
      <c r="KWY3" s="98"/>
      <c r="KWZ3" s="98"/>
      <c r="KXA3" s="98"/>
      <c r="KXB3" s="98"/>
      <c r="KXC3" s="98"/>
      <c r="KXD3" s="98"/>
      <c r="KXE3" s="98"/>
      <c r="KXF3" s="98"/>
      <c r="KXG3" s="98"/>
      <c r="KXH3" s="98"/>
      <c r="KXI3" s="98"/>
      <c r="KXJ3" s="98"/>
      <c r="KXK3" s="98"/>
      <c r="KXL3" s="98"/>
      <c r="KXM3" s="98"/>
      <c r="KXN3" s="98"/>
      <c r="KXO3" s="98"/>
      <c r="KXP3" s="98"/>
      <c r="KXQ3" s="98"/>
      <c r="KXR3" s="98"/>
      <c r="KXS3" s="98"/>
      <c r="KXT3" s="98"/>
      <c r="KXU3" s="98"/>
      <c r="KXV3" s="98"/>
      <c r="KXW3" s="98"/>
      <c r="KXX3" s="98"/>
      <c r="KXY3" s="98"/>
      <c r="KXZ3" s="98"/>
      <c r="KYA3" s="98"/>
      <c r="KYB3" s="98"/>
      <c r="KYC3" s="98"/>
      <c r="KYD3" s="98"/>
      <c r="KYE3" s="98"/>
      <c r="KYF3" s="98"/>
      <c r="KYG3" s="98"/>
      <c r="KYH3" s="98"/>
      <c r="KYI3" s="98"/>
      <c r="KYJ3" s="98"/>
      <c r="KYK3" s="98"/>
      <c r="KYL3" s="98"/>
      <c r="KYM3" s="98"/>
      <c r="KYN3" s="98"/>
      <c r="KYO3" s="98"/>
      <c r="KYP3" s="98"/>
      <c r="KYQ3" s="98"/>
      <c r="KYR3" s="98"/>
      <c r="KYS3" s="98"/>
      <c r="KYT3" s="98"/>
      <c r="KYU3" s="98"/>
      <c r="KYV3" s="98"/>
      <c r="KYW3" s="98"/>
      <c r="KYX3" s="98"/>
      <c r="KYY3" s="98"/>
      <c r="KYZ3" s="98"/>
      <c r="KZA3" s="98"/>
      <c r="KZB3" s="98"/>
      <c r="KZC3" s="98"/>
      <c r="KZD3" s="98"/>
      <c r="KZE3" s="98"/>
      <c r="KZF3" s="98"/>
      <c r="KZG3" s="98"/>
      <c r="KZH3" s="98"/>
      <c r="KZI3" s="98"/>
      <c r="KZJ3" s="98"/>
      <c r="KZK3" s="98"/>
      <c r="KZL3" s="98"/>
      <c r="KZM3" s="98"/>
      <c r="KZN3" s="98"/>
      <c r="KZO3" s="98"/>
      <c r="KZP3" s="98"/>
      <c r="KZQ3" s="98"/>
      <c r="KZR3" s="98"/>
      <c r="KZS3" s="98"/>
      <c r="KZT3" s="98"/>
      <c r="KZU3" s="98"/>
      <c r="KZV3" s="98"/>
      <c r="KZW3" s="98"/>
      <c r="KZX3" s="98"/>
      <c r="KZY3" s="98"/>
      <c r="KZZ3" s="98"/>
      <c r="LAA3" s="98"/>
      <c r="LAB3" s="98"/>
      <c r="LAC3" s="98"/>
      <c r="LAD3" s="98"/>
      <c r="LAE3" s="98"/>
      <c r="LAF3" s="98"/>
      <c r="LAG3" s="98"/>
      <c r="LAH3" s="98"/>
      <c r="LAI3" s="98"/>
      <c r="LAJ3" s="98"/>
      <c r="LAK3" s="98"/>
      <c r="LAL3" s="98"/>
      <c r="LAM3" s="98"/>
      <c r="LAN3" s="98"/>
      <c r="LAO3" s="98"/>
      <c r="LAP3" s="98"/>
      <c r="LAQ3" s="98"/>
      <c r="LAR3" s="98"/>
      <c r="LAS3" s="98"/>
      <c r="LAT3" s="98"/>
      <c r="LAU3" s="98"/>
      <c r="LAV3" s="98"/>
      <c r="LAW3" s="98"/>
      <c r="LAX3" s="98"/>
      <c r="LAY3" s="98"/>
      <c r="LAZ3" s="98"/>
      <c r="LBA3" s="98"/>
      <c r="LBB3" s="98"/>
      <c r="LBC3" s="98"/>
      <c r="LBD3" s="98"/>
      <c r="LBE3" s="98"/>
      <c r="LBF3" s="98"/>
      <c r="LBG3" s="98"/>
      <c r="LBH3" s="98"/>
      <c r="LBI3" s="98"/>
      <c r="LBJ3" s="98"/>
      <c r="LBK3" s="98"/>
      <c r="LBL3" s="98"/>
      <c r="LBM3" s="98"/>
      <c r="LBN3" s="98"/>
      <c r="LBO3" s="98"/>
      <c r="LBP3" s="98"/>
      <c r="LBQ3" s="98"/>
      <c r="LBR3" s="98"/>
      <c r="LBS3" s="98"/>
      <c r="LBT3" s="98"/>
      <c r="LBU3" s="98"/>
      <c r="LBV3" s="98"/>
      <c r="LBW3" s="98"/>
      <c r="LBX3" s="98"/>
      <c r="LBY3" s="98"/>
      <c r="LBZ3" s="98"/>
      <c r="LCA3" s="98"/>
      <c r="LCB3" s="98"/>
      <c r="LCC3" s="98"/>
      <c r="LCD3" s="98"/>
      <c r="LCE3" s="98"/>
      <c r="LCF3" s="98"/>
      <c r="LCG3" s="98"/>
      <c r="LCH3" s="98"/>
      <c r="LCI3" s="98"/>
      <c r="LCJ3" s="98"/>
      <c r="LCK3" s="98"/>
      <c r="LCL3" s="98"/>
      <c r="LCM3" s="98"/>
      <c r="LCN3" s="98"/>
      <c r="LCO3" s="98"/>
      <c r="LCP3" s="98"/>
      <c r="LCQ3" s="98"/>
      <c r="LCR3" s="98"/>
      <c r="LCS3" s="98"/>
      <c r="LCT3" s="98"/>
      <c r="LCU3" s="98"/>
      <c r="LCV3" s="98"/>
      <c r="LCW3" s="98"/>
      <c r="LCX3" s="98"/>
      <c r="LCY3" s="98"/>
      <c r="LCZ3" s="98"/>
      <c r="LDA3" s="98"/>
      <c r="LDB3" s="98"/>
      <c r="LDC3" s="98"/>
      <c r="LDD3" s="98"/>
      <c r="LDE3" s="98"/>
      <c r="LDF3" s="98"/>
      <c r="LDG3" s="98"/>
      <c r="LDH3" s="98"/>
      <c r="LDI3" s="98"/>
      <c r="LDJ3" s="98"/>
      <c r="LDK3" s="98"/>
      <c r="LDL3" s="98"/>
      <c r="LDM3" s="98"/>
      <c r="LDN3" s="98"/>
      <c r="LDO3" s="98"/>
      <c r="LDP3" s="98"/>
      <c r="LDQ3" s="98"/>
      <c r="LDR3" s="98"/>
      <c r="LDS3" s="98"/>
      <c r="LDT3" s="98"/>
      <c r="LDU3" s="98"/>
      <c r="LDV3" s="98"/>
      <c r="LDW3" s="98"/>
      <c r="LDX3" s="98"/>
      <c r="LDY3" s="98"/>
      <c r="LDZ3" s="98"/>
      <c r="LEA3" s="98"/>
      <c r="LEB3" s="98"/>
      <c r="LEC3" s="98"/>
      <c r="LED3" s="98"/>
      <c r="LEE3" s="98"/>
      <c r="LEF3" s="98"/>
      <c r="LEG3" s="98"/>
      <c r="LEH3" s="98"/>
      <c r="LEI3" s="98"/>
      <c r="LEJ3" s="98"/>
      <c r="LEK3" s="98"/>
      <c r="LEL3" s="98"/>
      <c r="LEM3" s="98"/>
      <c r="LEN3" s="98"/>
      <c r="LEO3" s="98"/>
      <c r="LEP3" s="98"/>
      <c r="LEQ3" s="98"/>
      <c r="LER3" s="98"/>
      <c r="LES3" s="98"/>
      <c r="LET3" s="98"/>
      <c r="LEU3" s="98"/>
      <c r="LEV3" s="98"/>
      <c r="LEW3" s="98"/>
      <c r="LEX3" s="98"/>
      <c r="LEY3" s="98"/>
      <c r="LEZ3" s="98"/>
      <c r="LFA3" s="98"/>
      <c r="LFB3" s="98"/>
      <c r="LFC3" s="98"/>
      <c r="LFD3" s="98"/>
      <c r="LFE3" s="98"/>
      <c r="LFF3" s="98"/>
      <c r="LFG3" s="98"/>
      <c r="LFH3" s="98"/>
      <c r="LFI3" s="98"/>
      <c r="LFJ3" s="98"/>
      <c r="LFK3" s="98"/>
      <c r="LFL3" s="98"/>
      <c r="LFM3" s="98"/>
      <c r="LFN3" s="98"/>
      <c r="LFO3" s="98"/>
      <c r="LFP3" s="98"/>
      <c r="LFQ3" s="98"/>
      <c r="LFR3" s="98"/>
      <c r="LFS3" s="98"/>
      <c r="LFT3" s="98"/>
      <c r="LFU3" s="98"/>
      <c r="LFV3" s="98"/>
      <c r="LFW3" s="98"/>
      <c r="LFX3" s="98"/>
      <c r="LFY3" s="98"/>
      <c r="LFZ3" s="98"/>
      <c r="LGA3" s="98"/>
      <c r="LGB3" s="98"/>
      <c r="LGC3" s="98"/>
      <c r="LGD3" s="98"/>
      <c r="LGE3" s="98"/>
      <c r="LGF3" s="98"/>
      <c r="LGG3" s="98"/>
      <c r="LGH3" s="98"/>
      <c r="LGI3" s="98"/>
      <c r="LGJ3" s="98"/>
      <c r="LGK3" s="98"/>
      <c r="LGL3" s="98"/>
      <c r="LGM3" s="98"/>
      <c r="LGN3" s="98"/>
      <c r="LGO3" s="98"/>
      <c r="LGP3" s="98"/>
      <c r="LGQ3" s="98"/>
      <c r="LGR3" s="98"/>
      <c r="LGS3" s="98"/>
      <c r="LGT3" s="98"/>
      <c r="LGU3" s="98"/>
      <c r="LGV3" s="98"/>
      <c r="LGW3" s="98"/>
      <c r="LGX3" s="98"/>
      <c r="LGY3" s="98"/>
      <c r="LGZ3" s="98"/>
      <c r="LHA3" s="98"/>
      <c r="LHB3" s="98"/>
      <c r="LHC3" s="98"/>
      <c r="LHD3" s="98"/>
      <c r="LHE3" s="98"/>
      <c r="LHF3" s="98"/>
      <c r="LHG3" s="98"/>
      <c r="LHH3" s="98"/>
      <c r="LHI3" s="98"/>
      <c r="LHJ3" s="98"/>
      <c r="LHK3" s="98"/>
      <c r="LHL3" s="98"/>
      <c r="LHM3" s="98"/>
      <c r="LHN3" s="98"/>
      <c r="LHO3" s="98"/>
      <c r="LHP3" s="98"/>
      <c r="LHQ3" s="98"/>
      <c r="LHR3" s="98"/>
      <c r="LHS3" s="98"/>
      <c r="LHT3" s="98"/>
      <c r="LHU3" s="98"/>
      <c r="LHV3" s="98"/>
      <c r="LHW3" s="98"/>
      <c r="LHX3" s="98"/>
      <c r="LHY3" s="98"/>
      <c r="LHZ3" s="98"/>
      <c r="LIA3" s="98"/>
      <c r="LIB3" s="98"/>
      <c r="LIC3" s="98"/>
      <c r="LID3" s="98"/>
      <c r="LIE3" s="98"/>
      <c r="LIF3" s="98"/>
      <c r="LIG3" s="98"/>
      <c r="LIH3" s="98"/>
      <c r="LII3" s="98"/>
      <c r="LIJ3" s="98"/>
      <c r="LIK3" s="98"/>
      <c r="LIL3" s="98"/>
      <c r="LIM3" s="98"/>
      <c r="LIN3" s="98"/>
      <c r="LIO3" s="98"/>
      <c r="LIP3" s="98"/>
      <c r="LIQ3" s="98"/>
      <c r="LIR3" s="98"/>
      <c r="LIS3" s="98"/>
      <c r="LIT3" s="98"/>
      <c r="LIU3" s="98"/>
      <c r="LIV3" s="98"/>
      <c r="LIW3" s="98"/>
      <c r="LIX3" s="98"/>
      <c r="LIY3" s="98"/>
      <c r="LIZ3" s="98"/>
      <c r="LJA3" s="98"/>
      <c r="LJB3" s="98"/>
      <c r="LJC3" s="98"/>
      <c r="LJD3" s="98"/>
      <c r="LJE3" s="98"/>
      <c r="LJF3" s="98"/>
      <c r="LJG3" s="98"/>
      <c r="LJH3" s="98"/>
      <c r="LJI3" s="98"/>
      <c r="LJJ3" s="98"/>
      <c r="LJK3" s="98"/>
      <c r="LJL3" s="98"/>
      <c r="LJM3" s="98"/>
      <c r="LJN3" s="98"/>
      <c r="LJO3" s="98"/>
      <c r="LJP3" s="98"/>
      <c r="LJQ3" s="98"/>
      <c r="LJR3" s="98"/>
      <c r="LJS3" s="98"/>
      <c r="LJT3" s="98"/>
      <c r="LJU3" s="98"/>
      <c r="LJV3" s="98"/>
      <c r="LJW3" s="98"/>
      <c r="LJX3" s="98"/>
      <c r="LJY3" s="98"/>
      <c r="LJZ3" s="98"/>
      <c r="LKA3" s="98"/>
      <c r="LKB3" s="98"/>
      <c r="LKC3" s="98"/>
      <c r="LKD3" s="98"/>
      <c r="LKE3" s="98"/>
      <c r="LKF3" s="98"/>
      <c r="LKG3" s="98"/>
      <c r="LKH3" s="98"/>
      <c r="LKI3" s="98"/>
      <c r="LKJ3" s="98"/>
      <c r="LKK3" s="98"/>
      <c r="LKL3" s="98"/>
      <c r="LKM3" s="98"/>
      <c r="LKN3" s="98"/>
      <c r="LKO3" s="98"/>
      <c r="LKP3" s="98"/>
      <c r="LKQ3" s="98"/>
      <c r="LKR3" s="98"/>
      <c r="LKS3" s="98"/>
      <c r="LKT3" s="98"/>
      <c r="LKU3" s="98"/>
      <c r="LKV3" s="98"/>
      <c r="LKW3" s="98"/>
      <c r="LKX3" s="98"/>
      <c r="LKY3" s="98"/>
      <c r="LKZ3" s="98"/>
      <c r="LLA3" s="98"/>
      <c r="LLB3" s="98"/>
      <c r="LLC3" s="98"/>
      <c r="LLD3" s="98"/>
      <c r="LLE3" s="98"/>
      <c r="LLF3" s="98"/>
      <c r="LLG3" s="98"/>
      <c r="LLH3" s="98"/>
      <c r="LLI3" s="98"/>
      <c r="LLJ3" s="98"/>
      <c r="LLK3" s="98"/>
      <c r="LLL3" s="98"/>
      <c r="LLM3" s="98"/>
      <c r="LLN3" s="98"/>
      <c r="LLO3" s="98"/>
      <c r="LLP3" s="98"/>
      <c r="LLQ3" s="98"/>
      <c r="LLR3" s="98"/>
      <c r="LLS3" s="98"/>
      <c r="LLT3" s="98"/>
      <c r="LLU3" s="98"/>
      <c r="LLV3" s="98"/>
      <c r="LLW3" s="98"/>
      <c r="LLX3" s="98"/>
      <c r="LLY3" s="98"/>
      <c r="LLZ3" s="98"/>
      <c r="LMA3" s="98"/>
      <c r="LMB3" s="98"/>
      <c r="LMC3" s="98"/>
      <c r="LMD3" s="98"/>
      <c r="LME3" s="98"/>
      <c r="LMF3" s="98"/>
      <c r="LMG3" s="98"/>
      <c r="LMH3" s="98"/>
      <c r="LMI3" s="98"/>
      <c r="LMJ3" s="98"/>
      <c r="LMK3" s="98"/>
      <c r="LML3" s="98"/>
      <c r="LMM3" s="98"/>
      <c r="LMN3" s="98"/>
      <c r="LMO3" s="98"/>
      <c r="LMP3" s="98"/>
      <c r="LMQ3" s="98"/>
      <c r="LMR3" s="98"/>
      <c r="LMS3" s="98"/>
      <c r="LMT3" s="98"/>
      <c r="LMU3" s="98"/>
      <c r="LMV3" s="98"/>
      <c r="LMW3" s="98"/>
      <c r="LMX3" s="98"/>
      <c r="LMY3" s="98"/>
      <c r="LMZ3" s="98"/>
      <c r="LNA3" s="98"/>
      <c r="LNB3" s="98"/>
      <c r="LNC3" s="98"/>
      <c r="LND3" s="98"/>
      <c r="LNE3" s="98"/>
      <c r="LNF3" s="98"/>
      <c r="LNG3" s="98"/>
      <c r="LNH3" s="98"/>
      <c r="LNI3" s="98"/>
      <c r="LNJ3" s="98"/>
      <c r="LNK3" s="98"/>
      <c r="LNL3" s="98"/>
      <c r="LNM3" s="98"/>
      <c r="LNN3" s="98"/>
      <c r="LNO3" s="98"/>
      <c r="LNP3" s="98"/>
      <c r="LNQ3" s="98"/>
      <c r="LNR3" s="98"/>
      <c r="LNS3" s="98"/>
      <c r="LNT3" s="98"/>
      <c r="LNU3" s="98"/>
      <c r="LNV3" s="98"/>
      <c r="LNW3" s="98"/>
      <c r="LNX3" s="98"/>
      <c r="LNY3" s="98"/>
      <c r="LNZ3" s="98"/>
      <c r="LOA3" s="98"/>
      <c r="LOB3" s="98"/>
      <c r="LOC3" s="98"/>
      <c r="LOD3" s="98"/>
      <c r="LOE3" s="98"/>
      <c r="LOF3" s="98"/>
      <c r="LOG3" s="98"/>
      <c r="LOH3" s="98"/>
      <c r="LOI3" s="98"/>
      <c r="LOJ3" s="98"/>
      <c r="LOK3" s="98"/>
      <c r="LOL3" s="98"/>
      <c r="LOM3" s="98"/>
      <c r="LON3" s="98"/>
      <c r="LOO3" s="98"/>
      <c r="LOP3" s="98"/>
      <c r="LOQ3" s="98"/>
      <c r="LOR3" s="98"/>
      <c r="LOS3" s="98"/>
      <c r="LOT3" s="98"/>
      <c r="LOU3" s="98"/>
      <c r="LOV3" s="98"/>
      <c r="LOW3" s="98"/>
      <c r="LOX3" s="98"/>
      <c r="LOY3" s="98"/>
      <c r="LOZ3" s="98"/>
      <c r="LPA3" s="98"/>
      <c r="LPB3" s="98"/>
      <c r="LPC3" s="98"/>
      <c r="LPD3" s="98"/>
      <c r="LPE3" s="98"/>
      <c r="LPF3" s="98"/>
      <c r="LPG3" s="98"/>
      <c r="LPH3" s="98"/>
      <c r="LPI3" s="98"/>
      <c r="LPJ3" s="98"/>
      <c r="LPK3" s="98"/>
      <c r="LPL3" s="98"/>
      <c r="LPM3" s="98"/>
      <c r="LPN3" s="98"/>
      <c r="LPO3" s="98"/>
      <c r="LPP3" s="98"/>
      <c r="LPQ3" s="98"/>
      <c r="LPR3" s="98"/>
      <c r="LPS3" s="98"/>
      <c r="LPT3" s="98"/>
      <c r="LPU3" s="98"/>
      <c r="LPV3" s="98"/>
      <c r="LPW3" s="98"/>
      <c r="LPX3" s="98"/>
      <c r="LPY3" s="98"/>
      <c r="LPZ3" s="98"/>
      <c r="LQA3" s="98"/>
      <c r="LQB3" s="98"/>
      <c r="LQC3" s="98"/>
      <c r="LQD3" s="98"/>
      <c r="LQE3" s="98"/>
      <c r="LQF3" s="98"/>
      <c r="LQG3" s="98"/>
      <c r="LQH3" s="98"/>
      <c r="LQI3" s="98"/>
      <c r="LQJ3" s="98"/>
      <c r="LQK3" s="98"/>
      <c r="LQL3" s="98"/>
      <c r="LQM3" s="98"/>
      <c r="LQN3" s="98"/>
      <c r="LQO3" s="98"/>
      <c r="LQP3" s="98"/>
      <c r="LQQ3" s="98"/>
      <c r="LQR3" s="98"/>
      <c r="LQS3" s="98"/>
      <c r="LQT3" s="98"/>
      <c r="LQU3" s="98"/>
      <c r="LQV3" s="98"/>
      <c r="LQW3" s="98"/>
      <c r="LQX3" s="98"/>
      <c r="LQY3" s="98"/>
      <c r="LQZ3" s="98"/>
      <c r="LRA3" s="98"/>
      <c r="LRB3" s="98"/>
      <c r="LRC3" s="98"/>
      <c r="LRD3" s="98"/>
      <c r="LRE3" s="98"/>
      <c r="LRF3" s="98"/>
      <c r="LRG3" s="98"/>
      <c r="LRH3" s="98"/>
      <c r="LRI3" s="98"/>
      <c r="LRJ3" s="98"/>
      <c r="LRK3" s="98"/>
      <c r="LRL3" s="98"/>
      <c r="LRM3" s="98"/>
      <c r="LRN3" s="98"/>
      <c r="LRO3" s="98"/>
      <c r="LRP3" s="98"/>
      <c r="LRQ3" s="98"/>
      <c r="LRR3" s="98"/>
      <c r="LRS3" s="98"/>
      <c r="LRT3" s="98"/>
      <c r="LRU3" s="98"/>
      <c r="LRV3" s="98"/>
      <c r="LRW3" s="98"/>
      <c r="LRX3" s="98"/>
      <c r="LRY3" s="98"/>
      <c r="LRZ3" s="98"/>
      <c r="LSA3" s="98"/>
      <c r="LSB3" s="98"/>
      <c r="LSC3" s="98"/>
      <c r="LSD3" s="98"/>
      <c r="LSE3" s="98"/>
      <c r="LSF3" s="98"/>
      <c r="LSG3" s="98"/>
      <c r="LSH3" s="98"/>
      <c r="LSI3" s="98"/>
      <c r="LSJ3" s="98"/>
      <c r="LSK3" s="98"/>
      <c r="LSL3" s="98"/>
      <c r="LSM3" s="98"/>
      <c r="LSN3" s="98"/>
      <c r="LSO3" s="98"/>
      <c r="LSP3" s="98"/>
      <c r="LSQ3" s="98"/>
      <c r="LSR3" s="98"/>
      <c r="LSS3" s="98"/>
      <c r="LST3" s="98"/>
      <c r="LSU3" s="98"/>
      <c r="LSV3" s="98"/>
      <c r="LSW3" s="98"/>
      <c r="LSX3" s="98"/>
      <c r="LSY3" s="98"/>
      <c r="LSZ3" s="98"/>
      <c r="LTA3" s="98"/>
      <c r="LTB3" s="98"/>
      <c r="LTC3" s="98"/>
      <c r="LTD3" s="98"/>
      <c r="LTE3" s="98"/>
      <c r="LTF3" s="98"/>
      <c r="LTG3" s="98"/>
      <c r="LTH3" s="98"/>
      <c r="LTI3" s="98"/>
      <c r="LTJ3" s="98"/>
      <c r="LTK3" s="98"/>
      <c r="LTL3" s="98"/>
      <c r="LTM3" s="98"/>
      <c r="LTN3" s="98"/>
      <c r="LTO3" s="98"/>
      <c r="LTP3" s="98"/>
      <c r="LTQ3" s="98"/>
      <c r="LTR3" s="98"/>
      <c r="LTS3" s="98"/>
      <c r="LTT3" s="98"/>
      <c r="LTU3" s="98"/>
      <c r="LTV3" s="98"/>
      <c r="LTW3" s="98"/>
      <c r="LTX3" s="98"/>
      <c r="LTY3" s="98"/>
      <c r="LTZ3" s="98"/>
      <c r="LUA3" s="98"/>
      <c r="LUB3" s="98"/>
      <c r="LUC3" s="98"/>
      <c r="LUD3" s="98"/>
      <c r="LUE3" s="98"/>
      <c r="LUF3" s="98"/>
      <c r="LUG3" s="98"/>
      <c r="LUH3" s="98"/>
      <c r="LUI3" s="98"/>
      <c r="LUJ3" s="98"/>
      <c r="LUK3" s="98"/>
      <c r="LUL3" s="98"/>
      <c r="LUM3" s="98"/>
      <c r="LUN3" s="98"/>
      <c r="LUO3" s="98"/>
      <c r="LUP3" s="98"/>
      <c r="LUQ3" s="98"/>
      <c r="LUR3" s="98"/>
      <c r="LUS3" s="98"/>
      <c r="LUT3" s="98"/>
      <c r="LUU3" s="98"/>
      <c r="LUV3" s="98"/>
      <c r="LUW3" s="98"/>
      <c r="LUX3" s="98"/>
      <c r="LUY3" s="98"/>
      <c r="LUZ3" s="98"/>
      <c r="LVA3" s="98"/>
      <c r="LVB3" s="98"/>
      <c r="LVC3" s="98"/>
      <c r="LVD3" s="98"/>
      <c r="LVE3" s="98"/>
      <c r="LVF3" s="98"/>
      <c r="LVG3" s="98"/>
      <c r="LVH3" s="98"/>
      <c r="LVI3" s="98"/>
      <c r="LVJ3" s="98"/>
      <c r="LVK3" s="98"/>
      <c r="LVL3" s="98"/>
      <c r="LVM3" s="98"/>
      <c r="LVN3" s="98"/>
      <c r="LVO3" s="98"/>
      <c r="LVP3" s="98"/>
      <c r="LVQ3" s="98"/>
      <c r="LVR3" s="98"/>
      <c r="LVS3" s="98"/>
      <c r="LVT3" s="98"/>
      <c r="LVU3" s="98"/>
      <c r="LVV3" s="98"/>
      <c r="LVW3" s="98"/>
      <c r="LVX3" s="98"/>
      <c r="LVY3" s="98"/>
      <c r="LVZ3" s="98"/>
      <c r="LWA3" s="98"/>
      <c r="LWB3" s="98"/>
      <c r="LWC3" s="98"/>
      <c r="LWD3" s="98"/>
      <c r="LWE3" s="98"/>
      <c r="LWF3" s="98"/>
      <c r="LWG3" s="98"/>
      <c r="LWH3" s="98"/>
      <c r="LWI3" s="98"/>
      <c r="LWJ3" s="98"/>
      <c r="LWK3" s="98"/>
      <c r="LWL3" s="98"/>
      <c r="LWM3" s="98"/>
      <c r="LWN3" s="98"/>
      <c r="LWO3" s="98"/>
      <c r="LWP3" s="98"/>
      <c r="LWQ3" s="98"/>
      <c r="LWR3" s="98"/>
      <c r="LWS3" s="98"/>
      <c r="LWT3" s="98"/>
      <c r="LWU3" s="98"/>
      <c r="LWV3" s="98"/>
      <c r="LWW3" s="98"/>
      <c r="LWX3" s="98"/>
      <c r="LWY3" s="98"/>
      <c r="LWZ3" s="98"/>
      <c r="LXA3" s="98"/>
      <c r="LXB3" s="98"/>
      <c r="LXC3" s="98"/>
      <c r="LXD3" s="98"/>
      <c r="LXE3" s="98"/>
      <c r="LXF3" s="98"/>
      <c r="LXG3" s="98"/>
      <c r="LXH3" s="98"/>
      <c r="LXI3" s="98"/>
      <c r="LXJ3" s="98"/>
      <c r="LXK3" s="98"/>
      <c r="LXL3" s="98"/>
      <c r="LXM3" s="98"/>
      <c r="LXN3" s="98"/>
      <c r="LXO3" s="98"/>
      <c r="LXP3" s="98"/>
      <c r="LXQ3" s="98"/>
      <c r="LXR3" s="98"/>
      <c r="LXS3" s="98"/>
      <c r="LXT3" s="98"/>
      <c r="LXU3" s="98"/>
      <c r="LXV3" s="98"/>
      <c r="LXW3" s="98"/>
      <c r="LXX3" s="98"/>
      <c r="LXY3" s="98"/>
      <c r="LXZ3" s="98"/>
      <c r="LYA3" s="98"/>
      <c r="LYB3" s="98"/>
      <c r="LYC3" s="98"/>
      <c r="LYD3" s="98"/>
      <c r="LYE3" s="98"/>
      <c r="LYF3" s="98"/>
      <c r="LYG3" s="98"/>
      <c r="LYH3" s="98"/>
      <c r="LYI3" s="98"/>
      <c r="LYJ3" s="98"/>
      <c r="LYK3" s="98"/>
      <c r="LYL3" s="98"/>
      <c r="LYM3" s="98"/>
      <c r="LYN3" s="98"/>
      <c r="LYO3" s="98"/>
      <c r="LYP3" s="98"/>
      <c r="LYQ3" s="98"/>
      <c r="LYR3" s="98"/>
      <c r="LYS3" s="98"/>
      <c r="LYT3" s="98"/>
      <c r="LYU3" s="98"/>
      <c r="LYV3" s="98"/>
      <c r="LYW3" s="98"/>
      <c r="LYX3" s="98"/>
      <c r="LYY3" s="98"/>
      <c r="LYZ3" s="98"/>
      <c r="LZA3" s="98"/>
      <c r="LZB3" s="98"/>
      <c r="LZC3" s="98"/>
      <c r="LZD3" s="98"/>
      <c r="LZE3" s="98"/>
      <c r="LZF3" s="98"/>
      <c r="LZG3" s="98"/>
      <c r="LZH3" s="98"/>
      <c r="LZI3" s="98"/>
      <c r="LZJ3" s="98"/>
      <c r="LZK3" s="98"/>
      <c r="LZL3" s="98"/>
      <c r="LZM3" s="98"/>
      <c r="LZN3" s="98"/>
      <c r="LZO3" s="98"/>
      <c r="LZP3" s="98"/>
      <c r="LZQ3" s="98"/>
      <c r="LZR3" s="98"/>
      <c r="LZS3" s="98"/>
      <c r="LZT3" s="98"/>
      <c r="LZU3" s="98"/>
      <c r="LZV3" s="98"/>
      <c r="LZW3" s="98"/>
      <c r="LZX3" s="98"/>
      <c r="LZY3" s="98"/>
      <c r="LZZ3" s="98"/>
      <c r="MAA3" s="98"/>
      <c r="MAB3" s="98"/>
      <c r="MAC3" s="98"/>
      <c r="MAD3" s="98"/>
      <c r="MAE3" s="98"/>
      <c r="MAF3" s="98"/>
      <c r="MAG3" s="98"/>
      <c r="MAH3" s="98"/>
      <c r="MAI3" s="98"/>
      <c r="MAJ3" s="98"/>
      <c r="MAK3" s="98"/>
      <c r="MAL3" s="98"/>
      <c r="MAM3" s="98"/>
      <c r="MAN3" s="98"/>
      <c r="MAO3" s="98"/>
      <c r="MAP3" s="98"/>
      <c r="MAQ3" s="98"/>
      <c r="MAR3" s="98"/>
      <c r="MAS3" s="98"/>
      <c r="MAT3" s="98"/>
      <c r="MAU3" s="98"/>
      <c r="MAV3" s="98"/>
      <c r="MAW3" s="98"/>
      <c r="MAX3" s="98"/>
      <c r="MAY3" s="98"/>
      <c r="MAZ3" s="98"/>
      <c r="MBA3" s="98"/>
      <c r="MBB3" s="98"/>
      <c r="MBC3" s="98"/>
      <c r="MBD3" s="98"/>
      <c r="MBE3" s="98"/>
      <c r="MBF3" s="98"/>
      <c r="MBG3" s="98"/>
      <c r="MBH3" s="98"/>
      <c r="MBI3" s="98"/>
      <c r="MBJ3" s="98"/>
      <c r="MBK3" s="98"/>
      <c r="MBL3" s="98"/>
      <c r="MBM3" s="98"/>
      <c r="MBN3" s="98"/>
      <c r="MBO3" s="98"/>
      <c r="MBP3" s="98"/>
      <c r="MBQ3" s="98"/>
      <c r="MBR3" s="98"/>
      <c r="MBS3" s="98"/>
      <c r="MBT3" s="98"/>
      <c r="MBU3" s="98"/>
      <c r="MBV3" s="98"/>
      <c r="MBW3" s="98"/>
      <c r="MBX3" s="98"/>
      <c r="MBY3" s="98"/>
      <c r="MBZ3" s="98"/>
      <c r="MCA3" s="98"/>
      <c r="MCB3" s="98"/>
      <c r="MCC3" s="98"/>
      <c r="MCD3" s="98"/>
      <c r="MCE3" s="98"/>
      <c r="MCF3" s="98"/>
      <c r="MCG3" s="98"/>
      <c r="MCH3" s="98"/>
      <c r="MCI3" s="98"/>
      <c r="MCJ3" s="98"/>
      <c r="MCK3" s="98"/>
      <c r="MCL3" s="98"/>
      <c r="MCM3" s="98"/>
      <c r="MCN3" s="98"/>
      <c r="MCO3" s="98"/>
      <c r="MCP3" s="98"/>
      <c r="MCQ3" s="98"/>
      <c r="MCR3" s="98"/>
      <c r="MCS3" s="98"/>
      <c r="MCT3" s="98"/>
      <c r="MCU3" s="98"/>
      <c r="MCV3" s="98"/>
      <c r="MCW3" s="98"/>
      <c r="MCX3" s="98"/>
      <c r="MCY3" s="98"/>
      <c r="MCZ3" s="98"/>
      <c r="MDA3" s="98"/>
      <c r="MDB3" s="98"/>
      <c r="MDC3" s="98"/>
      <c r="MDD3" s="98"/>
      <c r="MDE3" s="98"/>
      <c r="MDF3" s="98"/>
      <c r="MDG3" s="98"/>
      <c r="MDH3" s="98"/>
      <c r="MDI3" s="98"/>
      <c r="MDJ3" s="98"/>
      <c r="MDK3" s="98"/>
      <c r="MDL3" s="98"/>
      <c r="MDM3" s="98"/>
      <c r="MDN3" s="98"/>
      <c r="MDO3" s="98"/>
      <c r="MDP3" s="98"/>
      <c r="MDQ3" s="98"/>
      <c r="MDR3" s="98"/>
      <c r="MDS3" s="98"/>
      <c r="MDT3" s="98"/>
      <c r="MDU3" s="98"/>
      <c r="MDV3" s="98"/>
      <c r="MDW3" s="98"/>
      <c r="MDX3" s="98"/>
      <c r="MDY3" s="98"/>
      <c r="MDZ3" s="98"/>
      <c r="MEA3" s="98"/>
      <c r="MEB3" s="98"/>
      <c r="MEC3" s="98"/>
      <c r="MED3" s="98"/>
      <c r="MEE3" s="98"/>
      <c r="MEF3" s="98"/>
      <c r="MEG3" s="98"/>
      <c r="MEH3" s="98"/>
      <c r="MEI3" s="98"/>
      <c r="MEJ3" s="98"/>
      <c r="MEK3" s="98"/>
      <c r="MEL3" s="98"/>
      <c r="MEM3" s="98"/>
      <c r="MEN3" s="98"/>
      <c r="MEO3" s="98"/>
      <c r="MEP3" s="98"/>
      <c r="MEQ3" s="98"/>
      <c r="MER3" s="98"/>
      <c r="MES3" s="98"/>
      <c r="MET3" s="98"/>
      <c r="MEU3" s="98"/>
      <c r="MEV3" s="98"/>
      <c r="MEW3" s="98"/>
      <c r="MEX3" s="98"/>
      <c r="MEY3" s="98"/>
      <c r="MEZ3" s="98"/>
      <c r="MFA3" s="98"/>
      <c r="MFB3" s="98"/>
      <c r="MFC3" s="98"/>
      <c r="MFD3" s="98"/>
      <c r="MFE3" s="98"/>
      <c r="MFF3" s="98"/>
      <c r="MFG3" s="98"/>
      <c r="MFH3" s="98"/>
      <c r="MFI3" s="98"/>
      <c r="MFJ3" s="98"/>
      <c r="MFK3" s="98"/>
      <c r="MFL3" s="98"/>
      <c r="MFM3" s="98"/>
      <c r="MFN3" s="98"/>
      <c r="MFO3" s="98"/>
      <c r="MFP3" s="98"/>
      <c r="MFQ3" s="98"/>
      <c r="MFR3" s="98"/>
      <c r="MFS3" s="98"/>
      <c r="MFT3" s="98"/>
      <c r="MFU3" s="98"/>
      <c r="MFV3" s="98"/>
      <c r="MFW3" s="98"/>
      <c r="MFX3" s="98"/>
      <c r="MFY3" s="98"/>
      <c r="MFZ3" s="98"/>
      <c r="MGA3" s="98"/>
      <c r="MGB3" s="98"/>
      <c r="MGC3" s="98"/>
      <c r="MGD3" s="98"/>
      <c r="MGE3" s="98"/>
      <c r="MGF3" s="98"/>
      <c r="MGG3" s="98"/>
      <c r="MGH3" s="98"/>
      <c r="MGI3" s="98"/>
      <c r="MGJ3" s="98"/>
      <c r="MGK3" s="98"/>
      <c r="MGL3" s="98"/>
      <c r="MGM3" s="98"/>
      <c r="MGN3" s="98"/>
      <c r="MGO3" s="98"/>
      <c r="MGP3" s="98"/>
      <c r="MGQ3" s="98"/>
      <c r="MGR3" s="98"/>
      <c r="MGS3" s="98"/>
      <c r="MGT3" s="98"/>
      <c r="MGU3" s="98"/>
      <c r="MGV3" s="98"/>
      <c r="MGW3" s="98"/>
      <c r="MGX3" s="98"/>
      <c r="MGY3" s="98"/>
      <c r="MGZ3" s="98"/>
      <c r="MHA3" s="98"/>
      <c r="MHB3" s="98"/>
      <c r="MHC3" s="98"/>
      <c r="MHD3" s="98"/>
      <c r="MHE3" s="98"/>
      <c r="MHF3" s="98"/>
      <c r="MHG3" s="98"/>
      <c r="MHH3" s="98"/>
      <c r="MHI3" s="98"/>
      <c r="MHJ3" s="98"/>
      <c r="MHK3" s="98"/>
      <c r="MHL3" s="98"/>
      <c r="MHM3" s="98"/>
      <c r="MHN3" s="98"/>
      <c r="MHO3" s="98"/>
      <c r="MHP3" s="98"/>
      <c r="MHQ3" s="98"/>
      <c r="MHR3" s="98"/>
      <c r="MHS3" s="98"/>
      <c r="MHT3" s="98"/>
      <c r="MHU3" s="98"/>
      <c r="MHV3" s="98"/>
      <c r="MHW3" s="98"/>
      <c r="MHX3" s="98"/>
      <c r="MHY3" s="98"/>
      <c r="MHZ3" s="98"/>
      <c r="MIA3" s="98"/>
      <c r="MIB3" s="98"/>
      <c r="MIC3" s="98"/>
      <c r="MID3" s="98"/>
      <c r="MIE3" s="98"/>
      <c r="MIF3" s="98"/>
      <c r="MIG3" s="98"/>
      <c r="MIH3" s="98"/>
      <c r="MII3" s="98"/>
      <c r="MIJ3" s="98"/>
      <c r="MIK3" s="98"/>
      <c r="MIL3" s="98"/>
      <c r="MIM3" s="98"/>
      <c r="MIN3" s="98"/>
      <c r="MIO3" s="98"/>
      <c r="MIP3" s="98"/>
      <c r="MIQ3" s="98"/>
      <c r="MIR3" s="98"/>
      <c r="MIS3" s="98"/>
      <c r="MIT3" s="98"/>
      <c r="MIU3" s="98"/>
      <c r="MIV3" s="98"/>
      <c r="MIW3" s="98"/>
      <c r="MIX3" s="98"/>
      <c r="MIY3" s="98"/>
      <c r="MIZ3" s="98"/>
      <c r="MJA3" s="98"/>
      <c r="MJB3" s="98"/>
      <c r="MJC3" s="98"/>
      <c r="MJD3" s="98"/>
      <c r="MJE3" s="98"/>
      <c r="MJF3" s="98"/>
      <c r="MJG3" s="98"/>
      <c r="MJH3" s="98"/>
      <c r="MJI3" s="98"/>
      <c r="MJJ3" s="98"/>
      <c r="MJK3" s="98"/>
      <c r="MJL3" s="98"/>
      <c r="MJM3" s="98"/>
      <c r="MJN3" s="98"/>
      <c r="MJO3" s="98"/>
      <c r="MJP3" s="98"/>
      <c r="MJQ3" s="98"/>
      <c r="MJR3" s="98"/>
      <c r="MJS3" s="98"/>
      <c r="MJT3" s="98"/>
      <c r="MJU3" s="98"/>
      <c r="MJV3" s="98"/>
      <c r="MJW3" s="98"/>
      <c r="MJX3" s="98"/>
      <c r="MJY3" s="98"/>
      <c r="MJZ3" s="98"/>
      <c r="MKA3" s="98"/>
      <c r="MKB3" s="98"/>
      <c r="MKC3" s="98"/>
      <c r="MKD3" s="98"/>
      <c r="MKE3" s="98"/>
      <c r="MKF3" s="98"/>
      <c r="MKG3" s="98"/>
      <c r="MKH3" s="98"/>
      <c r="MKI3" s="98"/>
      <c r="MKJ3" s="98"/>
      <c r="MKK3" s="98"/>
      <c r="MKL3" s="98"/>
      <c r="MKM3" s="98"/>
      <c r="MKN3" s="98"/>
      <c r="MKO3" s="98"/>
      <c r="MKP3" s="98"/>
      <c r="MKQ3" s="98"/>
      <c r="MKR3" s="98"/>
      <c r="MKS3" s="98"/>
      <c r="MKT3" s="98"/>
      <c r="MKU3" s="98"/>
      <c r="MKV3" s="98"/>
      <c r="MKW3" s="98"/>
      <c r="MKX3" s="98"/>
      <c r="MKY3" s="98"/>
      <c r="MKZ3" s="98"/>
      <c r="MLA3" s="98"/>
      <c r="MLB3" s="98"/>
      <c r="MLC3" s="98"/>
      <c r="MLD3" s="98"/>
      <c r="MLE3" s="98"/>
      <c r="MLF3" s="98"/>
      <c r="MLG3" s="98"/>
      <c r="MLH3" s="98"/>
      <c r="MLI3" s="98"/>
      <c r="MLJ3" s="98"/>
      <c r="MLK3" s="98"/>
      <c r="MLL3" s="98"/>
      <c r="MLM3" s="98"/>
      <c r="MLN3" s="98"/>
      <c r="MLO3" s="98"/>
      <c r="MLP3" s="98"/>
      <c r="MLQ3" s="98"/>
      <c r="MLR3" s="98"/>
      <c r="MLS3" s="98"/>
      <c r="MLT3" s="98"/>
      <c r="MLU3" s="98"/>
      <c r="MLV3" s="98"/>
      <c r="MLW3" s="98"/>
      <c r="MLX3" s="98"/>
      <c r="MLY3" s="98"/>
      <c r="MLZ3" s="98"/>
      <c r="MMA3" s="98"/>
      <c r="MMB3" s="98"/>
      <c r="MMC3" s="98"/>
      <c r="MMD3" s="98"/>
      <c r="MME3" s="98"/>
      <c r="MMF3" s="98"/>
      <c r="MMG3" s="98"/>
      <c r="MMH3" s="98"/>
      <c r="MMI3" s="98"/>
      <c r="MMJ3" s="98"/>
      <c r="MMK3" s="98"/>
      <c r="MML3" s="98"/>
      <c r="MMM3" s="98"/>
      <c r="MMN3" s="98"/>
      <c r="MMO3" s="98"/>
      <c r="MMP3" s="98"/>
      <c r="MMQ3" s="98"/>
      <c r="MMR3" s="98"/>
      <c r="MMS3" s="98"/>
      <c r="MMT3" s="98"/>
      <c r="MMU3" s="98"/>
      <c r="MMV3" s="98"/>
      <c r="MMW3" s="98"/>
      <c r="MMX3" s="98"/>
      <c r="MMY3" s="98"/>
      <c r="MMZ3" s="98"/>
      <c r="MNA3" s="98"/>
      <c r="MNB3" s="98"/>
      <c r="MNC3" s="98"/>
      <c r="MND3" s="98"/>
      <c r="MNE3" s="98"/>
      <c r="MNF3" s="98"/>
      <c r="MNG3" s="98"/>
      <c r="MNH3" s="98"/>
      <c r="MNI3" s="98"/>
      <c r="MNJ3" s="98"/>
      <c r="MNK3" s="98"/>
      <c r="MNL3" s="98"/>
      <c r="MNM3" s="98"/>
      <c r="MNN3" s="98"/>
      <c r="MNO3" s="98"/>
      <c r="MNP3" s="98"/>
      <c r="MNQ3" s="98"/>
      <c r="MNR3" s="98"/>
      <c r="MNS3" s="98"/>
      <c r="MNT3" s="98"/>
      <c r="MNU3" s="98"/>
      <c r="MNV3" s="98"/>
      <c r="MNW3" s="98"/>
      <c r="MNX3" s="98"/>
      <c r="MNY3" s="98"/>
      <c r="MNZ3" s="98"/>
      <c r="MOA3" s="98"/>
      <c r="MOB3" s="98"/>
      <c r="MOC3" s="98"/>
      <c r="MOD3" s="98"/>
      <c r="MOE3" s="98"/>
      <c r="MOF3" s="98"/>
      <c r="MOG3" s="98"/>
      <c r="MOH3" s="98"/>
      <c r="MOI3" s="98"/>
      <c r="MOJ3" s="98"/>
      <c r="MOK3" s="98"/>
      <c r="MOL3" s="98"/>
      <c r="MOM3" s="98"/>
      <c r="MON3" s="98"/>
      <c r="MOO3" s="98"/>
      <c r="MOP3" s="98"/>
      <c r="MOQ3" s="98"/>
      <c r="MOR3" s="98"/>
      <c r="MOS3" s="98"/>
      <c r="MOT3" s="98"/>
      <c r="MOU3" s="98"/>
      <c r="MOV3" s="98"/>
      <c r="MOW3" s="98"/>
      <c r="MOX3" s="98"/>
      <c r="MOY3" s="98"/>
      <c r="MOZ3" s="98"/>
      <c r="MPA3" s="98"/>
      <c r="MPB3" s="98"/>
      <c r="MPC3" s="98"/>
      <c r="MPD3" s="98"/>
      <c r="MPE3" s="98"/>
      <c r="MPF3" s="98"/>
      <c r="MPG3" s="98"/>
      <c r="MPH3" s="98"/>
      <c r="MPI3" s="98"/>
      <c r="MPJ3" s="98"/>
      <c r="MPK3" s="98"/>
      <c r="MPL3" s="98"/>
      <c r="MPM3" s="98"/>
      <c r="MPN3" s="98"/>
      <c r="MPO3" s="98"/>
      <c r="MPP3" s="98"/>
      <c r="MPQ3" s="98"/>
      <c r="MPR3" s="98"/>
      <c r="MPS3" s="98"/>
      <c r="MPT3" s="98"/>
      <c r="MPU3" s="98"/>
      <c r="MPV3" s="98"/>
      <c r="MPW3" s="98"/>
      <c r="MPX3" s="98"/>
      <c r="MPY3" s="98"/>
      <c r="MPZ3" s="98"/>
      <c r="MQA3" s="98"/>
      <c r="MQB3" s="98"/>
      <c r="MQC3" s="98"/>
      <c r="MQD3" s="98"/>
      <c r="MQE3" s="98"/>
      <c r="MQF3" s="98"/>
      <c r="MQG3" s="98"/>
      <c r="MQH3" s="98"/>
      <c r="MQI3" s="98"/>
      <c r="MQJ3" s="98"/>
      <c r="MQK3" s="98"/>
      <c r="MQL3" s="98"/>
      <c r="MQM3" s="98"/>
      <c r="MQN3" s="98"/>
      <c r="MQO3" s="98"/>
      <c r="MQP3" s="98"/>
      <c r="MQQ3" s="98"/>
      <c r="MQR3" s="98"/>
      <c r="MQS3" s="98"/>
      <c r="MQT3" s="98"/>
      <c r="MQU3" s="98"/>
      <c r="MQV3" s="98"/>
      <c r="MQW3" s="98"/>
      <c r="MQX3" s="98"/>
      <c r="MQY3" s="98"/>
      <c r="MQZ3" s="98"/>
      <c r="MRA3" s="98"/>
      <c r="MRB3" s="98"/>
      <c r="MRC3" s="98"/>
      <c r="MRD3" s="98"/>
      <c r="MRE3" s="98"/>
      <c r="MRF3" s="98"/>
      <c r="MRG3" s="98"/>
      <c r="MRH3" s="98"/>
      <c r="MRI3" s="98"/>
      <c r="MRJ3" s="98"/>
      <c r="MRK3" s="98"/>
      <c r="MRL3" s="98"/>
      <c r="MRM3" s="98"/>
      <c r="MRN3" s="98"/>
      <c r="MRO3" s="98"/>
      <c r="MRP3" s="98"/>
      <c r="MRQ3" s="98"/>
      <c r="MRR3" s="98"/>
      <c r="MRS3" s="98"/>
      <c r="MRT3" s="98"/>
      <c r="MRU3" s="98"/>
      <c r="MRV3" s="98"/>
      <c r="MRW3" s="98"/>
      <c r="MRX3" s="98"/>
      <c r="MRY3" s="98"/>
      <c r="MRZ3" s="98"/>
      <c r="MSA3" s="98"/>
      <c r="MSB3" s="98"/>
      <c r="MSC3" s="98"/>
      <c r="MSD3" s="98"/>
      <c r="MSE3" s="98"/>
      <c r="MSF3" s="98"/>
      <c r="MSG3" s="98"/>
      <c r="MSH3" s="98"/>
      <c r="MSI3" s="98"/>
      <c r="MSJ3" s="98"/>
      <c r="MSK3" s="98"/>
      <c r="MSL3" s="98"/>
      <c r="MSM3" s="98"/>
      <c r="MSN3" s="98"/>
      <c r="MSO3" s="98"/>
      <c r="MSP3" s="98"/>
      <c r="MSQ3" s="98"/>
      <c r="MSR3" s="98"/>
      <c r="MSS3" s="98"/>
      <c r="MST3" s="98"/>
      <c r="MSU3" s="98"/>
      <c r="MSV3" s="98"/>
      <c r="MSW3" s="98"/>
      <c r="MSX3" s="98"/>
      <c r="MSY3" s="98"/>
      <c r="MSZ3" s="98"/>
      <c r="MTA3" s="98"/>
      <c r="MTB3" s="98"/>
      <c r="MTC3" s="98"/>
      <c r="MTD3" s="98"/>
      <c r="MTE3" s="98"/>
      <c r="MTF3" s="98"/>
      <c r="MTG3" s="98"/>
      <c r="MTH3" s="98"/>
      <c r="MTI3" s="98"/>
      <c r="MTJ3" s="98"/>
      <c r="MTK3" s="98"/>
      <c r="MTL3" s="98"/>
      <c r="MTM3" s="98"/>
      <c r="MTN3" s="98"/>
      <c r="MTO3" s="98"/>
      <c r="MTP3" s="98"/>
      <c r="MTQ3" s="98"/>
      <c r="MTR3" s="98"/>
      <c r="MTS3" s="98"/>
      <c r="MTT3" s="98"/>
      <c r="MTU3" s="98"/>
      <c r="MTV3" s="98"/>
      <c r="MTW3" s="98"/>
      <c r="MTX3" s="98"/>
      <c r="MTY3" s="98"/>
      <c r="MTZ3" s="98"/>
      <c r="MUA3" s="98"/>
      <c r="MUB3" s="98"/>
      <c r="MUC3" s="98"/>
      <c r="MUD3" s="98"/>
      <c r="MUE3" s="98"/>
      <c r="MUF3" s="98"/>
      <c r="MUG3" s="98"/>
      <c r="MUH3" s="98"/>
      <c r="MUI3" s="98"/>
      <c r="MUJ3" s="98"/>
      <c r="MUK3" s="98"/>
      <c r="MUL3" s="98"/>
      <c r="MUM3" s="98"/>
      <c r="MUN3" s="98"/>
      <c r="MUO3" s="98"/>
      <c r="MUP3" s="98"/>
      <c r="MUQ3" s="98"/>
      <c r="MUR3" s="98"/>
      <c r="MUS3" s="98"/>
      <c r="MUT3" s="98"/>
      <c r="MUU3" s="98"/>
      <c r="MUV3" s="98"/>
      <c r="MUW3" s="98"/>
      <c r="MUX3" s="98"/>
      <c r="MUY3" s="98"/>
      <c r="MUZ3" s="98"/>
      <c r="MVA3" s="98"/>
      <c r="MVB3" s="98"/>
      <c r="MVC3" s="98"/>
      <c r="MVD3" s="98"/>
      <c r="MVE3" s="98"/>
      <c r="MVF3" s="98"/>
      <c r="MVG3" s="98"/>
      <c r="MVH3" s="98"/>
      <c r="MVI3" s="98"/>
      <c r="MVJ3" s="98"/>
      <c r="MVK3" s="98"/>
      <c r="MVL3" s="98"/>
      <c r="MVM3" s="98"/>
      <c r="MVN3" s="98"/>
      <c r="MVO3" s="98"/>
      <c r="MVP3" s="98"/>
      <c r="MVQ3" s="98"/>
      <c r="MVR3" s="98"/>
      <c r="MVS3" s="98"/>
      <c r="MVT3" s="98"/>
      <c r="MVU3" s="98"/>
      <c r="MVV3" s="98"/>
      <c r="MVW3" s="98"/>
      <c r="MVX3" s="98"/>
      <c r="MVY3" s="98"/>
      <c r="MVZ3" s="98"/>
      <c r="MWA3" s="98"/>
      <c r="MWB3" s="98"/>
      <c r="MWC3" s="98"/>
      <c r="MWD3" s="98"/>
      <c r="MWE3" s="98"/>
      <c r="MWF3" s="98"/>
      <c r="MWG3" s="98"/>
      <c r="MWH3" s="98"/>
      <c r="MWI3" s="98"/>
      <c r="MWJ3" s="98"/>
      <c r="MWK3" s="98"/>
      <c r="MWL3" s="98"/>
      <c r="MWM3" s="98"/>
      <c r="MWN3" s="98"/>
      <c r="MWO3" s="98"/>
      <c r="MWP3" s="98"/>
      <c r="MWQ3" s="98"/>
      <c r="MWR3" s="98"/>
      <c r="MWS3" s="98"/>
      <c r="MWT3" s="98"/>
      <c r="MWU3" s="98"/>
      <c r="MWV3" s="98"/>
      <c r="MWW3" s="98"/>
      <c r="MWX3" s="98"/>
      <c r="MWY3" s="98"/>
      <c r="MWZ3" s="98"/>
      <c r="MXA3" s="98"/>
      <c r="MXB3" s="98"/>
      <c r="MXC3" s="98"/>
      <c r="MXD3" s="98"/>
      <c r="MXE3" s="98"/>
      <c r="MXF3" s="98"/>
      <c r="MXG3" s="98"/>
      <c r="MXH3" s="98"/>
      <c r="MXI3" s="98"/>
      <c r="MXJ3" s="98"/>
      <c r="MXK3" s="98"/>
      <c r="MXL3" s="98"/>
      <c r="MXM3" s="98"/>
      <c r="MXN3" s="98"/>
      <c r="MXO3" s="98"/>
      <c r="MXP3" s="98"/>
      <c r="MXQ3" s="98"/>
      <c r="MXR3" s="98"/>
      <c r="MXS3" s="98"/>
      <c r="MXT3" s="98"/>
      <c r="MXU3" s="98"/>
      <c r="MXV3" s="98"/>
      <c r="MXW3" s="98"/>
      <c r="MXX3" s="98"/>
      <c r="MXY3" s="98"/>
      <c r="MXZ3" s="98"/>
      <c r="MYA3" s="98"/>
      <c r="MYB3" s="98"/>
      <c r="MYC3" s="98"/>
      <c r="MYD3" s="98"/>
      <c r="MYE3" s="98"/>
      <c r="MYF3" s="98"/>
      <c r="MYG3" s="98"/>
      <c r="MYH3" s="98"/>
      <c r="MYI3" s="98"/>
      <c r="MYJ3" s="98"/>
      <c r="MYK3" s="98"/>
      <c r="MYL3" s="98"/>
      <c r="MYM3" s="98"/>
      <c r="MYN3" s="98"/>
      <c r="MYO3" s="98"/>
      <c r="MYP3" s="98"/>
      <c r="MYQ3" s="98"/>
      <c r="MYR3" s="98"/>
      <c r="MYS3" s="98"/>
      <c r="MYT3" s="98"/>
      <c r="MYU3" s="98"/>
      <c r="MYV3" s="98"/>
      <c r="MYW3" s="98"/>
      <c r="MYX3" s="98"/>
      <c r="MYY3" s="98"/>
      <c r="MYZ3" s="98"/>
      <c r="MZA3" s="98"/>
      <c r="MZB3" s="98"/>
      <c r="MZC3" s="98"/>
      <c r="MZD3" s="98"/>
      <c r="MZE3" s="98"/>
      <c r="MZF3" s="98"/>
      <c r="MZG3" s="98"/>
      <c r="MZH3" s="98"/>
      <c r="MZI3" s="98"/>
      <c r="MZJ3" s="98"/>
      <c r="MZK3" s="98"/>
      <c r="MZL3" s="98"/>
      <c r="MZM3" s="98"/>
      <c r="MZN3" s="98"/>
      <c r="MZO3" s="98"/>
      <c r="MZP3" s="98"/>
      <c r="MZQ3" s="98"/>
      <c r="MZR3" s="98"/>
      <c r="MZS3" s="98"/>
      <c r="MZT3" s="98"/>
      <c r="MZU3" s="98"/>
      <c r="MZV3" s="98"/>
      <c r="MZW3" s="98"/>
      <c r="MZX3" s="98"/>
      <c r="MZY3" s="98"/>
      <c r="MZZ3" s="98"/>
      <c r="NAA3" s="98"/>
      <c r="NAB3" s="98"/>
      <c r="NAC3" s="98"/>
      <c r="NAD3" s="98"/>
      <c r="NAE3" s="98"/>
      <c r="NAF3" s="98"/>
      <c r="NAG3" s="98"/>
      <c r="NAH3" s="98"/>
      <c r="NAI3" s="98"/>
      <c r="NAJ3" s="98"/>
      <c r="NAK3" s="98"/>
      <c r="NAL3" s="98"/>
      <c r="NAM3" s="98"/>
      <c r="NAN3" s="98"/>
      <c r="NAO3" s="98"/>
      <c r="NAP3" s="98"/>
      <c r="NAQ3" s="98"/>
      <c r="NAR3" s="98"/>
      <c r="NAS3" s="98"/>
      <c r="NAT3" s="98"/>
      <c r="NAU3" s="98"/>
      <c r="NAV3" s="98"/>
      <c r="NAW3" s="98"/>
      <c r="NAX3" s="98"/>
      <c r="NAY3" s="98"/>
      <c r="NAZ3" s="98"/>
      <c r="NBA3" s="98"/>
      <c r="NBB3" s="98"/>
      <c r="NBC3" s="98"/>
      <c r="NBD3" s="98"/>
      <c r="NBE3" s="98"/>
      <c r="NBF3" s="98"/>
      <c r="NBG3" s="98"/>
      <c r="NBH3" s="98"/>
      <c r="NBI3" s="98"/>
      <c r="NBJ3" s="98"/>
      <c r="NBK3" s="98"/>
      <c r="NBL3" s="98"/>
      <c r="NBM3" s="98"/>
      <c r="NBN3" s="98"/>
      <c r="NBO3" s="98"/>
      <c r="NBP3" s="98"/>
      <c r="NBQ3" s="98"/>
      <c r="NBR3" s="98"/>
      <c r="NBS3" s="98"/>
      <c r="NBT3" s="98"/>
      <c r="NBU3" s="98"/>
      <c r="NBV3" s="98"/>
      <c r="NBW3" s="98"/>
      <c r="NBX3" s="98"/>
      <c r="NBY3" s="98"/>
      <c r="NBZ3" s="98"/>
      <c r="NCA3" s="98"/>
      <c r="NCB3" s="98"/>
      <c r="NCC3" s="98"/>
      <c r="NCD3" s="98"/>
      <c r="NCE3" s="98"/>
      <c r="NCF3" s="98"/>
      <c r="NCG3" s="98"/>
      <c r="NCH3" s="98"/>
      <c r="NCI3" s="98"/>
      <c r="NCJ3" s="98"/>
      <c r="NCK3" s="98"/>
      <c r="NCL3" s="98"/>
      <c r="NCM3" s="98"/>
      <c r="NCN3" s="98"/>
      <c r="NCO3" s="98"/>
      <c r="NCP3" s="98"/>
      <c r="NCQ3" s="98"/>
      <c r="NCR3" s="98"/>
      <c r="NCS3" s="98"/>
      <c r="NCT3" s="98"/>
      <c r="NCU3" s="98"/>
      <c r="NCV3" s="98"/>
      <c r="NCW3" s="98"/>
      <c r="NCX3" s="98"/>
      <c r="NCY3" s="98"/>
      <c r="NCZ3" s="98"/>
      <c r="NDA3" s="98"/>
      <c r="NDB3" s="98"/>
      <c r="NDC3" s="98"/>
      <c r="NDD3" s="98"/>
      <c r="NDE3" s="98"/>
      <c r="NDF3" s="98"/>
      <c r="NDG3" s="98"/>
      <c r="NDH3" s="98"/>
      <c r="NDI3" s="98"/>
      <c r="NDJ3" s="98"/>
      <c r="NDK3" s="98"/>
      <c r="NDL3" s="98"/>
      <c r="NDM3" s="98"/>
      <c r="NDN3" s="98"/>
      <c r="NDO3" s="98"/>
      <c r="NDP3" s="98"/>
      <c r="NDQ3" s="98"/>
      <c r="NDR3" s="98"/>
      <c r="NDS3" s="98"/>
      <c r="NDT3" s="98"/>
      <c r="NDU3" s="98"/>
      <c r="NDV3" s="98"/>
      <c r="NDW3" s="98"/>
      <c r="NDX3" s="98"/>
      <c r="NDY3" s="98"/>
      <c r="NDZ3" s="98"/>
      <c r="NEA3" s="98"/>
      <c r="NEB3" s="98"/>
      <c r="NEC3" s="98"/>
      <c r="NED3" s="98"/>
      <c r="NEE3" s="98"/>
      <c r="NEF3" s="98"/>
      <c r="NEG3" s="98"/>
      <c r="NEH3" s="98"/>
      <c r="NEI3" s="98"/>
      <c r="NEJ3" s="98"/>
      <c r="NEK3" s="98"/>
      <c r="NEL3" s="98"/>
      <c r="NEM3" s="98"/>
      <c r="NEN3" s="98"/>
      <c r="NEO3" s="98"/>
      <c r="NEP3" s="98"/>
      <c r="NEQ3" s="98"/>
      <c r="NER3" s="98"/>
      <c r="NES3" s="98"/>
      <c r="NET3" s="98"/>
      <c r="NEU3" s="98"/>
      <c r="NEV3" s="98"/>
      <c r="NEW3" s="98"/>
      <c r="NEX3" s="98"/>
      <c r="NEY3" s="98"/>
      <c r="NEZ3" s="98"/>
      <c r="NFA3" s="98"/>
      <c r="NFB3" s="98"/>
      <c r="NFC3" s="98"/>
      <c r="NFD3" s="98"/>
      <c r="NFE3" s="98"/>
      <c r="NFF3" s="98"/>
      <c r="NFG3" s="98"/>
      <c r="NFH3" s="98"/>
      <c r="NFI3" s="98"/>
      <c r="NFJ3" s="98"/>
      <c r="NFK3" s="98"/>
      <c r="NFL3" s="98"/>
      <c r="NFM3" s="98"/>
      <c r="NFN3" s="98"/>
      <c r="NFO3" s="98"/>
      <c r="NFP3" s="98"/>
      <c r="NFQ3" s="98"/>
      <c r="NFR3" s="98"/>
      <c r="NFS3" s="98"/>
      <c r="NFT3" s="98"/>
      <c r="NFU3" s="98"/>
      <c r="NFV3" s="98"/>
      <c r="NFW3" s="98"/>
      <c r="NFX3" s="98"/>
      <c r="NFY3" s="98"/>
      <c r="NFZ3" s="98"/>
      <c r="NGA3" s="98"/>
      <c r="NGB3" s="98"/>
      <c r="NGC3" s="98"/>
      <c r="NGD3" s="98"/>
      <c r="NGE3" s="98"/>
      <c r="NGF3" s="98"/>
      <c r="NGG3" s="98"/>
      <c r="NGH3" s="98"/>
      <c r="NGI3" s="98"/>
      <c r="NGJ3" s="98"/>
      <c r="NGK3" s="98"/>
      <c r="NGL3" s="98"/>
      <c r="NGM3" s="98"/>
      <c r="NGN3" s="98"/>
      <c r="NGO3" s="98"/>
      <c r="NGP3" s="98"/>
      <c r="NGQ3" s="98"/>
      <c r="NGR3" s="98"/>
      <c r="NGS3" s="98"/>
      <c r="NGT3" s="98"/>
      <c r="NGU3" s="98"/>
      <c r="NGV3" s="98"/>
      <c r="NGW3" s="98"/>
      <c r="NGX3" s="98"/>
      <c r="NGY3" s="98"/>
      <c r="NGZ3" s="98"/>
      <c r="NHA3" s="98"/>
      <c r="NHB3" s="98"/>
      <c r="NHC3" s="98"/>
      <c r="NHD3" s="98"/>
      <c r="NHE3" s="98"/>
      <c r="NHF3" s="98"/>
      <c r="NHG3" s="98"/>
      <c r="NHH3" s="98"/>
      <c r="NHI3" s="98"/>
      <c r="NHJ3" s="98"/>
      <c r="NHK3" s="98"/>
      <c r="NHL3" s="98"/>
      <c r="NHM3" s="98"/>
      <c r="NHN3" s="98"/>
      <c r="NHO3" s="98"/>
      <c r="NHP3" s="98"/>
      <c r="NHQ3" s="98"/>
      <c r="NHR3" s="98"/>
      <c r="NHS3" s="98"/>
      <c r="NHT3" s="98"/>
      <c r="NHU3" s="98"/>
      <c r="NHV3" s="98"/>
      <c r="NHW3" s="98"/>
      <c r="NHX3" s="98"/>
      <c r="NHY3" s="98"/>
      <c r="NHZ3" s="98"/>
      <c r="NIA3" s="98"/>
      <c r="NIB3" s="98"/>
      <c r="NIC3" s="98"/>
      <c r="NID3" s="98"/>
      <c r="NIE3" s="98"/>
      <c r="NIF3" s="98"/>
      <c r="NIG3" s="98"/>
      <c r="NIH3" s="98"/>
      <c r="NII3" s="98"/>
      <c r="NIJ3" s="98"/>
      <c r="NIK3" s="98"/>
      <c r="NIL3" s="98"/>
      <c r="NIM3" s="98"/>
      <c r="NIN3" s="98"/>
      <c r="NIO3" s="98"/>
      <c r="NIP3" s="98"/>
      <c r="NIQ3" s="98"/>
      <c r="NIR3" s="98"/>
      <c r="NIS3" s="98"/>
      <c r="NIT3" s="98"/>
      <c r="NIU3" s="98"/>
      <c r="NIV3" s="98"/>
      <c r="NIW3" s="98"/>
      <c r="NIX3" s="98"/>
      <c r="NIY3" s="98"/>
      <c r="NIZ3" s="98"/>
      <c r="NJA3" s="98"/>
      <c r="NJB3" s="98"/>
      <c r="NJC3" s="98"/>
      <c r="NJD3" s="98"/>
      <c r="NJE3" s="98"/>
      <c r="NJF3" s="98"/>
      <c r="NJG3" s="98"/>
      <c r="NJH3" s="98"/>
      <c r="NJI3" s="98"/>
      <c r="NJJ3" s="98"/>
      <c r="NJK3" s="98"/>
      <c r="NJL3" s="98"/>
      <c r="NJM3" s="98"/>
      <c r="NJN3" s="98"/>
      <c r="NJO3" s="98"/>
      <c r="NJP3" s="98"/>
      <c r="NJQ3" s="98"/>
      <c r="NJR3" s="98"/>
      <c r="NJS3" s="98"/>
      <c r="NJT3" s="98"/>
      <c r="NJU3" s="98"/>
      <c r="NJV3" s="98"/>
      <c r="NJW3" s="98"/>
      <c r="NJX3" s="98"/>
      <c r="NJY3" s="98"/>
      <c r="NJZ3" s="98"/>
      <c r="NKA3" s="98"/>
      <c r="NKB3" s="98"/>
      <c r="NKC3" s="98"/>
      <c r="NKD3" s="98"/>
      <c r="NKE3" s="98"/>
      <c r="NKF3" s="98"/>
      <c r="NKG3" s="98"/>
      <c r="NKH3" s="98"/>
      <c r="NKI3" s="98"/>
      <c r="NKJ3" s="98"/>
      <c r="NKK3" s="98"/>
      <c r="NKL3" s="98"/>
      <c r="NKM3" s="98"/>
      <c r="NKN3" s="98"/>
      <c r="NKO3" s="98"/>
      <c r="NKP3" s="98"/>
      <c r="NKQ3" s="98"/>
      <c r="NKR3" s="98"/>
      <c r="NKS3" s="98"/>
      <c r="NKT3" s="98"/>
      <c r="NKU3" s="98"/>
      <c r="NKV3" s="98"/>
      <c r="NKW3" s="98"/>
      <c r="NKX3" s="98"/>
      <c r="NKY3" s="98"/>
      <c r="NKZ3" s="98"/>
      <c r="NLA3" s="98"/>
      <c r="NLB3" s="98"/>
      <c r="NLC3" s="98"/>
      <c r="NLD3" s="98"/>
      <c r="NLE3" s="98"/>
      <c r="NLF3" s="98"/>
      <c r="NLG3" s="98"/>
      <c r="NLH3" s="98"/>
      <c r="NLI3" s="98"/>
      <c r="NLJ3" s="98"/>
      <c r="NLK3" s="98"/>
      <c r="NLL3" s="98"/>
      <c r="NLM3" s="98"/>
      <c r="NLN3" s="98"/>
      <c r="NLO3" s="98"/>
      <c r="NLP3" s="98"/>
      <c r="NLQ3" s="98"/>
      <c r="NLR3" s="98"/>
      <c r="NLS3" s="98"/>
      <c r="NLT3" s="98"/>
      <c r="NLU3" s="98"/>
      <c r="NLV3" s="98"/>
      <c r="NLW3" s="98"/>
      <c r="NLX3" s="98"/>
      <c r="NLY3" s="98"/>
      <c r="NLZ3" s="98"/>
      <c r="NMA3" s="98"/>
      <c r="NMB3" s="98"/>
      <c r="NMC3" s="98"/>
      <c r="NMD3" s="98"/>
      <c r="NME3" s="98"/>
      <c r="NMF3" s="98"/>
      <c r="NMG3" s="98"/>
      <c r="NMH3" s="98"/>
      <c r="NMI3" s="98"/>
      <c r="NMJ3" s="98"/>
      <c r="NMK3" s="98"/>
      <c r="NML3" s="98"/>
      <c r="NMM3" s="98"/>
      <c r="NMN3" s="98"/>
      <c r="NMO3" s="98"/>
      <c r="NMP3" s="98"/>
      <c r="NMQ3" s="98"/>
      <c r="NMR3" s="98"/>
      <c r="NMS3" s="98"/>
      <c r="NMT3" s="98"/>
      <c r="NMU3" s="98"/>
      <c r="NMV3" s="98"/>
      <c r="NMW3" s="98"/>
      <c r="NMX3" s="98"/>
      <c r="NMY3" s="98"/>
      <c r="NMZ3" s="98"/>
      <c r="NNA3" s="98"/>
      <c r="NNB3" s="98"/>
      <c r="NNC3" s="98"/>
      <c r="NND3" s="98"/>
      <c r="NNE3" s="98"/>
      <c r="NNF3" s="98"/>
      <c r="NNG3" s="98"/>
      <c r="NNH3" s="98"/>
      <c r="NNI3" s="98"/>
      <c r="NNJ3" s="98"/>
      <c r="NNK3" s="98"/>
      <c r="NNL3" s="98"/>
      <c r="NNM3" s="98"/>
      <c r="NNN3" s="98"/>
      <c r="NNO3" s="98"/>
      <c r="NNP3" s="98"/>
      <c r="NNQ3" s="98"/>
      <c r="NNR3" s="98"/>
      <c r="NNS3" s="98"/>
      <c r="NNT3" s="98"/>
      <c r="NNU3" s="98"/>
      <c r="NNV3" s="98"/>
      <c r="NNW3" s="98"/>
      <c r="NNX3" s="98"/>
      <c r="NNY3" s="98"/>
      <c r="NNZ3" s="98"/>
      <c r="NOA3" s="98"/>
      <c r="NOB3" s="98"/>
      <c r="NOC3" s="98"/>
      <c r="NOD3" s="98"/>
      <c r="NOE3" s="98"/>
      <c r="NOF3" s="98"/>
      <c r="NOG3" s="98"/>
      <c r="NOH3" s="98"/>
      <c r="NOI3" s="98"/>
      <c r="NOJ3" s="98"/>
      <c r="NOK3" s="98"/>
      <c r="NOL3" s="98"/>
      <c r="NOM3" s="98"/>
      <c r="NON3" s="98"/>
      <c r="NOO3" s="98"/>
      <c r="NOP3" s="98"/>
      <c r="NOQ3" s="98"/>
      <c r="NOR3" s="98"/>
      <c r="NOS3" s="98"/>
      <c r="NOT3" s="98"/>
      <c r="NOU3" s="98"/>
      <c r="NOV3" s="98"/>
      <c r="NOW3" s="98"/>
      <c r="NOX3" s="98"/>
      <c r="NOY3" s="98"/>
      <c r="NOZ3" s="98"/>
      <c r="NPA3" s="98"/>
      <c r="NPB3" s="98"/>
      <c r="NPC3" s="98"/>
      <c r="NPD3" s="98"/>
      <c r="NPE3" s="98"/>
      <c r="NPF3" s="98"/>
      <c r="NPG3" s="98"/>
      <c r="NPH3" s="98"/>
      <c r="NPI3" s="98"/>
      <c r="NPJ3" s="98"/>
      <c r="NPK3" s="98"/>
      <c r="NPL3" s="98"/>
      <c r="NPM3" s="98"/>
      <c r="NPN3" s="98"/>
      <c r="NPO3" s="98"/>
      <c r="NPP3" s="98"/>
      <c r="NPQ3" s="98"/>
      <c r="NPR3" s="98"/>
      <c r="NPS3" s="98"/>
      <c r="NPT3" s="98"/>
      <c r="NPU3" s="98"/>
      <c r="NPV3" s="98"/>
      <c r="NPW3" s="98"/>
      <c r="NPX3" s="98"/>
      <c r="NPY3" s="98"/>
      <c r="NPZ3" s="98"/>
      <c r="NQA3" s="98"/>
      <c r="NQB3" s="98"/>
      <c r="NQC3" s="98"/>
      <c r="NQD3" s="98"/>
      <c r="NQE3" s="98"/>
      <c r="NQF3" s="98"/>
      <c r="NQG3" s="98"/>
      <c r="NQH3" s="98"/>
      <c r="NQI3" s="98"/>
      <c r="NQJ3" s="98"/>
      <c r="NQK3" s="98"/>
      <c r="NQL3" s="98"/>
      <c r="NQM3" s="98"/>
      <c r="NQN3" s="98"/>
      <c r="NQO3" s="98"/>
      <c r="NQP3" s="98"/>
      <c r="NQQ3" s="98"/>
      <c r="NQR3" s="98"/>
      <c r="NQS3" s="98"/>
      <c r="NQT3" s="98"/>
      <c r="NQU3" s="98"/>
      <c r="NQV3" s="98"/>
      <c r="NQW3" s="98"/>
      <c r="NQX3" s="98"/>
      <c r="NQY3" s="98"/>
      <c r="NQZ3" s="98"/>
      <c r="NRA3" s="98"/>
      <c r="NRB3" s="98"/>
      <c r="NRC3" s="98"/>
      <c r="NRD3" s="98"/>
      <c r="NRE3" s="98"/>
      <c r="NRF3" s="98"/>
      <c r="NRG3" s="98"/>
      <c r="NRH3" s="98"/>
      <c r="NRI3" s="98"/>
      <c r="NRJ3" s="98"/>
      <c r="NRK3" s="98"/>
      <c r="NRL3" s="98"/>
      <c r="NRM3" s="98"/>
      <c r="NRN3" s="98"/>
      <c r="NRO3" s="98"/>
      <c r="NRP3" s="98"/>
      <c r="NRQ3" s="98"/>
      <c r="NRR3" s="98"/>
      <c r="NRS3" s="98"/>
      <c r="NRT3" s="98"/>
      <c r="NRU3" s="98"/>
      <c r="NRV3" s="98"/>
      <c r="NRW3" s="98"/>
      <c r="NRX3" s="98"/>
      <c r="NRY3" s="98"/>
      <c r="NRZ3" s="98"/>
      <c r="NSA3" s="98"/>
      <c r="NSB3" s="98"/>
      <c r="NSC3" s="98"/>
      <c r="NSD3" s="98"/>
      <c r="NSE3" s="98"/>
      <c r="NSF3" s="98"/>
      <c r="NSG3" s="98"/>
      <c r="NSH3" s="98"/>
      <c r="NSI3" s="98"/>
      <c r="NSJ3" s="98"/>
      <c r="NSK3" s="98"/>
      <c r="NSL3" s="98"/>
      <c r="NSM3" s="98"/>
      <c r="NSN3" s="98"/>
      <c r="NSO3" s="98"/>
      <c r="NSP3" s="98"/>
      <c r="NSQ3" s="98"/>
      <c r="NSR3" s="98"/>
      <c r="NSS3" s="98"/>
      <c r="NST3" s="98"/>
      <c r="NSU3" s="98"/>
      <c r="NSV3" s="98"/>
      <c r="NSW3" s="98"/>
      <c r="NSX3" s="98"/>
      <c r="NSY3" s="98"/>
      <c r="NSZ3" s="98"/>
      <c r="NTA3" s="98"/>
      <c r="NTB3" s="98"/>
      <c r="NTC3" s="98"/>
      <c r="NTD3" s="98"/>
      <c r="NTE3" s="98"/>
      <c r="NTF3" s="98"/>
      <c r="NTG3" s="98"/>
      <c r="NTH3" s="98"/>
      <c r="NTI3" s="98"/>
      <c r="NTJ3" s="98"/>
      <c r="NTK3" s="98"/>
      <c r="NTL3" s="98"/>
      <c r="NTM3" s="98"/>
      <c r="NTN3" s="98"/>
      <c r="NTO3" s="98"/>
      <c r="NTP3" s="98"/>
      <c r="NTQ3" s="98"/>
      <c r="NTR3" s="98"/>
      <c r="NTS3" s="98"/>
      <c r="NTT3" s="98"/>
      <c r="NTU3" s="98"/>
      <c r="NTV3" s="98"/>
      <c r="NTW3" s="98"/>
      <c r="NTX3" s="98"/>
      <c r="NTY3" s="98"/>
      <c r="NTZ3" s="98"/>
      <c r="NUA3" s="98"/>
      <c r="NUB3" s="98"/>
      <c r="NUC3" s="98"/>
      <c r="NUD3" s="98"/>
      <c r="NUE3" s="98"/>
      <c r="NUF3" s="98"/>
      <c r="NUG3" s="98"/>
      <c r="NUH3" s="98"/>
      <c r="NUI3" s="98"/>
      <c r="NUJ3" s="98"/>
      <c r="NUK3" s="98"/>
      <c r="NUL3" s="98"/>
      <c r="NUM3" s="98"/>
      <c r="NUN3" s="98"/>
      <c r="NUO3" s="98"/>
      <c r="NUP3" s="98"/>
      <c r="NUQ3" s="98"/>
      <c r="NUR3" s="98"/>
      <c r="NUS3" s="98"/>
      <c r="NUT3" s="98"/>
      <c r="NUU3" s="98"/>
      <c r="NUV3" s="98"/>
      <c r="NUW3" s="98"/>
      <c r="NUX3" s="98"/>
      <c r="NUY3" s="98"/>
      <c r="NUZ3" s="98"/>
      <c r="NVA3" s="98"/>
      <c r="NVB3" s="98"/>
      <c r="NVC3" s="98"/>
      <c r="NVD3" s="98"/>
      <c r="NVE3" s="98"/>
      <c r="NVF3" s="98"/>
      <c r="NVG3" s="98"/>
      <c r="NVH3" s="98"/>
      <c r="NVI3" s="98"/>
      <c r="NVJ3" s="98"/>
      <c r="NVK3" s="98"/>
      <c r="NVL3" s="98"/>
      <c r="NVM3" s="98"/>
      <c r="NVN3" s="98"/>
      <c r="NVO3" s="98"/>
      <c r="NVP3" s="98"/>
      <c r="NVQ3" s="98"/>
      <c r="NVR3" s="98"/>
      <c r="NVS3" s="98"/>
      <c r="NVT3" s="98"/>
      <c r="NVU3" s="98"/>
      <c r="NVV3" s="98"/>
      <c r="NVW3" s="98"/>
      <c r="NVX3" s="98"/>
      <c r="NVY3" s="98"/>
      <c r="NVZ3" s="98"/>
      <c r="NWA3" s="98"/>
      <c r="NWB3" s="98"/>
      <c r="NWC3" s="98"/>
      <c r="NWD3" s="98"/>
      <c r="NWE3" s="98"/>
      <c r="NWF3" s="98"/>
      <c r="NWG3" s="98"/>
      <c r="NWH3" s="98"/>
      <c r="NWI3" s="98"/>
      <c r="NWJ3" s="98"/>
      <c r="NWK3" s="98"/>
      <c r="NWL3" s="98"/>
      <c r="NWM3" s="98"/>
      <c r="NWN3" s="98"/>
      <c r="NWO3" s="98"/>
      <c r="NWP3" s="98"/>
      <c r="NWQ3" s="98"/>
      <c r="NWR3" s="98"/>
      <c r="NWS3" s="98"/>
      <c r="NWT3" s="98"/>
      <c r="NWU3" s="98"/>
      <c r="NWV3" s="98"/>
      <c r="NWW3" s="98"/>
      <c r="NWX3" s="98"/>
      <c r="NWY3" s="98"/>
      <c r="NWZ3" s="98"/>
      <c r="NXA3" s="98"/>
      <c r="NXB3" s="98"/>
      <c r="NXC3" s="98"/>
      <c r="NXD3" s="98"/>
      <c r="NXE3" s="98"/>
      <c r="NXF3" s="98"/>
      <c r="NXG3" s="98"/>
      <c r="NXH3" s="98"/>
      <c r="NXI3" s="98"/>
      <c r="NXJ3" s="98"/>
      <c r="NXK3" s="98"/>
      <c r="NXL3" s="98"/>
      <c r="NXM3" s="98"/>
      <c r="NXN3" s="98"/>
      <c r="NXO3" s="98"/>
      <c r="NXP3" s="98"/>
      <c r="NXQ3" s="98"/>
      <c r="NXR3" s="98"/>
      <c r="NXS3" s="98"/>
      <c r="NXT3" s="98"/>
      <c r="NXU3" s="98"/>
      <c r="NXV3" s="98"/>
      <c r="NXW3" s="98"/>
      <c r="NXX3" s="98"/>
      <c r="NXY3" s="98"/>
      <c r="NXZ3" s="98"/>
      <c r="NYA3" s="98"/>
      <c r="NYB3" s="98"/>
      <c r="NYC3" s="98"/>
      <c r="NYD3" s="98"/>
      <c r="NYE3" s="98"/>
      <c r="NYF3" s="98"/>
      <c r="NYG3" s="98"/>
      <c r="NYH3" s="98"/>
      <c r="NYI3" s="98"/>
      <c r="NYJ3" s="98"/>
      <c r="NYK3" s="98"/>
      <c r="NYL3" s="98"/>
      <c r="NYM3" s="98"/>
      <c r="NYN3" s="98"/>
      <c r="NYO3" s="98"/>
      <c r="NYP3" s="98"/>
      <c r="NYQ3" s="98"/>
      <c r="NYR3" s="98"/>
      <c r="NYS3" s="98"/>
      <c r="NYT3" s="98"/>
      <c r="NYU3" s="98"/>
      <c r="NYV3" s="98"/>
      <c r="NYW3" s="98"/>
      <c r="NYX3" s="98"/>
      <c r="NYY3" s="98"/>
      <c r="NYZ3" s="98"/>
      <c r="NZA3" s="98"/>
      <c r="NZB3" s="98"/>
      <c r="NZC3" s="98"/>
      <c r="NZD3" s="98"/>
      <c r="NZE3" s="98"/>
      <c r="NZF3" s="98"/>
      <c r="NZG3" s="98"/>
      <c r="NZH3" s="98"/>
      <c r="NZI3" s="98"/>
      <c r="NZJ3" s="98"/>
      <c r="NZK3" s="98"/>
      <c r="NZL3" s="98"/>
      <c r="NZM3" s="98"/>
      <c r="NZN3" s="98"/>
      <c r="NZO3" s="98"/>
      <c r="NZP3" s="98"/>
      <c r="NZQ3" s="98"/>
      <c r="NZR3" s="98"/>
      <c r="NZS3" s="98"/>
      <c r="NZT3" s="98"/>
      <c r="NZU3" s="98"/>
      <c r="NZV3" s="98"/>
      <c r="NZW3" s="98"/>
      <c r="NZX3" s="98"/>
      <c r="NZY3" s="98"/>
      <c r="NZZ3" s="98"/>
      <c r="OAA3" s="98"/>
      <c r="OAB3" s="98"/>
      <c r="OAC3" s="98"/>
      <c r="OAD3" s="98"/>
      <c r="OAE3" s="98"/>
      <c r="OAF3" s="98"/>
      <c r="OAG3" s="98"/>
      <c r="OAH3" s="98"/>
      <c r="OAI3" s="98"/>
      <c r="OAJ3" s="98"/>
      <c r="OAK3" s="98"/>
      <c r="OAL3" s="98"/>
      <c r="OAM3" s="98"/>
      <c r="OAN3" s="98"/>
      <c r="OAO3" s="98"/>
      <c r="OAP3" s="98"/>
      <c r="OAQ3" s="98"/>
      <c r="OAR3" s="98"/>
      <c r="OAS3" s="98"/>
      <c r="OAT3" s="98"/>
      <c r="OAU3" s="98"/>
      <c r="OAV3" s="98"/>
      <c r="OAW3" s="98"/>
      <c r="OAX3" s="98"/>
      <c r="OAY3" s="98"/>
      <c r="OAZ3" s="98"/>
      <c r="OBA3" s="98"/>
      <c r="OBB3" s="98"/>
      <c r="OBC3" s="98"/>
      <c r="OBD3" s="98"/>
      <c r="OBE3" s="98"/>
      <c r="OBF3" s="98"/>
      <c r="OBG3" s="98"/>
      <c r="OBH3" s="98"/>
      <c r="OBI3" s="98"/>
      <c r="OBJ3" s="98"/>
      <c r="OBK3" s="98"/>
      <c r="OBL3" s="98"/>
      <c r="OBM3" s="98"/>
      <c r="OBN3" s="98"/>
      <c r="OBO3" s="98"/>
      <c r="OBP3" s="98"/>
      <c r="OBQ3" s="98"/>
      <c r="OBR3" s="98"/>
      <c r="OBS3" s="98"/>
      <c r="OBT3" s="98"/>
      <c r="OBU3" s="98"/>
      <c r="OBV3" s="98"/>
      <c r="OBW3" s="98"/>
      <c r="OBX3" s="98"/>
      <c r="OBY3" s="98"/>
      <c r="OBZ3" s="98"/>
      <c r="OCA3" s="98"/>
      <c r="OCB3" s="98"/>
      <c r="OCC3" s="98"/>
      <c r="OCD3" s="98"/>
      <c r="OCE3" s="98"/>
      <c r="OCF3" s="98"/>
      <c r="OCG3" s="98"/>
      <c r="OCH3" s="98"/>
      <c r="OCI3" s="98"/>
      <c r="OCJ3" s="98"/>
      <c r="OCK3" s="98"/>
      <c r="OCL3" s="98"/>
      <c r="OCM3" s="98"/>
      <c r="OCN3" s="98"/>
      <c r="OCO3" s="98"/>
      <c r="OCP3" s="98"/>
      <c r="OCQ3" s="98"/>
      <c r="OCR3" s="98"/>
      <c r="OCS3" s="98"/>
      <c r="OCT3" s="98"/>
      <c r="OCU3" s="98"/>
      <c r="OCV3" s="98"/>
      <c r="OCW3" s="98"/>
      <c r="OCX3" s="98"/>
      <c r="OCY3" s="98"/>
      <c r="OCZ3" s="98"/>
      <c r="ODA3" s="98"/>
      <c r="ODB3" s="98"/>
      <c r="ODC3" s="98"/>
      <c r="ODD3" s="98"/>
      <c r="ODE3" s="98"/>
      <c r="ODF3" s="98"/>
      <c r="ODG3" s="98"/>
      <c r="ODH3" s="98"/>
      <c r="ODI3" s="98"/>
      <c r="ODJ3" s="98"/>
      <c r="ODK3" s="98"/>
      <c r="ODL3" s="98"/>
      <c r="ODM3" s="98"/>
      <c r="ODN3" s="98"/>
      <c r="ODO3" s="98"/>
      <c r="ODP3" s="98"/>
      <c r="ODQ3" s="98"/>
      <c r="ODR3" s="98"/>
      <c r="ODS3" s="98"/>
      <c r="ODT3" s="98"/>
      <c r="ODU3" s="98"/>
      <c r="ODV3" s="98"/>
      <c r="ODW3" s="98"/>
      <c r="ODX3" s="98"/>
      <c r="ODY3" s="98"/>
      <c r="ODZ3" s="98"/>
      <c r="OEA3" s="98"/>
      <c r="OEB3" s="98"/>
      <c r="OEC3" s="98"/>
      <c r="OED3" s="98"/>
      <c r="OEE3" s="98"/>
      <c r="OEF3" s="98"/>
      <c r="OEG3" s="98"/>
      <c r="OEH3" s="98"/>
      <c r="OEI3" s="98"/>
      <c r="OEJ3" s="98"/>
      <c r="OEK3" s="98"/>
      <c r="OEL3" s="98"/>
      <c r="OEM3" s="98"/>
      <c r="OEN3" s="98"/>
      <c r="OEO3" s="98"/>
      <c r="OEP3" s="98"/>
      <c r="OEQ3" s="98"/>
      <c r="OER3" s="98"/>
      <c r="OES3" s="98"/>
      <c r="OET3" s="98"/>
      <c r="OEU3" s="98"/>
      <c r="OEV3" s="98"/>
      <c r="OEW3" s="98"/>
      <c r="OEX3" s="98"/>
      <c r="OEY3" s="98"/>
      <c r="OEZ3" s="98"/>
      <c r="OFA3" s="98"/>
      <c r="OFB3" s="98"/>
      <c r="OFC3" s="98"/>
      <c r="OFD3" s="98"/>
      <c r="OFE3" s="98"/>
      <c r="OFF3" s="98"/>
      <c r="OFG3" s="98"/>
      <c r="OFH3" s="98"/>
      <c r="OFI3" s="98"/>
      <c r="OFJ3" s="98"/>
      <c r="OFK3" s="98"/>
      <c r="OFL3" s="98"/>
      <c r="OFM3" s="98"/>
      <c r="OFN3" s="98"/>
      <c r="OFO3" s="98"/>
      <c r="OFP3" s="98"/>
      <c r="OFQ3" s="98"/>
      <c r="OFR3" s="98"/>
      <c r="OFS3" s="98"/>
      <c r="OFT3" s="98"/>
      <c r="OFU3" s="98"/>
      <c r="OFV3" s="98"/>
      <c r="OFW3" s="98"/>
      <c r="OFX3" s="98"/>
      <c r="OFY3" s="98"/>
      <c r="OFZ3" s="98"/>
      <c r="OGA3" s="98"/>
      <c r="OGB3" s="98"/>
      <c r="OGC3" s="98"/>
      <c r="OGD3" s="98"/>
      <c r="OGE3" s="98"/>
      <c r="OGF3" s="98"/>
      <c r="OGG3" s="98"/>
      <c r="OGH3" s="98"/>
      <c r="OGI3" s="98"/>
      <c r="OGJ3" s="98"/>
      <c r="OGK3" s="98"/>
      <c r="OGL3" s="98"/>
      <c r="OGM3" s="98"/>
      <c r="OGN3" s="98"/>
      <c r="OGO3" s="98"/>
      <c r="OGP3" s="98"/>
      <c r="OGQ3" s="98"/>
      <c r="OGR3" s="98"/>
      <c r="OGS3" s="98"/>
      <c r="OGT3" s="98"/>
      <c r="OGU3" s="98"/>
      <c r="OGV3" s="98"/>
      <c r="OGW3" s="98"/>
      <c r="OGX3" s="98"/>
      <c r="OGY3" s="98"/>
      <c r="OGZ3" s="98"/>
      <c r="OHA3" s="98"/>
      <c r="OHB3" s="98"/>
      <c r="OHC3" s="98"/>
      <c r="OHD3" s="98"/>
      <c r="OHE3" s="98"/>
      <c r="OHF3" s="98"/>
      <c r="OHG3" s="98"/>
      <c r="OHH3" s="98"/>
      <c r="OHI3" s="98"/>
      <c r="OHJ3" s="98"/>
      <c r="OHK3" s="98"/>
      <c r="OHL3" s="98"/>
      <c r="OHM3" s="98"/>
      <c r="OHN3" s="98"/>
      <c r="OHO3" s="98"/>
      <c r="OHP3" s="98"/>
      <c r="OHQ3" s="98"/>
      <c r="OHR3" s="98"/>
      <c r="OHS3" s="98"/>
      <c r="OHT3" s="98"/>
      <c r="OHU3" s="98"/>
      <c r="OHV3" s="98"/>
      <c r="OHW3" s="98"/>
      <c r="OHX3" s="98"/>
      <c r="OHY3" s="98"/>
      <c r="OHZ3" s="98"/>
      <c r="OIA3" s="98"/>
      <c r="OIB3" s="98"/>
      <c r="OIC3" s="98"/>
      <c r="OID3" s="98"/>
      <c r="OIE3" s="98"/>
      <c r="OIF3" s="98"/>
      <c r="OIG3" s="98"/>
      <c r="OIH3" s="98"/>
      <c r="OII3" s="98"/>
      <c r="OIJ3" s="98"/>
      <c r="OIK3" s="98"/>
      <c r="OIL3" s="98"/>
      <c r="OIM3" s="98"/>
      <c r="OIN3" s="98"/>
      <c r="OIO3" s="98"/>
      <c r="OIP3" s="98"/>
      <c r="OIQ3" s="98"/>
      <c r="OIR3" s="98"/>
      <c r="OIS3" s="98"/>
      <c r="OIT3" s="98"/>
      <c r="OIU3" s="98"/>
      <c r="OIV3" s="98"/>
      <c r="OIW3" s="98"/>
      <c r="OIX3" s="98"/>
      <c r="OIY3" s="98"/>
      <c r="OIZ3" s="98"/>
      <c r="OJA3" s="98"/>
      <c r="OJB3" s="98"/>
      <c r="OJC3" s="98"/>
      <c r="OJD3" s="98"/>
      <c r="OJE3" s="98"/>
      <c r="OJF3" s="98"/>
      <c r="OJG3" s="98"/>
      <c r="OJH3" s="98"/>
      <c r="OJI3" s="98"/>
      <c r="OJJ3" s="98"/>
      <c r="OJK3" s="98"/>
      <c r="OJL3" s="98"/>
      <c r="OJM3" s="98"/>
      <c r="OJN3" s="98"/>
      <c r="OJO3" s="98"/>
      <c r="OJP3" s="98"/>
      <c r="OJQ3" s="98"/>
      <c r="OJR3" s="98"/>
      <c r="OJS3" s="98"/>
      <c r="OJT3" s="98"/>
      <c r="OJU3" s="98"/>
      <c r="OJV3" s="98"/>
      <c r="OJW3" s="98"/>
      <c r="OJX3" s="98"/>
      <c r="OJY3" s="98"/>
      <c r="OJZ3" s="98"/>
      <c r="OKA3" s="98"/>
      <c r="OKB3" s="98"/>
      <c r="OKC3" s="98"/>
      <c r="OKD3" s="98"/>
      <c r="OKE3" s="98"/>
      <c r="OKF3" s="98"/>
      <c r="OKG3" s="98"/>
      <c r="OKH3" s="98"/>
      <c r="OKI3" s="98"/>
      <c r="OKJ3" s="98"/>
      <c r="OKK3" s="98"/>
      <c r="OKL3" s="98"/>
      <c r="OKM3" s="98"/>
      <c r="OKN3" s="98"/>
      <c r="OKO3" s="98"/>
      <c r="OKP3" s="98"/>
      <c r="OKQ3" s="98"/>
      <c r="OKR3" s="98"/>
      <c r="OKS3" s="98"/>
      <c r="OKT3" s="98"/>
      <c r="OKU3" s="98"/>
      <c r="OKV3" s="98"/>
      <c r="OKW3" s="98"/>
      <c r="OKX3" s="98"/>
      <c r="OKY3" s="98"/>
      <c r="OKZ3" s="98"/>
      <c r="OLA3" s="98"/>
      <c r="OLB3" s="98"/>
      <c r="OLC3" s="98"/>
      <c r="OLD3" s="98"/>
      <c r="OLE3" s="98"/>
      <c r="OLF3" s="98"/>
      <c r="OLG3" s="98"/>
      <c r="OLH3" s="98"/>
      <c r="OLI3" s="98"/>
      <c r="OLJ3" s="98"/>
      <c r="OLK3" s="98"/>
      <c r="OLL3" s="98"/>
      <c r="OLM3" s="98"/>
      <c r="OLN3" s="98"/>
      <c r="OLO3" s="98"/>
      <c r="OLP3" s="98"/>
      <c r="OLQ3" s="98"/>
      <c r="OLR3" s="98"/>
      <c r="OLS3" s="98"/>
      <c r="OLT3" s="98"/>
      <c r="OLU3" s="98"/>
      <c r="OLV3" s="98"/>
      <c r="OLW3" s="98"/>
      <c r="OLX3" s="98"/>
      <c r="OLY3" s="98"/>
      <c r="OLZ3" s="98"/>
      <c r="OMA3" s="98"/>
      <c r="OMB3" s="98"/>
      <c r="OMC3" s="98"/>
      <c r="OMD3" s="98"/>
      <c r="OME3" s="98"/>
      <c r="OMF3" s="98"/>
      <c r="OMG3" s="98"/>
      <c r="OMH3" s="98"/>
      <c r="OMI3" s="98"/>
      <c r="OMJ3" s="98"/>
      <c r="OMK3" s="98"/>
      <c r="OML3" s="98"/>
      <c r="OMM3" s="98"/>
      <c r="OMN3" s="98"/>
      <c r="OMO3" s="98"/>
      <c r="OMP3" s="98"/>
      <c r="OMQ3" s="98"/>
      <c r="OMR3" s="98"/>
      <c r="OMS3" s="98"/>
      <c r="OMT3" s="98"/>
      <c r="OMU3" s="98"/>
      <c r="OMV3" s="98"/>
      <c r="OMW3" s="98"/>
      <c r="OMX3" s="98"/>
      <c r="OMY3" s="98"/>
      <c r="OMZ3" s="98"/>
      <c r="ONA3" s="98"/>
      <c r="ONB3" s="98"/>
      <c r="ONC3" s="98"/>
      <c r="OND3" s="98"/>
      <c r="ONE3" s="98"/>
      <c r="ONF3" s="98"/>
      <c r="ONG3" s="98"/>
      <c r="ONH3" s="98"/>
      <c r="ONI3" s="98"/>
      <c r="ONJ3" s="98"/>
      <c r="ONK3" s="98"/>
      <c r="ONL3" s="98"/>
      <c r="ONM3" s="98"/>
      <c r="ONN3" s="98"/>
      <c r="ONO3" s="98"/>
      <c r="ONP3" s="98"/>
      <c r="ONQ3" s="98"/>
      <c r="ONR3" s="98"/>
      <c r="ONS3" s="98"/>
      <c r="ONT3" s="98"/>
      <c r="ONU3" s="98"/>
      <c r="ONV3" s="98"/>
      <c r="ONW3" s="98"/>
      <c r="ONX3" s="98"/>
      <c r="ONY3" s="98"/>
      <c r="ONZ3" s="98"/>
      <c r="OOA3" s="98"/>
      <c r="OOB3" s="98"/>
      <c r="OOC3" s="98"/>
      <c r="OOD3" s="98"/>
      <c r="OOE3" s="98"/>
      <c r="OOF3" s="98"/>
      <c r="OOG3" s="98"/>
      <c r="OOH3" s="98"/>
      <c r="OOI3" s="98"/>
      <c r="OOJ3" s="98"/>
      <c r="OOK3" s="98"/>
      <c r="OOL3" s="98"/>
      <c r="OOM3" s="98"/>
      <c r="OON3" s="98"/>
      <c r="OOO3" s="98"/>
      <c r="OOP3" s="98"/>
      <c r="OOQ3" s="98"/>
      <c r="OOR3" s="98"/>
      <c r="OOS3" s="98"/>
      <c r="OOT3" s="98"/>
      <c r="OOU3" s="98"/>
      <c r="OOV3" s="98"/>
      <c r="OOW3" s="98"/>
      <c r="OOX3" s="98"/>
      <c r="OOY3" s="98"/>
      <c r="OOZ3" s="98"/>
      <c r="OPA3" s="98"/>
      <c r="OPB3" s="98"/>
      <c r="OPC3" s="98"/>
      <c r="OPD3" s="98"/>
      <c r="OPE3" s="98"/>
      <c r="OPF3" s="98"/>
      <c r="OPG3" s="98"/>
      <c r="OPH3" s="98"/>
      <c r="OPI3" s="98"/>
      <c r="OPJ3" s="98"/>
      <c r="OPK3" s="98"/>
      <c r="OPL3" s="98"/>
      <c r="OPM3" s="98"/>
      <c r="OPN3" s="98"/>
      <c r="OPO3" s="98"/>
      <c r="OPP3" s="98"/>
      <c r="OPQ3" s="98"/>
      <c r="OPR3" s="98"/>
      <c r="OPS3" s="98"/>
      <c r="OPT3" s="98"/>
      <c r="OPU3" s="98"/>
      <c r="OPV3" s="98"/>
      <c r="OPW3" s="98"/>
      <c r="OPX3" s="98"/>
      <c r="OPY3" s="98"/>
      <c r="OPZ3" s="98"/>
      <c r="OQA3" s="98"/>
      <c r="OQB3" s="98"/>
      <c r="OQC3" s="98"/>
      <c r="OQD3" s="98"/>
      <c r="OQE3" s="98"/>
      <c r="OQF3" s="98"/>
      <c r="OQG3" s="98"/>
      <c r="OQH3" s="98"/>
      <c r="OQI3" s="98"/>
      <c r="OQJ3" s="98"/>
      <c r="OQK3" s="98"/>
      <c r="OQL3" s="98"/>
      <c r="OQM3" s="98"/>
      <c r="OQN3" s="98"/>
      <c r="OQO3" s="98"/>
      <c r="OQP3" s="98"/>
      <c r="OQQ3" s="98"/>
      <c r="OQR3" s="98"/>
      <c r="OQS3" s="98"/>
      <c r="OQT3" s="98"/>
      <c r="OQU3" s="98"/>
      <c r="OQV3" s="98"/>
      <c r="OQW3" s="98"/>
      <c r="OQX3" s="98"/>
      <c r="OQY3" s="98"/>
      <c r="OQZ3" s="98"/>
      <c r="ORA3" s="98"/>
      <c r="ORB3" s="98"/>
      <c r="ORC3" s="98"/>
      <c r="ORD3" s="98"/>
      <c r="ORE3" s="98"/>
      <c r="ORF3" s="98"/>
      <c r="ORG3" s="98"/>
      <c r="ORH3" s="98"/>
      <c r="ORI3" s="98"/>
      <c r="ORJ3" s="98"/>
      <c r="ORK3" s="98"/>
      <c r="ORL3" s="98"/>
      <c r="ORM3" s="98"/>
      <c r="ORN3" s="98"/>
      <c r="ORO3" s="98"/>
      <c r="ORP3" s="98"/>
      <c r="ORQ3" s="98"/>
      <c r="ORR3" s="98"/>
      <c r="ORS3" s="98"/>
      <c r="ORT3" s="98"/>
      <c r="ORU3" s="98"/>
      <c r="ORV3" s="98"/>
      <c r="ORW3" s="98"/>
      <c r="ORX3" s="98"/>
      <c r="ORY3" s="98"/>
      <c r="ORZ3" s="98"/>
      <c r="OSA3" s="98"/>
      <c r="OSB3" s="98"/>
      <c r="OSC3" s="98"/>
      <c r="OSD3" s="98"/>
      <c r="OSE3" s="98"/>
      <c r="OSF3" s="98"/>
      <c r="OSG3" s="98"/>
      <c r="OSH3" s="98"/>
      <c r="OSI3" s="98"/>
      <c r="OSJ3" s="98"/>
      <c r="OSK3" s="98"/>
      <c r="OSL3" s="98"/>
      <c r="OSM3" s="98"/>
      <c r="OSN3" s="98"/>
      <c r="OSO3" s="98"/>
      <c r="OSP3" s="98"/>
      <c r="OSQ3" s="98"/>
      <c r="OSR3" s="98"/>
      <c r="OSS3" s="98"/>
      <c r="OST3" s="98"/>
      <c r="OSU3" s="98"/>
      <c r="OSV3" s="98"/>
      <c r="OSW3" s="98"/>
      <c r="OSX3" s="98"/>
      <c r="OSY3" s="98"/>
      <c r="OSZ3" s="98"/>
      <c r="OTA3" s="98"/>
      <c r="OTB3" s="98"/>
      <c r="OTC3" s="98"/>
      <c r="OTD3" s="98"/>
      <c r="OTE3" s="98"/>
      <c r="OTF3" s="98"/>
      <c r="OTG3" s="98"/>
      <c r="OTH3" s="98"/>
      <c r="OTI3" s="98"/>
      <c r="OTJ3" s="98"/>
      <c r="OTK3" s="98"/>
      <c r="OTL3" s="98"/>
      <c r="OTM3" s="98"/>
      <c r="OTN3" s="98"/>
      <c r="OTO3" s="98"/>
      <c r="OTP3" s="98"/>
      <c r="OTQ3" s="98"/>
      <c r="OTR3" s="98"/>
      <c r="OTS3" s="98"/>
      <c r="OTT3" s="98"/>
      <c r="OTU3" s="98"/>
      <c r="OTV3" s="98"/>
      <c r="OTW3" s="98"/>
      <c r="OTX3" s="98"/>
      <c r="OTY3" s="98"/>
      <c r="OTZ3" s="98"/>
      <c r="OUA3" s="98"/>
      <c r="OUB3" s="98"/>
      <c r="OUC3" s="98"/>
      <c r="OUD3" s="98"/>
      <c r="OUE3" s="98"/>
      <c r="OUF3" s="98"/>
      <c r="OUG3" s="98"/>
      <c r="OUH3" s="98"/>
      <c r="OUI3" s="98"/>
      <c r="OUJ3" s="98"/>
      <c r="OUK3" s="98"/>
      <c r="OUL3" s="98"/>
      <c r="OUM3" s="98"/>
      <c r="OUN3" s="98"/>
      <c r="OUO3" s="98"/>
      <c r="OUP3" s="98"/>
      <c r="OUQ3" s="98"/>
      <c r="OUR3" s="98"/>
      <c r="OUS3" s="98"/>
      <c r="OUT3" s="98"/>
      <c r="OUU3" s="98"/>
      <c r="OUV3" s="98"/>
      <c r="OUW3" s="98"/>
      <c r="OUX3" s="98"/>
      <c r="OUY3" s="98"/>
      <c r="OUZ3" s="98"/>
      <c r="OVA3" s="98"/>
      <c r="OVB3" s="98"/>
      <c r="OVC3" s="98"/>
      <c r="OVD3" s="98"/>
      <c r="OVE3" s="98"/>
      <c r="OVF3" s="98"/>
      <c r="OVG3" s="98"/>
      <c r="OVH3" s="98"/>
      <c r="OVI3" s="98"/>
      <c r="OVJ3" s="98"/>
      <c r="OVK3" s="98"/>
      <c r="OVL3" s="98"/>
      <c r="OVM3" s="98"/>
      <c r="OVN3" s="98"/>
      <c r="OVO3" s="98"/>
      <c r="OVP3" s="98"/>
      <c r="OVQ3" s="98"/>
      <c r="OVR3" s="98"/>
      <c r="OVS3" s="98"/>
      <c r="OVT3" s="98"/>
      <c r="OVU3" s="98"/>
      <c r="OVV3" s="98"/>
      <c r="OVW3" s="98"/>
      <c r="OVX3" s="98"/>
      <c r="OVY3" s="98"/>
      <c r="OVZ3" s="98"/>
      <c r="OWA3" s="98"/>
      <c r="OWB3" s="98"/>
      <c r="OWC3" s="98"/>
      <c r="OWD3" s="98"/>
      <c r="OWE3" s="98"/>
      <c r="OWF3" s="98"/>
      <c r="OWG3" s="98"/>
      <c r="OWH3" s="98"/>
      <c r="OWI3" s="98"/>
      <c r="OWJ3" s="98"/>
      <c r="OWK3" s="98"/>
      <c r="OWL3" s="98"/>
      <c r="OWM3" s="98"/>
      <c r="OWN3" s="98"/>
      <c r="OWO3" s="98"/>
      <c r="OWP3" s="98"/>
      <c r="OWQ3" s="98"/>
      <c r="OWR3" s="98"/>
      <c r="OWS3" s="98"/>
      <c r="OWT3" s="98"/>
      <c r="OWU3" s="98"/>
      <c r="OWV3" s="98"/>
      <c r="OWW3" s="98"/>
      <c r="OWX3" s="98"/>
      <c r="OWY3" s="98"/>
      <c r="OWZ3" s="98"/>
      <c r="OXA3" s="98"/>
      <c r="OXB3" s="98"/>
      <c r="OXC3" s="98"/>
      <c r="OXD3" s="98"/>
      <c r="OXE3" s="98"/>
      <c r="OXF3" s="98"/>
      <c r="OXG3" s="98"/>
      <c r="OXH3" s="98"/>
      <c r="OXI3" s="98"/>
      <c r="OXJ3" s="98"/>
      <c r="OXK3" s="98"/>
      <c r="OXL3" s="98"/>
      <c r="OXM3" s="98"/>
      <c r="OXN3" s="98"/>
      <c r="OXO3" s="98"/>
      <c r="OXP3" s="98"/>
      <c r="OXQ3" s="98"/>
      <c r="OXR3" s="98"/>
      <c r="OXS3" s="98"/>
      <c r="OXT3" s="98"/>
      <c r="OXU3" s="98"/>
      <c r="OXV3" s="98"/>
      <c r="OXW3" s="98"/>
      <c r="OXX3" s="98"/>
      <c r="OXY3" s="98"/>
      <c r="OXZ3" s="98"/>
      <c r="OYA3" s="98"/>
      <c r="OYB3" s="98"/>
      <c r="OYC3" s="98"/>
      <c r="OYD3" s="98"/>
      <c r="OYE3" s="98"/>
      <c r="OYF3" s="98"/>
      <c r="OYG3" s="98"/>
      <c r="OYH3" s="98"/>
      <c r="OYI3" s="98"/>
      <c r="OYJ3" s="98"/>
      <c r="OYK3" s="98"/>
      <c r="OYL3" s="98"/>
      <c r="OYM3" s="98"/>
      <c r="OYN3" s="98"/>
      <c r="OYO3" s="98"/>
      <c r="OYP3" s="98"/>
      <c r="OYQ3" s="98"/>
      <c r="OYR3" s="98"/>
      <c r="OYS3" s="98"/>
      <c r="OYT3" s="98"/>
      <c r="OYU3" s="98"/>
      <c r="OYV3" s="98"/>
      <c r="OYW3" s="98"/>
      <c r="OYX3" s="98"/>
      <c r="OYY3" s="98"/>
      <c r="OYZ3" s="98"/>
      <c r="OZA3" s="98"/>
      <c r="OZB3" s="98"/>
      <c r="OZC3" s="98"/>
      <c r="OZD3" s="98"/>
      <c r="OZE3" s="98"/>
      <c r="OZF3" s="98"/>
      <c r="OZG3" s="98"/>
      <c r="OZH3" s="98"/>
      <c r="OZI3" s="98"/>
      <c r="OZJ3" s="98"/>
      <c r="OZK3" s="98"/>
      <c r="OZL3" s="98"/>
      <c r="OZM3" s="98"/>
      <c r="OZN3" s="98"/>
      <c r="OZO3" s="98"/>
      <c r="OZP3" s="98"/>
      <c r="OZQ3" s="98"/>
      <c r="OZR3" s="98"/>
      <c r="OZS3" s="98"/>
      <c r="OZT3" s="98"/>
      <c r="OZU3" s="98"/>
      <c r="OZV3" s="98"/>
      <c r="OZW3" s="98"/>
      <c r="OZX3" s="98"/>
      <c r="OZY3" s="98"/>
      <c r="OZZ3" s="98"/>
      <c r="PAA3" s="98"/>
      <c r="PAB3" s="98"/>
      <c r="PAC3" s="98"/>
      <c r="PAD3" s="98"/>
      <c r="PAE3" s="98"/>
      <c r="PAF3" s="98"/>
      <c r="PAG3" s="98"/>
      <c r="PAH3" s="98"/>
      <c r="PAI3" s="98"/>
      <c r="PAJ3" s="98"/>
      <c r="PAK3" s="98"/>
      <c r="PAL3" s="98"/>
      <c r="PAM3" s="98"/>
      <c r="PAN3" s="98"/>
      <c r="PAO3" s="98"/>
      <c r="PAP3" s="98"/>
      <c r="PAQ3" s="98"/>
      <c r="PAR3" s="98"/>
      <c r="PAS3" s="98"/>
      <c r="PAT3" s="98"/>
      <c r="PAU3" s="98"/>
      <c r="PAV3" s="98"/>
      <c r="PAW3" s="98"/>
      <c r="PAX3" s="98"/>
      <c r="PAY3" s="98"/>
      <c r="PAZ3" s="98"/>
      <c r="PBA3" s="98"/>
      <c r="PBB3" s="98"/>
      <c r="PBC3" s="98"/>
      <c r="PBD3" s="98"/>
      <c r="PBE3" s="98"/>
      <c r="PBF3" s="98"/>
      <c r="PBG3" s="98"/>
      <c r="PBH3" s="98"/>
      <c r="PBI3" s="98"/>
      <c r="PBJ3" s="98"/>
      <c r="PBK3" s="98"/>
      <c r="PBL3" s="98"/>
      <c r="PBM3" s="98"/>
      <c r="PBN3" s="98"/>
      <c r="PBO3" s="98"/>
      <c r="PBP3" s="98"/>
      <c r="PBQ3" s="98"/>
      <c r="PBR3" s="98"/>
      <c r="PBS3" s="98"/>
      <c r="PBT3" s="98"/>
      <c r="PBU3" s="98"/>
      <c r="PBV3" s="98"/>
      <c r="PBW3" s="98"/>
      <c r="PBX3" s="98"/>
      <c r="PBY3" s="98"/>
      <c r="PBZ3" s="98"/>
      <c r="PCA3" s="98"/>
      <c r="PCB3" s="98"/>
      <c r="PCC3" s="98"/>
      <c r="PCD3" s="98"/>
      <c r="PCE3" s="98"/>
      <c r="PCF3" s="98"/>
      <c r="PCG3" s="98"/>
      <c r="PCH3" s="98"/>
      <c r="PCI3" s="98"/>
      <c r="PCJ3" s="98"/>
      <c r="PCK3" s="98"/>
      <c r="PCL3" s="98"/>
      <c r="PCM3" s="98"/>
      <c r="PCN3" s="98"/>
      <c r="PCO3" s="98"/>
      <c r="PCP3" s="98"/>
      <c r="PCQ3" s="98"/>
      <c r="PCR3" s="98"/>
      <c r="PCS3" s="98"/>
      <c r="PCT3" s="98"/>
      <c r="PCU3" s="98"/>
      <c r="PCV3" s="98"/>
      <c r="PCW3" s="98"/>
      <c r="PCX3" s="98"/>
      <c r="PCY3" s="98"/>
      <c r="PCZ3" s="98"/>
      <c r="PDA3" s="98"/>
      <c r="PDB3" s="98"/>
      <c r="PDC3" s="98"/>
      <c r="PDD3" s="98"/>
      <c r="PDE3" s="98"/>
      <c r="PDF3" s="98"/>
      <c r="PDG3" s="98"/>
      <c r="PDH3" s="98"/>
      <c r="PDI3" s="98"/>
      <c r="PDJ3" s="98"/>
      <c r="PDK3" s="98"/>
      <c r="PDL3" s="98"/>
      <c r="PDM3" s="98"/>
      <c r="PDN3" s="98"/>
      <c r="PDO3" s="98"/>
      <c r="PDP3" s="98"/>
      <c r="PDQ3" s="98"/>
      <c r="PDR3" s="98"/>
      <c r="PDS3" s="98"/>
      <c r="PDT3" s="98"/>
      <c r="PDU3" s="98"/>
      <c r="PDV3" s="98"/>
      <c r="PDW3" s="98"/>
      <c r="PDX3" s="98"/>
      <c r="PDY3" s="98"/>
      <c r="PDZ3" s="98"/>
      <c r="PEA3" s="98"/>
      <c r="PEB3" s="98"/>
      <c r="PEC3" s="98"/>
      <c r="PED3" s="98"/>
      <c r="PEE3" s="98"/>
      <c r="PEF3" s="98"/>
      <c r="PEG3" s="98"/>
      <c r="PEH3" s="98"/>
      <c r="PEI3" s="98"/>
      <c r="PEJ3" s="98"/>
      <c r="PEK3" s="98"/>
      <c r="PEL3" s="98"/>
      <c r="PEM3" s="98"/>
      <c r="PEN3" s="98"/>
      <c r="PEO3" s="98"/>
      <c r="PEP3" s="98"/>
      <c r="PEQ3" s="98"/>
      <c r="PER3" s="98"/>
      <c r="PES3" s="98"/>
      <c r="PET3" s="98"/>
      <c r="PEU3" s="98"/>
      <c r="PEV3" s="98"/>
      <c r="PEW3" s="98"/>
      <c r="PEX3" s="98"/>
      <c r="PEY3" s="98"/>
      <c r="PEZ3" s="98"/>
      <c r="PFA3" s="98"/>
      <c r="PFB3" s="98"/>
      <c r="PFC3" s="98"/>
      <c r="PFD3" s="98"/>
      <c r="PFE3" s="98"/>
      <c r="PFF3" s="98"/>
      <c r="PFG3" s="98"/>
      <c r="PFH3" s="98"/>
      <c r="PFI3" s="98"/>
      <c r="PFJ3" s="98"/>
      <c r="PFK3" s="98"/>
      <c r="PFL3" s="98"/>
      <c r="PFM3" s="98"/>
      <c r="PFN3" s="98"/>
      <c r="PFO3" s="98"/>
      <c r="PFP3" s="98"/>
      <c r="PFQ3" s="98"/>
      <c r="PFR3" s="98"/>
      <c r="PFS3" s="98"/>
      <c r="PFT3" s="98"/>
      <c r="PFU3" s="98"/>
      <c r="PFV3" s="98"/>
      <c r="PFW3" s="98"/>
      <c r="PFX3" s="98"/>
      <c r="PFY3" s="98"/>
      <c r="PFZ3" s="98"/>
      <c r="PGA3" s="98"/>
      <c r="PGB3" s="98"/>
      <c r="PGC3" s="98"/>
      <c r="PGD3" s="98"/>
      <c r="PGE3" s="98"/>
      <c r="PGF3" s="98"/>
      <c r="PGG3" s="98"/>
      <c r="PGH3" s="98"/>
      <c r="PGI3" s="98"/>
      <c r="PGJ3" s="98"/>
      <c r="PGK3" s="98"/>
      <c r="PGL3" s="98"/>
      <c r="PGM3" s="98"/>
      <c r="PGN3" s="98"/>
      <c r="PGO3" s="98"/>
      <c r="PGP3" s="98"/>
      <c r="PGQ3" s="98"/>
      <c r="PGR3" s="98"/>
      <c r="PGS3" s="98"/>
      <c r="PGT3" s="98"/>
      <c r="PGU3" s="98"/>
      <c r="PGV3" s="98"/>
      <c r="PGW3" s="98"/>
      <c r="PGX3" s="98"/>
      <c r="PGY3" s="98"/>
      <c r="PGZ3" s="98"/>
      <c r="PHA3" s="98"/>
      <c r="PHB3" s="98"/>
      <c r="PHC3" s="98"/>
      <c r="PHD3" s="98"/>
      <c r="PHE3" s="98"/>
      <c r="PHF3" s="98"/>
      <c r="PHG3" s="98"/>
      <c r="PHH3" s="98"/>
      <c r="PHI3" s="98"/>
      <c r="PHJ3" s="98"/>
      <c r="PHK3" s="98"/>
      <c r="PHL3" s="98"/>
      <c r="PHM3" s="98"/>
      <c r="PHN3" s="98"/>
      <c r="PHO3" s="98"/>
      <c r="PHP3" s="98"/>
      <c r="PHQ3" s="98"/>
      <c r="PHR3" s="98"/>
      <c r="PHS3" s="98"/>
      <c r="PHT3" s="98"/>
      <c r="PHU3" s="98"/>
      <c r="PHV3" s="98"/>
      <c r="PHW3" s="98"/>
      <c r="PHX3" s="98"/>
      <c r="PHY3" s="98"/>
      <c r="PHZ3" s="98"/>
      <c r="PIA3" s="98"/>
      <c r="PIB3" s="98"/>
      <c r="PIC3" s="98"/>
      <c r="PID3" s="98"/>
      <c r="PIE3" s="98"/>
      <c r="PIF3" s="98"/>
      <c r="PIG3" s="98"/>
      <c r="PIH3" s="98"/>
      <c r="PII3" s="98"/>
      <c r="PIJ3" s="98"/>
      <c r="PIK3" s="98"/>
      <c r="PIL3" s="98"/>
      <c r="PIM3" s="98"/>
      <c r="PIN3" s="98"/>
      <c r="PIO3" s="98"/>
      <c r="PIP3" s="98"/>
      <c r="PIQ3" s="98"/>
      <c r="PIR3" s="98"/>
      <c r="PIS3" s="98"/>
      <c r="PIT3" s="98"/>
      <c r="PIU3" s="98"/>
      <c r="PIV3" s="98"/>
      <c r="PIW3" s="98"/>
      <c r="PIX3" s="98"/>
      <c r="PIY3" s="98"/>
      <c r="PIZ3" s="98"/>
      <c r="PJA3" s="98"/>
      <c r="PJB3" s="98"/>
      <c r="PJC3" s="98"/>
      <c r="PJD3" s="98"/>
      <c r="PJE3" s="98"/>
      <c r="PJF3" s="98"/>
      <c r="PJG3" s="98"/>
      <c r="PJH3" s="98"/>
      <c r="PJI3" s="98"/>
      <c r="PJJ3" s="98"/>
      <c r="PJK3" s="98"/>
      <c r="PJL3" s="98"/>
      <c r="PJM3" s="98"/>
      <c r="PJN3" s="98"/>
      <c r="PJO3" s="98"/>
      <c r="PJP3" s="98"/>
      <c r="PJQ3" s="98"/>
      <c r="PJR3" s="98"/>
      <c r="PJS3" s="98"/>
      <c r="PJT3" s="98"/>
      <c r="PJU3" s="98"/>
      <c r="PJV3" s="98"/>
      <c r="PJW3" s="98"/>
      <c r="PJX3" s="98"/>
      <c r="PJY3" s="98"/>
      <c r="PJZ3" s="98"/>
      <c r="PKA3" s="98"/>
      <c r="PKB3" s="98"/>
      <c r="PKC3" s="98"/>
      <c r="PKD3" s="98"/>
      <c r="PKE3" s="98"/>
      <c r="PKF3" s="98"/>
      <c r="PKG3" s="98"/>
      <c r="PKH3" s="98"/>
      <c r="PKI3" s="98"/>
      <c r="PKJ3" s="98"/>
      <c r="PKK3" s="98"/>
      <c r="PKL3" s="98"/>
      <c r="PKM3" s="98"/>
      <c r="PKN3" s="98"/>
      <c r="PKO3" s="98"/>
      <c r="PKP3" s="98"/>
      <c r="PKQ3" s="98"/>
      <c r="PKR3" s="98"/>
      <c r="PKS3" s="98"/>
      <c r="PKT3" s="98"/>
      <c r="PKU3" s="98"/>
      <c r="PKV3" s="98"/>
      <c r="PKW3" s="98"/>
      <c r="PKX3" s="98"/>
      <c r="PKY3" s="98"/>
      <c r="PKZ3" s="98"/>
      <c r="PLA3" s="98"/>
      <c r="PLB3" s="98"/>
      <c r="PLC3" s="98"/>
      <c r="PLD3" s="98"/>
      <c r="PLE3" s="98"/>
      <c r="PLF3" s="98"/>
      <c r="PLG3" s="98"/>
      <c r="PLH3" s="98"/>
      <c r="PLI3" s="98"/>
      <c r="PLJ3" s="98"/>
      <c r="PLK3" s="98"/>
      <c r="PLL3" s="98"/>
      <c r="PLM3" s="98"/>
      <c r="PLN3" s="98"/>
      <c r="PLO3" s="98"/>
      <c r="PLP3" s="98"/>
      <c r="PLQ3" s="98"/>
      <c r="PLR3" s="98"/>
      <c r="PLS3" s="98"/>
      <c r="PLT3" s="98"/>
      <c r="PLU3" s="98"/>
      <c r="PLV3" s="98"/>
      <c r="PLW3" s="98"/>
      <c r="PLX3" s="98"/>
      <c r="PLY3" s="98"/>
      <c r="PLZ3" s="98"/>
      <c r="PMA3" s="98"/>
      <c r="PMB3" s="98"/>
      <c r="PMC3" s="98"/>
      <c r="PMD3" s="98"/>
      <c r="PME3" s="98"/>
      <c r="PMF3" s="98"/>
      <c r="PMG3" s="98"/>
      <c r="PMH3" s="98"/>
      <c r="PMI3" s="98"/>
      <c r="PMJ3" s="98"/>
      <c r="PMK3" s="98"/>
      <c r="PML3" s="98"/>
      <c r="PMM3" s="98"/>
      <c r="PMN3" s="98"/>
      <c r="PMO3" s="98"/>
      <c r="PMP3" s="98"/>
      <c r="PMQ3" s="98"/>
      <c r="PMR3" s="98"/>
      <c r="PMS3" s="98"/>
      <c r="PMT3" s="98"/>
      <c r="PMU3" s="98"/>
      <c r="PMV3" s="98"/>
      <c r="PMW3" s="98"/>
      <c r="PMX3" s="98"/>
      <c r="PMY3" s="98"/>
      <c r="PMZ3" s="98"/>
      <c r="PNA3" s="98"/>
      <c r="PNB3" s="98"/>
      <c r="PNC3" s="98"/>
      <c r="PND3" s="98"/>
      <c r="PNE3" s="98"/>
      <c r="PNF3" s="98"/>
      <c r="PNG3" s="98"/>
      <c r="PNH3" s="98"/>
      <c r="PNI3" s="98"/>
      <c r="PNJ3" s="98"/>
      <c r="PNK3" s="98"/>
      <c r="PNL3" s="98"/>
      <c r="PNM3" s="98"/>
      <c r="PNN3" s="98"/>
      <c r="PNO3" s="98"/>
      <c r="PNP3" s="98"/>
      <c r="PNQ3" s="98"/>
      <c r="PNR3" s="98"/>
      <c r="PNS3" s="98"/>
      <c r="PNT3" s="98"/>
      <c r="PNU3" s="98"/>
      <c r="PNV3" s="98"/>
      <c r="PNW3" s="98"/>
      <c r="PNX3" s="98"/>
      <c r="PNY3" s="98"/>
      <c r="PNZ3" s="98"/>
      <c r="POA3" s="98"/>
      <c r="POB3" s="98"/>
      <c r="POC3" s="98"/>
      <c r="POD3" s="98"/>
      <c r="POE3" s="98"/>
      <c r="POF3" s="98"/>
      <c r="POG3" s="98"/>
      <c r="POH3" s="98"/>
      <c r="POI3" s="98"/>
      <c r="POJ3" s="98"/>
      <c r="POK3" s="98"/>
      <c r="POL3" s="98"/>
      <c r="POM3" s="98"/>
      <c r="PON3" s="98"/>
      <c r="POO3" s="98"/>
      <c r="POP3" s="98"/>
      <c r="POQ3" s="98"/>
      <c r="POR3" s="98"/>
      <c r="POS3" s="98"/>
      <c r="POT3" s="98"/>
      <c r="POU3" s="98"/>
      <c r="POV3" s="98"/>
      <c r="POW3" s="98"/>
      <c r="POX3" s="98"/>
      <c r="POY3" s="98"/>
      <c r="POZ3" s="98"/>
      <c r="PPA3" s="98"/>
      <c r="PPB3" s="98"/>
      <c r="PPC3" s="98"/>
      <c r="PPD3" s="98"/>
      <c r="PPE3" s="98"/>
      <c r="PPF3" s="98"/>
      <c r="PPG3" s="98"/>
      <c r="PPH3" s="98"/>
      <c r="PPI3" s="98"/>
      <c r="PPJ3" s="98"/>
      <c r="PPK3" s="98"/>
      <c r="PPL3" s="98"/>
      <c r="PPM3" s="98"/>
      <c r="PPN3" s="98"/>
      <c r="PPO3" s="98"/>
      <c r="PPP3" s="98"/>
      <c r="PPQ3" s="98"/>
      <c r="PPR3" s="98"/>
      <c r="PPS3" s="98"/>
      <c r="PPT3" s="98"/>
      <c r="PPU3" s="98"/>
      <c r="PPV3" s="98"/>
      <c r="PPW3" s="98"/>
      <c r="PPX3" s="98"/>
      <c r="PPY3" s="98"/>
      <c r="PPZ3" s="98"/>
      <c r="PQA3" s="98"/>
      <c r="PQB3" s="98"/>
      <c r="PQC3" s="98"/>
      <c r="PQD3" s="98"/>
      <c r="PQE3" s="98"/>
      <c r="PQF3" s="98"/>
      <c r="PQG3" s="98"/>
      <c r="PQH3" s="98"/>
      <c r="PQI3" s="98"/>
      <c r="PQJ3" s="98"/>
      <c r="PQK3" s="98"/>
      <c r="PQL3" s="98"/>
      <c r="PQM3" s="98"/>
      <c r="PQN3" s="98"/>
      <c r="PQO3" s="98"/>
      <c r="PQP3" s="98"/>
      <c r="PQQ3" s="98"/>
      <c r="PQR3" s="98"/>
      <c r="PQS3" s="98"/>
      <c r="PQT3" s="98"/>
      <c r="PQU3" s="98"/>
      <c r="PQV3" s="98"/>
      <c r="PQW3" s="98"/>
      <c r="PQX3" s="98"/>
      <c r="PQY3" s="98"/>
      <c r="PQZ3" s="98"/>
      <c r="PRA3" s="98"/>
      <c r="PRB3" s="98"/>
      <c r="PRC3" s="98"/>
      <c r="PRD3" s="98"/>
      <c r="PRE3" s="98"/>
      <c r="PRF3" s="98"/>
      <c r="PRG3" s="98"/>
      <c r="PRH3" s="98"/>
      <c r="PRI3" s="98"/>
      <c r="PRJ3" s="98"/>
      <c r="PRK3" s="98"/>
      <c r="PRL3" s="98"/>
      <c r="PRM3" s="98"/>
      <c r="PRN3" s="98"/>
      <c r="PRO3" s="98"/>
      <c r="PRP3" s="98"/>
      <c r="PRQ3" s="98"/>
      <c r="PRR3" s="98"/>
      <c r="PRS3" s="98"/>
      <c r="PRT3" s="98"/>
      <c r="PRU3" s="98"/>
      <c r="PRV3" s="98"/>
      <c r="PRW3" s="98"/>
      <c r="PRX3" s="98"/>
      <c r="PRY3" s="98"/>
      <c r="PRZ3" s="98"/>
      <c r="PSA3" s="98"/>
      <c r="PSB3" s="98"/>
      <c r="PSC3" s="98"/>
      <c r="PSD3" s="98"/>
      <c r="PSE3" s="98"/>
      <c r="PSF3" s="98"/>
      <c r="PSG3" s="98"/>
      <c r="PSH3" s="98"/>
      <c r="PSI3" s="98"/>
      <c r="PSJ3" s="98"/>
      <c r="PSK3" s="98"/>
      <c r="PSL3" s="98"/>
      <c r="PSM3" s="98"/>
      <c r="PSN3" s="98"/>
      <c r="PSO3" s="98"/>
      <c r="PSP3" s="98"/>
      <c r="PSQ3" s="98"/>
      <c r="PSR3" s="98"/>
      <c r="PSS3" s="98"/>
      <c r="PST3" s="98"/>
      <c r="PSU3" s="98"/>
      <c r="PSV3" s="98"/>
      <c r="PSW3" s="98"/>
      <c r="PSX3" s="98"/>
      <c r="PSY3" s="98"/>
      <c r="PSZ3" s="98"/>
      <c r="PTA3" s="98"/>
      <c r="PTB3" s="98"/>
      <c r="PTC3" s="98"/>
      <c r="PTD3" s="98"/>
      <c r="PTE3" s="98"/>
      <c r="PTF3" s="98"/>
      <c r="PTG3" s="98"/>
      <c r="PTH3" s="98"/>
      <c r="PTI3" s="98"/>
      <c r="PTJ3" s="98"/>
      <c r="PTK3" s="98"/>
      <c r="PTL3" s="98"/>
      <c r="PTM3" s="98"/>
      <c r="PTN3" s="98"/>
      <c r="PTO3" s="98"/>
      <c r="PTP3" s="98"/>
      <c r="PTQ3" s="98"/>
      <c r="PTR3" s="98"/>
      <c r="PTS3" s="98"/>
      <c r="PTT3" s="98"/>
      <c r="PTU3" s="98"/>
      <c r="PTV3" s="98"/>
      <c r="PTW3" s="98"/>
      <c r="PTX3" s="98"/>
      <c r="PTY3" s="98"/>
      <c r="PTZ3" s="98"/>
      <c r="PUA3" s="98"/>
      <c r="PUB3" s="98"/>
      <c r="PUC3" s="98"/>
      <c r="PUD3" s="98"/>
      <c r="PUE3" s="98"/>
      <c r="PUF3" s="98"/>
      <c r="PUG3" s="98"/>
      <c r="PUH3" s="98"/>
      <c r="PUI3" s="98"/>
      <c r="PUJ3" s="98"/>
      <c r="PUK3" s="98"/>
      <c r="PUL3" s="98"/>
      <c r="PUM3" s="98"/>
      <c r="PUN3" s="98"/>
      <c r="PUO3" s="98"/>
      <c r="PUP3" s="98"/>
      <c r="PUQ3" s="98"/>
      <c r="PUR3" s="98"/>
      <c r="PUS3" s="98"/>
      <c r="PUT3" s="98"/>
      <c r="PUU3" s="98"/>
      <c r="PUV3" s="98"/>
      <c r="PUW3" s="98"/>
      <c r="PUX3" s="98"/>
      <c r="PUY3" s="98"/>
      <c r="PUZ3" s="98"/>
      <c r="PVA3" s="98"/>
      <c r="PVB3" s="98"/>
      <c r="PVC3" s="98"/>
      <c r="PVD3" s="98"/>
      <c r="PVE3" s="98"/>
      <c r="PVF3" s="98"/>
      <c r="PVG3" s="98"/>
      <c r="PVH3" s="98"/>
      <c r="PVI3" s="98"/>
      <c r="PVJ3" s="98"/>
      <c r="PVK3" s="98"/>
      <c r="PVL3" s="98"/>
      <c r="PVM3" s="98"/>
      <c r="PVN3" s="98"/>
      <c r="PVO3" s="98"/>
      <c r="PVP3" s="98"/>
      <c r="PVQ3" s="98"/>
      <c r="PVR3" s="98"/>
      <c r="PVS3" s="98"/>
      <c r="PVT3" s="98"/>
      <c r="PVU3" s="98"/>
      <c r="PVV3" s="98"/>
      <c r="PVW3" s="98"/>
      <c r="PVX3" s="98"/>
      <c r="PVY3" s="98"/>
      <c r="PVZ3" s="98"/>
      <c r="PWA3" s="98"/>
      <c r="PWB3" s="98"/>
      <c r="PWC3" s="98"/>
      <c r="PWD3" s="98"/>
      <c r="PWE3" s="98"/>
      <c r="PWF3" s="98"/>
      <c r="PWG3" s="98"/>
      <c r="PWH3" s="98"/>
      <c r="PWI3" s="98"/>
      <c r="PWJ3" s="98"/>
      <c r="PWK3" s="98"/>
      <c r="PWL3" s="98"/>
      <c r="PWM3" s="98"/>
      <c r="PWN3" s="98"/>
      <c r="PWO3" s="98"/>
      <c r="PWP3" s="98"/>
      <c r="PWQ3" s="98"/>
      <c r="PWR3" s="98"/>
      <c r="PWS3" s="98"/>
      <c r="PWT3" s="98"/>
      <c r="PWU3" s="98"/>
      <c r="PWV3" s="98"/>
      <c r="PWW3" s="98"/>
      <c r="PWX3" s="98"/>
      <c r="PWY3" s="98"/>
      <c r="PWZ3" s="98"/>
      <c r="PXA3" s="98"/>
      <c r="PXB3" s="98"/>
      <c r="PXC3" s="98"/>
      <c r="PXD3" s="98"/>
      <c r="PXE3" s="98"/>
      <c r="PXF3" s="98"/>
      <c r="PXG3" s="98"/>
      <c r="PXH3" s="98"/>
      <c r="PXI3" s="98"/>
      <c r="PXJ3" s="98"/>
      <c r="PXK3" s="98"/>
      <c r="PXL3" s="98"/>
      <c r="PXM3" s="98"/>
      <c r="PXN3" s="98"/>
      <c r="PXO3" s="98"/>
      <c r="PXP3" s="98"/>
      <c r="PXQ3" s="98"/>
      <c r="PXR3" s="98"/>
      <c r="PXS3" s="98"/>
      <c r="PXT3" s="98"/>
      <c r="PXU3" s="98"/>
      <c r="PXV3" s="98"/>
      <c r="PXW3" s="98"/>
      <c r="PXX3" s="98"/>
      <c r="PXY3" s="98"/>
      <c r="PXZ3" s="98"/>
      <c r="PYA3" s="98"/>
      <c r="PYB3" s="98"/>
      <c r="PYC3" s="98"/>
      <c r="PYD3" s="98"/>
      <c r="PYE3" s="98"/>
      <c r="PYF3" s="98"/>
      <c r="PYG3" s="98"/>
      <c r="PYH3" s="98"/>
      <c r="PYI3" s="98"/>
      <c r="PYJ3" s="98"/>
      <c r="PYK3" s="98"/>
      <c r="PYL3" s="98"/>
      <c r="PYM3" s="98"/>
      <c r="PYN3" s="98"/>
      <c r="PYO3" s="98"/>
      <c r="PYP3" s="98"/>
      <c r="PYQ3" s="98"/>
      <c r="PYR3" s="98"/>
      <c r="PYS3" s="98"/>
      <c r="PYT3" s="98"/>
      <c r="PYU3" s="98"/>
      <c r="PYV3" s="98"/>
      <c r="PYW3" s="98"/>
      <c r="PYX3" s="98"/>
      <c r="PYY3" s="98"/>
      <c r="PYZ3" s="98"/>
      <c r="PZA3" s="98"/>
      <c r="PZB3" s="98"/>
      <c r="PZC3" s="98"/>
      <c r="PZD3" s="98"/>
      <c r="PZE3" s="98"/>
      <c r="PZF3" s="98"/>
      <c r="PZG3" s="98"/>
      <c r="PZH3" s="98"/>
      <c r="PZI3" s="98"/>
      <c r="PZJ3" s="98"/>
      <c r="PZK3" s="98"/>
      <c r="PZL3" s="98"/>
      <c r="PZM3" s="98"/>
      <c r="PZN3" s="98"/>
      <c r="PZO3" s="98"/>
      <c r="PZP3" s="98"/>
      <c r="PZQ3" s="98"/>
      <c r="PZR3" s="98"/>
      <c r="PZS3" s="98"/>
      <c r="PZT3" s="98"/>
      <c r="PZU3" s="98"/>
      <c r="PZV3" s="98"/>
      <c r="PZW3" s="98"/>
      <c r="PZX3" s="98"/>
      <c r="PZY3" s="98"/>
      <c r="PZZ3" s="98"/>
      <c r="QAA3" s="98"/>
      <c r="QAB3" s="98"/>
      <c r="QAC3" s="98"/>
      <c r="QAD3" s="98"/>
      <c r="QAE3" s="98"/>
      <c r="QAF3" s="98"/>
      <c r="QAG3" s="98"/>
      <c r="QAH3" s="98"/>
      <c r="QAI3" s="98"/>
      <c r="QAJ3" s="98"/>
      <c r="QAK3" s="98"/>
      <c r="QAL3" s="98"/>
      <c r="QAM3" s="98"/>
      <c r="QAN3" s="98"/>
      <c r="QAO3" s="98"/>
      <c r="QAP3" s="98"/>
      <c r="QAQ3" s="98"/>
      <c r="QAR3" s="98"/>
      <c r="QAS3" s="98"/>
      <c r="QAT3" s="98"/>
      <c r="QAU3" s="98"/>
      <c r="QAV3" s="98"/>
      <c r="QAW3" s="98"/>
      <c r="QAX3" s="98"/>
      <c r="QAY3" s="98"/>
      <c r="QAZ3" s="98"/>
      <c r="QBA3" s="98"/>
      <c r="QBB3" s="98"/>
      <c r="QBC3" s="98"/>
      <c r="QBD3" s="98"/>
      <c r="QBE3" s="98"/>
      <c r="QBF3" s="98"/>
      <c r="QBG3" s="98"/>
      <c r="QBH3" s="98"/>
      <c r="QBI3" s="98"/>
      <c r="QBJ3" s="98"/>
      <c r="QBK3" s="98"/>
      <c r="QBL3" s="98"/>
      <c r="QBM3" s="98"/>
      <c r="QBN3" s="98"/>
      <c r="QBO3" s="98"/>
      <c r="QBP3" s="98"/>
      <c r="QBQ3" s="98"/>
      <c r="QBR3" s="98"/>
      <c r="QBS3" s="98"/>
      <c r="QBT3" s="98"/>
      <c r="QBU3" s="98"/>
      <c r="QBV3" s="98"/>
      <c r="QBW3" s="98"/>
      <c r="QBX3" s="98"/>
      <c r="QBY3" s="98"/>
      <c r="QBZ3" s="98"/>
      <c r="QCA3" s="98"/>
      <c r="QCB3" s="98"/>
      <c r="QCC3" s="98"/>
      <c r="QCD3" s="98"/>
      <c r="QCE3" s="98"/>
      <c r="QCF3" s="98"/>
      <c r="QCG3" s="98"/>
      <c r="QCH3" s="98"/>
      <c r="QCI3" s="98"/>
      <c r="QCJ3" s="98"/>
      <c r="QCK3" s="98"/>
      <c r="QCL3" s="98"/>
      <c r="QCM3" s="98"/>
      <c r="QCN3" s="98"/>
      <c r="QCO3" s="98"/>
      <c r="QCP3" s="98"/>
      <c r="QCQ3" s="98"/>
      <c r="QCR3" s="98"/>
      <c r="QCS3" s="98"/>
      <c r="QCT3" s="98"/>
      <c r="QCU3" s="98"/>
      <c r="QCV3" s="98"/>
      <c r="QCW3" s="98"/>
      <c r="QCX3" s="98"/>
      <c r="QCY3" s="98"/>
      <c r="QCZ3" s="98"/>
      <c r="QDA3" s="98"/>
      <c r="QDB3" s="98"/>
      <c r="QDC3" s="98"/>
      <c r="QDD3" s="98"/>
      <c r="QDE3" s="98"/>
      <c r="QDF3" s="98"/>
      <c r="QDG3" s="98"/>
      <c r="QDH3" s="98"/>
      <c r="QDI3" s="98"/>
      <c r="QDJ3" s="98"/>
      <c r="QDK3" s="98"/>
      <c r="QDL3" s="98"/>
      <c r="QDM3" s="98"/>
      <c r="QDN3" s="98"/>
      <c r="QDO3" s="98"/>
      <c r="QDP3" s="98"/>
      <c r="QDQ3" s="98"/>
      <c r="QDR3" s="98"/>
      <c r="QDS3" s="98"/>
      <c r="QDT3" s="98"/>
      <c r="QDU3" s="98"/>
      <c r="QDV3" s="98"/>
      <c r="QDW3" s="98"/>
      <c r="QDX3" s="98"/>
      <c r="QDY3" s="98"/>
      <c r="QDZ3" s="98"/>
      <c r="QEA3" s="98"/>
      <c r="QEB3" s="98"/>
      <c r="QEC3" s="98"/>
      <c r="QED3" s="98"/>
      <c r="QEE3" s="98"/>
      <c r="QEF3" s="98"/>
      <c r="QEG3" s="98"/>
      <c r="QEH3" s="98"/>
      <c r="QEI3" s="98"/>
      <c r="QEJ3" s="98"/>
      <c r="QEK3" s="98"/>
      <c r="QEL3" s="98"/>
      <c r="QEM3" s="98"/>
      <c r="QEN3" s="98"/>
      <c r="QEO3" s="98"/>
      <c r="QEP3" s="98"/>
      <c r="QEQ3" s="98"/>
      <c r="QER3" s="98"/>
      <c r="QES3" s="98"/>
      <c r="QET3" s="98"/>
      <c r="QEU3" s="98"/>
      <c r="QEV3" s="98"/>
      <c r="QEW3" s="98"/>
      <c r="QEX3" s="98"/>
      <c r="QEY3" s="98"/>
      <c r="QEZ3" s="98"/>
      <c r="QFA3" s="98"/>
      <c r="QFB3" s="98"/>
      <c r="QFC3" s="98"/>
      <c r="QFD3" s="98"/>
      <c r="QFE3" s="98"/>
      <c r="QFF3" s="98"/>
      <c r="QFG3" s="98"/>
      <c r="QFH3" s="98"/>
      <c r="QFI3" s="98"/>
      <c r="QFJ3" s="98"/>
      <c r="QFK3" s="98"/>
      <c r="QFL3" s="98"/>
      <c r="QFM3" s="98"/>
      <c r="QFN3" s="98"/>
      <c r="QFO3" s="98"/>
      <c r="QFP3" s="98"/>
      <c r="QFQ3" s="98"/>
      <c r="QFR3" s="98"/>
      <c r="QFS3" s="98"/>
      <c r="QFT3" s="98"/>
      <c r="QFU3" s="98"/>
      <c r="QFV3" s="98"/>
      <c r="QFW3" s="98"/>
      <c r="QFX3" s="98"/>
      <c r="QFY3" s="98"/>
      <c r="QFZ3" s="98"/>
      <c r="QGA3" s="98"/>
      <c r="QGB3" s="98"/>
      <c r="QGC3" s="98"/>
      <c r="QGD3" s="98"/>
      <c r="QGE3" s="98"/>
      <c r="QGF3" s="98"/>
      <c r="QGG3" s="98"/>
      <c r="QGH3" s="98"/>
      <c r="QGI3" s="98"/>
      <c r="QGJ3" s="98"/>
      <c r="QGK3" s="98"/>
      <c r="QGL3" s="98"/>
      <c r="QGM3" s="98"/>
      <c r="QGN3" s="98"/>
      <c r="QGO3" s="98"/>
      <c r="QGP3" s="98"/>
      <c r="QGQ3" s="98"/>
      <c r="QGR3" s="98"/>
      <c r="QGS3" s="98"/>
      <c r="QGT3" s="98"/>
      <c r="QGU3" s="98"/>
      <c r="QGV3" s="98"/>
      <c r="QGW3" s="98"/>
      <c r="QGX3" s="98"/>
      <c r="QGY3" s="98"/>
      <c r="QGZ3" s="98"/>
      <c r="QHA3" s="98"/>
      <c r="QHB3" s="98"/>
      <c r="QHC3" s="98"/>
      <c r="QHD3" s="98"/>
      <c r="QHE3" s="98"/>
      <c r="QHF3" s="98"/>
      <c r="QHG3" s="98"/>
      <c r="QHH3" s="98"/>
      <c r="QHI3" s="98"/>
      <c r="QHJ3" s="98"/>
      <c r="QHK3" s="98"/>
      <c r="QHL3" s="98"/>
      <c r="QHM3" s="98"/>
      <c r="QHN3" s="98"/>
      <c r="QHO3" s="98"/>
      <c r="QHP3" s="98"/>
      <c r="QHQ3" s="98"/>
      <c r="QHR3" s="98"/>
      <c r="QHS3" s="98"/>
      <c r="QHT3" s="98"/>
      <c r="QHU3" s="98"/>
      <c r="QHV3" s="98"/>
      <c r="QHW3" s="98"/>
      <c r="QHX3" s="98"/>
      <c r="QHY3" s="98"/>
      <c r="QHZ3" s="98"/>
      <c r="QIA3" s="98"/>
      <c r="QIB3" s="98"/>
      <c r="QIC3" s="98"/>
      <c r="QID3" s="98"/>
      <c r="QIE3" s="98"/>
      <c r="QIF3" s="98"/>
      <c r="QIG3" s="98"/>
      <c r="QIH3" s="98"/>
      <c r="QII3" s="98"/>
      <c r="QIJ3" s="98"/>
      <c r="QIK3" s="98"/>
      <c r="QIL3" s="98"/>
      <c r="QIM3" s="98"/>
      <c r="QIN3" s="98"/>
      <c r="QIO3" s="98"/>
      <c r="QIP3" s="98"/>
      <c r="QIQ3" s="98"/>
      <c r="QIR3" s="98"/>
      <c r="QIS3" s="98"/>
      <c r="QIT3" s="98"/>
      <c r="QIU3" s="98"/>
      <c r="QIV3" s="98"/>
      <c r="QIW3" s="98"/>
      <c r="QIX3" s="98"/>
      <c r="QIY3" s="98"/>
      <c r="QIZ3" s="98"/>
      <c r="QJA3" s="98"/>
      <c r="QJB3" s="98"/>
      <c r="QJC3" s="98"/>
      <c r="QJD3" s="98"/>
      <c r="QJE3" s="98"/>
      <c r="QJF3" s="98"/>
      <c r="QJG3" s="98"/>
      <c r="QJH3" s="98"/>
      <c r="QJI3" s="98"/>
      <c r="QJJ3" s="98"/>
      <c r="QJK3" s="98"/>
      <c r="QJL3" s="98"/>
      <c r="QJM3" s="98"/>
      <c r="QJN3" s="98"/>
      <c r="QJO3" s="98"/>
      <c r="QJP3" s="98"/>
      <c r="QJQ3" s="98"/>
      <c r="QJR3" s="98"/>
      <c r="QJS3" s="98"/>
      <c r="QJT3" s="98"/>
      <c r="QJU3" s="98"/>
      <c r="QJV3" s="98"/>
      <c r="QJW3" s="98"/>
      <c r="QJX3" s="98"/>
      <c r="QJY3" s="98"/>
      <c r="QJZ3" s="98"/>
      <c r="QKA3" s="98"/>
      <c r="QKB3" s="98"/>
      <c r="QKC3" s="98"/>
      <c r="QKD3" s="98"/>
      <c r="QKE3" s="98"/>
      <c r="QKF3" s="98"/>
      <c r="QKG3" s="98"/>
      <c r="QKH3" s="98"/>
      <c r="QKI3" s="98"/>
      <c r="QKJ3" s="98"/>
      <c r="QKK3" s="98"/>
      <c r="QKL3" s="98"/>
      <c r="QKM3" s="98"/>
      <c r="QKN3" s="98"/>
      <c r="QKO3" s="98"/>
      <c r="QKP3" s="98"/>
      <c r="QKQ3" s="98"/>
      <c r="QKR3" s="98"/>
      <c r="QKS3" s="98"/>
      <c r="QKT3" s="98"/>
      <c r="QKU3" s="98"/>
      <c r="QKV3" s="98"/>
      <c r="QKW3" s="98"/>
      <c r="QKX3" s="98"/>
      <c r="QKY3" s="98"/>
      <c r="QKZ3" s="98"/>
      <c r="QLA3" s="98"/>
      <c r="QLB3" s="98"/>
      <c r="QLC3" s="98"/>
      <c r="QLD3" s="98"/>
      <c r="QLE3" s="98"/>
      <c r="QLF3" s="98"/>
      <c r="QLG3" s="98"/>
      <c r="QLH3" s="98"/>
      <c r="QLI3" s="98"/>
      <c r="QLJ3" s="98"/>
      <c r="QLK3" s="98"/>
      <c r="QLL3" s="98"/>
      <c r="QLM3" s="98"/>
      <c r="QLN3" s="98"/>
      <c r="QLO3" s="98"/>
      <c r="QLP3" s="98"/>
      <c r="QLQ3" s="98"/>
      <c r="QLR3" s="98"/>
      <c r="QLS3" s="98"/>
      <c r="QLT3" s="98"/>
      <c r="QLU3" s="98"/>
      <c r="QLV3" s="98"/>
      <c r="QLW3" s="98"/>
      <c r="QLX3" s="98"/>
      <c r="QLY3" s="98"/>
      <c r="QLZ3" s="98"/>
      <c r="QMA3" s="98"/>
      <c r="QMB3" s="98"/>
      <c r="QMC3" s="98"/>
      <c r="QMD3" s="98"/>
      <c r="QME3" s="98"/>
      <c r="QMF3" s="98"/>
      <c r="QMG3" s="98"/>
      <c r="QMH3" s="98"/>
      <c r="QMI3" s="98"/>
      <c r="QMJ3" s="98"/>
      <c r="QMK3" s="98"/>
      <c r="QML3" s="98"/>
      <c r="QMM3" s="98"/>
      <c r="QMN3" s="98"/>
      <c r="QMO3" s="98"/>
      <c r="QMP3" s="98"/>
      <c r="QMQ3" s="98"/>
      <c r="QMR3" s="98"/>
      <c r="QMS3" s="98"/>
      <c r="QMT3" s="98"/>
      <c r="QMU3" s="98"/>
      <c r="QMV3" s="98"/>
      <c r="QMW3" s="98"/>
      <c r="QMX3" s="98"/>
      <c r="QMY3" s="98"/>
      <c r="QMZ3" s="98"/>
      <c r="QNA3" s="98"/>
      <c r="QNB3" s="98"/>
      <c r="QNC3" s="98"/>
      <c r="QND3" s="98"/>
      <c r="QNE3" s="98"/>
      <c r="QNF3" s="98"/>
      <c r="QNG3" s="98"/>
      <c r="QNH3" s="98"/>
      <c r="QNI3" s="98"/>
      <c r="QNJ3" s="98"/>
      <c r="QNK3" s="98"/>
      <c r="QNL3" s="98"/>
      <c r="QNM3" s="98"/>
      <c r="QNN3" s="98"/>
      <c r="QNO3" s="98"/>
      <c r="QNP3" s="98"/>
      <c r="QNQ3" s="98"/>
      <c r="QNR3" s="98"/>
      <c r="QNS3" s="98"/>
      <c r="QNT3" s="98"/>
      <c r="QNU3" s="98"/>
      <c r="QNV3" s="98"/>
      <c r="QNW3" s="98"/>
      <c r="QNX3" s="98"/>
      <c r="QNY3" s="98"/>
      <c r="QNZ3" s="98"/>
      <c r="QOA3" s="98"/>
      <c r="QOB3" s="98"/>
      <c r="QOC3" s="98"/>
      <c r="QOD3" s="98"/>
      <c r="QOE3" s="98"/>
      <c r="QOF3" s="98"/>
      <c r="QOG3" s="98"/>
      <c r="QOH3" s="98"/>
      <c r="QOI3" s="98"/>
      <c r="QOJ3" s="98"/>
      <c r="QOK3" s="98"/>
      <c r="QOL3" s="98"/>
      <c r="QOM3" s="98"/>
      <c r="QON3" s="98"/>
      <c r="QOO3" s="98"/>
      <c r="QOP3" s="98"/>
      <c r="QOQ3" s="98"/>
      <c r="QOR3" s="98"/>
      <c r="QOS3" s="98"/>
      <c r="QOT3" s="98"/>
      <c r="QOU3" s="98"/>
      <c r="QOV3" s="98"/>
      <c r="QOW3" s="98"/>
      <c r="QOX3" s="98"/>
      <c r="QOY3" s="98"/>
      <c r="QOZ3" s="98"/>
      <c r="QPA3" s="98"/>
      <c r="QPB3" s="98"/>
      <c r="QPC3" s="98"/>
      <c r="QPD3" s="98"/>
      <c r="QPE3" s="98"/>
      <c r="QPF3" s="98"/>
      <c r="QPG3" s="98"/>
      <c r="QPH3" s="98"/>
      <c r="QPI3" s="98"/>
      <c r="QPJ3" s="98"/>
      <c r="QPK3" s="98"/>
      <c r="QPL3" s="98"/>
      <c r="QPM3" s="98"/>
      <c r="QPN3" s="98"/>
      <c r="QPO3" s="98"/>
      <c r="QPP3" s="98"/>
      <c r="QPQ3" s="98"/>
      <c r="QPR3" s="98"/>
      <c r="QPS3" s="98"/>
      <c r="QPT3" s="98"/>
      <c r="QPU3" s="98"/>
      <c r="QPV3" s="98"/>
      <c r="QPW3" s="98"/>
      <c r="QPX3" s="98"/>
      <c r="QPY3" s="98"/>
      <c r="QPZ3" s="98"/>
      <c r="QQA3" s="98"/>
      <c r="QQB3" s="98"/>
      <c r="QQC3" s="98"/>
      <c r="QQD3" s="98"/>
      <c r="QQE3" s="98"/>
      <c r="QQF3" s="98"/>
      <c r="QQG3" s="98"/>
      <c r="QQH3" s="98"/>
      <c r="QQI3" s="98"/>
      <c r="QQJ3" s="98"/>
      <c r="QQK3" s="98"/>
      <c r="QQL3" s="98"/>
      <c r="QQM3" s="98"/>
      <c r="QQN3" s="98"/>
      <c r="QQO3" s="98"/>
      <c r="QQP3" s="98"/>
      <c r="QQQ3" s="98"/>
      <c r="QQR3" s="98"/>
      <c r="QQS3" s="98"/>
      <c r="QQT3" s="98"/>
      <c r="QQU3" s="98"/>
      <c r="QQV3" s="98"/>
      <c r="QQW3" s="98"/>
      <c r="QQX3" s="98"/>
      <c r="QQY3" s="98"/>
      <c r="QQZ3" s="98"/>
      <c r="QRA3" s="98"/>
      <c r="QRB3" s="98"/>
      <c r="QRC3" s="98"/>
      <c r="QRD3" s="98"/>
      <c r="QRE3" s="98"/>
      <c r="QRF3" s="98"/>
      <c r="QRG3" s="98"/>
      <c r="QRH3" s="98"/>
      <c r="QRI3" s="98"/>
      <c r="QRJ3" s="98"/>
      <c r="QRK3" s="98"/>
      <c r="QRL3" s="98"/>
      <c r="QRM3" s="98"/>
      <c r="QRN3" s="98"/>
      <c r="QRO3" s="98"/>
      <c r="QRP3" s="98"/>
      <c r="QRQ3" s="98"/>
      <c r="QRR3" s="98"/>
      <c r="QRS3" s="98"/>
      <c r="QRT3" s="98"/>
      <c r="QRU3" s="98"/>
      <c r="QRV3" s="98"/>
      <c r="QRW3" s="98"/>
      <c r="QRX3" s="98"/>
      <c r="QRY3" s="98"/>
      <c r="QRZ3" s="98"/>
      <c r="QSA3" s="98"/>
      <c r="QSB3" s="98"/>
      <c r="QSC3" s="98"/>
      <c r="QSD3" s="98"/>
      <c r="QSE3" s="98"/>
      <c r="QSF3" s="98"/>
      <c r="QSG3" s="98"/>
      <c r="QSH3" s="98"/>
      <c r="QSI3" s="98"/>
      <c r="QSJ3" s="98"/>
      <c r="QSK3" s="98"/>
      <c r="QSL3" s="98"/>
      <c r="QSM3" s="98"/>
      <c r="QSN3" s="98"/>
      <c r="QSO3" s="98"/>
      <c r="QSP3" s="98"/>
      <c r="QSQ3" s="98"/>
      <c r="QSR3" s="98"/>
      <c r="QSS3" s="98"/>
      <c r="QST3" s="98"/>
      <c r="QSU3" s="98"/>
      <c r="QSV3" s="98"/>
      <c r="QSW3" s="98"/>
      <c r="QSX3" s="98"/>
      <c r="QSY3" s="98"/>
      <c r="QSZ3" s="98"/>
      <c r="QTA3" s="98"/>
      <c r="QTB3" s="98"/>
      <c r="QTC3" s="98"/>
      <c r="QTD3" s="98"/>
      <c r="QTE3" s="98"/>
      <c r="QTF3" s="98"/>
      <c r="QTG3" s="98"/>
      <c r="QTH3" s="98"/>
      <c r="QTI3" s="98"/>
      <c r="QTJ3" s="98"/>
      <c r="QTK3" s="98"/>
      <c r="QTL3" s="98"/>
      <c r="QTM3" s="98"/>
      <c r="QTN3" s="98"/>
      <c r="QTO3" s="98"/>
      <c r="QTP3" s="98"/>
      <c r="QTQ3" s="98"/>
      <c r="QTR3" s="98"/>
      <c r="QTS3" s="98"/>
      <c r="QTT3" s="98"/>
      <c r="QTU3" s="98"/>
      <c r="QTV3" s="98"/>
      <c r="QTW3" s="98"/>
      <c r="QTX3" s="98"/>
      <c r="QTY3" s="98"/>
      <c r="QTZ3" s="98"/>
      <c r="QUA3" s="98"/>
      <c r="QUB3" s="98"/>
      <c r="QUC3" s="98"/>
      <c r="QUD3" s="98"/>
      <c r="QUE3" s="98"/>
      <c r="QUF3" s="98"/>
      <c r="QUG3" s="98"/>
      <c r="QUH3" s="98"/>
      <c r="QUI3" s="98"/>
      <c r="QUJ3" s="98"/>
      <c r="QUK3" s="98"/>
      <c r="QUL3" s="98"/>
      <c r="QUM3" s="98"/>
      <c r="QUN3" s="98"/>
      <c r="QUO3" s="98"/>
      <c r="QUP3" s="98"/>
      <c r="QUQ3" s="98"/>
      <c r="QUR3" s="98"/>
      <c r="QUS3" s="98"/>
      <c r="QUT3" s="98"/>
      <c r="QUU3" s="98"/>
      <c r="QUV3" s="98"/>
      <c r="QUW3" s="98"/>
      <c r="QUX3" s="98"/>
      <c r="QUY3" s="98"/>
      <c r="QUZ3" s="98"/>
      <c r="QVA3" s="98"/>
      <c r="QVB3" s="98"/>
      <c r="QVC3" s="98"/>
      <c r="QVD3" s="98"/>
      <c r="QVE3" s="98"/>
      <c r="QVF3" s="98"/>
      <c r="QVG3" s="98"/>
      <c r="QVH3" s="98"/>
      <c r="QVI3" s="98"/>
      <c r="QVJ3" s="98"/>
      <c r="QVK3" s="98"/>
      <c r="QVL3" s="98"/>
      <c r="QVM3" s="98"/>
      <c r="QVN3" s="98"/>
      <c r="QVO3" s="98"/>
      <c r="QVP3" s="98"/>
      <c r="QVQ3" s="98"/>
      <c r="QVR3" s="98"/>
      <c r="QVS3" s="98"/>
      <c r="QVT3" s="98"/>
      <c r="QVU3" s="98"/>
      <c r="QVV3" s="98"/>
      <c r="QVW3" s="98"/>
      <c r="QVX3" s="98"/>
      <c r="QVY3" s="98"/>
      <c r="QVZ3" s="98"/>
      <c r="QWA3" s="98"/>
      <c r="QWB3" s="98"/>
      <c r="QWC3" s="98"/>
      <c r="QWD3" s="98"/>
      <c r="QWE3" s="98"/>
      <c r="QWF3" s="98"/>
      <c r="QWG3" s="98"/>
      <c r="QWH3" s="98"/>
      <c r="QWI3" s="98"/>
      <c r="QWJ3" s="98"/>
      <c r="QWK3" s="98"/>
      <c r="QWL3" s="98"/>
      <c r="QWM3" s="98"/>
      <c r="QWN3" s="98"/>
      <c r="QWO3" s="98"/>
      <c r="QWP3" s="98"/>
      <c r="QWQ3" s="98"/>
      <c r="QWR3" s="98"/>
      <c r="QWS3" s="98"/>
      <c r="QWT3" s="98"/>
      <c r="QWU3" s="98"/>
      <c r="QWV3" s="98"/>
      <c r="QWW3" s="98"/>
      <c r="QWX3" s="98"/>
      <c r="QWY3" s="98"/>
      <c r="QWZ3" s="98"/>
      <c r="QXA3" s="98"/>
      <c r="QXB3" s="98"/>
      <c r="QXC3" s="98"/>
      <c r="QXD3" s="98"/>
      <c r="QXE3" s="98"/>
      <c r="QXF3" s="98"/>
      <c r="QXG3" s="98"/>
      <c r="QXH3" s="98"/>
      <c r="QXI3" s="98"/>
      <c r="QXJ3" s="98"/>
      <c r="QXK3" s="98"/>
      <c r="QXL3" s="98"/>
      <c r="QXM3" s="98"/>
      <c r="QXN3" s="98"/>
      <c r="QXO3" s="98"/>
      <c r="QXP3" s="98"/>
      <c r="QXQ3" s="98"/>
      <c r="QXR3" s="98"/>
      <c r="QXS3" s="98"/>
      <c r="QXT3" s="98"/>
      <c r="QXU3" s="98"/>
      <c r="QXV3" s="98"/>
      <c r="QXW3" s="98"/>
      <c r="QXX3" s="98"/>
      <c r="QXY3" s="98"/>
      <c r="QXZ3" s="98"/>
      <c r="QYA3" s="98"/>
      <c r="QYB3" s="98"/>
      <c r="QYC3" s="98"/>
      <c r="QYD3" s="98"/>
      <c r="QYE3" s="98"/>
      <c r="QYF3" s="98"/>
      <c r="QYG3" s="98"/>
      <c r="QYH3" s="98"/>
      <c r="QYI3" s="98"/>
      <c r="QYJ3" s="98"/>
      <c r="QYK3" s="98"/>
      <c r="QYL3" s="98"/>
      <c r="QYM3" s="98"/>
      <c r="QYN3" s="98"/>
      <c r="QYO3" s="98"/>
      <c r="QYP3" s="98"/>
      <c r="QYQ3" s="98"/>
      <c r="QYR3" s="98"/>
      <c r="QYS3" s="98"/>
      <c r="QYT3" s="98"/>
      <c r="QYU3" s="98"/>
      <c r="QYV3" s="98"/>
      <c r="QYW3" s="98"/>
      <c r="QYX3" s="98"/>
      <c r="QYY3" s="98"/>
      <c r="QYZ3" s="98"/>
      <c r="QZA3" s="98"/>
      <c r="QZB3" s="98"/>
      <c r="QZC3" s="98"/>
      <c r="QZD3" s="98"/>
      <c r="QZE3" s="98"/>
      <c r="QZF3" s="98"/>
      <c r="QZG3" s="98"/>
      <c r="QZH3" s="98"/>
      <c r="QZI3" s="98"/>
      <c r="QZJ3" s="98"/>
      <c r="QZK3" s="98"/>
      <c r="QZL3" s="98"/>
      <c r="QZM3" s="98"/>
      <c r="QZN3" s="98"/>
      <c r="QZO3" s="98"/>
      <c r="QZP3" s="98"/>
      <c r="QZQ3" s="98"/>
      <c r="QZR3" s="98"/>
      <c r="QZS3" s="98"/>
      <c r="QZT3" s="98"/>
      <c r="QZU3" s="98"/>
      <c r="QZV3" s="98"/>
      <c r="QZW3" s="98"/>
      <c r="QZX3" s="98"/>
      <c r="QZY3" s="98"/>
      <c r="QZZ3" s="98"/>
      <c r="RAA3" s="98"/>
      <c r="RAB3" s="98"/>
      <c r="RAC3" s="98"/>
      <c r="RAD3" s="98"/>
      <c r="RAE3" s="98"/>
      <c r="RAF3" s="98"/>
      <c r="RAG3" s="98"/>
      <c r="RAH3" s="98"/>
      <c r="RAI3" s="98"/>
      <c r="RAJ3" s="98"/>
      <c r="RAK3" s="98"/>
      <c r="RAL3" s="98"/>
      <c r="RAM3" s="98"/>
      <c r="RAN3" s="98"/>
      <c r="RAO3" s="98"/>
      <c r="RAP3" s="98"/>
      <c r="RAQ3" s="98"/>
      <c r="RAR3" s="98"/>
      <c r="RAS3" s="98"/>
      <c r="RAT3" s="98"/>
      <c r="RAU3" s="98"/>
      <c r="RAV3" s="98"/>
      <c r="RAW3" s="98"/>
      <c r="RAX3" s="98"/>
      <c r="RAY3" s="98"/>
      <c r="RAZ3" s="98"/>
      <c r="RBA3" s="98"/>
      <c r="RBB3" s="98"/>
      <c r="RBC3" s="98"/>
      <c r="RBD3" s="98"/>
      <c r="RBE3" s="98"/>
      <c r="RBF3" s="98"/>
      <c r="RBG3" s="98"/>
      <c r="RBH3" s="98"/>
      <c r="RBI3" s="98"/>
      <c r="RBJ3" s="98"/>
      <c r="RBK3" s="98"/>
      <c r="RBL3" s="98"/>
      <c r="RBM3" s="98"/>
      <c r="RBN3" s="98"/>
      <c r="RBO3" s="98"/>
      <c r="RBP3" s="98"/>
      <c r="RBQ3" s="98"/>
      <c r="RBR3" s="98"/>
      <c r="RBS3" s="98"/>
      <c r="RBT3" s="98"/>
      <c r="RBU3" s="98"/>
      <c r="RBV3" s="98"/>
      <c r="RBW3" s="98"/>
      <c r="RBX3" s="98"/>
      <c r="RBY3" s="98"/>
      <c r="RBZ3" s="98"/>
      <c r="RCA3" s="98"/>
      <c r="RCB3" s="98"/>
      <c r="RCC3" s="98"/>
      <c r="RCD3" s="98"/>
      <c r="RCE3" s="98"/>
      <c r="RCF3" s="98"/>
      <c r="RCG3" s="98"/>
      <c r="RCH3" s="98"/>
      <c r="RCI3" s="98"/>
      <c r="RCJ3" s="98"/>
      <c r="RCK3" s="98"/>
      <c r="RCL3" s="98"/>
      <c r="RCM3" s="98"/>
      <c r="RCN3" s="98"/>
      <c r="RCO3" s="98"/>
      <c r="RCP3" s="98"/>
      <c r="RCQ3" s="98"/>
      <c r="RCR3" s="98"/>
      <c r="RCS3" s="98"/>
      <c r="RCT3" s="98"/>
      <c r="RCU3" s="98"/>
      <c r="RCV3" s="98"/>
      <c r="RCW3" s="98"/>
      <c r="RCX3" s="98"/>
      <c r="RCY3" s="98"/>
      <c r="RCZ3" s="98"/>
      <c r="RDA3" s="98"/>
      <c r="RDB3" s="98"/>
      <c r="RDC3" s="98"/>
      <c r="RDD3" s="98"/>
      <c r="RDE3" s="98"/>
      <c r="RDF3" s="98"/>
      <c r="RDG3" s="98"/>
      <c r="RDH3" s="98"/>
      <c r="RDI3" s="98"/>
      <c r="RDJ3" s="98"/>
      <c r="RDK3" s="98"/>
      <c r="RDL3" s="98"/>
      <c r="RDM3" s="98"/>
      <c r="RDN3" s="98"/>
      <c r="RDO3" s="98"/>
      <c r="RDP3" s="98"/>
      <c r="RDQ3" s="98"/>
      <c r="RDR3" s="98"/>
      <c r="RDS3" s="98"/>
      <c r="RDT3" s="98"/>
      <c r="RDU3" s="98"/>
      <c r="RDV3" s="98"/>
      <c r="RDW3" s="98"/>
      <c r="RDX3" s="98"/>
      <c r="RDY3" s="98"/>
      <c r="RDZ3" s="98"/>
      <c r="REA3" s="98"/>
      <c r="REB3" s="98"/>
      <c r="REC3" s="98"/>
      <c r="RED3" s="98"/>
      <c r="REE3" s="98"/>
      <c r="REF3" s="98"/>
      <c r="REG3" s="98"/>
      <c r="REH3" s="98"/>
      <c r="REI3" s="98"/>
      <c r="REJ3" s="98"/>
      <c r="REK3" s="98"/>
      <c r="REL3" s="98"/>
      <c r="REM3" s="98"/>
      <c r="REN3" s="98"/>
      <c r="REO3" s="98"/>
      <c r="REP3" s="98"/>
      <c r="REQ3" s="98"/>
      <c r="RER3" s="98"/>
      <c r="RES3" s="98"/>
      <c r="RET3" s="98"/>
      <c r="REU3" s="98"/>
      <c r="REV3" s="98"/>
      <c r="REW3" s="98"/>
      <c r="REX3" s="98"/>
      <c r="REY3" s="98"/>
      <c r="REZ3" s="98"/>
      <c r="RFA3" s="98"/>
      <c r="RFB3" s="98"/>
      <c r="RFC3" s="98"/>
      <c r="RFD3" s="98"/>
      <c r="RFE3" s="98"/>
      <c r="RFF3" s="98"/>
      <c r="RFG3" s="98"/>
      <c r="RFH3" s="98"/>
      <c r="RFI3" s="98"/>
      <c r="RFJ3" s="98"/>
      <c r="RFK3" s="98"/>
      <c r="RFL3" s="98"/>
      <c r="RFM3" s="98"/>
      <c r="RFN3" s="98"/>
      <c r="RFO3" s="98"/>
      <c r="RFP3" s="98"/>
      <c r="RFQ3" s="98"/>
      <c r="RFR3" s="98"/>
      <c r="RFS3" s="98"/>
      <c r="RFT3" s="98"/>
      <c r="RFU3" s="98"/>
      <c r="RFV3" s="98"/>
      <c r="RFW3" s="98"/>
      <c r="RFX3" s="98"/>
      <c r="RFY3" s="98"/>
      <c r="RFZ3" s="98"/>
      <c r="RGA3" s="98"/>
      <c r="RGB3" s="98"/>
      <c r="RGC3" s="98"/>
      <c r="RGD3" s="98"/>
      <c r="RGE3" s="98"/>
      <c r="RGF3" s="98"/>
      <c r="RGG3" s="98"/>
      <c r="RGH3" s="98"/>
      <c r="RGI3" s="98"/>
      <c r="RGJ3" s="98"/>
      <c r="RGK3" s="98"/>
      <c r="RGL3" s="98"/>
      <c r="RGM3" s="98"/>
      <c r="RGN3" s="98"/>
      <c r="RGO3" s="98"/>
      <c r="RGP3" s="98"/>
      <c r="RGQ3" s="98"/>
      <c r="RGR3" s="98"/>
      <c r="RGS3" s="98"/>
      <c r="RGT3" s="98"/>
      <c r="RGU3" s="98"/>
      <c r="RGV3" s="98"/>
      <c r="RGW3" s="98"/>
      <c r="RGX3" s="98"/>
      <c r="RGY3" s="98"/>
      <c r="RGZ3" s="98"/>
      <c r="RHA3" s="98"/>
      <c r="RHB3" s="98"/>
      <c r="RHC3" s="98"/>
      <c r="RHD3" s="98"/>
      <c r="RHE3" s="98"/>
      <c r="RHF3" s="98"/>
      <c r="RHG3" s="98"/>
      <c r="RHH3" s="98"/>
      <c r="RHI3" s="98"/>
      <c r="RHJ3" s="98"/>
      <c r="RHK3" s="98"/>
      <c r="RHL3" s="98"/>
      <c r="RHM3" s="98"/>
      <c r="RHN3" s="98"/>
      <c r="RHO3" s="98"/>
      <c r="RHP3" s="98"/>
      <c r="RHQ3" s="98"/>
      <c r="RHR3" s="98"/>
      <c r="RHS3" s="98"/>
      <c r="RHT3" s="98"/>
      <c r="RHU3" s="98"/>
      <c r="RHV3" s="98"/>
      <c r="RHW3" s="98"/>
      <c r="RHX3" s="98"/>
      <c r="RHY3" s="98"/>
      <c r="RHZ3" s="98"/>
      <c r="RIA3" s="98"/>
      <c r="RIB3" s="98"/>
      <c r="RIC3" s="98"/>
      <c r="RID3" s="98"/>
      <c r="RIE3" s="98"/>
      <c r="RIF3" s="98"/>
      <c r="RIG3" s="98"/>
      <c r="RIH3" s="98"/>
      <c r="RII3" s="98"/>
      <c r="RIJ3" s="98"/>
      <c r="RIK3" s="98"/>
      <c r="RIL3" s="98"/>
      <c r="RIM3" s="98"/>
      <c r="RIN3" s="98"/>
      <c r="RIO3" s="98"/>
      <c r="RIP3" s="98"/>
      <c r="RIQ3" s="98"/>
      <c r="RIR3" s="98"/>
      <c r="RIS3" s="98"/>
      <c r="RIT3" s="98"/>
      <c r="RIU3" s="98"/>
      <c r="RIV3" s="98"/>
      <c r="RIW3" s="98"/>
      <c r="RIX3" s="98"/>
      <c r="RIY3" s="98"/>
      <c r="RIZ3" s="98"/>
      <c r="RJA3" s="98"/>
      <c r="RJB3" s="98"/>
      <c r="RJC3" s="98"/>
      <c r="RJD3" s="98"/>
      <c r="RJE3" s="98"/>
      <c r="RJF3" s="98"/>
      <c r="RJG3" s="98"/>
      <c r="RJH3" s="98"/>
      <c r="RJI3" s="98"/>
      <c r="RJJ3" s="98"/>
      <c r="RJK3" s="98"/>
      <c r="RJL3" s="98"/>
      <c r="RJM3" s="98"/>
      <c r="RJN3" s="98"/>
      <c r="RJO3" s="98"/>
      <c r="RJP3" s="98"/>
      <c r="RJQ3" s="98"/>
      <c r="RJR3" s="98"/>
      <c r="RJS3" s="98"/>
      <c r="RJT3" s="98"/>
      <c r="RJU3" s="98"/>
      <c r="RJV3" s="98"/>
      <c r="RJW3" s="98"/>
      <c r="RJX3" s="98"/>
      <c r="RJY3" s="98"/>
      <c r="RJZ3" s="98"/>
      <c r="RKA3" s="98"/>
      <c r="RKB3" s="98"/>
      <c r="RKC3" s="98"/>
      <c r="RKD3" s="98"/>
      <c r="RKE3" s="98"/>
      <c r="RKF3" s="98"/>
      <c r="RKG3" s="98"/>
      <c r="RKH3" s="98"/>
      <c r="RKI3" s="98"/>
      <c r="RKJ3" s="98"/>
      <c r="RKK3" s="98"/>
      <c r="RKL3" s="98"/>
      <c r="RKM3" s="98"/>
      <c r="RKN3" s="98"/>
      <c r="RKO3" s="98"/>
      <c r="RKP3" s="98"/>
      <c r="RKQ3" s="98"/>
      <c r="RKR3" s="98"/>
      <c r="RKS3" s="98"/>
      <c r="RKT3" s="98"/>
      <c r="RKU3" s="98"/>
      <c r="RKV3" s="98"/>
      <c r="RKW3" s="98"/>
      <c r="RKX3" s="98"/>
      <c r="RKY3" s="98"/>
      <c r="RKZ3" s="98"/>
      <c r="RLA3" s="98"/>
      <c r="RLB3" s="98"/>
      <c r="RLC3" s="98"/>
      <c r="RLD3" s="98"/>
      <c r="RLE3" s="98"/>
      <c r="RLF3" s="98"/>
      <c r="RLG3" s="98"/>
      <c r="RLH3" s="98"/>
      <c r="RLI3" s="98"/>
      <c r="RLJ3" s="98"/>
      <c r="RLK3" s="98"/>
      <c r="RLL3" s="98"/>
      <c r="RLM3" s="98"/>
      <c r="RLN3" s="98"/>
      <c r="RLO3" s="98"/>
      <c r="RLP3" s="98"/>
      <c r="RLQ3" s="98"/>
      <c r="RLR3" s="98"/>
      <c r="RLS3" s="98"/>
      <c r="RLT3" s="98"/>
      <c r="RLU3" s="98"/>
      <c r="RLV3" s="98"/>
      <c r="RLW3" s="98"/>
      <c r="RLX3" s="98"/>
      <c r="RLY3" s="98"/>
      <c r="RLZ3" s="98"/>
      <c r="RMA3" s="98"/>
      <c r="RMB3" s="98"/>
      <c r="RMC3" s="98"/>
      <c r="RMD3" s="98"/>
      <c r="RME3" s="98"/>
      <c r="RMF3" s="98"/>
      <c r="RMG3" s="98"/>
      <c r="RMH3" s="98"/>
      <c r="RMI3" s="98"/>
      <c r="RMJ3" s="98"/>
      <c r="RMK3" s="98"/>
      <c r="RML3" s="98"/>
      <c r="RMM3" s="98"/>
      <c r="RMN3" s="98"/>
      <c r="RMO3" s="98"/>
      <c r="RMP3" s="98"/>
      <c r="RMQ3" s="98"/>
      <c r="RMR3" s="98"/>
      <c r="RMS3" s="98"/>
      <c r="RMT3" s="98"/>
      <c r="RMU3" s="98"/>
      <c r="RMV3" s="98"/>
      <c r="RMW3" s="98"/>
      <c r="RMX3" s="98"/>
      <c r="RMY3" s="98"/>
      <c r="RMZ3" s="98"/>
      <c r="RNA3" s="98"/>
      <c r="RNB3" s="98"/>
      <c r="RNC3" s="98"/>
      <c r="RND3" s="98"/>
      <c r="RNE3" s="98"/>
      <c r="RNF3" s="98"/>
      <c r="RNG3" s="98"/>
      <c r="RNH3" s="98"/>
      <c r="RNI3" s="98"/>
      <c r="RNJ3" s="98"/>
      <c r="RNK3" s="98"/>
      <c r="RNL3" s="98"/>
      <c r="RNM3" s="98"/>
      <c r="RNN3" s="98"/>
      <c r="RNO3" s="98"/>
      <c r="RNP3" s="98"/>
      <c r="RNQ3" s="98"/>
      <c r="RNR3" s="98"/>
      <c r="RNS3" s="98"/>
      <c r="RNT3" s="98"/>
      <c r="RNU3" s="98"/>
      <c r="RNV3" s="98"/>
      <c r="RNW3" s="98"/>
      <c r="RNX3" s="98"/>
      <c r="RNY3" s="98"/>
      <c r="RNZ3" s="98"/>
      <c r="ROA3" s="98"/>
      <c r="ROB3" s="98"/>
      <c r="ROC3" s="98"/>
      <c r="ROD3" s="98"/>
      <c r="ROE3" s="98"/>
      <c r="ROF3" s="98"/>
      <c r="ROG3" s="98"/>
      <c r="ROH3" s="98"/>
      <c r="ROI3" s="98"/>
      <c r="ROJ3" s="98"/>
      <c r="ROK3" s="98"/>
      <c r="ROL3" s="98"/>
      <c r="ROM3" s="98"/>
      <c r="RON3" s="98"/>
      <c r="ROO3" s="98"/>
      <c r="ROP3" s="98"/>
      <c r="ROQ3" s="98"/>
      <c r="ROR3" s="98"/>
      <c r="ROS3" s="98"/>
      <c r="ROT3" s="98"/>
      <c r="ROU3" s="98"/>
      <c r="ROV3" s="98"/>
      <c r="ROW3" s="98"/>
      <c r="ROX3" s="98"/>
      <c r="ROY3" s="98"/>
      <c r="ROZ3" s="98"/>
      <c r="RPA3" s="98"/>
      <c r="RPB3" s="98"/>
      <c r="RPC3" s="98"/>
      <c r="RPD3" s="98"/>
      <c r="RPE3" s="98"/>
      <c r="RPF3" s="98"/>
      <c r="RPG3" s="98"/>
      <c r="RPH3" s="98"/>
      <c r="RPI3" s="98"/>
      <c r="RPJ3" s="98"/>
      <c r="RPK3" s="98"/>
      <c r="RPL3" s="98"/>
      <c r="RPM3" s="98"/>
      <c r="RPN3" s="98"/>
      <c r="RPO3" s="98"/>
      <c r="RPP3" s="98"/>
      <c r="RPQ3" s="98"/>
      <c r="RPR3" s="98"/>
      <c r="RPS3" s="98"/>
      <c r="RPT3" s="98"/>
      <c r="RPU3" s="98"/>
      <c r="RPV3" s="98"/>
      <c r="RPW3" s="98"/>
      <c r="RPX3" s="98"/>
      <c r="RPY3" s="98"/>
      <c r="RPZ3" s="98"/>
      <c r="RQA3" s="98"/>
      <c r="RQB3" s="98"/>
      <c r="RQC3" s="98"/>
      <c r="RQD3" s="98"/>
      <c r="RQE3" s="98"/>
      <c r="RQF3" s="98"/>
      <c r="RQG3" s="98"/>
      <c r="RQH3" s="98"/>
      <c r="RQI3" s="98"/>
      <c r="RQJ3" s="98"/>
      <c r="RQK3" s="98"/>
      <c r="RQL3" s="98"/>
      <c r="RQM3" s="98"/>
      <c r="RQN3" s="98"/>
      <c r="RQO3" s="98"/>
      <c r="RQP3" s="98"/>
      <c r="RQQ3" s="98"/>
      <c r="RQR3" s="98"/>
      <c r="RQS3" s="98"/>
      <c r="RQT3" s="98"/>
      <c r="RQU3" s="98"/>
      <c r="RQV3" s="98"/>
      <c r="RQW3" s="98"/>
      <c r="RQX3" s="98"/>
      <c r="RQY3" s="98"/>
      <c r="RQZ3" s="98"/>
      <c r="RRA3" s="98"/>
      <c r="RRB3" s="98"/>
      <c r="RRC3" s="98"/>
      <c r="RRD3" s="98"/>
      <c r="RRE3" s="98"/>
      <c r="RRF3" s="98"/>
      <c r="RRG3" s="98"/>
      <c r="RRH3" s="98"/>
      <c r="RRI3" s="98"/>
      <c r="RRJ3" s="98"/>
      <c r="RRK3" s="98"/>
      <c r="RRL3" s="98"/>
      <c r="RRM3" s="98"/>
      <c r="RRN3" s="98"/>
      <c r="RRO3" s="98"/>
      <c r="RRP3" s="98"/>
      <c r="RRQ3" s="98"/>
      <c r="RRR3" s="98"/>
      <c r="RRS3" s="98"/>
      <c r="RRT3" s="98"/>
      <c r="RRU3" s="98"/>
      <c r="RRV3" s="98"/>
      <c r="RRW3" s="98"/>
      <c r="RRX3" s="98"/>
      <c r="RRY3" s="98"/>
      <c r="RRZ3" s="98"/>
      <c r="RSA3" s="98"/>
      <c r="RSB3" s="98"/>
      <c r="RSC3" s="98"/>
      <c r="RSD3" s="98"/>
      <c r="RSE3" s="98"/>
      <c r="RSF3" s="98"/>
      <c r="RSG3" s="98"/>
      <c r="RSH3" s="98"/>
      <c r="RSI3" s="98"/>
      <c r="RSJ3" s="98"/>
      <c r="RSK3" s="98"/>
      <c r="RSL3" s="98"/>
      <c r="RSM3" s="98"/>
      <c r="RSN3" s="98"/>
      <c r="RSO3" s="98"/>
      <c r="RSP3" s="98"/>
      <c r="RSQ3" s="98"/>
      <c r="RSR3" s="98"/>
      <c r="RSS3" s="98"/>
      <c r="RST3" s="98"/>
      <c r="RSU3" s="98"/>
      <c r="RSV3" s="98"/>
      <c r="RSW3" s="98"/>
      <c r="RSX3" s="98"/>
      <c r="RSY3" s="98"/>
      <c r="RSZ3" s="98"/>
      <c r="RTA3" s="98"/>
      <c r="RTB3" s="98"/>
      <c r="RTC3" s="98"/>
      <c r="RTD3" s="98"/>
      <c r="RTE3" s="98"/>
      <c r="RTF3" s="98"/>
      <c r="RTG3" s="98"/>
      <c r="RTH3" s="98"/>
      <c r="RTI3" s="98"/>
      <c r="RTJ3" s="98"/>
      <c r="RTK3" s="98"/>
      <c r="RTL3" s="98"/>
      <c r="RTM3" s="98"/>
      <c r="RTN3" s="98"/>
      <c r="RTO3" s="98"/>
      <c r="RTP3" s="98"/>
      <c r="RTQ3" s="98"/>
      <c r="RTR3" s="98"/>
      <c r="RTS3" s="98"/>
      <c r="RTT3" s="98"/>
      <c r="RTU3" s="98"/>
      <c r="RTV3" s="98"/>
      <c r="RTW3" s="98"/>
      <c r="RTX3" s="98"/>
      <c r="RTY3" s="98"/>
      <c r="RTZ3" s="98"/>
      <c r="RUA3" s="98"/>
      <c r="RUB3" s="98"/>
      <c r="RUC3" s="98"/>
      <c r="RUD3" s="98"/>
      <c r="RUE3" s="98"/>
      <c r="RUF3" s="98"/>
      <c r="RUG3" s="98"/>
      <c r="RUH3" s="98"/>
      <c r="RUI3" s="98"/>
      <c r="RUJ3" s="98"/>
      <c r="RUK3" s="98"/>
      <c r="RUL3" s="98"/>
      <c r="RUM3" s="98"/>
      <c r="RUN3" s="98"/>
      <c r="RUO3" s="98"/>
      <c r="RUP3" s="98"/>
      <c r="RUQ3" s="98"/>
      <c r="RUR3" s="98"/>
      <c r="RUS3" s="98"/>
      <c r="RUT3" s="98"/>
      <c r="RUU3" s="98"/>
      <c r="RUV3" s="98"/>
      <c r="RUW3" s="98"/>
      <c r="RUX3" s="98"/>
      <c r="RUY3" s="98"/>
      <c r="RUZ3" s="98"/>
      <c r="RVA3" s="98"/>
      <c r="RVB3" s="98"/>
      <c r="RVC3" s="98"/>
      <c r="RVD3" s="98"/>
      <c r="RVE3" s="98"/>
      <c r="RVF3" s="98"/>
      <c r="RVG3" s="98"/>
      <c r="RVH3" s="98"/>
      <c r="RVI3" s="98"/>
      <c r="RVJ3" s="98"/>
      <c r="RVK3" s="98"/>
      <c r="RVL3" s="98"/>
      <c r="RVM3" s="98"/>
      <c r="RVN3" s="98"/>
      <c r="RVO3" s="98"/>
      <c r="RVP3" s="98"/>
      <c r="RVQ3" s="98"/>
      <c r="RVR3" s="98"/>
      <c r="RVS3" s="98"/>
      <c r="RVT3" s="98"/>
      <c r="RVU3" s="98"/>
      <c r="RVV3" s="98"/>
      <c r="RVW3" s="98"/>
      <c r="RVX3" s="98"/>
      <c r="RVY3" s="98"/>
      <c r="RVZ3" s="98"/>
      <c r="RWA3" s="98"/>
      <c r="RWB3" s="98"/>
      <c r="RWC3" s="98"/>
      <c r="RWD3" s="98"/>
      <c r="RWE3" s="98"/>
      <c r="RWF3" s="98"/>
      <c r="RWG3" s="98"/>
      <c r="RWH3" s="98"/>
      <c r="RWI3" s="98"/>
      <c r="RWJ3" s="98"/>
      <c r="RWK3" s="98"/>
      <c r="RWL3" s="98"/>
      <c r="RWM3" s="98"/>
      <c r="RWN3" s="98"/>
      <c r="RWO3" s="98"/>
      <c r="RWP3" s="98"/>
      <c r="RWQ3" s="98"/>
      <c r="RWR3" s="98"/>
      <c r="RWS3" s="98"/>
      <c r="RWT3" s="98"/>
      <c r="RWU3" s="98"/>
      <c r="RWV3" s="98"/>
      <c r="RWW3" s="98"/>
      <c r="RWX3" s="98"/>
      <c r="RWY3" s="98"/>
      <c r="RWZ3" s="98"/>
      <c r="RXA3" s="98"/>
      <c r="RXB3" s="98"/>
      <c r="RXC3" s="98"/>
      <c r="RXD3" s="98"/>
      <c r="RXE3" s="98"/>
      <c r="RXF3" s="98"/>
      <c r="RXG3" s="98"/>
      <c r="RXH3" s="98"/>
      <c r="RXI3" s="98"/>
      <c r="RXJ3" s="98"/>
      <c r="RXK3" s="98"/>
      <c r="RXL3" s="98"/>
      <c r="RXM3" s="98"/>
      <c r="RXN3" s="98"/>
      <c r="RXO3" s="98"/>
      <c r="RXP3" s="98"/>
      <c r="RXQ3" s="98"/>
      <c r="RXR3" s="98"/>
      <c r="RXS3" s="98"/>
      <c r="RXT3" s="98"/>
      <c r="RXU3" s="98"/>
      <c r="RXV3" s="98"/>
      <c r="RXW3" s="98"/>
      <c r="RXX3" s="98"/>
      <c r="RXY3" s="98"/>
      <c r="RXZ3" s="98"/>
      <c r="RYA3" s="98"/>
      <c r="RYB3" s="98"/>
      <c r="RYC3" s="98"/>
      <c r="RYD3" s="98"/>
      <c r="RYE3" s="98"/>
      <c r="RYF3" s="98"/>
      <c r="RYG3" s="98"/>
      <c r="RYH3" s="98"/>
      <c r="RYI3" s="98"/>
      <c r="RYJ3" s="98"/>
      <c r="RYK3" s="98"/>
      <c r="RYL3" s="98"/>
      <c r="RYM3" s="98"/>
      <c r="RYN3" s="98"/>
      <c r="RYO3" s="98"/>
      <c r="RYP3" s="98"/>
      <c r="RYQ3" s="98"/>
      <c r="RYR3" s="98"/>
      <c r="RYS3" s="98"/>
      <c r="RYT3" s="98"/>
      <c r="RYU3" s="98"/>
      <c r="RYV3" s="98"/>
      <c r="RYW3" s="98"/>
      <c r="RYX3" s="98"/>
      <c r="RYY3" s="98"/>
      <c r="RYZ3" s="98"/>
      <c r="RZA3" s="98"/>
      <c r="RZB3" s="98"/>
      <c r="RZC3" s="98"/>
      <c r="RZD3" s="98"/>
      <c r="RZE3" s="98"/>
      <c r="RZF3" s="98"/>
      <c r="RZG3" s="98"/>
      <c r="RZH3" s="98"/>
      <c r="RZI3" s="98"/>
      <c r="RZJ3" s="98"/>
      <c r="RZK3" s="98"/>
      <c r="RZL3" s="98"/>
      <c r="RZM3" s="98"/>
      <c r="RZN3" s="98"/>
      <c r="RZO3" s="98"/>
      <c r="RZP3" s="98"/>
      <c r="RZQ3" s="98"/>
      <c r="RZR3" s="98"/>
      <c r="RZS3" s="98"/>
      <c r="RZT3" s="98"/>
      <c r="RZU3" s="98"/>
      <c r="RZV3" s="98"/>
      <c r="RZW3" s="98"/>
      <c r="RZX3" s="98"/>
      <c r="RZY3" s="98"/>
      <c r="RZZ3" s="98"/>
      <c r="SAA3" s="98"/>
      <c r="SAB3" s="98"/>
      <c r="SAC3" s="98"/>
      <c r="SAD3" s="98"/>
      <c r="SAE3" s="98"/>
      <c r="SAF3" s="98"/>
      <c r="SAG3" s="98"/>
      <c r="SAH3" s="98"/>
      <c r="SAI3" s="98"/>
      <c r="SAJ3" s="98"/>
      <c r="SAK3" s="98"/>
      <c r="SAL3" s="98"/>
      <c r="SAM3" s="98"/>
      <c r="SAN3" s="98"/>
      <c r="SAO3" s="98"/>
      <c r="SAP3" s="98"/>
      <c r="SAQ3" s="98"/>
      <c r="SAR3" s="98"/>
      <c r="SAS3" s="98"/>
      <c r="SAT3" s="98"/>
      <c r="SAU3" s="98"/>
      <c r="SAV3" s="98"/>
      <c r="SAW3" s="98"/>
      <c r="SAX3" s="98"/>
      <c r="SAY3" s="98"/>
      <c r="SAZ3" s="98"/>
      <c r="SBA3" s="98"/>
      <c r="SBB3" s="98"/>
      <c r="SBC3" s="98"/>
      <c r="SBD3" s="98"/>
      <c r="SBE3" s="98"/>
      <c r="SBF3" s="98"/>
      <c r="SBG3" s="98"/>
      <c r="SBH3" s="98"/>
      <c r="SBI3" s="98"/>
      <c r="SBJ3" s="98"/>
      <c r="SBK3" s="98"/>
      <c r="SBL3" s="98"/>
      <c r="SBM3" s="98"/>
      <c r="SBN3" s="98"/>
      <c r="SBO3" s="98"/>
      <c r="SBP3" s="98"/>
      <c r="SBQ3" s="98"/>
      <c r="SBR3" s="98"/>
      <c r="SBS3" s="98"/>
      <c r="SBT3" s="98"/>
      <c r="SBU3" s="98"/>
      <c r="SBV3" s="98"/>
      <c r="SBW3" s="98"/>
      <c r="SBX3" s="98"/>
      <c r="SBY3" s="98"/>
      <c r="SBZ3" s="98"/>
      <c r="SCA3" s="98"/>
      <c r="SCB3" s="98"/>
      <c r="SCC3" s="98"/>
      <c r="SCD3" s="98"/>
      <c r="SCE3" s="98"/>
      <c r="SCF3" s="98"/>
      <c r="SCG3" s="98"/>
      <c r="SCH3" s="98"/>
      <c r="SCI3" s="98"/>
      <c r="SCJ3" s="98"/>
      <c r="SCK3" s="98"/>
      <c r="SCL3" s="98"/>
      <c r="SCM3" s="98"/>
      <c r="SCN3" s="98"/>
      <c r="SCO3" s="98"/>
      <c r="SCP3" s="98"/>
      <c r="SCQ3" s="98"/>
      <c r="SCR3" s="98"/>
      <c r="SCS3" s="98"/>
      <c r="SCT3" s="98"/>
      <c r="SCU3" s="98"/>
      <c r="SCV3" s="98"/>
      <c r="SCW3" s="98"/>
      <c r="SCX3" s="98"/>
      <c r="SCY3" s="98"/>
      <c r="SCZ3" s="98"/>
      <c r="SDA3" s="98"/>
      <c r="SDB3" s="98"/>
      <c r="SDC3" s="98"/>
      <c r="SDD3" s="98"/>
      <c r="SDE3" s="98"/>
      <c r="SDF3" s="98"/>
      <c r="SDG3" s="98"/>
      <c r="SDH3" s="98"/>
      <c r="SDI3" s="98"/>
      <c r="SDJ3" s="98"/>
      <c r="SDK3" s="98"/>
      <c r="SDL3" s="98"/>
      <c r="SDM3" s="98"/>
      <c r="SDN3" s="98"/>
      <c r="SDO3" s="98"/>
      <c r="SDP3" s="98"/>
      <c r="SDQ3" s="98"/>
      <c r="SDR3" s="98"/>
      <c r="SDS3" s="98"/>
      <c r="SDT3" s="98"/>
      <c r="SDU3" s="98"/>
      <c r="SDV3" s="98"/>
      <c r="SDW3" s="98"/>
      <c r="SDX3" s="98"/>
      <c r="SDY3" s="98"/>
      <c r="SDZ3" s="98"/>
      <c r="SEA3" s="98"/>
      <c r="SEB3" s="98"/>
      <c r="SEC3" s="98"/>
      <c r="SED3" s="98"/>
      <c r="SEE3" s="98"/>
      <c r="SEF3" s="98"/>
      <c r="SEG3" s="98"/>
      <c r="SEH3" s="98"/>
      <c r="SEI3" s="98"/>
      <c r="SEJ3" s="98"/>
      <c r="SEK3" s="98"/>
      <c r="SEL3" s="98"/>
      <c r="SEM3" s="98"/>
      <c r="SEN3" s="98"/>
      <c r="SEO3" s="98"/>
      <c r="SEP3" s="98"/>
      <c r="SEQ3" s="98"/>
      <c r="SER3" s="98"/>
      <c r="SES3" s="98"/>
      <c r="SET3" s="98"/>
      <c r="SEU3" s="98"/>
      <c r="SEV3" s="98"/>
      <c r="SEW3" s="98"/>
      <c r="SEX3" s="98"/>
      <c r="SEY3" s="98"/>
      <c r="SEZ3" s="98"/>
      <c r="SFA3" s="98"/>
      <c r="SFB3" s="98"/>
      <c r="SFC3" s="98"/>
      <c r="SFD3" s="98"/>
      <c r="SFE3" s="98"/>
      <c r="SFF3" s="98"/>
      <c r="SFG3" s="98"/>
      <c r="SFH3" s="98"/>
      <c r="SFI3" s="98"/>
      <c r="SFJ3" s="98"/>
      <c r="SFK3" s="98"/>
      <c r="SFL3" s="98"/>
      <c r="SFM3" s="98"/>
      <c r="SFN3" s="98"/>
      <c r="SFO3" s="98"/>
      <c r="SFP3" s="98"/>
      <c r="SFQ3" s="98"/>
      <c r="SFR3" s="98"/>
      <c r="SFS3" s="98"/>
      <c r="SFT3" s="98"/>
      <c r="SFU3" s="98"/>
      <c r="SFV3" s="98"/>
      <c r="SFW3" s="98"/>
      <c r="SFX3" s="98"/>
      <c r="SFY3" s="98"/>
      <c r="SFZ3" s="98"/>
      <c r="SGA3" s="98"/>
      <c r="SGB3" s="98"/>
      <c r="SGC3" s="98"/>
      <c r="SGD3" s="98"/>
      <c r="SGE3" s="98"/>
      <c r="SGF3" s="98"/>
      <c r="SGG3" s="98"/>
      <c r="SGH3" s="98"/>
      <c r="SGI3" s="98"/>
      <c r="SGJ3" s="98"/>
      <c r="SGK3" s="98"/>
      <c r="SGL3" s="98"/>
      <c r="SGM3" s="98"/>
      <c r="SGN3" s="98"/>
      <c r="SGO3" s="98"/>
      <c r="SGP3" s="98"/>
      <c r="SGQ3" s="98"/>
      <c r="SGR3" s="98"/>
      <c r="SGS3" s="98"/>
      <c r="SGT3" s="98"/>
      <c r="SGU3" s="98"/>
      <c r="SGV3" s="98"/>
      <c r="SGW3" s="98"/>
      <c r="SGX3" s="98"/>
      <c r="SGY3" s="98"/>
      <c r="SGZ3" s="98"/>
      <c r="SHA3" s="98"/>
      <c r="SHB3" s="98"/>
      <c r="SHC3" s="98"/>
      <c r="SHD3" s="98"/>
      <c r="SHE3" s="98"/>
      <c r="SHF3" s="98"/>
      <c r="SHG3" s="98"/>
      <c r="SHH3" s="98"/>
      <c r="SHI3" s="98"/>
      <c r="SHJ3" s="98"/>
      <c r="SHK3" s="98"/>
      <c r="SHL3" s="98"/>
      <c r="SHM3" s="98"/>
      <c r="SHN3" s="98"/>
      <c r="SHO3" s="98"/>
      <c r="SHP3" s="98"/>
      <c r="SHQ3" s="98"/>
      <c r="SHR3" s="98"/>
      <c r="SHS3" s="98"/>
      <c r="SHT3" s="98"/>
      <c r="SHU3" s="98"/>
      <c r="SHV3" s="98"/>
      <c r="SHW3" s="98"/>
      <c r="SHX3" s="98"/>
      <c r="SHY3" s="98"/>
      <c r="SHZ3" s="98"/>
      <c r="SIA3" s="98"/>
      <c r="SIB3" s="98"/>
      <c r="SIC3" s="98"/>
      <c r="SID3" s="98"/>
      <c r="SIE3" s="98"/>
      <c r="SIF3" s="98"/>
      <c r="SIG3" s="98"/>
      <c r="SIH3" s="98"/>
      <c r="SII3" s="98"/>
      <c r="SIJ3" s="98"/>
      <c r="SIK3" s="98"/>
      <c r="SIL3" s="98"/>
      <c r="SIM3" s="98"/>
      <c r="SIN3" s="98"/>
      <c r="SIO3" s="98"/>
      <c r="SIP3" s="98"/>
      <c r="SIQ3" s="98"/>
      <c r="SIR3" s="98"/>
      <c r="SIS3" s="98"/>
      <c r="SIT3" s="98"/>
      <c r="SIU3" s="98"/>
      <c r="SIV3" s="98"/>
      <c r="SIW3" s="98"/>
      <c r="SIX3" s="98"/>
      <c r="SIY3" s="98"/>
      <c r="SIZ3" s="98"/>
      <c r="SJA3" s="98"/>
      <c r="SJB3" s="98"/>
      <c r="SJC3" s="98"/>
      <c r="SJD3" s="98"/>
      <c r="SJE3" s="98"/>
      <c r="SJF3" s="98"/>
      <c r="SJG3" s="98"/>
      <c r="SJH3" s="98"/>
      <c r="SJI3" s="98"/>
      <c r="SJJ3" s="98"/>
      <c r="SJK3" s="98"/>
      <c r="SJL3" s="98"/>
      <c r="SJM3" s="98"/>
      <c r="SJN3" s="98"/>
      <c r="SJO3" s="98"/>
      <c r="SJP3" s="98"/>
      <c r="SJQ3" s="98"/>
      <c r="SJR3" s="98"/>
      <c r="SJS3" s="98"/>
      <c r="SJT3" s="98"/>
      <c r="SJU3" s="98"/>
      <c r="SJV3" s="98"/>
      <c r="SJW3" s="98"/>
      <c r="SJX3" s="98"/>
      <c r="SJY3" s="98"/>
      <c r="SJZ3" s="98"/>
      <c r="SKA3" s="98"/>
      <c r="SKB3" s="98"/>
      <c r="SKC3" s="98"/>
      <c r="SKD3" s="98"/>
      <c r="SKE3" s="98"/>
      <c r="SKF3" s="98"/>
      <c r="SKG3" s="98"/>
      <c r="SKH3" s="98"/>
      <c r="SKI3" s="98"/>
      <c r="SKJ3" s="98"/>
      <c r="SKK3" s="98"/>
      <c r="SKL3" s="98"/>
      <c r="SKM3" s="98"/>
      <c r="SKN3" s="98"/>
      <c r="SKO3" s="98"/>
      <c r="SKP3" s="98"/>
      <c r="SKQ3" s="98"/>
      <c r="SKR3" s="98"/>
      <c r="SKS3" s="98"/>
      <c r="SKT3" s="98"/>
      <c r="SKU3" s="98"/>
      <c r="SKV3" s="98"/>
      <c r="SKW3" s="98"/>
      <c r="SKX3" s="98"/>
      <c r="SKY3" s="98"/>
      <c r="SKZ3" s="98"/>
      <c r="SLA3" s="98"/>
      <c r="SLB3" s="98"/>
      <c r="SLC3" s="98"/>
      <c r="SLD3" s="98"/>
      <c r="SLE3" s="98"/>
      <c r="SLF3" s="98"/>
      <c r="SLG3" s="98"/>
      <c r="SLH3" s="98"/>
      <c r="SLI3" s="98"/>
      <c r="SLJ3" s="98"/>
      <c r="SLK3" s="98"/>
      <c r="SLL3" s="98"/>
      <c r="SLM3" s="98"/>
      <c r="SLN3" s="98"/>
      <c r="SLO3" s="98"/>
      <c r="SLP3" s="98"/>
      <c r="SLQ3" s="98"/>
      <c r="SLR3" s="98"/>
      <c r="SLS3" s="98"/>
      <c r="SLT3" s="98"/>
      <c r="SLU3" s="98"/>
      <c r="SLV3" s="98"/>
      <c r="SLW3" s="98"/>
      <c r="SLX3" s="98"/>
      <c r="SLY3" s="98"/>
      <c r="SLZ3" s="98"/>
      <c r="SMA3" s="98"/>
      <c r="SMB3" s="98"/>
      <c r="SMC3" s="98"/>
      <c r="SMD3" s="98"/>
      <c r="SME3" s="98"/>
      <c r="SMF3" s="98"/>
      <c r="SMG3" s="98"/>
      <c r="SMH3" s="98"/>
      <c r="SMI3" s="98"/>
      <c r="SMJ3" s="98"/>
      <c r="SMK3" s="98"/>
      <c r="SML3" s="98"/>
      <c r="SMM3" s="98"/>
      <c r="SMN3" s="98"/>
      <c r="SMO3" s="98"/>
      <c r="SMP3" s="98"/>
      <c r="SMQ3" s="98"/>
      <c r="SMR3" s="98"/>
      <c r="SMS3" s="98"/>
      <c r="SMT3" s="98"/>
      <c r="SMU3" s="98"/>
      <c r="SMV3" s="98"/>
      <c r="SMW3" s="98"/>
      <c r="SMX3" s="98"/>
      <c r="SMY3" s="98"/>
      <c r="SMZ3" s="98"/>
      <c r="SNA3" s="98"/>
      <c r="SNB3" s="98"/>
      <c r="SNC3" s="98"/>
      <c r="SND3" s="98"/>
      <c r="SNE3" s="98"/>
      <c r="SNF3" s="98"/>
      <c r="SNG3" s="98"/>
      <c r="SNH3" s="98"/>
      <c r="SNI3" s="98"/>
      <c r="SNJ3" s="98"/>
      <c r="SNK3" s="98"/>
      <c r="SNL3" s="98"/>
      <c r="SNM3" s="98"/>
      <c r="SNN3" s="98"/>
      <c r="SNO3" s="98"/>
      <c r="SNP3" s="98"/>
      <c r="SNQ3" s="98"/>
      <c r="SNR3" s="98"/>
      <c r="SNS3" s="98"/>
      <c r="SNT3" s="98"/>
      <c r="SNU3" s="98"/>
      <c r="SNV3" s="98"/>
      <c r="SNW3" s="98"/>
      <c r="SNX3" s="98"/>
      <c r="SNY3" s="98"/>
      <c r="SNZ3" s="98"/>
      <c r="SOA3" s="98"/>
      <c r="SOB3" s="98"/>
      <c r="SOC3" s="98"/>
      <c r="SOD3" s="98"/>
      <c r="SOE3" s="98"/>
      <c r="SOF3" s="98"/>
      <c r="SOG3" s="98"/>
      <c r="SOH3" s="98"/>
      <c r="SOI3" s="98"/>
      <c r="SOJ3" s="98"/>
      <c r="SOK3" s="98"/>
      <c r="SOL3" s="98"/>
      <c r="SOM3" s="98"/>
      <c r="SON3" s="98"/>
      <c r="SOO3" s="98"/>
      <c r="SOP3" s="98"/>
      <c r="SOQ3" s="98"/>
      <c r="SOR3" s="98"/>
      <c r="SOS3" s="98"/>
      <c r="SOT3" s="98"/>
      <c r="SOU3" s="98"/>
      <c r="SOV3" s="98"/>
      <c r="SOW3" s="98"/>
      <c r="SOX3" s="98"/>
      <c r="SOY3" s="98"/>
      <c r="SOZ3" s="98"/>
      <c r="SPA3" s="98"/>
      <c r="SPB3" s="98"/>
      <c r="SPC3" s="98"/>
      <c r="SPD3" s="98"/>
      <c r="SPE3" s="98"/>
      <c r="SPF3" s="98"/>
      <c r="SPG3" s="98"/>
      <c r="SPH3" s="98"/>
      <c r="SPI3" s="98"/>
      <c r="SPJ3" s="98"/>
      <c r="SPK3" s="98"/>
      <c r="SPL3" s="98"/>
      <c r="SPM3" s="98"/>
      <c r="SPN3" s="98"/>
      <c r="SPO3" s="98"/>
      <c r="SPP3" s="98"/>
      <c r="SPQ3" s="98"/>
      <c r="SPR3" s="98"/>
      <c r="SPS3" s="98"/>
      <c r="SPT3" s="98"/>
      <c r="SPU3" s="98"/>
      <c r="SPV3" s="98"/>
      <c r="SPW3" s="98"/>
      <c r="SPX3" s="98"/>
      <c r="SPY3" s="98"/>
      <c r="SPZ3" s="98"/>
      <c r="SQA3" s="98"/>
      <c r="SQB3" s="98"/>
      <c r="SQC3" s="98"/>
      <c r="SQD3" s="98"/>
      <c r="SQE3" s="98"/>
      <c r="SQF3" s="98"/>
      <c r="SQG3" s="98"/>
      <c r="SQH3" s="98"/>
      <c r="SQI3" s="98"/>
      <c r="SQJ3" s="98"/>
      <c r="SQK3" s="98"/>
      <c r="SQL3" s="98"/>
      <c r="SQM3" s="98"/>
      <c r="SQN3" s="98"/>
      <c r="SQO3" s="98"/>
      <c r="SQP3" s="98"/>
      <c r="SQQ3" s="98"/>
      <c r="SQR3" s="98"/>
      <c r="SQS3" s="98"/>
      <c r="SQT3" s="98"/>
      <c r="SQU3" s="98"/>
      <c r="SQV3" s="98"/>
      <c r="SQW3" s="98"/>
      <c r="SQX3" s="98"/>
      <c r="SQY3" s="98"/>
      <c r="SQZ3" s="98"/>
      <c r="SRA3" s="98"/>
      <c r="SRB3" s="98"/>
      <c r="SRC3" s="98"/>
      <c r="SRD3" s="98"/>
      <c r="SRE3" s="98"/>
      <c r="SRF3" s="98"/>
      <c r="SRG3" s="98"/>
      <c r="SRH3" s="98"/>
      <c r="SRI3" s="98"/>
      <c r="SRJ3" s="98"/>
      <c r="SRK3" s="98"/>
      <c r="SRL3" s="98"/>
      <c r="SRM3" s="98"/>
      <c r="SRN3" s="98"/>
      <c r="SRO3" s="98"/>
      <c r="SRP3" s="98"/>
      <c r="SRQ3" s="98"/>
      <c r="SRR3" s="98"/>
      <c r="SRS3" s="98"/>
      <c r="SRT3" s="98"/>
      <c r="SRU3" s="98"/>
      <c r="SRV3" s="98"/>
      <c r="SRW3" s="98"/>
      <c r="SRX3" s="98"/>
      <c r="SRY3" s="98"/>
      <c r="SRZ3" s="98"/>
      <c r="SSA3" s="98"/>
      <c r="SSB3" s="98"/>
      <c r="SSC3" s="98"/>
      <c r="SSD3" s="98"/>
      <c r="SSE3" s="98"/>
      <c r="SSF3" s="98"/>
      <c r="SSG3" s="98"/>
      <c r="SSH3" s="98"/>
      <c r="SSI3" s="98"/>
      <c r="SSJ3" s="98"/>
      <c r="SSK3" s="98"/>
      <c r="SSL3" s="98"/>
      <c r="SSM3" s="98"/>
      <c r="SSN3" s="98"/>
      <c r="SSO3" s="98"/>
      <c r="SSP3" s="98"/>
      <c r="SSQ3" s="98"/>
      <c r="SSR3" s="98"/>
      <c r="SSS3" s="98"/>
      <c r="SST3" s="98"/>
      <c r="SSU3" s="98"/>
      <c r="SSV3" s="98"/>
      <c r="SSW3" s="98"/>
      <c r="SSX3" s="98"/>
      <c r="SSY3" s="98"/>
      <c r="SSZ3" s="98"/>
      <c r="STA3" s="98"/>
      <c r="STB3" s="98"/>
      <c r="STC3" s="98"/>
      <c r="STD3" s="98"/>
      <c r="STE3" s="98"/>
      <c r="STF3" s="98"/>
      <c r="STG3" s="98"/>
      <c r="STH3" s="98"/>
      <c r="STI3" s="98"/>
      <c r="STJ3" s="98"/>
      <c r="STK3" s="98"/>
      <c r="STL3" s="98"/>
      <c r="STM3" s="98"/>
      <c r="STN3" s="98"/>
      <c r="STO3" s="98"/>
      <c r="STP3" s="98"/>
      <c r="STQ3" s="98"/>
      <c r="STR3" s="98"/>
      <c r="STS3" s="98"/>
      <c r="STT3" s="98"/>
      <c r="STU3" s="98"/>
      <c r="STV3" s="98"/>
      <c r="STW3" s="98"/>
      <c r="STX3" s="98"/>
      <c r="STY3" s="98"/>
      <c r="STZ3" s="98"/>
      <c r="SUA3" s="98"/>
      <c r="SUB3" s="98"/>
      <c r="SUC3" s="98"/>
      <c r="SUD3" s="98"/>
      <c r="SUE3" s="98"/>
      <c r="SUF3" s="98"/>
      <c r="SUG3" s="98"/>
      <c r="SUH3" s="98"/>
      <c r="SUI3" s="98"/>
      <c r="SUJ3" s="98"/>
      <c r="SUK3" s="98"/>
      <c r="SUL3" s="98"/>
      <c r="SUM3" s="98"/>
      <c r="SUN3" s="98"/>
      <c r="SUO3" s="98"/>
      <c r="SUP3" s="98"/>
      <c r="SUQ3" s="98"/>
      <c r="SUR3" s="98"/>
      <c r="SUS3" s="98"/>
      <c r="SUT3" s="98"/>
      <c r="SUU3" s="98"/>
      <c r="SUV3" s="98"/>
      <c r="SUW3" s="98"/>
      <c r="SUX3" s="98"/>
      <c r="SUY3" s="98"/>
      <c r="SUZ3" s="98"/>
      <c r="SVA3" s="98"/>
      <c r="SVB3" s="98"/>
      <c r="SVC3" s="98"/>
      <c r="SVD3" s="98"/>
      <c r="SVE3" s="98"/>
      <c r="SVF3" s="98"/>
      <c r="SVG3" s="98"/>
      <c r="SVH3" s="98"/>
      <c r="SVI3" s="98"/>
      <c r="SVJ3" s="98"/>
      <c r="SVK3" s="98"/>
      <c r="SVL3" s="98"/>
      <c r="SVM3" s="98"/>
      <c r="SVN3" s="98"/>
      <c r="SVO3" s="98"/>
      <c r="SVP3" s="98"/>
      <c r="SVQ3" s="98"/>
      <c r="SVR3" s="98"/>
      <c r="SVS3" s="98"/>
      <c r="SVT3" s="98"/>
      <c r="SVU3" s="98"/>
      <c r="SVV3" s="98"/>
      <c r="SVW3" s="98"/>
      <c r="SVX3" s="98"/>
      <c r="SVY3" s="98"/>
      <c r="SVZ3" s="98"/>
      <c r="SWA3" s="98"/>
      <c r="SWB3" s="98"/>
      <c r="SWC3" s="98"/>
      <c r="SWD3" s="98"/>
      <c r="SWE3" s="98"/>
      <c r="SWF3" s="98"/>
      <c r="SWG3" s="98"/>
      <c r="SWH3" s="98"/>
      <c r="SWI3" s="98"/>
      <c r="SWJ3" s="98"/>
      <c r="SWK3" s="98"/>
      <c r="SWL3" s="98"/>
      <c r="SWM3" s="98"/>
      <c r="SWN3" s="98"/>
      <c r="SWO3" s="98"/>
      <c r="SWP3" s="98"/>
      <c r="SWQ3" s="98"/>
      <c r="SWR3" s="98"/>
      <c r="SWS3" s="98"/>
      <c r="SWT3" s="98"/>
      <c r="SWU3" s="98"/>
      <c r="SWV3" s="98"/>
      <c r="SWW3" s="98"/>
      <c r="SWX3" s="98"/>
      <c r="SWY3" s="98"/>
      <c r="SWZ3" s="98"/>
      <c r="SXA3" s="98"/>
      <c r="SXB3" s="98"/>
      <c r="SXC3" s="98"/>
      <c r="SXD3" s="98"/>
      <c r="SXE3" s="98"/>
      <c r="SXF3" s="98"/>
      <c r="SXG3" s="98"/>
      <c r="SXH3" s="98"/>
      <c r="SXI3" s="98"/>
      <c r="SXJ3" s="98"/>
      <c r="SXK3" s="98"/>
      <c r="SXL3" s="98"/>
      <c r="SXM3" s="98"/>
      <c r="SXN3" s="98"/>
      <c r="SXO3" s="98"/>
      <c r="SXP3" s="98"/>
      <c r="SXQ3" s="98"/>
      <c r="SXR3" s="98"/>
      <c r="SXS3" s="98"/>
      <c r="SXT3" s="98"/>
      <c r="SXU3" s="98"/>
      <c r="SXV3" s="98"/>
      <c r="SXW3" s="98"/>
      <c r="SXX3" s="98"/>
      <c r="SXY3" s="98"/>
      <c r="SXZ3" s="98"/>
      <c r="SYA3" s="98"/>
      <c r="SYB3" s="98"/>
      <c r="SYC3" s="98"/>
      <c r="SYD3" s="98"/>
      <c r="SYE3" s="98"/>
      <c r="SYF3" s="98"/>
      <c r="SYG3" s="98"/>
      <c r="SYH3" s="98"/>
      <c r="SYI3" s="98"/>
      <c r="SYJ3" s="98"/>
      <c r="SYK3" s="98"/>
      <c r="SYL3" s="98"/>
      <c r="SYM3" s="98"/>
      <c r="SYN3" s="98"/>
      <c r="SYO3" s="98"/>
      <c r="SYP3" s="98"/>
      <c r="SYQ3" s="98"/>
      <c r="SYR3" s="98"/>
      <c r="SYS3" s="98"/>
      <c r="SYT3" s="98"/>
      <c r="SYU3" s="98"/>
      <c r="SYV3" s="98"/>
      <c r="SYW3" s="98"/>
      <c r="SYX3" s="98"/>
      <c r="SYY3" s="98"/>
      <c r="SYZ3" s="98"/>
      <c r="SZA3" s="98"/>
      <c r="SZB3" s="98"/>
      <c r="SZC3" s="98"/>
      <c r="SZD3" s="98"/>
      <c r="SZE3" s="98"/>
      <c r="SZF3" s="98"/>
      <c r="SZG3" s="98"/>
      <c r="SZH3" s="98"/>
      <c r="SZI3" s="98"/>
      <c r="SZJ3" s="98"/>
      <c r="SZK3" s="98"/>
      <c r="SZL3" s="98"/>
      <c r="SZM3" s="98"/>
      <c r="SZN3" s="98"/>
      <c r="SZO3" s="98"/>
      <c r="SZP3" s="98"/>
      <c r="SZQ3" s="98"/>
      <c r="SZR3" s="98"/>
      <c r="SZS3" s="98"/>
      <c r="SZT3" s="98"/>
      <c r="SZU3" s="98"/>
      <c r="SZV3" s="98"/>
      <c r="SZW3" s="98"/>
      <c r="SZX3" s="98"/>
      <c r="SZY3" s="98"/>
      <c r="SZZ3" s="98"/>
      <c r="TAA3" s="98"/>
      <c r="TAB3" s="98"/>
      <c r="TAC3" s="98"/>
      <c r="TAD3" s="98"/>
      <c r="TAE3" s="98"/>
      <c r="TAF3" s="98"/>
      <c r="TAG3" s="98"/>
      <c r="TAH3" s="98"/>
      <c r="TAI3" s="98"/>
      <c r="TAJ3" s="98"/>
      <c r="TAK3" s="98"/>
      <c r="TAL3" s="98"/>
      <c r="TAM3" s="98"/>
      <c r="TAN3" s="98"/>
      <c r="TAO3" s="98"/>
      <c r="TAP3" s="98"/>
      <c r="TAQ3" s="98"/>
      <c r="TAR3" s="98"/>
      <c r="TAS3" s="98"/>
      <c r="TAT3" s="98"/>
      <c r="TAU3" s="98"/>
      <c r="TAV3" s="98"/>
      <c r="TAW3" s="98"/>
      <c r="TAX3" s="98"/>
      <c r="TAY3" s="98"/>
      <c r="TAZ3" s="98"/>
      <c r="TBA3" s="98"/>
      <c r="TBB3" s="98"/>
      <c r="TBC3" s="98"/>
      <c r="TBD3" s="98"/>
      <c r="TBE3" s="98"/>
      <c r="TBF3" s="98"/>
      <c r="TBG3" s="98"/>
      <c r="TBH3" s="98"/>
      <c r="TBI3" s="98"/>
      <c r="TBJ3" s="98"/>
      <c r="TBK3" s="98"/>
      <c r="TBL3" s="98"/>
      <c r="TBM3" s="98"/>
      <c r="TBN3" s="98"/>
      <c r="TBO3" s="98"/>
      <c r="TBP3" s="98"/>
      <c r="TBQ3" s="98"/>
      <c r="TBR3" s="98"/>
      <c r="TBS3" s="98"/>
      <c r="TBT3" s="98"/>
      <c r="TBU3" s="98"/>
      <c r="TBV3" s="98"/>
      <c r="TBW3" s="98"/>
      <c r="TBX3" s="98"/>
      <c r="TBY3" s="98"/>
      <c r="TBZ3" s="98"/>
      <c r="TCA3" s="98"/>
      <c r="TCB3" s="98"/>
      <c r="TCC3" s="98"/>
      <c r="TCD3" s="98"/>
      <c r="TCE3" s="98"/>
      <c r="TCF3" s="98"/>
      <c r="TCG3" s="98"/>
      <c r="TCH3" s="98"/>
      <c r="TCI3" s="98"/>
      <c r="TCJ3" s="98"/>
      <c r="TCK3" s="98"/>
      <c r="TCL3" s="98"/>
      <c r="TCM3" s="98"/>
      <c r="TCN3" s="98"/>
      <c r="TCO3" s="98"/>
      <c r="TCP3" s="98"/>
      <c r="TCQ3" s="98"/>
      <c r="TCR3" s="98"/>
      <c r="TCS3" s="98"/>
      <c r="TCT3" s="98"/>
      <c r="TCU3" s="98"/>
      <c r="TCV3" s="98"/>
      <c r="TCW3" s="98"/>
      <c r="TCX3" s="98"/>
      <c r="TCY3" s="98"/>
      <c r="TCZ3" s="98"/>
      <c r="TDA3" s="98"/>
      <c r="TDB3" s="98"/>
      <c r="TDC3" s="98"/>
      <c r="TDD3" s="98"/>
      <c r="TDE3" s="98"/>
      <c r="TDF3" s="98"/>
      <c r="TDG3" s="98"/>
      <c r="TDH3" s="98"/>
      <c r="TDI3" s="98"/>
      <c r="TDJ3" s="98"/>
      <c r="TDK3" s="98"/>
      <c r="TDL3" s="98"/>
      <c r="TDM3" s="98"/>
      <c r="TDN3" s="98"/>
      <c r="TDO3" s="98"/>
      <c r="TDP3" s="98"/>
      <c r="TDQ3" s="98"/>
      <c r="TDR3" s="98"/>
      <c r="TDS3" s="98"/>
      <c r="TDT3" s="98"/>
      <c r="TDU3" s="98"/>
      <c r="TDV3" s="98"/>
      <c r="TDW3" s="98"/>
      <c r="TDX3" s="98"/>
      <c r="TDY3" s="98"/>
      <c r="TDZ3" s="98"/>
      <c r="TEA3" s="98"/>
      <c r="TEB3" s="98"/>
      <c r="TEC3" s="98"/>
      <c r="TED3" s="98"/>
      <c r="TEE3" s="98"/>
      <c r="TEF3" s="98"/>
      <c r="TEG3" s="98"/>
      <c r="TEH3" s="98"/>
      <c r="TEI3" s="98"/>
      <c r="TEJ3" s="98"/>
      <c r="TEK3" s="98"/>
      <c r="TEL3" s="98"/>
      <c r="TEM3" s="98"/>
      <c r="TEN3" s="98"/>
      <c r="TEO3" s="98"/>
      <c r="TEP3" s="98"/>
      <c r="TEQ3" s="98"/>
      <c r="TER3" s="98"/>
      <c r="TES3" s="98"/>
      <c r="TET3" s="98"/>
      <c r="TEU3" s="98"/>
      <c r="TEV3" s="98"/>
      <c r="TEW3" s="98"/>
      <c r="TEX3" s="98"/>
      <c r="TEY3" s="98"/>
      <c r="TEZ3" s="98"/>
      <c r="TFA3" s="98"/>
      <c r="TFB3" s="98"/>
      <c r="TFC3" s="98"/>
      <c r="TFD3" s="98"/>
      <c r="TFE3" s="98"/>
      <c r="TFF3" s="98"/>
      <c r="TFG3" s="98"/>
      <c r="TFH3" s="98"/>
      <c r="TFI3" s="98"/>
      <c r="TFJ3" s="98"/>
      <c r="TFK3" s="98"/>
      <c r="TFL3" s="98"/>
      <c r="TFM3" s="98"/>
      <c r="TFN3" s="98"/>
      <c r="TFO3" s="98"/>
      <c r="TFP3" s="98"/>
      <c r="TFQ3" s="98"/>
      <c r="TFR3" s="98"/>
      <c r="TFS3" s="98"/>
      <c r="TFT3" s="98"/>
      <c r="TFU3" s="98"/>
      <c r="TFV3" s="98"/>
      <c r="TFW3" s="98"/>
      <c r="TFX3" s="98"/>
      <c r="TFY3" s="98"/>
      <c r="TFZ3" s="98"/>
      <c r="TGA3" s="98"/>
      <c r="TGB3" s="98"/>
      <c r="TGC3" s="98"/>
      <c r="TGD3" s="98"/>
      <c r="TGE3" s="98"/>
      <c r="TGF3" s="98"/>
      <c r="TGG3" s="98"/>
      <c r="TGH3" s="98"/>
      <c r="TGI3" s="98"/>
      <c r="TGJ3" s="98"/>
      <c r="TGK3" s="98"/>
      <c r="TGL3" s="98"/>
      <c r="TGM3" s="98"/>
      <c r="TGN3" s="98"/>
      <c r="TGO3" s="98"/>
      <c r="TGP3" s="98"/>
      <c r="TGQ3" s="98"/>
      <c r="TGR3" s="98"/>
      <c r="TGS3" s="98"/>
      <c r="TGT3" s="98"/>
      <c r="TGU3" s="98"/>
      <c r="TGV3" s="98"/>
      <c r="TGW3" s="98"/>
      <c r="TGX3" s="98"/>
      <c r="TGY3" s="98"/>
      <c r="TGZ3" s="98"/>
      <c r="THA3" s="98"/>
      <c r="THB3" s="98"/>
      <c r="THC3" s="98"/>
      <c r="THD3" s="98"/>
      <c r="THE3" s="98"/>
      <c r="THF3" s="98"/>
      <c r="THG3" s="98"/>
      <c r="THH3" s="98"/>
      <c r="THI3" s="98"/>
      <c r="THJ3" s="98"/>
      <c r="THK3" s="98"/>
      <c r="THL3" s="98"/>
      <c r="THM3" s="98"/>
      <c r="THN3" s="98"/>
      <c r="THO3" s="98"/>
      <c r="THP3" s="98"/>
      <c r="THQ3" s="98"/>
      <c r="THR3" s="98"/>
      <c r="THS3" s="98"/>
      <c r="THT3" s="98"/>
      <c r="THU3" s="98"/>
      <c r="THV3" s="98"/>
      <c r="THW3" s="98"/>
      <c r="THX3" s="98"/>
      <c r="THY3" s="98"/>
      <c r="THZ3" s="98"/>
      <c r="TIA3" s="98"/>
      <c r="TIB3" s="98"/>
      <c r="TIC3" s="98"/>
      <c r="TID3" s="98"/>
      <c r="TIE3" s="98"/>
      <c r="TIF3" s="98"/>
      <c r="TIG3" s="98"/>
      <c r="TIH3" s="98"/>
      <c r="TII3" s="98"/>
      <c r="TIJ3" s="98"/>
      <c r="TIK3" s="98"/>
      <c r="TIL3" s="98"/>
      <c r="TIM3" s="98"/>
      <c r="TIN3" s="98"/>
      <c r="TIO3" s="98"/>
      <c r="TIP3" s="98"/>
      <c r="TIQ3" s="98"/>
      <c r="TIR3" s="98"/>
      <c r="TIS3" s="98"/>
      <c r="TIT3" s="98"/>
      <c r="TIU3" s="98"/>
      <c r="TIV3" s="98"/>
      <c r="TIW3" s="98"/>
      <c r="TIX3" s="98"/>
      <c r="TIY3" s="98"/>
      <c r="TIZ3" s="98"/>
      <c r="TJA3" s="98"/>
      <c r="TJB3" s="98"/>
      <c r="TJC3" s="98"/>
      <c r="TJD3" s="98"/>
      <c r="TJE3" s="98"/>
      <c r="TJF3" s="98"/>
      <c r="TJG3" s="98"/>
      <c r="TJH3" s="98"/>
      <c r="TJI3" s="98"/>
      <c r="TJJ3" s="98"/>
      <c r="TJK3" s="98"/>
      <c r="TJL3" s="98"/>
      <c r="TJM3" s="98"/>
      <c r="TJN3" s="98"/>
      <c r="TJO3" s="98"/>
      <c r="TJP3" s="98"/>
      <c r="TJQ3" s="98"/>
      <c r="TJR3" s="98"/>
      <c r="TJS3" s="98"/>
      <c r="TJT3" s="98"/>
      <c r="TJU3" s="98"/>
      <c r="TJV3" s="98"/>
      <c r="TJW3" s="98"/>
      <c r="TJX3" s="98"/>
      <c r="TJY3" s="98"/>
      <c r="TJZ3" s="98"/>
      <c r="TKA3" s="98"/>
      <c r="TKB3" s="98"/>
      <c r="TKC3" s="98"/>
      <c r="TKD3" s="98"/>
      <c r="TKE3" s="98"/>
      <c r="TKF3" s="98"/>
      <c r="TKG3" s="98"/>
      <c r="TKH3" s="98"/>
      <c r="TKI3" s="98"/>
      <c r="TKJ3" s="98"/>
      <c r="TKK3" s="98"/>
      <c r="TKL3" s="98"/>
      <c r="TKM3" s="98"/>
      <c r="TKN3" s="98"/>
      <c r="TKO3" s="98"/>
      <c r="TKP3" s="98"/>
      <c r="TKQ3" s="98"/>
      <c r="TKR3" s="98"/>
      <c r="TKS3" s="98"/>
      <c r="TKT3" s="98"/>
      <c r="TKU3" s="98"/>
      <c r="TKV3" s="98"/>
      <c r="TKW3" s="98"/>
      <c r="TKX3" s="98"/>
      <c r="TKY3" s="98"/>
      <c r="TKZ3" s="98"/>
      <c r="TLA3" s="98"/>
      <c r="TLB3" s="98"/>
      <c r="TLC3" s="98"/>
      <c r="TLD3" s="98"/>
      <c r="TLE3" s="98"/>
      <c r="TLF3" s="98"/>
      <c r="TLG3" s="98"/>
      <c r="TLH3" s="98"/>
      <c r="TLI3" s="98"/>
      <c r="TLJ3" s="98"/>
      <c r="TLK3" s="98"/>
      <c r="TLL3" s="98"/>
      <c r="TLM3" s="98"/>
      <c r="TLN3" s="98"/>
      <c r="TLO3" s="98"/>
      <c r="TLP3" s="98"/>
      <c r="TLQ3" s="98"/>
      <c r="TLR3" s="98"/>
      <c r="TLS3" s="98"/>
      <c r="TLT3" s="98"/>
      <c r="TLU3" s="98"/>
      <c r="TLV3" s="98"/>
      <c r="TLW3" s="98"/>
      <c r="TLX3" s="98"/>
      <c r="TLY3" s="98"/>
      <c r="TLZ3" s="98"/>
      <c r="TMA3" s="98"/>
      <c r="TMB3" s="98"/>
      <c r="TMC3" s="98"/>
      <c r="TMD3" s="98"/>
      <c r="TME3" s="98"/>
      <c r="TMF3" s="98"/>
      <c r="TMG3" s="98"/>
      <c r="TMH3" s="98"/>
      <c r="TMI3" s="98"/>
      <c r="TMJ3" s="98"/>
      <c r="TMK3" s="98"/>
      <c r="TML3" s="98"/>
      <c r="TMM3" s="98"/>
      <c r="TMN3" s="98"/>
      <c r="TMO3" s="98"/>
      <c r="TMP3" s="98"/>
      <c r="TMQ3" s="98"/>
      <c r="TMR3" s="98"/>
      <c r="TMS3" s="98"/>
      <c r="TMT3" s="98"/>
      <c r="TMU3" s="98"/>
      <c r="TMV3" s="98"/>
      <c r="TMW3" s="98"/>
      <c r="TMX3" s="98"/>
      <c r="TMY3" s="98"/>
      <c r="TMZ3" s="98"/>
      <c r="TNA3" s="98"/>
      <c r="TNB3" s="98"/>
      <c r="TNC3" s="98"/>
      <c r="TND3" s="98"/>
      <c r="TNE3" s="98"/>
      <c r="TNF3" s="98"/>
      <c r="TNG3" s="98"/>
      <c r="TNH3" s="98"/>
      <c r="TNI3" s="98"/>
      <c r="TNJ3" s="98"/>
      <c r="TNK3" s="98"/>
      <c r="TNL3" s="98"/>
      <c r="TNM3" s="98"/>
      <c r="TNN3" s="98"/>
      <c r="TNO3" s="98"/>
      <c r="TNP3" s="98"/>
      <c r="TNQ3" s="98"/>
      <c r="TNR3" s="98"/>
      <c r="TNS3" s="98"/>
      <c r="TNT3" s="98"/>
      <c r="TNU3" s="98"/>
      <c r="TNV3" s="98"/>
      <c r="TNW3" s="98"/>
      <c r="TNX3" s="98"/>
      <c r="TNY3" s="98"/>
      <c r="TNZ3" s="98"/>
      <c r="TOA3" s="98"/>
      <c r="TOB3" s="98"/>
      <c r="TOC3" s="98"/>
      <c r="TOD3" s="98"/>
      <c r="TOE3" s="98"/>
      <c r="TOF3" s="98"/>
      <c r="TOG3" s="98"/>
      <c r="TOH3" s="98"/>
      <c r="TOI3" s="98"/>
      <c r="TOJ3" s="98"/>
      <c r="TOK3" s="98"/>
      <c r="TOL3" s="98"/>
      <c r="TOM3" s="98"/>
      <c r="TON3" s="98"/>
      <c r="TOO3" s="98"/>
      <c r="TOP3" s="98"/>
      <c r="TOQ3" s="98"/>
      <c r="TOR3" s="98"/>
      <c r="TOS3" s="98"/>
      <c r="TOT3" s="98"/>
      <c r="TOU3" s="98"/>
      <c r="TOV3" s="98"/>
      <c r="TOW3" s="98"/>
      <c r="TOX3" s="98"/>
      <c r="TOY3" s="98"/>
      <c r="TOZ3" s="98"/>
      <c r="TPA3" s="98"/>
      <c r="TPB3" s="98"/>
      <c r="TPC3" s="98"/>
      <c r="TPD3" s="98"/>
      <c r="TPE3" s="98"/>
      <c r="TPF3" s="98"/>
      <c r="TPG3" s="98"/>
      <c r="TPH3" s="98"/>
      <c r="TPI3" s="98"/>
      <c r="TPJ3" s="98"/>
      <c r="TPK3" s="98"/>
      <c r="TPL3" s="98"/>
      <c r="TPM3" s="98"/>
      <c r="TPN3" s="98"/>
      <c r="TPO3" s="98"/>
      <c r="TPP3" s="98"/>
      <c r="TPQ3" s="98"/>
      <c r="TPR3" s="98"/>
      <c r="TPS3" s="98"/>
      <c r="TPT3" s="98"/>
      <c r="TPU3" s="98"/>
      <c r="TPV3" s="98"/>
      <c r="TPW3" s="98"/>
      <c r="TPX3" s="98"/>
      <c r="TPY3" s="98"/>
      <c r="TPZ3" s="98"/>
      <c r="TQA3" s="98"/>
      <c r="TQB3" s="98"/>
      <c r="TQC3" s="98"/>
      <c r="TQD3" s="98"/>
      <c r="TQE3" s="98"/>
      <c r="TQF3" s="98"/>
      <c r="TQG3" s="98"/>
      <c r="TQH3" s="98"/>
      <c r="TQI3" s="98"/>
      <c r="TQJ3" s="98"/>
      <c r="TQK3" s="98"/>
      <c r="TQL3" s="98"/>
      <c r="TQM3" s="98"/>
      <c r="TQN3" s="98"/>
      <c r="TQO3" s="98"/>
      <c r="TQP3" s="98"/>
      <c r="TQQ3" s="98"/>
      <c r="TQR3" s="98"/>
      <c r="TQS3" s="98"/>
      <c r="TQT3" s="98"/>
      <c r="TQU3" s="98"/>
      <c r="TQV3" s="98"/>
      <c r="TQW3" s="98"/>
      <c r="TQX3" s="98"/>
      <c r="TQY3" s="98"/>
      <c r="TQZ3" s="98"/>
      <c r="TRA3" s="98"/>
      <c r="TRB3" s="98"/>
      <c r="TRC3" s="98"/>
      <c r="TRD3" s="98"/>
      <c r="TRE3" s="98"/>
      <c r="TRF3" s="98"/>
      <c r="TRG3" s="98"/>
      <c r="TRH3" s="98"/>
      <c r="TRI3" s="98"/>
      <c r="TRJ3" s="98"/>
      <c r="TRK3" s="98"/>
      <c r="TRL3" s="98"/>
      <c r="TRM3" s="98"/>
      <c r="TRN3" s="98"/>
      <c r="TRO3" s="98"/>
      <c r="TRP3" s="98"/>
      <c r="TRQ3" s="98"/>
      <c r="TRR3" s="98"/>
      <c r="TRS3" s="98"/>
      <c r="TRT3" s="98"/>
      <c r="TRU3" s="98"/>
      <c r="TRV3" s="98"/>
      <c r="TRW3" s="98"/>
      <c r="TRX3" s="98"/>
      <c r="TRY3" s="98"/>
      <c r="TRZ3" s="98"/>
      <c r="TSA3" s="98"/>
      <c r="TSB3" s="98"/>
      <c r="TSC3" s="98"/>
      <c r="TSD3" s="98"/>
      <c r="TSE3" s="98"/>
      <c r="TSF3" s="98"/>
      <c r="TSG3" s="98"/>
      <c r="TSH3" s="98"/>
      <c r="TSI3" s="98"/>
      <c r="TSJ3" s="98"/>
      <c r="TSK3" s="98"/>
      <c r="TSL3" s="98"/>
      <c r="TSM3" s="98"/>
      <c r="TSN3" s="98"/>
      <c r="TSO3" s="98"/>
      <c r="TSP3" s="98"/>
      <c r="TSQ3" s="98"/>
      <c r="TSR3" s="98"/>
      <c r="TSS3" s="98"/>
      <c r="TST3" s="98"/>
      <c r="TSU3" s="98"/>
      <c r="TSV3" s="98"/>
      <c r="TSW3" s="98"/>
      <c r="TSX3" s="98"/>
      <c r="TSY3" s="98"/>
      <c r="TSZ3" s="98"/>
      <c r="TTA3" s="98"/>
      <c r="TTB3" s="98"/>
      <c r="TTC3" s="98"/>
      <c r="TTD3" s="98"/>
      <c r="TTE3" s="98"/>
      <c r="TTF3" s="98"/>
      <c r="TTG3" s="98"/>
      <c r="TTH3" s="98"/>
      <c r="TTI3" s="98"/>
      <c r="TTJ3" s="98"/>
      <c r="TTK3" s="98"/>
      <c r="TTL3" s="98"/>
      <c r="TTM3" s="98"/>
      <c r="TTN3" s="98"/>
      <c r="TTO3" s="98"/>
      <c r="TTP3" s="98"/>
      <c r="TTQ3" s="98"/>
      <c r="TTR3" s="98"/>
      <c r="TTS3" s="98"/>
      <c r="TTT3" s="98"/>
      <c r="TTU3" s="98"/>
      <c r="TTV3" s="98"/>
      <c r="TTW3" s="98"/>
      <c r="TTX3" s="98"/>
      <c r="TTY3" s="98"/>
      <c r="TTZ3" s="98"/>
      <c r="TUA3" s="98"/>
      <c r="TUB3" s="98"/>
      <c r="TUC3" s="98"/>
      <c r="TUD3" s="98"/>
      <c r="TUE3" s="98"/>
      <c r="TUF3" s="98"/>
      <c r="TUG3" s="98"/>
      <c r="TUH3" s="98"/>
      <c r="TUI3" s="98"/>
      <c r="TUJ3" s="98"/>
      <c r="TUK3" s="98"/>
      <c r="TUL3" s="98"/>
      <c r="TUM3" s="98"/>
      <c r="TUN3" s="98"/>
      <c r="TUO3" s="98"/>
      <c r="TUP3" s="98"/>
      <c r="TUQ3" s="98"/>
      <c r="TUR3" s="98"/>
      <c r="TUS3" s="98"/>
      <c r="TUT3" s="98"/>
      <c r="TUU3" s="98"/>
      <c r="TUV3" s="98"/>
      <c r="TUW3" s="98"/>
      <c r="TUX3" s="98"/>
      <c r="TUY3" s="98"/>
      <c r="TUZ3" s="98"/>
      <c r="TVA3" s="98"/>
      <c r="TVB3" s="98"/>
      <c r="TVC3" s="98"/>
      <c r="TVD3" s="98"/>
      <c r="TVE3" s="98"/>
      <c r="TVF3" s="98"/>
      <c r="TVG3" s="98"/>
      <c r="TVH3" s="98"/>
      <c r="TVI3" s="98"/>
      <c r="TVJ3" s="98"/>
      <c r="TVK3" s="98"/>
      <c r="TVL3" s="98"/>
      <c r="TVM3" s="98"/>
      <c r="TVN3" s="98"/>
      <c r="TVO3" s="98"/>
      <c r="TVP3" s="98"/>
      <c r="TVQ3" s="98"/>
      <c r="TVR3" s="98"/>
      <c r="TVS3" s="98"/>
      <c r="TVT3" s="98"/>
      <c r="TVU3" s="98"/>
      <c r="TVV3" s="98"/>
      <c r="TVW3" s="98"/>
      <c r="TVX3" s="98"/>
      <c r="TVY3" s="98"/>
      <c r="TVZ3" s="98"/>
      <c r="TWA3" s="98"/>
      <c r="TWB3" s="98"/>
      <c r="TWC3" s="98"/>
      <c r="TWD3" s="98"/>
      <c r="TWE3" s="98"/>
      <c r="TWF3" s="98"/>
      <c r="TWG3" s="98"/>
      <c r="TWH3" s="98"/>
      <c r="TWI3" s="98"/>
      <c r="TWJ3" s="98"/>
      <c r="TWK3" s="98"/>
      <c r="TWL3" s="98"/>
      <c r="TWM3" s="98"/>
      <c r="TWN3" s="98"/>
      <c r="TWO3" s="98"/>
      <c r="TWP3" s="98"/>
      <c r="TWQ3" s="98"/>
      <c r="TWR3" s="98"/>
      <c r="TWS3" s="98"/>
      <c r="TWT3" s="98"/>
      <c r="TWU3" s="98"/>
      <c r="TWV3" s="98"/>
      <c r="TWW3" s="98"/>
      <c r="TWX3" s="98"/>
      <c r="TWY3" s="98"/>
      <c r="TWZ3" s="98"/>
      <c r="TXA3" s="98"/>
      <c r="TXB3" s="98"/>
      <c r="TXC3" s="98"/>
      <c r="TXD3" s="98"/>
      <c r="TXE3" s="98"/>
      <c r="TXF3" s="98"/>
      <c r="TXG3" s="98"/>
      <c r="TXH3" s="98"/>
      <c r="TXI3" s="98"/>
      <c r="TXJ3" s="98"/>
      <c r="TXK3" s="98"/>
      <c r="TXL3" s="98"/>
      <c r="TXM3" s="98"/>
      <c r="TXN3" s="98"/>
      <c r="TXO3" s="98"/>
      <c r="TXP3" s="98"/>
      <c r="TXQ3" s="98"/>
      <c r="TXR3" s="98"/>
      <c r="TXS3" s="98"/>
      <c r="TXT3" s="98"/>
      <c r="TXU3" s="98"/>
      <c r="TXV3" s="98"/>
      <c r="TXW3" s="98"/>
      <c r="TXX3" s="98"/>
      <c r="TXY3" s="98"/>
      <c r="TXZ3" s="98"/>
      <c r="TYA3" s="98"/>
      <c r="TYB3" s="98"/>
      <c r="TYC3" s="98"/>
      <c r="TYD3" s="98"/>
      <c r="TYE3" s="98"/>
      <c r="TYF3" s="98"/>
      <c r="TYG3" s="98"/>
      <c r="TYH3" s="98"/>
      <c r="TYI3" s="98"/>
      <c r="TYJ3" s="98"/>
      <c r="TYK3" s="98"/>
      <c r="TYL3" s="98"/>
      <c r="TYM3" s="98"/>
      <c r="TYN3" s="98"/>
      <c r="TYO3" s="98"/>
      <c r="TYP3" s="98"/>
      <c r="TYQ3" s="98"/>
      <c r="TYR3" s="98"/>
      <c r="TYS3" s="98"/>
      <c r="TYT3" s="98"/>
      <c r="TYU3" s="98"/>
      <c r="TYV3" s="98"/>
      <c r="TYW3" s="98"/>
      <c r="TYX3" s="98"/>
      <c r="TYY3" s="98"/>
      <c r="TYZ3" s="98"/>
      <c r="TZA3" s="98"/>
      <c r="TZB3" s="98"/>
      <c r="TZC3" s="98"/>
      <c r="TZD3" s="98"/>
      <c r="TZE3" s="98"/>
      <c r="TZF3" s="98"/>
      <c r="TZG3" s="98"/>
      <c r="TZH3" s="98"/>
      <c r="TZI3" s="98"/>
      <c r="TZJ3" s="98"/>
      <c r="TZK3" s="98"/>
      <c r="TZL3" s="98"/>
      <c r="TZM3" s="98"/>
      <c r="TZN3" s="98"/>
      <c r="TZO3" s="98"/>
      <c r="TZP3" s="98"/>
      <c r="TZQ3" s="98"/>
      <c r="TZR3" s="98"/>
      <c r="TZS3" s="98"/>
      <c r="TZT3" s="98"/>
      <c r="TZU3" s="98"/>
      <c r="TZV3" s="98"/>
      <c r="TZW3" s="98"/>
      <c r="TZX3" s="98"/>
      <c r="TZY3" s="98"/>
      <c r="TZZ3" s="98"/>
      <c r="UAA3" s="98"/>
      <c r="UAB3" s="98"/>
      <c r="UAC3" s="98"/>
      <c r="UAD3" s="98"/>
      <c r="UAE3" s="98"/>
      <c r="UAF3" s="98"/>
      <c r="UAG3" s="98"/>
      <c r="UAH3" s="98"/>
      <c r="UAI3" s="98"/>
      <c r="UAJ3" s="98"/>
      <c r="UAK3" s="98"/>
      <c r="UAL3" s="98"/>
      <c r="UAM3" s="98"/>
      <c r="UAN3" s="98"/>
      <c r="UAO3" s="98"/>
      <c r="UAP3" s="98"/>
      <c r="UAQ3" s="98"/>
      <c r="UAR3" s="98"/>
      <c r="UAS3" s="98"/>
      <c r="UAT3" s="98"/>
      <c r="UAU3" s="98"/>
      <c r="UAV3" s="98"/>
      <c r="UAW3" s="98"/>
      <c r="UAX3" s="98"/>
      <c r="UAY3" s="98"/>
      <c r="UAZ3" s="98"/>
      <c r="UBA3" s="98"/>
      <c r="UBB3" s="98"/>
      <c r="UBC3" s="98"/>
      <c r="UBD3" s="98"/>
      <c r="UBE3" s="98"/>
      <c r="UBF3" s="98"/>
      <c r="UBG3" s="98"/>
      <c r="UBH3" s="98"/>
      <c r="UBI3" s="98"/>
      <c r="UBJ3" s="98"/>
      <c r="UBK3" s="98"/>
      <c r="UBL3" s="98"/>
      <c r="UBM3" s="98"/>
      <c r="UBN3" s="98"/>
      <c r="UBO3" s="98"/>
      <c r="UBP3" s="98"/>
      <c r="UBQ3" s="98"/>
      <c r="UBR3" s="98"/>
      <c r="UBS3" s="98"/>
      <c r="UBT3" s="98"/>
      <c r="UBU3" s="98"/>
      <c r="UBV3" s="98"/>
      <c r="UBW3" s="98"/>
      <c r="UBX3" s="98"/>
      <c r="UBY3" s="98"/>
      <c r="UBZ3" s="98"/>
      <c r="UCA3" s="98"/>
      <c r="UCB3" s="98"/>
      <c r="UCC3" s="98"/>
      <c r="UCD3" s="98"/>
      <c r="UCE3" s="98"/>
      <c r="UCF3" s="98"/>
      <c r="UCG3" s="98"/>
      <c r="UCH3" s="98"/>
      <c r="UCI3" s="98"/>
      <c r="UCJ3" s="98"/>
      <c r="UCK3" s="98"/>
      <c r="UCL3" s="98"/>
      <c r="UCM3" s="98"/>
      <c r="UCN3" s="98"/>
      <c r="UCO3" s="98"/>
      <c r="UCP3" s="98"/>
      <c r="UCQ3" s="98"/>
      <c r="UCR3" s="98"/>
      <c r="UCS3" s="98"/>
      <c r="UCT3" s="98"/>
      <c r="UCU3" s="98"/>
      <c r="UCV3" s="98"/>
      <c r="UCW3" s="98"/>
      <c r="UCX3" s="98"/>
      <c r="UCY3" s="98"/>
      <c r="UCZ3" s="98"/>
      <c r="UDA3" s="98"/>
      <c r="UDB3" s="98"/>
      <c r="UDC3" s="98"/>
      <c r="UDD3" s="98"/>
      <c r="UDE3" s="98"/>
      <c r="UDF3" s="98"/>
      <c r="UDG3" s="98"/>
      <c r="UDH3" s="98"/>
      <c r="UDI3" s="98"/>
      <c r="UDJ3" s="98"/>
      <c r="UDK3" s="98"/>
      <c r="UDL3" s="98"/>
      <c r="UDM3" s="98"/>
      <c r="UDN3" s="98"/>
      <c r="UDO3" s="98"/>
      <c r="UDP3" s="98"/>
      <c r="UDQ3" s="98"/>
      <c r="UDR3" s="98"/>
      <c r="UDS3" s="98"/>
      <c r="UDT3" s="98"/>
      <c r="UDU3" s="98"/>
      <c r="UDV3" s="98"/>
      <c r="UDW3" s="98"/>
      <c r="UDX3" s="98"/>
      <c r="UDY3" s="98"/>
      <c r="UDZ3" s="98"/>
      <c r="UEA3" s="98"/>
      <c r="UEB3" s="98"/>
      <c r="UEC3" s="98"/>
      <c r="UED3" s="98"/>
      <c r="UEE3" s="98"/>
      <c r="UEF3" s="98"/>
      <c r="UEG3" s="98"/>
      <c r="UEH3" s="98"/>
      <c r="UEI3" s="98"/>
      <c r="UEJ3" s="98"/>
      <c r="UEK3" s="98"/>
      <c r="UEL3" s="98"/>
      <c r="UEM3" s="98"/>
      <c r="UEN3" s="98"/>
      <c r="UEO3" s="98"/>
      <c r="UEP3" s="98"/>
      <c r="UEQ3" s="98"/>
      <c r="UER3" s="98"/>
      <c r="UES3" s="98"/>
      <c r="UET3" s="98"/>
      <c r="UEU3" s="98"/>
      <c r="UEV3" s="98"/>
      <c r="UEW3" s="98"/>
      <c r="UEX3" s="98"/>
      <c r="UEY3" s="98"/>
      <c r="UEZ3" s="98"/>
      <c r="UFA3" s="98"/>
      <c r="UFB3" s="98"/>
      <c r="UFC3" s="98"/>
      <c r="UFD3" s="98"/>
      <c r="UFE3" s="98"/>
      <c r="UFF3" s="98"/>
      <c r="UFG3" s="98"/>
      <c r="UFH3" s="98"/>
      <c r="UFI3" s="98"/>
      <c r="UFJ3" s="98"/>
      <c r="UFK3" s="98"/>
      <c r="UFL3" s="98"/>
      <c r="UFM3" s="98"/>
      <c r="UFN3" s="98"/>
      <c r="UFO3" s="98"/>
      <c r="UFP3" s="98"/>
      <c r="UFQ3" s="98"/>
      <c r="UFR3" s="98"/>
      <c r="UFS3" s="98"/>
      <c r="UFT3" s="98"/>
      <c r="UFU3" s="98"/>
      <c r="UFV3" s="98"/>
      <c r="UFW3" s="98"/>
      <c r="UFX3" s="98"/>
      <c r="UFY3" s="98"/>
      <c r="UFZ3" s="98"/>
      <c r="UGA3" s="98"/>
      <c r="UGB3" s="98"/>
      <c r="UGC3" s="98"/>
      <c r="UGD3" s="98"/>
      <c r="UGE3" s="98"/>
      <c r="UGF3" s="98"/>
      <c r="UGG3" s="98"/>
      <c r="UGH3" s="98"/>
      <c r="UGI3" s="98"/>
      <c r="UGJ3" s="98"/>
      <c r="UGK3" s="98"/>
      <c r="UGL3" s="98"/>
      <c r="UGM3" s="98"/>
      <c r="UGN3" s="98"/>
      <c r="UGO3" s="98"/>
      <c r="UGP3" s="98"/>
      <c r="UGQ3" s="98"/>
      <c r="UGR3" s="98"/>
      <c r="UGS3" s="98"/>
      <c r="UGT3" s="98"/>
      <c r="UGU3" s="98"/>
      <c r="UGV3" s="98"/>
      <c r="UGW3" s="98"/>
      <c r="UGX3" s="98"/>
      <c r="UGY3" s="98"/>
      <c r="UGZ3" s="98"/>
      <c r="UHA3" s="98"/>
      <c r="UHB3" s="98"/>
      <c r="UHC3" s="98"/>
      <c r="UHD3" s="98"/>
      <c r="UHE3" s="98"/>
      <c r="UHF3" s="98"/>
      <c r="UHG3" s="98"/>
      <c r="UHH3" s="98"/>
      <c r="UHI3" s="98"/>
      <c r="UHJ3" s="98"/>
      <c r="UHK3" s="98"/>
      <c r="UHL3" s="98"/>
      <c r="UHM3" s="98"/>
      <c r="UHN3" s="98"/>
      <c r="UHO3" s="98"/>
      <c r="UHP3" s="98"/>
      <c r="UHQ3" s="98"/>
      <c r="UHR3" s="98"/>
      <c r="UHS3" s="98"/>
      <c r="UHT3" s="98"/>
      <c r="UHU3" s="98"/>
      <c r="UHV3" s="98"/>
      <c r="UHW3" s="98"/>
      <c r="UHX3" s="98"/>
      <c r="UHY3" s="98"/>
      <c r="UHZ3" s="98"/>
      <c r="UIA3" s="98"/>
      <c r="UIB3" s="98"/>
      <c r="UIC3" s="98"/>
      <c r="UID3" s="98"/>
      <c r="UIE3" s="98"/>
      <c r="UIF3" s="98"/>
      <c r="UIG3" s="98"/>
      <c r="UIH3" s="98"/>
      <c r="UII3" s="98"/>
      <c r="UIJ3" s="98"/>
      <c r="UIK3" s="98"/>
      <c r="UIL3" s="98"/>
      <c r="UIM3" s="98"/>
      <c r="UIN3" s="98"/>
      <c r="UIO3" s="98"/>
      <c r="UIP3" s="98"/>
      <c r="UIQ3" s="98"/>
      <c r="UIR3" s="98"/>
      <c r="UIS3" s="98"/>
      <c r="UIT3" s="98"/>
      <c r="UIU3" s="98"/>
      <c r="UIV3" s="98"/>
      <c r="UIW3" s="98"/>
      <c r="UIX3" s="98"/>
      <c r="UIY3" s="98"/>
      <c r="UIZ3" s="98"/>
      <c r="UJA3" s="98"/>
      <c r="UJB3" s="98"/>
      <c r="UJC3" s="98"/>
      <c r="UJD3" s="98"/>
      <c r="UJE3" s="98"/>
      <c r="UJF3" s="98"/>
      <c r="UJG3" s="98"/>
      <c r="UJH3" s="98"/>
      <c r="UJI3" s="98"/>
      <c r="UJJ3" s="98"/>
      <c r="UJK3" s="98"/>
      <c r="UJL3" s="98"/>
      <c r="UJM3" s="98"/>
      <c r="UJN3" s="98"/>
      <c r="UJO3" s="98"/>
      <c r="UJP3" s="98"/>
      <c r="UJQ3" s="98"/>
      <c r="UJR3" s="98"/>
      <c r="UJS3" s="98"/>
      <c r="UJT3" s="98"/>
      <c r="UJU3" s="98"/>
      <c r="UJV3" s="98"/>
      <c r="UJW3" s="98"/>
      <c r="UJX3" s="98"/>
      <c r="UJY3" s="98"/>
      <c r="UJZ3" s="98"/>
      <c r="UKA3" s="98"/>
      <c r="UKB3" s="98"/>
      <c r="UKC3" s="98"/>
      <c r="UKD3" s="98"/>
      <c r="UKE3" s="98"/>
      <c r="UKF3" s="98"/>
      <c r="UKG3" s="98"/>
      <c r="UKH3" s="98"/>
      <c r="UKI3" s="98"/>
      <c r="UKJ3" s="98"/>
      <c r="UKK3" s="98"/>
      <c r="UKL3" s="98"/>
      <c r="UKM3" s="98"/>
      <c r="UKN3" s="98"/>
      <c r="UKO3" s="98"/>
      <c r="UKP3" s="98"/>
      <c r="UKQ3" s="98"/>
      <c r="UKR3" s="98"/>
      <c r="UKS3" s="98"/>
      <c r="UKT3" s="98"/>
      <c r="UKU3" s="98"/>
      <c r="UKV3" s="98"/>
      <c r="UKW3" s="98"/>
      <c r="UKX3" s="98"/>
      <c r="UKY3" s="98"/>
      <c r="UKZ3" s="98"/>
      <c r="ULA3" s="98"/>
      <c r="ULB3" s="98"/>
      <c r="ULC3" s="98"/>
      <c r="ULD3" s="98"/>
      <c r="ULE3" s="98"/>
      <c r="ULF3" s="98"/>
      <c r="ULG3" s="98"/>
      <c r="ULH3" s="98"/>
      <c r="ULI3" s="98"/>
      <c r="ULJ3" s="98"/>
      <c r="ULK3" s="98"/>
      <c r="ULL3" s="98"/>
      <c r="ULM3" s="98"/>
      <c r="ULN3" s="98"/>
      <c r="ULO3" s="98"/>
      <c r="ULP3" s="98"/>
      <c r="ULQ3" s="98"/>
      <c r="ULR3" s="98"/>
      <c r="ULS3" s="98"/>
      <c r="ULT3" s="98"/>
      <c r="ULU3" s="98"/>
      <c r="ULV3" s="98"/>
      <c r="ULW3" s="98"/>
      <c r="ULX3" s="98"/>
      <c r="ULY3" s="98"/>
      <c r="ULZ3" s="98"/>
      <c r="UMA3" s="98"/>
      <c r="UMB3" s="98"/>
      <c r="UMC3" s="98"/>
      <c r="UMD3" s="98"/>
      <c r="UME3" s="98"/>
      <c r="UMF3" s="98"/>
      <c r="UMG3" s="98"/>
      <c r="UMH3" s="98"/>
      <c r="UMI3" s="98"/>
      <c r="UMJ3" s="98"/>
      <c r="UMK3" s="98"/>
      <c r="UML3" s="98"/>
      <c r="UMM3" s="98"/>
      <c r="UMN3" s="98"/>
      <c r="UMO3" s="98"/>
      <c r="UMP3" s="98"/>
      <c r="UMQ3" s="98"/>
      <c r="UMR3" s="98"/>
      <c r="UMS3" s="98"/>
      <c r="UMT3" s="98"/>
      <c r="UMU3" s="98"/>
      <c r="UMV3" s="98"/>
      <c r="UMW3" s="98"/>
      <c r="UMX3" s="98"/>
      <c r="UMY3" s="98"/>
      <c r="UMZ3" s="98"/>
      <c r="UNA3" s="98"/>
      <c r="UNB3" s="98"/>
      <c r="UNC3" s="98"/>
      <c r="UND3" s="98"/>
      <c r="UNE3" s="98"/>
      <c r="UNF3" s="98"/>
      <c r="UNG3" s="98"/>
      <c r="UNH3" s="98"/>
      <c r="UNI3" s="98"/>
      <c r="UNJ3" s="98"/>
      <c r="UNK3" s="98"/>
      <c r="UNL3" s="98"/>
      <c r="UNM3" s="98"/>
      <c r="UNN3" s="98"/>
      <c r="UNO3" s="98"/>
      <c r="UNP3" s="98"/>
      <c r="UNQ3" s="98"/>
      <c r="UNR3" s="98"/>
      <c r="UNS3" s="98"/>
      <c r="UNT3" s="98"/>
      <c r="UNU3" s="98"/>
      <c r="UNV3" s="98"/>
      <c r="UNW3" s="98"/>
      <c r="UNX3" s="98"/>
      <c r="UNY3" s="98"/>
      <c r="UNZ3" s="98"/>
      <c r="UOA3" s="98"/>
      <c r="UOB3" s="98"/>
      <c r="UOC3" s="98"/>
      <c r="UOD3" s="98"/>
      <c r="UOE3" s="98"/>
      <c r="UOF3" s="98"/>
      <c r="UOG3" s="98"/>
      <c r="UOH3" s="98"/>
      <c r="UOI3" s="98"/>
      <c r="UOJ3" s="98"/>
      <c r="UOK3" s="98"/>
      <c r="UOL3" s="98"/>
      <c r="UOM3" s="98"/>
      <c r="UON3" s="98"/>
      <c r="UOO3" s="98"/>
      <c r="UOP3" s="98"/>
      <c r="UOQ3" s="98"/>
      <c r="UOR3" s="98"/>
      <c r="UOS3" s="98"/>
      <c r="UOT3" s="98"/>
      <c r="UOU3" s="98"/>
      <c r="UOV3" s="98"/>
      <c r="UOW3" s="98"/>
      <c r="UOX3" s="98"/>
      <c r="UOY3" s="98"/>
      <c r="UOZ3" s="98"/>
      <c r="UPA3" s="98"/>
      <c r="UPB3" s="98"/>
      <c r="UPC3" s="98"/>
      <c r="UPD3" s="98"/>
      <c r="UPE3" s="98"/>
      <c r="UPF3" s="98"/>
      <c r="UPG3" s="98"/>
      <c r="UPH3" s="98"/>
      <c r="UPI3" s="98"/>
      <c r="UPJ3" s="98"/>
      <c r="UPK3" s="98"/>
      <c r="UPL3" s="98"/>
      <c r="UPM3" s="98"/>
      <c r="UPN3" s="98"/>
      <c r="UPO3" s="98"/>
      <c r="UPP3" s="98"/>
      <c r="UPQ3" s="98"/>
      <c r="UPR3" s="98"/>
      <c r="UPS3" s="98"/>
      <c r="UPT3" s="98"/>
      <c r="UPU3" s="98"/>
      <c r="UPV3" s="98"/>
      <c r="UPW3" s="98"/>
      <c r="UPX3" s="98"/>
      <c r="UPY3" s="98"/>
      <c r="UPZ3" s="98"/>
      <c r="UQA3" s="98"/>
      <c r="UQB3" s="98"/>
      <c r="UQC3" s="98"/>
      <c r="UQD3" s="98"/>
      <c r="UQE3" s="98"/>
      <c r="UQF3" s="98"/>
      <c r="UQG3" s="98"/>
      <c r="UQH3" s="98"/>
      <c r="UQI3" s="98"/>
      <c r="UQJ3" s="98"/>
      <c r="UQK3" s="98"/>
      <c r="UQL3" s="98"/>
      <c r="UQM3" s="98"/>
      <c r="UQN3" s="98"/>
      <c r="UQO3" s="98"/>
      <c r="UQP3" s="98"/>
      <c r="UQQ3" s="98"/>
      <c r="UQR3" s="98"/>
      <c r="UQS3" s="98"/>
      <c r="UQT3" s="98"/>
      <c r="UQU3" s="98"/>
      <c r="UQV3" s="98"/>
      <c r="UQW3" s="98"/>
      <c r="UQX3" s="98"/>
      <c r="UQY3" s="98"/>
      <c r="UQZ3" s="98"/>
      <c r="URA3" s="98"/>
      <c r="URB3" s="98"/>
      <c r="URC3" s="98"/>
      <c r="URD3" s="98"/>
      <c r="URE3" s="98"/>
      <c r="URF3" s="98"/>
      <c r="URG3" s="98"/>
      <c r="URH3" s="98"/>
      <c r="URI3" s="98"/>
      <c r="URJ3" s="98"/>
      <c r="URK3" s="98"/>
      <c r="URL3" s="98"/>
      <c r="URM3" s="98"/>
      <c r="URN3" s="98"/>
      <c r="URO3" s="98"/>
      <c r="URP3" s="98"/>
      <c r="URQ3" s="98"/>
      <c r="URR3" s="98"/>
      <c r="URS3" s="98"/>
      <c r="URT3" s="98"/>
      <c r="URU3" s="98"/>
      <c r="URV3" s="98"/>
      <c r="URW3" s="98"/>
      <c r="URX3" s="98"/>
      <c r="URY3" s="98"/>
      <c r="URZ3" s="98"/>
      <c r="USA3" s="98"/>
      <c r="USB3" s="98"/>
      <c r="USC3" s="98"/>
      <c r="USD3" s="98"/>
      <c r="USE3" s="98"/>
      <c r="USF3" s="98"/>
      <c r="USG3" s="98"/>
      <c r="USH3" s="98"/>
      <c r="USI3" s="98"/>
      <c r="USJ3" s="98"/>
      <c r="USK3" s="98"/>
      <c r="USL3" s="98"/>
      <c r="USM3" s="98"/>
      <c r="USN3" s="98"/>
      <c r="USO3" s="98"/>
      <c r="USP3" s="98"/>
      <c r="USQ3" s="98"/>
      <c r="USR3" s="98"/>
      <c r="USS3" s="98"/>
      <c r="UST3" s="98"/>
      <c r="USU3" s="98"/>
      <c r="USV3" s="98"/>
      <c r="USW3" s="98"/>
      <c r="USX3" s="98"/>
      <c r="USY3" s="98"/>
      <c r="USZ3" s="98"/>
      <c r="UTA3" s="98"/>
      <c r="UTB3" s="98"/>
      <c r="UTC3" s="98"/>
      <c r="UTD3" s="98"/>
      <c r="UTE3" s="98"/>
      <c r="UTF3" s="98"/>
      <c r="UTG3" s="98"/>
      <c r="UTH3" s="98"/>
      <c r="UTI3" s="98"/>
      <c r="UTJ3" s="98"/>
      <c r="UTK3" s="98"/>
      <c r="UTL3" s="98"/>
      <c r="UTM3" s="98"/>
      <c r="UTN3" s="98"/>
      <c r="UTO3" s="98"/>
      <c r="UTP3" s="98"/>
      <c r="UTQ3" s="98"/>
      <c r="UTR3" s="98"/>
      <c r="UTS3" s="98"/>
      <c r="UTT3" s="98"/>
      <c r="UTU3" s="98"/>
      <c r="UTV3" s="98"/>
      <c r="UTW3" s="98"/>
      <c r="UTX3" s="98"/>
      <c r="UTY3" s="98"/>
      <c r="UTZ3" s="98"/>
      <c r="UUA3" s="98"/>
      <c r="UUB3" s="98"/>
      <c r="UUC3" s="98"/>
      <c r="UUD3" s="98"/>
      <c r="UUE3" s="98"/>
      <c r="UUF3" s="98"/>
      <c r="UUG3" s="98"/>
      <c r="UUH3" s="98"/>
      <c r="UUI3" s="98"/>
      <c r="UUJ3" s="98"/>
      <c r="UUK3" s="98"/>
      <c r="UUL3" s="98"/>
      <c r="UUM3" s="98"/>
      <c r="UUN3" s="98"/>
      <c r="UUO3" s="98"/>
      <c r="UUP3" s="98"/>
      <c r="UUQ3" s="98"/>
      <c r="UUR3" s="98"/>
      <c r="UUS3" s="98"/>
      <c r="UUT3" s="98"/>
      <c r="UUU3" s="98"/>
      <c r="UUV3" s="98"/>
      <c r="UUW3" s="98"/>
      <c r="UUX3" s="98"/>
      <c r="UUY3" s="98"/>
      <c r="UUZ3" s="98"/>
      <c r="UVA3" s="98"/>
      <c r="UVB3" s="98"/>
      <c r="UVC3" s="98"/>
      <c r="UVD3" s="98"/>
      <c r="UVE3" s="98"/>
      <c r="UVF3" s="98"/>
      <c r="UVG3" s="98"/>
      <c r="UVH3" s="98"/>
      <c r="UVI3" s="98"/>
      <c r="UVJ3" s="98"/>
      <c r="UVK3" s="98"/>
      <c r="UVL3" s="98"/>
      <c r="UVM3" s="98"/>
      <c r="UVN3" s="98"/>
      <c r="UVO3" s="98"/>
      <c r="UVP3" s="98"/>
      <c r="UVQ3" s="98"/>
      <c r="UVR3" s="98"/>
      <c r="UVS3" s="98"/>
      <c r="UVT3" s="98"/>
      <c r="UVU3" s="98"/>
      <c r="UVV3" s="98"/>
      <c r="UVW3" s="98"/>
      <c r="UVX3" s="98"/>
      <c r="UVY3" s="98"/>
      <c r="UVZ3" s="98"/>
      <c r="UWA3" s="98"/>
      <c r="UWB3" s="98"/>
      <c r="UWC3" s="98"/>
      <c r="UWD3" s="98"/>
      <c r="UWE3" s="98"/>
      <c r="UWF3" s="98"/>
      <c r="UWG3" s="98"/>
      <c r="UWH3" s="98"/>
      <c r="UWI3" s="98"/>
      <c r="UWJ3" s="98"/>
      <c r="UWK3" s="98"/>
      <c r="UWL3" s="98"/>
      <c r="UWM3" s="98"/>
      <c r="UWN3" s="98"/>
      <c r="UWO3" s="98"/>
      <c r="UWP3" s="98"/>
      <c r="UWQ3" s="98"/>
      <c r="UWR3" s="98"/>
      <c r="UWS3" s="98"/>
      <c r="UWT3" s="98"/>
      <c r="UWU3" s="98"/>
      <c r="UWV3" s="98"/>
      <c r="UWW3" s="98"/>
      <c r="UWX3" s="98"/>
      <c r="UWY3" s="98"/>
      <c r="UWZ3" s="98"/>
      <c r="UXA3" s="98"/>
      <c r="UXB3" s="98"/>
      <c r="UXC3" s="98"/>
      <c r="UXD3" s="98"/>
      <c r="UXE3" s="98"/>
      <c r="UXF3" s="98"/>
      <c r="UXG3" s="98"/>
      <c r="UXH3" s="98"/>
      <c r="UXI3" s="98"/>
      <c r="UXJ3" s="98"/>
      <c r="UXK3" s="98"/>
      <c r="UXL3" s="98"/>
      <c r="UXM3" s="98"/>
      <c r="UXN3" s="98"/>
      <c r="UXO3" s="98"/>
      <c r="UXP3" s="98"/>
      <c r="UXQ3" s="98"/>
      <c r="UXR3" s="98"/>
      <c r="UXS3" s="98"/>
      <c r="UXT3" s="98"/>
      <c r="UXU3" s="98"/>
      <c r="UXV3" s="98"/>
      <c r="UXW3" s="98"/>
      <c r="UXX3" s="98"/>
      <c r="UXY3" s="98"/>
      <c r="UXZ3" s="98"/>
      <c r="UYA3" s="98"/>
      <c r="UYB3" s="98"/>
      <c r="UYC3" s="98"/>
      <c r="UYD3" s="98"/>
      <c r="UYE3" s="98"/>
      <c r="UYF3" s="98"/>
      <c r="UYG3" s="98"/>
      <c r="UYH3" s="98"/>
      <c r="UYI3" s="98"/>
      <c r="UYJ3" s="98"/>
      <c r="UYK3" s="98"/>
      <c r="UYL3" s="98"/>
      <c r="UYM3" s="98"/>
      <c r="UYN3" s="98"/>
      <c r="UYO3" s="98"/>
      <c r="UYP3" s="98"/>
      <c r="UYQ3" s="98"/>
      <c r="UYR3" s="98"/>
      <c r="UYS3" s="98"/>
      <c r="UYT3" s="98"/>
      <c r="UYU3" s="98"/>
      <c r="UYV3" s="98"/>
      <c r="UYW3" s="98"/>
      <c r="UYX3" s="98"/>
      <c r="UYY3" s="98"/>
      <c r="UYZ3" s="98"/>
      <c r="UZA3" s="98"/>
      <c r="UZB3" s="98"/>
      <c r="UZC3" s="98"/>
      <c r="UZD3" s="98"/>
      <c r="UZE3" s="98"/>
      <c r="UZF3" s="98"/>
      <c r="UZG3" s="98"/>
      <c r="UZH3" s="98"/>
      <c r="UZI3" s="98"/>
      <c r="UZJ3" s="98"/>
      <c r="UZK3" s="98"/>
      <c r="UZL3" s="98"/>
      <c r="UZM3" s="98"/>
      <c r="UZN3" s="98"/>
      <c r="UZO3" s="98"/>
      <c r="UZP3" s="98"/>
      <c r="UZQ3" s="98"/>
      <c r="UZR3" s="98"/>
      <c r="UZS3" s="98"/>
      <c r="UZT3" s="98"/>
      <c r="UZU3" s="98"/>
      <c r="UZV3" s="98"/>
      <c r="UZW3" s="98"/>
      <c r="UZX3" s="98"/>
      <c r="UZY3" s="98"/>
      <c r="UZZ3" s="98"/>
      <c r="VAA3" s="98"/>
      <c r="VAB3" s="98"/>
      <c r="VAC3" s="98"/>
      <c r="VAD3" s="98"/>
      <c r="VAE3" s="98"/>
      <c r="VAF3" s="98"/>
      <c r="VAG3" s="98"/>
      <c r="VAH3" s="98"/>
      <c r="VAI3" s="98"/>
      <c r="VAJ3" s="98"/>
      <c r="VAK3" s="98"/>
      <c r="VAL3" s="98"/>
      <c r="VAM3" s="98"/>
      <c r="VAN3" s="98"/>
      <c r="VAO3" s="98"/>
      <c r="VAP3" s="98"/>
      <c r="VAQ3" s="98"/>
      <c r="VAR3" s="98"/>
      <c r="VAS3" s="98"/>
      <c r="VAT3" s="98"/>
      <c r="VAU3" s="98"/>
      <c r="VAV3" s="98"/>
      <c r="VAW3" s="98"/>
      <c r="VAX3" s="98"/>
      <c r="VAY3" s="98"/>
      <c r="VAZ3" s="98"/>
      <c r="VBA3" s="98"/>
      <c r="VBB3" s="98"/>
      <c r="VBC3" s="98"/>
      <c r="VBD3" s="98"/>
      <c r="VBE3" s="98"/>
      <c r="VBF3" s="98"/>
      <c r="VBG3" s="98"/>
      <c r="VBH3" s="98"/>
      <c r="VBI3" s="98"/>
      <c r="VBJ3" s="98"/>
      <c r="VBK3" s="98"/>
      <c r="VBL3" s="98"/>
      <c r="VBM3" s="98"/>
      <c r="VBN3" s="98"/>
      <c r="VBO3" s="98"/>
      <c r="VBP3" s="98"/>
      <c r="VBQ3" s="98"/>
      <c r="VBR3" s="98"/>
      <c r="VBS3" s="98"/>
      <c r="VBT3" s="98"/>
      <c r="VBU3" s="98"/>
      <c r="VBV3" s="98"/>
      <c r="VBW3" s="98"/>
      <c r="VBX3" s="98"/>
      <c r="VBY3" s="98"/>
      <c r="VBZ3" s="98"/>
      <c r="VCA3" s="98"/>
      <c r="VCB3" s="98"/>
      <c r="VCC3" s="98"/>
      <c r="VCD3" s="98"/>
      <c r="VCE3" s="98"/>
      <c r="VCF3" s="98"/>
      <c r="VCG3" s="98"/>
      <c r="VCH3" s="98"/>
      <c r="VCI3" s="98"/>
      <c r="VCJ3" s="98"/>
      <c r="VCK3" s="98"/>
      <c r="VCL3" s="98"/>
      <c r="VCM3" s="98"/>
      <c r="VCN3" s="98"/>
      <c r="VCO3" s="98"/>
      <c r="VCP3" s="98"/>
      <c r="VCQ3" s="98"/>
      <c r="VCR3" s="98"/>
      <c r="VCS3" s="98"/>
      <c r="VCT3" s="98"/>
      <c r="VCU3" s="98"/>
      <c r="VCV3" s="98"/>
      <c r="VCW3" s="98"/>
      <c r="VCX3" s="98"/>
      <c r="VCY3" s="98"/>
      <c r="VCZ3" s="98"/>
      <c r="VDA3" s="98"/>
      <c r="VDB3" s="98"/>
      <c r="VDC3" s="98"/>
      <c r="VDD3" s="98"/>
      <c r="VDE3" s="98"/>
      <c r="VDF3" s="98"/>
      <c r="VDG3" s="98"/>
      <c r="VDH3" s="98"/>
      <c r="VDI3" s="98"/>
      <c r="VDJ3" s="98"/>
      <c r="VDK3" s="98"/>
      <c r="VDL3" s="98"/>
      <c r="VDM3" s="98"/>
      <c r="VDN3" s="98"/>
      <c r="VDO3" s="98"/>
      <c r="VDP3" s="98"/>
      <c r="VDQ3" s="98"/>
      <c r="VDR3" s="98"/>
      <c r="VDS3" s="98"/>
      <c r="VDT3" s="98"/>
      <c r="VDU3" s="98"/>
      <c r="VDV3" s="98"/>
      <c r="VDW3" s="98"/>
      <c r="VDX3" s="98"/>
      <c r="VDY3" s="98"/>
      <c r="VDZ3" s="98"/>
      <c r="VEA3" s="98"/>
      <c r="VEB3" s="98"/>
      <c r="VEC3" s="98"/>
      <c r="VED3" s="98"/>
      <c r="VEE3" s="98"/>
      <c r="VEF3" s="98"/>
      <c r="VEG3" s="98"/>
      <c r="VEH3" s="98"/>
      <c r="VEI3" s="98"/>
      <c r="VEJ3" s="98"/>
      <c r="VEK3" s="98"/>
      <c r="VEL3" s="98"/>
      <c r="VEM3" s="98"/>
      <c r="VEN3" s="98"/>
      <c r="VEO3" s="98"/>
      <c r="VEP3" s="98"/>
      <c r="VEQ3" s="98"/>
      <c r="VER3" s="98"/>
      <c r="VES3" s="98"/>
      <c r="VET3" s="98"/>
      <c r="VEU3" s="98"/>
      <c r="VEV3" s="98"/>
      <c r="VEW3" s="98"/>
      <c r="VEX3" s="98"/>
      <c r="VEY3" s="98"/>
      <c r="VEZ3" s="98"/>
      <c r="VFA3" s="98"/>
      <c r="VFB3" s="98"/>
      <c r="VFC3" s="98"/>
      <c r="VFD3" s="98"/>
      <c r="VFE3" s="98"/>
      <c r="VFF3" s="98"/>
      <c r="VFG3" s="98"/>
      <c r="VFH3" s="98"/>
      <c r="VFI3" s="98"/>
      <c r="VFJ3" s="98"/>
      <c r="VFK3" s="98"/>
      <c r="VFL3" s="98"/>
      <c r="VFM3" s="98"/>
      <c r="VFN3" s="98"/>
      <c r="VFO3" s="98"/>
      <c r="VFP3" s="98"/>
      <c r="VFQ3" s="98"/>
      <c r="VFR3" s="98"/>
      <c r="VFS3" s="98"/>
      <c r="VFT3" s="98"/>
      <c r="VFU3" s="98"/>
      <c r="VFV3" s="98"/>
      <c r="VFW3" s="98"/>
      <c r="VFX3" s="98"/>
      <c r="VFY3" s="98"/>
      <c r="VFZ3" s="98"/>
      <c r="VGA3" s="98"/>
      <c r="VGB3" s="98"/>
      <c r="VGC3" s="98"/>
      <c r="VGD3" s="98"/>
      <c r="VGE3" s="98"/>
      <c r="VGF3" s="98"/>
      <c r="VGG3" s="98"/>
      <c r="VGH3" s="98"/>
      <c r="VGI3" s="98"/>
      <c r="VGJ3" s="98"/>
      <c r="VGK3" s="98"/>
      <c r="VGL3" s="98"/>
      <c r="VGM3" s="98"/>
      <c r="VGN3" s="98"/>
      <c r="VGO3" s="98"/>
      <c r="VGP3" s="98"/>
      <c r="VGQ3" s="98"/>
      <c r="VGR3" s="98"/>
      <c r="VGS3" s="98"/>
      <c r="VGT3" s="98"/>
      <c r="VGU3" s="98"/>
      <c r="VGV3" s="98"/>
      <c r="VGW3" s="98"/>
      <c r="VGX3" s="98"/>
      <c r="VGY3" s="98"/>
      <c r="VGZ3" s="98"/>
      <c r="VHA3" s="98"/>
      <c r="VHB3" s="98"/>
      <c r="VHC3" s="98"/>
      <c r="VHD3" s="98"/>
      <c r="VHE3" s="98"/>
      <c r="VHF3" s="98"/>
      <c r="VHG3" s="98"/>
      <c r="VHH3" s="98"/>
      <c r="VHI3" s="98"/>
      <c r="VHJ3" s="98"/>
      <c r="VHK3" s="98"/>
      <c r="VHL3" s="98"/>
      <c r="VHM3" s="98"/>
      <c r="VHN3" s="98"/>
      <c r="VHO3" s="98"/>
      <c r="VHP3" s="98"/>
      <c r="VHQ3" s="98"/>
      <c r="VHR3" s="98"/>
      <c r="VHS3" s="98"/>
      <c r="VHT3" s="98"/>
      <c r="VHU3" s="98"/>
      <c r="VHV3" s="98"/>
      <c r="VHW3" s="98"/>
      <c r="VHX3" s="98"/>
      <c r="VHY3" s="98"/>
      <c r="VHZ3" s="98"/>
      <c r="VIA3" s="98"/>
      <c r="VIB3" s="98"/>
      <c r="VIC3" s="98"/>
      <c r="VID3" s="98"/>
      <c r="VIE3" s="98"/>
      <c r="VIF3" s="98"/>
      <c r="VIG3" s="98"/>
      <c r="VIH3" s="98"/>
      <c r="VII3" s="98"/>
      <c r="VIJ3" s="98"/>
      <c r="VIK3" s="98"/>
      <c r="VIL3" s="98"/>
      <c r="VIM3" s="98"/>
      <c r="VIN3" s="98"/>
      <c r="VIO3" s="98"/>
      <c r="VIP3" s="98"/>
      <c r="VIQ3" s="98"/>
      <c r="VIR3" s="98"/>
      <c r="VIS3" s="98"/>
      <c r="VIT3" s="98"/>
      <c r="VIU3" s="98"/>
      <c r="VIV3" s="98"/>
      <c r="VIW3" s="98"/>
      <c r="VIX3" s="98"/>
      <c r="VIY3" s="98"/>
      <c r="VIZ3" s="98"/>
      <c r="VJA3" s="98"/>
      <c r="VJB3" s="98"/>
      <c r="VJC3" s="98"/>
      <c r="VJD3" s="98"/>
      <c r="VJE3" s="98"/>
      <c r="VJF3" s="98"/>
      <c r="VJG3" s="98"/>
      <c r="VJH3" s="98"/>
      <c r="VJI3" s="98"/>
      <c r="VJJ3" s="98"/>
      <c r="VJK3" s="98"/>
      <c r="VJL3" s="98"/>
      <c r="VJM3" s="98"/>
      <c r="VJN3" s="98"/>
      <c r="VJO3" s="98"/>
      <c r="VJP3" s="98"/>
      <c r="VJQ3" s="98"/>
      <c r="VJR3" s="98"/>
      <c r="VJS3" s="98"/>
      <c r="VJT3" s="98"/>
      <c r="VJU3" s="98"/>
      <c r="VJV3" s="98"/>
      <c r="VJW3" s="98"/>
      <c r="VJX3" s="98"/>
      <c r="VJY3" s="98"/>
      <c r="VJZ3" s="98"/>
      <c r="VKA3" s="98"/>
      <c r="VKB3" s="98"/>
      <c r="VKC3" s="98"/>
      <c r="VKD3" s="98"/>
      <c r="VKE3" s="98"/>
      <c r="VKF3" s="98"/>
      <c r="VKG3" s="98"/>
      <c r="VKH3" s="98"/>
      <c r="VKI3" s="98"/>
      <c r="VKJ3" s="98"/>
      <c r="VKK3" s="98"/>
      <c r="VKL3" s="98"/>
      <c r="VKM3" s="98"/>
      <c r="VKN3" s="98"/>
      <c r="VKO3" s="98"/>
      <c r="VKP3" s="98"/>
      <c r="VKQ3" s="98"/>
      <c r="VKR3" s="98"/>
      <c r="VKS3" s="98"/>
      <c r="VKT3" s="98"/>
      <c r="VKU3" s="98"/>
      <c r="VKV3" s="98"/>
      <c r="VKW3" s="98"/>
      <c r="VKX3" s="98"/>
      <c r="VKY3" s="98"/>
      <c r="VKZ3" s="98"/>
      <c r="VLA3" s="98"/>
      <c r="VLB3" s="98"/>
      <c r="VLC3" s="98"/>
      <c r="VLD3" s="98"/>
      <c r="VLE3" s="98"/>
      <c r="VLF3" s="98"/>
      <c r="VLG3" s="98"/>
      <c r="VLH3" s="98"/>
      <c r="VLI3" s="98"/>
      <c r="VLJ3" s="98"/>
      <c r="VLK3" s="98"/>
      <c r="VLL3" s="98"/>
      <c r="VLM3" s="98"/>
      <c r="VLN3" s="98"/>
      <c r="VLO3" s="98"/>
      <c r="VLP3" s="98"/>
      <c r="VLQ3" s="98"/>
      <c r="VLR3" s="98"/>
      <c r="VLS3" s="98"/>
      <c r="VLT3" s="98"/>
      <c r="VLU3" s="98"/>
      <c r="VLV3" s="98"/>
      <c r="VLW3" s="98"/>
      <c r="VLX3" s="98"/>
      <c r="VLY3" s="98"/>
      <c r="VLZ3" s="98"/>
      <c r="VMA3" s="98"/>
      <c r="VMB3" s="98"/>
      <c r="VMC3" s="98"/>
      <c r="VMD3" s="98"/>
      <c r="VME3" s="98"/>
      <c r="VMF3" s="98"/>
      <c r="VMG3" s="98"/>
      <c r="VMH3" s="98"/>
      <c r="VMI3" s="98"/>
      <c r="VMJ3" s="98"/>
      <c r="VMK3" s="98"/>
      <c r="VML3" s="98"/>
      <c r="VMM3" s="98"/>
      <c r="VMN3" s="98"/>
      <c r="VMO3" s="98"/>
      <c r="VMP3" s="98"/>
      <c r="VMQ3" s="98"/>
      <c r="VMR3" s="98"/>
      <c r="VMS3" s="98"/>
      <c r="VMT3" s="98"/>
      <c r="VMU3" s="98"/>
      <c r="VMV3" s="98"/>
      <c r="VMW3" s="98"/>
      <c r="VMX3" s="98"/>
      <c r="VMY3" s="98"/>
      <c r="VMZ3" s="98"/>
      <c r="VNA3" s="98"/>
      <c r="VNB3" s="98"/>
      <c r="VNC3" s="98"/>
      <c r="VND3" s="98"/>
      <c r="VNE3" s="98"/>
      <c r="VNF3" s="98"/>
      <c r="VNG3" s="98"/>
      <c r="VNH3" s="98"/>
      <c r="VNI3" s="98"/>
      <c r="VNJ3" s="98"/>
      <c r="VNK3" s="98"/>
      <c r="VNL3" s="98"/>
      <c r="VNM3" s="98"/>
      <c r="VNN3" s="98"/>
      <c r="VNO3" s="98"/>
      <c r="VNP3" s="98"/>
      <c r="VNQ3" s="98"/>
      <c r="VNR3" s="98"/>
      <c r="VNS3" s="98"/>
      <c r="VNT3" s="98"/>
      <c r="VNU3" s="98"/>
      <c r="VNV3" s="98"/>
      <c r="VNW3" s="98"/>
      <c r="VNX3" s="98"/>
      <c r="VNY3" s="98"/>
      <c r="VNZ3" s="98"/>
      <c r="VOA3" s="98"/>
      <c r="VOB3" s="98"/>
      <c r="VOC3" s="98"/>
      <c r="VOD3" s="98"/>
      <c r="VOE3" s="98"/>
      <c r="VOF3" s="98"/>
      <c r="VOG3" s="98"/>
      <c r="VOH3" s="98"/>
      <c r="VOI3" s="98"/>
      <c r="VOJ3" s="98"/>
      <c r="VOK3" s="98"/>
      <c r="VOL3" s="98"/>
      <c r="VOM3" s="98"/>
      <c r="VON3" s="98"/>
      <c r="VOO3" s="98"/>
      <c r="VOP3" s="98"/>
      <c r="VOQ3" s="98"/>
      <c r="VOR3" s="98"/>
      <c r="VOS3" s="98"/>
      <c r="VOT3" s="98"/>
      <c r="VOU3" s="98"/>
      <c r="VOV3" s="98"/>
      <c r="VOW3" s="98"/>
      <c r="VOX3" s="98"/>
      <c r="VOY3" s="98"/>
      <c r="VOZ3" s="98"/>
      <c r="VPA3" s="98"/>
      <c r="VPB3" s="98"/>
      <c r="VPC3" s="98"/>
      <c r="VPD3" s="98"/>
      <c r="VPE3" s="98"/>
      <c r="VPF3" s="98"/>
      <c r="VPG3" s="98"/>
      <c r="VPH3" s="98"/>
      <c r="VPI3" s="98"/>
      <c r="VPJ3" s="98"/>
      <c r="VPK3" s="98"/>
      <c r="VPL3" s="98"/>
      <c r="VPM3" s="98"/>
      <c r="VPN3" s="98"/>
      <c r="VPO3" s="98"/>
      <c r="VPP3" s="98"/>
      <c r="VPQ3" s="98"/>
      <c r="VPR3" s="98"/>
      <c r="VPS3" s="98"/>
      <c r="VPT3" s="98"/>
      <c r="VPU3" s="98"/>
      <c r="VPV3" s="98"/>
      <c r="VPW3" s="98"/>
      <c r="VPX3" s="98"/>
      <c r="VPY3" s="98"/>
      <c r="VPZ3" s="98"/>
      <c r="VQA3" s="98"/>
      <c r="VQB3" s="98"/>
      <c r="VQC3" s="98"/>
      <c r="VQD3" s="98"/>
      <c r="VQE3" s="98"/>
      <c r="VQF3" s="98"/>
      <c r="VQG3" s="98"/>
      <c r="VQH3" s="98"/>
      <c r="VQI3" s="98"/>
      <c r="VQJ3" s="98"/>
      <c r="VQK3" s="98"/>
      <c r="VQL3" s="98"/>
      <c r="VQM3" s="98"/>
      <c r="VQN3" s="98"/>
      <c r="VQO3" s="98"/>
      <c r="VQP3" s="98"/>
      <c r="VQQ3" s="98"/>
      <c r="VQR3" s="98"/>
      <c r="VQS3" s="98"/>
      <c r="VQT3" s="98"/>
      <c r="VQU3" s="98"/>
      <c r="VQV3" s="98"/>
      <c r="VQW3" s="98"/>
      <c r="VQX3" s="98"/>
      <c r="VQY3" s="98"/>
      <c r="VQZ3" s="98"/>
      <c r="VRA3" s="98"/>
      <c r="VRB3" s="98"/>
      <c r="VRC3" s="98"/>
      <c r="VRD3" s="98"/>
      <c r="VRE3" s="98"/>
      <c r="VRF3" s="98"/>
      <c r="VRG3" s="98"/>
      <c r="VRH3" s="98"/>
      <c r="VRI3" s="98"/>
      <c r="VRJ3" s="98"/>
      <c r="VRK3" s="98"/>
      <c r="VRL3" s="98"/>
      <c r="VRM3" s="98"/>
      <c r="VRN3" s="98"/>
      <c r="VRO3" s="98"/>
      <c r="VRP3" s="98"/>
      <c r="VRQ3" s="98"/>
      <c r="VRR3" s="98"/>
      <c r="VRS3" s="98"/>
      <c r="VRT3" s="98"/>
      <c r="VRU3" s="98"/>
      <c r="VRV3" s="98"/>
      <c r="VRW3" s="98"/>
      <c r="VRX3" s="98"/>
      <c r="VRY3" s="98"/>
      <c r="VRZ3" s="98"/>
      <c r="VSA3" s="98"/>
      <c r="VSB3" s="98"/>
      <c r="VSC3" s="98"/>
      <c r="VSD3" s="98"/>
      <c r="VSE3" s="98"/>
      <c r="VSF3" s="98"/>
      <c r="VSG3" s="98"/>
      <c r="VSH3" s="98"/>
      <c r="VSI3" s="98"/>
      <c r="VSJ3" s="98"/>
      <c r="VSK3" s="98"/>
      <c r="VSL3" s="98"/>
      <c r="VSM3" s="98"/>
      <c r="VSN3" s="98"/>
      <c r="VSO3" s="98"/>
      <c r="VSP3" s="98"/>
      <c r="VSQ3" s="98"/>
      <c r="VSR3" s="98"/>
      <c r="VSS3" s="98"/>
      <c r="VST3" s="98"/>
      <c r="VSU3" s="98"/>
      <c r="VSV3" s="98"/>
      <c r="VSW3" s="98"/>
      <c r="VSX3" s="98"/>
      <c r="VSY3" s="98"/>
      <c r="VSZ3" s="98"/>
      <c r="VTA3" s="98"/>
      <c r="VTB3" s="98"/>
      <c r="VTC3" s="98"/>
      <c r="VTD3" s="98"/>
      <c r="VTE3" s="98"/>
      <c r="VTF3" s="98"/>
      <c r="VTG3" s="98"/>
      <c r="VTH3" s="98"/>
      <c r="VTI3" s="98"/>
      <c r="VTJ3" s="98"/>
      <c r="VTK3" s="98"/>
      <c r="VTL3" s="98"/>
      <c r="VTM3" s="98"/>
      <c r="VTN3" s="98"/>
      <c r="VTO3" s="98"/>
      <c r="VTP3" s="98"/>
      <c r="VTQ3" s="98"/>
      <c r="VTR3" s="98"/>
      <c r="VTS3" s="98"/>
      <c r="VTT3" s="98"/>
      <c r="VTU3" s="98"/>
      <c r="VTV3" s="98"/>
      <c r="VTW3" s="98"/>
      <c r="VTX3" s="98"/>
      <c r="VTY3" s="98"/>
      <c r="VTZ3" s="98"/>
      <c r="VUA3" s="98"/>
      <c r="VUB3" s="98"/>
      <c r="VUC3" s="98"/>
      <c r="VUD3" s="98"/>
      <c r="VUE3" s="98"/>
      <c r="VUF3" s="98"/>
      <c r="VUG3" s="98"/>
      <c r="VUH3" s="98"/>
      <c r="VUI3" s="98"/>
      <c r="VUJ3" s="98"/>
      <c r="VUK3" s="98"/>
      <c r="VUL3" s="98"/>
      <c r="VUM3" s="98"/>
      <c r="VUN3" s="98"/>
      <c r="VUO3" s="98"/>
      <c r="VUP3" s="98"/>
      <c r="VUQ3" s="98"/>
      <c r="VUR3" s="98"/>
      <c r="VUS3" s="98"/>
      <c r="VUT3" s="98"/>
      <c r="VUU3" s="98"/>
      <c r="VUV3" s="98"/>
      <c r="VUW3" s="98"/>
      <c r="VUX3" s="98"/>
      <c r="VUY3" s="98"/>
      <c r="VUZ3" s="98"/>
      <c r="VVA3" s="98"/>
      <c r="VVB3" s="98"/>
      <c r="VVC3" s="98"/>
      <c r="VVD3" s="98"/>
      <c r="VVE3" s="98"/>
      <c r="VVF3" s="98"/>
      <c r="VVG3" s="98"/>
      <c r="VVH3" s="98"/>
      <c r="VVI3" s="98"/>
      <c r="VVJ3" s="98"/>
      <c r="VVK3" s="98"/>
      <c r="VVL3" s="98"/>
      <c r="VVM3" s="98"/>
      <c r="VVN3" s="98"/>
      <c r="VVO3" s="98"/>
      <c r="VVP3" s="98"/>
      <c r="VVQ3" s="98"/>
      <c r="VVR3" s="98"/>
      <c r="VVS3" s="98"/>
      <c r="VVT3" s="98"/>
      <c r="VVU3" s="98"/>
      <c r="VVV3" s="98"/>
      <c r="VVW3" s="98"/>
      <c r="VVX3" s="98"/>
      <c r="VVY3" s="98"/>
      <c r="VVZ3" s="98"/>
      <c r="VWA3" s="98"/>
      <c r="VWB3" s="98"/>
      <c r="VWC3" s="98"/>
      <c r="VWD3" s="98"/>
      <c r="VWE3" s="98"/>
      <c r="VWF3" s="98"/>
      <c r="VWG3" s="98"/>
      <c r="VWH3" s="98"/>
      <c r="VWI3" s="98"/>
      <c r="VWJ3" s="98"/>
      <c r="VWK3" s="98"/>
      <c r="VWL3" s="98"/>
      <c r="VWM3" s="98"/>
      <c r="VWN3" s="98"/>
      <c r="VWO3" s="98"/>
      <c r="VWP3" s="98"/>
      <c r="VWQ3" s="98"/>
      <c r="VWR3" s="98"/>
      <c r="VWS3" s="98"/>
      <c r="VWT3" s="98"/>
      <c r="VWU3" s="98"/>
      <c r="VWV3" s="98"/>
      <c r="VWW3" s="98"/>
      <c r="VWX3" s="98"/>
      <c r="VWY3" s="98"/>
      <c r="VWZ3" s="98"/>
      <c r="VXA3" s="98"/>
      <c r="VXB3" s="98"/>
      <c r="VXC3" s="98"/>
      <c r="VXD3" s="98"/>
      <c r="VXE3" s="98"/>
      <c r="VXF3" s="98"/>
      <c r="VXG3" s="98"/>
      <c r="VXH3" s="98"/>
      <c r="VXI3" s="98"/>
      <c r="VXJ3" s="98"/>
      <c r="VXK3" s="98"/>
      <c r="VXL3" s="98"/>
      <c r="VXM3" s="98"/>
      <c r="VXN3" s="98"/>
      <c r="VXO3" s="98"/>
      <c r="VXP3" s="98"/>
      <c r="VXQ3" s="98"/>
      <c r="VXR3" s="98"/>
      <c r="VXS3" s="98"/>
      <c r="VXT3" s="98"/>
      <c r="VXU3" s="98"/>
      <c r="VXV3" s="98"/>
      <c r="VXW3" s="98"/>
      <c r="VXX3" s="98"/>
      <c r="VXY3" s="98"/>
      <c r="VXZ3" s="98"/>
      <c r="VYA3" s="98"/>
      <c r="VYB3" s="98"/>
      <c r="VYC3" s="98"/>
      <c r="VYD3" s="98"/>
      <c r="VYE3" s="98"/>
      <c r="VYF3" s="98"/>
      <c r="VYG3" s="98"/>
      <c r="VYH3" s="98"/>
      <c r="VYI3" s="98"/>
      <c r="VYJ3" s="98"/>
      <c r="VYK3" s="98"/>
      <c r="VYL3" s="98"/>
      <c r="VYM3" s="98"/>
      <c r="VYN3" s="98"/>
      <c r="VYO3" s="98"/>
      <c r="VYP3" s="98"/>
      <c r="VYQ3" s="98"/>
      <c r="VYR3" s="98"/>
      <c r="VYS3" s="98"/>
      <c r="VYT3" s="98"/>
      <c r="VYU3" s="98"/>
      <c r="VYV3" s="98"/>
      <c r="VYW3" s="98"/>
      <c r="VYX3" s="98"/>
      <c r="VYY3" s="98"/>
      <c r="VYZ3" s="98"/>
      <c r="VZA3" s="98"/>
      <c r="VZB3" s="98"/>
      <c r="VZC3" s="98"/>
      <c r="VZD3" s="98"/>
      <c r="VZE3" s="98"/>
      <c r="VZF3" s="98"/>
      <c r="VZG3" s="98"/>
      <c r="VZH3" s="98"/>
      <c r="VZI3" s="98"/>
      <c r="VZJ3" s="98"/>
      <c r="VZK3" s="98"/>
      <c r="VZL3" s="98"/>
      <c r="VZM3" s="98"/>
      <c r="VZN3" s="98"/>
      <c r="VZO3" s="98"/>
      <c r="VZP3" s="98"/>
      <c r="VZQ3" s="98"/>
      <c r="VZR3" s="98"/>
      <c r="VZS3" s="98"/>
      <c r="VZT3" s="98"/>
      <c r="VZU3" s="98"/>
      <c r="VZV3" s="98"/>
      <c r="VZW3" s="98"/>
      <c r="VZX3" s="98"/>
      <c r="VZY3" s="98"/>
      <c r="VZZ3" s="98"/>
      <c r="WAA3" s="98"/>
      <c r="WAB3" s="98"/>
      <c r="WAC3" s="98"/>
      <c r="WAD3" s="98"/>
      <c r="WAE3" s="98"/>
      <c r="WAF3" s="98"/>
      <c r="WAG3" s="98"/>
      <c r="WAH3" s="98"/>
      <c r="WAI3" s="98"/>
      <c r="WAJ3" s="98"/>
      <c r="WAK3" s="98"/>
      <c r="WAL3" s="98"/>
      <c r="WAM3" s="98"/>
      <c r="WAN3" s="98"/>
      <c r="WAO3" s="98"/>
      <c r="WAP3" s="98"/>
      <c r="WAQ3" s="98"/>
      <c r="WAR3" s="98"/>
      <c r="WAS3" s="98"/>
      <c r="WAT3" s="98"/>
      <c r="WAU3" s="98"/>
      <c r="WAV3" s="98"/>
      <c r="WAW3" s="98"/>
      <c r="WAX3" s="98"/>
      <c r="WAY3" s="98"/>
      <c r="WAZ3" s="98"/>
      <c r="WBA3" s="98"/>
      <c r="WBB3" s="98"/>
      <c r="WBC3" s="98"/>
      <c r="WBD3" s="98"/>
      <c r="WBE3" s="98"/>
      <c r="WBF3" s="98"/>
      <c r="WBG3" s="98"/>
      <c r="WBH3" s="98"/>
      <c r="WBI3" s="98"/>
      <c r="WBJ3" s="98"/>
      <c r="WBK3" s="98"/>
      <c r="WBL3" s="98"/>
      <c r="WBM3" s="98"/>
      <c r="WBN3" s="98"/>
      <c r="WBO3" s="98"/>
      <c r="WBP3" s="98"/>
      <c r="WBQ3" s="98"/>
      <c r="WBR3" s="98"/>
      <c r="WBS3" s="98"/>
      <c r="WBT3" s="98"/>
      <c r="WBU3" s="98"/>
      <c r="WBV3" s="98"/>
      <c r="WBW3" s="98"/>
      <c r="WBX3" s="98"/>
      <c r="WBY3" s="98"/>
      <c r="WBZ3" s="98"/>
      <c r="WCA3" s="98"/>
      <c r="WCB3" s="98"/>
      <c r="WCC3" s="98"/>
      <c r="WCD3" s="98"/>
      <c r="WCE3" s="98"/>
      <c r="WCF3" s="98"/>
      <c r="WCG3" s="98"/>
      <c r="WCH3" s="98"/>
      <c r="WCI3" s="98"/>
      <c r="WCJ3" s="98"/>
      <c r="WCK3" s="98"/>
      <c r="WCL3" s="98"/>
      <c r="WCM3" s="98"/>
      <c r="WCN3" s="98"/>
      <c r="WCO3" s="98"/>
      <c r="WCP3" s="98"/>
      <c r="WCQ3" s="98"/>
      <c r="WCR3" s="98"/>
      <c r="WCS3" s="98"/>
      <c r="WCT3" s="98"/>
      <c r="WCU3" s="98"/>
      <c r="WCV3" s="98"/>
      <c r="WCW3" s="98"/>
      <c r="WCX3" s="98"/>
      <c r="WCY3" s="98"/>
      <c r="WCZ3" s="98"/>
      <c r="WDA3" s="98"/>
      <c r="WDB3" s="98"/>
      <c r="WDC3" s="98"/>
      <c r="WDD3" s="98"/>
      <c r="WDE3" s="98"/>
      <c r="WDF3" s="98"/>
      <c r="WDG3" s="98"/>
      <c r="WDH3" s="98"/>
      <c r="WDI3" s="98"/>
      <c r="WDJ3" s="98"/>
      <c r="WDK3" s="98"/>
      <c r="WDL3" s="98"/>
      <c r="WDM3" s="98"/>
      <c r="WDN3" s="98"/>
      <c r="WDO3" s="98"/>
      <c r="WDP3" s="98"/>
      <c r="WDQ3" s="98"/>
      <c r="WDR3" s="98"/>
      <c r="WDS3" s="98"/>
      <c r="WDT3" s="98"/>
      <c r="WDU3" s="98"/>
      <c r="WDV3" s="98"/>
      <c r="WDW3" s="98"/>
      <c r="WDX3" s="98"/>
      <c r="WDY3" s="98"/>
      <c r="WDZ3" s="98"/>
      <c r="WEA3" s="98"/>
      <c r="WEB3" s="98"/>
      <c r="WEC3" s="98"/>
      <c r="WED3" s="98"/>
      <c r="WEE3" s="98"/>
      <c r="WEF3" s="98"/>
      <c r="WEG3" s="98"/>
      <c r="WEH3" s="98"/>
      <c r="WEI3" s="98"/>
      <c r="WEJ3" s="98"/>
      <c r="WEK3" s="98"/>
      <c r="WEL3" s="98"/>
      <c r="WEM3" s="98"/>
      <c r="WEN3" s="98"/>
      <c r="WEO3" s="98"/>
      <c r="WEP3" s="98"/>
      <c r="WEQ3" s="98"/>
      <c r="WER3" s="98"/>
      <c r="WES3" s="98"/>
      <c r="WET3" s="98"/>
      <c r="WEU3" s="98"/>
      <c r="WEV3" s="98"/>
      <c r="WEW3" s="98"/>
      <c r="WEX3" s="98"/>
      <c r="WEY3" s="98"/>
      <c r="WEZ3" s="98"/>
      <c r="WFA3" s="98"/>
      <c r="WFB3" s="98"/>
      <c r="WFC3" s="98"/>
      <c r="WFD3" s="98"/>
      <c r="WFE3" s="98"/>
      <c r="WFF3" s="98"/>
      <c r="WFG3" s="98"/>
      <c r="WFH3" s="98"/>
      <c r="WFI3" s="98"/>
      <c r="WFJ3" s="98"/>
      <c r="WFK3" s="98"/>
      <c r="WFL3" s="98"/>
      <c r="WFM3" s="98"/>
      <c r="WFN3" s="98"/>
      <c r="WFO3" s="98"/>
      <c r="WFP3" s="98"/>
      <c r="WFQ3" s="98"/>
      <c r="WFR3" s="98"/>
      <c r="WFS3" s="98"/>
      <c r="WFT3" s="98"/>
      <c r="WFU3" s="98"/>
      <c r="WFV3" s="98"/>
      <c r="WFW3" s="98"/>
      <c r="WFX3" s="98"/>
      <c r="WFY3" s="98"/>
      <c r="WFZ3" s="98"/>
      <c r="WGA3" s="98"/>
      <c r="WGB3" s="98"/>
      <c r="WGC3" s="98"/>
      <c r="WGD3" s="98"/>
      <c r="WGE3" s="98"/>
      <c r="WGF3" s="98"/>
      <c r="WGG3" s="98"/>
      <c r="WGH3" s="98"/>
      <c r="WGI3" s="98"/>
      <c r="WGJ3" s="98"/>
      <c r="WGK3" s="98"/>
      <c r="WGL3" s="98"/>
      <c r="WGM3" s="98"/>
      <c r="WGN3" s="98"/>
      <c r="WGO3" s="98"/>
      <c r="WGP3" s="98"/>
      <c r="WGQ3" s="98"/>
      <c r="WGR3" s="98"/>
      <c r="WGS3" s="98"/>
      <c r="WGT3" s="98"/>
      <c r="WGU3" s="98"/>
      <c r="WGV3" s="98"/>
      <c r="WGW3" s="98"/>
      <c r="WGX3" s="98"/>
      <c r="WGY3" s="98"/>
      <c r="WGZ3" s="98"/>
      <c r="WHA3" s="98"/>
      <c r="WHB3" s="98"/>
      <c r="WHC3" s="98"/>
      <c r="WHD3" s="98"/>
      <c r="WHE3" s="98"/>
      <c r="WHF3" s="98"/>
      <c r="WHG3" s="98"/>
      <c r="WHH3" s="98"/>
      <c r="WHI3" s="98"/>
      <c r="WHJ3" s="98"/>
      <c r="WHK3" s="98"/>
      <c r="WHL3" s="98"/>
      <c r="WHM3" s="98"/>
      <c r="WHN3" s="98"/>
      <c r="WHO3" s="98"/>
      <c r="WHP3" s="98"/>
      <c r="WHQ3" s="98"/>
      <c r="WHR3" s="98"/>
      <c r="WHS3" s="98"/>
      <c r="WHT3" s="98"/>
      <c r="WHU3" s="98"/>
      <c r="WHV3" s="98"/>
      <c r="WHW3" s="98"/>
      <c r="WHX3" s="98"/>
      <c r="WHY3" s="98"/>
      <c r="WHZ3" s="98"/>
      <c r="WIA3" s="98"/>
      <c r="WIB3" s="98"/>
      <c r="WIC3" s="98"/>
      <c r="WID3" s="98"/>
      <c r="WIE3" s="98"/>
      <c r="WIF3" s="98"/>
      <c r="WIG3" s="98"/>
      <c r="WIH3" s="98"/>
      <c r="WII3" s="98"/>
      <c r="WIJ3" s="98"/>
      <c r="WIK3" s="98"/>
      <c r="WIL3" s="98"/>
      <c r="WIM3" s="98"/>
      <c r="WIN3" s="98"/>
      <c r="WIO3" s="98"/>
      <c r="WIP3" s="98"/>
      <c r="WIQ3" s="98"/>
      <c r="WIR3" s="98"/>
      <c r="WIS3" s="98"/>
      <c r="WIT3" s="98"/>
      <c r="WIU3" s="98"/>
      <c r="WIV3" s="98"/>
      <c r="WIW3" s="98"/>
      <c r="WIX3" s="98"/>
      <c r="WIY3" s="98"/>
      <c r="WIZ3" s="98"/>
      <c r="WJA3" s="98"/>
      <c r="WJB3" s="98"/>
      <c r="WJC3" s="98"/>
      <c r="WJD3" s="98"/>
      <c r="WJE3" s="98"/>
      <c r="WJF3" s="98"/>
      <c r="WJG3" s="98"/>
      <c r="WJH3" s="98"/>
      <c r="WJI3" s="98"/>
      <c r="WJJ3" s="98"/>
      <c r="WJK3" s="98"/>
      <c r="WJL3" s="98"/>
      <c r="WJM3" s="98"/>
      <c r="WJN3" s="98"/>
      <c r="WJO3" s="98"/>
      <c r="WJP3" s="98"/>
      <c r="WJQ3" s="98"/>
      <c r="WJR3" s="98"/>
      <c r="WJS3" s="98"/>
      <c r="WJT3" s="98"/>
      <c r="WJU3" s="98"/>
      <c r="WJV3" s="98"/>
      <c r="WJW3" s="98"/>
      <c r="WJX3" s="98"/>
      <c r="WJY3" s="98"/>
      <c r="WJZ3" s="98"/>
      <c r="WKA3" s="98"/>
      <c r="WKB3" s="98"/>
      <c r="WKC3" s="98"/>
      <c r="WKD3" s="98"/>
      <c r="WKE3" s="98"/>
      <c r="WKF3" s="98"/>
      <c r="WKG3" s="98"/>
      <c r="WKH3" s="98"/>
      <c r="WKI3" s="98"/>
      <c r="WKJ3" s="98"/>
      <c r="WKK3" s="98"/>
      <c r="WKL3" s="98"/>
      <c r="WKM3" s="98"/>
      <c r="WKN3" s="98"/>
      <c r="WKO3" s="98"/>
      <c r="WKP3" s="98"/>
      <c r="WKQ3" s="98"/>
      <c r="WKR3" s="98"/>
      <c r="WKS3" s="98"/>
      <c r="WKT3" s="98"/>
      <c r="WKU3" s="98"/>
      <c r="WKV3" s="98"/>
      <c r="WKW3" s="98"/>
      <c r="WKX3" s="98"/>
      <c r="WKY3" s="98"/>
      <c r="WKZ3" s="98"/>
      <c r="WLA3" s="98"/>
      <c r="WLB3" s="98"/>
      <c r="WLC3" s="98"/>
      <c r="WLD3" s="98"/>
      <c r="WLE3" s="98"/>
      <c r="WLF3" s="98"/>
      <c r="WLG3" s="98"/>
      <c r="WLH3" s="98"/>
      <c r="WLI3" s="98"/>
      <c r="WLJ3" s="98"/>
      <c r="WLK3" s="98"/>
      <c r="WLL3" s="98"/>
      <c r="WLM3" s="98"/>
      <c r="WLN3" s="98"/>
      <c r="WLO3" s="98"/>
      <c r="WLP3" s="98"/>
      <c r="WLQ3" s="98"/>
      <c r="WLR3" s="98"/>
      <c r="WLS3" s="98"/>
      <c r="WLT3" s="98"/>
      <c r="WLU3" s="98"/>
      <c r="WLV3" s="98"/>
      <c r="WLW3" s="98"/>
      <c r="WLX3" s="98"/>
      <c r="WLY3" s="98"/>
      <c r="WLZ3" s="98"/>
      <c r="WMA3" s="98"/>
      <c r="WMB3" s="98"/>
      <c r="WMC3" s="98"/>
      <c r="WMD3" s="98"/>
      <c r="WME3" s="98"/>
      <c r="WMF3" s="98"/>
      <c r="WMG3" s="98"/>
      <c r="WMH3" s="98"/>
      <c r="WMI3" s="98"/>
      <c r="WMJ3" s="98"/>
      <c r="WMK3" s="98"/>
      <c r="WML3" s="98"/>
      <c r="WMM3" s="98"/>
      <c r="WMN3" s="98"/>
      <c r="WMO3" s="98"/>
      <c r="WMP3" s="98"/>
      <c r="WMQ3" s="98"/>
      <c r="WMR3" s="98"/>
      <c r="WMS3" s="98"/>
      <c r="WMT3" s="98"/>
      <c r="WMU3" s="98"/>
      <c r="WMV3" s="98"/>
      <c r="WMW3" s="98"/>
      <c r="WMX3" s="98"/>
      <c r="WMY3" s="98"/>
      <c r="WMZ3" s="98"/>
      <c r="WNA3" s="98"/>
      <c r="WNB3" s="98"/>
      <c r="WNC3" s="98"/>
      <c r="WND3" s="98"/>
      <c r="WNE3" s="98"/>
      <c r="WNF3" s="98"/>
      <c r="WNG3" s="98"/>
      <c r="WNH3" s="98"/>
      <c r="WNI3" s="98"/>
      <c r="WNJ3" s="98"/>
      <c r="WNK3" s="98"/>
      <c r="WNL3" s="98"/>
      <c r="WNM3" s="98"/>
      <c r="WNN3" s="98"/>
      <c r="WNO3" s="98"/>
      <c r="WNP3" s="98"/>
      <c r="WNQ3" s="98"/>
      <c r="WNR3" s="98"/>
      <c r="WNS3" s="98"/>
      <c r="WNT3" s="98"/>
      <c r="WNU3" s="98"/>
      <c r="WNV3" s="98"/>
      <c r="WNW3" s="98"/>
      <c r="WNX3" s="98"/>
      <c r="WNY3" s="98"/>
      <c r="WNZ3" s="98"/>
      <c r="WOA3" s="98"/>
      <c r="WOB3" s="98"/>
      <c r="WOC3" s="98"/>
      <c r="WOD3" s="98"/>
      <c r="WOE3" s="98"/>
      <c r="WOF3" s="98"/>
      <c r="WOG3" s="98"/>
      <c r="WOH3" s="98"/>
      <c r="WOI3" s="98"/>
      <c r="WOJ3" s="98"/>
      <c r="WOK3" s="98"/>
      <c r="WOL3" s="98"/>
      <c r="WOM3" s="98"/>
      <c r="WON3" s="98"/>
      <c r="WOO3" s="98"/>
      <c r="WOP3" s="98"/>
      <c r="WOQ3" s="98"/>
      <c r="WOR3" s="98"/>
      <c r="WOS3" s="98"/>
      <c r="WOT3" s="98"/>
      <c r="WOU3" s="98"/>
      <c r="WOV3" s="98"/>
      <c r="WOW3" s="98"/>
      <c r="WOX3" s="98"/>
      <c r="WOY3" s="98"/>
      <c r="WOZ3" s="98"/>
      <c r="WPA3" s="98"/>
      <c r="WPB3" s="98"/>
      <c r="WPC3" s="98"/>
      <c r="WPD3" s="98"/>
      <c r="WPE3" s="98"/>
      <c r="WPF3" s="98"/>
      <c r="WPG3" s="98"/>
      <c r="WPH3" s="98"/>
      <c r="WPI3" s="98"/>
      <c r="WPJ3" s="98"/>
      <c r="WPK3" s="98"/>
      <c r="WPL3" s="98"/>
      <c r="WPM3" s="98"/>
      <c r="WPN3" s="98"/>
      <c r="WPO3" s="98"/>
      <c r="WPP3" s="98"/>
      <c r="WPQ3" s="98"/>
      <c r="WPR3" s="98"/>
      <c r="WPS3" s="98"/>
      <c r="WPT3" s="98"/>
      <c r="WPU3" s="98"/>
      <c r="WPV3" s="98"/>
      <c r="WPW3" s="98"/>
      <c r="WPX3" s="98"/>
      <c r="WPY3" s="98"/>
      <c r="WPZ3" s="98"/>
      <c r="WQA3" s="98"/>
      <c r="WQB3" s="98"/>
      <c r="WQC3" s="98"/>
      <c r="WQD3" s="98"/>
      <c r="WQE3" s="98"/>
      <c r="WQF3" s="98"/>
      <c r="WQG3" s="98"/>
      <c r="WQH3" s="98"/>
      <c r="WQI3" s="98"/>
      <c r="WQJ3" s="98"/>
      <c r="WQK3" s="98"/>
      <c r="WQL3" s="98"/>
      <c r="WQM3" s="98"/>
      <c r="WQN3" s="98"/>
      <c r="WQO3" s="98"/>
      <c r="WQP3" s="98"/>
      <c r="WQQ3" s="98"/>
      <c r="WQR3" s="98"/>
      <c r="WQS3" s="98"/>
      <c r="WQT3" s="98"/>
      <c r="WQU3" s="98"/>
      <c r="WQV3" s="98"/>
      <c r="WQW3" s="98"/>
      <c r="WQX3" s="98"/>
      <c r="WQY3" s="98"/>
      <c r="WQZ3" s="98"/>
      <c r="WRA3" s="98"/>
      <c r="WRB3" s="98"/>
      <c r="WRC3" s="98"/>
      <c r="WRD3" s="98"/>
      <c r="WRE3" s="98"/>
      <c r="WRF3" s="98"/>
      <c r="WRG3" s="98"/>
      <c r="WRH3" s="98"/>
      <c r="WRI3" s="98"/>
      <c r="WRJ3" s="98"/>
      <c r="WRK3" s="98"/>
      <c r="WRL3" s="98"/>
      <c r="WRM3" s="98"/>
      <c r="WRN3" s="98"/>
      <c r="WRO3" s="98"/>
      <c r="WRP3" s="98"/>
      <c r="WRQ3" s="98"/>
      <c r="WRR3" s="98"/>
      <c r="WRS3" s="98"/>
      <c r="WRT3" s="98"/>
      <c r="WRU3" s="98"/>
      <c r="WRV3" s="98"/>
      <c r="WRW3" s="98"/>
      <c r="WRX3" s="98"/>
      <c r="WRY3" s="98"/>
      <c r="WRZ3" s="98"/>
      <c r="WSA3" s="98"/>
      <c r="WSB3" s="98"/>
      <c r="WSC3" s="98"/>
      <c r="WSD3" s="98"/>
      <c r="WSE3" s="98"/>
      <c r="WSF3" s="98"/>
      <c r="WSG3" s="98"/>
      <c r="WSH3" s="98"/>
      <c r="WSI3" s="98"/>
      <c r="WSJ3" s="98"/>
      <c r="WSK3" s="98"/>
      <c r="WSL3" s="98"/>
      <c r="WSM3" s="98"/>
      <c r="WSN3" s="98"/>
      <c r="WSO3" s="98"/>
      <c r="WSP3" s="98"/>
      <c r="WSQ3" s="98"/>
      <c r="WSR3" s="98"/>
      <c r="WSS3" s="98"/>
      <c r="WST3" s="98"/>
      <c r="WSU3" s="98"/>
      <c r="WSV3" s="98"/>
      <c r="WSW3" s="98"/>
      <c r="WSX3" s="98"/>
      <c r="WSY3" s="98"/>
      <c r="WSZ3" s="98"/>
      <c r="WTA3" s="98"/>
      <c r="WTB3" s="98"/>
      <c r="WTC3" s="98"/>
      <c r="WTD3" s="98"/>
      <c r="WTE3" s="98"/>
      <c r="WTF3" s="98"/>
      <c r="WTG3" s="98"/>
      <c r="WTH3" s="98"/>
      <c r="WTI3" s="98"/>
      <c r="WTJ3" s="98"/>
      <c r="WTK3" s="98"/>
      <c r="WTL3" s="98"/>
      <c r="WTM3" s="98"/>
      <c r="WTN3" s="98"/>
      <c r="WTO3" s="98"/>
      <c r="WTP3" s="98"/>
      <c r="WTQ3" s="98"/>
      <c r="WTR3" s="98"/>
      <c r="WTS3" s="98"/>
      <c r="WTT3" s="98"/>
      <c r="WTU3" s="98"/>
      <c r="WTV3" s="98"/>
      <c r="WTW3" s="98"/>
      <c r="WTX3" s="98"/>
      <c r="WTY3" s="98"/>
      <c r="WTZ3" s="98"/>
      <c r="WUA3" s="98"/>
      <c r="WUB3" s="98"/>
      <c r="WUC3" s="98"/>
      <c r="WUD3" s="98"/>
      <c r="WUE3" s="98"/>
      <c r="WUF3" s="98"/>
      <c r="WUG3" s="98"/>
      <c r="WUH3" s="98"/>
      <c r="WUI3" s="98"/>
      <c r="WUJ3" s="98"/>
      <c r="WUK3" s="98"/>
      <c r="WUL3" s="98"/>
      <c r="WUM3" s="98"/>
      <c r="WUN3" s="98"/>
      <c r="WUO3" s="98"/>
      <c r="WUP3" s="98"/>
      <c r="WUQ3" s="98"/>
      <c r="WUR3" s="98"/>
      <c r="WUS3" s="98"/>
      <c r="WUT3" s="98"/>
      <c r="WUU3" s="98"/>
      <c r="WUV3" s="98"/>
      <c r="WUW3" s="98"/>
      <c r="WUX3" s="98"/>
      <c r="WUY3" s="98"/>
      <c r="WUZ3" s="98"/>
      <c r="WVA3" s="98"/>
      <c r="WVB3" s="98"/>
      <c r="WVC3" s="98"/>
      <c r="WVD3" s="98"/>
      <c r="WVE3" s="98"/>
      <c r="WVF3" s="98"/>
      <c r="WVG3" s="98"/>
      <c r="WVH3" s="98"/>
      <c r="WVI3" s="98"/>
      <c r="WVJ3" s="98"/>
      <c r="WVK3" s="98"/>
      <c r="WVL3" s="98"/>
      <c r="WVM3" s="98"/>
      <c r="WVN3" s="98"/>
      <c r="WVO3" s="98"/>
      <c r="WVP3" s="98"/>
      <c r="WVQ3" s="98"/>
      <c r="WVR3" s="98"/>
      <c r="WVS3" s="98"/>
      <c r="WVT3" s="98"/>
      <c r="WVU3" s="98"/>
      <c r="WVV3" s="98"/>
      <c r="WVW3" s="98"/>
      <c r="WVX3" s="98"/>
      <c r="WVY3" s="98"/>
      <c r="WVZ3" s="98"/>
      <c r="WWA3" s="98"/>
      <c r="WWB3" s="98"/>
      <c r="WWC3" s="98"/>
      <c r="WWD3" s="98"/>
      <c r="WWE3" s="98"/>
      <c r="WWF3" s="98"/>
      <c r="WWG3" s="98"/>
      <c r="WWH3" s="98"/>
      <c r="WWI3" s="98"/>
      <c r="WWJ3" s="98"/>
      <c r="WWK3" s="98"/>
      <c r="WWL3" s="98"/>
      <c r="WWM3" s="98"/>
      <c r="WWN3" s="98"/>
      <c r="WWO3" s="98"/>
      <c r="WWP3" s="98"/>
      <c r="WWQ3" s="98"/>
      <c r="WWR3" s="98"/>
      <c r="WWS3" s="98"/>
      <c r="WWT3" s="98"/>
      <c r="WWU3" s="98"/>
      <c r="WWV3" s="98"/>
      <c r="WWW3" s="98"/>
      <c r="WWX3" s="98"/>
      <c r="WWY3" s="98"/>
      <c r="WWZ3" s="98"/>
      <c r="WXA3" s="98"/>
      <c r="WXB3" s="98"/>
      <c r="WXC3" s="98"/>
      <c r="WXD3" s="98"/>
      <c r="WXE3" s="98"/>
      <c r="WXF3" s="98"/>
      <c r="WXG3" s="98"/>
      <c r="WXH3" s="98"/>
      <c r="WXI3" s="98"/>
      <c r="WXJ3" s="98"/>
      <c r="WXK3" s="98"/>
      <c r="WXL3" s="98"/>
      <c r="WXM3" s="98"/>
      <c r="WXN3" s="98"/>
      <c r="WXO3" s="98"/>
      <c r="WXP3" s="98"/>
      <c r="WXQ3" s="98"/>
      <c r="WXR3" s="98"/>
      <c r="WXS3" s="98"/>
      <c r="WXT3" s="98"/>
      <c r="WXU3" s="98"/>
      <c r="WXV3" s="98"/>
      <c r="WXW3" s="98"/>
      <c r="WXX3" s="98"/>
      <c r="WXY3" s="98"/>
      <c r="WXZ3" s="98"/>
      <c r="WYA3" s="98"/>
      <c r="WYB3" s="98"/>
      <c r="WYC3" s="98"/>
      <c r="WYD3" s="98"/>
      <c r="WYE3" s="98"/>
      <c r="WYF3" s="98"/>
      <c r="WYG3" s="98"/>
      <c r="WYH3" s="98"/>
      <c r="WYI3" s="98"/>
      <c r="WYJ3" s="98"/>
      <c r="WYK3" s="98"/>
      <c r="WYL3" s="98"/>
      <c r="WYM3" s="98"/>
      <c r="WYN3" s="98"/>
      <c r="WYO3" s="98"/>
      <c r="WYP3" s="98"/>
      <c r="WYQ3" s="98"/>
      <c r="WYR3" s="98"/>
      <c r="WYS3" s="98"/>
      <c r="WYT3" s="98"/>
      <c r="WYU3" s="98"/>
      <c r="WYV3" s="98"/>
      <c r="WYW3" s="98"/>
      <c r="WYX3" s="98"/>
      <c r="WYY3" s="98"/>
      <c r="WYZ3" s="98"/>
      <c r="WZA3" s="98"/>
      <c r="WZB3" s="98"/>
      <c r="WZC3" s="98"/>
      <c r="WZD3" s="98"/>
      <c r="WZE3" s="98"/>
      <c r="WZF3" s="98"/>
      <c r="WZG3" s="98"/>
      <c r="WZH3" s="98"/>
      <c r="WZI3" s="98"/>
      <c r="WZJ3" s="98"/>
      <c r="WZK3" s="98"/>
      <c r="WZL3" s="98"/>
      <c r="WZM3" s="98"/>
      <c r="WZN3" s="98"/>
      <c r="WZO3" s="98"/>
      <c r="WZP3" s="98"/>
      <c r="WZQ3" s="98"/>
      <c r="WZR3" s="98"/>
      <c r="WZS3" s="98"/>
      <c r="WZT3" s="98"/>
      <c r="WZU3" s="98"/>
      <c r="WZV3" s="98"/>
      <c r="WZW3" s="98"/>
      <c r="WZX3" s="98"/>
      <c r="WZY3" s="98"/>
      <c r="WZZ3" s="98"/>
      <c r="XAA3" s="98"/>
      <c r="XAB3" s="98"/>
      <c r="XAC3" s="98"/>
      <c r="XAD3" s="98"/>
      <c r="XAE3" s="98"/>
      <c r="XAF3" s="98"/>
      <c r="XAG3" s="98"/>
      <c r="XAH3" s="98"/>
      <c r="XAI3" s="98"/>
      <c r="XAJ3" s="98"/>
      <c r="XAK3" s="98"/>
      <c r="XAL3" s="98"/>
      <c r="XAM3" s="98"/>
      <c r="XAN3" s="98"/>
      <c r="XAO3" s="98"/>
      <c r="XAP3" s="98"/>
      <c r="XAQ3" s="98"/>
      <c r="XAR3" s="98"/>
      <c r="XAS3" s="98"/>
      <c r="XAT3" s="98"/>
      <c r="XAU3" s="98"/>
      <c r="XAV3" s="98"/>
      <c r="XAW3" s="98"/>
      <c r="XAX3" s="98"/>
      <c r="XAY3" s="98"/>
      <c r="XAZ3" s="98"/>
      <c r="XBA3" s="98"/>
      <c r="XBB3" s="98"/>
      <c r="XBC3" s="98"/>
      <c r="XBD3" s="98"/>
      <c r="XBE3" s="98"/>
      <c r="XBF3" s="98"/>
      <c r="XBG3" s="98"/>
      <c r="XBH3" s="98"/>
      <c r="XBI3" s="98"/>
      <c r="XBJ3" s="98"/>
      <c r="XBK3" s="98"/>
      <c r="XBL3" s="98"/>
      <c r="XBM3" s="98"/>
      <c r="XBN3" s="98"/>
      <c r="XBO3" s="98"/>
      <c r="XBP3" s="98"/>
      <c r="XBQ3" s="98"/>
      <c r="XBR3" s="98"/>
      <c r="XBS3" s="98"/>
      <c r="XBT3" s="98"/>
      <c r="XBU3" s="98"/>
      <c r="XBV3" s="98"/>
      <c r="XBW3" s="98"/>
      <c r="XBX3" s="98"/>
      <c r="XBY3" s="98"/>
      <c r="XBZ3" s="98"/>
      <c r="XCA3" s="98"/>
      <c r="XCB3" s="98"/>
      <c r="XCC3" s="98"/>
      <c r="XCD3" s="98"/>
      <c r="XCE3" s="98"/>
      <c r="XCF3" s="98"/>
      <c r="XCG3" s="98"/>
      <c r="XCH3" s="98"/>
      <c r="XCI3" s="98"/>
      <c r="XCJ3" s="98"/>
      <c r="XCK3" s="98"/>
      <c r="XCL3" s="98"/>
      <c r="XCM3" s="98"/>
      <c r="XCN3" s="98"/>
      <c r="XCO3" s="98"/>
      <c r="XCP3" s="98"/>
      <c r="XCQ3" s="98"/>
      <c r="XCR3" s="98"/>
      <c r="XCS3" s="98"/>
      <c r="XCT3" s="98"/>
      <c r="XCU3" s="98"/>
      <c r="XCV3" s="98"/>
      <c r="XCW3" s="98"/>
      <c r="XCX3" s="98"/>
      <c r="XCY3" s="98"/>
      <c r="XCZ3" s="98"/>
      <c r="XDA3" s="98"/>
      <c r="XDB3" s="98"/>
      <c r="XDC3" s="98"/>
      <c r="XDD3" s="98"/>
      <c r="XDE3" s="98"/>
      <c r="XDF3" s="98"/>
      <c r="XDG3" s="98"/>
      <c r="XDH3" s="98"/>
      <c r="XDI3" s="98"/>
      <c r="XDJ3" s="98"/>
      <c r="XDK3" s="98"/>
      <c r="XDL3" s="98"/>
      <c r="XDM3" s="98"/>
      <c r="XDN3" s="98"/>
      <c r="XDO3" s="98"/>
      <c r="XDP3" s="98"/>
      <c r="XDQ3" s="98"/>
      <c r="XDR3" s="98"/>
      <c r="XDS3" s="98"/>
      <c r="XDT3" s="98"/>
      <c r="XDU3" s="98"/>
      <c r="XDV3" s="98"/>
      <c r="XDW3" s="98"/>
      <c r="XDX3" s="98"/>
      <c r="XDY3" s="98"/>
      <c r="XDZ3" s="98"/>
      <c r="XEA3" s="98"/>
      <c r="XEB3" s="98"/>
      <c r="XEC3" s="98"/>
      <c r="XED3" s="98"/>
      <c r="XEE3" s="98"/>
      <c r="XEF3" s="98"/>
      <c r="XEG3" s="98"/>
      <c r="XEH3" s="98"/>
      <c r="XEI3" s="98"/>
      <c r="XEJ3" s="98"/>
      <c r="XEK3" s="98"/>
      <c r="XEL3" s="98"/>
      <c r="XEM3" s="98"/>
      <c r="XEN3" s="98"/>
      <c r="XEO3" s="98"/>
      <c r="XEP3" s="98"/>
      <c r="XEQ3" s="98"/>
      <c r="XER3" s="98"/>
      <c r="XES3" s="98"/>
      <c r="XET3" s="98"/>
      <c r="XEU3" s="98"/>
      <c r="XEV3" s="98"/>
      <c r="XEW3" s="98"/>
      <c r="XEX3" s="98"/>
      <c r="XEY3" s="98"/>
      <c r="XEZ3" s="98"/>
      <c r="XFA3" s="98"/>
      <c r="XFB3" s="98"/>
      <c r="XFC3" s="98"/>
      <c r="XFD3" s="98"/>
    </row>
    <row r="4" spans="2:16384">
      <c r="B4" s="96" t="s">
        <v>220</v>
      </c>
      <c r="C4" s="291" t="s">
        <v>196</v>
      </c>
      <c r="D4" s="291"/>
      <c r="E4" s="291"/>
      <c r="F4" s="152" t="s">
        <v>90</v>
      </c>
    </row>
    <row r="5" spans="2:16384">
      <c r="B5" s="25"/>
      <c r="C5" s="88">
        <f>'Income Statement Historic'!C5</f>
        <v>45291</v>
      </c>
      <c r="D5" s="88">
        <f>'Income Statement Historic'!D5</f>
        <v>44926</v>
      </c>
      <c r="E5" s="88">
        <f>'Income Statement Historic'!E5</f>
        <v>44561</v>
      </c>
      <c r="F5" s="89"/>
    </row>
    <row r="6" spans="2:16384">
      <c r="B6" s="25" t="s">
        <v>86</v>
      </c>
      <c r="C6" s="90">
        <f>'Income Statement Historic'!C7/'Income Statement Historic'!C6</f>
        <v>0.76928482117946118</v>
      </c>
      <c r="D6" s="90">
        <f>'Income Statement Historic'!D7/'Income Statement Historic'!D6</f>
        <v>0.69801870810930244</v>
      </c>
      <c r="E6" s="90">
        <f>'Income Statement Historic'!E7/'Income Statement Historic'!E6</f>
        <v>0.69312375750143995</v>
      </c>
      <c r="F6" s="91">
        <f>AVERAGE(C6:E6)</f>
        <v>0.72014242893006786</v>
      </c>
    </row>
    <row r="7" spans="2:16384">
      <c r="B7" s="25" t="s">
        <v>87</v>
      </c>
      <c r="C7" s="92">
        <f>'Income Statement Historic'!C7/'Balance Sheet Historic'!C8</f>
        <v>5.463525612799061</v>
      </c>
      <c r="D7" s="92">
        <f>'Income Statement Historic'!D7/'Balance Sheet Historic'!D8</f>
        <v>4.4288495988784176</v>
      </c>
      <c r="E7" s="92">
        <f>'Income Statement Historic'!E7/'Balance Sheet Historic'!E8</f>
        <v>6.4801111690116384</v>
      </c>
      <c r="F7" s="93">
        <f>AVERAGE(C7:E7)</f>
        <v>5.4574954602297057</v>
      </c>
    </row>
    <row r="8" spans="2:16384">
      <c r="B8" s="25" t="s">
        <v>88</v>
      </c>
      <c r="C8" s="92">
        <f>'Income Statement Historic'!C6/'Balance Sheet Historic'!C7</f>
        <v>26.140734737979471</v>
      </c>
      <c r="D8" s="92">
        <f>'Income Statement Historic'!D6/'Balance Sheet Historic'!D7</f>
        <v>26.084534101825167</v>
      </c>
      <c r="E8" s="92">
        <f>'Income Statement Historic'!E6/'Balance Sheet Historic'!E7</f>
        <v>26.951927891837755</v>
      </c>
      <c r="F8" s="93">
        <f>AVERAGE(C8:E8)</f>
        <v>26.392398910547467</v>
      </c>
    </row>
    <row r="9" spans="2:16384">
      <c r="B9" s="25" t="s">
        <v>89</v>
      </c>
      <c r="C9" s="92">
        <f>'Income Statement Historic'!C7/'Balance Sheet Historic'!C19</f>
        <v>5.1587554570022869</v>
      </c>
      <c r="D9" s="92">
        <f>'Income Statement Historic'!D7/'Balance Sheet Historic'!D19</f>
        <v>3.7274336283185843</v>
      </c>
      <c r="E9" s="92">
        <f>'Income Statement Historic'!E7/'Balance Sheet Historic'!E19</f>
        <v>3.7212967581047383</v>
      </c>
      <c r="F9" s="93">
        <f>AVERAGE(C9:E9)</f>
        <v>4.2024952811418705</v>
      </c>
    </row>
    <row r="10" spans="2:16384">
      <c r="B10" s="25"/>
      <c r="C10" s="25"/>
      <c r="D10" s="25"/>
      <c r="E10" s="25"/>
      <c r="F10" s="94"/>
    </row>
    <row r="11" spans="2:16384">
      <c r="B11" s="25" t="s">
        <v>91</v>
      </c>
      <c r="C11" s="95">
        <f>('Income Statement Historic'!C6-'Income Statement Historic'!D6)/'Income Statement Historic'!D6</f>
        <v>0.18795266504627925</v>
      </c>
      <c r="D11" s="95">
        <f>('Income Statement Historic'!D6-'Income Statement Historic'!E6)/'Income Statement Historic'!E6</f>
        <v>0.51351652639206291</v>
      </c>
      <c r="E11" s="95">
        <f>('Income Statement Historic'!E6-'Income Statement Historic'!F6)/'Income Statement Historic'!F6</f>
        <v>0.70671613394216137</v>
      </c>
      <c r="F11" s="91">
        <f>AVERAGE(C11:E11)</f>
        <v>0.4693951084601678</v>
      </c>
    </row>
  </sheetData>
  <mergeCells count="1">
    <mergeCell ref="C4:E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38</vt:i4>
      </vt:variant>
    </vt:vector>
  </HeadingPairs>
  <TitlesOfParts>
    <vt:vector size="48" baseType="lpstr">
      <vt:lpstr>Assumptions</vt:lpstr>
      <vt:lpstr>DCF</vt:lpstr>
      <vt:lpstr>Comparable multiples</vt:lpstr>
      <vt:lpstr>Charts</vt:lpstr>
      <vt:lpstr>PPE &amp; Depreciation Schedule</vt:lpstr>
      <vt:lpstr>Income Statement Historic</vt:lpstr>
      <vt:lpstr>Cash flow statement Historic</vt:lpstr>
      <vt:lpstr>Balance Sheet Historic</vt:lpstr>
      <vt:lpstr>Information from Python</vt:lpstr>
      <vt:lpstr>Ratios</vt:lpstr>
      <vt:lpstr>Average_Gross_Margin</vt:lpstr>
      <vt:lpstr>Average_Growth_Sales</vt:lpstr>
      <vt:lpstr>Average_Inventory_Turnover</vt:lpstr>
      <vt:lpstr>Average_Payable_Turnover</vt:lpstr>
      <vt:lpstr>Average_Receivables_Turnover</vt:lpstr>
      <vt:lpstr>Beta_Equity</vt:lpstr>
      <vt:lpstr>Cash</vt:lpstr>
      <vt:lpstr>EBITDA_FY0</vt:lpstr>
      <vt:lpstr>EBITDA_FY1</vt:lpstr>
      <vt:lpstr>Forecasted_Years</vt:lpstr>
      <vt:lpstr>Gross_Margin</vt:lpstr>
      <vt:lpstr>Growth_Non_Operating</vt:lpstr>
      <vt:lpstr>Growth_RATE_ONWC</vt:lpstr>
      <vt:lpstr>Growth_RATE_PPE</vt:lpstr>
      <vt:lpstr>Growth_Sales</vt:lpstr>
      <vt:lpstr>Growth_SGA</vt:lpstr>
      <vt:lpstr>High_Share_Price</vt:lpstr>
      <vt:lpstr>Industry</vt:lpstr>
      <vt:lpstr>Interest_Rate</vt:lpstr>
      <vt:lpstr>Latest_Interest</vt:lpstr>
      <vt:lpstr>Low_Share_Price</vt:lpstr>
      <vt:lpstr>Market_Return</vt:lpstr>
      <vt:lpstr>Name</vt:lpstr>
      <vt:lpstr>Perpetuity_Growth_Rate</vt:lpstr>
      <vt:lpstr>Revenue_FY0</vt:lpstr>
      <vt:lpstr>Revenue_FY1</vt:lpstr>
      <vt:lpstr>Risk_Premium</vt:lpstr>
      <vt:lpstr>Riskfree_Return</vt:lpstr>
      <vt:lpstr>Shares_Outstanding</vt:lpstr>
      <vt:lpstr>Start_Year</vt:lpstr>
      <vt:lpstr>Tax_Rate</vt:lpstr>
      <vt:lpstr>Ticker</vt:lpstr>
      <vt:lpstr>Total_Debt</vt:lpstr>
      <vt:lpstr>Total_Debt_FY_minu1</vt:lpstr>
      <vt:lpstr>Total_Debt_FY0</vt:lpstr>
      <vt:lpstr>WACC</vt:lpstr>
      <vt:lpstr>Yearly_Depreciation</vt:lpstr>
      <vt:lpstr>Years_Forecasted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Walker, Mats Frederik</dc:creator>
  <cp:lastModifiedBy>Walker, Mats Frederik</cp:lastModifiedBy>
  <dcterms:created xsi:type="dcterms:W3CDTF">2024-12-10T14:36:06Z</dcterms:created>
  <dcterms:modified xsi:type="dcterms:W3CDTF">2024-12-25T22:23:39Z</dcterms:modified>
</cp:coreProperties>
</file>