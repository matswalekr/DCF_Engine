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A6BD3626-9674-6E42-A064-4A4F9BDEC320}" xr6:coauthVersionLast="47" xr6:coauthVersionMax="47" xr10:uidLastSave="{00000000-0000-0000-0000-000000000000}"/>
  <bookViews>
    <workbookView xWindow="0" yWindow="740" windowWidth="29400" windowHeight="16500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22" i="1"/>
  <c r="C207" i="4"/>
  <c r="C205" i="4"/>
  <c r="C204" i="4"/>
  <c r="C203" i="4"/>
  <c r="C154" i="4"/>
  <c r="C152" i="4"/>
  <c r="C151" i="4"/>
  <c r="C150" i="4"/>
  <c r="C147" i="4"/>
  <c r="F120" i="4"/>
  <c r="E120" i="4" s="1"/>
  <c r="D120" i="4" s="1"/>
  <c r="F131" i="4"/>
  <c r="E131" i="4" s="1"/>
  <c r="D131" i="4" s="1"/>
  <c r="F5" i="5" a="1"/>
  <c r="F5" i="5" l="1"/>
  <c r="G131" i="4"/>
  <c r="H131" i="4" s="1"/>
  <c r="G120" i="4"/>
  <c r="H120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3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E47" i="4" l="1"/>
  <c r="E35" i="4"/>
  <c r="G35" i="4"/>
  <c r="G20" i="4" s="1"/>
  <c r="H35" i="4"/>
  <c r="H20" i="4" s="1"/>
  <c r="H33" i="4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D35" i="4" s="1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49" i="4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G67" i="6" l="1"/>
  <c r="F20" i="4"/>
  <c r="AW6" i="3"/>
  <c r="E10" i="2"/>
  <c r="C40" i="2" s="1"/>
  <c r="E12" i="2"/>
  <c r="D44" i="6"/>
  <c r="D83" i="4" s="1"/>
  <c r="D71" i="4" s="1"/>
  <c r="E44" i="6"/>
  <c r="D67" i="6"/>
  <c r="C60" i="6"/>
  <c r="E67" i="6"/>
  <c r="G60" i="6"/>
  <c r="E11" i="2"/>
  <c r="F10" i="3" s="1"/>
  <c r="AX10" i="3" s="1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E10" i="3" l="1"/>
  <c r="AW10" i="3" s="1"/>
  <c r="D10" i="3"/>
  <c r="AV10" i="3" s="1"/>
  <c r="F8" i="3"/>
  <c r="E8" i="3"/>
  <c r="D8" i="3"/>
  <c r="K75" i="4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216" i="4" l="1"/>
  <c r="G216" i="4" s="1"/>
  <c r="H216" i="4" s="1"/>
  <c r="I200" i="4"/>
  <c r="AV8" i="3"/>
  <c r="H8" i="3"/>
  <c r="AZ8" i="3" s="1"/>
  <c r="AW8" i="3"/>
  <c r="I8" i="3"/>
  <c r="BA8" i="3" s="1"/>
  <c r="AX8" i="3"/>
  <c r="J8" i="3"/>
  <c r="BB8" i="3" s="1"/>
  <c r="C123" i="4"/>
  <c r="C241" i="4"/>
  <c r="C112" i="4"/>
  <c r="C177" i="4"/>
  <c r="C188" i="4"/>
  <c r="C230" i="4"/>
  <c r="C219" i="4"/>
  <c r="C166" i="4"/>
  <c r="C134" i="4"/>
  <c r="F227" i="4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74" i="4" l="1"/>
  <c r="E174" i="4" s="1"/>
  <c r="D174" i="4" s="1"/>
  <c r="F185" i="4"/>
  <c r="G238" i="4"/>
  <c r="H238" i="4" s="1"/>
  <c r="E238" i="4"/>
  <c r="D238" i="4" s="1"/>
  <c r="G227" i="4"/>
  <c r="H227" i="4" s="1"/>
  <c r="E227" i="4"/>
  <c r="D227" i="4" s="1"/>
  <c r="E216" i="4"/>
  <c r="D216" i="4" s="1"/>
  <c r="F163" i="4"/>
  <c r="I147" i="4"/>
  <c r="C242" i="4"/>
  <c r="C243" i="4" s="1"/>
  <c r="C240" i="4"/>
  <c r="C239" i="4" s="1"/>
  <c r="C135" i="4"/>
  <c r="C136" i="4" s="1"/>
  <c r="C133" i="4"/>
  <c r="C132" i="4" s="1"/>
  <c r="C220" i="4"/>
  <c r="C221" i="4" s="1"/>
  <c r="C218" i="4"/>
  <c r="C217" i="4" s="1"/>
  <c r="C231" i="4"/>
  <c r="C232" i="4" s="1"/>
  <c r="C229" i="4"/>
  <c r="C228" i="4" s="1"/>
  <c r="C189" i="4"/>
  <c r="C190" i="4" s="1"/>
  <c r="C187" i="4"/>
  <c r="C186" i="4" s="1"/>
  <c r="C178" i="4"/>
  <c r="C179" i="4" s="1"/>
  <c r="C176" i="4"/>
  <c r="C175" i="4" s="1"/>
  <c r="C165" i="4"/>
  <c r="C164" i="4" s="1"/>
  <c r="C167" i="4"/>
  <c r="C168" i="4" s="1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74" i="4" l="1"/>
  <c r="H174" i="4" s="1"/>
  <c r="G185" i="4"/>
  <c r="H185" i="4" s="1"/>
  <c r="E185" i="4"/>
  <c r="D185" i="4" s="1"/>
  <c r="G163" i="4"/>
  <c r="H163" i="4" s="1"/>
  <c r="E163" i="4"/>
  <c r="D163" i="4" s="1"/>
  <c r="H11" i="4"/>
  <c r="H15" i="4" s="1"/>
  <c r="I146" i="4" s="1"/>
  <c r="I148" i="4" s="1"/>
  <c r="I199" i="4"/>
  <c r="I201" i="4" s="1"/>
  <c r="I202" i="4" s="1"/>
  <c r="C201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C200" i="4" l="1"/>
  <c r="I149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C202" i="4" l="1"/>
  <c r="C206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8" i="4" l="1"/>
  <c r="C216" i="4" s="1"/>
  <c r="C211" i="4"/>
  <c r="C238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174" i="4" l="1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<sst xmlns="http://schemas.openxmlformats.org/spreadsheetml/2006/main" count="430" uniqueCount="279">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</sst>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14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E515D0-4789-B648-BE22-733D16288D2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5116C2-6876-F54E-BC2D-DD25F7268C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D4D0B4-4D59-C44D-9590-4A413A4B2D2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868762-6BF8-D645-8081-5F0939324F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B80F1B-83E2-954E-B6F4-85DC9E392A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1429D5-1775-DD43-985C-3CCE1CC25F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36.934831614336424</c:v>
                </c:pt>
                <c:pt idx="2">
                  <c:v>5.2317010134954325</c:v>
                </c:pt>
                <c:pt idx="3">
                  <c:v>7.9223227534409366</c:v>
                </c:pt>
                <c:pt idx="4">
                  <c:v>9.4542757678391212</c:v>
                </c:pt>
                <c:pt idx="5">
                  <c:v>14.700025323665045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36,93 €</c:v>
                  </c:pt>
                  <c:pt idx="2">
                    <c:v>5,23 €</c:v>
                  </c:pt>
                  <c:pt idx="3">
                    <c:v>7,92 €</c:v>
                  </c:pt>
                  <c:pt idx="4">
                    <c:v>9,45 €</c:v>
                  </c:pt>
                  <c:pt idx="5">
                    <c:v>14,70 €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0BD4AE3-DDF5-3C48-9165-B22AD3FED9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B0806E-E88E-8141-A9B9-789BD4EE64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339E3F-D243-3B48-992E-FCAE7BF61C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DD2C3B-204E-D54E-8B45-AECE3E9AB5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15F78-557B-4141-84F1-68B2C8BEA25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EBCAA2-664D-A144-B5BA-FB4AD45E55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7.4820313301040429</c:v>
                </c:pt>
                <c:pt idx="2">
                  <c:v>47.253542026061233</c:v>
                </c:pt>
                <c:pt idx="3">
                  <c:v>63.330966595426972</c:v>
                </c:pt>
                <c:pt idx="4">
                  <c:v>19.69996990616696</c:v>
                </c:pt>
                <c:pt idx="5">
                  <c:v>32.836543676033259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44,42 €</c:v>
                  </c:pt>
                  <c:pt idx="2">
                    <c:v>52,49 €</c:v>
                  </c:pt>
                  <c:pt idx="3">
                    <c:v>71,25 €</c:v>
                  </c:pt>
                  <c:pt idx="4">
                    <c:v>29,15 €</c:v>
                  </c:pt>
                  <c:pt idx="5">
                    <c:v>47,54 €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166046-BF0E-2242-B766-6EEB6F0831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A46FBE-1E38-EE4F-A92F-D7931CF792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194FB0-8912-1549-BBD7-12B9A55800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F30337-E57D-6F46-9094-4154166DE4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1C1A99-C59D-934F-8CB7-01D0FB7E7F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FBD170-9958-C047-84A1-4C8D69D6B8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11.395273876400339</c:v>
                </c:pt>
                <c:pt idx="2">
                  <c:v>45.195562515145213</c:v>
                </c:pt>
                <c:pt idx="3">
                  <c:v>57.163946289645864</c:v>
                </c:pt>
                <c:pt idx="4">
                  <c:v>34.009297097748316</c:v>
                </c:pt>
                <c:pt idx="5">
                  <c:v>57.867523837902567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55,81 €</c:v>
                  </c:pt>
                  <c:pt idx="2">
                    <c:v>97,68 €</c:v>
                  </c:pt>
                  <c:pt idx="3">
                    <c:v>128,42 €</c:v>
                  </c:pt>
                  <c:pt idx="4">
                    <c:v>63,16 €</c:v>
                  </c:pt>
                  <c:pt idx="5">
                    <c:v>105,40 €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237.3</c:v>
                </c:pt>
                <c:pt idx="1">
                  <c:v>237.3</c:v>
                </c:pt>
                <c:pt idx="2">
                  <c:v>237.3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3</v>
    <v t="i">4</v>
    <v t="i">5</v>
    <v t="i">6</v>
  </a>
  <a r="1" c="5">
    <v>245.55</v>
    <v>247.1</v>
    <v>247.04</v>
    <v>240.36</v>
    <v>237.3</v>
  </a>
</arrayData>
</file>

<file path=xl/richData/rdrichvalue.xml><?xml version="1.0" encoding="utf-8"?>
<rvData xmlns="http://schemas.microsoft.com/office/spreadsheetml/2017/richdata" count="2">
  <rv s="0">
    <fb>237.3</fb>
    <v>0</v>
  </rv>
  <rv s="1">
    <v>1</v>
    <v>AAPL</v>
    <v>Daily</v>
    <v>45709</v>
    <v>45716</v>
    <v>0</v>
    <v>1</v>
    <v>638762112000000000,638763336723802445,0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abSelected="1" zoomScale="78" workbookViewId="0">
      <selection activeCell="F9" sqref="F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50%</f>
        <v>0.5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0.5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9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InputMessage="1" showErrorMessage="1" errorTitle="High Growth of Sales" promptTitle="High Growth of Sales" prompt="The growth of sales inputted is higher than 10%. Are you sure your want to proceed?_x000a_" sqref="D6" xr:uid="{04158E66-F0FF-1241-B75E-38B068170DA7}">
      <formula1>0.1</formula1>
    </dataValidation>
    <dataValidation type="decimal" errorStyle="warning" allowBlank="1" showInputMessage="1" showErrorMessage="1" errorTitle="Untypical growth SG&amp;A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243"/>
  <sheetViews>
    <sheetView topLeftCell="A92" zoomScale="67" workbookViewId="0">
      <selection activeCell="B143" sqref="B143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145159.5</v>
      </c>
      <c r="G6" s="6">
        <f t="shared" si="1"/>
        <v>217739.25</v>
      </c>
      <c r="H6" s="6">
        <f>IF(H5="","",G6*(1+H29))</f>
        <v>326608.875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104535.51491227419</v>
      </c>
      <c r="G7" s="171">
        <f t="shared" ref="G7:O7" si="2">IF(G5="","",G6*Gross_Margin)</f>
        <v>156803.27236841127</v>
      </c>
      <c r="H7" s="171">
        <f t="shared" si="2"/>
        <v>235204.90855261692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40623.985087725814</v>
      </c>
      <c r="G8" s="174">
        <f t="shared" si="3"/>
        <v>60935.977631588728</v>
      </c>
      <c r="H8" s="174">
        <f t="shared" si="3"/>
        <v>91403.966447383078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13153.5</v>
      </c>
      <c r="G10" s="171">
        <f t="shared" ref="G10:H10" si="4">IF(G5="","",F10*(1+Growth_SGA))</f>
        <v>19730.25</v>
      </c>
      <c r="H10" s="171">
        <f t="shared" si="4"/>
        <v>29595.375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27470.485087725814</v>
      </c>
      <c r="G11" s="174">
        <f t="shared" si="6"/>
        <v>41205.727631588728</v>
      </c>
      <c r="H11" s="174">
        <f t="shared" si="6"/>
        <v>61808.591447383078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28733.245087725812</v>
      </c>
      <c r="G15" s="177">
        <f t="shared" si="9"/>
        <v>42493.74283158873</v>
      </c>
      <c r="H15" s="177">
        <f t="shared" si="9"/>
        <v>63122.366951383076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23100.305415225674</v>
      </c>
      <c r="G18" s="174">
        <f t="shared" ca="1" si="11"/>
        <v>35865.885296413449</v>
      </c>
      <c r="H18" s="174">
        <f t="shared" ca="1" si="11"/>
        <v>55469.744017652396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22840.495394348847</v>
      </c>
      <c r="G21" s="174">
        <f t="shared" ca="1" si="13"/>
        <v>35606.075275536619</v>
      </c>
      <c r="H21" s="174">
        <f t="shared" ca="1" si="13"/>
        <v>55209.933996775566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-6852.1486183046536</v>
      </c>
      <c r="G23" s="6">
        <f t="shared" ca="1" si="14"/>
        <v>-10681.822582660985</v>
      </c>
      <c r="H23" s="6">
        <f t="shared" ca="1" si="14"/>
        <v>-16562.98019903267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15988.346776044193</v>
      </c>
      <c r="G24" s="180">
        <f t="shared" ca="1" si="15"/>
        <v>24924.252692875634</v>
      </c>
      <c r="H24" s="180">
        <f t="shared" ca="1" si="15"/>
        <v>38646.953797742899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0.5</v>
      </c>
      <c r="G29" s="57">
        <f t="shared" si="16"/>
        <v>0.5</v>
      </c>
      <c r="H29" s="57">
        <f t="shared" si="16"/>
        <v>0.5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0.5</v>
      </c>
      <c r="G31" s="58">
        <f t="shared" si="18"/>
        <v>0.5</v>
      </c>
      <c r="H31" s="58">
        <f t="shared" si="18"/>
        <v>0.5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305" t="s">
        <v>149</v>
      </c>
      <c r="G62" s="305"/>
      <c r="H62" s="305"/>
      <c r="I62" s="305"/>
      <c r="J62" s="305"/>
      <c r="K62" s="305"/>
      <c r="L62" s="305"/>
      <c r="M62" s="305"/>
      <c r="N62" s="305"/>
      <c r="O62" s="305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23100.305415225674</v>
      </c>
      <c r="G65" s="210">
        <f t="shared" ref="G65:O65" ca="1" si="23">IF(G63="","",G18)</f>
        <v>35865.885296413449</v>
      </c>
      <c r="H65" s="210">
        <f t="shared" ca="1" si="23"/>
        <v>55469.744017652396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-6930.0916245677017</v>
      </c>
      <c r="G66" s="210">
        <f t="shared" ca="1" si="24"/>
        <v>-10759.765588924034</v>
      </c>
      <c r="H66" s="210">
        <f ca="1">IF(H63="","",-H65*Tax_Rate)</f>
        <v>-16640.92320529572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16170.213790657972</v>
      </c>
      <c r="G67" s="214">
        <f ca="1">IF(SUM(G65:G66)=0,"",SUM(G65:G66))</f>
        <v>25106.119707489415</v>
      </c>
      <c r="H67" s="214">
        <f ca="1">IF(SUM(H65:H66)=0,"",SUM(H65:H66))</f>
        <v>38828.820812356673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10403.383463158112</v>
      </c>
      <c r="G73" s="221">
        <f t="shared" ca="1" si="29"/>
        <v>20014.552142664699</v>
      </c>
      <c r="H73" s="219">
        <f ca="1">IF(SUM(H67:H71)=0,"",SUM(H67:H71))</f>
        <v>34433.220653087352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9784.6208013224641</v>
      </c>
      <c r="G78" s="225">
        <f t="shared" ref="G78:O78" ca="1" si="32">IF(G63&lt;&gt;"",G73/(1+G76)^G75,"")</f>
        <v>17704.540599361822</v>
      </c>
      <c r="H78" s="225">
        <f t="shared" ca="1" si="32"/>
        <v>28647.440359688517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34433.220653087352</v>
      </c>
    </row>
    <row r="93" spans="2:16384">
      <c r="B93" t="s">
        <v>9</v>
      </c>
      <c r="C93" s="6">
        <f ca="1">SUM(F78:O78)</f>
        <v>56136.601760372803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602781.59866404859</v>
      </c>
      <c r="H94" t="s">
        <v>127</v>
      </c>
      <c r="I94" s="6">
        <f ca="1">$I$92*(1+$I$93)/(WACC-$I$93)</f>
        <v>724522.3842625221</v>
      </c>
    </row>
    <row r="95" spans="2:16384">
      <c r="B95" s="14" t="s">
        <v>129</v>
      </c>
      <c r="C95" s="15">
        <f ca="1">SUM(C93:C94)</f>
        <v>658918.20042442135</v>
      </c>
      <c r="H95" s="14" t="s">
        <v>136</v>
      </c>
      <c r="I95" s="15">
        <f ca="1">$I$94/((1+WACC)^Years_Forecasted)</f>
        <v>602781.59866404859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673892.20042442135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298">
        <f ca="1">C99/C100</f>
        <v>44.416862944440467</v>
      </c>
    </row>
    <row r="103" spans="2:12">
      <c r="B103" s="1" t="s">
        <v>260</v>
      </c>
      <c r="C103" s="287">
        <f ca="1">$C$95/EBITDA_FY0</f>
        <v>44.533536119520228</v>
      </c>
    </row>
    <row r="104" spans="2:12">
      <c r="B104" s="286" t="s">
        <v>261</v>
      </c>
      <c r="C104" s="288">
        <f ca="1">$C$95/Revenue_FY0</f>
        <v>6.8089053808853848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306" t="s">
        <v>110</v>
      </c>
      <c r="C108" s="307" t="s">
        <v>122</v>
      </c>
      <c r="D108" s="307"/>
      <c r="E108" s="307"/>
      <c r="F108" s="307"/>
      <c r="G108" s="307"/>
      <c r="H108" s="307"/>
      <c r="I108" s="8"/>
      <c r="J108" s="11" t="s">
        <v>123</v>
      </c>
      <c r="K108" s="16">
        <v>2.5000000000000001E-3</v>
      </c>
    </row>
    <row r="109" spans="2:12" ht="17" thickBot="1">
      <c r="B109" s="306"/>
      <c r="C109" s="299">
        <f ca="1">$C$101</f>
        <v>44.416862944440467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306"/>
      <c r="C110" s="229">
        <f>C111-$K$110</f>
        <v>5.823828734906282E-2</v>
      </c>
      <c r="D110" s="300">
        <f t="dataTable" ref="D110:H114" dt2D="1" dtr="1" r1="I93" r2="E56" ca="1"/>
        <v>44.82516920620764</v>
      </c>
      <c r="E110" s="301">
        <v>47.121510242858839</v>
      </c>
      <c r="F110" s="302">
        <v>49.683396144656157</v>
      </c>
      <c r="G110" s="301">
        <v>52.559714251205499</v>
      </c>
      <c r="H110" s="301">
        <v>55.812136820840806</v>
      </c>
      <c r="I110" s="8"/>
      <c r="J110" s="11" t="s">
        <v>110</v>
      </c>
      <c r="K110" s="16">
        <v>2.5000000000000001E-3</v>
      </c>
    </row>
    <row r="111" spans="2:12">
      <c r="B111" s="306"/>
      <c r="C111" s="229">
        <f>C112-$K$110</f>
        <v>6.0738287349062822E-2</v>
      </c>
      <c r="D111" s="303">
        <v>42.559993904944662</v>
      </c>
      <c r="E111" s="304">
        <v>44.620296134882707</v>
      </c>
      <c r="F111" s="304">
        <v>46.905825668831312</v>
      </c>
      <c r="G111" s="304">
        <v>49.455649844644164</v>
      </c>
      <c r="H111" s="302">
        <v>52.318425833325925</v>
      </c>
      <c r="I111" s="8"/>
      <c r="J111" s="8"/>
      <c r="K111" s="8"/>
    </row>
    <row r="112" spans="2:12">
      <c r="B112" s="306"/>
      <c r="C112" s="236">
        <f>$E$45*$E$53+$E$52*$E$49</f>
        <v>6.3238287349062824E-2</v>
      </c>
      <c r="D112" s="302">
        <v>40.508202610259829</v>
      </c>
      <c r="E112" s="304">
        <v>42.366238131373777</v>
      </c>
      <c r="F112" s="304">
        <v>44.416862944440467</v>
      </c>
      <c r="G112" s="304">
        <v>46.691657149489096</v>
      </c>
      <c r="H112" s="302">
        <v>49.229504581725479</v>
      </c>
      <c r="I112" s="8"/>
      <c r="J112" s="12"/>
      <c r="K112" s="8"/>
    </row>
    <row r="113" spans="2:11">
      <c r="B113" s="306"/>
      <c r="C113" s="229">
        <f>C112+$K$110</f>
        <v>6.5738287349062827E-2</v>
      </c>
      <c r="D113" s="303">
        <v>38.641077425016803</v>
      </c>
      <c r="E113" s="304">
        <v>40.324512120076996</v>
      </c>
      <c r="F113" s="304">
        <v>42.173840736967747</v>
      </c>
      <c r="G113" s="304">
        <v>44.214856156865075</v>
      </c>
      <c r="H113" s="302">
        <v>46.478990492903776</v>
      </c>
      <c r="I113" s="8"/>
      <c r="J113" s="8"/>
      <c r="K113" s="8"/>
    </row>
    <row r="114" spans="2:11">
      <c r="B114" s="306"/>
      <c r="C114" s="229">
        <f>C113+$K$110</f>
        <v>6.8238287349062829E-2</v>
      </c>
      <c r="D114" s="303">
        <v>36.934831614336424</v>
      </c>
      <c r="E114" s="302">
        <v>38.466541840983396</v>
      </c>
      <c r="F114" s="302">
        <v>40.142106265700647</v>
      </c>
      <c r="G114" s="302">
        <v>41.982789037159691</v>
      </c>
      <c r="H114" s="302">
        <v>44.014262451551318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306" t="s">
        <v>110</v>
      </c>
      <c r="C119" s="307" t="s">
        <v>264</v>
      </c>
      <c r="D119" s="307"/>
      <c r="E119" s="307"/>
      <c r="F119" s="307"/>
      <c r="G119" s="307"/>
      <c r="H119" s="307"/>
    </row>
    <row r="120" spans="2:11" ht="17" thickBot="1">
      <c r="B120" s="306"/>
      <c r="C120" s="228">
        <f ca="1">$C$103</f>
        <v>44.533536119520228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306"/>
      <c r="C121" s="229">
        <f>C122-$K$110</f>
        <v>5.823828734906282E-2</v>
      </c>
      <c r="D121" s="231">
        <f t="dataTable" ref="D121:H125" dt2D="1" dtr="1" r1="I93" r2="E56" ca="1"/>
        <v>44.952218095761708</v>
      </c>
      <c r="E121" s="232">
        <v>47.306912827085149</v>
      </c>
      <c r="F121" s="233">
        <v>49.933900342846833</v>
      </c>
      <c r="G121" s="232">
        <v>52.883310288060784</v>
      </c>
      <c r="H121" s="232">
        <v>56.218382111680754</v>
      </c>
    </row>
    <row r="122" spans="2:11">
      <c r="B122" s="306"/>
      <c r="C122" s="229">
        <f>C123-$K$110</f>
        <v>6.0738287349062822E-2</v>
      </c>
      <c r="D122" s="234">
        <v>42.629481070957105</v>
      </c>
      <c r="E122" s="235">
        <v>44.742138872362737</v>
      </c>
      <c r="F122" s="235">
        <v>47.085747363426059</v>
      </c>
      <c r="G122" s="235">
        <v>49.700366645474638</v>
      </c>
      <c r="H122" s="233">
        <v>52.635890345969358</v>
      </c>
    </row>
    <row r="123" spans="2:11">
      <c r="B123" s="306"/>
      <c r="C123" s="236">
        <f>$E$45*$E$53+$E$52*$E$49</f>
        <v>6.3238287349062824E-2</v>
      </c>
      <c r="D123" s="233">
        <v>40.525550481267636</v>
      </c>
      <c r="E123" s="235">
        <v>42.430801653610544</v>
      </c>
      <c r="F123" s="235">
        <v>44.533536119520228</v>
      </c>
      <c r="G123" s="235">
        <v>46.866136479824078</v>
      </c>
      <c r="H123" s="233">
        <v>49.468474670106325</v>
      </c>
    </row>
    <row r="124" spans="2:11">
      <c r="B124" s="306"/>
      <c r="C124" s="229">
        <f>C123+$K$110</f>
        <v>6.5738287349062827E-2</v>
      </c>
      <c r="D124" s="234">
        <v>38.610978661907318</v>
      </c>
      <c r="E124" s="235">
        <v>40.337192122241618</v>
      </c>
      <c r="F124" s="235">
        <v>42.233515134013736</v>
      </c>
      <c r="G124" s="235">
        <v>44.326396016720423</v>
      </c>
      <c r="H124" s="233">
        <v>46.648065623711219</v>
      </c>
    </row>
    <row r="125" spans="2:11">
      <c r="B125" s="306"/>
      <c r="C125" s="229">
        <f>C124+$K$110</f>
        <v>6.8238287349062829E-2</v>
      </c>
      <c r="D125" s="234">
        <v>36.86137441905894</v>
      </c>
      <c r="E125" s="233">
        <v>38.432007849823037</v>
      </c>
      <c r="F125" s="233">
        <v>40.150151043670427</v>
      </c>
      <c r="G125" s="233">
        <v>42.0376085052647</v>
      </c>
      <c r="H125" s="233">
        <v>44.12070490486024</v>
      </c>
    </row>
    <row r="129" spans="2:11">
      <c r="B129" s="227" t="s">
        <v>261</v>
      </c>
      <c r="C129" s="227"/>
      <c r="D129" s="227"/>
      <c r="E129" s="227"/>
      <c r="F129" s="227"/>
      <c r="G129" s="227"/>
      <c r="H129" s="227"/>
    </row>
    <row r="130" spans="2:11">
      <c r="B130" s="306" t="s">
        <v>110</v>
      </c>
      <c r="C130" s="307" t="s">
        <v>265</v>
      </c>
      <c r="D130" s="307"/>
      <c r="E130" s="307"/>
      <c r="F130" s="307"/>
      <c r="G130" s="307"/>
      <c r="H130" s="307"/>
    </row>
    <row r="131" spans="2:11" ht="17" thickBot="1">
      <c r="B131" s="306"/>
      <c r="C131" s="228">
        <f ca="1">$C$104</f>
        <v>6.8089053808853848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306"/>
      <c r="C132" s="229">
        <f>C133-$K$110</f>
        <v>5.823828734906282E-2</v>
      </c>
      <c r="D132" s="231">
        <f t="dataTable" ref="D132:H136" dt2D="1" dtr="1" r1="I93" r2="E56" ca="1"/>
        <v>6.8729192951018385</v>
      </c>
      <c r="E132" s="232">
        <v>7.2329377221906102</v>
      </c>
      <c r="F132" s="233">
        <v>7.6345880511378352</v>
      </c>
      <c r="G132" s="232">
        <v>8.085534798158033</v>
      </c>
      <c r="H132" s="232">
        <v>8.5954468883307165</v>
      </c>
    </row>
    <row r="133" spans="2:11">
      <c r="B133" s="306"/>
      <c r="C133" s="229">
        <f>C134-$K$110</f>
        <v>6.0738287349062822E-2</v>
      </c>
      <c r="D133" s="234">
        <v>6.5177870059405132</v>
      </c>
      <c r="E133" s="235">
        <v>6.8407994663333689</v>
      </c>
      <c r="F133" s="235">
        <v>7.1991228750710627</v>
      </c>
      <c r="G133" s="235">
        <v>7.5988821767067547</v>
      </c>
      <c r="H133" s="233">
        <v>8.0477058018141694</v>
      </c>
    </row>
    <row r="134" spans="2:11">
      <c r="B134" s="306"/>
      <c r="C134" s="236">
        <f>$E$45*$E$53+$E$52*$E$49</f>
        <v>6.3238287349062824E-2</v>
      </c>
      <c r="D134" s="233">
        <v>6.1961088828581943</v>
      </c>
      <c r="E134" s="235">
        <v>6.4874101378155231</v>
      </c>
      <c r="F134" s="235">
        <v>6.8089053808853848</v>
      </c>
      <c r="G134" s="235">
        <v>7.1655457137370657</v>
      </c>
      <c r="H134" s="233">
        <v>7.5634273115320712</v>
      </c>
    </row>
    <row r="135" spans="2:11">
      <c r="B135" s="306"/>
      <c r="C135" s="229">
        <f>C134+$K$110</f>
        <v>6.5738287349062827E-2</v>
      </c>
      <c r="D135" s="234">
        <v>5.9033825579612147</v>
      </c>
      <c r="E135" s="235">
        <v>6.167310041444277</v>
      </c>
      <c r="F135" s="235">
        <v>6.4572462352398627</v>
      </c>
      <c r="G135" s="235">
        <v>6.7772349256858355</v>
      </c>
      <c r="H135" s="233">
        <v>7.1322040131899511</v>
      </c>
    </row>
    <row r="136" spans="2:11">
      <c r="B136" s="306"/>
      <c r="C136" s="229">
        <f>C135+$K$110</f>
        <v>6.8238287349062829E-2</v>
      </c>
      <c r="D136" s="234">
        <v>5.635878766850217</v>
      </c>
      <c r="E136" s="233">
        <v>5.8760190150763298</v>
      </c>
      <c r="F136" s="233">
        <v>6.138712604157643</v>
      </c>
      <c r="G136" s="233">
        <v>6.427293309537748</v>
      </c>
      <c r="H136" s="233">
        <v>6.7457860123413766</v>
      </c>
    </row>
    <row r="142" spans="2:11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63122.366951383076</v>
      </c>
    </row>
    <row r="147" spans="2:9">
      <c r="B147" t="s">
        <v>9</v>
      </c>
      <c r="C147" s="6">
        <f>SUM(F132:O132)</f>
        <v>24.315569737626586</v>
      </c>
      <c r="H147" t="s">
        <v>266</v>
      </c>
      <c r="I147" s="13">
        <f ca="1">EV_EBITDA_FY0</f>
        <v>242.0609777642606</v>
      </c>
    </row>
    <row r="148" spans="2:9">
      <c r="B148" t="s">
        <v>267</v>
      </c>
      <c r="C148" s="6">
        <f ca="1">I149</f>
        <v>12712068.872666014</v>
      </c>
      <c r="H148" t="s">
        <v>127</v>
      </c>
      <c r="I148" s="6">
        <f ca="1">$I$146*$I$147</f>
        <v>15279461.863046236</v>
      </c>
    </row>
    <row r="149" spans="2:9">
      <c r="B149" s="14" t="s">
        <v>129</v>
      </c>
      <c r="C149" s="15">
        <f ca="1">SUM(C147:C148)</f>
        <v>12712093.188235752</v>
      </c>
      <c r="H149" s="14" t="s">
        <v>136</v>
      </c>
      <c r="I149" s="15">
        <f ca="1">$I$148/((1+WACC)^Years_Forecasted)</f>
        <v>12712068.872666014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>
        <f ca="1">SUM(C149:C152)</f>
        <v>12712093.188235752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298">
        <f ca="1">C153/C154</f>
        <v>837.8659087064882</v>
      </c>
    </row>
    <row r="157" spans="2:9">
      <c r="B157" s="1" t="s">
        <v>268</v>
      </c>
      <c r="C157" s="287">
        <f ca="1">WACC-($I$92/$I$148)</f>
        <v>6.0984724955195739E-2</v>
      </c>
    </row>
    <row r="158" spans="2:9">
      <c r="B158" s="286" t="s">
        <v>261</v>
      </c>
      <c r="C158" s="288">
        <f ca="1">$C$149/Revenue_FY0</f>
        <v>131.35991638407151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306" t="s">
        <v>110</v>
      </c>
      <c r="C162" s="307" t="s">
        <v>270</v>
      </c>
      <c r="D162" s="307"/>
      <c r="E162" s="307"/>
      <c r="F162" s="307"/>
      <c r="G162" s="307"/>
      <c r="H162" s="307"/>
      <c r="I162" s="8"/>
      <c r="J162" s="11" t="s">
        <v>263</v>
      </c>
      <c r="K162" s="289">
        <v>5</v>
      </c>
    </row>
    <row r="163" spans="2:11" ht="17" thickBot="1">
      <c r="B163" s="306"/>
      <c r="C163" s="299">
        <f ca="1">$C$155</f>
        <v>837.8659087064882</v>
      </c>
      <c r="D163" s="290">
        <f ca="1">E163-$K$162</f>
        <v>232.0609777642606</v>
      </c>
      <c r="E163" s="290">
        <f ca="1">F163-$K$162</f>
        <v>237.0609777642606</v>
      </c>
      <c r="F163" s="291">
        <f ca="1">EV_EBITDA_FY0</f>
        <v>242.0609777642606</v>
      </c>
      <c r="G163" s="290">
        <f ca="1">F163+$K$162</f>
        <v>247.0609777642606</v>
      </c>
      <c r="H163" s="290">
        <f ca="1">G163+$K$162</f>
        <v>252.0609777642606</v>
      </c>
      <c r="I163" s="8"/>
    </row>
    <row r="164" spans="2:11">
      <c r="B164" s="306"/>
      <c r="C164" s="229">
        <f>C165-$K$110</f>
        <v>5.823828734906282E-2</v>
      </c>
      <c r="D164" s="300">
        <f t="dataTable" ref="D164:H168" dt2D="1" dtr="1" r1="I147" r2="E56" ca="1"/>
        <v>814.69169442945577</v>
      </c>
      <c r="E164" s="301">
        <v>832.24505690376202</v>
      </c>
      <c r="F164" s="302">
        <v>849.79841937806816</v>
      </c>
      <c r="G164" s="301">
        <v>867.35178185237442</v>
      </c>
      <c r="H164" s="301">
        <v>884.90514432668033</v>
      </c>
      <c r="I164" s="8"/>
      <c r="J164" s="11" t="s">
        <v>110</v>
      </c>
      <c r="K164" s="16">
        <v>2.5000000000000001E-3</v>
      </c>
    </row>
    <row r="165" spans="2:11">
      <c r="B165" s="306"/>
      <c r="C165" s="229">
        <f>C166-$K$110</f>
        <v>6.0738287349062822E-2</v>
      </c>
      <c r="D165" s="303">
        <v>808.94495528294897</v>
      </c>
      <c r="E165" s="304">
        <v>826.37449816462322</v>
      </c>
      <c r="F165" s="304">
        <v>843.80404104629747</v>
      </c>
      <c r="G165" s="304">
        <v>861.23358392797172</v>
      </c>
      <c r="H165" s="302">
        <v>878.66312680964609</v>
      </c>
      <c r="I165" s="8"/>
      <c r="J165" s="8"/>
      <c r="K165" s="8"/>
    </row>
    <row r="166" spans="2:11">
      <c r="B166" s="306"/>
      <c r="C166" s="236">
        <f>$E$45*$E$53+$E$52*$E$49</f>
        <v>6.3238287349062824E-2</v>
      </c>
      <c r="D166" s="302">
        <v>803.25213849935426</v>
      </c>
      <c r="E166" s="304">
        <v>820.55902360292134</v>
      </c>
      <c r="F166" s="304">
        <v>837.8659087064882</v>
      </c>
      <c r="G166" s="304">
        <v>855.17279381005528</v>
      </c>
      <c r="H166" s="302">
        <v>872.47967891362214</v>
      </c>
      <c r="I166" s="8"/>
      <c r="J166" s="12"/>
      <c r="K166" s="8"/>
    </row>
    <row r="167" spans="2:11">
      <c r="B167" s="306"/>
      <c r="C167" s="229">
        <f>C166+$K$110</f>
        <v>6.5738287349062827E-2</v>
      </c>
      <c r="D167" s="303">
        <v>797.61261310913073</v>
      </c>
      <c r="E167" s="304">
        <v>814.79798865420673</v>
      </c>
      <c r="F167" s="304">
        <v>831.98336419928273</v>
      </c>
      <c r="G167" s="304">
        <v>849.16873974435873</v>
      </c>
      <c r="H167" s="302">
        <v>866.35411528943473</v>
      </c>
      <c r="I167" s="8"/>
      <c r="J167" s="8"/>
      <c r="K167" s="8"/>
    </row>
    <row r="168" spans="2:11">
      <c r="B168" s="306"/>
      <c r="C168" s="229">
        <f>C167+$K$110</f>
        <v>6.8238287349062829E-2</v>
      </c>
      <c r="D168" s="303">
        <v>792.02575698194755</v>
      </c>
      <c r="E168" s="302">
        <v>809.09075778369083</v>
      </c>
      <c r="F168" s="302">
        <v>826.155758585434</v>
      </c>
      <c r="G168" s="302">
        <v>843.22075938717728</v>
      </c>
      <c r="H168" s="302">
        <v>860.28576018892045</v>
      </c>
      <c r="I168" s="8"/>
      <c r="J168" s="8"/>
      <c r="K168" s="8"/>
    </row>
    <row r="172" spans="2:11">
      <c r="B172" s="227" t="s">
        <v>269</v>
      </c>
      <c r="C172" s="227"/>
      <c r="D172" s="227"/>
      <c r="E172" s="227"/>
      <c r="F172" s="227"/>
      <c r="G172" s="227"/>
      <c r="H172" s="227"/>
    </row>
    <row r="173" spans="2:11">
      <c r="B173" s="306" t="s">
        <v>110</v>
      </c>
      <c r="C173" s="307" t="s">
        <v>270</v>
      </c>
      <c r="D173" s="307"/>
      <c r="E173" s="307"/>
      <c r="F173" s="307"/>
      <c r="G173" s="307"/>
      <c r="H173" s="307"/>
    </row>
    <row r="174" spans="2:11" ht="17" thickBot="1">
      <c r="B174" s="306"/>
      <c r="C174" s="297">
        <f ca="1">$C$157</f>
        <v>6.0984724955195739E-2</v>
      </c>
      <c r="D174" s="290">
        <f ca="1">E174-$K$162</f>
        <v>232.0609777642606</v>
      </c>
      <c r="E174" s="290">
        <f ca="1">F174-$K$162</f>
        <v>237.0609777642606</v>
      </c>
      <c r="F174" s="291">
        <f ca="1">EV_EBITDA_FY0</f>
        <v>242.0609777642606</v>
      </c>
      <c r="G174" s="290">
        <f ca="1">F174+$K$162</f>
        <v>247.0609777642606</v>
      </c>
      <c r="H174" s="290">
        <f ca="1">G174+$K$162</f>
        <v>252.0609777642606</v>
      </c>
    </row>
    <row r="175" spans="2:11">
      <c r="B175" s="306"/>
      <c r="C175" s="229">
        <f>C176-$K$110</f>
        <v>5.823828734906282E-2</v>
      </c>
      <c r="D175" s="292">
        <f t="dataTable" ref="D175:H179" dt2D="1" dtr="1" r1="I147" r2="E56" ca="1"/>
        <v>5.5887614169247209E-2</v>
      </c>
      <c r="E175" s="293">
        <v>5.593719367410678E-2</v>
      </c>
      <c r="F175" s="294">
        <v>5.5984724955195735E-2</v>
      </c>
      <c r="G175" s="293">
        <v>5.6030332367872963E-2</v>
      </c>
      <c r="H175" s="293">
        <v>5.6074130400412037E-2</v>
      </c>
    </row>
    <row r="176" spans="2:11">
      <c r="B176" s="306"/>
      <c r="C176" s="229">
        <f>C177-$K$110</f>
        <v>6.0738287349062822E-2</v>
      </c>
      <c r="D176" s="295">
        <v>5.8387614169247211E-2</v>
      </c>
      <c r="E176" s="296">
        <v>5.8437193674106783E-2</v>
      </c>
      <c r="F176" s="296">
        <v>5.8484724955195737E-2</v>
      </c>
      <c r="G176" s="296">
        <v>5.8530332367872966E-2</v>
      </c>
      <c r="H176" s="294">
        <v>5.8574130400412039E-2</v>
      </c>
    </row>
    <row r="177" spans="2:8">
      <c r="B177" s="306"/>
      <c r="C177" s="236">
        <f>$E$45*$E$53+$E$52*$E$49</f>
        <v>6.3238287349062824E-2</v>
      </c>
      <c r="D177" s="294">
        <v>6.0887614169247213E-2</v>
      </c>
      <c r="E177" s="296">
        <v>6.0937193674106785E-2</v>
      </c>
      <c r="F177" s="296">
        <v>6.0984724955195739E-2</v>
      </c>
      <c r="G177" s="296">
        <v>6.1030332367872968E-2</v>
      </c>
      <c r="H177" s="294">
        <v>6.1074130400412041E-2</v>
      </c>
    </row>
    <row r="178" spans="2:8">
      <c r="B178" s="306"/>
      <c r="C178" s="229">
        <f>C177+$K$110</f>
        <v>6.5738287349062827E-2</v>
      </c>
      <c r="D178" s="295">
        <v>6.3387614169247208E-2</v>
      </c>
      <c r="E178" s="296">
        <v>6.3437193674106787E-2</v>
      </c>
      <c r="F178" s="296">
        <v>6.3484724955195734E-2</v>
      </c>
      <c r="G178" s="296">
        <v>6.3530332367872977E-2</v>
      </c>
      <c r="H178" s="294">
        <v>6.3574130400412043E-2</v>
      </c>
    </row>
    <row r="179" spans="2:8">
      <c r="B179" s="306"/>
      <c r="C179" s="229">
        <f>C178+$K$110</f>
        <v>6.8238287349062829E-2</v>
      </c>
      <c r="D179" s="295">
        <v>6.5887614169247211E-2</v>
      </c>
      <c r="E179" s="294">
        <v>6.5937193674106789E-2</v>
      </c>
      <c r="F179" s="294">
        <v>6.5984724955195737E-2</v>
      </c>
      <c r="G179" s="294">
        <v>6.6030332367872979E-2</v>
      </c>
      <c r="H179" s="294">
        <v>6.6074130400412046E-2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306" t="s">
        <v>110</v>
      </c>
      <c r="C184" s="307" t="s">
        <v>270</v>
      </c>
      <c r="D184" s="307"/>
      <c r="E184" s="307"/>
      <c r="F184" s="307"/>
      <c r="G184" s="307"/>
      <c r="H184" s="307"/>
    </row>
    <row r="185" spans="2:8" ht="17" thickBot="1">
      <c r="B185" s="306"/>
      <c r="C185" s="228">
        <f ca="1">$C$158</f>
        <v>131.35991638407151</v>
      </c>
      <c r="D185" s="290">
        <f ca="1">E185-$K$162</f>
        <v>232.0609777642606</v>
      </c>
      <c r="E185" s="290">
        <f ca="1">F185-$K$162</f>
        <v>237.0609777642606</v>
      </c>
      <c r="F185" s="291">
        <f ca="1">EV_EBITDA_FY0</f>
        <v>242.0609777642606</v>
      </c>
      <c r="G185" s="290">
        <f ca="1">F185+$K$162</f>
        <v>247.0609777642606</v>
      </c>
      <c r="H185" s="290">
        <f ca="1">G185+$K$162</f>
        <v>252.0609777642606</v>
      </c>
    </row>
    <row r="186" spans="2:8">
      <c r="B186" s="306"/>
      <c r="C186" s="229">
        <f>C187-$K$110</f>
        <v>5.823828734906282E-2</v>
      </c>
      <c r="D186" s="231">
        <f t="dataTable" ref="D186:H190" dt2D="1" dtr="1" r1="I147" r2="E56" ca="1"/>
        <v>127.72668245240675</v>
      </c>
      <c r="E186" s="232">
        <v>130.4786839396661</v>
      </c>
      <c r="F186" s="233">
        <v>133.23068542692545</v>
      </c>
      <c r="G186" s="232">
        <v>135.9826869141848</v>
      </c>
      <c r="H186" s="232">
        <v>138.73468840144412</v>
      </c>
    </row>
    <row r="187" spans="2:8">
      <c r="B187" s="306"/>
      <c r="C187" s="229">
        <f>C188-$K$110</f>
        <v>6.0738287349062822E-2</v>
      </c>
      <c r="D187" s="234">
        <v>126.82571349553439</v>
      </c>
      <c r="E187" s="235">
        <v>129.55830265062241</v>
      </c>
      <c r="F187" s="235">
        <v>132.29089180571043</v>
      </c>
      <c r="G187" s="235">
        <v>135.02348096079845</v>
      </c>
      <c r="H187" s="233">
        <v>137.75607011588647</v>
      </c>
    </row>
    <row r="188" spans="2:8">
      <c r="B188" s="306"/>
      <c r="C188" s="236">
        <f>$E$45*$E$53+$E$52*$E$49</f>
        <v>6.3238287349062824E-2</v>
      </c>
      <c r="D188" s="233">
        <v>125.93319844161924</v>
      </c>
      <c r="E188" s="235">
        <v>128.64655741284537</v>
      </c>
      <c r="F188" s="235">
        <v>131.35991638407151</v>
      </c>
      <c r="G188" s="235">
        <v>134.07327535529765</v>
      </c>
      <c r="H188" s="233">
        <v>136.7866343265238</v>
      </c>
    </row>
    <row r="189" spans="2:8">
      <c r="B189" s="306"/>
      <c r="C189" s="229">
        <f>C188+$K$110</f>
        <v>6.5738287349062827E-2</v>
      </c>
      <c r="D189" s="234">
        <v>125.04903836778441</v>
      </c>
      <c r="E189" s="235">
        <v>127.74334717205974</v>
      </c>
      <c r="F189" s="235">
        <v>130.43765597633509</v>
      </c>
      <c r="G189" s="235">
        <v>133.13196478061045</v>
      </c>
      <c r="H189" s="233">
        <v>135.82627358488577</v>
      </c>
    </row>
    <row r="190" spans="2:8">
      <c r="B190" s="306"/>
      <c r="C190" s="229">
        <f>C189+$K$110</f>
        <v>6.8238287349062829E-2</v>
      </c>
      <c r="D190" s="234">
        <v>124.17313573695698</v>
      </c>
      <c r="E190" s="233">
        <v>126.84857228965289</v>
      </c>
      <c r="F190" s="233">
        <v>129.52400884234879</v>
      </c>
      <c r="G190" s="233">
        <v>132.19944539504471</v>
      </c>
      <c r="H190" s="233">
        <v>134.87488194774059</v>
      </c>
    </row>
    <row r="195" spans="2:11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</row>
    <row r="196" spans="2:11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11">
      <c r="B198" s="237" t="s">
        <v>172</v>
      </c>
      <c r="C198" s="238"/>
      <c r="H198" s="1" t="s">
        <v>277</v>
      </c>
      <c r="I198" s="1"/>
    </row>
    <row r="199" spans="2:11">
      <c r="H199" t="s">
        <v>273</v>
      </c>
      <c r="I199" s="6">
        <f ca="1">OFFSET($E$8,0,Years_Forecasted)</f>
        <v>91403.966447383078</v>
      </c>
    </row>
    <row r="200" spans="2:11">
      <c r="B200" t="s">
        <v>9</v>
      </c>
      <c r="C200" s="6">
        <f ca="1">SUM(F185:I185)</f>
        <v>741.18293329278185</v>
      </c>
      <c r="H200" t="s">
        <v>272</v>
      </c>
      <c r="I200" s="13">
        <f ca="1">EV_REVENUE_FY0</f>
        <v>37.009643464602732</v>
      </c>
    </row>
    <row r="201" spans="2:11">
      <c r="B201" t="s">
        <v>267</v>
      </c>
      <c r="C201" s="6">
        <f ca="1">I202</f>
        <v>2814414.9033913235</v>
      </c>
      <c r="H201" t="s">
        <v>127</v>
      </c>
      <c r="I201" s="6">
        <f ca="1">$I$199*$I$200</f>
        <v>3382828.2094681584</v>
      </c>
    </row>
    <row r="202" spans="2:11">
      <c r="B202" s="14" t="s">
        <v>129</v>
      </c>
      <c r="C202" s="15">
        <f ca="1">SUM(C200:C201)</f>
        <v>2815156.0863246163</v>
      </c>
      <c r="H202" s="14" t="s">
        <v>136</v>
      </c>
      <c r="I202" s="15">
        <f ca="1">$I$201/((1+WACC)^Years_Forecasted)</f>
        <v>2814414.9033913235</v>
      </c>
    </row>
    <row r="203" spans="2:11">
      <c r="B203" t="s">
        <v>130</v>
      </c>
      <c r="C203" s="6">
        <f>-'Balance Sheet Historic'!C169</f>
        <v>0</v>
      </c>
    </row>
    <row r="204" spans="2:11">
      <c r="B204" t="s">
        <v>131</v>
      </c>
      <c r="C204" s="6">
        <f>'Balance Sheet Historic'!C160</f>
        <v>0</v>
      </c>
    </row>
    <row r="205" spans="2:11">
      <c r="B205" t="s">
        <v>132</v>
      </c>
      <c r="C205" s="6">
        <f>'Balance Sheet Historic'!C165</f>
        <v>0</v>
      </c>
    </row>
    <row r="206" spans="2:11">
      <c r="B206" s="14" t="s">
        <v>133</v>
      </c>
      <c r="C206" s="15">
        <f ca="1">SUM(C202:C205)</f>
        <v>2815156.0863246163</v>
      </c>
    </row>
    <row r="207" spans="2:11">
      <c r="B207" t="s">
        <v>203</v>
      </c>
      <c r="C207" s="6">
        <f>Shares_Outstanding / 1000000</f>
        <v>15171.99</v>
      </c>
    </row>
    <row r="208" spans="2:11">
      <c r="B208" s="14" t="s">
        <v>134</v>
      </c>
      <c r="C208" s="298">
        <f ca="1">C206/C207</f>
        <v>185.54956115345556</v>
      </c>
    </row>
    <row r="210" spans="2:11">
      <c r="B210" s="1" t="s">
        <v>268</v>
      </c>
      <c r="C210" s="287">
        <f ca="1">WACC-($I$92/$I$148)</f>
        <v>6.0984724955195739E-2</v>
      </c>
    </row>
    <row r="211" spans="2:11">
      <c r="B211" s="286" t="s">
        <v>260</v>
      </c>
      <c r="C211" s="288">
        <f ca="1">$C$202/EBITDA_FY0</f>
        <v>190.26467196030117</v>
      </c>
    </row>
    <row r="214" spans="2:11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11">
      <c r="B215" s="306" t="s">
        <v>110</v>
      </c>
      <c r="C215" s="307" t="s">
        <v>275</v>
      </c>
      <c r="D215" s="307"/>
      <c r="E215" s="307"/>
      <c r="F215" s="307"/>
      <c r="G215" s="307"/>
      <c r="H215" s="307"/>
      <c r="I215" s="8"/>
      <c r="J215" s="11" t="s">
        <v>276</v>
      </c>
      <c r="K215" s="289">
        <v>5</v>
      </c>
    </row>
    <row r="216" spans="2:11" ht="17" thickBot="1">
      <c r="B216" s="306"/>
      <c r="C216" s="299">
        <f ca="1">$C$208</f>
        <v>185.54956115345556</v>
      </c>
      <c r="D216" s="290">
        <f ca="1">E216-$K$215</f>
        <v>27.009643464602732</v>
      </c>
      <c r="E216" s="290">
        <f ca="1">F216-$K$215</f>
        <v>32.009643464602732</v>
      </c>
      <c r="F216" s="291">
        <f ca="1">EV_REVENUE_FY0</f>
        <v>37.009643464602732</v>
      </c>
      <c r="G216" s="290">
        <f ca="1">F216+$K$215</f>
        <v>42.009643464602732</v>
      </c>
      <c r="H216" s="290">
        <f ca="1">G216+$K$215</f>
        <v>47.009643464602732</v>
      </c>
      <c r="I216" s="8"/>
    </row>
    <row r="217" spans="2:11">
      <c r="B217" s="306"/>
      <c r="C217" s="229">
        <f>C218-$K$110</f>
        <v>5.823828734906282E-2</v>
      </c>
      <c r="D217" s="300">
        <f t="dataTable" ref="D217:H221" dt2D="1" dtr="1" r1="I200" r2="E56" ca="1"/>
        <v>137.35530077223299</v>
      </c>
      <c r="E217" s="301">
        <v>162.773342460625</v>
      </c>
      <c r="F217" s="302">
        <v>188.19138414901704</v>
      </c>
      <c r="G217" s="301">
        <v>213.60942583740908</v>
      </c>
      <c r="H217" s="301">
        <v>239.02746752580111</v>
      </c>
      <c r="I217" s="8"/>
      <c r="J217" s="11" t="s">
        <v>110</v>
      </c>
      <c r="K217" s="16">
        <v>2.5000000000000001E-3</v>
      </c>
    </row>
    <row r="218" spans="2:11">
      <c r="B218" s="306"/>
      <c r="C218" s="229">
        <f>C219-$K$110</f>
        <v>6.0738287349062822E-2</v>
      </c>
      <c r="D218" s="303">
        <v>136.386755368443</v>
      </c>
      <c r="E218" s="304">
        <v>161.62550083527267</v>
      </c>
      <c r="F218" s="304">
        <v>186.86424630210237</v>
      </c>
      <c r="G218" s="304">
        <v>212.10299176893201</v>
      </c>
      <c r="H218" s="302">
        <v>237.34173723576171</v>
      </c>
      <c r="I218" s="8"/>
      <c r="J218" s="8"/>
      <c r="K218" s="8"/>
    </row>
    <row r="219" spans="2:11">
      <c r="B219" s="306"/>
      <c r="C219" s="236">
        <f>$E$45*$E$53+$E$52*$E$49</f>
        <v>6.3238287349062824E-2</v>
      </c>
      <c r="D219" s="302">
        <v>135.42729794575479</v>
      </c>
      <c r="E219" s="304">
        <v>160.48842954960517</v>
      </c>
      <c r="F219" s="304">
        <v>185.54956115345556</v>
      </c>
      <c r="G219" s="304">
        <v>210.61069275730594</v>
      </c>
      <c r="H219" s="302">
        <v>235.67182436115638</v>
      </c>
      <c r="I219" s="8"/>
      <c r="J219" s="12"/>
      <c r="K219" s="8"/>
    </row>
    <row r="220" spans="2:11">
      <c r="B220" s="306"/>
      <c r="C220" s="229">
        <f>C219+$K$110</f>
        <v>6.5738287349062827E-2</v>
      </c>
      <c r="D220" s="303">
        <v>134.47682216166112</v>
      </c>
      <c r="E220" s="304">
        <v>159.3620025750896</v>
      </c>
      <c r="F220" s="304">
        <v>184.24718298851806</v>
      </c>
      <c r="G220" s="304">
        <v>209.13236340194655</v>
      </c>
      <c r="H220" s="302">
        <v>234.01754381537501</v>
      </c>
      <c r="I220" s="8"/>
      <c r="J220" s="8"/>
      <c r="K220" s="8"/>
    </row>
    <row r="221" spans="2:11">
      <c r="B221" s="306"/>
      <c r="C221" s="229">
        <f>C220+$K$110</f>
        <v>6.8238287349062829E-2</v>
      </c>
      <c r="D221" s="303">
        <v>133.53522316339993</v>
      </c>
      <c r="E221" s="302">
        <v>158.24609564871835</v>
      </c>
      <c r="F221" s="302">
        <v>182.9569681340368</v>
      </c>
      <c r="G221" s="302">
        <v>207.66784061935522</v>
      </c>
      <c r="H221" s="302">
        <v>232.37871310467366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306" t="s">
        <v>110</v>
      </c>
      <c r="C226" s="307" t="s">
        <v>275</v>
      </c>
      <c r="D226" s="307"/>
      <c r="E226" s="307"/>
      <c r="F226" s="307"/>
      <c r="G226" s="307"/>
      <c r="H226" s="307"/>
    </row>
    <row r="227" spans="2:8" ht="17" thickBot="1">
      <c r="B227" s="306"/>
      <c r="C227" s="297">
        <f ca="1">$C$210</f>
        <v>6.0984724955195739E-2</v>
      </c>
      <c r="D227" s="290">
        <f ca="1">E227-$K$215</f>
        <v>27.009643464602732</v>
      </c>
      <c r="E227" s="290">
        <f ca="1">F227-$K$215</f>
        <v>32.009643464602732</v>
      </c>
      <c r="F227" s="291">
        <f ca="1">EV_REVENUE_FY0</f>
        <v>37.009643464602732</v>
      </c>
      <c r="G227" s="290">
        <f ca="1">F227+$K$215</f>
        <v>42.009643464602732</v>
      </c>
      <c r="H227" s="290">
        <f ca="1">G227+$K$215</f>
        <v>47.009643464602732</v>
      </c>
    </row>
    <row r="228" spans="2:8">
      <c r="B228" s="306"/>
      <c r="C228" s="229">
        <f>C229-$K$110</f>
        <v>5.823828734906282E-2</v>
      </c>
      <c r="D228" s="292">
        <f t="dataTable" ref="D228:H232" dt2D="1" dtr="1" r1="I200" r2="E56" ca="1"/>
        <v>5.5984724955195735E-2</v>
      </c>
      <c r="E228" s="293">
        <v>5.5984724955195735E-2</v>
      </c>
      <c r="F228" s="294">
        <v>5.5984724955195735E-2</v>
      </c>
      <c r="G228" s="293">
        <v>5.5984724955195735E-2</v>
      </c>
      <c r="H228" s="293">
        <v>5.5984724955195735E-2</v>
      </c>
    </row>
    <row r="229" spans="2:8">
      <c r="B229" s="306"/>
      <c r="C229" s="229">
        <f>C230-$K$110</f>
        <v>6.0738287349062822E-2</v>
      </c>
      <c r="D229" s="295">
        <v>5.8484724955195737E-2</v>
      </c>
      <c r="E229" s="296">
        <v>5.8484724955195737E-2</v>
      </c>
      <c r="F229" s="296">
        <v>5.8484724955195737E-2</v>
      </c>
      <c r="G229" s="296">
        <v>5.8484724955195737E-2</v>
      </c>
      <c r="H229" s="294">
        <v>5.8484724955195737E-2</v>
      </c>
    </row>
    <row r="230" spans="2:8">
      <c r="B230" s="306"/>
      <c r="C230" s="236">
        <f>$E$45*$E$53+$E$52*$E$49</f>
        <v>6.3238287349062824E-2</v>
      </c>
      <c r="D230" s="294">
        <v>6.0984724955195739E-2</v>
      </c>
      <c r="E230" s="296">
        <v>6.0984724955195739E-2</v>
      </c>
      <c r="F230" s="296">
        <v>6.0984724955195739E-2</v>
      </c>
      <c r="G230" s="296">
        <v>6.0984724955195739E-2</v>
      </c>
      <c r="H230" s="294">
        <v>6.0984724955195739E-2</v>
      </c>
    </row>
    <row r="231" spans="2:8">
      <c r="B231" s="306"/>
      <c r="C231" s="229">
        <f>C230+$K$110</f>
        <v>6.5738287349062827E-2</v>
      </c>
      <c r="D231" s="295">
        <v>6.3484724955195734E-2</v>
      </c>
      <c r="E231" s="296">
        <v>6.3484724955195734E-2</v>
      </c>
      <c r="F231" s="296">
        <v>6.3484724955195734E-2</v>
      </c>
      <c r="G231" s="296">
        <v>6.3484724955195734E-2</v>
      </c>
      <c r="H231" s="294">
        <v>6.3484724955195734E-2</v>
      </c>
    </row>
    <row r="232" spans="2:8">
      <c r="B232" s="306"/>
      <c r="C232" s="229">
        <f>C231+$K$110</f>
        <v>6.8238287349062829E-2</v>
      </c>
      <c r="D232" s="295">
        <v>6.5984724955195737E-2</v>
      </c>
      <c r="E232" s="294">
        <v>6.5984724955195737E-2</v>
      </c>
      <c r="F232" s="294">
        <v>6.5984724955195737E-2</v>
      </c>
      <c r="G232" s="294">
        <v>6.5984724955195737E-2</v>
      </c>
      <c r="H232" s="294">
        <v>6.5984724955195737E-2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306" t="s">
        <v>110</v>
      </c>
      <c r="C237" s="307" t="s">
        <v>275</v>
      </c>
      <c r="D237" s="307"/>
      <c r="E237" s="307"/>
      <c r="F237" s="307"/>
      <c r="G237" s="307"/>
      <c r="H237" s="307"/>
    </row>
    <row r="238" spans="2:8" ht="17" thickBot="1">
      <c r="B238" s="306"/>
      <c r="C238" s="228">
        <f ca="1">$C$211</f>
        <v>190.26467196030117</v>
      </c>
      <c r="D238" s="290">
        <f ca="1">E238-$K$215</f>
        <v>27.009643464602732</v>
      </c>
      <c r="E238" s="290">
        <f ca="1">F238-$K$215</f>
        <v>32.009643464602732</v>
      </c>
      <c r="F238" s="291">
        <f ca="1">EV_REVENUE_FY0</f>
        <v>37.009643464602732</v>
      </c>
      <c r="G238" s="290">
        <f ca="1">F238+$K$215</f>
        <v>42.009643464602732</v>
      </c>
      <c r="H238" s="290">
        <f ca="1">G238+$K$215</f>
        <v>47.009643464602732</v>
      </c>
    </row>
    <row r="239" spans="2:8">
      <c r="B239" s="306"/>
      <c r="C239" s="229">
        <f>C240-$K$110</f>
        <v>5.823828734906282E-2</v>
      </c>
      <c r="D239" s="231">
        <f t="dataTable" ref="D239:H243" dt2D="1" dtr="1" r1="I200" r2="E56" ca="1"/>
        <v>140.8457184214187</v>
      </c>
      <c r="E239" s="232">
        <v>166.90967316025805</v>
      </c>
      <c r="F239" s="233">
        <v>192.97362789909741</v>
      </c>
      <c r="G239" s="232">
        <v>219.03758263793677</v>
      </c>
      <c r="H239" s="232">
        <v>245.10153737677612</v>
      </c>
    </row>
    <row r="240" spans="2:8">
      <c r="B240" s="306"/>
      <c r="C240" s="229">
        <f>C241-$K$110</f>
        <v>6.0738287349062822E-2</v>
      </c>
      <c r="D240" s="234">
        <v>139.85256073144524</v>
      </c>
      <c r="E240" s="235">
        <v>165.73266304526553</v>
      </c>
      <c r="F240" s="235">
        <v>191.61276535908584</v>
      </c>
      <c r="G240" s="235">
        <v>217.49286767290613</v>
      </c>
      <c r="H240" s="233">
        <v>243.37296998672642</v>
      </c>
    </row>
    <row r="241" spans="2:8">
      <c r="B241" s="306"/>
      <c r="C241" s="236">
        <f>$E$45*$E$53+$E$52*$E$49</f>
        <v>6.3238287349062824E-2</v>
      </c>
      <c r="D241" s="233">
        <v>138.86872196269346</v>
      </c>
      <c r="E241" s="235">
        <v>164.56669696149731</v>
      </c>
      <c r="F241" s="235">
        <v>190.26467196030117</v>
      </c>
      <c r="G241" s="235">
        <v>215.96264695910503</v>
      </c>
      <c r="H241" s="233">
        <v>241.66062195790894</v>
      </c>
    </row>
    <row r="242" spans="2:8">
      <c r="B242" s="306"/>
      <c r="C242" s="229">
        <f>C241+$K$110</f>
        <v>6.5738287349062827E-2</v>
      </c>
      <c r="D242" s="234">
        <v>137.89409307032312</v>
      </c>
      <c r="E242" s="235">
        <v>163.41164567783412</v>
      </c>
      <c r="F242" s="235">
        <v>188.92919828534511</v>
      </c>
      <c r="G242" s="235">
        <v>214.4467508928561</v>
      </c>
      <c r="H242" s="233">
        <v>239.96430350036709</v>
      </c>
    </row>
    <row r="243" spans="2:8">
      <c r="B243" s="306"/>
      <c r="C243" s="229">
        <f>C242+$K$110</f>
        <v>6.8238287349062829E-2</v>
      </c>
      <c r="D243" s="234">
        <v>136.92856653709597</v>
      </c>
      <c r="E243" s="233">
        <v>162.26738177354679</v>
      </c>
      <c r="F243" s="233">
        <v>187.60619700999763</v>
      </c>
      <c r="G243" s="233">
        <v>212.94501224644841</v>
      </c>
      <c r="H243" s="233">
        <v>238.28382748289928</v>
      </c>
    </row>
  </sheetData>
  <sheetProtection sheet="1" formatCells="0" formatColumns="0" formatRows="0" insertColumns="0" insertRows="0" insertHyperlinks="0" selectLockedCells="1" sort="0" autoFilter="0" pivotTables="0"/>
  <mergeCells count="19">
    <mergeCell ref="B237:B243"/>
    <mergeCell ref="C237:H237"/>
    <mergeCell ref="B184:B190"/>
    <mergeCell ref="C184:H184"/>
    <mergeCell ref="B215:B221"/>
    <mergeCell ref="C215:H215"/>
    <mergeCell ref="B226:B232"/>
    <mergeCell ref="C226:H226"/>
    <mergeCell ref="B130:B136"/>
    <mergeCell ref="C130:H130"/>
    <mergeCell ref="B162:B168"/>
    <mergeCell ref="C162:H162"/>
    <mergeCell ref="B173:B179"/>
    <mergeCell ref="C173:H173"/>
    <mergeCell ref="F62:O62"/>
    <mergeCell ref="B108:B114"/>
    <mergeCell ref="C108:H108"/>
    <mergeCell ref="B119:B125"/>
    <mergeCell ref="C119:H119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1" zoomScale="67" workbookViewId="0">
      <selection activeCell="B21" sqref="B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237.3</v>
      </c>
      <c r="F8" s="246"/>
      <c r="G8" s="246" t="s">
        <v>180</v>
      </c>
      <c r="H8" s="248">
        <f>DCF!E6</f>
        <v>96773</v>
      </c>
      <c r="I8" s="248">
        <f>DCF!F6</f>
        <v>145159.5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28733.245087725812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3600313.227</v>
      </c>
      <c r="F10" s="246"/>
      <c r="G10" s="252" t="s">
        <v>188</v>
      </c>
      <c r="H10" s="253">
        <f ca="1">$E$13/H8</f>
        <v>37.009643464602732</v>
      </c>
      <c r="I10" s="253">
        <f ca="1">$E$13/I8</f>
        <v>24.673095643068486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242.0609777642606</v>
      </c>
      <c r="I11" s="253">
        <f ca="1">$E$13/I9</f>
        <v>124.64774570589486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3581534.227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3600313.227</v>
      </c>
      <c r="D40" s="261">
        <f ca="1">E13</f>
        <v>3581534.227</v>
      </c>
      <c r="E40" s="262">
        <f ca="1">H10</f>
        <v>37.009643464602732</v>
      </c>
      <c r="F40" s="262">
        <f ca="1">I10</f>
        <v>24.673095643068486</v>
      </c>
      <c r="G40" s="262">
        <f ca="1">H11</f>
        <v>242.0609777642606</v>
      </c>
      <c r="H40" s="262">
        <f ca="1">I11</f>
        <v>124.64774570589486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08" t="str">
        <f>"Valuation Football Field: "&amp;Name</f>
        <v>Valuation Football Field: Apple Inc.</v>
      </c>
      <c r="C4" s="309"/>
      <c r="D4" s="309"/>
      <c r="E4" s="309"/>
      <c r="F4" s="309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36.934831614336424</v>
      </c>
      <c r="E7" s="268">
        <f ca="1">DCF!C101</f>
        <v>44.416862944440467</v>
      </c>
      <c r="F7" s="267">
        <f>MAX(DCF!D110:H114)</f>
        <v>55.812136820840806</v>
      </c>
      <c r="G7" s="25"/>
      <c r="H7" s="128">
        <f t="shared" ref="H7" si="1">D7</f>
        <v>36.934831614336424</v>
      </c>
      <c r="I7" s="153">
        <f t="shared" ref="I7" ca="1" si="2">E7-D7</f>
        <v>7.4820313301040429</v>
      </c>
      <c r="J7" s="128">
        <f t="shared" ref="J7" ca="1" si="3">F7-E7</f>
        <v>11.395273876400339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36.934831614336424</v>
      </c>
      <c r="AW7" s="276">
        <f t="shared" ref="AW7:AW13" ca="1" si="5">E7</f>
        <v>44.416862944440467</v>
      </c>
      <c r="AX7" s="276">
        <f t="shared" ref="AX7:AX13" si="6">F7</f>
        <v>55.812136820840806</v>
      </c>
      <c r="AY7" s="276"/>
      <c r="AZ7" s="276">
        <f t="shared" ref="AZ7:AZ13" si="7">H7</f>
        <v>36.934831614336424</v>
      </c>
      <c r="BA7" s="276">
        <f t="shared" ref="BA7:BA13" ca="1" si="8">I7</f>
        <v>7.4820313301040429</v>
      </c>
      <c r="BB7" s="276">
        <f t="shared" ref="BB7:BB13" ca="1" si="9">J7</f>
        <v>11.395273876400339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7.9223227534409366</v>
      </c>
      <c r="E9" s="269">
        <f>(('Comparable multiples'!BA31*Revenue_FY1)-Total_Debt+Cash)/(Shares_Outstanding/1000000)</f>
        <v>71.253289348867909</v>
      </c>
      <c r="F9" s="267">
        <f>(('Comparable multiples'!BB31*Revenue_FY1)-Total_Debt+Cash)/(Shares_Outstanding/1000000)</f>
        <v>128.41723563851377</v>
      </c>
      <c r="G9" s="25"/>
      <c r="H9" s="128">
        <f>D9</f>
        <v>7.9223227534409366</v>
      </c>
      <c r="I9" s="153">
        <f t="shared" si="10"/>
        <v>63.330966595426972</v>
      </c>
      <c r="J9" s="128">
        <f t="shared" si="10"/>
        <v>57.163946289645864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7.9223227534409366</v>
      </c>
      <c r="AW9" s="276">
        <f t="shared" si="5"/>
        <v>71.253289348867909</v>
      </c>
      <c r="AX9" s="276">
        <f t="shared" si="6"/>
        <v>128.41723563851377</v>
      </c>
      <c r="AY9" s="276"/>
      <c r="AZ9" s="276">
        <f t="shared" si="7"/>
        <v>7.9223227534409366</v>
      </c>
      <c r="BA9" s="276">
        <f t="shared" si="8"/>
        <v>63.330966595426972</v>
      </c>
      <c r="BB9" s="276">
        <f t="shared" si="9"/>
        <v>57.163946289645864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14.700025323665045</v>
      </c>
      <c r="E11" s="269">
        <f>(('Comparable multiples'!BA33*EBITDA_FY1)-Total_Debt+Cash)/(Shares_Outstanding/1000000)</f>
        <v>47.536568999698304</v>
      </c>
      <c r="F11" s="267">
        <f>(('Comparable multiples'!BB33*EBITDA_FY1)-Total_Debt+Cash)/(Shares_Outstanding/1000000)</f>
        <v>105.40409283760087</v>
      </c>
      <c r="G11" s="25"/>
      <c r="H11" s="128">
        <f>D11</f>
        <v>14.700025323665045</v>
      </c>
      <c r="I11" s="153">
        <f t="shared" si="10"/>
        <v>32.836543676033259</v>
      </c>
      <c r="J11" s="128">
        <f t="shared" si="10"/>
        <v>57.867523837902567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14.700025323665045</v>
      </c>
      <c r="AW11" s="276">
        <f t="shared" si="5"/>
        <v>47.536568999698304</v>
      </c>
      <c r="AX11" s="276">
        <f t="shared" si="6"/>
        <v>105.40409283760087</v>
      </c>
      <c r="AY11" s="276"/>
      <c r="AZ11" s="276">
        <f t="shared" si="7"/>
        <v>14.700025323665045</v>
      </c>
      <c r="BA11" s="276">
        <f t="shared" si="8"/>
        <v>32.836543676033259</v>
      </c>
      <c r="BB11" s="276">
        <f t="shared" si="9"/>
        <v>57.867523837902567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237.3</v>
      </c>
      <c r="E13" s="153" vm="1">
        <f ca="1">'Information from Python'!$F$5</f>
        <v>237.3</v>
      </c>
      <c r="F13" s="128" vm="1">
        <f ca="1">'Information from Python'!$F$5</f>
        <v>237.3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237.3</v>
      </c>
      <c r="AW13" s="276" vm="1">
        <f t="shared" ca="1" si="5"/>
        <v>237.3</v>
      </c>
      <c r="AX13" s="276" vm="1">
        <f t="shared" ca="1" si="6"/>
        <v>237.3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10" t="s">
        <v>149</v>
      </c>
      <c r="G4" s="310"/>
      <c r="H4" s="310"/>
      <c r="I4" s="310"/>
      <c r="J4" s="310"/>
      <c r="K4" s="310"/>
      <c r="L4" s="310"/>
      <c r="M4" s="310"/>
      <c r="N4" s="310"/>
      <c r="O4" s="310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12" t="s">
        <v>196</v>
      </c>
      <c r="D36" s="312"/>
      <c r="E36" s="312"/>
      <c r="F36" s="312"/>
      <c r="G36" s="312"/>
      <c r="H36" s="312"/>
      <c r="I36" s="312"/>
      <c r="J36" s="312"/>
      <c r="K36" s="312"/>
      <c r="L36" s="312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12" t="s">
        <v>196</v>
      </c>
      <c r="D50" s="312"/>
      <c r="E50" s="312"/>
      <c r="F50" s="312"/>
      <c r="G50" s="312"/>
      <c r="H50" s="312"/>
      <c r="I50" s="312"/>
      <c r="J50" s="312"/>
      <c r="K50" s="312"/>
      <c r="L50" s="312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237.3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13" t="s">
        <v>196</v>
      </c>
      <c r="D4" s="313"/>
      <c r="E4" s="313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2025-02-28T10:23:26Z</dcterms:modified>
</cp:coreProperties>
</file>