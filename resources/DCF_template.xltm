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24B93E29-97B9-184B-B694-986CA6B71D38}" xr6:coauthVersionLast="47" xr6:coauthVersionMax="47" xr10:uidLastSave="{00000000-0000-0000-0000-000000000000}"/>
  <bookViews>
    <workbookView xWindow="0" yWindow="740" windowWidth="29400" windowHeight="16500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21" i="4" l="1"/>
  <c r="Q221" i="4"/>
  <c r="P221" i="4"/>
  <c r="T221" i="4" s="1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U221" i="4" l="1"/>
  <c r="V221" i="4"/>
  <c r="V220" i="4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D7" i="3"/>
  <c r="H7" i="3" s="1"/>
  <c r="AZ7" i="3" s="1"/>
  <c r="F7" i="3"/>
  <c r="AX7" i="3" s="1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E49" i="4"/>
  <c r="E44" i="4"/>
  <c r="E43" i="4"/>
  <c r="L35" i="4" l="1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Q218" i="4" s="1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G10" i="4" l="1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Q165" i="4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H7" i="4" l="1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<sst xmlns="http://schemas.openxmlformats.org/spreadsheetml/2006/main" count="464" uniqueCount="293">
  <si>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</si>
  <si>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</si>
  <si>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</si>
  <si>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</si>
  <si>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</si>
  <si>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</si>
  <si>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</si>
  <si>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</si>
  <si>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</si>
  <si>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</si>
  <si>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</si>
  <si>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</si>
  <si>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</si>
  <si>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</si>
  <si>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</si>
  <si>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</si>
  <si>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</si>
  <si>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</si>
  <si>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</si>
  <si>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</si>
  <si>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</si>
  <si>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</si>
  <si>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</si>
  <si>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</si>
  <si>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</si>
  <si>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</si>
  <si>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</si>
  <si>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</si>
  <si>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</si>
  <si>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</si>
  <si>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</si>
  <si>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</si>
  <si>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</si>
  <si>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</si>
  <si>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</si>
  <si>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</si>
  <si>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</si>
  <si>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</si>
  <si>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</si>
  <si>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</si>
  <si>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</si>
  <si>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</si>
  <si>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</si>
  <si>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</si>
  <si>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</si>
  <si>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</si>
  <si>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</si>
  <si>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</si>
  <si>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</si>
  <si>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</si>
  <si>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</si>
  <si>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</si>
  <si>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</si>
  <si>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</si>
  <si>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</si>
  <si>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</si>
  <si>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</si>
  <si>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</si>
  <si>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</si>
  <si>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</si>
  <si>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</si>
  <si>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</si>
  <si>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</si>
  <si>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</si>
  <si>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</si>
  <si>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</si>
  <si>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</si>
  <si>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</si>
  <si>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</si>
  <si>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</si>
  <si>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</si>
  <si>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</si>
  <si>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</si>
  <si>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</si>
  <si>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</si>
  <si>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</si>
  <si>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</si>
  <si>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</si>
  <si>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</si>
  <si>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</si>
  <si>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</si>
  <si>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</si>
  <si>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</si>
  <si>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</si>
  <si>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</si>
  <si>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</si>
  <si>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</si>
  <si>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</si>
  <si>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</si>
  <si>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</si>
  <si>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</si>
  <si>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</si>
  <si>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</si>
  <si>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</si>
  <si>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</si>
  <si>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</si>
  <si>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</si>
  <si>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</si>
  <si>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</si>
  <si>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</si>
  <si>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</si>
  <si>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</si>
  <si>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</si>
  <si>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</si>
  <si>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</si>
  <si>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</si>
  <si>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</si>
  <si>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</si>
  <si>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</si>
  <si>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</si>
  <si>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</si>
  <si>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</si>
  <si>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</si>
  <si>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</si>
  <si>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</si>
  <si>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</si>
  <si>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</si>
  <si>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</si>
  <si>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</si>
  <si>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</si>
  <si>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</si>
  <si>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</si>
  <si>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</si>
  <si>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</si>
  <si>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</si>
  <si>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</si>
  <si>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</si>
  <si>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</si>
  <si>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</si>
  <si>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</si>
  <si>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</si>
  <si>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</si>
  <si>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</si>
  <si>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</si>
  <si>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</si>
  <si>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</si>
  <si>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</si>
  <si>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</si>
  <si>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</si>
  <si>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</si>
  <si>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</si>
  <si>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</si>
  <si>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</si>
  <si>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</si>
  <si>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</si>
  <si>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</si>
  <si>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</si>
  <si>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</si>
  <si>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</si>
  <si>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</si>
  <si>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</si>
  <si>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</si>
  <si>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</si>
  <si>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</si>
  <si>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</si>
  <si>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</si>
  <si>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</si>
  <si>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</si>
  <si>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</si>
  <si>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</si>
  <si>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</si>
  <si>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</si>
  <si>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</si>
  <si>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</si>
  <si>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</si>
  <si>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</si>
  <si>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</si>
  <si>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</si>
  <si>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</si>
  <si>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</si>
  <si>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</si>
  <si>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</si>
  <si>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</si>
  <si>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</si>
  <si>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</si>
  <si>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</si>
  <si>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</si>
  <si>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</si>
  <si>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</si>
  <si>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</si>
  <si>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</si>
  <si>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</si>
  <si>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</si>
  <si>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</si>
  <si>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</si>
  <si>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</si>
  <si>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</si>
  <si>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</si>
  <si>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</si>
  <si>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</si>
  <si>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</si>
  <si>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</si>
  <si>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</si>
  <si>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</si>
  <si>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</si>
  <si>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</si>
  <si>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</si>
  <si>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</si>
  <si>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</si>
  <si>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</si>
  <si>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</si>
  <si>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</si>
  <si>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</si>
  <si>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</si>
  <si>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</si>
  <si>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</si>
  <si>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</si>
  <si>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</si>
  <si>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</si>
  <si>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</si>
  <si>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</si>
  <si>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</si>
  <si>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</si>
  <si>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</si>
  <si>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</si>
  <si>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</si>
  <si>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</si>
  <si>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</si>
  <si>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</si>
  <si>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</si>
  <si>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</si>
  <si>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</si>
  <si>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</si>
  <si>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</si>
  <si>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</si>
  <si>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</si>
  <si>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</si>
  <si>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</si>
  <si>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</si>
  <si>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</si>
  <si>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</si>
  <si>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</si>
  <si>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</si>
  <si>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</si>
  <si>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</si>
  <si>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</si>
  <si>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</si>
  <si>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</si>
  <si>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</si>
  <si>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</si>
  <si>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</si>
  <si>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</si>
  <si>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</si>
  <si>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</si>
  <si>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</si>
  <si>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</si>
  <si>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</si>
  <si>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</si>
  <si>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</si>
  <si>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</si>
  <si>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</si>
  <si>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</si>
  <si>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</si>
  <si>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</si>
  <si>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</si>
  <si>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</si>
  <si>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</si>
  <si>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</si>
  <si>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</si>
  <si>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</si>
  <si>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</si>
  <si>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</si>
  <si>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</si>
  <si>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</si>
  <si>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</si>
  <si>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</si>
  <si>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</si>
  <si>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</si>
  <si>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</si>
  <si>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</si>
  <si>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</si>
  <si>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</si>
  <si>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</si>
  <si>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</si>
  <si>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</si>
  <si>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</si>
  <si>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</si>
  <si>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</si>
  <si>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</si>
  <si>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</si>
  <si>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</si>
  <si>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</si>
  <si>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</si>
  <si>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Exit EV/EBITDA estimates</t>
  </si>
  <si>
    <t>Input exit EV/EBITDA</t>
  </si>
  <si>
    <t>Input exit EV/Revenue</t>
  </si>
  <si>
    <t>Exit EV/Revenue estimates</t>
  </si>
  <si>
    <t>(2) Assume constant net debt</t>
  </si>
  <si>
    <t>(1) Assume no Special items unless specified otherwise</t>
  </si>
  <si>
    <t>Implied Y0 EV/EBITDA using perpetual growth rate</t>
  </si>
  <si>
    <t>Implied Y0 EV/EBITDA using EV/Revenue</t>
  </si>
  <si>
    <t>Implied Y0 EV/Revenue using perpetual growth rate</t>
  </si>
  <si>
    <t>Implied Y0 EV/Reneue using EV/EBITDA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</si>
</sst>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1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0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left" indent="1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6D49E05-684D-9F45-9E49-4E5837193F1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362134-08FB-8643-B97D-85D641EBF5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4A7E0D-3D20-514A-A165-3B01383EA99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#BLOCKED!</c:v>
                  </c:pt>
                  <c:pt idx="2">
                    <c:v>#BLOCKED!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36A768-7421-D445-AE45-4914D52896A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6EA073-4812-584A-8812-63C5FE9F6C5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431354-9853-0542-A2AA-0E04ACC675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#BLOCKED!</c:v>
                  </c:pt>
                  <c:pt idx="2">
                    <c:v>#BLOCKED!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FBCFCA1-6CD9-314E-8D96-32018A35149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594D0B-60BF-F743-8DD2-3F45A4709E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2E4F2B-485C-A543-9470-217764E4A1C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0C41F9-4E8F-F842-AA8C-BC76DD8902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0</c:v>
                </c:pt>
                <c:pt idx="1">
                  <c:v>9.0992993772289346</c:v>
                </c:pt>
                <c:pt idx="2">
                  <c:v>0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#BLOCKED!</c:v>
                  </c:pt>
                  <c:pt idx="1">
                    <c:v>9,10</c:v>
                  </c:pt>
                  <c:pt idx="2">
                    <c:v>#BLOCKED!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4576EC5-743C-F349-9C8A-909D2389860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9E1F2C-D95F-DC40-94D7-75557B2B0E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8E554B-A377-F341-99A6-FCD0E192EDD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CB46BE-8E08-5248-8ACF-BA571D7E1AB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0</c:v>
                </c:pt>
                <c:pt idx="1">
                  <c:v>1.8356480513733722</c:v>
                </c:pt>
                <c:pt idx="2">
                  <c:v>0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#BLOCKED!</c:v>
                  </c:pt>
                  <c:pt idx="1">
                    <c:v>10,93</c:v>
                  </c:pt>
                  <c:pt idx="2">
                    <c:v>#BLOCKED!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A7A4687-B62B-7245-8FCD-C6E7BE1C253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4553C0-A90A-ED43-B6F3-EDD7EB1EFE6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4A0CBA-B4C0-5F4D-86FD-8AB086F04C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D700F3-0206-104B-91F0-D51BA06CDE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0</c:v>
                </c:pt>
                <c:pt idx="1">
                  <c:v>2.7947608684547181</c:v>
                </c:pt>
                <c:pt idx="2">
                  <c:v>0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#BLOCKED!</c:v>
                  </c:pt>
                  <c:pt idx="1">
                    <c:v>13,73</c:v>
                  </c:pt>
                  <c:pt idx="2">
                    <c:v>#BLOCKED!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6BBA5AA-3359-CB43-A3DF-7FFDCE73318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353FD3-A3CD-1C41-9FA9-B2D1C2DD8F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E2441E-B21D-2848-8A34-5CC7A4623E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BEE777-B5C4-8A46-8A7B-656AC7105F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0</c:v>
                </c:pt>
                <c:pt idx="1">
                  <c:v>1.3912272388525655</c:v>
                </c:pt>
                <c:pt idx="2">
                  <c:v>0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#BLOCKED!</c:v>
                  </c:pt>
                  <c:pt idx="1">
                    <c:v>1,39</c:v>
                  </c:pt>
                  <c:pt idx="2">
                    <c:v>#BLOCKED!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000C07-7601-5142-BEC5-782785DECAF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D2D536-72A5-D140-8506-78B1CACF2C7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F6F8FE-488D-C740-A7E1-74F87A5B433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BAB0E7-CBD0-8E41-AB03-15641160BDB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0</c:v>
                </c:pt>
                <c:pt idx="1">
                  <c:v>0.28065936333605879</c:v>
                </c:pt>
                <c:pt idx="2">
                  <c:v>0</c:v>
                </c:pt>
                <c:pt idx="3">
                  <c:v>7.0500935898252877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#BLOCKED!</c:v>
                  </c:pt>
                  <c:pt idx="1">
                    <c:v>1,67</c:v>
                  </c:pt>
                  <c:pt idx="2">
                    <c:v>#BLOCKED!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E0AB865-8ACE-7341-A80C-12D6DC0A9DD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C983E0-2DAC-114C-998C-4464B63DFE2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B16A1F-D675-D449-8A36-136DC8A3362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1F06B1-0E67-734E-85DA-E54ECA89DEA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0</c:v>
                </c:pt>
                <c:pt idx="1">
                  <c:v>0.42730184875591326</c:v>
                </c:pt>
                <c:pt idx="2">
                  <c:v>0</c:v>
                </c:pt>
                <c:pt idx="3">
                  <c:v>7.4439996966093451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#BLOCKED!</c:v>
                  </c:pt>
                  <c:pt idx="1">
                    <c:v>2,10</c:v>
                  </c:pt>
                  <c:pt idx="2">
                    <c:v>#BLOCKED!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2FA0AC3-F10F-7F4B-9EC0-80E72F8CA31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5489A1-4D9C-AF47-AE27-542A52F3935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28002E-0F7D-BD4D-B992-9CE4E09BF4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0479D3-1ADC-794A-8E20-B8E91D6C3C8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007942-80B2-BF46-9968-91A2AE70DDC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1FED08-7C5B-C24F-9EF0-671495A9B59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9.8607521877802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9,86 €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1FC99EB-F221-3548-9CDF-1138E9228EB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A74717-5DDA-EF4E-902E-5B912735B26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3101B4-289C-D849-9CB0-107AA86E1BD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8A44CA-E404-2544-8E7C-8E00E666426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0A1040-DD81-494C-9F6A-FFC87355BF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9C7A37-2C4C-8140-885B-68C6A730A5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1.790157294337817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11,65 €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8DB3BC5-87C3-CB41-BE3B-B95E30E1694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632A11-120D-4249-95E2-983ECFC7E6F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F71A8F-F082-104B-BD6E-53393D9B065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6D4B93-5103-374B-A381-2BC5B74A6C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310DE3-ABB7-3C48-BE47-A0150B653A0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1C7DE4-815D-4649-9A4F-292C1F0C8E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2.7255015202129727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14,38 €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10</v>
    <v>1</v>
  </rv>
  <rv s="1">
    <v>10</v>
    <v>8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22" sqref="F22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236</v>
      </c>
      <c r="C4" s="272"/>
      <c r="D4" s="124"/>
    </row>
    <row r="5" spans="2:16384">
      <c r="B5" s="125"/>
      <c r="C5" s="273" t="s">
        <v>151</v>
      </c>
      <c r="D5" s="35"/>
    </row>
    <row r="6" spans="2:16384">
      <c r="B6" s="130" t="s">
        <v>93</v>
      </c>
      <c r="C6" s="273" t="s">
        <v>155</v>
      </c>
      <c r="D6" s="131">
        <v>0.1</v>
      </c>
    </row>
    <row r="7" spans="2:16384">
      <c r="B7" s="128"/>
      <c r="C7" s="273"/>
      <c r="D7" s="35"/>
    </row>
    <row r="8" spans="2:16384">
      <c r="B8" s="128" t="s">
        <v>86</v>
      </c>
      <c r="C8" s="273" t="s">
        <v>155</v>
      </c>
      <c r="D8" s="118">
        <f>Average_Gross_Margin</f>
        <v>0.72014242893006786</v>
      </c>
    </row>
    <row r="9" spans="2:16384">
      <c r="B9" s="128" t="s">
        <v>94</v>
      </c>
      <c r="C9" s="273" t="s">
        <v>155</v>
      </c>
      <c r="D9" s="118">
        <f>Growth_Sales</f>
        <v>0.1</v>
      </c>
    </row>
    <row r="10" spans="2:16384">
      <c r="B10" s="128" t="s">
        <v>96</v>
      </c>
      <c r="C10" s="273" t="s">
        <v>155</v>
      </c>
      <c r="D10" s="120">
        <v>0.02</v>
      </c>
    </row>
    <row r="11" spans="2:16384">
      <c r="B11" s="128"/>
      <c r="C11" s="273"/>
      <c r="D11" s="35"/>
    </row>
    <row r="12" spans="2:16384">
      <c r="B12" s="128" t="s">
        <v>118</v>
      </c>
      <c r="C12" s="273" t="s">
        <v>155</v>
      </c>
      <c r="D12" s="120">
        <v>0.03</v>
      </c>
    </row>
    <row r="13" spans="2:16384">
      <c r="B13" s="128" t="s">
        <v>119</v>
      </c>
      <c r="C13" s="273" t="s">
        <v>155</v>
      </c>
      <c r="D13" s="120">
        <v>0.02</v>
      </c>
    </row>
    <row r="14" spans="2:16384">
      <c r="B14" s="128"/>
      <c r="C14" s="273"/>
      <c r="D14" s="35"/>
    </row>
    <row r="15" spans="2:16384">
      <c r="B15" s="128" t="s">
        <v>237</v>
      </c>
      <c r="C15" s="273" t="s">
        <v>155</v>
      </c>
      <c r="D15" s="121">
        <v>1.4999999999999999E-2</v>
      </c>
    </row>
    <row r="16" spans="2:16384">
      <c r="B16" s="128"/>
      <c r="C16" s="273"/>
      <c r="D16" s="35"/>
    </row>
    <row r="17" spans="2:4">
      <c r="B17" s="128" t="s">
        <v>95</v>
      </c>
      <c r="C17" s="273" t="s">
        <v>155</v>
      </c>
      <c r="D17" s="120">
        <f>30%</f>
        <v>0.3</v>
      </c>
    </row>
    <row r="18" spans="2:4">
      <c r="B18" s="128" t="s">
        <v>238</v>
      </c>
      <c r="C18" s="273" t="s">
        <v>155</v>
      </c>
      <c r="D18" s="118">
        <f>ABS(Latest_Interest/Total_Debt_FY_minu1)</f>
        <v>2.7139874739039668E-2</v>
      </c>
    </row>
    <row r="19" spans="2:4">
      <c r="B19" s="128"/>
      <c r="C19" s="273"/>
      <c r="D19" s="35"/>
    </row>
    <row r="20" spans="2:4">
      <c r="B20" s="128" t="s">
        <v>241</v>
      </c>
      <c r="C20" s="273" t="s">
        <v>154</v>
      </c>
      <c r="D20" s="122">
        <f>Average_Inventory_Turnover</f>
        <v>5.4574954602297057</v>
      </c>
    </row>
    <row r="21" spans="2:4">
      <c r="B21" s="128" t="s">
        <v>239</v>
      </c>
      <c r="C21" s="273" t="s">
        <v>154</v>
      </c>
      <c r="D21" s="122">
        <f>Average_Receivables_Turnover</f>
        <v>26.392398910547467</v>
      </c>
    </row>
    <row r="22" spans="2:4">
      <c r="B22" s="129" t="s">
        <v>240</v>
      </c>
      <c r="C22" s="274" t="s">
        <v>154</v>
      </c>
      <c r="D22" s="127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abSelected="1" zoomScale="66" workbookViewId="0">
      <selection activeCell="B27" sqref="B27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3" t="s">
        <v>162</v>
      </c>
      <c r="C4" s="143"/>
      <c r="D4" s="144"/>
      <c r="E4" s="145"/>
      <c r="F4" s="146" t="s">
        <v>149</v>
      </c>
      <c r="G4" s="147"/>
      <c r="H4" s="146"/>
      <c r="I4" s="146"/>
      <c r="J4" s="146"/>
      <c r="K4" s="146"/>
      <c r="L4" s="146"/>
      <c r="M4" s="146"/>
      <c r="N4" s="146"/>
      <c r="O4" s="146"/>
    </row>
    <row r="5" spans="1:16" s="41" customFormat="1">
      <c r="A5"/>
      <c r="B5" s="148" t="s">
        <v>150</v>
      </c>
      <c r="C5" s="149" t="s">
        <v>151</v>
      </c>
      <c r="D5" s="150">
        <f>Start_Year-1</f>
        <v>2022</v>
      </c>
      <c r="E5" s="151">
        <f>Start_Year</f>
        <v>2023</v>
      </c>
      <c r="F5" s="152">
        <f t="shared" ref="F5:O5" si="0">IF(COLUMN()-COLUMN($E$5)&lt;=Years_Forecasted, E5+1, "")</f>
        <v>2024</v>
      </c>
      <c r="G5" s="153">
        <f t="shared" si="0"/>
        <v>2025</v>
      </c>
      <c r="H5" s="153">
        <f t="shared" si="0"/>
        <v>2026</v>
      </c>
      <c r="I5" s="153" t="str">
        <f t="shared" si="0"/>
        <v/>
      </c>
      <c r="J5" s="153" t="str">
        <f t="shared" si="0"/>
        <v/>
      </c>
      <c r="K5" s="153" t="str">
        <f t="shared" si="0"/>
        <v/>
      </c>
      <c r="L5" s="153" t="str">
        <f t="shared" si="0"/>
        <v/>
      </c>
      <c r="M5" s="153" t="str">
        <f t="shared" si="0"/>
        <v/>
      </c>
      <c r="N5" s="153" t="str">
        <f t="shared" si="0"/>
        <v/>
      </c>
      <c r="O5" s="153" t="str">
        <f t="shared" si="0"/>
        <v/>
      </c>
    </row>
    <row r="6" spans="1:16">
      <c r="B6" t="s">
        <v>44</v>
      </c>
      <c r="C6" s="154" t="s">
        <v>163</v>
      </c>
      <c r="D6" s="155">
        <f>'Income Statement Historic'!D6</f>
        <v>81462</v>
      </c>
      <c r="E6" s="156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7" t="s">
        <v>163</v>
      </c>
      <c r="D7" s="158">
        <f>'Income Statement Historic'!D7</f>
        <v>56862</v>
      </c>
      <c r="E7" s="159">
        <f>'Income Statement Historic'!C7</f>
        <v>74446</v>
      </c>
      <c r="F7" s="160">
        <f>IF(F5="","",F6*F30)</f>
        <v>76659.377602334411</v>
      </c>
      <c r="G7" s="160">
        <f t="shared" ref="G7:O7" si="2">IF(G5="","",G6*G30)</f>
        <v>84325.315362567853</v>
      </c>
      <c r="H7" s="160">
        <f t="shared" si="2"/>
        <v>92757.846898824646</v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2"/>
        <v/>
      </c>
      <c r="O7" s="160" t="str">
        <f t="shared" si="2"/>
        <v/>
      </c>
    </row>
    <row r="8" spans="1:16" outlineLevel="1">
      <c r="B8" s="161" t="s">
        <v>164</v>
      </c>
      <c r="C8" s="162" t="s">
        <v>163</v>
      </c>
      <c r="D8" s="163">
        <f>IF(D6="","",D6-D7)</f>
        <v>24600</v>
      </c>
      <c r="E8" s="164">
        <f>IF(E6="","",E6-E7)</f>
        <v>22327</v>
      </c>
      <c r="F8" s="163">
        <f t="shared" ref="F8:O8" si="3">IF(F6="","",F6-F7)</f>
        <v>29790.922397665592</v>
      </c>
      <c r="G8" s="163">
        <f t="shared" si="3"/>
        <v>32770.014637432163</v>
      </c>
      <c r="H8" s="163">
        <f t="shared" si="3"/>
        <v>36047.016101175381</v>
      </c>
      <c r="I8" s="163" t="str">
        <f t="shared" si="3"/>
        <v/>
      </c>
      <c r="J8" s="163" t="str">
        <f t="shared" si="3"/>
        <v/>
      </c>
      <c r="K8" s="163" t="str">
        <f t="shared" si="3"/>
        <v/>
      </c>
      <c r="L8" s="163" t="str">
        <f t="shared" si="3"/>
        <v/>
      </c>
      <c r="M8" s="163" t="str">
        <f t="shared" si="3"/>
        <v/>
      </c>
      <c r="N8" s="163" t="str">
        <f t="shared" si="3"/>
        <v/>
      </c>
      <c r="O8" s="163" t="str">
        <f t="shared" si="3"/>
        <v/>
      </c>
    </row>
    <row r="9" spans="1:16" outlineLevel="1">
      <c r="B9" s="1"/>
      <c r="C9" s="162"/>
      <c r="D9" s="163"/>
      <c r="E9" s="164"/>
      <c r="F9" s="163"/>
      <c r="G9" s="163"/>
      <c r="H9" s="163"/>
      <c r="I9" s="163"/>
      <c r="J9" s="163"/>
      <c r="K9" s="163"/>
      <c r="L9" s="163"/>
      <c r="M9" s="163"/>
      <c r="N9" s="163"/>
      <c r="O9" s="163"/>
    </row>
    <row r="10" spans="1:16">
      <c r="B10" s="165" t="s">
        <v>47</v>
      </c>
      <c r="C10" s="157" t="s">
        <v>163</v>
      </c>
      <c r="D10" s="158">
        <f>'Income Statement Historic'!D9</f>
        <v>7021</v>
      </c>
      <c r="E10" s="159">
        <f>'Income Statement Historic'!C9</f>
        <v>8769</v>
      </c>
      <c r="F10" s="160">
        <f>IF(F5="","",E10*(1+F31))</f>
        <v>9645.9000000000015</v>
      </c>
      <c r="G10" s="160">
        <f t="shared" ref="G10:O10" si="4">IF(G5="","",F10*(1+G31))</f>
        <v>10610.490000000002</v>
      </c>
      <c r="H10" s="160">
        <f>IF(H5="","",G10*(1+H31))</f>
        <v>11671.539000000002</v>
      </c>
      <c r="I10" s="160" t="str">
        <f t="shared" si="4"/>
        <v/>
      </c>
      <c r="J10" s="160" t="str">
        <f t="shared" si="4"/>
        <v/>
      </c>
      <c r="K10" s="160" t="str">
        <f t="shared" si="4"/>
        <v/>
      </c>
      <c r="L10" s="160" t="str">
        <f t="shared" si="4"/>
        <v/>
      </c>
      <c r="M10" s="160" t="str">
        <f t="shared" si="4"/>
        <v/>
      </c>
      <c r="N10" s="160" t="str">
        <f t="shared" si="4"/>
        <v/>
      </c>
      <c r="O10" s="160" t="str">
        <f t="shared" si="4"/>
        <v/>
      </c>
    </row>
    <row r="11" spans="1:16">
      <c r="B11" s="1" t="s">
        <v>49</v>
      </c>
      <c r="C11" s="162" t="s">
        <v>163</v>
      </c>
      <c r="D11" s="163">
        <f>IF(D8="","",D8-D10)</f>
        <v>17579</v>
      </c>
      <c r="E11" s="164">
        <f t="shared" ref="E11:O11" si="5">IF(E8="","",E8-E10)</f>
        <v>13558</v>
      </c>
      <c r="F11" s="163">
        <f t="shared" si="5"/>
        <v>20145.022397665591</v>
      </c>
      <c r="G11" s="163">
        <f t="shared" si="5"/>
        <v>22159.524637432161</v>
      </c>
      <c r="H11" s="163">
        <f t="shared" si="5"/>
        <v>24375.477101175376</v>
      </c>
      <c r="I11" s="163" t="str">
        <f t="shared" si="5"/>
        <v/>
      </c>
      <c r="J11" s="163" t="str">
        <f t="shared" si="5"/>
        <v/>
      </c>
      <c r="K11" s="163" t="str">
        <f t="shared" si="5"/>
        <v/>
      </c>
      <c r="L11" s="163" t="str">
        <f t="shared" si="5"/>
        <v/>
      </c>
      <c r="M11" s="163" t="str">
        <f t="shared" si="5"/>
        <v/>
      </c>
      <c r="N11" s="163" t="str">
        <f t="shared" si="5"/>
        <v/>
      </c>
      <c r="O11" s="163" t="str">
        <f t="shared" si="5"/>
        <v/>
      </c>
    </row>
    <row r="12" spans="1:16">
      <c r="C12" s="154"/>
      <c r="D12" s="155"/>
      <c r="E12" s="15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4" t="s">
        <v>163</v>
      </c>
      <c r="D13" s="155">
        <f>'Income Statement Historic'!D12</f>
        <v>114</v>
      </c>
      <c r="E13" s="156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5" t="s">
        <v>51</v>
      </c>
      <c r="C14" s="157" t="s">
        <v>163</v>
      </c>
      <c r="D14" s="158">
        <f>'Income Statement Historic'!D13</f>
        <v>-36</v>
      </c>
      <c r="E14" s="159">
        <f>'Income Statement Historic'!C13</f>
        <v>0</v>
      </c>
      <c r="F14" s="160">
        <f>IF(F5="","",0)</f>
        <v>0</v>
      </c>
      <c r="G14" s="160">
        <f t="shared" ref="G14:O14" si="7">IF(G5="","",0)</f>
        <v>0</v>
      </c>
      <c r="H14" s="160">
        <f t="shared" si="7"/>
        <v>0</v>
      </c>
      <c r="I14" s="160" t="str">
        <f t="shared" si="7"/>
        <v/>
      </c>
      <c r="J14" s="160" t="str">
        <f t="shared" si="7"/>
        <v/>
      </c>
      <c r="K14" s="160" t="str">
        <f t="shared" si="7"/>
        <v/>
      </c>
      <c r="L14" s="160" t="str">
        <f t="shared" si="7"/>
        <v/>
      </c>
      <c r="M14" s="160" t="str">
        <f t="shared" si="7"/>
        <v/>
      </c>
      <c r="N14" s="160" t="str">
        <f t="shared" si="7"/>
        <v/>
      </c>
      <c r="O14" s="160" t="str">
        <f t="shared" si="7"/>
        <v/>
      </c>
      <c r="P14" s="173">
        <v>1</v>
      </c>
    </row>
    <row r="15" spans="1:16">
      <c r="B15" s="1" t="s">
        <v>192</v>
      </c>
      <c r="C15" s="154" t="s">
        <v>163</v>
      </c>
      <c r="D15" s="166">
        <f>IF(D5&lt;&gt;"",SUM(D11:D14),"")</f>
        <v>17657</v>
      </c>
      <c r="E15" s="167">
        <f t="shared" ref="E15:O15" si="8">IF(E5&lt;&gt;"",SUM(E11:E14),"")</f>
        <v>14796</v>
      </c>
      <c r="F15" s="166">
        <f t="shared" si="8"/>
        <v>21407.782397665589</v>
      </c>
      <c r="G15" s="166">
        <f t="shared" si="8"/>
        <v>23447.539837432163</v>
      </c>
      <c r="H15" s="166">
        <f t="shared" si="8"/>
        <v>25689.252605175378</v>
      </c>
      <c r="I15" s="166" t="str">
        <f t="shared" si="8"/>
        <v/>
      </c>
      <c r="J15" s="166" t="str">
        <f t="shared" si="8"/>
        <v/>
      </c>
      <c r="K15" s="166" t="str">
        <f t="shared" si="8"/>
        <v/>
      </c>
      <c r="L15" s="166" t="str">
        <f t="shared" si="8"/>
        <v/>
      </c>
      <c r="M15" s="166" t="str">
        <f t="shared" si="8"/>
        <v/>
      </c>
      <c r="N15" s="166" t="str">
        <f t="shared" si="8"/>
        <v/>
      </c>
      <c r="O15" s="166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5" t="s">
        <v>48</v>
      </c>
      <c r="C17" s="157" t="s">
        <v>163</v>
      </c>
      <c r="D17" s="158">
        <f t="shared" ref="D17:O17" ca="1" si="9">D32</f>
        <v>3747</v>
      </c>
      <c r="E17" s="159">
        <f t="shared" ca="1" si="9"/>
        <v>4667</v>
      </c>
      <c r="F17" s="158">
        <f t="shared" ca="1" si="9"/>
        <v>5632.9396725001388</v>
      </c>
      <c r="G17" s="158">
        <f t="shared" ca="1" si="9"/>
        <v>6627.8575351752816</v>
      </c>
      <c r="H17" s="158">
        <f t="shared" ca="1" si="9"/>
        <v>7652.6229337306795</v>
      </c>
      <c r="I17" s="158" t="str">
        <f t="shared" si="9"/>
        <v/>
      </c>
      <c r="J17" s="158" t="str">
        <f t="shared" si="9"/>
        <v/>
      </c>
      <c r="K17" s="158" t="str">
        <f>K32</f>
        <v/>
      </c>
      <c r="L17" s="158" t="str">
        <f t="shared" si="9"/>
        <v/>
      </c>
      <c r="M17" s="158" t="str">
        <f t="shared" si="9"/>
        <v/>
      </c>
      <c r="N17" s="158" t="str">
        <f t="shared" si="9"/>
        <v/>
      </c>
      <c r="O17" s="158" t="str">
        <f t="shared" si="9"/>
        <v/>
      </c>
    </row>
    <row r="18" spans="1:16">
      <c r="B18" s="1" t="s">
        <v>1</v>
      </c>
      <c r="C18" s="162" t="s">
        <v>163</v>
      </c>
      <c r="D18" s="163">
        <f ca="1">IF(D11="","",D15-D17)</f>
        <v>13910</v>
      </c>
      <c r="E18" s="164">
        <f t="shared" ref="E18:O18" ca="1" si="10">IF(E11="","",E15-E17)</f>
        <v>10129</v>
      </c>
      <c r="F18" s="163">
        <f t="shared" ca="1" si="10"/>
        <v>15774.84272516545</v>
      </c>
      <c r="G18" s="163">
        <f t="shared" ca="1" si="10"/>
        <v>16819.682302256882</v>
      </c>
      <c r="H18" s="163">
        <f t="shared" ca="1" si="10"/>
        <v>18036.629671444698</v>
      </c>
      <c r="I18" s="163" t="str">
        <f t="shared" si="10"/>
        <v/>
      </c>
      <c r="J18" s="163" t="str">
        <f t="shared" si="10"/>
        <v/>
      </c>
      <c r="K18" s="163" t="str">
        <f t="shared" si="10"/>
        <v/>
      </c>
      <c r="L18" s="163" t="str">
        <f t="shared" si="10"/>
        <v/>
      </c>
      <c r="M18" s="163" t="str">
        <f t="shared" si="10"/>
        <v/>
      </c>
      <c r="N18" s="163" t="str">
        <f t="shared" si="10"/>
        <v/>
      </c>
      <c r="O18" s="163" t="str">
        <f t="shared" si="10"/>
        <v/>
      </c>
    </row>
    <row r="19" spans="1:16">
      <c r="B19" s="1"/>
      <c r="C19" s="162"/>
      <c r="D19" s="163"/>
      <c r="E19" s="164"/>
      <c r="F19" s="163"/>
      <c r="G19" s="163"/>
      <c r="H19" s="163"/>
      <c r="I19" s="163"/>
      <c r="J19" s="163"/>
      <c r="K19" s="163"/>
      <c r="L19" s="163"/>
      <c r="M19" s="163"/>
      <c r="N19" s="163"/>
      <c r="O19" s="163"/>
    </row>
    <row r="20" spans="1:16" ht="18">
      <c r="B20" s="165" t="s">
        <v>52</v>
      </c>
      <c r="C20" s="157" t="s">
        <v>163</v>
      </c>
      <c r="D20" s="158">
        <f>'Income Statement Historic'!D15</f>
        <v>-191</v>
      </c>
      <c r="E20" s="159">
        <f>'Income Statement Historic'!C15</f>
        <v>-156</v>
      </c>
      <c r="F20" s="160">
        <f>IF(F5="","",-Total_Debt_FY0*F35)</f>
        <v>-259.81002087682674</v>
      </c>
      <c r="G20" s="160">
        <f t="shared" ref="G20:O20" si="11">IF(G5="","",-Total_Debt_FY0*G35)</f>
        <v>-259.81002087682674</v>
      </c>
      <c r="H20" s="160">
        <f>IF(H5="","",-Total_Debt_FY0*H35)</f>
        <v>-259.81002087682674</v>
      </c>
      <c r="I20" s="160" t="str">
        <f t="shared" si="11"/>
        <v/>
      </c>
      <c r="J20" s="160" t="str">
        <f t="shared" si="11"/>
        <v/>
      </c>
      <c r="K20" s="160" t="str">
        <f t="shared" si="11"/>
        <v/>
      </c>
      <c r="L20" s="160" t="str">
        <f t="shared" si="11"/>
        <v/>
      </c>
      <c r="M20" s="160" t="str">
        <f t="shared" si="11"/>
        <v/>
      </c>
      <c r="N20" s="160" t="str">
        <f t="shared" si="11"/>
        <v/>
      </c>
      <c r="O20" s="160" t="str">
        <f t="shared" si="11"/>
        <v/>
      </c>
      <c r="P20" s="173">
        <v>2</v>
      </c>
    </row>
    <row r="21" spans="1:16">
      <c r="B21" s="1" t="s">
        <v>53</v>
      </c>
      <c r="C21" s="162" t="s">
        <v>163</v>
      </c>
      <c r="D21" s="163">
        <f ca="1">IF(D18="","",SUM(D18:D20))</f>
        <v>13719</v>
      </c>
      <c r="E21" s="164">
        <f t="shared" ref="E21:O21" ca="1" si="12">IF(E18="","",SUM(E18:E20))</f>
        <v>9973</v>
      </c>
      <c r="F21" s="163">
        <f t="shared" ca="1" si="12"/>
        <v>15515.032704288624</v>
      </c>
      <c r="G21" s="163">
        <f t="shared" ca="1" si="12"/>
        <v>16559.872281380056</v>
      </c>
      <c r="H21" s="163">
        <f t="shared" ca="1" si="12"/>
        <v>17776.819650567872</v>
      </c>
      <c r="I21" s="163" t="str">
        <f t="shared" si="12"/>
        <v/>
      </c>
      <c r="J21" s="163" t="str">
        <f t="shared" si="12"/>
        <v/>
      </c>
      <c r="K21" s="163" t="str">
        <f t="shared" si="12"/>
        <v/>
      </c>
      <c r="L21" s="163" t="str">
        <f t="shared" si="12"/>
        <v/>
      </c>
      <c r="M21" s="163" t="str">
        <f t="shared" si="12"/>
        <v/>
      </c>
      <c r="N21" s="163" t="str">
        <f t="shared" si="12"/>
        <v/>
      </c>
      <c r="O21" s="163" t="str">
        <f t="shared" si="12"/>
        <v/>
      </c>
    </row>
    <row r="22" spans="1:16">
      <c r="B22" s="1"/>
      <c r="C22" s="162"/>
      <c r="D22" s="163"/>
      <c r="E22" s="164"/>
      <c r="F22" s="163"/>
      <c r="G22" s="163"/>
      <c r="H22" s="163"/>
      <c r="I22" s="163"/>
      <c r="J22" s="163"/>
      <c r="K22" s="163"/>
      <c r="L22" s="163"/>
      <c r="M22" s="163"/>
      <c r="N22" s="163"/>
      <c r="O22" s="163"/>
    </row>
    <row r="23" spans="1:16">
      <c r="B23" t="s">
        <v>54</v>
      </c>
      <c r="C23" s="154" t="s">
        <v>163</v>
      </c>
      <c r="D23" s="155">
        <f>-'Income Statement Historic'!D17</f>
        <v>-1132</v>
      </c>
      <c r="E23" s="156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8" t="s">
        <v>163</v>
      </c>
      <c r="D24" s="169">
        <f ca="1">IF(D21="","",SUM(D21:D23))</f>
        <v>12587</v>
      </c>
      <c r="E24" s="170">
        <f t="shared" ref="E24:O24" ca="1" si="14">IF(E21="","",SUM(E21:E23))</f>
        <v>14974</v>
      </c>
      <c r="F24" s="169">
        <f t="shared" ca="1" si="14"/>
        <v>10860.522893002037</v>
      </c>
      <c r="G24" s="169">
        <f t="shared" ca="1" si="14"/>
        <v>11591.91059696604</v>
      </c>
      <c r="H24" s="169">
        <f t="shared" ca="1" si="14"/>
        <v>12443.773755397509</v>
      </c>
      <c r="I24" s="169" t="str">
        <f t="shared" si="14"/>
        <v/>
      </c>
      <c r="J24" s="169" t="str">
        <f t="shared" si="14"/>
        <v/>
      </c>
      <c r="K24" s="169" t="str">
        <f t="shared" si="14"/>
        <v/>
      </c>
      <c r="L24" s="169" t="str">
        <f t="shared" si="14"/>
        <v/>
      </c>
      <c r="M24" s="169" t="str">
        <f t="shared" si="14"/>
        <v/>
      </c>
      <c r="N24" s="169" t="str">
        <f t="shared" si="14"/>
        <v/>
      </c>
      <c r="O24" s="169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19">
        <f>Interest_Rate</f>
        <v>2.7139874739039668E-2</v>
      </c>
      <c r="F35" s="266">
        <f t="shared" ref="F35:O35" si="20">IF(F5&lt;&gt;"",Interest_Rate,"")</f>
        <v>2.7139874739039668E-2</v>
      </c>
      <c r="G35" s="266">
        <f t="shared" si="20"/>
        <v>2.7139874739039668E-2</v>
      </c>
      <c r="H35" s="266">
        <f t="shared" si="20"/>
        <v>2.7139874739039668E-2</v>
      </c>
      <c r="I35" s="266" t="str">
        <f t="shared" si="20"/>
        <v/>
      </c>
      <c r="J35" s="266" t="str">
        <f>IF(J5&lt;&gt;"",Interest_Rate,"")</f>
        <v/>
      </c>
      <c r="K35" s="266" t="str">
        <f t="shared" si="20"/>
        <v/>
      </c>
      <c r="L35" s="266" t="str">
        <f t="shared" si="20"/>
        <v/>
      </c>
      <c r="M35" s="266" t="str">
        <f t="shared" si="20"/>
        <v/>
      </c>
      <c r="N35" s="266" t="str">
        <f t="shared" si="20"/>
        <v/>
      </c>
      <c r="O35" s="266" t="str">
        <f t="shared" si="20"/>
        <v/>
      </c>
    </row>
    <row r="36" spans="1:16384" ht="17" customHeight="1">
      <c r="B36" s="329" t="s">
        <v>288</v>
      </c>
    </row>
    <row r="37" spans="1:16384" ht="17" customHeight="1">
      <c r="B37" s="329" t="s">
        <v>287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71" t="s">
        <v>137</v>
      </c>
      <c r="C41" s="171"/>
      <c r="D41" s="171"/>
      <c r="E41" s="171"/>
      <c r="F41" s="171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72">
        <f>Riskfree_Return</f>
        <v>0.04</v>
      </c>
      <c r="F43" s="173">
        <v>1</v>
      </c>
    </row>
    <row r="44" spans="1:16384" ht="18">
      <c r="B44" s="25" t="s">
        <v>138</v>
      </c>
      <c r="C44" s="25"/>
      <c r="D44" s="25"/>
      <c r="E44" s="174">
        <f>Beta_Equity</f>
        <v>1</v>
      </c>
      <c r="F44" s="173">
        <v>2</v>
      </c>
    </row>
    <row r="45" spans="1:16384" ht="19">
      <c r="B45" s="25" t="s">
        <v>158</v>
      </c>
      <c r="C45" s="25"/>
      <c r="D45" s="25"/>
      <c r="E45" s="172">
        <f>Risk_Premium</f>
        <v>3.0000000000000006E-2</v>
      </c>
      <c r="F45" s="173">
        <v>3</v>
      </c>
    </row>
    <row r="46" spans="1:16384" ht="17" customHeight="1">
      <c r="B46" s="175" t="s">
        <v>159</v>
      </c>
      <c r="C46" s="176"/>
      <c r="D46" s="177"/>
      <c r="E46" s="178">
        <f>E43+E44*E45</f>
        <v>7.0000000000000007E-2</v>
      </c>
      <c r="F46" s="179"/>
    </row>
    <row r="47" spans="1:16384" ht="17" customHeight="1">
      <c r="B47" s="25"/>
      <c r="C47" s="25"/>
      <c r="D47" s="25"/>
      <c r="E47" s="25"/>
      <c r="F47" s="173"/>
    </row>
    <row r="48" spans="1:16384" ht="18">
      <c r="B48" s="25" t="s">
        <v>139</v>
      </c>
      <c r="C48" s="25"/>
      <c r="D48" s="25"/>
      <c r="E48" s="180">
        <f>Interest_Rate</f>
        <v>2.7139874739039668E-2</v>
      </c>
      <c r="F48" s="173">
        <v>4</v>
      </c>
    </row>
    <row r="49" spans="2:15" ht="18">
      <c r="B49" s="25" t="s">
        <v>140</v>
      </c>
      <c r="C49" s="25"/>
      <c r="D49" s="25"/>
      <c r="E49" s="172">
        <f>Tax_Rate</f>
        <v>0.3</v>
      </c>
      <c r="F49" s="181"/>
    </row>
    <row r="50" spans="2:15" ht="19">
      <c r="B50" s="175" t="s">
        <v>160</v>
      </c>
      <c r="C50" s="176"/>
      <c r="D50" s="176"/>
      <c r="E50" s="178">
        <f>(1-E49)*E48</f>
        <v>1.8997912317327767E-2</v>
      </c>
      <c r="F50" s="179"/>
    </row>
    <row r="51" spans="2:15" ht="17" customHeight="1">
      <c r="B51" s="25"/>
      <c r="C51" s="25"/>
      <c r="D51" s="25"/>
      <c r="E51" s="25"/>
      <c r="F51" s="173"/>
    </row>
    <row r="52" spans="2:15" ht="17" customHeight="1">
      <c r="B52" s="182" t="s">
        <v>141</v>
      </c>
      <c r="C52" s="25"/>
      <c r="D52" s="25"/>
      <c r="E52" s="25"/>
      <c r="F52" s="173"/>
    </row>
    <row r="53" spans="2:15" ht="18">
      <c r="B53" s="183" t="s">
        <v>142</v>
      </c>
      <c r="C53" s="25"/>
      <c r="D53" s="184">
        <f>'Balance Sheet Historic'!C62</f>
        <v>9573</v>
      </c>
      <c r="E53" s="185">
        <f>D53/D55</f>
        <v>0.13257717395820351</v>
      </c>
      <c r="F53" s="173"/>
    </row>
    <row r="54" spans="2:15" ht="18">
      <c r="B54" s="183" t="s">
        <v>143</v>
      </c>
      <c r="C54" s="25"/>
      <c r="D54" s="184">
        <f>'Balance Sheet Historic'!C64</f>
        <v>62634</v>
      </c>
      <c r="E54" s="185">
        <f>D54/D55</f>
        <v>0.86742282604179655</v>
      </c>
      <c r="F54" s="173"/>
    </row>
    <row r="55" spans="2:15" ht="18">
      <c r="B55" s="186" t="s">
        <v>144</v>
      </c>
      <c r="C55" s="176"/>
      <c r="D55" s="187">
        <f>SUM(D53:D54)</f>
        <v>72207</v>
      </c>
      <c r="E55" s="188">
        <v>1</v>
      </c>
      <c r="F55" s="189"/>
    </row>
    <row r="56" spans="2:15" ht="18">
      <c r="B56" s="25"/>
      <c r="C56" s="25"/>
      <c r="D56" s="25"/>
      <c r="E56" s="25"/>
      <c r="F56" s="190"/>
    </row>
    <row r="57" spans="2:15" ht="17" thickBot="1">
      <c r="B57" s="191" t="s">
        <v>137</v>
      </c>
      <c r="C57" s="191"/>
      <c r="D57" s="191"/>
      <c r="E57" s="192">
        <f>E46*E54+E53*E50</f>
        <v>6.3238287349062824E-2</v>
      </c>
      <c r="F57" s="191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3" t="s">
        <v>148</v>
      </c>
      <c r="C63" s="193"/>
      <c r="D63" s="194"/>
      <c r="E63" s="195"/>
      <c r="F63" s="323" t="s">
        <v>149</v>
      </c>
      <c r="G63" s="323"/>
      <c r="H63" s="323"/>
      <c r="I63" s="323"/>
      <c r="J63" s="323"/>
      <c r="K63" s="323"/>
      <c r="L63" s="323"/>
      <c r="M63" s="323"/>
      <c r="N63" s="323"/>
      <c r="O63" s="323"/>
    </row>
    <row r="64" spans="2:15">
      <c r="B64" s="148" t="s">
        <v>150</v>
      </c>
      <c r="C64" s="148" t="s">
        <v>151</v>
      </c>
      <c r="D64" s="196">
        <f>E64-1</f>
        <v>2022</v>
      </c>
      <c r="E64" s="197">
        <f>Start_Year</f>
        <v>2023</v>
      </c>
      <c r="F64" s="198">
        <f t="shared" ref="F64:O64" si="21">IF(COLUMN()-COLUMN($E$64)&lt;=Years_Forecasted, E64+1, "")</f>
        <v>2024</v>
      </c>
      <c r="G64" s="198">
        <f t="shared" si="21"/>
        <v>2025</v>
      </c>
      <c r="H64" s="198">
        <f t="shared" si="21"/>
        <v>2026</v>
      </c>
      <c r="I64" s="198" t="str">
        <f t="shared" si="21"/>
        <v/>
      </c>
      <c r="J64" s="198" t="str">
        <f t="shared" si="21"/>
        <v/>
      </c>
      <c r="K64" s="198" t="str">
        <f t="shared" si="21"/>
        <v/>
      </c>
      <c r="L64" s="198" t="str">
        <f t="shared" si="21"/>
        <v/>
      </c>
      <c r="M64" s="198" t="str">
        <f t="shared" si="21"/>
        <v/>
      </c>
      <c r="N64" s="198" t="str">
        <f t="shared" si="21"/>
        <v/>
      </c>
      <c r="O64" s="198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8" t="s">
        <v>153</v>
      </c>
      <c r="D66" s="199">
        <f>IF('Income Statement Historic'!D14&lt;&gt;"",'Income Statement Historic'!D14, "")</f>
        <v>13910</v>
      </c>
      <c r="E66" s="200">
        <f>IF('Income Statement Historic'!C14&lt;&gt;"",'Income Statement Historic'!C14, "")</f>
        <v>10129</v>
      </c>
      <c r="F66" s="199">
        <f ca="1">IF(F64="","",F18)</f>
        <v>15774.84272516545</v>
      </c>
      <c r="G66" s="199">
        <f t="shared" ref="G66:O66" ca="1" si="22">IF(G64="","",G18)</f>
        <v>16819.682302256882</v>
      </c>
      <c r="H66" s="199">
        <f t="shared" ca="1" si="22"/>
        <v>18036.629671444698</v>
      </c>
      <c r="I66" s="199" t="str">
        <f t="shared" si="22"/>
        <v/>
      </c>
      <c r="J66" s="199" t="str">
        <f t="shared" si="22"/>
        <v/>
      </c>
      <c r="K66" s="199" t="str">
        <f t="shared" si="22"/>
        <v/>
      </c>
      <c r="L66" s="199" t="str">
        <f t="shared" si="22"/>
        <v/>
      </c>
      <c r="M66" s="199" t="str">
        <f t="shared" si="22"/>
        <v/>
      </c>
      <c r="N66" s="199" t="str">
        <f t="shared" si="22"/>
        <v/>
      </c>
      <c r="O66" s="199" t="str">
        <f t="shared" si="22"/>
        <v/>
      </c>
    </row>
    <row r="67" spans="2:16 16368:16368">
      <c r="B67" s="25" t="str">
        <f>"Taxes @ "&amp;TEXT(Tax_Rate,"0.0%")</f>
        <v>Taxes @ 30%</v>
      </c>
      <c r="C67" s="148" t="s">
        <v>153</v>
      </c>
      <c r="D67" s="199">
        <f>IF(D64="","",-D66*Tax_Rate)</f>
        <v>-4173</v>
      </c>
      <c r="E67" s="200">
        <f>IF(E64="","",-E66*Tax_Rate)</f>
        <v>-3038.7</v>
      </c>
      <c r="F67" s="199">
        <f ca="1">IF(F64="","",-F66*F34)</f>
        <v>-4732.4528175496353</v>
      </c>
      <c r="G67" s="199">
        <f t="shared" ref="G67:O67" ca="1" si="23">IF(G64="","",-G66*G34)</f>
        <v>-5045.9046906770645</v>
      </c>
      <c r="H67" s="199">
        <f t="shared" ca="1" si="23"/>
        <v>-5410.9889014334094</v>
      </c>
      <c r="I67" s="199" t="str">
        <f t="shared" si="23"/>
        <v/>
      </c>
      <c r="J67" s="199" t="str">
        <f t="shared" si="23"/>
        <v/>
      </c>
      <c r="K67" s="199" t="str">
        <f t="shared" si="23"/>
        <v/>
      </c>
      <c r="L67" s="199" t="str">
        <f t="shared" si="23"/>
        <v/>
      </c>
      <c r="M67" s="199" t="str">
        <f t="shared" si="23"/>
        <v/>
      </c>
      <c r="N67" s="199" t="str">
        <f t="shared" si="23"/>
        <v/>
      </c>
      <c r="O67" s="199" t="str">
        <f t="shared" si="23"/>
        <v/>
      </c>
    </row>
    <row r="68" spans="2:16 16368:16368">
      <c r="B68" s="201" t="s">
        <v>2</v>
      </c>
      <c r="C68" s="202" t="s">
        <v>153</v>
      </c>
      <c r="D68" s="203">
        <f>IF(SUM(D66:D67)=0,"",SUM(D66:D67))</f>
        <v>9737</v>
      </c>
      <c r="E68" s="204">
        <f>IF(SUM(E66:E67)=0,"",SUM(E66:E67))</f>
        <v>7090.3</v>
      </c>
      <c r="F68" s="203">
        <f ca="1">IF(SUM(F66:F67)=0,"",SUM(F66:F67))</f>
        <v>11042.389907615816</v>
      </c>
      <c r="G68" s="203">
        <f ca="1">IF(SUM(G66:G67)=0,"",SUM(G66:G67))</f>
        <v>11773.777611579819</v>
      </c>
      <c r="H68" s="203">
        <f ca="1">IF(SUM(H66:H67)=0,"",SUM(H66:H67))</f>
        <v>12625.640770011289</v>
      </c>
      <c r="I68" s="203" t="str">
        <f t="shared" ref="I68:P68" si="24">IF(SUM(I66:I67)=0,"",SUM(I66:I67))</f>
        <v/>
      </c>
      <c r="J68" s="203" t="str">
        <f t="shared" si="24"/>
        <v/>
      </c>
      <c r="K68" s="203" t="str">
        <f t="shared" si="24"/>
        <v/>
      </c>
      <c r="L68" s="203" t="str">
        <f t="shared" si="24"/>
        <v/>
      </c>
      <c r="M68" s="203" t="str">
        <f t="shared" si="24"/>
        <v/>
      </c>
      <c r="N68" s="203" t="str">
        <f t="shared" si="24"/>
        <v/>
      </c>
      <c r="O68" s="203" t="str">
        <f t="shared" si="24"/>
        <v/>
      </c>
      <c r="P68" s="2" t="str">
        <f t="shared" si="24"/>
        <v/>
      </c>
    </row>
    <row r="69" spans="2:16 16368:16368">
      <c r="B69" s="25"/>
      <c r="C69" s="148"/>
      <c r="D69" s="199"/>
      <c r="E69" s="200"/>
      <c r="F69" s="199"/>
      <c r="G69" s="199"/>
      <c r="H69" s="199"/>
      <c r="I69" s="199"/>
      <c r="J69" s="199"/>
      <c r="K69" s="199"/>
      <c r="L69" s="199"/>
      <c r="M69" s="199"/>
      <c r="N69" s="199"/>
      <c r="O69" s="199"/>
    </row>
    <row r="70" spans="2:16 16368:16368">
      <c r="B70" s="25" t="s">
        <v>3</v>
      </c>
      <c r="C70" s="148" t="s">
        <v>153</v>
      </c>
      <c r="D70" s="199">
        <f ca="1">D83</f>
        <v>-7163</v>
      </c>
      <c r="E70" s="200">
        <f t="shared" ref="E70:O70" ca="1" si="25">E83</f>
        <v>-8899</v>
      </c>
      <c r="F70" s="199">
        <f t="shared" ca="1" si="25"/>
        <v>-9165.9699999999993</v>
      </c>
      <c r="G70" s="199">
        <f t="shared" ca="1" si="25"/>
        <v>-9440.9490999999998</v>
      </c>
      <c r="H70" s="199">
        <f t="shared" ca="1" si="25"/>
        <v>-9724.1775730000008</v>
      </c>
      <c r="I70" s="199" t="str">
        <f t="shared" ca="1" si="25"/>
        <v/>
      </c>
      <c r="J70" s="199" t="str">
        <f t="shared" ca="1" si="25"/>
        <v/>
      </c>
      <c r="K70" s="199" t="str">
        <f t="shared" ca="1" si="25"/>
        <v/>
      </c>
      <c r="L70" s="199" t="str">
        <f t="shared" ca="1" si="25"/>
        <v/>
      </c>
      <c r="M70" s="199" t="str">
        <f t="shared" ca="1" si="25"/>
        <v/>
      </c>
      <c r="N70" s="199" t="str">
        <f t="shared" ca="1" si="25"/>
        <v/>
      </c>
      <c r="O70" s="199" t="str">
        <f t="shared" ca="1" si="25"/>
        <v/>
      </c>
    </row>
    <row r="71" spans="2:16 16368:16368">
      <c r="B71" s="25" t="s">
        <v>4</v>
      </c>
      <c r="C71" s="148" t="s">
        <v>153</v>
      </c>
      <c r="D71" s="199">
        <f ca="1">D32</f>
        <v>3747</v>
      </c>
      <c r="E71" s="200">
        <f t="shared" ref="E71:O71" ca="1" si="26">E32</f>
        <v>4667</v>
      </c>
      <c r="F71" s="199">
        <f t="shared" ca="1" si="26"/>
        <v>5632.9396725001388</v>
      </c>
      <c r="G71" s="199">
        <f t="shared" ca="1" si="26"/>
        <v>6627.8575351752816</v>
      </c>
      <c r="H71" s="199">
        <f t="shared" ca="1" si="26"/>
        <v>7652.6229337306795</v>
      </c>
      <c r="I71" s="199" t="str">
        <f t="shared" si="26"/>
        <v/>
      </c>
      <c r="J71" s="199" t="str">
        <f t="shared" si="26"/>
        <v/>
      </c>
      <c r="K71" s="199" t="str">
        <f t="shared" si="26"/>
        <v/>
      </c>
      <c r="L71" s="199" t="str">
        <f t="shared" si="26"/>
        <v/>
      </c>
      <c r="M71" s="199" t="str">
        <f t="shared" si="26"/>
        <v/>
      </c>
      <c r="N71" s="199" t="str">
        <f t="shared" si="26"/>
        <v/>
      </c>
      <c r="O71" s="199" t="str">
        <f t="shared" si="26"/>
        <v/>
      </c>
    </row>
    <row r="72" spans="2:16 16368:16368">
      <c r="B72" s="25" t="s">
        <v>152</v>
      </c>
      <c r="C72" s="148" t="s">
        <v>153</v>
      </c>
      <c r="D72" s="199">
        <f>IF(D84&lt;&gt;"",-D84,"")</f>
        <v>-2978</v>
      </c>
      <c r="E72" s="200">
        <f t="shared" ref="E72:O72" si="27">IF(E84&lt;&gt;"",-E84,"")</f>
        <v>-2190</v>
      </c>
      <c r="F72" s="199">
        <f t="shared" si="27"/>
        <v>-2233.8000000000002</v>
      </c>
      <c r="G72" s="199">
        <f t="shared" si="27"/>
        <v>-2278.4760000000001</v>
      </c>
      <c r="H72" s="199">
        <f t="shared" si="27"/>
        <v>-2324.0455200000001</v>
      </c>
      <c r="I72" s="199" t="str">
        <f t="shared" si="27"/>
        <v/>
      </c>
      <c r="J72" s="199" t="str">
        <f t="shared" si="27"/>
        <v/>
      </c>
      <c r="K72" s="199" t="str">
        <f t="shared" si="27"/>
        <v/>
      </c>
      <c r="L72" s="199" t="str">
        <f t="shared" si="27"/>
        <v/>
      </c>
      <c r="M72" s="199" t="str">
        <f t="shared" si="27"/>
        <v/>
      </c>
      <c r="N72" s="199" t="str">
        <f t="shared" si="27"/>
        <v/>
      </c>
      <c r="O72" s="199" t="str">
        <f t="shared" si="27"/>
        <v/>
      </c>
    </row>
    <row r="73" spans="2:16 16368:16368">
      <c r="B73" s="25"/>
      <c r="C73" s="148"/>
      <c r="D73" s="199"/>
      <c r="E73" s="200"/>
      <c r="F73" s="199"/>
      <c r="G73" s="205"/>
      <c r="H73" s="199"/>
      <c r="I73" s="199"/>
      <c r="J73" s="199"/>
      <c r="K73" s="199"/>
      <c r="L73" s="199"/>
      <c r="M73" s="199"/>
      <c r="N73" s="199"/>
      <c r="O73" s="199"/>
    </row>
    <row r="74" spans="2:16 16368:16368" ht="17" thickBot="1">
      <c r="B74" s="206" t="s">
        <v>5</v>
      </c>
      <c r="C74" s="207" t="s">
        <v>153</v>
      </c>
      <c r="D74" s="208">
        <f ca="1">IF(SUM(D68:D72)=0,"",SUM(D68:D72))</f>
        <v>3343</v>
      </c>
      <c r="E74" s="209">
        <f t="shared" ref="E74:O74" ca="1" si="28">IF(SUM(E68:E72)=0,"",SUM(E68:E72))</f>
        <v>668.30000000000018</v>
      </c>
      <c r="F74" s="208">
        <f t="shared" ca="1" si="28"/>
        <v>5275.5595801159552</v>
      </c>
      <c r="G74" s="210">
        <f t="shared" ca="1" si="28"/>
        <v>6682.2100467551008</v>
      </c>
      <c r="H74" s="208">
        <f ca="1">IF(SUM(H68:H72)=0,"",SUM(H68:H72))</f>
        <v>8230.0406107419676</v>
      </c>
      <c r="I74" s="208" t="str">
        <f t="shared" ca="1" si="28"/>
        <v/>
      </c>
      <c r="J74" s="208" t="str">
        <f t="shared" ca="1" si="28"/>
        <v/>
      </c>
      <c r="K74" s="208" t="str">
        <f t="shared" ca="1" si="28"/>
        <v/>
      </c>
      <c r="L74" s="208" t="str">
        <f t="shared" ca="1" si="28"/>
        <v/>
      </c>
      <c r="M74" s="208" t="str">
        <f t="shared" ca="1" si="28"/>
        <v/>
      </c>
      <c r="N74" s="208" t="str">
        <f t="shared" ca="1" si="28"/>
        <v/>
      </c>
      <c r="O74" s="208" t="str">
        <f t="shared" ca="1" si="28"/>
        <v/>
      </c>
    </row>
    <row r="75" spans="2:16 16368:16368" ht="17" thickTop="1">
      <c r="B75" s="25"/>
      <c r="C75" s="148"/>
      <c r="D75" s="199"/>
      <c r="E75" s="200"/>
      <c r="F75" s="199"/>
      <c r="G75" s="199"/>
      <c r="H75" s="199"/>
      <c r="I75" s="199"/>
      <c r="J75" s="199"/>
      <c r="K75" s="199"/>
      <c r="L75" s="199"/>
      <c r="M75" s="199"/>
      <c r="N75" s="199"/>
      <c r="O75" s="199"/>
    </row>
    <row r="76" spans="2:16 16368:16368">
      <c r="B76" s="25" t="s">
        <v>6</v>
      </c>
      <c r="C76" s="148" t="s">
        <v>154</v>
      </c>
      <c r="D76" s="199"/>
      <c r="E76" s="200"/>
      <c r="F76" s="199">
        <f t="shared" ref="F76:O76" ca="1" si="29">IF(F74&lt;&gt;"",E76+1, "")</f>
        <v>1</v>
      </c>
      <c r="G76" s="199">
        <f t="shared" ca="1" si="29"/>
        <v>2</v>
      </c>
      <c r="H76" s="199">
        <f ca="1">IF(H74&lt;&gt;"",G76+1, "")</f>
        <v>3</v>
      </c>
      <c r="I76" s="199" t="str">
        <f t="shared" ca="1" si="29"/>
        <v/>
      </c>
      <c r="J76" s="199" t="str">
        <f t="shared" ca="1" si="29"/>
        <v/>
      </c>
      <c r="K76" s="199" t="str">
        <f t="shared" ca="1" si="29"/>
        <v/>
      </c>
      <c r="L76" s="199" t="str">
        <f t="shared" ca="1" si="29"/>
        <v/>
      </c>
      <c r="M76" s="199" t="str">
        <f t="shared" ca="1" si="29"/>
        <v/>
      </c>
      <c r="N76" s="199" t="str">
        <f t="shared" ca="1" si="29"/>
        <v/>
      </c>
      <c r="O76" s="199" t="str">
        <f t="shared" ca="1" si="29"/>
        <v/>
      </c>
      <c r="XEN76" s="20"/>
    </row>
    <row r="77" spans="2:16 16368:16368">
      <c r="B77" s="25" t="s">
        <v>7</v>
      </c>
      <c r="C77" s="148" t="s">
        <v>155</v>
      </c>
      <c r="D77" s="199"/>
      <c r="E77" s="200"/>
      <c r="F77" s="211">
        <f>IF(F64&lt;&gt;"",WACC,"")</f>
        <v>6.3238287349062824E-2</v>
      </c>
      <c r="G77" s="211">
        <f t="shared" ref="G77:O77" si="30">IF(G64&lt;&gt;"",WACC,"")</f>
        <v>6.3238287349062824E-2</v>
      </c>
      <c r="H77" s="211">
        <f t="shared" si="30"/>
        <v>6.3238287349062824E-2</v>
      </c>
      <c r="I77" s="211" t="str">
        <f t="shared" si="30"/>
        <v/>
      </c>
      <c r="J77" s="211" t="str">
        <f t="shared" si="30"/>
        <v/>
      </c>
      <c r="K77" s="211" t="str">
        <f t="shared" si="30"/>
        <v/>
      </c>
      <c r="L77" s="211" t="str">
        <f t="shared" si="30"/>
        <v/>
      </c>
      <c r="M77" s="211" t="str">
        <f t="shared" si="30"/>
        <v/>
      </c>
      <c r="N77" s="211" t="str">
        <f t="shared" si="30"/>
        <v/>
      </c>
      <c r="O77" s="211" t="str">
        <f t="shared" si="30"/>
        <v/>
      </c>
    </row>
    <row r="78" spans="2:16 16368:16368">
      <c r="B78" s="25"/>
      <c r="C78" s="148"/>
      <c r="D78" s="199"/>
      <c r="E78" s="200"/>
      <c r="F78" s="199"/>
      <c r="G78" s="199"/>
      <c r="H78" s="199"/>
      <c r="I78" s="199"/>
      <c r="J78" s="199"/>
      <c r="K78" s="199"/>
      <c r="L78" s="199"/>
      <c r="M78" s="199"/>
      <c r="N78" s="199"/>
      <c r="O78" s="199"/>
    </row>
    <row r="79" spans="2:16 16368:16368" ht="17" thickBot="1">
      <c r="B79" s="212" t="s">
        <v>8</v>
      </c>
      <c r="C79" s="213" t="s">
        <v>153</v>
      </c>
      <c r="D79" s="214"/>
      <c r="E79" s="215"/>
      <c r="F79" s="214">
        <f ca="1">IF(F64&lt;&gt;"",F74/(1+F77)^F76,"")</f>
        <v>4961.7848067429313</v>
      </c>
      <c r="G79" s="214">
        <f t="shared" ref="G79:O79" ca="1" si="31">IF(G64&lt;&gt;"",G74/(1+G77)^G76,"")</f>
        <v>5910.9720878564794</v>
      </c>
      <c r="H79" s="214">
        <f t="shared" ca="1" si="31"/>
        <v>6847.1549591427893</v>
      </c>
      <c r="I79" s="214" t="str">
        <f t="shared" si="31"/>
        <v/>
      </c>
      <c r="J79" s="214" t="str">
        <f t="shared" si="31"/>
        <v/>
      </c>
      <c r="K79" s="214" t="str">
        <f t="shared" si="31"/>
        <v/>
      </c>
      <c r="L79" s="214" t="str">
        <f t="shared" si="31"/>
        <v/>
      </c>
      <c r="M79" s="214" t="str">
        <f t="shared" si="31"/>
        <v/>
      </c>
      <c r="N79" s="214" t="str">
        <f t="shared" si="31"/>
        <v/>
      </c>
      <c r="O79" s="214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67">
        <f>IF(F64&lt;&gt;"",E84*(1+F85),"")</f>
        <v>2233.8000000000002</v>
      </c>
      <c r="G84" s="267">
        <f t="shared" ref="G84:O84" si="32">IF(G64&lt;&gt;"",F84*(1+G85),"")</f>
        <v>2278.4760000000001</v>
      </c>
      <c r="H84" s="267">
        <f t="shared" si="32"/>
        <v>2324.0455200000001</v>
      </c>
      <c r="I84" s="267" t="str">
        <f t="shared" si="32"/>
        <v/>
      </c>
      <c r="J84" s="267" t="str">
        <f t="shared" si="32"/>
        <v/>
      </c>
      <c r="K84" s="267" t="str">
        <f t="shared" si="32"/>
        <v/>
      </c>
      <c r="L84" s="267" t="str">
        <f t="shared" si="32"/>
        <v/>
      </c>
      <c r="M84" s="267" t="str">
        <f t="shared" si="32"/>
        <v/>
      </c>
      <c r="N84" s="267" t="str">
        <f t="shared" si="32"/>
        <v/>
      </c>
      <c r="O84" s="267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257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6" t="s">
        <v>172</v>
      </c>
      <c r="C92" s="227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203</v>
      </c>
      <c r="C101" s="6">
        <f>Shares_Outstanding / 1000000</f>
        <v>15171.99</v>
      </c>
    </row>
    <row r="102" spans="2:22">
      <c r="B102" s="14" t="s">
        <v>134</v>
      </c>
      <c r="C102" s="287">
        <f ca="1">C100/C101</f>
        <v>11.650909482118017</v>
      </c>
    </row>
    <row r="104" spans="2:22">
      <c r="B104" s="1" t="s">
        <v>260</v>
      </c>
      <c r="C104" s="276">
        <f ca="1">$C$96/EBITDA_FY0</f>
        <v>10.934947428602307</v>
      </c>
    </row>
    <row r="105" spans="2:22">
      <c r="B105" s="275" t="s">
        <v>261</v>
      </c>
      <c r="C105" s="277">
        <f ca="1">$C$96/Revenue_FY0</f>
        <v>1.6718866021886243</v>
      </c>
    </row>
    <row r="108" spans="2:22">
      <c r="B108" s="216" t="s">
        <v>120</v>
      </c>
      <c r="C108" s="216"/>
      <c r="D108" s="216"/>
      <c r="E108" s="216"/>
      <c r="F108" s="216"/>
      <c r="G108" s="216"/>
      <c r="H108" s="216"/>
      <c r="I108" s="8"/>
      <c r="J108" s="9"/>
      <c r="K108" s="10" t="s">
        <v>121</v>
      </c>
    </row>
    <row r="109" spans="2:22">
      <c r="B109" s="320" t="s">
        <v>110</v>
      </c>
      <c r="C109" s="321" t="s">
        <v>122</v>
      </c>
      <c r="D109" s="321"/>
      <c r="E109" s="321"/>
      <c r="F109" s="321"/>
      <c r="G109" s="321"/>
      <c r="H109" s="321"/>
      <c r="I109" s="8"/>
      <c r="J109" s="11" t="s">
        <v>123</v>
      </c>
      <c r="K109" s="16">
        <v>2.5000000000000001E-3</v>
      </c>
      <c r="O109" s="322" t="s">
        <v>282</v>
      </c>
      <c r="P109" s="322"/>
      <c r="Q109" s="322"/>
      <c r="R109" s="322"/>
    </row>
    <row r="110" spans="2:22" ht="17" thickBot="1">
      <c r="B110" s="320"/>
      <c r="C110" s="288">
        <f ca="1">$C$102</f>
        <v>11.650909482118017</v>
      </c>
      <c r="D110" s="218">
        <f>E110-$K$109</f>
        <v>9.9999999999999985E-3</v>
      </c>
      <c r="E110" s="218">
        <f>F110-$K$109</f>
        <v>1.2499999999999999E-2</v>
      </c>
      <c r="F110" s="219">
        <f>Perpetuity_Growth_Rate</f>
        <v>1.4999999999999999E-2</v>
      </c>
      <c r="G110" s="218">
        <f>F110+$K$109</f>
        <v>1.7499999999999998E-2</v>
      </c>
      <c r="H110" s="218">
        <f>G110+$K$109</f>
        <v>1.9999999999999997E-2</v>
      </c>
      <c r="I110" s="8"/>
      <c r="O110" s="25"/>
      <c r="P110" s="253" t="s">
        <v>223</v>
      </c>
      <c r="Q110" s="253" t="s">
        <v>234</v>
      </c>
      <c r="R110" s="253" t="s">
        <v>224</v>
      </c>
      <c r="T110" s="254" t="s">
        <v>231</v>
      </c>
      <c r="U110" s="254" t="s">
        <v>232</v>
      </c>
      <c r="V110" s="254" t="s">
        <v>233</v>
      </c>
    </row>
    <row r="111" spans="2:22">
      <c r="B111" s="320"/>
      <c r="C111" s="218">
        <f>C112-$K$111</f>
        <v>5.823828734906282E-2</v>
      </c>
      <c r="D111" s="289">
        <f t="dataTable" ref="D111:H115" dt2D="1" dtr="1" r1="I94" r2="E57" ca="1"/>
        <v>11.750365923122569</v>
      </c>
      <c r="E111" s="290">
        <v>12.299224834060901</v>
      </c>
      <c r="F111" s="291">
        <v>12.911552830454372</v>
      </c>
      <c r="G111" s="290">
        <v>13.599034697596851</v>
      </c>
      <c r="H111" s="290">
        <v>14.37641100233099</v>
      </c>
      <c r="I111" s="8"/>
      <c r="J111" s="11" t="s">
        <v>110</v>
      </c>
      <c r="K111" s="16">
        <v>2.5000000000000001E-3</v>
      </c>
      <c r="O111" s="255" t="s">
        <v>279</v>
      </c>
      <c r="P111" s="294">
        <f>MIN(D110:H110)</f>
        <v>9.9999999999999985E-3</v>
      </c>
      <c r="Q111" s="298">
        <f>I94</f>
        <v>1.4999999999999999E-2</v>
      </c>
      <c r="R111" s="296">
        <f>MAX(D110:H110)</f>
        <v>1.9999999999999997E-2</v>
      </c>
      <c r="T111" s="300">
        <f>P111</f>
        <v>9.9999999999999985E-3</v>
      </c>
      <c r="U111" s="301">
        <f>Q111-P111</f>
        <v>5.000000000000001E-3</v>
      </c>
      <c r="V111" s="300">
        <f>R111-Q111</f>
        <v>4.9999999999999975E-3</v>
      </c>
    </row>
    <row r="112" spans="2:22">
      <c r="B112" s="320"/>
      <c r="C112" s="218">
        <f>C113-$K$111</f>
        <v>6.0738287349062822E-2</v>
      </c>
      <c r="D112" s="292">
        <v>11.208020607872035</v>
      </c>
      <c r="E112" s="293">
        <v>11.700462810523559</v>
      </c>
      <c r="F112" s="293">
        <v>12.246737615049016</v>
      </c>
      <c r="G112" s="293">
        <v>12.856182683479174</v>
      </c>
      <c r="H112" s="291">
        <v>13.540427787464102</v>
      </c>
      <c r="I112" s="8"/>
      <c r="J112" s="8"/>
      <c r="K112" s="8"/>
      <c r="O112" s="255" t="s">
        <v>280</v>
      </c>
      <c r="P112" s="295" t="e" vm="1">
        <f>MIN(D176:H180)</f>
        <v>#VALUE!</v>
      </c>
      <c r="Q112" s="299" t="e" vm="1">
        <f>F178</f>
        <v>#VALUE!</v>
      </c>
      <c r="R112" s="297" t="e" vm="1">
        <f>MAX(D176:H180)</f>
        <v>#VALUE!</v>
      </c>
      <c r="T112" s="300" t="e" vm="1">
        <f t="shared" ref="T112" si="34">P112</f>
        <v>#VALUE!</v>
      </c>
      <c r="U112" s="301" t="e" vm="1">
        <f t="shared" ref="U112:V113" si="35">Q112-P112</f>
        <v>#VALUE!</v>
      </c>
      <c r="V112" s="300" t="e" vm="1">
        <f t="shared" si="35"/>
        <v>#VALUE!</v>
      </c>
    </row>
    <row r="113" spans="2:22">
      <c r="B113" s="320"/>
      <c r="C113" s="225">
        <f>$E$46*$E$54+$E$53*$E$50</f>
        <v>6.3238287349062824E-2</v>
      </c>
      <c r="D113" s="291">
        <v>10.716682805850986</v>
      </c>
      <c r="E113" s="293">
        <v>11.160780322868984</v>
      </c>
      <c r="F113" s="293">
        <v>11.650909482118017</v>
      </c>
      <c r="G113" s="293">
        <v>12.194618386877469</v>
      </c>
      <c r="H113" s="291">
        <v>12.801200839375994</v>
      </c>
      <c r="I113" s="8"/>
      <c r="J113" s="12"/>
      <c r="K113" s="8"/>
      <c r="O113" s="255" t="s">
        <v>281</v>
      </c>
      <c r="P113" s="295" t="e" vm="1">
        <f>MIN(D229:H233)</f>
        <v>#VALUE!</v>
      </c>
      <c r="Q113" s="299" t="e" vm="1">
        <f>F231</f>
        <v>#VALUE!</v>
      </c>
      <c r="R113" s="297" t="e" vm="1">
        <f>MAX(D229:H233)</f>
        <v>#VALUE!</v>
      </c>
      <c r="T113" s="300" t="e" vm="1">
        <f>P113</f>
        <v>#VALUE!</v>
      </c>
      <c r="U113" s="301" t="e" vm="1">
        <f t="shared" si="35"/>
        <v>#VALUE!</v>
      </c>
      <c r="V113" s="300" t="e" vm="1">
        <f t="shared" si="35"/>
        <v>#VALUE!</v>
      </c>
    </row>
    <row r="114" spans="2:22">
      <c r="B114" s="320"/>
      <c r="C114" s="218">
        <f>C113+$K$111</f>
        <v>6.5738287349062827E-2</v>
      </c>
      <c r="D114" s="292">
        <v>10.269488473619571</v>
      </c>
      <c r="E114" s="293">
        <v>10.671853853421338</v>
      </c>
      <c r="F114" s="293">
        <v>11.113870293677078</v>
      </c>
      <c r="G114" s="293">
        <v>11.601702668177877</v>
      </c>
      <c r="H114" s="291">
        <v>12.142863709182709</v>
      </c>
      <c r="I114" s="8"/>
      <c r="J114" s="8"/>
      <c r="K114" s="8"/>
    </row>
    <row r="115" spans="2:22">
      <c r="B115" s="320"/>
      <c r="C115" s="218">
        <f>C114+$K$111</f>
        <v>6.8238287349062829E-2</v>
      </c>
      <c r="D115" s="292">
        <v>9.8607521877802</v>
      </c>
      <c r="E115" s="291">
        <v>10.226853212607313</v>
      </c>
      <c r="F115" s="291">
        <v>10.627337483314099</v>
      </c>
      <c r="G115" s="291">
        <v>11.067287440746925</v>
      </c>
      <c r="H115" s="291">
        <v>11.55283913713135</v>
      </c>
      <c r="I115" s="8"/>
      <c r="J115" s="8"/>
      <c r="K115" s="8"/>
    </row>
    <row r="119" spans="2:22">
      <c r="B119" s="216" t="s">
        <v>260</v>
      </c>
      <c r="C119" s="216"/>
      <c r="D119" s="216"/>
      <c r="E119" s="216"/>
      <c r="F119" s="216"/>
      <c r="G119" s="216"/>
      <c r="H119" s="216"/>
    </row>
    <row r="120" spans="2:22">
      <c r="B120" s="320" t="s">
        <v>110</v>
      </c>
      <c r="C120" s="321" t="s">
        <v>264</v>
      </c>
      <c r="D120" s="321"/>
      <c r="E120" s="321"/>
      <c r="F120" s="321"/>
      <c r="G120" s="321"/>
      <c r="H120" s="321"/>
    </row>
    <row r="121" spans="2:22" ht="17" thickBot="1">
      <c r="B121" s="320"/>
      <c r="C121" s="217">
        <f ca="1">$C$104</f>
        <v>10.934947428602307</v>
      </c>
      <c r="D121" s="218">
        <f>E121-$K$109</f>
        <v>9.9999999999999985E-3</v>
      </c>
      <c r="E121" s="218">
        <f>F121-$K$109</f>
        <v>1.2499999999999999E-2</v>
      </c>
      <c r="F121" s="219">
        <f>Perpetuity_Growth_Rate</f>
        <v>1.4999999999999999E-2</v>
      </c>
      <c r="G121" s="218">
        <f>F121+$K$109</f>
        <v>1.7499999999999998E-2</v>
      </c>
      <c r="H121" s="218">
        <f>G121+$K$109</f>
        <v>1.9999999999999997E-2</v>
      </c>
    </row>
    <row r="122" spans="2:22">
      <c r="B122" s="320"/>
      <c r="C122" s="218">
        <f>C123-$K$111</f>
        <v>5.823828734906282E-2</v>
      </c>
      <c r="D122" s="220">
        <f t="dataTable" ref="D122:H126" dt2D="1" dtr="1" r1="I94" r2="E57" ca="1"/>
        <v>11.036931216677235</v>
      </c>
      <c r="E122" s="221">
        <v>11.599737509470373</v>
      </c>
      <c r="F122" s="222">
        <v>12.22762573858647</v>
      </c>
      <c r="G122" s="221">
        <v>12.932577618382837</v>
      </c>
      <c r="H122" s="221">
        <v>13.729708297057025</v>
      </c>
    </row>
    <row r="123" spans="2:22">
      <c r="B123" s="320"/>
      <c r="C123" s="218">
        <f>C124-$K$111</f>
        <v>6.0738287349062822E-2</v>
      </c>
      <c r="D123" s="223">
        <v>10.480804040445285</v>
      </c>
      <c r="E123" s="224">
        <v>10.985759986255429</v>
      </c>
      <c r="F123" s="224">
        <v>11.545916506363039</v>
      </c>
      <c r="G123" s="224">
        <v>12.170848547710136</v>
      </c>
      <c r="H123" s="222">
        <v>12.872481413025648</v>
      </c>
    </row>
    <row r="124" spans="2:22">
      <c r="B124" s="320"/>
      <c r="C124" s="225">
        <f>$E$46*$E$54+$E$53*$E$50</f>
        <v>6.3238287349062824E-2</v>
      </c>
      <c r="D124" s="222">
        <v>9.9769805598501708</v>
      </c>
      <c r="E124" s="224">
        <v>10.432363304323127</v>
      </c>
      <c r="F124" s="224">
        <v>10.934947428602307</v>
      </c>
      <c r="G124" s="224">
        <v>11.492472845331244</v>
      </c>
      <c r="H124" s="222">
        <v>12.114469527102202</v>
      </c>
    </row>
    <row r="125" spans="2:22">
      <c r="B125" s="320"/>
      <c r="C125" s="218">
        <f>C124+$K$111</f>
        <v>6.5738287349062827E-2</v>
      </c>
      <c r="D125" s="223">
        <v>9.5184223051413479</v>
      </c>
      <c r="E125" s="224">
        <v>9.9310124321147608</v>
      </c>
      <c r="F125" s="224">
        <v>10.384261216339937</v>
      </c>
      <c r="G125" s="224">
        <v>10.88449019090079</v>
      </c>
      <c r="H125" s="222">
        <v>11.439402998586306</v>
      </c>
    </row>
    <row r="126" spans="2:22">
      <c r="B126" s="320"/>
      <c r="C126" s="218">
        <f>C125+$K$111</f>
        <v>6.8238287349062829E-2</v>
      </c>
      <c r="D126" s="223">
        <v>9.0992993772289346</v>
      </c>
      <c r="E126" s="222">
        <v>9.4747036140271703</v>
      </c>
      <c r="F126" s="222">
        <v>9.8853648299179948</v>
      </c>
      <c r="G126" s="222">
        <v>10.336494618690049</v>
      </c>
      <c r="H126" s="222">
        <v>10.834384959459683</v>
      </c>
    </row>
    <row r="130" spans="2:16384">
      <c r="B130" s="216" t="s">
        <v>261</v>
      </c>
      <c r="C130" s="216"/>
      <c r="D130" s="216"/>
      <c r="E130" s="216"/>
      <c r="F130" s="216"/>
      <c r="G130" s="216"/>
      <c r="H130" s="216"/>
    </row>
    <row r="131" spans="2:16384">
      <c r="B131" s="320" t="s">
        <v>110</v>
      </c>
      <c r="C131" s="321" t="s">
        <v>265</v>
      </c>
      <c r="D131" s="321"/>
      <c r="E131" s="321"/>
      <c r="F131" s="321"/>
      <c r="G131" s="321"/>
      <c r="H131" s="321"/>
    </row>
    <row r="132" spans="2:16384" ht="17" thickBot="1">
      <c r="B132" s="320"/>
      <c r="C132" s="217">
        <f ca="1">$C$105</f>
        <v>1.6718866021886243</v>
      </c>
      <c r="D132" s="218">
        <f>E132-$K$109</f>
        <v>9.9999999999999985E-3</v>
      </c>
      <c r="E132" s="218">
        <f>F132-$K$109</f>
        <v>1.2499999999999999E-2</v>
      </c>
      <c r="F132" s="219">
        <f>Perpetuity_Growth_Rate</f>
        <v>1.4999999999999999E-2</v>
      </c>
      <c r="G132" s="218">
        <f>F132+$K$109</f>
        <v>1.7499999999999998E-2</v>
      </c>
      <c r="H132" s="218">
        <f>G132+$K$109</f>
        <v>1.9999999999999997E-2</v>
      </c>
    </row>
    <row r="133" spans="2:16384">
      <c r="B133" s="320"/>
      <c r="C133" s="218">
        <f>C134-$K$111</f>
        <v>5.823828734906282E-2</v>
      </c>
      <c r="D133" s="220">
        <f t="dataTable" ref="D133:H137" dt2D="1" dtr="1" r1="I94" r2="E57" ca="1"/>
        <v>1.6874792998249137</v>
      </c>
      <c r="E133" s="221">
        <v>1.7735289408215478</v>
      </c>
      <c r="F133" s="222">
        <v>1.8695292119509102</v>
      </c>
      <c r="G133" s="221">
        <v>1.9773120440783323</v>
      </c>
      <c r="H133" s="221">
        <v>2.0991884509445375</v>
      </c>
    </row>
    <row r="134" spans="2:16384">
      <c r="B134" s="320"/>
      <c r="C134" s="218">
        <f>C135-$K$111</f>
        <v>6.0738287349062822E-2</v>
      </c>
      <c r="D134" s="223">
        <v>1.6024508549123044</v>
      </c>
      <c r="E134" s="224">
        <v>1.6796555315701212</v>
      </c>
      <c r="F134" s="224">
        <v>1.765300038524666</v>
      </c>
      <c r="G134" s="224">
        <v>1.8608483266191933</v>
      </c>
      <c r="H134" s="222">
        <v>1.9681237017259718</v>
      </c>
    </row>
    <row r="135" spans="2:16384">
      <c r="B135" s="320"/>
      <c r="C135" s="225">
        <f>$E$46*$E$54+$E$53*$E$50</f>
        <v>6.3238287349062824E-2</v>
      </c>
      <c r="D135" s="222">
        <v>1.5254193252616237</v>
      </c>
      <c r="E135" s="224">
        <v>1.5950445625408429</v>
      </c>
      <c r="F135" s="224">
        <v>1.6718866021886243</v>
      </c>
      <c r="G135" s="224">
        <v>1.7571288295239487</v>
      </c>
      <c r="H135" s="222">
        <v>1.8522283190869786</v>
      </c>
    </row>
    <row r="136" spans="2:16384">
      <c r="B136" s="320"/>
      <c r="C136" s="218">
        <f>C135+$K$111</f>
        <v>6.5738287349062827E-2</v>
      </c>
      <c r="D136" s="223">
        <v>1.4553085718833909</v>
      </c>
      <c r="E136" s="224">
        <v>1.5183910795942051</v>
      </c>
      <c r="F136" s="224">
        <v>1.5876900473992301</v>
      </c>
      <c r="G136" s="224">
        <v>1.6641719990551918</v>
      </c>
      <c r="H136" s="222">
        <v>1.7490147744420756</v>
      </c>
    </row>
    <row r="137" spans="2:16384">
      <c r="B137" s="320"/>
      <c r="C137" s="218">
        <f>C136+$K$111</f>
        <v>6.8238287349062829E-2</v>
      </c>
      <c r="D137" s="223">
        <v>1.3912272388525655</v>
      </c>
      <c r="E137" s="222">
        <v>1.4486242513216085</v>
      </c>
      <c r="F137" s="222">
        <v>1.5114118403218528</v>
      </c>
      <c r="G137" s="222">
        <v>1.5803868266782879</v>
      </c>
      <c r="H137" s="222">
        <v>1.6565112155267012</v>
      </c>
    </row>
    <row r="143" spans="2:16384" ht="21" thickBot="1">
      <c r="B143" s="22" t="s">
        <v>262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6" t="s">
        <v>172</v>
      </c>
      <c r="C146" s="227"/>
      <c r="H146" s="1" t="s">
        <v>278</v>
      </c>
      <c r="I146" s="1"/>
    </row>
    <row r="147" spans="2:9">
      <c r="H147" t="s">
        <v>274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266</v>
      </c>
      <c r="I148" s="306" t="e" vm="1">
        <f ca="1">EV_EBITDA_FY0</f>
        <v>#VALUE!</v>
      </c>
    </row>
    <row r="149" spans="2:9">
      <c r="B149" t="s">
        <v>267</v>
      </c>
      <c r="C149" s="6" t="e" vm="1">
        <f ca="1">I150</f>
        <v>#VALUE!</v>
      </c>
      <c r="H149" t="s">
        <v>127</v>
      </c>
      <c r="I149" s="6" t="e" vm="1">
        <f ca="1">$I$147*$I$148</f>
        <v>#VALUE!</v>
      </c>
    </row>
    <row r="150" spans="2:9">
      <c r="B150" s="14" t="s">
        <v>129</v>
      </c>
      <c r="C150" s="15" t="e" vm="1">
        <f ca="1">SUM(C148:C149)</f>
        <v>#VALUE!</v>
      </c>
      <c r="H150" s="14" t="s">
        <v>136</v>
      </c>
      <c r="I150" s="15" t="e" vm="1">
        <f ca="1">$I$149/((1+WACC)^Years_Forecasted)</f>
        <v>#VALUE!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 t="e" vm="1">
        <f ca="1">SUM(C150:C153)</f>
        <v>#VALUE!</v>
      </c>
    </row>
    <row r="155" spans="2:9">
      <c r="B155" t="s">
        <v>203</v>
      </c>
      <c r="C155" s="6">
        <f>Shares_Outstanding / 1000000</f>
        <v>15171.99</v>
      </c>
    </row>
    <row r="156" spans="2:9">
      <c r="B156" s="14" t="s">
        <v>134</v>
      </c>
      <c r="C156" s="287" t="e" vm="1">
        <f ca="1">C154/C155</f>
        <v>#VALUE!</v>
      </c>
    </row>
    <row r="158" spans="2:9">
      <c r="B158" s="1" t="s">
        <v>268</v>
      </c>
      <c r="C158" s="276" t="e" vm="1">
        <f ca="1">WACC-($I$93/$I$149)</f>
        <v>#VALUE!</v>
      </c>
    </row>
    <row r="159" spans="2:9">
      <c r="B159" s="275" t="s">
        <v>261</v>
      </c>
      <c r="C159" s="277" t="e" vm="1">
        <f ca="1">$C$150/Revenue_FY0</f>
        <v>#VALUE!</v>
      </c>
    </row>
    <row r="162" spans="2:22">
      <c r="B162" s="216" t="s">
        <v>120</v>
      </c>
      <c r="C162" s="216"/>
      <c r="D162" s="216"/>
      <c r="E162" s="216"/>
      <c r="F162" s="216"/>
      <c r="G162" s="216"/>
      <c r="H162" s="216"/>
      <c r="I162" s="8"/>
      <c r="J162" s="9"/>
      <c r="K162" s="10" t="s">
        <v>121</v>
      </c>
    </row>
    <row r="163" spans="2:22">
      <c r="B163" s="320" t="s">
        <v>110</v>
      </c>
      <c r="C163" s="321" t="s">
        <v>270</v>
      </c>
      <c r="D163" s="321"/>
      <c r="E163" s="321"/>
      <c r="F163" s="321"/>
      <c r="G163" s="321"/>
      <c r="H163" s="321"/>
      <c r="I163" s="8"/>
      <c r="J163" s="11" t="s">
        <v>263</v>
      </c>
      <c r="K163" s="278">
        <v>5</v>
      </c>
      <c r="O163" s="322" t="s">
        <v>283</v>
      </c>
      <c r="P163" s="322"/>
      <c r="Q163" s="322"/>
      <c r="R163" s="322"/>
    </row>
    <row r="164" spans="2:22" ht="17" thickBot="1">
      <c r="B164" s="320"/>
      <c r="C164" s="288" t="e" vm="1">
        <f ca="1">$C$156</f>
        <v>#VALUE!</v>
      </c>
      <c r="D164" s="279" t="e" vm="1">
        <f ca="1">E164-$K$163</f>
        <v>#VALUE!</v>
      </c>
      <c r="E164" s="279" t="e" vm="1">
        <f ca="1">F164-$K$163</f>
        <v>#VALUE!</v>
      </c>
      <c r="F164" s="280" t="e" vm="1">
        <f ca="1">EV_EBITDA_FY0</f>
        <v>#VALUE!</v>
      </c>
      <c r="G164" s="279" t="e" vm="1">
        <f ca="1">F164+$K$163</f>
        <v>#VALUE!</v>
      </c>
      <c r="H164" s="279" t="e" vm="1">
        <f ca="1">G164+$K$163</f>
        <v>#VALUE!</v>
      </c>
      <c r="I164" s="8"/>
      <c r="O164" s="25"/>
      <c r="P164" s="253" t="s">
        <v>223</v>
      </c>
      <c r="Q164" s="253" t="s">
        <v>234</v>
      </c>
      <c r="R164" s="253" t="s">
        <v>224</v>
      </c>
      <c r="T164" s="254" t="s">
        <v>231</v>
      </c>
      <c r="U164" s="254" t="s">
        <v>232</v>
      </c>
      <c r="V164" s="254" t="s">
        <v>233</v>
      </c>
    </row>
    <row r="165" spans="2:22">
      <c r="B165" s="320"/>
      <c r="C165" s="218">
        <f>C166-$K$111</f>
        <v>5.823828734906282E-2</v>
      </c>
      <c r="D165" s="289" t="e" vm="1">
        <f t="dataTable" ref="D165:H169" dt2D="1" dtr="1" r1="I148" r2="E57" ca="1"/>
        <v>#VALUE!</v>
      </c>
      <c r="E165" s="290" t="e" vm="1">
        <v>#VALUE!</v>
      </c>
      <c r="F165" s="291" t="e" vm="1">
        <v>#VALUE!</v>
      </c>
      <c r="G165" s="290" t="e" vm="1">
        <v>#VALUE!</v>
      </c>
      <c r="H165" s="290" t="e" vm="1">
        <v>#VALUE!</v>
      </c>
      <c r="I165" s="8"/>
      <c r="J165" s="11" t="s">
        <v>110</v>
      </c>
      <c r="K165" s="16">
        <v>2.5000000000000001E-3</v>
      </c>
      <c r="O165" s="255" t="s">
        <v>284</v>
      </c>
      <c r="P165" s="5" t="e" vm="1">
        <f ca="1">MIN(D164:H164)</f>
        <v>#VALUE!</v>
      </c>
      <c r="Q165" s="302" t="e" vm="1">
        <f ca="1">I148</f>
        <v>#VALUE!</v>
      </c>
      <c r="R165" s="303" t="e" vm="1">
        <f ca="1">MAX(D164:H164)</f>
        <v>#VALUE!</v>
      </c>
      <c r="T165" s="306" t="e" vm="1">
        <f ca="1">P165</f>
        <v>#VALUE!</v>
      </c>
      <c r="U165" s="307" t="e" vm="1">
        <f ca="1">Q165-P165</f>
        <v>#VALUE!</v>
      </c>
      <c r="V165" s="306" t="e" vm="1">
        <f ca="1">R165-Q165</f>
        <v>#VALUE!</v>
      </c>
    </row>
    <row r="166" spans="2:22">
      <c r="B166" s="320"/>
      <c r="C166" s="218">
        <f>C167-$K$111</f>
        <v>6.0738287349062822E-2</v>
      </c>
      <c r="D166" s="292" t="e" vm="1">
        <v>#VALUE!</v>
      </c>
      <c r="E166" s="293" t="e" vm="1">
        <v>#VALUE!</v>
      </c>
      <c r="F166" s="293" t="e" vm="1">
        <v>#VALUE!</v>
      </c>
      <c r="G166" s="293" t="e" vm="1">
        <v>#VALUE!</v>
      </c>
      <c r="H166" s="291" t="e" vm="1">
        <v>#VALUE!</v>
      </c>
      <c r="I166" s="8"/>
      <c r="J166" s="8"/>
      <c r="K166" s="8"/>
      <c r="O166" s="255" t="s">
        <v>289</v>
      </c>
      <c r="P166" s="304">
        <f>MIN(D122:H126)</f>
        <v>9.0992993772289346</v>
      </c>
      <c r="Q166" s="305">
        <f>F124</f>
        <v>10.934947428602307</v>
      </c>
      <c r="R166" s="303">
        <f>MAX(D122:H126)</f>
        <v>13.729708297057025</v>
      </c>
      <c r="T166" s="306">
        <f t="shared" ref="T166" si="36">P166</f>
        <v>9.0992993772289346</v>
      </c>
      <c r="U166" s="307">
        <f t="shared" ref="U166:U167" si="37">Q166-P166</f>
        <v>1.8356480513733722</v>
      </c>
      <c r="V166" s="306">
        <f t="shared" ref="V166:V167" si="38">R166-Q166</f>
        <v>2.7947608684547181</v>
      </c>
    </row>
    <row r="167" spans="2:22">
      <c r="B167" s="320"/>
      <c r="C167" s="225">
        <f>$E$46*$E$54+$E$53*$E$50</f>
        <v>6.3238287349062824E-2</v>
      </c>
      <c r="D167" s="291" t="e" vm="1">
        <v>#VALUE!</v>
      </c>
      <c r="E167" s="293" t="e" vm="1">
        <v>#VALUE!</v>
      </c>
      <c r="F167" s="293" t="e" vm="1">
        <v>#VALUE!</v>
      </c>
      <c r="G167" s="293" t="e" vm="1">
        <v>#VALUE!</v>
      </c>
      <c r="H167" s="291" t="e" vm="1">
        <v>#VALUE!</v>
      </c>
      <c r="I167" s="8"/>
      <c r="J167" s="12"/>
      <c r="K167" s="8"/>
      <c r="O167" s="255" t="s">
        <v>290</v>
      </c>
      <c r="P167" s="304" t="e" vm="1">
        <f>MIN(D240:H244)</f>
        <v>#VALUE!</v>
      </c>
      <c r="Q167" s="305" t="e" vm="1">
        <f>F242</f>
        <v>#VALUE!</v>
      </c>
      <c r="R167" s="303" t="e" vm="1">
        <f>MAX(D240:H244)</f>
        <v>#VALUE!</v>
      </c>
      <c r="T167" s="306" t="e" vm="1">
        <f>P167</f>
        <v>#VALUE!</v>
      </c>
      <c r="U167" s="307" t="e" vm="1">
        <f t="shared" si="37"/>
        <v>#VALUE!</v>
      </c>
      <c r="V167" s="306" t="e" vm="1">
        <f t="shared" si="38"/>
        <v>#VALUE!</v>
      </c>
    </row>
    <row r="168" spans="2:22">
      <c r="B168" s="320"/>
      <c r="C168" s="218">
        <f>C167+$K$111</f>
        <v>6.5738287349062827E-2</v>
      </c>
      <c r="D168" s="292" t="e" vm="1">
        <v>#VALUE!</v>
      </c>
      <c r="E168" s="293" t="e" vm="1">
        <v>#VALUE!</v>
      </c>
      <c r="F168" s="293" t="e" vm="1">
        <v>#VALUE!</v>
      </c>
      <c r="G168" s="293" t="e" vm="1">
        <v>#VALUE!</v>
      </c>
      <c r="H168" s="291" t="e" vm="1">
        <v>#VALUE!</v>
      </c>
      <c r="I168" s="8"/>
      <c r="J168" s="8"/>
      <c r="K168" s="8"/>
      <c r="O168" s="255" t="s">
        <v>219</v>
      </c>
      <c r="P168" s="304">
        <f>MIN('Comparable multiples'!G35:H38)</f>
        <v>7.1084778829121396</v>
      </c>
      <c r="Q168" s="305">
        <f>AVERAGE('Comparable multiples'!G37:H37)</f>
        <v>19.564009038897154</v>
      </c>
      <c r="R168" s="303">
        <f>MAX('Comparable multiples'!G35:H38)</f>
        <v>63.499434934957428</v>
      </c>
      <c r="T168" s="306">
        <f>P168</f>
        <v>7.1084778829121396</v>
      </c>
      <c r="U168" s="307">
        <f t="shared" ref="U168" si="39">Q168-P168</f>
        <v>12.455531155985014</v>
      </c>
      <c r="V168" s="306">
        <f t="shared" ref="V168" si="40">R168-Q168</f>
        <v>43.935425896060273</v>
      </c>
    </row>
    <row r="169" spans="2:22">
      <c r="B169" s="320"/>
      <c r="C169" s="218">
        <f>C168+$K$111</f>
        <v>6.8238287349062829E-2</v>
      </c>
      <c r="D169" s="292" t="e" vm="1">
        <v>#VALUE!</v>
      </c>
      <c r="E169" s="291" t="e" vm="1">
        <v>#VALUE!</v>
      </c>
      <c r="F169" s="291" t="e" vm="1">
        <v>#VALUE!</v>
      </c>
      <c r="G169" s="291" t="e" vm="1">
        <v>#VALUE!</v>
      </c>
      <c r="H169" s="291" t="e" vm="1">
        <v>#VALUE!</v>
      </c>
      <c r="I169" s="8"/>
      <c r="J169" s="8"/>
      <c r="K169" s="8"/>
    </row>
    <row r="173" spans="2:22">
      <c r="B173" s="216" t="s">
        <v>269</v>
      </c>
      <c r="C173" s="216"/>
      <c r="D173" s="216"/>
      <c r="E173" s="216"/>
      <c r="F173" s="216"/>
      <c r="G173" s="216"/>
      <c r="H173" s="216"/>
    </row>
    <row r="174" spans="2:22">
      <c r="B174" s="320" t="s">
        <v>110</v>
      </c>
      <c r="C174" s="321" t="s">
        <v>270</v>
      </c>
      <c r="D174" s="321"/>
      <c r="E174" s="321"/>
      <c r="F174" s="321"/>
      <c r="G174" s="321"/>
      <c r="H174" s="321"/>
    </row>
    <row r="175" spans="2:22" ht="17" thickBot="1">
      <c r="B175" s="320"/>
      <c r="C175" s="286" t="e" vm="1">
        <f ca="1">$C$158</f>
        <v>#VALUE!</v>
      </c>
      <c r="D175" s="279" t="e" vm="1">
        <f ca="1">E175-$K$163</f>
        <v>#VALUE!</v>
      </c>
      <c r="E175" s="279" t="e" vm="1">
        <f ca="1">F175-$K$163</f>
        <v>#VALUE!</v>
      </c>
      <c r="F175" s="280" t="e" vm="1">
        <f ca="1">EV_EBITDA_FY0</f>
        <v>#VALUE!</v>
      </c>
      <c r="G175" s="279" t="e" vm="1">
        <f ca="1">F175+$K$163</f>
        <v>#VALUE!</v>
      </c>
      <c r="H175" s="279" t="e" vm="1">
        <f ca="1">G175+$K$163</f>
        <v>#VALUE!</v>
      </c>
    </row>
    <row r="176" spans="2:22">
      <c r="B176" s="320"/>
      <c r="C176" s="218">
        <f>C177-$K$111</f>
        <v>5.823828734906282E-2</v>
      </c>
      <c r="D176" s="281" t="e" vm="1">
        <f t="dataTable" ref="D176:H180" dt2D="1" dtr="1" r1="I148" r2="E57" ca="1"/>
        <v>#VALUE!</v>
      </c>
      <c r="E176" s="282" t="e" vm="1">
        <v>#VALUE!</v>
      </c>
      <c r="F176" s="283" t="e" vm="1">
        <v>#VALUE!</v>
      </c>
      <c r="G176" s="282" t="e" vm="1">
        <v>#VALUE!</v>
      </c>
      <c r="H176" s="282" t="e" vm="1">
        <v>#VALUE!</v>
      </c>
    </row>
    <row r="177" spans="2:8">
      <c r="B177" s="320"/>
      <c r="C177" s="218">
        <f>C178-$K$111</f>
        <v>6.0738287349062822E-2</v>
      </c>
      <c r="D177" s="284" t="e" vm="1">
        <v>#VALUE!</v>
      </c>
      <c r="E177" s="285" t="e" vm="1">
        <v>#VALUE!</v>
      </c>
      <c r="F177" s="285" t="e" vm="1">
        <v>#VALUE!</v>
      </c>
      <c r="G177" s="285" t="e" vm="1">
        <v>#VALUE!</v>
      </c>
      <c r="H177" s="283" t="e" vm="1">
        <v>#VALUE!</v>
      </c>
    </row>
    <row r="178" spans="2:8">
      <c r="B178" s="320"/>
      <c r="C178" s="225">
        <f>$E$46*$E$54+$E$53*$E$50</f>
        <v>6.3238287349062824E-2</v>
      </c>
      <c r="D178" s="283" t="e" vm="1">
        <v>#VALUE!</v>
      </c>
      <c r="E178" s="285" t="e" vm="1">
        <v>#VALUE!</v>
      </c>
      <c r="F178" s="285" t="e" vm="1">
        <v>#VALUE!</v>
      </c>
      <c r="G178" s="285" t="e" vm="1">
        <v>#VALUE!</v>
      </c>
      <c r="H178" s="283" t="e" vm="1">
        <v>#VALUE!</v>
      </c>
    </row>
    <row r="179" spans="2:8">
      <c r="B179" s="320"/>
      <c r="C179" s="218">
        <f>C178+$K$111</f>
        <v>6.5738287349062827E-2</v>
      </c>
      <c r="D179" s="284" t="e" vm="1">
        <v>#VALUE!</v>
      </c>
      <c r="E179" s="285" t="e" vm="1">
        <v>#VALUE!</v>
      </c>
      <c r="F179" s="285" t="e" vm="1">
        <v>#VALUE!</v>
      </c>
      <c r="G179" s="285" t="e" vm="1">
        <v>#VALUE!</v>
      </c>
      <c r="H179" s="283" t="e" vm="1">
        <v>#VALUE!</v>
      </c>
    </row>
    <row r="180" spans="2:8">
      <c r="B180" s="320"/>
      <c r="C180" s="218">
        <f>C179+$K$111</f>
        <v>6.8238287349062829E-2</v>
      </c>
      <c r="D180" s="284" t="e" vm="1">
        <v>#VALUE!</v>
      </c>
      <c r="E180" s="283" t="e" vm="1">
        <v>#VALUE!</v>
      </c>
      <c r="F180" s="283" t="e" vm="1">
        <v>#VALUE!</v>
      </c>
      <c r="G180" s="283" t="e" vm="1">
        <v>#VALUE!</v>
      </c>
      <c r="H180" s="283" t="e" vm="1">
        <v>#VALUE!</v>
      </c>
    </row>
    <row r="184" spans="2:8">
      <c r="B184" s="216" t="s">
        <v>259</v>
      </c>
      <c r="C184" s="216"/>
      <c r="D184" s="216"/>
      <c r="E184" s="216"/>
      <c r="F184" s="216"/>
      <c r="G184" s="216"/>
      <c r="H184" s="216"/>
    </row>
    <row r="185" spans="2:8">
      <c r="B185" s="320" t="s">
        <v>110</v>
      </c>
      <c r="C185" s="321" t="s">
        <v>270</v>
      </c>
      <c r="D185" s="321"/>
      <c r="E185" s="321"/>
      <c r="F185" s="321"/>
      <c r="G185" s="321"/>
      <c r="H185" s="321"/>
    </row>
    <row r="186" spans="2:8" ht="17" thickBot="1">
      <c r="B186" s="320"/>
      <c r="C186" s="217" t="e" vm="1">
        <f ca="1">$C$159</f>
        <v>#VALUE!</v>
      </c>
      <c r="D186" s="279" t="e" vm="1">
        <f ca="1">E186-$K$163</f>
        <v>#VALUE!</v>
      </c>
      <c r="E186" s="279" t="e" vm="1">
        <f ca="1">F186-$K$163</f>
        <v>#VALUE!</v>
      </c>
      <c r="F186" s="280" t="e" vm="1">
        <f ca="1">EV_EBITDA_FY0</f>
        <v>#VALUE!</v>
      </c>
      <c r="G186" s="279" t="e" vm="1">
        <f ca="1">F186+$K$163</f>
        <v>#VALUE!</v>
      </c>
      <c r="H186" s="279" t="e" vm="1">
        <f ca="1">G186+$K$163</f>
        <v>#VALUE!</v>
      </c>
    </row>
    <row r="187" spans="2:8">
      <c r="B187" s="320"/>
      <c r="C187" s="218">
        <f>C188-$K$111</f>
        <v>5.823828734906282E-2</v>
      </c>
      <c r="D187" s="220" t="e" vm="1">
        <f t="dataTable" ref="D187:H191" dt2D="1" dtr="1" r1="I148" r2="E57" ca="1"/>
        <v>#VALUE!</v>
      </c>
      <c r="E187" s="221" t="e" vm="1">
        <v>#VALUE!</v>
      </c>
      <c r="F187" s="222" t="e" vm="1">
        <v>#VALUE!</v>
      </c>
      <c r="G187" s="221" t="e" vm="1">
        <v>#VALUE!</v>
      </c>
      <c r="H187" s="221" t="e" vm="1">
        <v>#VALUE!</v>
      </c>
    </row>
    <row r="188" spans="2:8">
      <c r="B188" s="320"/>
      <c r="C188" s="218">
        <f>C189-$K$111</f>
        <v>6.0738287349062822E-2</v>
      </c>
      <c r="D188" s="223" t="e" vm="1">
        <v>#VALUE!</v>
      </c>
      <c r="E188" s="224" t="e" vm="1">
        <v>#VALUE!</v>
      </c>
      <c r="F188" s="224" t="e" vm="1">
        <v>#VALUE!</v>
      </c>
      <c r="G188" s="224" t="e" vm="1">
        <v>#VALUE!</v>
      </c>
      <c r="H188" s="222" t="e" vm="1">
        <v>#VALUE!</v>
      </c>
    </row>
    <row r="189" spans="2:8">
      <c r="B189" s="320"/>
      <c r="C189" s="225">
        <f>$E$46*$E$54+$E$53*$E$50</f>
        <v>6.3238287349062824E-2</v>
      </c>
      <c r="D189" s="222" t="e" vm="1">
        <v>#VALUE!</v>
      </c>
      <c r="E189" s="224" t="e" vm="1">
        <v>#VALUE!</v>
      </c>
      <c r="F189" s="224" t="e" vm="1">
        <v>#VALUE!</v>
      </c>
      <c r="G189" s="224" t="e" vm="1">
        <v>#VALUE!</v>
      </c>
      <c r="H189" s="222" t="e" vm="1">
        <v>#VALUE!</v>
      </c>
    </row>
    <row r="190" spans="2:8">
      <c r="B190" s="320"/>
      <c r="C190" s="218">
        <f>C189+$K$111</f>
        <v>6.5738287349062827E-2</v>
      </c>
      <c r="D190" s="223" t="e" vm="1">
        <v>#VALUE!</v>
      </c>
      <c r="E190" s="224" t="e" vm="1">
        <v>#VALUE!</v>
      </c>
      <c r="F190" s="224" t="e" vm="1">
        <v>#VALUE!</v>
      </c>
      <c r="G190" s="224" t="e" vm="1">
        <v>#VALUE!</v>
      </c>
      <c r="H190" s="222" t="e" vm="1">
        <v>#VALUE!</v>
      </c>
    </row>
    <row r="191" spans="2:8">
      <c r="B191" s="320"/>
      <c r="C191" s="218">
        <f>C190+$K$111</f>
        <v>6.8238287349062829E-2</v>
      </c>
      <c r="D191" s="223" t="e" vm="1">
        <v>#VALUE!</v>
      </c>
      <c r="E191" s="222" t="e" vm="1">
        <v>#VALUE!</v>
      </c>
      <c r="F191" s="222" t="e" vm="1">
        <v>#VALUE!</v>
      </c>
      <c r="G191" s="222" t="e" vm="1">
        <v>#VALUE!</v>
      </c>
      <c r="H191" s="222" t="e" vm="1">
        <v>#VALUE!</v>
      </c>
    </row>
    <row r="196" spans="2:28" ht="21" thickBot="1">
      <c r="B196" s="22" t="s">
        <v>271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6" t="s">
        <v>172</v>
      </c>
      <c r="C199" s="227"/>
      <c r="H199" s="1" t="s">
        <v>277</v>
      </c>
      <c r="I199" s="1"/>
    </row>
    <row r="200" spans="2:28">
      <c r="H200" t="s">
        <v>273</v>
      </c>
      <c r="I200" s="6">
        <f ca="1">OFFSET($E$8,0,Years_Forecasted)</f>
        <v>36047.016101175381</v>
      </c>
    </row>
    <row r="201" spans="2:28">
      <c r="B201" t="s">
        <v>9</v>
      </c>
      <c r="C201" s="6" t="e" vm="1">
        <f ca="1">SUM(F186:I186)</f>
        <v>#VALUE!</v>
      </c>
      <c r="H201" t="s">
        <v>272</v>
      </c>
      <c r="I201" s="306" t="e" vm="1">
        <f ca="1">EV_REVENUE_FY0</f>
        <v>#VALUE!</v>
      </c>
    </row>
    <row r="202" spans="2:28">
      <c r="B202" t="s">
        <v>267</v>
      </c>
      <c r="C202" s="6" t="e" vm="1">
        <f ca="1">I203</f>
        <v>#VALUE!</v>
      </c>
      <c r="H202" t="s">
        <v>127</v>
      </c>
      <c r="I202" s="6" t="e" vm="1">
        <f ca="1">$I$200*$I$201</f>
        <v>#VALUE!</v>
      </c>
    </row>
    <row r="203" spans="2:28">
      <c r="B203" s="14" t="s">
        <v>129</v>
      </c>
      <c r="C203" s="15" t="e" vm="1">
        <f ca="1">SUM(C201:C202)</f>
        <v>#VALUE!</v>
      </c>
      <c r="H203" s="14" t="s">
        <v>136</v>
      </c>
      <c r="I203" s="15" t="e" vm="1">
        <f ca="1">$I$202/((1+WACC)^Years_Forecasted)</f>
        <v>#VALUE!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 t="e" vm="1">
        <f ca="1">SUM(C203:C206)</f>
        <v>#VALUE!</v>
      </c>
    </row>
    <row r="208" spans="2:28">
      <c r="B208" t="s">
        <v>203</v>
      </c>
      <c r="C208" s="6">
        <f>Shares_Outstanding / 1000000</f>
        <v>15171.99</v>
      </c>
    </row>
    <row r="209" spans="2:22">
      <c r="B209" s="14" t="s">
        <v>134</v>
      </c>
      <c r="C209" s="287" t="e" vm="1">
        <f ca="1">C207/C208</f>
        <v>#VALUE!</v>
      </c>
    </row>
    <row r="211" spans="2:22">
      <c r="B211" s="1" t="s">
        <v>268</v>
      </c>
      <c r="C211" s="276" t="e" vm="1">
        <f ca="1">WACC-($I$93/$I$149)</f>
        <v>#VALUE!</v>
      </c>
    </row>
    <row r="212" spans="2:22">
      <c r="B212" s="275" t="s">
        <v>260</v>
      </c>
      <c r="C212" s="277" t="e" vm="1">
        <f ca="1">$C$203/EBITDA_FY0</f>
        <v>#VALUE!</v>
      </c>
    </row>
    <row r="215" spans="2:22">
      <c r="B215" s="216" t="s">
        <v>120</v>
      </c>
      <c r="C215" s="216"/>
      <c r="D215" s="216"/>
      <c r="E215" s="216"/>
      <c r="F215" s="216"/>
      <c r="G215" s="216"/>
      <c r="H215" s="216"/>
      <c r="I215" s="8"/>
      <c r="J215" s="9"/>
      <c r="K215" s="10" t="s">
        <v>121</v>
      </c>
    </row>
    <row r="216" spans="2:22">
      <c r="B216" s="320" t="s">
        <v>110</v>
      </c>
      <c r="C216" s="321" t="s">
        <v>275</v>
      </c>
      <c r="D216" s="321"/>
      <c r="E216" s="321"/>
      <c r="F216" s="321"/>
      <c r="G216" s="321"/>
      <c r="H216" s="321"/>
      <c r="I216" s="8"/>
      <c r="J216" s="11" t="s">
        <v>276</v>
      </c>
      <c r="K216" s="278">
        <v>5</v>
      </c>
      <c r="O216" s="322" t="s">
        <v>286</v>
      </c>
      <c r="P216" s="322"/>
      <c r="Q216" s="322"/>
      <c r="R216" s="322"/>
    </row>
    <row r="217" spans="2:22" ht="17" thickBot="1">
      <c r="B217" s="320"/>
      <c r="C217" s="288" t="e" vm="1">
        <f ca="1">$C$209</f>
        <v>#VALUE!</v>
      </c>
      <c r="D217" s="279" t="e" vm="1">
        <f ca="1">E217-$K$216</f>
        <v>#VALUE!</v>
      </c>
      <c r="E217" s="279" t="e" vm="1">
        <f ca="1">F217-$K$216</f>
        <v>#VALUE!</v>
      </c>
      <c r="F217" s="280" t="e" vm="1">
        <f ca="1">EV_REVENUE_FY0</f>
        <v>#VALUE!</v>
      </c>
      <c r="G217" s="279" t="e" vm="1">
        <f ca="1">F217+$K$216</f>
        <v>#VALUE!</v>
      </c>
      <c r="H217" s="279" t="e" vm="1">
        <f ca="1">G217+$K$216</f>
        <v>#VALUE!</v>
      </c>
      <c r="I217" s="8"/>
      <c r="O217" s="25"/>
      <c r="P217" s="253" t="s">
        <v>223</v>
      </c>
      <c r="Q217" s="253" t="s">
        <v>234</v>
      </c>
      <c r="R217" s="253" t="s">
        <v>224</v>
      </c>
      <c r="T217" s="254" t="s">
        <v>231</v>
      </c>
      <c r="U217" s="254" t="s">
        <v>232</v>
      </c>
      <c r="V217" s="254" t="s">
        <v>233</v>
      </c>
    </row>
    <row r="218" spans="2:22">
      <c r="B218" s="320"/>
      <c r="C218" s="218">
        <f>C219-$K$111</f>
        <v>5.823828734906282E-2</v>
      </c>
      <c r="D218" s="289" t="e" vm="1">
        <f t="dataTable" ref="D218:H222" dt2D="1" dtr="1" r1="I201" r2="E57" ca="1"/>
        <v>#VALUE!</v>
      </c>
      <c r="E218" s="290" t="e" vm="1">
        <v>#VALUE!</v>
      </c>
      <c r="F218" s="291" t="e" vm="1">
        <v>#VALUE!</v>
      </c>
      <c r="G218" s="290" t="e" vm="1">
        <v>#VALUE!</v>
      </c>
      <c r="H218" s="290" t="e" vm="1">
        <v>#VALUE!</v>
      </c>
      <c r="I218" s="8"/>
      <c r="J218" s="11" t="s">
        <v>110</v>
      </c>
      <c r="K218" s="16">
        <v>2.5000000000000001E-3</v>
      </c>
      <c r="O218" s="255" t="s">
        <v>285</v>
      </c>
      <c r="P218" s="5" t="e" vm="1">
        <f ca="1">MIN(D217:H217)</f>
        <v>#VALUE!</v>
      </c>
      <c r="Q218" s="302" t="e" vm="1">
        <f ca="1">I201</f>
        <v>#VALUE!</v>
      </c>
      <c r="R218" s="303" t="e" vm="1">
        <f ca="1">MAX(D217:H217)</f>
        <v>#VALUE!</v>
      </c>
      <c r="T218" s="306" t="e" vm="1">
        <f ca="1">P218</f>
        <v>#VALUE!</v>
      </c>
      <c r="U218" s="307" t="e" vm="1">
        <f ca="1">Q218-P218</f>
        <v>#VALUE!</v>
      </c>
      <c r="V218" s="306" t="e" vm="1">
        <f ca="1">R218-Q218</f>
        <v>#VALUE!</v>
      </c>
    </row>
    <row r="219" spans="2:22">
      <c r="B219" s="320"/>
      <c r="C219" s="218">
        <f>C220-$K$111</f>
        <v>6.0738287349062822E-2</v>
      </c>
      <c r="D219" s="292" t="e" vm="1">
        <v>#VALUE!</v>
      </c>
      <c r="E219" s="293" t="e" vm="1">
        <v>#VALUE!</v>
      </c>
      <c r="F219" s="293" t="e" vm="1">
        <v>#VALUE!</v>
      </c>
      <c r="G219" s="293" t="e" vm="1">
        <v>#VALUE!</v>
      </c>
      <c r="H219" s="291" t="e" vm="1">
        <v>#VALUE!</v>
      </c>
      <c r="I219" s="8"/>
      <c r="J219" s="8"/>
      <c r="K219" s="8"/>
      <c r="O219" s="255" t="s">
        <v>291</v>
      </c>
      <c r="P219" s="304">
        <f>MIN(D133:H137)</f>
        <v>1.3912272388525655</v>
      </c>
      <c r="Q219" s="305">
        <f>F135</f>
        <v>1.6718866021886243</v>
      </c>
      <c r="R219" s="303">
        <f>MAX(D133:H137)</f>
        <v>2.0991884509445375</v>
      </c>
      <c r="T219" s="306">
        <f t="shared" ref="T219" si="41">P219</f>
        <v>1.3912272388525655</v>
      </c>
      <c r="U219" s="307">
        <f t="shared" ref="U219:U221" si="42">Q219-P219</f>
        <v>0.28065936333605879</v>
      </c>
      <c r="V219" s="306">
        <f t="shared" ref="V219:V221" si="43">R219-Q219</f>
        <v>0.42730184875591326</v>
      </c>
    </row>
    <row r="220" spans="2:22">
      <c r="B220" s="320"/>
      <c r="C220" s="225">
        <f>$E$46*$E$54+$E$53*$E$50</f>
        <v>6.3238287349062824E-2</v>
      </c>
      <c r="D220" s="291" t="e" vm="1">
        <v>#VALUE!</v>
      </c>
      <c r="E220" s="293" t="e" vm="1">
        <v>#VALUE!</v>
      </c>
      <c r="F220" s="293" t="e" vm="1">
        <v>#VALUE!</v>
      </c>
      <c r="G220" s="293" t="e" vm="1">
        <v>#VALUE!</v>
      </c>
      <c r="H220" s="291" t="e" vm="1">
        <v>#VALUE!</v>
      </c>
      <c r="I220" s="8"/>
      <c r="J220" s="12"/>
      <c r="K220" s="8"/>
      <c r="O220" s="255" t="s">
        <v>292</v>
      </c>
      <c r="P220" s="304" t="e" vm="1">
        <f>MIN(D187:H191)</f>
        <v>#VALUE!</v>
      </c>
      <c r="Q220" s="305" t="e" vm="1">
        <f>F189</f>
        <v>#VALUE!</v>
      </c>
      <c r="R220" s="303" t="e" vm="1">
        <f>MAX(D187:H191)</f>
        <v>#VALUE!</v>
      </c>
      <c r="T220" s="306" t="e" vm="1">
        <f>P220</f>
        <v>#VALUE!</v>
      </c>
      <c r="U220" s="307" t="e" vm="1">
        <f t="shared" si="42"/>
        <v>#VALUE!</v>
      </c>
      <c r="V220" s="306" t="e" vm="1">
        <f t="shared" si="43"/>
        <v>#VALUE!</v>
      </c>
    </row>
    <row r="221" spans="2:22">
      <c r="B221" s="320"/>
      <c r="C221" s="218">
        <f>C220+$K$111</f>
        <v>6.5738287349062827E-2</v>
      </c>
      <c r="D221" s="292" t="e" vm="1">
        <v>#VALUE!</v>
      </c>
      <c r="E221" s="293" t="e" vm="1">
        <v>#VALUE!</v>
      </c>
      <c r="F221" s="293" t="e" vm="1">
        <v>#VALUE!</v>
      </c>
      <c r="G221" s="293" t="e" vm="1">
        <v>#VALUE!</v>
      </c>
      <c r="H221" s="291" t="e" vm="1">
        <v>#VALUE!</v>
      </c>
      <c r="I221" s="8"/>
      <c r="J221" s="8"/>
      <c r="K221" s="8"/>
      <c r="O221" s="255" t="s">
        <v>219</v>
      </c>
      <c r="P221" s="304">
        <f>MIN('Comparable multiples'!E35:F38)</f>
        <v>0.62616964917634632</v>
      </c>
      <c r="Q221" s="305">
        <f>AVERAGE('Comparable multiples'!E36:F36)</f>
        <v>7.6762632390016341</v>
      </c>
      <c r="R221" s="303">
        <f>MAX('Comparable multiples'!E35:F38)</f>
        <v>15.120262935610979</v>
      </c>
      <c r="T221" s="306">
        <f>P221</f>
        <v>0.62616964917634632</v>
      </c>
      <c r="U221" s="307">
        <f t="shared" si="42"/>
        <v>7.0500935898252877</v>
      </c>
      <c r="V221" s="306">
        <f t="shared" si="43"/>
        <v>7.4439996966093451</v>
      </c>
    </row>
    <row r="222" spans="2:22">
      <c r="B222" s="320"/>
      <c r="C222" s="218">
        <f>C221+$K$111</f>
        <v>6.8238287349062829E-2</v>
      </c>
      <c r="D222" s="292" t="e" vm="1">
        <v>#VALUE!</v>
      </c>
      <c r="E222" s="291" t="e" vm="1">
        <v>#VALUE!</v>
      </c>
      <c r="F222" s="291" t="e" vm="1">
        <v>#VALUE!</v>
      </c>
      <c r="G222" s="291" t="e" vm="1">
        <v>#VALUE!</v>
      </c>
      <c r="H222" s="291" t="e" vm="1">
        <v>#VALUE!</v>
      </c>
      <c r="I222" s="8"/>
      <c r="J222" s="8"/>
      <c r="K222" s="8"/>
    </row>
    <row r="226" spans="2:8">
      <c r="B226" s="216" t="s">
        <v>269</v>
      </c>
      <c r="C226" s="216"/>
      <c r="D226" s="216"/>
      <c r="E226" s="216"/>
      <c r="F226" s="216"/>
      <c r="G226" s="216"/>
      <c r="H226" s="216"/>
    </row>
    <row r="227" spans="2:8">
      <c r="B227" s="320" t="s">
        <v>110</v>
      </c>
      <c r="C227" s="321" t="s">
        <v>275</v>
      </c>
      <c r="D227" s="321"/>
      <c r="E227" s="321"/>
      <c r="F227" s="321"/>
      <c r="G227" s="321"/>
      <c r="H227" s="321"/>
    </row>
    <row r="228" spans="2:8" ht="17" thickBot="1">
      <c r="B228" s="320"/>
      <c r="C228" s="286" t="e" vm="1">
        <f ca="1">$C$211</f>
        <v>#VALUE!</v>
      </c>
      <c r="D228" s="279" t="e" vm="1">
        <f ca="1">E228-$K$216</f>
        <v>#VALUE!</v>
      </c>
      <c r="E228" s="279" t="e" vm="1">
        <f ca="1">F228-$K$216</f>
        <v>#VALUE!</v>
      </c>
      <c r="F228" s="280" t="e" vm="1">
        <f ca="1">EV_REVENUE_FY0</f>
        <v>#VALUE!</v>
      </c>
      <c r="G228" s="279" t="e" vm="1">
        <f ca="1">F228+$K$216</f>
        <v>#VALUE!</v>
      </c>
      <c r="H228" s="279" t="e" vm="1">
        <f ca="1">G228+$K$216</f>
        <v>#VALUE!</v>
      </c>
    </row>
    <row r="229" spans="2:8">
      <c r="B229" s="320"/>
      <c r="C229" s="218">
        <f>C230-$K$111</f>
        <v>5.823828734906282E-2</v>
      </c>
      <c r="D229" s="281" t="e" vm="1">
        <f t="dataTable" ref="D229:H233" dt2D="1" dtr="1" r1="I201" r2="E57" ca="1"/>
        <v>#VALUE!</v>
      </c>
      <c r="E229" s="282" t="e" vm="1">
        <v>#VALUE!</v>
      </c>
      <c r="F229" s="283" t="e" vm="1">
        <v>#VALUE!</v>
      </c>
      <c r="G229" s="282" t="e" vm="1">
        <v>#VALUE!</v>
      </c>
      <c r="H229" s="282" t="e" vm="1">
        <v>#VALUE!</v>
      </c>
    </row>
    <row r="230" spans="2:8">
      <c r="B230" s="320"/>
      <c r="C230" s="218">
        <f>C231-$K$111</f>
        <v>6.0738287349062822E-2</v>
      </c>
      <c r="D230" s="284" t="e" vm="1">
        <v>#VALUE!</v>
      </c>
      <c r="E230" s="285" t="e" vm="1">
        <v>#VALUE!</v>
      </c>
      <c r="F230" s="285" t="e" vm="1">
        <v>#VALUE!</v>
      </c>
      <c r="G230" s="285" t="e" vm="1">
        <v>#VALUE!</v>
      </c>
      <c r="H230" s="283" t="e" vm="1">
        <v>#VALUE!</v>
      </c>
    </row>
    <row r="231" spans="2:8">
      <c r="B231" s="320"/>
      <c r="C231" s="225">
        <f>$E$46*$E$54+$E$53*$E$50</f>
        <v>6.3238287349062824E-2</v>
      </c>
      <c r="D231" s="283" t="e" vm="1">
        <v>#VALUE!</v>
      </c>
      <c r="E231" s="285" t="e" vm="1">
        <v>#VALUE!</v>
      </c>
      <c r="F231" s="285" t="e" vm="1">
        <v>#VALUE!</v>
      </c>
      <c r="G231" s="285" t="e" vm="1">
        <v>#VALUE!</v>
      </c>
      <c r="H231" s="283" t="e" vm="1">
        <v>#VALUE!</v>
      </c>
    </row>
    <row r="232" spans="2:8">
      <c r="B232" s="320"/>
      <c r="C232" s="218">
        <f>C231+$K$111</f>
        <v>6.5738287349062827E-2</v>
      </c>
      <c r="D232" s="284" t="e" vm="1">
        <v>#VALUE!</v>
      </c>
      <c r="E232" s="285" t="e" vm="1">
        <v>#VALUE!</v>
      </c>
      <c r="F232" s="285" t="e" vm="1">
        <v>#VALUE!</v>
      </c>
      <c r="G232" s="285" t="e" vm="1">
        <v>#VALUE!</v>
      </c>
      <c r="H232" s="283" t="e" vm="1">
        <v>#VALUE!</v>
      </c>
    </row>
    <row r="233" spans="2:8">
      <c r="B233" s="320"/>
      <c r="C233" s="218">
        <f>C232+$K$111</f>
        <v>6.8238287349062829E-2</v>
      </c>
      <c r="D233" s="284" t="e" vm="1">
        <v>#VALUE!</v>
      </c>
      <c r="E233" s="283" t="e" vm="1">
        <v>#VALUE!</v>
      </c>
      <c r="F233" s="283" t="e" vm="1">
        <v>#VALUE!</v>
      </c>
      <c r="G233" s="283" t="e" vm="1">
        <v>#VALUE!</v>
      </c>
      <c r="H233" s="283" t="e" vm="1">
        <v>#VALUE!</v>
      </c>
    </row>
    <row r="237" spans="2:8">
      <c r="B237" s="216" t="s">
        <v>258</v>
      </c>
      <c r="C237" s="216"/>
      <c r="D237" s="216"/>
      <c r="E237" s="216"/>
      <c r="F237" s="216"/>
      <c r="G237" s="216"/>
      <c r="H237" s="216"/>
    </row>
    <row r="238" spans="2:8">
      <c r="B238" s="320" t="s">
        <v>110</v>
      </c>
      <c r="C238" s="321" t="s">
        <v>275</v>
      </c>
      <c r="D238" s="321"/>
      <c r="E238" s="321"/>
      <c r="F238" s="321"/>
      <c r="G238" s="321"/>
      <c r="H238" s="321"/>
    </row>
    <row r="239" spans="2:8" ht="17" thickBot="1">
      <c r="B239" s="320"/>
      <c r="C239" s="217" t="e" vm="1">
        <f ca="1">$C$212</f>
        <v>#VALUE!</v>
      </c>
      <c r="D239" s="279" t="e" vm="1">
        <f ca="1">E239-$K$216</f>
        <v>#VALUE!</v>
      </c>
      <c r="E239" s="279" t="e" vm="1">
        <f ca="1">F239-$K$216</f>
        <v>#VALUE!</v>
      </c>
      <c r="F239" s="280" t="e" vm="1">
        <f ca="1">EV_REVENUE_FY0</f>
        <v>#VALUE!</v>
      </c>
      <c r="G239" s="279" t="e" vm="1">
        <f ca="1">F239+$K$216</f>
        <v>#VALUE!</v>
      </c>
      <c r="H239" s="279" t="e" vm="1">
        <f ca="1">G239+$K$216</f>
        <v>#VALUE!</v>
      </c>
    </row>
    <row r="240" spans="2:8">
      <c r="B240" s="320"/>
      <c r="C240" s="218">
        <f>C241-$K$111</f>
        <v>5.823828734906282E-2</v>
      </c>
      <c r="D240" s="220" t="e" vm="1">
        <f t="dataTable" ref="D240:H244" dt2D="1" dtr="1" r1="I201" r2="E57" ca="1"/>
        <v>#VALUE!</v>
      </c>
      <c r="E240" s="221" t="e" vm="1">
        <v>#VALUE!</v>
      </c>
      <c r="F240" s="222" t="e" vm="1">
        <v>#VALUE!</v>
      </c>
      <c r="G240" s="221" t="e" vm="1">
        <v>#VALUE!</v>
      </c>
      <c r="H240" s="221" t="e" vm="1">
        <v>#VALUE!</v>
      </c>
    </row>
    <row r="241" spans="2:8">
      <c r="B241" s="320"/>
      <c r="C241" s="218">
        <f>C242-$K$111</f>
        <v>6.0738287349062822E-2</v>
      </c>
      <c r="D241" s="223" t="e" vm="1">
        <v>#VALUE!</v>
      </c>
      <c r="E241" s="224" t="e" vm="1">
        <v>#VALUE!</v>
      </c>
      <c r="F241" s="224" t="e" vm="1">
        <v>#VALUE!</v>
      </c>
      <c r="G241" s="224" t="e" vm="1">
        <v>#VALUE!</v>
      </c>
      <c r="H241" s="222" t="e" vm="1">
        <v>#VALUE!</v>
      </c>
    </row>
    <row r="242" spans="2:8">
      <c r="B242" s="320"/>
      <c r="C242" s="225">
        <f>$E$46*$E$54+$E$53*$E$50</f>
        <v>6.3238287349062824E-2</v>
      </c>
      <c r="D242" s="222" t="e" vm="1">
        <v>#VALUE!</v>
      </c>
      <c r="E242" s="224" t="e" vm="1">
        <v>#VALUE!</v>
      </c>
      <c r="F242" s="224" t="e" vm="1">
        <v>#VALUE!</v>
      </c>
      <c r="G242" s="224" t="e" vm="1">
        <v>#VALUE!</v>
      </c>
      <c r="H242" s="222" t="e" vm="1">
        <v>#VALUE!</v>
      </c>
    </row>
    <row r="243" spans="2:8">
      <c r="B243" s="320"/>
      <c r="C243" s="218">
        <f>C242+$K$111</f>
        <v>6.5738287349062827E-2</v>
      </c>
      <c r="D243" s="223" t="e" vm="1">
        <v>#VALUE!</v>
      </c>
      <c r="E243" s="224" t="e" vm="1">
        <v>#VALUE!</v>
      </c>
      <c r="F243" s="224" t="e" vm="1">
        <v>#VALUE!</v>
      </c>
      <c r="G243" s="224" t="e" vm="1">
        <v>#VALUE!</v>
      </c>
      <c r="H243" s="222" t="e" vm="1">
        <v>#VALUE!</v>
      </c>
    </row>
    <row r="244" spans="2:8">
      <c r="B244" s="320"/>
      <c r="C244" s="218">
        <f>C243+$K$111</f>
        <v>6.8238287349062829E-2</v>
      </c>
      <c r="D244" s="223" t="e" vm="1">
        <v>#VALUE!</v>
      </c>
      <c r="E244" s="222" t="e" vm="1">
        <v>#VALUE!</v>
      </c>
      <c r="F244" s="222" t="e" vm="1">
        <v>#VALUE!</v>
      </c>
      <c r="G244" s="222" t="e" vm="1">
        <v>#VALUE!</v>
      </c>
      <c r="H244" s="222" t="e" vm="1">
        <v>#VALUE!</v>
      </c>
    </row>
    <row r="483" spans="1:16308">
      <c r="A483" s="308"/>
      <c r="B483" s="308"/>
      <c r="C483" s="308"/>
      <c r="D483" s="308"/>
      <c r="E483" s="308"/>
      <c r="F483" s="308"/>
      <c r="G483" s="308"/>
      <c r="H483" s="308"/>
      <c r="I483" s="308"/>
      <c r="J483" s="308"/>
      <c r="K483" s="308"/>
      <c r="L483" s="308"/>
      <c r="M483" s="308"/>
      <c r="N483" s="308"/>
      <c r="O483" s="308"/>
      <c r="P483" s="308"/>
      <c r="Q483" s="308"/>
      <c r="R483" s="308"/>
      <c r="S483" s="308"/>
      <c r="T483" s="308"/>
      <c r="U483" s="308"/>
      <c r="V483" s="308"/>
      <c r="W483" s="308"/>
      <c r="X483" s="308"/>
      <c r="Y483" s="308"/>
      <c r="Z483" s="308"/>
      <c r="AA483" s="308"/>
      <c r="AB483" s="308"/>
      <c r="AC483" s="308"/>
      <c r="AD483" s="308"/>
      <c r="AE483" s="308"/>
      <c r="AF483" s="308"/>
      <c r="AG483" s="308"/>
      <c r="AH483" s="308"/>
      <c r="AI483" s="308"/>
      <c r="AJ483" s="308"/>
      <c r="AK483" s="308"/>
      <c r="AL483" s="308"/>
      <c r="AM483" s="308"/>
      <c r="AN483" s="308"/>
      <c r="AO483" s="308"/>
      <c r="AP483" s="308"/>
      <c r="AQ483" s="308"/>
      <c r="AR483" s="308"/>
      <c r="AS483" s="308"/>
      <c r="AT483" s="308"/>
      <c r="AU483" s="308"/>
      <c r="AV483" s="308"/>
      <c r="AW483" s="308"/>
      <c r="AX483" s="308"/>
      <c r="AY483" s="308"/>
      <c r="AZ483" s="308"/>
      <c r="BA483" s="308"/>
      <c r="BB483" s="308"/>
      <c r="BC483" s="308"/>
      <c r="BD483" s="308"/>
      <c r="BE483" s="308"/>
      <c r="BF483" s="308"/>
      <c r="BG483" s="308"/>
      <c r="BH483" s="308"/>
      <c r="BI483" s="308"/>
      <c r="BJ483" s="308"/>
      <c r="BK483" s="308"/>
      <c r="BL483" s="308"/>
      <c r="BM483" s="308"/>
      <c r="BN483" s="308"/>
      <c r="BO483" s="308"/>
      <c r="BP483" s="308"/>
      <c r="BQ483" s="308"/>
      <c r="BR483" s="308"/>
      <c r="BS483" s="308"/>
      <c r="BT483" s="308"/>
      <c r="BU483" s="308"/>
      <c r="BV483" s="308"/>
      <c r="BW483" s="308"/>
      <c r="BX483" s="308"/>
      <c r="BY483" s="308"/>
      <c r="BZ483" s="308"/>
      <c r="CA483" s="308"/>
      <c r="CB483" s="308"/>
      <c r="CC483" s="308"/>
      <c r="CD483" s="308"/>
      <c r="CE483" s="308"/>
      <c r="CF483" s="308"/>
      <c r="CG483" s="308"/>
      <c r="CH483" s="308"/>
      <c r="CI483" s="308"/>
      <c r="CJ483" s="308"/>
      <c r="CK483" s="308"/>
      <c r="CL483" s="308"/>
      <c r="CM483" s="308"/>
      <c r="CN483" s="308"/>
      <c r="CO483" s="308"/>
      <c r="CP483" s="308"/>
      <c r="CQ483" s="308"/>
      <c r="CR483" s="308"/>
      <c r="CS483" s="308"/>
      <c r="CT483" s="308"/>
      <c r="CU483" s="308"/>
      <c r="CV483" s="308"/>
      <c r="CW483" s="308"/>
      <c r="CX483" s="308"/>
      <c r="CY483" s="308"/>
      <c r="CZ483" s="308"/>
      <c r="DA483" s="308"/>
      <c r="DB483" s="308"/>
      <c r="DC483" s="308"/>
      <c r="DD483" s="308"/>
      <c r="DE483" s="308"/>
      <c r="DF483" s="308"/>
      <c r="DG483" s="308"/>
      <c r="DH483" s="308"/>
      <c r="DI483" s="308"/>
      <c r="DJ483" s="308"/>
      <c r="DK483" s="308"/>
      <c r="DL483" s="308"/>
      <c r="DM483" s="308"/>
      <c r="DN483" s="308"/>
      <c r="DO483" s="308"/>
      <c r="DP483" s="308"/>
      <c r="DQ483" s="308"/>
      <c r="DR483" s="308"/>
      <c r="DS483" s="308"/>
      <c r="DT483" s="308"/>
      <c r="DU483" s="308"/>
      <c r="DV483" s="308"/>
      <c r="DW483" s="308"/>
      <c r="DX483" s="308"/>
      <c r="DY483" s="308"/>
      <c r="DZ483" s="308"/>
      <c r="EA483" s="308"/>
      <c r="EB483" s="308"/>
      <c r="EC483" s="308"/>
      <c r="ED483" s="308"/>
      <c r="EE483" s="308"/>
      <c r="EF483" s="308"/>
      <c r="EG483" s="308"/>
      <c r="EH483" s="308"/>
      <c r="EI483" s="308"/>
      <c r="EJ483" s="308"/>
      <c r="EK483" s="308"/>
      <c r="EL483" s="308"/>
      <c r="EM483" s="308"/>
      <c r="EN483" s="308"/>
      <c r="EO483" s="308"/>
      <c r="EP483" s="308"/>
      <c r="EQ483" s="308"/>
      <c r="ER483" s="308"/>
      <c r="ES483" s="308"/>
      <c r="ET483" s="308"/>
      <c r="EU483" s="308"/>
      <c r="EV483" s="308"/>
      <c r="EW483" s="308"/>
      <c r="EX483" s="308"/>
      <c r="EY483" s="308"/>
      <c r="EZ483" s="308"/>
      <c r="FA483" s="308"/>
      <c r="FB483" s="308"/>
      <c r="FC483" s="308"/>
      <c r="FD483" s="308"/>
      <c r="FE483" s="308"/>
      <c r="FF483" s="308"/>
      <c r="FG483" s="308"/>
      <c r="FH483" s="308"/>
      <c r="FI483" s="308"/>
      <c r="FJ483" s="308"/>
      <c r="FK483" s="308"/>
      <c r="FL483" s="308"/>
      <c r="FM483" s="308"/>
      <c r="FN483" s="308"/>
      <c r="FO483" s="308"/>
      <c r="FP483" s="308"/>
      <c r="FQ483" s="308"/>
      <c r="FR483" s="308"/>
      <c r="FS483" s="308"/>
      <c r="FT483" s="308"/>
      <c r="FU483" s="308"/>
      <c r="FV483" s="308"/>
      <c r="FW483" s="308"/>
      <c r="FX483" s="308"/>
      <c r="FY483" s="308"/>
      <c r="FZ483" s="308"/>
      <c r="GA483" s="308"/>
      <c r="GB483" s="308"/>
      <c r="GC483" s="308"/>
      <c r="GD483" s="308"/>
      <c r="GE483" s="308"/>
      <c r="GF483" s="308"/>
      <c r="GG483" s="308"/>
      <c r="GH483" s="308"/>
      <c r="GI483" s="308"/>
      <c r="GJ483" s="308"/>
      <c r="GK483" s="308"/>
      <c r="GL483" s="308"/>
      <c r="GM483" s="308"/>
      <c r="GN483" s="308"/>
      <c r="GO483" s="308"/>
      <c r="GP483" s="308"/>
      <c r="GQ483" s="308"/>
      <c r="GR483" s="308"/>
      <c r="GS483" s="308"/>
      <c r="GT483" s="308"/>
      <c r="GU483" s="308"/>
      <c r="GV483" s="308"/>
      <c r="GW483" s="308"/>
      <c r="GX483" s="308"/>
      <c r="GY483" s="308"/>
      <c r="GZ483" s="308"/>
      <c r="HA483" s="308"/>
      <c r="HB483" s="308"/>
      <c r="HC483" s="308"/>
      <c r="HD483" s="308"/>
      <c r="HE483" s="308"/>
      <c r="HF483" s="308"/>
      <c r="HG483" s="308"/>
      <c r="HH483" s="308"/>
      <c r="HI483" s="308"/>
      <c r="HJ483" s="308"/>
      <c r="HK483" s="308"/>
      <c r="HL483" s="308"/>
      <c r="HM483" s="308"/>
      <c r="HN483" s="308"/>
      <c r="HO483" s="308"/>
      <c r="HP483" s="308"/>
      <c r="HQ483" s="308"/>
      <c r="HR483" s="308"/>
      <c r="HS483" s="308"/>
      <c r="HT483" s="308"/>
      <c r="HU483" s="308"/>
      <c r="HV483" s="308"/>
      <c r="HW483" s="308"/>
      <c r="HX483" s="308"/>
      <c r="HY483" s="308"/>
      <c r="HZ483" s="308"/>
      <c r="IA483" s="308"/>
      <c r="IB483" s="308"/>
      <c r="IC483" s="308"/>
      <c r="ID483" s="308"/>
      <c r="IE483" s="308"/>
      <c r="IF483" s="308"/>
      <c r="IG483" s="308"/>
      <c r="IH483" s="308"/>
      <c r="II483" s="308"/>
      <c r="IJ483" s="308"/>
      <c r="IK483" s="308"/>
      <c r="IL483" s="308"/>
      <c r="IM483" s="308"/>
      <c r="IN483" s="308"/>
      <c r="IO483" s="308"/>
      <c r="IP483" s="308"/>
      <c r="IQ483" s="308"/>
      <c r="IR483" s="308"/>
      <c r="IS483" s="308"/>
      <c r="IT483" s="308"/>
      <c r="IU483" s="308"/>
      <c r="IV483" s="308"/>
      <c r="IW483" s="308"/>
      <c r="IX483" s="308"/>
      <c r="IY483" s="308"/>
      <c r="IZ483" s="308"/>
      <c r="JA483" s="308"/>
      <c r="JB483" s="308"/>
      <c r="JC483" s="308"/>
      <c r="JD483" s="308"/>
      <c r="JE483" s="308"/>
      <c r="JF483" s="308"/>
      <c r="JG483" s="308"/>
      <c r="JH483" s="308"/>
      <c r="JI483" s="308"/>
      <c r="JJ483" s="308"/>
      <c r="JK483" s="308"/>
      <c r="JL483" s="308"/>
      <c r="JM483" s="308"/>
      <c r="JN483" s="308"/>
      <c r="JO483" s="308"/>
      <c r="JP483" s="308"/>
      <c r="JQ483" s="308"/>
      <c r="JR483" s="308"/>
      <c r="JS483" s="308"/>
      <c r="JT483" s="308"/>
      <c r="JU483" s="308"/>
      <c r="JV483" s="308"/>
      <c r="JW483" s="308"/>
      <c r="JX483" s="308"/>
      <c r="JY483" s="308"/>
      <c r="JZ483" s="308"/>
      <c r="KA483" s="308"/>
      <c r="KB483" s="308"/>
      <c r="KC483" s="308"/>
      <c r="KD483" s="308"/>
      <c r="KE483" s="308"/>
      <c r="KF483" s="308"/>
      <c r="KG483" s="308"/>
      <c r="KH483" s="308"/>
      <c r="KI483" s="308"/>
      <c r="KJ483" s="308"/>
      <c r="KK483" s="308"/>
      <c r="KL483" s="308"/>
      <c r="KM483" s="308"/>
      <c r="KN483" s="308"/>
      <c r="KO483" s="308"/>
      <c r="KP483" s="308"/>
      <c r="KQ483" s="308"/>
      <c r="KR483" s="308"/>
      <c r="KS483" s="308"/>
      <c r="KT483" s="308"/>
      <c r="KU483" s="308"/>
      <c r="KV483" s="308"/>
      <c r="KW483" s="308"/>
      <c r="KX483" s="308"/>
      <c r="KY483" s="308"/>
      <c r="KZ483" s="308"/>
      <c r="LA483" s="308"/>
      <c r="LB483" s="308"/>
      <c r="LC483" s="308"/>
      <c r="LD483" s="308"/>
      <c r="LE483" s="308"/>
      <c r="LF483" s="308"/>
      <c r="LG483" s="308"/>
      <c r="LH483" s="308"/>
      <c r="LI483" s="308"/>
      <c r="LJ483" s="308"/>
      <c r="LK483" s="308"/>
      <c r="LL483" s="308"/>
      <c r="LM483" s="308"/>
      <c r="LN483" s="308"/>
      <c r="LO483" s="308"/>
      <c r="LP483" s="308"/>
      <c r="LQ483" s="308"/>
      <c r="LR483" s="308"/>
      <c r="LS483" s="308"/>
      <c r="LT483" s="308"/>
      <c r="LU483" s="308"/>
      <c r="LV483" s="308"/>
      <c r="LW483" s="308"/>
      <c r="LX483" s="308"/>
      <c r="LY483" s="308"/>
      <c r="LZ483" s="308"/>
      <c r="MA483" s="308"/>
      <c r="MB483" s="308"/>
      <c r="MC483" s="308"/>
      <c r="MD483" s="308"/>
      <c r="ME483" s="308"/>
      <c r="MF483" s="308"/>
      <c r="MG483" s="308"/>
      <c r="MH483" s="308"/>
      <c r="MI483" s="308"/>
      <c r="MJ483" s="308"/>
      <c r="MK483" s="308"/>
      <c r="ML483" s="308"/>
      <c r="MM483" s="308"/>
      <c r="MN483" s="308"/>
      <c r="MO483" s="308"/>
      <c r="MP483" s="308"/>
      <c r="MQ483" s="308"/>
      <c r="MR483" s="308"/>
      <c r="MS483" s="308"/>
      <c r="MT483" s="308"/>
      <c r="MU483" s="308"/>
      <c r="MV483" s="308"/>
      <c r="MW483" s="308"/>
      <c r="MX483" s="308"/>
      <c r="MY483" s="308"/>
      <c r="MZ483" s="308"/>
      <c r="NA483" s="308"/>
      <c r="NB483" s="308"/>
      <c r="NC483" s="308"/>
      <c r="ND483" s="308"/>
      <c r="NE483" s="308"/>
      <c r="NF483" s="308"/>
      <c r="NG483" s="308"/>
      <c r="NH483" s="308"/>
      <c r="NI483" s="308"/>
      <c r="NJ483" s="308"/>
      <c r="NK483" s="308"/>
      <c r="NL483" s="308"/>
      <c r="NM483" s="308"/>
      <c r="NN483" s="308"/>
      <c r="NO483" s="308"/>
      <c r="NP483" s="308"/>
      <c r="NQ483" s="308"/>
      <c r="NR483" s="308"/>
      <c r="NS483" s="308"/>
      <c r="NT483" s="308"/>
      <c r="NU483" s="308"/>
      <c r="NV483" s="308"/>
      <c r="NW483" s="308"/>
      <c r="NX483" s="308"/>
      <c r="NY483" s="308"/>
      <c r="NZ483" s="308"/>
      <c r="OA483" s="308"/>
      <c r="OB483" s="308"/>
      <c r="OC483" s="308"/>
      <c r="OD483" s="308"/>
      <c r="OE483" s="308"/>
      <c r="OF483" s="308"/>
      <c r="OG483" s="308"/>
      <c r="OH483" s="308"/>
      <c r="OI483" s="308"/>
      <c r="OJ483" s="308"/>
      <c r="OK483" s="308"/>
      <c r="OL483" s="308"/>
      <c r="OM483" s="308"/>
      <c r="ON483" s="308"/>
      <c r="OO483" s="308"/>
      <c r="OP483" s="308"/>
      <c r="OQ483" s="308"/>
      <c r="OR483" s="308"/>
      <c r="OS483" s="308"/>
      <c r="OT483" s="308"/>
      <c r="OU483" s="308"/>
      <c r="OV483" s="308"/>
      <c r="OW483" s="308"/>
      <c r="OX483" s="308"/>
      <c r="OY483" s="308"/>
      <c r="OZ483" s="308"/>
      <c r="PA483" s="308"/>
      <c r="PB483" s="308"/>
      <c r="PC483" s="308"/>
      <c r="PD483" s="308"/>
      <c r="PE483" s="308"/>
      <c r="PF483" s="308"/>
      <c r="PG483" s="308"/>
      <c r="PH483" s="308"/>
      <c r="PI483" s="308"/>
      <c r="PJ483" s="308"/>
      <c r="PK483" s="308"/>
      <c r="PL483" s="308"/>
      <c r="PM483" s="308"/>
      <c r="PN483" s="308"/>
      <c r="PO483" s="308"/>
      <c r="PP483" s="308"/>
      <c r="PQ483" s="308"/>
      <c r="PR483" s="308"/>
      <c r="PS483" s="308"/>
      <c r="PT483" s="308"/>
      <c r="PU483" s="308"/>
      <c r="PV483" s="308"/>
      <c r="PW483" s="308"/>
      <c r="PX483" s="308"/>
      <c r="PY483" s="308"/>
      <c r="PZ483" s="308"/>
      <c r="QA483" s="308"/>
      <c r="QB483" s="308"/>
      <c r="QC483" s="308"/>
      <c r="QD483" s="308"/>
      <c r="QE483" s="308"/>
      <c r="QF483" s="308"/>
      <c r="QG483" s="308"/>
      <c r="QH483" s="308"/>
      <c r="QI483" s="308"/>
      <c r="QJ483" s="308"/>
      <c r="QK483" s="308"/>
      <c r="QL483" s="308"/>
      <c r="QM483" s="308"/>
      <c r="QN483" s="308"/>
      <c r="QO483" s="308"/>
      <c r="QP483" s="308"/>
      <c r="QQ483" s="308"/>
      <c r="QR483" s="308"/>
      <c r="QS483" s="308"/>
      <c r="QT483" s="308"/>
      <c r="QU483" s="308"/>
      <c r="QV483" s="308"/>
      <c r="QW483" s="308"/>
      <c r="QX483" s="308"/>
      <c r="QY483" s="308"/>
      <c r="QZ483" s="308"/>
      <c r="RA483" s="308"/>
      <c r="RB483" s="308"/>
      <c r="RC483" s="308"/>
      <c r="RD483" s="308"/>
      <c r="RE483" s="308"/>
      <c r="RF483" s="308"/>
      <c r="RG483" s="308"/>
      <c r="RH483" s="308"/>
      <c r="RI483" s="308"/>
      <c r="RJ483" s="308"/>
      <c r="RK483" s="308"/>
      <c r="RL483" s="308"/>
      <c r="RM483" s="308"/>
      <c r="RN483" s="308"/>
      <c r="RO483" s="308"/>
      <c r="RP483" s="308"/>
      <c r="RQ483" s="308"/>
      <c r="RR483" s="308"/>
      <c r="RS483" s="308"/>
      <c r="RT483" s="308"/>
      <c r="RU483" s="308"/>
      <c r="RV483" s="308"/>
      <c r="RW483" s="308"/>
      <c r="RX483" s="308"/>
      <c r="RY483" s="308"/>
      <c r="RZ483" s="308"/>
      <c r="SA483" s="308"/>
      <c r="SB483" s="308"/>
      <c r="SC483" s="308"/>
      <c r="SD483" s="308"/>
      <c r="SE483" s="308"/>
      <c r="SF483" s="308"/>
      <c r="SG483" s="308"/>
      <c r="SH483" s="308"/>
      <c r="SI483" s="308"/>
      <c r="SJ483" s="308"/>
      <c r="SK483" s="308"/>
      <c r="SL483" s="308"/>
      <c r="SM483" s="308"/>
      <c r="SN483" s="308"/>
      <c r="SO483" s="308"/>
      <c r="SP483" s="308"/>
      <c r="SQ483" s="308"/>
      <c r="SR483" s="308"/>
      <c r="SS483" s="308"/>
      <c r="ST483" s="308"/>
      <c r="SU483" s="308"/>
      <c r="SV483" s="308"/>
      <c r="SW483" s="308"/>
      <c r="SX483" s="308"/>
      <c r="SY483" s="308"/>
      <c r="SZ483" s="308"/>
      <c r="TA483" s="308"/>
      <c r="TB483" s="308"/>
      <c r="TC483" s="308"/>
      <c r="TD483" s="308"/>
      <c r="TE483" s="308"/>
      <c r="TF483" s="308"/>
      <c r="TG483" s="308"/>
      <c r="TH483" s="308"/>
      <c r="TI483" s="308"/>
      <c r="TJ483" s="308"/>
      <c r="TK483" s="308"/>
      <c r="TL483" s="308"/>
      <c r="TM483" s="308"/>
      <c r="TN483" s="308"/>
      <c r="TO483" s="308"/>
      <c r="TP483" s="308"/>
      <c r="TQ483" s="308"/>
      <c r="TR483" s="308"/>
      <c r="TS483" s="308"/>
      <c r="TT483" s="308"/>
      <c r="TU483" s="308"/>
      <c r="TV483" s="308"/>
      <c r="TW483" s="308"/>
      <c r="TX483" s="308"/>
      <c r="TY483" s="308"/>
      <c r="TZ483" s="308"/>
      <c r="UA483" s="308"/>
      <c r="UB483" s="308"/>
      <c r="UC483" s="308"/>
      <c r="UD483" s="308"/>
      <c r="UE483" s="308"/>
      <c r="UF483" s="308"/>
      <c r="UG483" s="308"/>
      <c r="UH483" s="308"/>
      <c r="UI483" s="308"/>
      <c r="UJ483" s="308"/>
      <c r="UK483" s="308"/>
      <c r="UL483" s="308"/>
      <c r="UM483" s="308"/>
      <c r="UN483" s="308"/>
      <c r="UO483" s="308"/>
      <c r="UP483" s="308"/>
      <c r="UQ483" s="308"/>
      <c r="UR483" s="308"/>
      <c r="US483" s="308"/>
      <c r="UT483" s="308"/>
      <c r="UU483" s="308"/>
      <c r="UV483" s="308"/>
      <c r="UW483" s="308"/>
      <c r="UX483" s="308"/>
      <c r="UY483" s="308"/>
      <c r="UZ483" s="308"/>
      <c r="VA483" s="308"/>
      <c r="VB483" s="308"/>
      <c r="VC483" s="308"/>
      <c r="VD483" s="308"/>
      <c r="VE483" s="308"/>
      <c r="VF483" s="308"/>
      <c r="VG483" s="308"/>
      <c r="VH483" s="308"/>
      <c r="VI483" s="308"/>
      <c r="VJ483" s="308"/>
      <c r="VK483" s="308"/>
      <c r="VL483" s="308"/>
      <c r="VM483" s="308"/>
      <c r="VN483" s="308"/>
      <c r="VO483" s="308"/>
      <c r="VP483" s="308"/>
      <c r="VQ483" s="308"/>
      <c r="VR483" s="308"/>
      <c r="VS483" s="308"/>
      <c r="VT483" s="308"/>
      <c r="VU483" s="308"/>
      <c r="VV483" s="308"/>
      <c r="VW483" s="308"/>
      <c r="VX483" s="308"/>
      <c r="VY483" s="308"/>
      <c r="VZ483" s="308"/>
      <c r="WA483" s="308"/>
      <c r="WB483" s="308"/>
      <c r="WC483" s="308"/>
      <c r="WD483" s="308"/>
      <c r="WE483" s="308"/>
      <c r="WF483" s="308"/>
      <c r="WG483" s="308"/>
      <c r="WH483" s="308"/>
      <c r="WI483" s="308"/>
      <c r="WJ483" s="308"/>
      <c r="WK483" s="308"/>
      <c r="WL483" s="308"/>
      <c r="WM483" s="308"/>
      <c r="WN483" s="308"/>
      <c r="WO483" s="308"/>
      <c r="WP483" s="308"/>
      <c r="WQ483" s="308"/>
      <c r="WR483" s="308"/>
      <c r="WS483" s="308"/>
      <c r="WT483" s="308"/>
      <c r="WU483" s="308"/>
      <c r="WV483" s="308"/>
      <c r="WW483" s="308"/>
      <c r="WX483" s="308"/>
      <c r="WY483" s="308"/>
      <c r="WZ483" s="308"/>
      <c r="XA483" s="308"/>
      <c r="XB483" s="308"/>
      <c r="XC483" s="308"/>
      <c r="XD483" s="308"/>
      <c r="XE483" s="308"/>
      <c r="XF483" s="308"/>
      <c r="XG483" s="308"/>
      <c r="XH483" s="308"/>
      <c r="XI483" s="308"/>
      <c r="XJ483" s="308"/>
      <c r="XK483" s="308"/>
      <c r="XL483" s="308"/>
      <c r="XM483" s="308"/>
      <c r="XN483" s="308"/>
      <c r="XO483" s="308"/>
      <c r="XP483" s="308"/>
      <c r="XQ483" s="308"/>
      <c r="XR483" s="308"/>
      <c r="XS483" s="308"/>
      <c r="XT483" s="308"/>
      <c r="XU483" s="308"/>
      <c r="XV483" s="308"/>
      <c r="XW483" s="308"/>
      <c r="XX483" s="308"/>
      <c r="XY483" s="308"/>
      <c r="XZ483" s="308"/>
      <c r="YA483" s="308"/>
      <c r="YB483" s="308"/>
      <c r="YC483" s="308"/>
      <c r="YD483" s="308"/>
      <c r="YE483" s="308"/>
      <c r="YF483" s="308"/>
      <c r="YG483" s="308"/>
      <c r="YH483" s="308"/>
      <c r="YI483" s="308"/>
      <c r="YJ483" s="308"/>
      <c r="YK483" s="308"/>
      <c r="YL483" s="308"/>
      <c r="YM483" s="308"/>
      <c r="YN483" s="308"/>
      <c r="YO483" s="308"/>
      <c r="YP483" s="308"/>
      <c r="YQ483" s="308"/>
      <c r="YR483" s="308"/>
      <c r="YS483" s="308"/>
      <c r="YT483" s="308"/>
      <c r="YU483" s="308"/>
      <c r="YV483" s="308"/>
      <c r="YW483" s="308"/>
      <c r="YX483" s="308"/>
      <c r="YY483" s="308"/>
      <c r="YZ483" s="308"/>
      <c r="ZA483" s="308"/>
      <c r="ZB483" s="308"/>
      <c r="ZC483" s="308"/>
      <c r="ZD483" s="308"/>
      <c r="ZE483" s="308"/>
      <c r="ZF483" s="308"/>
      <c r="ZG483" s="308"/>
      <c r="ZH483" s="308"/>
      <c r="ZI483" s="308"/>
      <c r="ZJ483" s="308"/>
      <c r="ZK483" s="308"/>
      <c r="ZL483" s="308"/>
      <c r="ZM483" s="308"/>
      <c r="ZN483" s="308"/>
      <c r="ZO483" s="308"/>
      <c r="ZP483" s="308"/>
      <c r="ZQ483" s="308"/>
      <c r="ZR483" s="308"/>
      <c r="ZS483" s="308"/>
      <c r="ZT483" s="308"/>
      <c r="ZU483" s="308"/>
      <c r="ZV483" s="308"/>
      <c r="ZW483" s="308"/>
      <c r="ZX483" s="308"/>
      <c r="ZY483" s="308"/>
      <c r="ZZ483" s="308"/>
      <c r="AAA483" s="308"/>
      <c r="AAB483" s="308"/>
      <c r="AAC483" s="308"/>
      <c r="AAD483" s="308"/>
      <c r="AAE483" s="308"/>
      <c r="AAF483" s="308"/>
      <c r="AAG483" s="308"/>
      <c r="AAH483" s="308"/>
      <c r="AAI483" s="308"/>
      <c r="AAJ483" s="308"/>
      <c r="AAK483" s="308"/>
      <c r="AAL483" s="308"/>
      <c r="AAM483" s="308"/>
      <c r="AAN483" s="308"/>
      <c r="AAO483" s="308"/>
      <c r="AAP483" s="308"/>
      <c r="AAQ483" s="308"/>
      <c r="AAR483" s="308"/>
      <c r="AAS483" s="308"/>
      <c r="AAT483" s="308"/>
      <c r="AAU483" s="308"/>
      <c r="AAV483" s="308"/>
      <c r="AAW483" s="308"/>
      <c r="AAX483" s="308"/>
      <c r="AAY483" s="308"/>
      <c r="AAZ483" s="308"/>
      <c r="ABA483" s="308"/>
      <c r="ABB483" s="308"/>
      <c r="ABC483" s="308"/>
      <c r="ABD483" s="308"/>
      <c r="ABE483" s="308"/>
      <c r="ABF483" s="308"/>
      <c r="ABG483" s="308"/>
      <c r="ABH483" s="308"/>
      <c r="ABI483" s="308"/>
      <c r="ABJ483" s="308"/>
      <c r="ABK483" s="308"/>
      <c r="ABL483" s="308"/>
      <c r="ABM483" s="308"/>
      <c r="ABN483" s="308"/>
      <c r="ABO483" s="308"/>
      <c r="ABP483" s="308"/>
      <c r="ABQ483" s="308"/>
      <c r="ABR483" s="308"/>
      <c r="ABS483" s="308"/>
      <c r="ABT483" s="308"/>
      <c r="ABU483" s="308"/>
      <c r="ABV483" s="308"/>
      <c r="ABW483" s="308"/>
      <c r="ABX483" s="308"/>
      <c r="ABY483" s="308"/>
      <c r="ABZ483" s="308"/>
      <c r="ACA483" s="308"/>
      <c r="ACB483" s="308"/>
      <c r="ACC483" s="308"/>
      <c r="ACD483" s="308"/>
      <c r="ACE483" s="308"/>
      <c r="ACF483" s="308"/>
      <c r="ACG483" s="308"/>
      <c r="ACH483" s="308"/>
      <c r="ACI483" s="308"/>
      <c r="ACJ483" s="308"/>
      <c r="ACK483" s="308"/>
      <c r="ACL483" s="308"/>
      <c r="ACM483" s="308"/>
      <c r="ACN483" s="308"/>
      <c r="ACO483" s="308"/>
      <c r="ACP483" s="308"/>
      <c r="ACQ483" s="308"/>
      <c r="ACR483" s="308"/>
      <c r="ACS483" s="308"/>
      <c r="ACT483" s="308"/>
      <c r="ACU483" s="308"/>
      <c r="ACV483" s="308"/>
      <c r="ACW483" s="308"/>
      <c r="ACX483" s="308"/>
      <c r="ACY483" s="308"/>
      <c r="ACZ483" s="308"/>
      <c r="ADA483" s="308"/>
      <c r="ADB483" s="308"/>
      <c r="ADC483" s="308"/>
      <c r="ADD483" s="308"/>
      <c r="ADE483" s="308"/>
      <c r="ADF483" s="308"/>
      <c r="ADG483" s="308"/>
      <c r="ADH483" s="308"/>
      <c r="ADI483" s="308"/>
      <c r="ADJ483" s="308"/>
      <c r="ADK483" s="308"/>
      <c r="ADL483" s="308"/>
      <c r="ADM483" s="308"/>
      <c r="ADN483" s="308"/>
      <c r="ADO483" s="308"/>
      <c r="ADP483" s="308"/>
      <c r="ADQ483" s="308"/>
      <c r="ADR483" s="308"/>
      <c r="ADS483" s="308"/>
      <c r="ADT483" s="308"/>
      <c r="ADU483" s="308"/>
      <c r="ADV483" s="308"/>
      <c r="ADW483" s="308"/>
      <c r="ADX483" s="308"/>
      <c r="ADY483" s="308"/>
      <c r="ADZ483" s="308"/>
      <c r="AEA483" s="308"/>
      <c r="AEB483" s="308"/>
      <c r="AEC483" s="308"/>
      <c r="AED483" s="308"/>
      <c r="AEE483" s="308"/>
      <c r="AEF483" s="308"/>
      <c r="AEG483" s="308"/>
      <c r="AEH483" s="308"/>
      <c r="AEI483" s="308"/>
      <c r="AEJ483" s="308"/>
      <c r="AEK483" s="308"/>
      <c r="AEL483" s="308"/>
      <c r="AEM483" s="308"/>
      <c r="AEN483" s="308"/>
      <c r="AEO483" s="308"/>
      <c r="AEP483" s="308"/>
      <c r="AEQ483" s="308"/>
      <c r="AER483" s="308"/>
      <c r="AES483" s="308"/>
      <c r="AET483" s="308"/>
      <c r="AEU483" s="308"/>
      <c r="AEV483" s="308"/>
      <c r="AEW483" s="308"/>
      <c r="AEX483" s="308"/>
      <c r="AEY483" s="308"/>
      <c r="AEZ483" s="308"/>
      <c r="AFA483" s="308"/>
      <c r="AFB483" s="308"/>
      <c r="AFC483" s="308"/>
      <c r="AFD483" s="308"/>
      <c r="AFE483" s="308"/>
      <c r="AFF483" s="308"/>
      <c r="AFG483" s="308"/>
      <c r="AFH483" s="308"/>
      <c r="AFI483" s="308"/>
      <c r="AFJ483" s="308"/>
      <c r="AFK483" s="308"/>
      <c r="AFL483" s="308"/>
      <c r="AFM483" s="308"/>
      <c r="AFN483" s="308"/>
      <c r="AFO483" s="308"/>
      <c r="AFP483" s="308"/>
      <c r="AFQ483" s="308"/>
      <c r="AFR483" s="308"/>
      <c r="AFS483" s="308"/>
      <c r="AFT483" s="308"/>
      <c r="AFU483" s="308"/>
      <c r="AFV483" s="308"/>
      <c r="AFW483" s="308"/>
      <c r="AFX483" s="308"/>
      <c r="AFY483" s="308"/>
      <c r="AFZ483" s="308"/>
      <c r="AGA483" s="308"/>
      <c r="AGB483" s="308"/>
      <c r="AGC483" s="308"/>
      <c r="AGD483" s="308"/>
      <c r="AGE483" s="308"/>
      <c r="AGF483" s="308"/>
      <c r="AGG483" s="308"/>
      <c r="AGH483" s="308"/>
      <c r="AGI483" s="308"/>
      <c r="AGJ483" s="308"/>
      <c r="AGK483" s="308"/>
      <c r="AGL483" s="308"/>
      <c r="AGM483" s="308"/>
      <c r="AGN483" s="308"/>
      <c r="AGO483" s="308"/>
      <c r="AGP483" s="308"/>
      <c r="AGQ483" s="308"/>
      <c r="AGR483" s="308"/>
      <c r="AGS483" s="308"/>
      <c r="AGT483" s="308"/>
      <c r="AGU483" s="308"/>
      <c r="AGV483" s="308"/>
      <c r="AGW483" s="308"/>
      <c r="AGX483" s="308"/>
      <c r="AGY483" s="308"/>
      <c r="AGZ483" s="308"/>
      <c r="AHA483" s="308"/>
      <c r="AHB483" s="308"/>
      <c r="AHC483" s="308"/>
      <c r="AHD483" s="308"/>
      <c r="AHE483" s="308"/>
      <c r="AHF483" s="308"/>
      <c r="AHG483" s="308"/>
      <c r="AHH483" s="308"/>
      <c r="AHI483" s="308"/>
      <c r="AHJ483" s="308"/>
      <c r="AHK483" s="308"/>
      <c r="AHL483" s="308"/>
      <c r="AHM483" s="308"/>
      <c r="AHN483" s="308"/>
      <c r="AHO483" s="308"/>
      <c r="AHP483" s="308"/>
      <c r="AHQ483" s="308"/>
      <c r="AHR483" s="308"/>
      <c r="AHS483" s="308"/>
      <c r="AHT483" s="308"/>
      <c r="AHU483" s="308"/>
      <c r="AHV483" s="308"/>
      <c r="AHW483" s="308"/>
      <c r="AHX483" s="308"/>
      <c r="AHY483" s="308"/>
      <c r="AHZ483" s="308"/>
      <c r="AIA483" s="308"/>
      <c r="AIB483" s="308"/>
      <c r="AIC483" s="308"/>
      <c r="AID483" s="308"/>
      <c r="AIE483" s="308"/>
      <c r="AIF483" s="308"/>
      <c r="AIG483" s="308"/>
      <c r="AIH483" s="308"/>
      <c r="AII483" s="308"/>
      <c r="AIJ483" s="308"/>
      <c r="AIK483" s="308"/>
      <c r="AIL483" s="308"/>
      <c r="AIM483" s="308"/>
      <c r="AIN483" s="308"/>
      <c r="AIO483" s="308"/>
      <c r="AIP483" s="308"/>
      <c r="AIQ483" s="308"/>
      <c r="AIR483" s="308"/>
      <c r="AIS483" s="308"/>
      <c r="AIT483" s="308"/>
      <c r="AIU483" s="308"/>
      <c r="AIV483" s="308"/>
      <c r="AIW483" s="308"/>
      <c r="AIX483" s="308"/>
      <c r="AIY483" s="308"/>
      <c r="AIZ483" s="308"/>
      <c r="AJA483" s="308"/>
      <c r="AJB483" s="308"/>
      <c r="AJC483" s="308"/>
      <c r="AJD483" s="308"/>
      <c r="AJE483" s="308"/>
      <c r="AJF483" s="308"/>
      <c r="AJG483" s="308"/>
      <c r="AJH483" s="308"/>
      <c r="AJI483" s="308"/>
      <c r="AJJ483" s="308"/>
      <c r="AJK483" s="308"/>
      <c r="AJL483" s="308"/>
      <c r="AJM483" s="308"/>
      <c r="AJN483" s="308"/>
      <c r="AJO483" s="308"/>
      <c r="AJP483" s="308"/>
      <c r="AJQ483" s="308"/>
      <c r="AJR483" s="308"/>
      <c r="AJS483" s="308"/>
      <c r="AJT483" s="308"/>
      <c r="AJU483" s="308"/>
      <c r="AJV483" s="308"/>
      <c r="AJW483" s="308"/>
      <c r="AJX483" s="308"/>
      <c r="AJY483" s="308"/>
      <c r="AJZ483" s="308"/>
      <c r="AKA483" s="308"/>
      <c r="AKB483" s="308"/>
      <c r="AKC483" s="308"/>
      <c r="AKD483" s="308"/>
      <c r="AKE483" s="308"/>
      <c r="AKF483" s="308"/>
      <c r="AKG483" s="308"/>
      <c r="AKH483" s="308"/>
      <c r="AKI483" s="308"/>
      <c r="AKJ483" s="308"/>
      <c r="AKK483" s="308"/>
      <c r="AKL483" s="308"/>
      <c r="AKM483" s="308"/>
      <c r="AKN483" s="308"/>
      <c r="AKO483" s="308"/>
      <c r="AKP483" s="308"/>
      <c r="AKQ483" s="308"/>
      <c r="AKR483" s="308"/>
      <c r="AKS483" s="308"/>
      <c r="AKT483" s="308"/>
      <c r="AKU483" s="308"/>
      <c r="AKV483" s="308"/>
      <c r="AKW483" s="308"/>
      <c r="AKX483" s="308"/>
      <c r="AKY483" s="308"/>
      <c r="AKZ483" s="308"/>
      <c r="ALA483" s="308"/>
      <c r="ALB483" s="308"/>
      <c r="ALC483" s="308"/>
      <c r="ALD483" s="308"/>
      <c r="ALE483" s="308"/>
      <c r="ALF483" s="308"/>
      <c r="ALG483" s="308"/>
      <c r="ALH483" s="308"/>
      <c r="ALI483" s="308"/>
      <c r="ALJ483" s="308"/>
      <c r="ALK483" s="308"/>
      <c r="ALL483" s="308"/>
      <c r="ALM483" s="308"/>
      <c r="ALN483" s="308"/>
      <c r="ALO483" s="308"/>
      <c r="ALP483" s="308"/>
      <c r="ALQ483" s="308"/>
      <c r="ALR483" s="308"/>
      <c r="ALS483" s="308"/>
      <c r="ALT483" s="308"/>
      <c r="ALU483" s="308"/>
      <c r="ALV483" s="308"/>
      <c r="ALW483" s="308"/>
      <c r="ALX483" s="308"/>
      <c r="ALY483" s="308"/>
      <c r="ALZ483" s="308"/>
      <c r="AMA483" s="308"/>
      <c r="AMB483" s="308"/>
      <c r="AMC483" s="308"/>
      <c r="AMD483" s="308"/>
      <c r="AME483" s="308"/>
      <c r="AMF483" s="308"/>
      <c r="AMG483" s="308"/>
      <c r="AMH483" s="308"/>
      <c r="AMI483" s="308"/>
      <c r="AMJ483" s="308"/>
      <c r="AMK483" s="308"/>
      <c r="AML483" s="308"/>
      <c r="AMM483" s="308"/>
      <c r="AMN483" s="308"/>
      <c r="AMO483" s="308"/>
      <c r="AMP483" s="308"/>
      <c r="AMQ483" s="308"/>
      <c r="AMR483" s="308"/>
      <c r="AMS483" s="308"/>
      <c r="AMT483" s="308"/>
      <c r="AMU483" s="308"/>
      <c r="AMV483" s="308"/>
      <c r="AMW483" s="308"/>
      <c r="AMX483" s="308"/>
      <c r="AMY483" s="308"/>
      <c r="AMZ483" s="308"/>
      <c r="ANA483" s="308"/>
      <c r="ANB483" s="308"/>
      <c r="ANC483" s="308"/>
      <c r="AND483" s="308"/>
      <c r="ANE483" s="308"/>
      <c r="ANF483" s="308"/>
      <c r="ANG483" s="308"/>
      <c r="ANH483" s="308"/>
      <c r="ANI483" s="308"/>
      <c r="ANJ483" s="308"/>
      <c r="ANK483" s="308"/>
      <c r="ANL483" s="308"/>
      <c r="ANM483" s="308"/>
      <c r="ANN483" s="308"/>
      <c r="ANO483" s="308"/>
      <c r="ANP483" s="308"/>
      <c r="ANQ483" s="308"/>
      <c r="ANR483" s="308"/>
      <c r="ANS483" s="308"/>
      <c r="ANT483" s="308"/>
      <c r="ANU483" s="308"/>
      <c r="ANV483" s="308"/>
      <c r="ANW483" s="308"/>
      <c r="ANX483" s="308"/>
      <c r="ANY483" s="308"/>
      <c r="ANZ483" s="308"/>
      <c r="AOA483" s="308"/>
      <c r="AOB483" s="308"/>
      <c r="AOC483" s="308"/>
      <c r="AOD483" s="308"/>
      <c r="AOE483" s="308"/>
      <c r="AOF483" s="308"/>
      <c r="AOG483" s="308"/>
      <c r="AOH483" s="308"/>
      <c r="AOI483" s="308"/>
      <c r="AOJ483" s="308"/>
      <c r="AOK483" s="308"/>
      <c r="AOL483" s="308"/>
      <c r="AOM483" s="308"/>
      <c r="AON483" s="308"/>
      <c r="AOO483" s="308"/>
      <c r="AOP483" s="308"/>
      <c r="AOQ483" s="308"/>
      <c r="AOR483" s="308"/>
      <c r="AOS483" s="308"/>
      <c r="AOT483" s="308"/>
      <c r="AOU483" s="308"/>
      <c r="AOV483" s="308"/>
      <c r="AOW483" s="308"/>
      <c r="AOX483" s="308"/>
      <c r="AOY483" s="308"/>
      <c r="AOZ483" s="308"/>
      <c r="APA483" s="308"/>
      <c r="APB483" s="308"/>
      <c r="APC483" s="308"/>
      <c r="APD483" s="308"/>
      <c r="APE483" s="308"/>
      <c r="APF483" s="308"/>
      <c r="APG483" s="308"/>
      <c r="APH483" s="308"/>
      <c r="API483" s="308"/>
      <c r="APJ483" s="308"/>
      <c r="APK483" s="308"/>
      <c r="APL483" s="308"/>
      <c r="APM483" s="308"/>
      <c r="APN483" s="308"/>
      <c r="APO483" s="308"/>
      <c r="APP483" s="308"/>
      <c r="APQ483" s="308"/>
      <c r="APR483" s="308"/>
      <c r="APS483" s="308"/>
      <c r="APT483" s="308"/>
      <c r="APU483" s="308"/>
      <c r="APV483" s="308"/>
      <c r="APW483" s="308"/>
      <c r="APX483" s="308"/>
      <c r="APY483" s="308"/>
      <c r="APZ483" s="308"/>
      <c r="AQA483" s="308"/>
      <c r="AQB483" s="308"/>
      <c r="AQC483" s="308"/>
      <c r="AQD483" s="308"/>
      <c r="AQE483" s="308"/>
      <c r="AQF483" s="308"/>
      <c r="AQG483" s="308"/>
      <c r="AQH483" s="308"/>
      <c r="AQI483" s="308"/>
      <c r="AQJ483" s="308"/>
      <c r="AQK483" s="308"/>
      <c r="AQL483" s="308"/>
      <c r="AQM483" s="308"/>
      <c r="AQN483" s="308"/>
      <c r="AQO483" s="308"/>
      <c r="AQP483" s="308"/>
      <c r="AQQ483" s="308"/>
      <c r="AQR483" s="308"/>
      <c r="AQS483" s="308"/>
      <c r="AQT483" s="308"/>
      <c r="AQU483" s="308"/>
      <c r="AQV483" s="308"/>
      <c r="AQW483" s="308"/>
      <c r="AQX483" s="308"/>
      <c r="AQY483" s="308"/>
      <c r="AQZ483" s="308"/>
      <c r="ARA483" s="308"/>
      <c r="ARB483" s="308"/>
      <c r="ARC483" s="308"/>
      <c r="ARD483" s="308"/>
      <c r="ARE483" s="308"/>
      <c r="ARF483" s="308"/>
      <c r="ARG483" s="308"/>
      <c r="ARH483" s="308"/>
      <c r="ARI483" s="308"/>
      <c r="ARJ483" s="308"/>
      <c r="ARK483" s="308"/>
      <c r="ARL483" s="308"/>
      <c r="ARM483" s="308"/>
      <c r="ARN483" s="308"/>
      <c r="ARO483" s="308"/>
      <c r="ARP483" s="308"/>
      <c r="ARQ483" s="308"/>
      <c r="ARR483" s="308"/>
      <c r="ARS483" s="308"/>
      <c r="ART483" s="308"/>
      <c r="ARU483" s="308"/>
      <c r="ARV483" s="308"/>
      <c r="ARW483" s="308"/>
      <c r="ARX483" s="308"/>
      <c r="ARY483" s="308"/>
      <c r="ARZ483" s="308"/>
      <c r="ASA483" s="308"/>
      <c r="ASB483" s="308"/>
      <c r="ASC483" s="308"/>
      <c r="ASD483" s="308"/>
      <c r="ASE483" s="308"/>
      <c r="ASF483" s="308"/>
      <c r="ASG483" s="308"/>
      <c r="ASH483" s="308"/>
      <c r="ASI483" s="308"/>
      <c r="ASJ483" s="308"/>
      <c r="ASK483" s="308"/>
      <c r="ASL483" s="308"/>
      <c r="ASM483" s="308"/>
      <c r="ASN483" s="308"/>
      <c r="ASO483" s="308"/>
      <c r="ASP483" s="308"/>
      <c r="ASQ483" s="308"/>
      <c r="ASR483" s="308"/>
      <c r="ASS483" s="308"/>
      <c r="AST483" s="308"/>
      <c r="ASU483" s="308"/>
      <c r="ASV483" s="308"/>
      <c r="ASW483" s="308"/>
      <c r="ASX483" s="308"/>
      <c r="ASY483" s="308"/>
      <c r="ASZ483" s="308"/>
      <c r="ATA483" s="308"/>
      <c r="ATB483" s="308"/>
      <c r="ATC483" s="308"/>
      <c r="ATD483" s="308"/>
      <c r="ATE483" s="308"/>
      <c r="ATF483" s="308"/>
      <c r="ATG483" s="308"/>
      <c r="ATH483" s="308"/>
      <c r="ATI483" s="308"/>
      <c r="ATJ483" s="308"/>
      <c r="ATK483" s="308"/>
      <c r="ATL483" s="308"/>
      <c r="ATM483" s="308"/>
      <c r="ATN483" s="308"/>
      <c r="ATO483" s="308"/>
      <c r="ATP483" s="308"/>
      <c r="ATQ483" s="308"/>
      <c r="ATR483" s="308"/>
      <c r="ATS483" s="308"/>
      <c r="ATT483" s="308"/>
      <c r="ATU483" s="308"/>
      <c r="ATV483" s="308"/>
      <c r="ATW483" s="308"/>
      <c r="ATX483" s="308"/>
      <c r="ATY483" s="308"/>
      <c r="ATZ483" s="308"/>
      <c r="AUA483" s="308"/>
      <c r="AUB483" s="308"/>
      <c r="AUC483" s="308"/>
      <c r="AUD483" s="308"/>
      <c r="AUE483" s="308"/>
      <c r="AUF483" s="308"/>
      <c r="AUG483" s="308"/>
      <c r="AUH483" s="308"/>
      <c r="AUI483" s="308"/>
      <c r="AUJ483" s="308"/>
      <c r="AUK483" s="308"/>
      <c r="AUL483" s="308"/>
      <c r="AUM483" s="308"/>
      <c r="AUN483" s="308"/>
      <c r="AUO483" s="308"/>
      <c r="AUP483" s="308"/>
      <c r="AUQ483" s="308"/>
      <c r="AUR483" s="308"/>
      <c r="AUS483" s="308"/>
      <c r="AUT483" s="308"/>
      <c r="AUU483" s="308"/>
      <c r="AUV483" s="308"/>
      <c r="AUW483" s="308"/>
      <c r="AUX483" s="308"/>
      <c r="AUY483" s="308"/>
      <c r="AUZ483" s="308"/>
      <c r="AVA483" s="308"/>
      <c r="AVB483" s="308"/>
      <c r="AVC483" s="308"/>
      <c r="AVD483" s="308"/>
      <c r="AVE483" s="308"/>
      <c r="AVF483" s="308"/>
      <c r="AVG483" s="308"/>
      <c r="AVH483" s="308"/>
      <c r="AVI483" s="308"/>
      <c r="AVJ483" s="308"/>
      <c r="AVK483" s="308"/>
      <c r="AVL483" s="308"/>
      <c r="AVM483" s="308"/>
      <c r="AVN483" s="308"/>
      <c r="AVO483" s="308"/>
      <c r="AVP483" s="308"/>
      <c r="AVQ483" s="308"/>
      <c r="AVR483" s="308"/>
      <c r="AVS483" s="308"/>
      <c r="AVT483" s="308"/>
      <c r="AVU483" s="308"/>
      <c r="AVV483" s="308"/>
      <c r="AVW483" s="308"/>
      <c r="AVX483" s="308"/>
      <c r="AVY483" s="308"/>
      <c r="AVZ483" s="308"/>
      <c r="AWA483" s="308"/>
      <c r="AWB483" s="308"/>
      <c r="AWC483" s="308"/>
      <c r="AWD483" s="308"/>
      <c r="AWE483" s="308"/>
      <c r="AWF483" s="308"/>
      <c r="AWG483" s="308"/>
      <c r="AWH483" s="308"/>
      <c r="AWI483" s="308"/>
      <c r="AWJ483" s="308"/>
      <c r="AWK483" s="308"/>
      <c r="AWL483" s="308"/>
      <c r="AWM483" s="308"/>
      <c r="AWN483" s="308"/>
      <c r="AWO483" s="308"/>
      <c r="AWP483" s="308"/>
      <c r="AWQ483" s="308"/>
      <c r="AWR483" s="308"/>
      <c r="AWS483" s="308"/>
      <c r="AWT483" s="308"/>
      <c r="AWU483" s="308"/>
      <c r="AWV483" s="308"/>
      <c r="AWW483" s="308"/>
      <c r="AWX483" s="308"/>
      <c r="AWY483" s="308"/>
      <c r="AWZ483" s="308"/>
      <c r="AXA483" s="308"/>
      <c r="AXB483" s="308"/>
      <c r="AXC483" s="308"/>
      <c r="AXD483" s="308"/>
      <c r="AXE483" s="308"/>
      <c r="AXF483" s="308"/>
      <c r="AXG483" s="308"/>
      <c r="AXH483" s="308"/>
      <c r="AXI483" s="308"/>
      <c r="AXJ483" s="308"/>
      <c r="AXK483" s="308"/>
      <c r="AXL483" s="308"/>
      <c r="AXM483" s="308"/>
      <c r="AXN483" s="308"/>
      <c r="AXO483" s="308"/>
      <c r="AXP483" s="308"/>
      <c r="AXQ483" s="308"/>
      <c r="AXR483" s="308"/>
      <c r="AXS483" s="308"/>
      <c r="AXT483" s="308"/>
      <c r="AXU483" s="308"/>
      <c r="AXV483" s="308"/>
      <c r="AXW483" s="308"/>
      <c r="AXX483" s="308"/>
      <c r="AXY483" s="308"/>
      <c r="AXZ483" s="308"/>
      <c r="AYA483" s="308"/>
      <c r="AYB483" s="308"/>
      <c r="AYC483" s="308"/>
      <c r="AYD483" s="308"/>
      <c r="AYE483" s="308"/>
      <c r="AYF483" s="308"/>
      <c r="AYG483" s="308"/>
      <c r="AYH483" s="308"/>
      <c r="AYI483" s="308"/>
      <c r="AYJ483" s="308"/>
      <c r="AYK483" s="308"/>
      <c r="AYL483" s="308"/>
      <c r="AYM483" s="308"/>
      <c r="AYN483" s="308"/>
      <c r="AYO483" s="308"/>
      <c r="AYP483" s="308"/>
      <c r="AYQ483" s="308"/>
      <c r="AYR483" s="308"/>
      <c r="AYS483" s="308"/>
      <c r="AYT483" s="308"/>
      <c r="AYU483" s="308"/>
      <c r="AYV483" s="308"/>
      <c r="AYW483" s="308"/>
      <c r="AYX483" s="308"/>
      <c r="AYY483" s="308"/>
      <c r="AYZ483" s="308"/>
      <c r="AZA483" s="308"/>
      <c r="AZB483" s="308"/>
      <c r="AZC483" s="308"/>
      <c r="AZD483" s="308"/>
      <c r="AZE483" s="308"/>
      <c r="AZF483" s="308"/>
      <c r="AZG483" s="308"/>
      <c r="AZH483" s="308"/>
      <c r="AZI483" s="308"/>
      <c r="AZJ483" s="308"/>
      <c r="AZK483" s="308"/>
      <c r="AZL483" s="308"/>
      <c r="AZM483" s="308"/>
      <c r="AZN483" s="308"/>
      <c r="AZO483" s="308"/>
      <c r="AZP483" s="308"/>
      <c r="AZQ483" s="308"/>
      <c r="AZR483" s="308"/>
      <c r="AZS483" s="308"/>
      <c r="AZT483" s="308"/>
      <c r="AZU483" s="308"/>
      <c r="AZV483" s="308"/>
      <c r="AZW483" s="308"/>
      <c r="AZX483" s="308"/>
      <c r="AZY483" s="308"/>
      <c r="AZZ483" s="308"/>
      <c r="BAA483" s="308"/>
      <c r="BAB483" s="308"/>
      <c r="BAC483" s="308"/>
      <c r="BAD483" s="308"/>
      <c r="BAE483" s="308"/>
      <c r="BAF483" s="308"/>
      <c r="BAG483" s="308"/>
      <c r="BAH483" s="308"/>
      <c r="BAI483" s="308"/>
      <c r="BAJ483" s="308"/>
      <c r="BAK483" s="308"/>
      <c r="BAL483" s="308"/>
      <c r="BAM483" s="308"/>
      <c r="BAN483" s="308"/>
      <c r="BAO483" s="308"/>
      <c r="BAP483" s="308"/>
      <c r="BAQ483" s="308"/>
      <c r="BAR483" s="308"/>
      <c r="BAS483" s="308"/>
      <c r="BAT483" s="308"/>
      <c r="BAU483" s="308"/>
      <c r="BAV483" s="308"/>
      <c r="BAW483" s="308"/>
      <c r="BAX483" s="308"/>
      <c r="BAY483" s="308"/>
      <c r="BAZ483" s="308"/>
      <c r="BBA483" s="308"/>
      <c r="BBB483" s="308"/>
      <c r="BBC483" s="308"/>
      <c r="BBD483" s="308"/>
      <c r="BBE483" s="308"/>
      <c r="BBF483" s="308"/>
      <c r="BBG483" s="308"/>
      <c r="BBH483" s="308"/>
      <c r="BBI483" s="308"/>
      <c r="BBJ483" s="308"/>
      <c r="BBK483" s="308"/>
      <c r="BBL483" s="308"/>
      <c r="BBM483" s="308"/>
      <c r="BBN483" s="308"/>
      <c r="BBO483" s="308"/>
      <c r="BBP483" s="308"/>
      <c r="BBQ483" s="308"/>
      <c r="BBR483" s="308"/>
      <c r="BBS483" s="308"/>
      <c r="BBT483" s="308"/>
      <c r="BBU483" s="308"/>
      <c r="BBV483" s="308"/>
      <c r="BBW483" s="308"/>
      <c r="BBX483" s="308"/>
      <c r="BBY483" s="308"/>
      <c r="BBZ483" s="308"/>
      <c r="BCA483" s="308"/>
      <c r="BCB483" s="308"/>
      <c r="BCC483" s="308"/>
      <c r="BCD483" s="308"/>
      <c r="BCE483" s="308"/>
      <c r="BCF483" s="308"/>
      <c r="BCG483" s="308"/>
      <c r="BCH483" s="308"/>
      <c r="BCI483" s="308"/>
      <c r="BCJ483" s="308"/>
      <c r="BCK483" s="308"/>
      <c r="BCL483" s="308"/>
      <c r="BCM483" s="308"/>
      <c r="BCN483" s="308"/>
      <c r="BCO483" s="308"/>
      <c r="BCP483" s="308"/>
      <c r="BCQ483" s="308"/>
      <c r="BCR483" s="308"/>
      <c r="BCS483" s="308"/>
      <c r="BCT483" s="308"/>
      <c r="BCU483" s="308"/>
      <c r="BCV483" s="308"/>
      <c r="BCW483" s="308"/>
      <c r="BCX483" s="308"/>
      <c r="BCY483" s="308"/>
      <c r="BCZ483" s="308"/>
      <c r="BDA483" s="308"/>
      <c r="BDB483" s="308"/>
      <c r="BDC483" s="308"/>
      <c r="BDD483" s="308"/>
      <c r="BDE483" s="308"/>
      <c r="BDF483" s="308"/>
      <c r="BDG483" s="308"/>
      <c r="BDH483" s="308"/>
      <c r="BDI483" s="308"/>
      <c r="BDJ483" s="308"/>
      <c r="BDK483" s="308"/>
      <c r="BDL483" s="308"/>
      <c r="BDM483" s="308"/>
      <c r="BDN483" s="308"/>
      <c r="BDO483" s="308"/>
      <c r="BDP483" s="308"/>
      <c r="BDQ483" s="308"/>
      <c r="BDR483" s="308"/>
      <c r="BDS483" s="308"/>
      <c r="BDT483" s="308"/>
      <c r="BDU483" s="308"/>
      <c r="BDV483" s="308"/>
      <c r="BDW483" s="308"/>
      <c r="BDX483" s="308"/>
      <c r="BDY483" s="308"/>
      <c r="BDZ483" s="308"/>
      <c r="BEA483" s="308"/>
      <c r="BEB483" s="308"/>
      <c r="BEC483" s="308"/>
      <c r="BED483" s="308"/>
      <c r="BEE483" s="308"/>
      <c r="BEF483" s="308"/>
      <c r="BEG483" s="308"/>
      <c r="BEH483" s="308"/>
      <c r="BEI483" s="308"/>
      <c r="BEJ483" s="308"/>
      <c r="BEK483" s="308"/>
      <c r="BEL483" s="308"/>
      <c r="BEM483" s="308"/>
      <c r="BEN483" s="308"/>
      <c r="BEO483" s="308"/>
      <c r="BEP483" s="308"/>
      <c r="BEQ483" s="308"/>
      <c r="BER483" s="308"/>
      <c r="BES483" s="308"/>
      <c r="BET483" s="308"/>
      <c r="BEU483" s="308"/>
      <c r="BEV483" s="308"/>
      <c r="BEW483" s="308"/>
      <c r="BEX483" s="308"/>
      <c r="BEY483" s="308"/>
      <c r="BEZ483" s="308"/>
      <c r="BFA483" s="308"/>
      <c r="BFB483" s="308"/>
      <c r="BFC483" s="308"/>
      <c r="BFD483" s="308"/>
      <c r="BFE483" s="308"/>
      <c r="BFF483" s="308"/>
      <c r="BFG483" s="308"/>
      <c r="BFH483" s="308"/>
      <c r="BFI483" s="308"/>
      <c r="BFJ483" s="308"/>
      <c r="BFK483" s="308"/>
      <c r="BFL483" s="308"/>
      <c r="BFM483" s="308"/>
      <c r="BFN483" s="308"/>
      <c r="BFO483" s="308"/>
      <c r="BFP483" s="308"/>
      <c r="BFQ483" s="308"/>
      <c r="BFR483" s="308"/>
      <c r="BFS483" s="308"/>
      <c r="BFT483" s="308"/>
      <c r="BFU483" s="308"/>
      <c r="BFV483" s="308"/>
      <c r="BFW483" s="308"/>
      <c r="BFX483" s="308"/>
      <c r="BFY483" s="308"/>
      <c r="BFZ483" s="308"/>
      <c r="BGA483" s="308"/>
      <c r="BGB483" s="308"/>
      <c r="BGC483" s="308"/>
      <c r="BGD483" s="308"/>
      <c r="BGE483" s="308"/>
      <c r="BGF483" s="308"/>
      <c r="BGG483" s="308"/>
      <c r="BGH483" s="308"/>
      <c r="BGI483" s="308"/>
      <c r="BGJ483" s="308"/>
      <c r="BGK483" s="308"/>
      <c r="BGL483" s="308"/>
      <c r="BGM483" s="308"/>
      <c r="BGN483" s="308"/>
      <c r="BGO483" s="308"/>
      <c r="BGP483" s="308"/>
      <c r="BGQ483" s="308"/>
      <c r="BGR483" s="308"/>
      <c r="BGS483" s="308"/>
      <c r="BGT483" s="308"/>
      <c r="BGU483" s="308"/>
      <c r="BGV483" s="308"/>
      <c r="BGW483" s="308"/>
      <c r="BGX483" s="308"/>
      <c r="BGY483" s="308"/>
      <c r="BGZ483" s="308"/>
      <c r="BHA483" s="308"/>
      <c r="BHB483" s="308"/>
      <c r="BHC483" s="308"/>
      <c r="BHD483" s="308"/>
      <c r="BHE483" s="308"/>
      <c r="BHF483" s="308"/>
      <c r="BHG483" s="308"/>
      <c r="BHH483" s="308"/>
      <c r="BHI483" s="308"/>
      <c r="BHJ483" s="308"/>
      <c r="BHK483" s="308"/>
      <c r="BHL483" s="308"/>
      <c r="BHM483" s="308"/>
      <c r="BHN483" s="308"/>
      <c r="BHO483" s="308"/>
      <c r="BHP483" s="308"/>
      <c r="BHQ483" s="308"/>
      <c r="BHR483" s="308"/>
      <c r="BHS483" s="308"/>
      <c r="BHT483" s="308"/>
      <c r="BHU483" s="308"/>
      <c r="BHV483" s="308"/>
      <c r="BHW483" s="308"/>
      <c r="BHX483" s="308"/>
      <c r="BHY483" s="308"/>
      <c r="BHZ483" s="308"/>
      <c r="BIA483" s="308"/>
      <c r="BIB483" s="308"/>
      <c r="BIC483" s="308"/>
      <c r="BID483" s="308"/>
      <c r="BIE483" s="308"/>
      <c r="BIF483" s="308"/>
      <c r="BIG483" s="308"/>
      <c r="BIH483" s="308"/>
      <c r="BII483" s="308"/>
      <c r="BIJ483" s="308"/>
      <c r="BIK483" s="308"/>
      <c r="BIL483" s="308"/>
      <c r="BIM483" s="308"/>
      <c r="BIN483" s="308"/>
      <c r="BIO483" s="308"/>
      <c r="BIP483" s="308"/>
      <c r="BIQ483" s="308"/>
      <c r="BIR483" s="308"/>
      <c r="BIS483" s="308"/>
      <c r="BIT483" s="308"/>
      <c r="BIU483" s="308"/>
      <c r="BIV483" s="308"/>
      <c r="BIW483" s="308"/>
      <c r="BIX483" s="308"/>
      <c r="BIY483" s="308"/>
      <c r="BIZ483" s="308"/>
      <c r="BJA483" s="308"/>
      <c r="BJB483" s="308"/>
      <c r="BJC483" s="308"/>
      <c r="BJD483" s="308"/>
      <c r="BJE483" s="308"/>
      <c r="BJF483" s="308"/>
      <c r="BJG483" s="308"/>
      <c r="BJH483" s="308"/>
      <c r="BJI483" s="308"/>
      <c r="BJJ483" s="308"/>
      <c r="BJK483" s="308"/>
      <c r="BJL483" s="308"/>
      <c r="BJM483" s="308"/>
      <c r="BJN483" s="308"/>
      <c r="BJO483" s="308"/>
      <c r="BJP483" s="308"/>
      <c r="BJQ483" s="308"/>
      <c r="BJR483" s="308"/>
      <c r="BJS483" s="308"/>
      <c r="BJT483" s="308"/>
      <c r="BJU483" s="308"/>
      <c r="BJV483" s="308"/>
      <c r="BJW483" s="308"/>
      <c r="BJX483" s="308"/>
      <c r="BJY483" s="308"/>
      <c r="BJZ483" s="308"/>
      <c r="BKA483" s="308"/>
      <c r="BKB483" s="308"/>
      <c r="BKC483" s="308"/>
      <c r="BKD483" s="308"/>
      <c r="BKE483" s="308"/>
      <c r="BKF483" s="308"/>
      <c r="BKG483" s="308"/>
      <c r="BKH483" s="308"/>
      <c r="BKI483" s="308"/>
      <c r="BKJ483" s="308"/>
      <c r="BKK483" s="308"/>
      <c r="BKL483" s="308"/>
      <c r="BKM483" s="308"/>
      <c r="BKN483" s="308"/>
      <c r="BKO483" s="308"/>
      <c r="BKP483" s="308"/>
      <c r="BKQ483" s="308"/>
      <c r="BKR483" s="308"/>
      <c r="BKS483" s="308"/>
      <c r="BKT483" s="308"/>
      <c r="BKU483" s="308"/>
      <c r="BKV483" s="308"/>
      <c r="BKW483" s="308"/>
      <c r="BKX483" s="308"/>
      <c r="BKY483" s="308"/>
      <c r="BKZ483" s="308"/>
      <c r="BLA483" s="308"/>
      <c r="BLB483" s="308"/>
      <c r="BLC483" s="308"/>
      <c r="BLD483" s="308"/>
      <c r="BLE483" s="308"/>
      <c r="BLF483" s="308"/>
      <c r="BLG483" s="308"/>
      <c r="BLH483" s="308"/>
      <c r="BLI483" s="308"/>
      <c r="BLJ483" s="308"/>
      <c r="BLK483" s="308"/>
      <c r="BLL483" s="308"/>
      <c r="BLM483" s="308"/>
      <c r="BLN483" s="308"/>
      <c r="BLO483" s="308"/>
      <c r="BLP483" s="308"/>
      <c r="BLQ483" s="308"/>
      <c r="BLR483" s="308"/>
      <c r="BLS483" s="308"/>
      <c r="BLT483" s="308"/>
      <c r="BLU483" s="308"/>
      <c r="BLV483" s="308"/>
      <c r="BLW483" s="308"/>
      <c r="BLX483" s="308"/>
      <c r="BLY483" s="308"/>
      <c r="BLZ483" s="308"/>
      <c r="BMA483" s="308"/>
      <c r="BMB483" s="308"/>
      <c r="BMC483" s="308"/>
      <c r="BMD483" s="308"/>
      <c r="BME483" s="308"/>
      <c r="BMF483" s="308"/>
      <c r="BMG483" s="308"/>
      <c r="BMH483" s="308"/>
      <c r="BMI483" s="308"/>
      <c r="BMJ483" s="308"/>
      <c r="BMK483" s="308"/>
      <c r="BML483" s="308"/>
      <c r="BMM483" s="308"/>
      <c r="BMN483" s="308"/>
      <c r="BMO483" s="308"/>
      <c r="BMP483" s="308"/>
      <c r="BMQ483" s="308"/>
      <c r="BMR483" s="308"/>
      <c r="BMS483" s="308"/>
      <c r="BMT483" s="308"/>
      <c r="BMU483" s="308"/>
      <c r="BMV483" s="308"/>
      <c r="BMW483" s="308"/>
      <c r="BMX483" s="308"/>
      <c r="BMY483" s="308"/>
      <c r="BMZ483" s="308"/>
      <c r="BNA483" s="308"/>
      <c r="BNB483" s="308"/>
      <c r="BNC483" s="308"/>
      <c r="BND483" s="308"/>
      <c r="BNE483" s="308"/>
      <c r="BNF483" s="308"/>
      <c r="BNG483" s="308"/>
      <c r="BNH483" s="308"/>
      <c r="BNI483" s="308"/>
      <c r="BNJ483" s="308"/>
      <c r="BNK483" s="308"/>
      <c r="BNL483" s="308"/>
      <c r="BNM483" s="308"/>
      <c r="BNN483" s="308"/>
      <c r="BNO483" s="308"/>
      <c r="BNP483" s="308"/>
      <c r="BNQ483" s="308"/>
      <c r="BNR483" s="308"/>
      <c r="BNS483" s="308"/>
      <c r="BNT483" s="308"/>
      <c r="BNU483" s="308"/>
      <c r="BNV483" s="308"/>
      <c r="BNW483" s="308"/>
      <c r="BNX483" s="308"/>
      <c r="BNY483" s="308"/>
      <c r="BNZ483" s="308"/>
      <c r="BOA483" s="308"/>
      <c r="BOB483" s="308"/>
      <c r="BOC483" s="308"/>
      <c r="BOD483" s="308"/>
      <c r="BOE483" s="308"/>
      <c r="BOF483" s="308"/>
      <c r="BOG483" s="308"/>
      <c r="BOH483" s="308"/>
      <c r="BOI483" s="308"/>
      <c r="BOJ483" s="308"/>
      <c r="BOK483" s="308"/>
      <c r="BOL483" s="308"/>
      <c r="BOM483" s="308"/>
      <c r="BON483" s="308"/>
      <c r="BOO483" s="308"/>
      <c r="BOP483" s="308"/>
      <c r="BOQ483" s="308"/>
      <c r="BOR483" s="308"/>
      <c r="BOS483" s="308"/>
      <c r="BOT483" s="308"/>
      <c r="BOU483" s="308"/>
      <c r="BOV483" s="308"/>
      <c r="BOW483" s="308"/>
      <c r="BOX483" s="308"/>
      <c r="BOY483" s="308"/>
      <c r="BOZ483" s="308"/>
      <c r="BPA483" s="308"/>
      <c r="BPB483" s="308"/>
      <c r="BPC483" s="308"/>
      <c r="BPD483" s="308"/>
      <c r="BPE483" s="308"/>
      <c r="BPF483" s="308"/>
      <c r="BPG483" s="308"/>
      <c r="BPH483" s="308"/>
      <c r="BPI483" s="308"/>
      <c r="BPJ483" s="308"/>
      <c r="BPK483" s="308"/>
      <c r="BPL483" s="308"/>
      <c r="BPM483" s="308"/>
      <c r="BPN483" s="308"/>
      <c r="BPO483" s="308"/>
      <c r="BPP483" s="308"/>
      <c r="BPQ483" s="308"/>
      <c r="BPR483" s="308"/>
      <c r="BPS483" s="308"/>
      <c r="BPT483" s="308"/>
      <c r="BPU483" s="308"/>
      <c r="BPV483" s="308"/>
      <c r="BPW483" s="308"/>
      <c r="BPX483" s="308"/>
      <c r="BPY483" s="308"/>
      <c r="BPZ483" s="308"/>
      <c r="BQA483" s="308"/>
      <c r="BQB483" s="308"/>
      <c r="BQC483" s="308"/>
      <c r="BQD483" s="308"/>
      <c r="BQE483" s="308"/>
      <c r="BQF483" s="308"/>
      <c r="BQG483" s="308"/>
      <c r="BQH483" s="308"/>
      <c r="BQI483" s="308"/>
      <c r="BQJ483" s="308"/>
      <c r="BQK483" s="308"/>
      <c r="BQL483" s="308"/>
      <c r="BQM483" s="308"/>
      <c r="BQN483" s="308"/>
      <c r="BQO483" s="308"/>
      <c r="BQP483" s="308"/>
      <c r="BQQ483" s="308"/>
      <c r="BQR483" s="308"/>
      <c r="BQS483" s="308"/>
      <c r="BQT483" s="308"/>
      <c r="BQU483" s="308"/>
      <c r="BQV483" s="308"/>
      <c r="BQW483" s="308"/>
      <c r="BQX483" s="308"/>
      <c r="BQY483" s="308"/>
      <c r="BQZ483" s="308"/>
      <c r="BRA483" s="308"/>
      <c r="BRB483" s="308"/>
      <c r="BRC483" s="308"/>
      <c r="BRD483" s="308"/>
      <c r="BRE483" s="308"/>
      <c r="BRF483" s="308"/>
      <c r="BRG483" s="308"/>
      <c r="BRH483" s="308"/>
      <c r="BRI483" s="308"/>
      <c r="BRJ483" s="308"/>
      <c r="BRK483" s="308"/>
      <c r="BRL483" s="308"/>
      <c r="BRM483" s="308"/>
      <c r="BRN483" s="308"/>
      <c r="BRO483" s="308"/>
      <c r="BRP483" s="308"/>
      <c r="BRQ483" s="308"/>
      <c r="BRR483" s="308"/>
      <c r="BRS483" s="308"/>
      <c r="BRT483" s="308"/>
      <c r="BRU483" s="308"/>
      <c r="BRV483" s="308"/>
      <c r="BRW483" s="308"/>
      <c r="BRX483" s="308"/>
      <c r="BRY483" s="308"/>
      <c r="BRZ483" s="308"/>
      <c r="BSA483" s="308"/>
      <c r="BSB483" s="308"/>
      <c r="BSC483" s="308"/>
      <c r="BSD483" s="308"/>
      <c r="BSE483" s="308"/>
      <c r="BSF483" s="308"/>
      <c r="BSG483" s="308"/>
      <c r="BSH483" s="308"/>
      <c r="BSI483" s="308"/>
      <c r="BSJ483" s="308"/>
      <c r="BSK483" s="308"/>
      <c r="BSL483" s="308"/>
      <c r="BSM483" s="308"/>
      <c r="BSN483" s="308"/>
      <c r="BSO483" s="308"/>
      <c r="BSP483" s="308"/>
      <c r="BSQ483" s="308"/>
      <c r="BSR483" s="308"/>
      <c r="BSS483" s="308"/>
      <c r="BST483" s="308"/>
      <c r="BSU483" s="308"/>
      <c r="BSV483" s="308"/>
      <c r="BSW483" s="308"/>
      <c r="BSX483" s="308"/>
      <c r="BSY483" s="308"/>
      <c r="BSZ483" s="308"/>
      <c r="BTA483" s="308"/>
      <c r="BTB483" s="308"/>
      <c r="BTC483" s="308"/>
      <c r="BTD483" s="308"/>
      <c r="BTE483" s="308"/>
      <c r="BTF483" s="308"/>
      <c r="BTG483" s="308"/>
      <c r="BTH483" s="308"/>
      <c r="BTI483" s="308"/>
      <c r="BTJ483" s="308"/>
      <c r="BTK483" s="308"/>
      <c r="BTL483" s="308"/>
      <c r="BTM483" s="308"/>
      <c r="BTN483" s="308"/>
      <c r="BTO483" s="308"/>
      <c r="BTP483" s="308"/>
      <c r="BTQ483" s="308"/>
      <c r="BTR483" s="308"/>
      <c r="BTS483" s="308"/>
      <c r="BTT483" s="308"/>
      <c r="BTU483" s="308"/>
      <c r="BTV483" s="308"/>
      <c r="BTW483" s="308"/>
      <c r="BTX483" s="308"/>
      <c r="BTY483" s="308"/>
      <c r="BTZ483" s="308"/>
      <c r="BUA483" s="308"/>
      <c r="BUB483" s="308"/>
      <c r="BUC483" s="308"/>
      <c r="BUD483" s="308"/>
      <c r="BUE483" s="308"/>
      <c r="BUF483" s="308"/>
      <c r="BUG483" s="308"/>
      <c r="BUH483" s="308"/>
      <c r="BUI483" s="308"/>
      <c r="BUJ483" s="308"/>
      <c r="BUK483" s="308"/>
      <c r="BUL483" s="308"/>
      <c r="BUM483" s="308"/>
      <c r="BUN483" s="308"/>
      <c r="BUO483" s="308"/>
      <c r="BUP483" s="308"/>
      <c r="BUQ483" s="308"/>
      <c r="BUR483" s="308"/>
      <c r="BUS483" s="308"/>
      <c r="BUT483" s="308"/>
      <c r="BUU483" s="308"/>
      <c r="BUV483" s="308"/>
      <c r="BUW483" s="308"/>
      <c r="BUX483" s="308"/>
      <c r="BUY483" s="308"/>
      <c r="BUZ483" s="308"/>
      <c r="BVA483" s="308"/>
      <c r="BVB483" s="308"/>
      <c r="BVC483" s="308"/>
      <c r="BVD483" s="308"/>
      <c r="BVE483" s="308"/>
      <c r="BVF483" s="308"/>
      <c r="BVG483" s="308"/>
      <c r="BVH483" s="308"/>
      <c r="BVI483" s="308"/>
      <c r="BVJ483" s="308"/>
      <c r="BVK483" s="308"/>
      <c r="BVL483" s="308"/>
      <c r="BVM483" s="308"/>
      <c r="BVN483" s="308"/>
      <c r="BVO483" s="308"/>
      <c r="BVP483" s="308"/>
      <c r="BVQ483" s="308"/>
      <c r="BVR483" s="308"/>
      <c r="BVS483" s="308"/>
      <c r="BVT483" s="308"/>
      <c r="BVU483" s="308"/>
      <c r="BVV483" s="308"/>
      <c r="BVW483" s="308"/>
      <c r="BVX483" s="308"/>
      <c r="BVY483" s="308"/>
      <c r="BVZ483" s="308"/>
      <c r="BWA483" s="308"/>
      <c r="BWB483" s="308"/>
      <c r="BWC483" s="308"/>
      <c r="BWD483" s="308"/>
      <c r="BWE483" s="308"/>
      <c r="BWF483" s="308"/>
      <c r="BWG483" s="308"/>
      <c r="BWH483" s="308"/>
      <c r="BWI483" s="308"/>
      <c r="BWJ483" s="308"/>
      <c r="BWK483" s="308"/>
      <c r="BWL483" s="308"/>
      <c r="BWM483" s="308"/>
      <c r="BWN483" s="308"/>
      <c r="BWO483" s="308"/>
      <c r="BWP483" s="308"/>
      <c r="BWQ483" s="308"/>
      <c r="BWR483" s="308"/>
      <c r="BWS483" s="308"/>
      <c r="BWT483" s="308"/>
      <c r="BWU483" s="308"/>
      <c r="BWV483" s="308"/>
      <c r="BWW483" s="308"/>
      <c r="BWX483" s="308"/>
      <c r="BWY483" s="308"/>
      <c r="BWZ483" s="308"/>
      <c r="BXA483" s="308"/>
      <c r="BXB483" s="308"/>
      <c r="BXC483" s="308"/>
      <c r="BXD483" s="308"/>
      <c r="BXE483" s="308"/>
      <c r="BXF483" s="308"/>
      <c r="BXG483" s="308"/>
      <c r="BXH483" s="308"/>
      <c r="BXI483" s="308"/>
      <c r="BXJ483" s="308"/>
      <c r="BXK483" s="308"/>
      <c r="BXL483" s="308"/>
      <c r="BXM483" s="308"/>
      <c r="BXN483" s="308"/>
      <c r="BXO483" s="308"/>
      <c r="BXP483" s="308"/>
      <c r="BXQ483" s="308"/>
      <c r="BXR483" s="308"/>
      <c r="BXS483" s="308"/>
      <c r="BXT483" s="308"/>
      <c r="BXU483" s="308"/>
      <c r="BXV483" s="308"/>
      <c r="BXW483" s="308"/>
      <c r="BXX483" s="308"/>
      <c r="BXY483" s="308"/>
      <c r="BXZ483" s="308"/>
      <c r="BYA483" s="308"/>
      <c r="BYB483" s="308"/>
      <c r="BYC483" s="308"/>
      <c r="BYD483" s="308"/>
      <c r="BYE483" s="308"/>
      <c r="BYF483" s="308"/>
      <c r="BYG483" s="308"/>
      <c r="BYH483" s="308"/>
      <c r="BYI483" s="308"/>
      <c r="BYJ483" s="308"/>
      <c r="BYK483" s="308"/>
      <c r="BYL483" s="308"/>
      <c r="BYM483" s="308"/>
      <c r="BYN483" s="308"/>
      <c r="BYO483" s="308"/>
      <c r="BYP483" s="308"/>
      <c r="BYQ483" s="308"/>
      <c r="BYR483" s="308"/>
      <c r="BYS483" s="308"/>
      <c r="BYT483" s="308"/>
      <c r="BYU483" s="308"/>
      <c r="BYV483" s="308"/>
      <c r="BYW483" s="308"/>
      <c r="BYX483" s="308"/>
      <c r="BYY483" s="308"/>
      <c r="BYZ483" s="308"/>
      <c r="BZA483" s="308"/>
      <c r="BZB483" s="308"/>
      <c r="BZC483" s="308"/>
      <c r="BZD483" s="308"/>
      <c r="BZE483" s="308"/>
      <c r="BZF483" s="308"/>
      <c r="BZG483" s="308"/>
      <c r="BZH483" s="308"/>
      <c r="BZI483" s="308"/>
      <c r="BZJ483" s="308"/>
      <c r="BZK483" s="308"/>
      <c r="BZL483" s="308"/>
      <c r="BZM483" s="308"/>
      <c r="BZN483" s="308"/>
      <c r="BZO483" s="308"/>
      <c r="BZP483" s="308"/>
      <c r="BZQ483" s="308"/>
      <c r="BZR483" s="308"/>
      <c r="BZS483" s="308"/>
      <c r="BZT483" s="308"/>
      <c r="BZU483" s="308"/>
      <c r="BZV483" s="308"/>
      <c r="BZW483" s="308"/>
      <c r="BZX483" s="308"/>
      <c r="BZY483" s="308"/>
      <c r="BZZ483" s="308"/>
      <c r="CAA483" s="308"/>
      <c r="CAB483" s="308"/>
      <c r="CAC483" s="308"/>
      <c r="CAD483" s="308"/>
      <c r="CAE483" s="308"/>
      <c r="CAF483" s="308"/>
      <c r="CAG483" s="308"/>
      <c r="CAH483" s="308"/>
      <c r="CAI483" s="308"/>
      <c r="CAJ483" s="308"/>
      <c r="CAK483" s="308"/>
      <c r="CAL483" s="308"/>
      <c r="CAM483" s="308"/>
      <c r="CAN483" s="308"/>
      <c r="CAO483" s="308"/>
      <c r="CAP483" s="308"/>
      <c r="CAQ483" s="308"/>
      <c r="CAR483" s="308"/>
      <c r="CAS483" s="308"/>
      <c r="CAT483" s="308"/>
      <c r="CAU483" s="308"/>
      <c r="CAV483" s="308"/>
      <c r="CAW483" s="308"/>
      <c r="CAX483" s="308"/>
      <c r="CAY483" s="308"/>
      <c r="CAZ483" s="308"/>
      <c r="CBA483" s="308"/>
      <c r="CBB483" s="308"/>
      <c r="CBC483" s="308"/>
      <c r="CBD483" s="308"/>
      <c r="CBE483" s="308"/>
      <c r="CBF483" s="308"/>
      <c r="CBG483" s="308"/>
      <c r="CBH483" s="308"/>
      <c r="CBI483" s="308"/>
      <c r="CBJ483" s="308"/>
      <c r="CBK483" s="308"/>
      <c r="CBL483" s="308"/>
      <c r="CBM483" s="308"/>
      <c r="CBN483" s="308"/>
      <c r="CBO483" s="308"/>
      <c r="CBP483" s="308"/>
      <c r="CBQ483" s="308"/>
      <c r="CBR483" s="308"/>
      <c r="CBS483" s="308"/>
      <c r="CBT483" s="308"/>
      <c r="CBU483" s="308"/>
      <c r="CBV483" s="308"/>
      <c r="CBW483" s="308"/>
      <c r="CBX483" s="308"/>
      <c r="CBY483" s="308"/>
      <c r="CBZ483" s="308"/>
      <c r="CCA483" s="308"/>
      <c r="CCB483" s="308"/>
      <c r="CCC483" s="308"/>
      <c r="CCD483" s="308"/>
      <c r="CCE483" s="308"/>
      <c r="CCF483" s="308"/>
      <c r="CCG483" s="308"/>
      <c r="CCH483" s="308"/>
      <c r="CCI483" s="308"/>
      <c r="CCJ483" s="308"/>
      <c r="CCK483" s="308"/>
      <c r="CCL483" s="308"/>
      <c r="CCM483" s="308"/>
      <c r="CCN483" s="308"/>
      <c r="CCO483" s="308"/>
      <c r="CCP483" s="308"/>
      <c r="CCQ483" s="308"/>
      <c r="CCR483" s="308"/>
      <c r="CCS483" s="308"/>
      <c r="CCT483" s="308"/>
      <c r="CCU483" s="308"/>
      <c r="CCV483" s="308"/>
      <c r="CCW483" s="308"/>
      <c r="CCX483" s="308"/>
      <c r="CCY483" s="308"/>
      <c r="CCZ483" s="308"/>
      <c r="CDA483" s="308"/>
      <c r="CDB483" s="308"/>
      <c r="CDC483" s="308"/>
      <c r="CDD483" s="308"/>
      <c r="CDE483" s="308"/>
      <c r="CDF483" s="308"/>
      <c r="CDG483" s="308"/>
      <c r="CDH483" s="308"/>
      <c r="CDI483" s="308"/>
      <c r="CDJ483" s="308"/>
      <c r="CDK483" s="308"/>
      <c r="CDL483" s="308"/>
      <c r="CDM483" s="308"/>
      <c r="CDN483" s="308"/>
      <c r="CDO483" s="308"/>
      <c r="CDP483" s="308"/>
      <c r="CDQ483" s="308"/>
      <c r="CDR483" s="308"/>
      <c r="CDS483" s="308"/>
      <c r="CDT483" s="308"/>
      <c r="CDU483" s="308"/>
      <c r="CDV483" s="308"/>
      <c r="CDW483" s="308"/>
      <c r="CDX483" s="308"/>
      <c r="CDY483" s="308"/>
      <c r="CDZ483" s="308"/>
      <c r="CEA483" s="308"/>
      <c r="CEB483" s="308"/>
      <c r="CEC483" s="308"/>
      <c r="CED483" s="308"/>
      <c r="CEE483" s="308"/>
      <c r="CEF483" s="308"/>
      <c r="CEG483" s="308"/>
      <c r="CEH483" s="308"/>
      <c r="CEI483" s="308"/>
      <c r="CEJ483" s="308"/>
      <c r="CEK483" s="308"/>
      <c r="CEL483" s="308"/>
      <c r="CEM483" s="308"/>
      <c r="CEN483" s="308"/>
      <c r="CEO483" s="308"/>
      <c r="CEP483" s="308"/>
      <c r="CEQ483" s="308"/>
      <c r="CER483" s="308"/>
      <c r="CES483" s="308"/>
      <c r="CET483" s="308"/>
      <c r="CEU483" s="308"/>
      <c r="CEV483" s="308"/>
      <c r="CEW483" s="308"/>
      <c r="CEX483" s="308"/>
      <c r="CEY483" s="308"/>
      <c r="CEZ483" s="308"/>
      <c r="CFA483" s="308"/>
      <c r="CFB483" s="308"/>
      <c r="CFC483" s="308"/>
      <c r="CFD483" s="308"/>
      <c r="CFE483" s="308"/>
      <c r="CFF483" s="308"/>
      <c r="CFG483" s="308"/>
      <c r="CFH483" s="308"/>
      <c r="CFI483" s="308"/>
      <c r="CFJ483" s="308"/>
      <c r="CFK483" s="308"/>
      <c r="CFL483" s="308"/>
      <c r="CFM483" s="308"/>
      <c r="CFN483" s="308"/>
      <c r="CFO483" s="308"/>
      <c r="CFP483" s="308"/>
      <c r="CFQ483" s="308"/>
      <c r="CFR483" s="308"/>
      <c r="CFS483" s="308"/>
      <c r="CFT483" s="308"/>
      <c r="CFU483" s="308"/>
      <c r="CFV483" s="308"/>
      <c r="CFW483" s="308"/>
      <c r="CFX483" s="308"/>
      <c r="CFY483" s="308"/>
      <c r="CFZ483" s="308"/>
      <c r="CGA483" s="308"/>
      <c r="CGB483" s="308"/>
      <c r="CGC483" s="308"/>
      <c r="CGD483" s="308"/>
      <c r="CGE483" s="308"/>
      <c r="CGF483" s="308"/>
      <c r="CGG483" s="308"/>
      <c r="CGH483" s="308"/>
      <c r="CGI483" s="308"/>
      <c r="CGJ483" s="308"/>
      <c r="CGK483" s="308"/>
      <c r="CGL483" s="308"/>
      <c r="CGM483" s="308"/>
      <c r="CGN483" s="308"/>
      <c r="CGO483" s="308"/>
      <c r="CGP483" s="308"/>
      <c r="CGQ483" s="308"/>
      <c r="CGR483" s="308"/>
      <c r="CGS483" s="308"/>
      <c r="CGT483" s="308"/>
      <c r="CGU483" s="308"/>
      <c r="CGV483" s="308"/>
      <c r="CGW483" s="308"/>
      <c r="CGX483" s="308"/>
      <c r="CGY483" s="308"/>
      <c r="CGZ483" s="308"/>
      <c r="CHA483" s="308"/>
      <c r="CHB483" s="308"/>
      <c r="CHC483" s="308"/>
      <c r="CHD483" s="308"/>
      <c r="CHE483" s="308"/>
      <c r="CHF483" s="308"/>
      <c r="CHG483" s="308"/>
      <c r="CHH483" s="308"/>
      <c r="CHI483" s="308"/>
      <c r="CHJ483" s="308"/>
      <c r="CHK483" s="308"/>
      <c r="CHL483" s="308"/>
      <c r="CHM483" s="308"/>
      <c r="CHN483" s="308"/>
      <c r="CHO483" s="308"/>
      <c r="CHP483" s="308"/>
      <c r="CHQ483" s="308"/>
      <c r="CHR483" s="308"/>
      <c r="CHS483" s="308"/>
      <c r="CHT483" s="308"/>
      <c r="CHU483" s="308"/>
      <c r="CHV483" s="308"/>
      <c r="CHW483" s="308"/>
      <c r="CHX483" s="308"/>
      <c r="CHY483" s="308"/>
      <c r="CHZ483" s="308"/>
      <c r="CIA483" s="308"/>
      <c r="CIB483" s="308"/>
      <c r="CIC483" s="308"/>
      <c r="CID483" s="308"/>
      <c r="CIE483" s="308"/>
      <c r="CIF483" s="308"/>
      <c r="CIG483" s="308"/>
      <c r="CIH483" s="308"/>
      <c r="CII483" s="308"/>
      <c r="CIJ483" s="308"/>
      <c r="CIK483" s="308"/>
      <c r="CIL483" s="308"/>
      <c r="CIM483" s="308"/>
      <c r="CIN483" s="308"/>
      <c r="CIO483" s="308"/>
      <c r="CIP483" s="308"/>
      <c r="CIQ483" s="308"/>
      <c r="CIR483" s="308"/>
      <c r="CIS483" s="308"/>
      <c r="CIT483" s="308"/>
      <c r="CIU483" s="308"/>
      <c r="CIV483" s="308"/>
      <c r="CIW483" s="308"/>
      <c r="CIX483" s="308"/>
      <c r="CIY483" s="308"/>
      <c r="CIZ483" s="308"/>
      <c r="CJA483" s="308"/>
      <c r="CJB483" s="308"/>
      <c r="CJC483" s="308"/>
      <c r="CJD483" s="308"/>
      <c r="CJE483" s="308"/>
      <c r="CJF483" s="308"/>
      <c r="CJG483" s="308"/>
      <c r="CJH483" s="308"/>
      <c r="CJI483" s="308"/>
      <c r="CJJ483" s="308"/>
      <c r="CJK483" s="308"/>
      <c r="CJL483" s="308"/>
      <c r="CJM483" s="308"/>
      <c r="CJN483" s="308"/>
      <c r="CJO483" s="308"/>
      <c r="CJP483" s="308"/>
      <c r="CJQ483" s="308"/>
      <c r="CJR483" s="308"/>
      <c r="CJS483" s="308"/>
      <c r="CJT483" s="308"/>
      <c r="CJU483" s="308"/>
      <c r="CJV483" s="308"/>
      <c r="CJW483" s="308"/>
      <c r="CJX483" s="308"/>
      <c r="CJY483" s="308"/>
      <c r="CJZ483" s="308"/>
      <c r="CKA483" s="308"/>
      <c r="CKB483" s="308"/>
      <c r="CKC483" s="308"/>
      <c r="CKD483" s="308"/>
      <c r="CKE483" s="308"/>
      <c r="CKF483" s="308"/>
      <c r="CKG483" s="308"/>
      <c r="CKH483" s="308"/>
      <c r="CKI483" s="308"/>
      <c r="CKJ483" s="308"/>
      <c r="CKK483" s="308"/>
      <c r="CKL483" s="308"/>
      <c r="CKM483" s="308"/>
      <c r="CKN483" s="308"/>
      <c r="CKO483" s="308"/>
      <c r="CKP483" s="308"/>
      <c r="CKQ483" s="308"/>
      <c r="CKR483" s="308"/>
      <c r="CKS483" s="308"/>
      <c r="CKT483" s="308"/>
      <c r="CKU483" s="308"/>
      <c r="CKV483" s="308"/>
      <c r="CKW483" s="308"/>
      <c r="CKX483" s="308"/>
      <c r="CKY483" s="308"/>
      <c r="CKZ483" s="308"/>
      <c r="CLA483" s="308"/>
      <c r="CLB483" s="308"/>
      <c r="CLC483" s="308"/>
      <c r="CLD483" s="308"/>
      <c r="CLE483" s="308"/>
      <c r="CLF483" s="308"/>
      <c r="CLG483" s="308"/>
      <c r="CLH483" s="308"/>
      <c r="CLI483" s="308"/>
      <c r="CLJ483" s="308"/>
      <c r="CLK483" s="308"/>
      <c r="CLL483" s="308"/>
      <c r="CLM483" s="308"/>
      <c r="CLN483" s="308"/>
      <c r="CLO483" s="308"/>
      <c r="CLP483" s="308"/>
      <c r="CLQ483" s="308"/>
      <c r="CLR483" s="308"/>
      <c r="CLS483" s="308"/>
      <c r="CLT483" s="308"/>
      <c r="CLU483" s="308"/>
      <c r="CLV483" s="308"/>
      <c r="CLW483" s="308"/>
      <c r="CLX483" s="308"/>
      <c r="CLY483" s="308"/>
      <c r="CLZ483" s="308"/>
      <c r="CMA483" s="308"/>
      <c r="CMB483" s="308"/>
      <c r="CMC483" s="308"/>
      <c r="CMD483" s="308"/>
      <c r="CME483" s="308"/>
      <c r="CMF483" s="308"/>
      <c r="CMG483" s="308"/>
      <c r="CMH483" s="308"/>
      <c r="CMI483" s="308"/>
      <c r="CMJ483" s="308"/>
      <c r="CMK483" s="308"/>
      <c r="CML483" s="308"/>
      <c r="CMM483" s="308"/>
      <c r="CMN483" s="308"/>
      <c r="CMO483" s="308"/>
      <c r="CMP483" s="308"/>
      <c r="CMQ483" s="308"/>
      <c r="CMR483" s="308"/>
      <c r="CMS483" s="308"/>
      <c r="CMT483" s="308"/>
      <c r="CMU483" s="308"/>
      <c r="CMV483" s="308"/>
      <c r="CMW483" s="308"/>
      <c r="CMX483" s="308"/>
      <c r="CMY483" s="308"/>
      <c r="CMZ483" s="308"/>
      <c r="CNA483" s="308"/>
      <c r="CNB483" s="308"/>
      <c r="CNC483" s="308"/>
      <c r="CND483" s="308"/>
      <c r="CNE483" s="308"/>
      <c r="CNF483" s="308"/>
      <c r="CNG483" s="308"/>
      <c r="CNH483" s="308"/>
      <c r="CNI483" s="308"/>
      <c r="CNJ483" s="308"/>
      <c r="CNK483" s="308"/>
      <c r="CNL483" s="308"/>
      <c r="CNM483" s="308"/>
      <c r="CNN483" s="308"/>
      <c r="CNO483" s="308"/>
      <c r="CNP483" s="308"/>
      <c r="CNQ483" s="308"/>
      <c r="CNR483" s="308"/>
      <c r="CNS483" s="308"/>
      <c r="CNT483" s="308"/>
      <c r="CNU483" s="308"/>
      <c r="CNV483" s="308"/>
      <c r="CNW483" s="308"/>
      <c r="CNX483" s="308"/>
      <c r="CNY483" s="308"/>
      <c r="CNZ483" s="308"/>
      <c r="COA483" s="308"/>
      <c r="COB483" s="308"/>
      <c r="COC483" s="308"/>
      <c r="COD483" s="308"/>
      <c r="COE483" s="308"/>
      <c r="COF483" s="308"/>
      <c r="COG483" s="308"/>
      <c r="COH483" s="308"/>
      <c r="COI483" s="308"/>
      <c r="COJ483" s="308"/>
      <c r="COK483" s="308"/>
      <c r="COL483" s="308"/>
      <c r="COM483" s="308"/>
      <c r="CON483" s="308"/>
      <c r="COO483" s="308"/>
      <c r="COP483" s="308"/>
      <c r="COQ483" s="308"/>
      <c r="COR483" s="308"/>
      <c r="COS483" s="308"/>
      <c r="COT483" s="308"/>
      <c r="COU483" s="308"/>
      <c r="COV483" s="308"/>
      <c r="COW483" s="308"/>
      <c r="COX483" s="308"/>
      <c r="COY483" s="308"/>
      <c r="COZ483" s="308"/>
      <c r="CPA483" s="308"/>
      <c r="CPB483" s="308"/>
      <c r="CPC483" s="308"/>
      <c r="CPD483" s="308"/>
      <c r="CPE483" s="308"/>
      <c r="CPF483" s="308"/>
      <c r="CPG483" s="308"/>
      <c r="CPH483" s="308"/>
      <c r="CPI483" s="308"/>
      <c r="CPJ483" s="308"/>
      <c r="CPK483" s="308"/>
      <c r="CPL483" s="308"/>
      <c r="CPM483" s="308"/>
      <c r="CPN483" s="308"/>
      <c r="CPO483" s="308"/>
      <c r="CPP483" s="308"/>
      <c r="CPQ483" s="308"/>
      <c r="CPR483" s="308"/>
      <c r="CPS483" s="308"/>
      <c r="CPT483" s="308"/>
      <c r="CPU483" s="308"/>
      <c r="CPV483" s="308"/>
      <c r="CPW483" s="308"/>
      <c r="CPX483" s="308"/>
      <c r="CPY483" s="308"/>
      <c r="CPZ483" s="308"/>
      <c r="CQA483" s="308"/>
      <c r="CQB483" s="308"/>
      <c r="CQC483" s="308"/>
      <c r="CQD483" s="308"/>
      <c r="CQE483" s="308"/>
      <c r="CQF483" s="308"/>
      <c r="CQG483" s="308"/>
      <c r="CQH483" s="308"/>
      <c r="CQI483" s="308"/>
      <c r="CQJ483" s="308"/>
      <c r="CQK483" s="308"/>
      <c r="CQL483" s="308"/>
      <c r="CQM483" s="308"/>
      <c r="CQN483" s="308"/>
      <c r="CQO483" s="308"/>
      <c r="CQP483" s="308"/>
      <c r="CQQ483" s="308"/>
      <c r="CQR483" s="308"/>
      <c r="CQS483" s="308"/>
      <c r="CQT483" s="308"/>
      <c r="CQU483" s="308"/>
      <c r="CQV483" s="308"/>
      <c r="CQW483" s="308"/>
      <c r="CQX483" s="308"/>
      <c r="CQY483" s="308"/>
      <c r="CQZ483" s="308"/>
      <c r="CRA483" s="308"/>
      <c r="CRB483" s="308"/>
      <c r="CRC483" s="308"/>
      <c r="CRD483" s="308"/>
      <c r="CRE483" s="308"/>
      <c r="CRF483" s="308"/>
      <c r="CRG483" s="308"/>
      <c r="CRH483" s="308"/>
      <c r="CRI483" s="308"/>
      <c r="CRJ483" s="308"/>
      <c r="CRK483" s="308"/>
      <c r="CRL483" s="308"/>
      <c r="CRM483" s="308"/>
      <c r="CRN483" s="308"/>
      <c r="CRO483" s="308"/>
      <c r="CRP483" s="308"/>
      <c r="CRQ483" s="308"/>
      <c r="CRR483" s="308"/>
      <c r="CRS483" s="308"/>
      <c r="CRT483" s="308"/>
      <c r="CRU483" s="308"/>
      <c r="CRV483" s="308"/>
      <c r="CRW483" s="308"/>
      <c r="CRX483" s="308"/>
      <c r="CRY483" s="308"/>
      <c r="CRZ483" s="308"/>
      <c r="CSA483" s="308"/>
      <c r="CSB483" s="308"/>
      <c r="CSC483" s="308"/>
      <c r="CSD483" s="308"/>
      <c r="CSE483" s="308"/>
      <c r="CSF483" s="308"/>
      <c r="CSG483" s="308"/>
      <c r="CSH483" s="308"/>
      <c r="CSI483" s="308"/>
      <c r="CSJ483" s="308"/>
      <c r="CSK483" s="308"/>
      <c r="CSL483" s="308"/>
      <c r="CSM483" s="308"/>
      <c r="CSN483" s="308"/>
      <c r="CSO483" s="308"/>
      <c r="CSP483" s="308"/>
      <c r="CSQ483" s="308"/>
      <c r="CSR483" s="308"/>
      <c r="CSS483" s="308"/>
      <c r="CST483" s="308"/>
      <c r="CSU483" s="308"/>
      <c r="CSV483" s="308"/>
      <c r="CSW483" s="308"/>
      <c r="CSX483" s="308"/>
      <c r="CSY483" s="308"/>
      <c r="CSZ483" s="308"/>
      <c r="CTA483" s="308"/>
      <c r="CTB483" s="308"/>
      <c r="CTC483" s="308"/>
      <c r="CTD483" s="308"/>
      <c r="CTE483" s="308"/>
      <c r="CTF483" s="308"/>
      <c r="CTG483" s="308"/>
      <c r="CTH483" s="308"/>
      <c r="CTI483" s="308"/>
      <c r="CTJ483" s="308"/>
      <c r="CTK483" s="308"/>
      <c r="CTL483" s="308"/>
      <c r="CTM483" s="308"/>
      <c r="CTN483" s="308"/>
      <c r="CTO483" s="308"/>
      <c r="CTP483" s="308"/>
      <c r="CTQ483" s="308"/>
      <c r="CTR483" s="308"/>
      <c r="CTS483" s="308"/>
      <c r="CTT483" s="308"/>
      <c r="CTU483" s="308"/>
      <c r="CTV483" s="308"/>
      <c r="CTW483" s="308"/>
      <c r="CTX483" s="308"/>
      <c r="CTY483" s="308"/>
      <c r="CTZ483" s="308"/>
      <c r="CUA483" s="308"/>
      <c r="CUB483" s="308"/>
      <c r="CUC483" s="308"/>
      <c r="CUD483" s="308"/>
      <c r="CUE483" s="308"/>
      <c r="CUF483" s="308"/>
      <c r="CUG483" s="308"/>
      <c r="CUH483" s="308"/>
      <c r="CUI483" s="308"/>
      <c r="CUJ483" s="308"/>
      <c r="CUK483" s="308"/>
      <c r="CUL483" s="308"/>
      <c r="CUM483" s="308"/>
      <c r="CUN483" s="308"/>
      <c r="CUO483" s="308"/>
      <c r="CUP483" s="308"/>
      <c r="CUQ483" s="308"/>
      <c r="CUR483" s="308"/>
      <c r="CUS483" s="308"/>
      <c r="CUT483" s="308"/>
      <c r="CUU483" s="308"/>
      <c r="CUV483" s="308"/>
      <c r="CUW483" s="308"/>
      <c r="CUX483" s="308"/>
      <c r="CUY483" s="308"/>
      <c r="CUZ483" s="308"/>
      <c r="CVA483" s="308"/>
      <c r="CVB483" s="308"/>
      <c r="CVC483" s="308"/>
      <c r="CVD483" s="308"/>
      <c r="CVE483" s="308"/>
      <c r="CVF483" s="308"/>
      <c r="CVG483" s="308"/>
      <c r="CVH483" s="308"/>
      <c r="CVI483" s="308"/>
      <c r="CVJ483" s="308"/>
      <c r="CVK483" s="308"/>
      <c r="CVL483" s="308"/>
      <c r="CVM483" s="308"/>
      <c r="CVN483" s="308"/>
      <c r="CVO483" s="308"/>
      <c r="CVP483" s="308"/>
      <c r="CVQ483" s="308"/>
      <c r="CVR483" s="308"/>
      <c r="CVS483" s="308"/>
      <c r="CVT483" s="308"/>
      <c r="CVU483" s="308"/>
      <c r="CVV483" s="308"/>
      <c r="CVW483" s="308"/>
      <c r="CVX483" s="308"/>
      <c r="CVY483" s="308"/>
      <c r="CVZ483" s="308"/>
      <c r="CWA483" s="308"/>
      <c r="CWB483" s="308"/>
      <c r="CWC483" s="308"/>
      <c r="CWD483" s="308"/>
      <c r="CWE483" s="308"/>
      <c r="CWF483" s="308"/>
      <c r="CWG483" s="308"/>
      <c r="CWH483" s="308"/>
      <c r="CWI483" s="308"/>
      <c r="CWJ483" s="308"/>
      <c r="CWK483" s="308"/>
      <c r="CWL483" s="308"/>
      <c r="CWM483" s="308"/>
      <c r="CWN483" s="308"/>
      <c r="CWO483" s="308"/>
      <c r="CWP483" s="308"/>
      <c r="CWQ483" s="308"/>
      <c r="CWR483" s="308"/>
      <c r="CWS483" s="308"/>
      <c r="CWT483" s="308"/>
      <c r="CWU483" s="308"/>
      <c r="CWV483" s="308"/>
      <c r="CWW483" s="308"/>
      <c r="CWX483" s="308"/>
      <c r="CWY483" s="308"/>
      <c r="CWZ483" s="308"/>
      <c r="CXA483" s="308"/>
      <c r="CXB483" s="308"/>
      <c r="CXC483" s="308"/>
      <c r="CXD483" s="308"/>
      <c r="CXE483" s="308"/>
      <c r="CXF483" s="308"/>
      <c r="CXG483" s="308"/>
      <c r="CXH483" s="308"/>
      <c r="CXI483" s="308"/>
      <c r="CXJ483" s="308"/>
      <c r="CXK483" s="308"/>
      <c r="CXL483" s="308"/>
      <c r="CXM483" s="308"/>
      <c r="CXN483" s="308"/>
      <c r="CXO483" s="308"/>
      <c r="CXP483" s="308"/>
      <c r="CXQ483" s="308"/>
      <c r="CXR483" s="308"/>
      <c r="CXS483" s="308"/>
      <c r="CXT483" s="308"/>
      <c r="CXU483" s="308"/>
      <c r="CXV483" s="308"/>
      <c r="CXW483" s="308"/>
      <c r="CXX483" s="308"/>
      <c r="CXY483" s="308"/>
      <c r="CXZ483" s="308"/>
      <c r="CYA483" s="308"/>
      <c r="CYB483" s="308"/>
      <c r="CYC483" s="308"/>
      <c r="CYD483" s="308"/>
      <c r="CYE483" s="308"/>
      <c r="CYF483" s="308"/>
      <c r="CYG483" s="308"/>
      <c r="CYH483" s="308"/>
      <c r="CYI483" s="308"/>
      <c r="CYJ483" s="308"/>
      <c r="CYK483" s="308"/>
      <c r="CYL483" s="308"/>
      <c r="CYM483" s="308"/>
      <c r="CYN483" s="308"/>
      <c r="CYO483" s="308"/>
      <c r="CYP483" s="308"/>
      <c r="CYQ483" s="308"/>
      <c r="CYR483" s="308"/>
      <c r="CYS483" s="308"/>
      <c r="CYT483" s="308"/>
      <c r="CYU483" s="308"/>
      <c r="CYV483" s="308"/>
      <c r="CYW483" s="308"/>
      <c r="CYX483" s="308"/>
      <c r="CYY483" s="308"/>
      <c r="CYZ483" s="308"/>
      <c r="CZA483" s="308"/>
      <c r="CZB483" s="308"/>
      <c r="CZC483" s="308"/>
      <c r="CZD483" s="308"/>
      <c r="CZE483" s="308"/>
      <c r="CZF483" s="308"/>
      <c r="CZG483" s="308"/>
      <c r="CZH483" s="308"/>
      <c r="CZI483" s="308"/>
      <c r="CZJ483" s="308"/>
      <c r="CZK483" s="308"/>
      <c r="CZL483" s="308"/>
      <c r="CZM483" s="308"/>
      <c r="CZN483" s="308"/>
      <c r="CZO483" s="308"/>
      <c r="CZP483" s="308"/>
      <c r="CZQ483" s="308"/>
      <c r="CZR483" s="308"/>
      <c r="CZS483" s="308"/>
      <c r="CZT483" s="308"/>
      <c r="CZU483" s="308"/>
      <c r="CZV483" s="308"/>
      <c r="CZW483" s="308"/>
      <c r="CZX483" s="308"/>
      <c r="CZY483" s="308"/>
      <c r="CZZ483" s="308"/>
      <c r="DAA483" s="308"/>
      <c r="DAB483" s="308"/>
      <c r="DAC483" s="308"/>
      <c r="DAD483" s="308"/>
      <c r="DAE483" s="308"/>
      <c r="DAF483" s="308"/>
      <c r="DAG483" s="308"/>
      <c r="DAH483" s="308"/>
      <c r="DAI483" s="308"/>
      <c r="DAJ483" s="308"/>
      <c r="DAK483" s="308"/>
      <c r="DAL483" s="308"/>
      <c r="DAM483" s="308"/>
      <c r="DAN483" s="308"/>
      <c r="DAO483" s="308"/>
      <c r="DAP483" s="308"/>
      <c r="DAQ483" s="308"/>
      <c r="DAR483" s="308"/>
      <c r="DAS483" s="308"/>
      <c r="DAT483" s="308"/>
      <c r="DAU483" s="308"/>
      <c r="DAV483" s="308"/>
      <c r="DAW483" s="308"/>
      <c r="DAX483" s="308"/>
      <c r="DAY483" s="308"/>
      <c r="DAZ483" s="308"/>
      <c r="DBA483" s="308"/>
      <c r="DBB483" s="308"/>
      <c r="DBC483" s="308"/>
      <c r="DBD483" s="308"/>
      <c r="DBE483" s="308"/>
      <c r="DBF483" s="308"/>
      <c r="DBG483" s="308"/>
      <c r="DBH483" s="308"/>
      <c r="DBI483" s="308"/>
      <c r="DBJ483" s="308"/>
      <c r="DBK483" s="308"/>
      <c r="DBL483" s="308"/>
      <c r="DBM483" s="308"/>
      <c r="DBN483" s="308"/>
      <c r="DBO483" s="308"/>
      <c r="DBP483" s="308"/>
      <c r="DBQ483" s="308"/>
      <c r="DBR483" s="308"/>
      <c r="DBS483" s="308"/>
      <c r="DBT483" s="308"/>
      <c r="DBU483" s="308"/>
      <c r="DBV483" s="308"/>
      <c r="DBW483" s="308"/>
      <c r="DBX483" s="308"/>
      <c r="DBY483" s="308"/>
      <c r="DBZ483" s="308"/>
      <c r="DCA483" s="308"/>
      <c r="DCB483" s="308"/>
      <c r="DCC483" s="308"/>
      <c r="DCD483" s="308"/>
      <c r="DCE483" s="308"/>
      <c r="DCF483" s="308"/>
      <c r="DCG483" s="308"/>
      <c r="DCH483" s="308"/>
      <c r="DCI483" s="308"/>
      <c r="DCJ483" s="308"/>
      <c r="DCK483" s="308"/>
      <c r="DCL483" s="308"/>
      <c r="DCM483" s="308"/>
      <c r="DCN483" s="308"/>
      <c r="DCO483" s="308"/>
      <c r="DCP483" s="308"/>
      <c r="DCQ483" s="308"/>
      <c r="DCR483" s="308"/>
      <c r="DCS483" s="308"/>
      <c r="DCT483" s="308"/>
      <c r="DCU483" s="308"/>
      <c r="DCV483" s="308"/>
      <c r="DCW483" s="308"/>
      <c r="DCX483" s="308"/>
      <c r="DCY483" s="308"/>
      <c r="DCZ483" s="308"/>
      <c r="DDA483" s="308"/>
      <c r="DDB483" s="308"/>
      <c r="DDC483" s="308"/>
      <c r="DDD483" s="308"/>
      <c r="DDE483" s="308"/>
      <c r="DDF483" s="308"/>
      <c r="DDG483" s="308"/>
      <c r="DDH483" s="308"/>
      <c r="DDI483" s="308"/>
      <c r="DDJ483" s="308"/>
      <c r="DDK483" s="308"/>
      <c r="DDL483" s="308"/>
      <c r="DDM483" s="308"/>
      <c r="DDN483" s="308"/>
      <c r="DDO483" s="308"/>
      <c r="DDP483" s="308"/>
      <c r="DDQ483" s="308"/>
      <c r="DDR483" s="308"/>
      <c r="DDS483" s="308"/>
      <c r="DDT483" s="308"/>
      <c r="DDU483" s="308"/>
      <c r="DDV483" s="308"/>
      <c r="DDW483" s="308"/>
      <c r="DDX483" s="308"/>
      <c r="DDY483" s="308"/>
      <c r="DDZ483" s="308"/>
      <c r="DEA483" s="308"/>
      <c r="DEB483" s="308"/>
      <c r="DEC483" s="308"/>
      <c r="DED483" s="308"/>
      <c r="DEE483" s="308"/>
      <c r="DEF483" s="308"/>
      <c r="DEG483" s="308"/>
      <c r="DEH483" s="308"/>
      <c r="DEI483" s="308"/>
      <c r="DEJ483" s="308"/>
      <c r="DEK483" s="308"/>
      <c r="DEL483" s="308"/>
      <c r="DEM483" s="308"/>
      <c r="DEN483" s="308"/>
      <c r="DEO483" s="308"/>
      <c r="DEP483" s="308"/>
      <c r="DEQ483" s="308"/>
      <c r="DER483" s="308"/>
      <c r="DES483" s="308"/>
      <c r="DET483" s="308"/>
      <c r="DEU483" s="308"/>
      <c r="DEV483" s="308"/>
      <c r="DEW483" s="308"/>
      <c r="DEX483" s="308"/>
      <c r="DEY483" s="308"/>
      <c r="DEZ483" s="308"/>
      <c r="DFA483" s="308"/>
      <c r="DFB483" s="308"/>
      <c r="DFC483" s="308"/>
      <c r="DFD483" s="308"/>
      <c r="DFE483" s="308"/>
      <c r="DFF483" s="308"/>
      <c r="DFG483" s="308"/>
      <c r="DFH483" s="308"/>
      <c r="DFI483" s="308"/>
      <c r="DFJ483" s="308"/>
      <c r="DFK483" s="308"/>
      <c r="DFL483" s="308"/>
      <c r="DFM483" s="308"/>
      <c r="DFN483" s="308"/>
      <c r="DFO483" s="308"/>
      <c r="DFP483" s="308"/>
      <c r="DFQ483" s="308"/>
      <c r="DFR483" s="308"/>
      <c r="DFS483" s="308"/>
      <c r="DFT483" s="308"/>
      <c r="DFU483" s="308"/>
      <c r="DFV483" s="308"/>
      <c r="DFW483" s="308"/>
      <c r="DFX483" s="308"/>
      <c r="DFY483" s="308"/>
      <c r="DFZ483" s="308"/>
      <c r="DGA483" s="308"/>
      <c r="DGB483" s="308"/>
      <c r="DGC483" s="308"/>
      <c r="DGD483" s="308"/>
      <c r="DGE483" s="308"/>
      <c r="DGF483" s="308"/>
      <c r="DGG483" s="308"/>
      <c r="DGH483" s="308"/>
      <c r="DGI483" s="308"/>
      <c r="DGJ483" s="308"/>
      <c r="DGK483" s="308"/>
      <c r="DGL483" s="308"/>
      <c r="DGM483" s="308"/>
      <c r="DGN483" s="308"/>
      <c r="DGO483" s="308"/>
      <c r="DGP483" s="308"/>
      <c r="DGQ483" s="308"/>
      <c r="DGR483" s="308"/>
      <c r="DGS483" s="308"/>
      <c r="DGT483" s="308"/>
      <c r="DGU483" s="308"/>
      <c r="DGV483" s="308"/>
      <c r="DGW483" s="308"/>
      <c r="DGX483" s="308"/>
      <c r="DGY483" s="308"/>
      <c r="DGZ483" s="308"/>
      <c r="DHA483" s="308"/>
      <c r="DHB483" s="308"/>
      <c r="DHC483" s="308"/>
      <c r="DHD483" s="308"/>
      <c r="DHE483" s="308"/>
      <c r="DHF483" s="308"/>
      <c r="DHG483" s="308"/>
      <c r="DHH483" s="308"/>
      <c r="DHI483" s="308"/>
      <c r="DHJ483" s="308"/>
      <c r="DHK483" s="308"/>
      <c r="DHL483" s="308"/>
      <c r="DHM483" s="308"/>
      <c r="DHN483" s="308"/>
      <c r="DHO483" s="308"/>
      <c r="DHP483" s="308"/>
      <c r="DHQ483" s="308"/>
      <c r="DHR483" s="308"/>
      <c r="DHS483" s="308"/>
      <c r="DHT483" s="308"/>
      <c r="DHU483" s="308"/>
      <c r="DHV483" s="308"/>
      <c r="DHW483" s="308"/>
      <c r="DHX483" s="308"/>
      <c r="DHY483" s="308"/>
      <c r="DHZ483" s="308"/>
      <c r="DIA483" s="308"/>
      <c r="DIB483" s="308"/>
      <c r="DIC483" s="308"/>
      <c r="DID483" s="308"/>
      <c r="DIE483" s="308"/>
      <c r="DIF483" s="308"/>
      <c r="DIG483" s="308"/>
      <c r="DIH483" s="308"/>
      <c r="DII483" s="308"/>
      <c r="DIJ483" s="308"/>
      <c r="DIK483" s="308"/>
      <c r="DIL483" s="308"/>
      <c r="DIM483" s="308"/>
      <c r="DIN483" s="308"/>
      <c r="DIO483" s="308"/>
      <c r="DIP483" s="308"/>
      <c r="DIQ483" s="308"/>
      <c r="DIR483" s="308"/>
      <c r="DIS483" s="308"/>
      <c r="DIT483" s="308"/>
      <c r="DIU483" s="308"/>
      <c r="DIV483" s="308"/>
      <c r="DIW483" s="308"/>
      <c r="DIX483" s="308"/>
      <c r="DIY483" s="308"/>
      <c r="DIZ483" s="308"/>
      <c r="DJA483" s="308"/>
      <c r="DJB483" s="308"/>
      <c r="DJC483" s="308"/>
      <c r="DJD483" s="308"/>
      <c r="DJE483" s="308"/>
      <c r="DJF483" s="308"/>
      <c r="DJG483" s="308"/>
      <c r="DJH483" s="308"/>
      <c r="DJI483" s="308"/>
      <c r="DJJ483" s="308"/>
      <c r="DJK483" s="308"/>
      <c r="DJL483" s="308"/>
      <c r="DJM483" s="308"/>
      <c r="DJN483" s="308"/>
      <c r="DJO483" s="308"/>
      <c r="DJP483" s="308"/>
      <c r="DJQ483" s="308"/>
      <c r="DJR483" s="308"/>
      <c r="DJS483" s="308"/>
      <c r="DJT483" s="308"/>
      <c r="DJU483" s="308"/>
      <c r="DJV483" s="308"/>
      <c r="DJW483" s="308"/>
      <c r="DJX483" s="308"/>
      <c r="DJY483" s="308"/>
      <c r="DJZ483" s="308"/>
      <c r="DKA483" s="308"/>
      <c r="DKB483" s="308"/>
      <c r="DKC483" s="308"/>
      <c r="DKD483" s="308"/>
      <c r="DKE483" s="308"/>
      <c r="DKF483" s="308"/>
      <c r="DKG483" s="308"/>
      <c r="DKH483" s="308"/>
      <c r="DKI483" s="308"/>
      <c r="DKJ483" s="308"/>
      <c r="DKK483" s="308"/>
      <c r="DKL483" s="308"/>
      <c r="DKM483" s="308"/>
      <c r="DKN483" s="308"/>
      <c r="DKO483" s="308"/>
      <c r="DKP483" s="308"/>
      <c r="DKQ483" s="308"/>
      <c r="DKR483" s="308"/>
      <c r="DKS483" s="308"/>
      <c r="DKT483" s="308"/>
      <c r="DKU483" s="308"/>
      <c r="DKV483" s="308"/>
      <c r="DKW483" s="308"/>
      <c r="DKX483" s="308"/>
      <c r="DKY483" s="308"/>
      <c r="DKZ483" s="308"/>
      <c r="DLA483" s="308"/>
      <c r="DLB483" s="308"/>
      <c r="DLC483" s="308"/>
      <c r="DLD483" s="308"/>
      <c r="DLE483" s="308"/>
      <c r="DLF483" s="308"/>
      <c r="DLG483" s="308"/>
      <c r="DLH483" s="308"/>
      <c r="DLI483" s="308"/>
      <c r="DLJ483" s="308"/>
      <c r="DLK483" s="308"/>
      <c r="DLL483" s="308"/>
      <c r="DLM483" s="308"/>
      <c r="DLN483" s="308"/>
      <c r="DLO483" s="308"/>
      <c r="DLP483" s="308"/>
      <c r="DLQ483" s="308"/>
      <c r="DLR483" s="308"/>
      <c r="DLS483" s="308"/>
      <c r="DLT483" s="308"/>
      <c r="DLU483" s="308"/>
      <c r="DLV483" s="308"/>
      <c r="DLW483" s="308"/>
      <c r="DLX483" s="308"/>
      <c r="DLY483" s="308"/>
      <c r="DLZ483" s="308"/>
      <c r="DMA483" s="308"/>
      <c r="DMB483" s="308"/>
      <c r="DMC483" s="308"/>
      <c r="DMD483" s="308"/>
      <c r="DME483" s="308"/>
      <c r="DMF483" s="308"/>
      <c r="DMG483" s="308"/>
      <c r="DMH483" s="308"/>
      <c r="DMI483" s="308"/>
      <c r="DMJ483" s="308"/>
      <c r="DMK483" s="308"/>
      <c r="DML483" s="308"/>
      <c r="DMM483" s="308"/>
      <c r="DMN483" s="308"/>
      <c r="DMO483" s="308"/>
      <c r="DMP483" s="308"/>
      <c r="DMQ483" s="308"/>
      <c r="DMR483" s="308"/>
      <c r="DMS483" s="308"/>
      <c r="DMT483" s="308"/>
      <c r="DMU483" s="308"/>
      <c r="DMV483" s="308"/>
      <c r="DMW483" s="308"/>
      <c r="DMX483" s="308"/>
      <c r="DMY483" s="308"/>
      <c r="DMZ483" s="308"/>
      <c r="DNA483" s="308"/>
      <c r="DNB483" s="308"/>
      <c r="DNC483" s="308"/>
      <c r="DND483" s="308"/>
      <c r="DNE483" s="308"/>
      <c r="DNF483" s="308"/>
      <c r="DNG483" s="308"/>
      <c r="DNH483" s="308"/>
      <c r="DNI483" s="308"/>
      <c r="DNJ483" s="308"/>
      <c r="DNK483" s="308"/>
      <c r="DNL483" s="308"/>
      <c r="DNM483" s="308"/>
      <c r="DNN483" s="308"/>
      <c r="DNO483" s="308"/>
      <c r="DNP483" s="308"/>
      <c r="DNQ483" s="308"/>
      <c r="DNR483" s="308"/>
      <c r="DNS483" s="308"/>
      <c r="DNT483" s="308"/>
      <c r="DNU483" s="308"/>
      <c r="DNV483" s="308"/>
      <c r="DNW483" s="308"/>
      <c r="DNX483" s="308"/>
      <c r="DNY483" s="308"/>
      <c r="DNZ483" s="308"/>
      <c r="DOA483" s="308"/>
      <c r="DOB483" s="308"/>
      <c r="DOC483" s="308"/>
      <c r="DOD483" s="308"/>
      <c r="DOE483" s="308"/>
      <c r="DOF483" s="308"/>
      <c r="DOG483" s="308"/>
      <c r="DOH483" s="308"/>
      <c r="DOI483" s="308"/>
      <c r="DOJ483" s="308"/>
      <c r="DOK483" s="308"/>
      <c r="DOL483" s="308"/>
      <c r="DOM483" s="308"/>
      <c r="DON483" s="308"/>
      <c r="DOO483" s="308"/>
      <c r="DOP483" s="308"/>
      <c r="DOQ483" s="308"/>
      <c r="DOR483" s="308"/>
      <c r="DOS483" s="308"/>
      <c r="DOT483" s="308"/>
      <c r="DOU483" s="308"/>
      <c r="DOV483" s="308"/>
      <c r="DOW483" s="308"/>
      <c r="DOX483" s="308"/>
      <c r="DOY483" s="308"/>
      <c r="DOZ483" s="308"/>
      <c r="DPA483" s="308"/>
      <c r="DPB483" s="308"/>
      <c r="DPC483" s="308"/>
      <c r="DPD483" s="308"/>
      <c r="DPE483" s="308"/>
      <c r="DPF483" s="308"/>
      <c r="DPG483" s="308"/>
      <c r="DPH483" s="308"/>
      <c r="DPI483" s="308"/>
      <c r="DPJ483" s="308"/>
      <c r="DPK483" s="308"/>
      <c r="DPL483" s="308"/>
      <c r="DPM483" s="308"/>
      <c r="DPN483" s="308"/>
      <c r="DPO483" s="308"/>
      <c r="DPP483" s="308"/>
      <c r="DPQ483" s="308"/>
      <c r="DPR483" s="308"/>
      <c r="DPS483" s="308"/>
      <c r="DPT483" s="308"/>
      <c r="DPU483" s="308"/>
      <c r="DPV483" s="308"/>
      <c r="DPW483" s="308"/>
      <c r="DPX483" s="308"/>
      <c r="DPY483" s="308"/>
      <c r="DPZ483" s="308"/>
      <c r="DQA483" s="308"/>
      <c r="DQB483" s="308"/>
      <c r="DQC483" s="308"/>
      <c r="DQD483" s="308"/>
      <c r="DQE483" s="308"/>
      <c r="DQF483" s="308"/>
      <c r="DQG483" s="308"/>
      <c r="DQH483" s="308"/>
      <c r="DQI483" s="308"/>
      <c r="DQJ483" s="308"/>
      <c r="DQK483" s="308"/>
      <c r="DQL483" s="308"/>
      <c r="DQM483" s="308"/>
      <c r="DQN483" s="308"/>
      <c r="DQO483" s="308"/>
      <c r="DQP483" s="308"/>
      <c r="DQQ483" s="308"/>
      <c r="DQR483" s="308"/>
      <c r="DQS483" s="308"/>
      <c r="DQT483" s="308"/>
      <c r="DQU483" s="308"/>
      <c r="DQV483" s="308"/>
      <c r="DQW483" s="308"/>
      <c r="DQX483" s="308"/>
      <c r="DQY483" s="308"/>
      <c r="DQZ483" s="308"/>
      <c r="DRA483" s="308"/>
      <c r="DRB483" s="308"/>
      <c r="DRC483" s="308"/>
      <c r="DRD483" s="308"/>
      <c r="DRE483" s="308"/>
      <c r="DRF483" s="308"/>
      <c r="DRG483" s="308"/>
      <c r="DRH483" s="308"/>
      <c r="DRI483" s="308"/>
      <c r="DRJ483" s="308"/>
      <c r="DRK483" s="308"/>
      <c r="DRL483" s="308"/>
      <c r="DRM483" s="308"/>
      <c r="DRN483" s="308"/>
      <c r="DRO483" s="308"/>
      <c r="DRP483" s="308"/>
      <c r="DRQ483" s="308"/>
      <c r="DRR483" s="308"/>
      <c r="DRS483" s="308"/>
      <c r="DRT483" s="308"/>
      <c r="DRU483" s="308"/>
      <c r="DRV483" s="308"/>
      <c r="DRW483" s="308"/>
      <c r="DRX483" s="308"/>
      <c r="DRY483" s="308"/>
      <c r="DRZ483" s="308"/>
      <c r="DSA483" s="308"/>
      <c r="DSB483" s="308"/>
      <c r="DSC483" s="308"/>
      <c r="DSD483" s="308"/>
      <c r="DSE483" s="308"/>
      <c r="DSF483" s="308"/>
      <c r="DSG483" s="308"/>
      <c r="DSH483" s="308"/>
      <c r="DSI483" s="308"/>
      <c r="DSJ483" s="308"/>
      <c r="DSK483" s="308"/>
      <c r="DSL483" s="308"/>
      <c r="DSM483" s="308"/>
      <c r="DSN483" s="308"/>
      <c r="DSO483" s="308"/>
      <c r="DSP483" s="308"/>
      <c r="DSQ483" s="308"/>
      <c r="DSR483" s="308"/>
      <c r="DSS483" s="308"/>
      <c r="DST483" s="308"/>
      <c r="DSU483" s="308"/>
      <c r="DSV483" s="308"/>
      <c r="DSW483" s="308"/>
      <c r="DSX483" s="308"/>
      <c r="DSY483" s="308"/>
      <c r="DSZ483" s="308"/>
      <c r="DTA483" s="308"/>
      <c r="DTB483" s="308"/>
      <c r="DTC483" s="308"/>
      <c r="DTD483" s="308"/>
      <c r="DTE483" s="308"/>
      <c r="DTF483" s="308"/>
      <c r="DTG483" s="308"/>
      <c r="DTH483" s="308"/>
      <c r="DTI483" s="308"/>
      <c r="DTJ483" s="308"/>
      <c r="DTK483" s="308"/>
      <c r="DTL483" s="308"/>
      <c r="DTM483" s="308"/>
      <c r="DTN483" s="308"/>
      <c r="DTO483" s="308"/>
      <c r="DTP483" s="308"/>
      <c r="DTQ483" s="308"/>
      <c r="DTR483" s="308"/>
      <c r="DTS483" s="308"/>
      <c r="DTT483" s="308"/>
      <c r="DTU483" s="308"/>
      <c r="DTV483" s="308"/>
      <c r="DTW483" s="308"/>
      <c r="DTX483" s="308"/>
      <c r="DTY483" s="308"/>
      <c r="DTZ483" s="308"/>
      <c r="DUA483" s="308"/>
      <c r="DUB483" s="308"/>
      <c r="DUC483" s="308"/>
      <c r="DUD483" s="308"/>
      <c r="DUE483" s="308"/>
      <c r="DUF483" s="308"/>
      <c r="DUG483" s="308"/>
      <c r="DUH483" s="308"/>
      <c r="DUI483" s="308"/>
      <c r="DUJ483" s="308"/>
      <c r="DUK483" s="308"/>
      <c r="DUL483" s="308"/>
      <c r="DUM483" s="308"/>
      <c r="DUN483" s="308"/>
      <c r="DUO483" s="308"/>
      <c r="DUP483" s="308"/>
      <c r="DUQ483" s="308"/>
      <c r="DUR483" s="308"/>
      <c r="DUS483" s="308"/>
      <c r="DUT483" s="308"/>
      <c r="DUU483" s="308"/>
      <c r="DUV483" s="308"/>
      <c r="DUW483" s="308"/>
      <c r="DUX483" s="308"/>
      <c r="DUY483" s="308"/>
      <c r="DUZ483" s="308"/>
      <c r="DVA483" s="308"/>
      <c r="DVB483" s="308"/>
      <c r="DVC483" s="308"/>
      <c r="DVD483" s="308"/>
      <c r="DVE483" s="308"/>
      <c r="DVF483" s="308"/>
      <c r="DVG483" s="308"/>
      <c r="DVH483" s="308"/>
      <c r="DVI483" s="308"/>
      <c r="DVJ483" s="308"/>
      <c r="DVK483" s="308"/>
      <c r="DVL483" s="308"/>
      <c r="DVM483" s="308"/>
      <c r="DVN483" s="308"/>
      <c r="DVO483" s="308"/>
      <c r="DVP483" s="308"/>
      <c r="DVQ483" s="308"/>
      <c r="DVR483" s="308"/>
      <c r="DVS483" s="308"/>
      <c r="DVT483" s="308"/>
      <c r="DVU483" s="308"/>
      <c r="DVV483" s="308"/>
      <c r="DVW483" s="308"/>
      <c r="DVX483" s="308"/>
      <c r="DVY483" s="308"/>
      <c r="DVZ483" s="308"/>
      <c r="DWA483" s="308"/>
      <c r="DWB483" s="308"/>
      <c r="DWC483" s="308"/>
      <c r="DWD483" s="308"/>
      <c r="DWE483" s="308"/>
      <c r="DWF483" s="308"/>
      <c r="DWG483" s="308"/>
      <c r="DWH483" s="308"/>
      <c r="DWI483" s="308"/>
      <c r="DWJ483" s="308"/>
      <c r="DWK483" s="308"/>
      <c r="DWL483" s="308"/>
      <c r="DWM483" s="308"/>
      <c r="DWN483" s="308"/>
      <c r="DWO483" s="308"/>
      <c r="DWP483" s="308"/>
      <c r="DWQ483" s="308"/>
      <c r="DWR483" s="308"/>
      <c r="DWS483" s="308"/>
      <c r="DWT483" s="308"/>
      <c r="DWU483" s="308"/>
      <c r="DWV483" s="308"/>
      <c r="DWW483" s="308"/>
      <c r="DWX483" s="308"/>
      <c r="DWY483" s="308"/>
      <c r="DWZ483" s="308"/>
      <c r="DXA483" s="308"/>
      <c r="DXB483" s="308"/>
      <c r="DXC483" s="308"/>
      <c r="DXD483" s="308"/>
      <c r="DXE483" s="308"/>
      <c r="DXF483" s="308"/>
      <c r="DXG483" s="308"/>
      <c r="DXH483" s="308"/>
      <c r="DXI483" s="308"/>
      <c r="DXJ483" s="308"/>
      <c r="DXK483" s="308"/>
      <c r="DXL483" s="308"/>
      <c r="DXM483" s="308"/>
      <c r="DXN483" s="308"/>
      <c r="DXO483" s="308"/>
      <c r="DXP483" s="308"/>
      <c r="DXQ483" s="308"/>
      <c r="DXR483" s="308"/>
      <c r="DXS483" s="308"/>
      <c r="DXT483" s="308"/>
      <c r="DXU483" s="308"/>
      <c r="DXV483" s="308"/>
      <c r="DXW483" s="308"/>
      <c r="DXX483" s="308"/>
      <c r="DXY483" s="308"/>
      <c r="DXZ483" s="308"/>
      <c r="DYA483" s="308"/>
      <c r="DYB483" s="308"/>
      <c r="DYC483" s="308"/>
      <c r="DYD483" s="308"/>
      <c r="DYE483" s="308"/>
      <c r="DYF483" s="308"/>
      <c r="DYG483" s="308"/>
      <c r="DYH483" s="308"/>
      <c r="DYI483" s="308"/>
      <c r="DYJ483" s="308"/>
      <c r="DYK483" s="308"/>
      <c r="DYL483" s="308"/>
      <c r="DYM483" s="308"/>
      <c r="DYN483" s="308"/>
      <c r="DYO483" s="308"/>
      <c r="DYP483" s="308"/>
      <c r="DYQ483" s="308"/>
      <c r="DYR483" s="308"/>
      <c r="DYS483" s="308"/>
      <c r="DYT483" s="308"/>
      <c r="DYU483" s="308"/>
      <c r="DYV483" s="308"/>
      <c r="DYW483" s="308"/>
      <c r="DYX483" s="308"/>
      <c r="DYY483" s="308"/>
      <c r="DYZ483" s="308"/>
      <c r="DZA483" s="308"/>
      <c r="DZB483" s="308"/>
      <c r="DZC483" s="308"/>
      <c r="DZD483" s="308"/>
      <c r="DZE483" s="308"/>
      <c r="DZF483" s="308"/>
      <c r="DZG483" s="308"/>
      <c r="DZH483" s="308"/>
      <c r="DZI483" s="308"/>
      <c r="DZJ483" s="308"/>
      <c r="DZK483" s="308"/>
      <c r="DZL483" s="308"/>
      <c r="DZM483" s="308"/>
      <c r="DZN483" s="308"/>
      <c r="DZO483" s="308"/>
      <c r="DZP483" s="308"/>
      <c r="DZQ483" s="308"/>
      <c r="DZR483" s="308"/>
      <c r="DZS483" s="308"/>
      <c r="DZT483" s="308"/>
      <c r="DZU483" s="308"/>
      <c r="DZV483" s="308"/>
      <c r="DZW483" s="308"/>
      <c r="DZX483" s="308"/>
      <c r="DZY483" s="308"/>
      <c r="DZZ483" s="308"/>
      <c r="EAA483" s="308"/>
      <c r="EAB483" s="308"/>
      <c r="EAC483" s="308"/>
      <c r="EAD483" s="308"/>
      <c r="EAE483" s="308"/>
      <c r="EAF483" s="308"/>
      <c r="EAG483" s="308"/>
      <c r="EAH483" s="308"/>
      <c r="EAI483" s="308"/>
      <c r="EAJ483" s="308"/>
      <c r="EAK483" s="308"/>
      <c r="EAL483" s="308"/>
      <c r="EAM483" s="308"/>
      <c r="EAN483" s="308"/>
      <c r="EAO483" s="308"/>
      <c r="EAP483" s="308"/>
      <c r="EAQ483" s="308"/>
      <c r="EAR483" s="308"/>
      <c r="EAS483" s="308"/>
      <c r="EAT483" s="308"/>
      <c r="EAU483" s="308"/>
      <c r="EAV483" s="308"/>
      <c r="EAW483" s="308"/>
      <c r="EAX483" s="308"/>
      <c r="EAY483" s="308"/>
      <c r="EAZ483" s="308"/>
      <c r="EBA483" s="308"/>
      <c r="EBB483" s="308"/>
      <c r="EBC483" s="308"/>
      <c r="EBD483" s="308"/>
      <c r="EBE483" s="308"/>
      <c r="EBF483" s="308"/>
      <c r="EBG483" s="308"/>
      <c r="EBH483" s="308"/>
      <c r="EBI483" s="308"/>
      <c r="EBJ483" s="308"/>
      <c r="EBK483" s="308"/>
      <c r="EBL483" s="308"/>
      <c r="EBM483" s="308"/>
      <c r="EBN483" s="308"/>
      <c r="EBO483" s="308"/>
      <c r="EBP483" s="308"/>
      <c r="EBQ483" s="308"/>
      <c r="EBR483" s="308"/>
      <c r="EBS483" s="308"/>
      <c r="EBT483" s="308"/>
      <c r="EBU483" s="308"/>
      <c r="EBV483" s="308"/>
      <c r="EBW483" s="308"/>
      <c r="EBX483" s="308"/>
      <c r="EBY483" s="308"/>
      <c r="EBZ483" s="308"/>
      <c r="ECA483" s="308"/>
      <c r="ECB483" s="308"/>
      <c r="ECC483" s="308"/>
      <c r="ECD483" s="308"/>
      <c r="ECE483" s="308"/>
      <c r="ECF483" s="308"/>
      <c r="ECG483" s="308"/>
      <c r="ECH483" s="308"/>
      <c r="ECI483" s="308"/>
      <c r="ECJ483" s="308"/>
      <c r="ECK483" s="308"/>
      <c r="ECL483" s="308"/>
      <c r="ECM483" s="308"/>
      <c r="ECN483" s="308"/>
      <c r="ECO483" s="308"/>
      <c r="ECP483" s="308"/>
      <c r="ECQ483" s="308"/>
      <c r="ECR483" s="308"/>
      <c r="ECS483" s="308"/>
      <c r="ECT483" s="308"/>
      <c r="ECU483" s="308"/>
      <c r="ECV483" s="308"/>
      <c r="ECW483" s="308"/>
      <c r="ECX483" s="308"/>
      <c r="ECY483" s="308"/>
      <c r="ECZ483" s="308"/>
      <c r="EDA483" s="308"/>
      <c r="EDB483" s="308"/>
      <c r="EDC483" s="308"/>
      <c r="EDD483" s="308"/>
      <c r="EDE483" s="308"/>
      <c r="EDF483" s="308"/>
      <c r="EDG483" s="308"/>
      <c r="EDH483" s="308"/>
      <c r="EDI483" s="308"/>
      <c r="EDJ483" s="308"/>
      <c r="EDK483" s="308"/>
      <c r="EDL483" s="308"/>
      <c r="EDM483" s="308"/>
      <c r="EDN483" s="308"/>
      <c r="EDO483" s="308"/>
      <c r="EDP483" s="308"/>
      <c r="EDQ483" s="308"/>
      <c r="EDR483" s="308"/>
      <c r="EDS483" s="308"/>
      <c r="EDT483" s="308"/>
      <c r="EDU483" s="308"/>
      <c r="EDV483" s="308"/>
      <c r="EDW483" s="308"/>
      <c r="EDX483" s="308"/>
      <c r="EDY483" s="308"/>
      <c r="EDZ483" s="308"/>
      <c r="EEA483" s="308"/>
      <c r="EEB483" s="308"/>
      <c r="EEC483" s="308"/>
      <c r="EED483" s="308"/>
      <c r="EEE483" s="308"/>
      <c r="EEF483" s="308"/>
      <c r="EEG483" s="308"/>
      <c r="EEH483" s="308"/>
      <c r="EEI483" s="308"/>
      <c r="EEJ483" s="308"/>
      <c r="EEK483" s="308"/>
      <c r="EEL483" s="308"/>
      <c r="EEM483" s="308"/>
      <c r="EEN483" s="308"/>
      <c r="EEO483" s="308"/>
      <c r="EEP483" s="308"/>
      <c r="EEQ483" s="308"/>
      <c r="EER483" s="308"/>
      <c r="EES483" s="308"/>
      <c r="EET483" s="308"/>
      <c r="EEU483" s="308"/>
      <c r="EEV483" s="308"/>
      <c r="EEW483" s="308"/>
      <c r="EEX483" s="308"/>
      <c r="EEY483" s="308"/>
      <c r="EEZ483" s="308"/>
      <c r="EFA483" s="308"/>
      <c r="EFB483" s="308"/>
      <c r="EFC483" s="308"/>
      <c r="EFD483" s="308"/>
      <c r="EFE483" s="308"/>
      <c r="EFF483" s="308"/>
      <c r="EFG483" s="308"/>
      <c r="EFH483" s="308"/>
      <c r="EFI483" s="308"/>
      <c r="EFJ483" s="308"/>
      <c r="EFK483" s="308"/>
      <c r="EFL483" s="308"/>
      <c r="EFM483" s="308"/>
      <c r="EFN483" s="308"/>
      <c r="EFO483" s="308"/>
      <c r="EFP483" s="308"/>
      <c r="EFQ483" s="308"/>
      <c r="EFR483" s="308"/>
      <c r="EFS483" s="308"/>
      <c r="EFT483" s="308"/>
      <c r="EFU483" s="308"/>
      <c r="EFV483" s="308"/>
      <c r="EFW483" s="308"/>
      <c r="EFX483" s="308"/>
      <c r="EFY483" s="308"/>
      <c r="EFZ483" s="308"/>
      <c r="EGA483" s="308"/>
      <c r="EGB483" s="308"/>
      <c r="EGC483" s="308"/>
      <c r="EGD483" s="308"/>
      <c r="EGE483" s="308"/>
      <c r="EGF483" s="308"/>
      <c r="EGG483" s="308"/>
      <c r="EGH483" s="308"/>
      <c r="EGI483" s="308"/>
      <c r="EGJ483" s="308"/>
      <c r="EGK483" s="308"/>
      <c r="EGL483" s="308"/>
      <c r="EGM483" s="308"/>
      <c r="EGN483" s="308"/>
      <c r="EGO483" s="308"/>
      <c r="EGP483" s="308"/>
      <c r="EGQ483" s="308"/>
      <c r="EGR483" s="308"/>
      <c r="EGS483" s="308"/>
      <c r="EGT483" s="308"/>
      <c r="EGU483" s="308"/>
      <c r="EGV483" s="308"/>
      <c r="EGW483" s="308"/>
      <c r="EGX483" s="308"/>
      <c r="EGY483" s="308"/>
      <c r="EGZ483" s="308"/>
      <c r="EHA483" s="308"/>
      <c r="EHB483" s="308"/>
      <c r="EHC483" s="308"/>
      <c r="EHD483" s="308"/>
      <c r="EHE483" s="308"/>
      <c r="EHF483" s="308"/>
      <c r="EHG483" s="308"/>
      <c r="EHH483" s="308"/>
      <c r="EHI483" s="308"/>
      <c r="EHJ483" s="308"/>
      <c r="EHK483" s="308"/>
      <c r="EHL483" s="308"/>
      <c r="EHM483" s="308"/>
      <c r="EHN483" s="308"/>
      <c r="EHO483" s="308"/>
      <c r="EHP483" s="308"/>
      <c r="EHQ483" s="308"/>
      <c r="EHR483" s="308"/>
      <c r="EHS483" s="308"/>
      <c r="EHT483" s="308"/>
      <c r="EHU483" s="308"/>
      <c r="EHV483" s="308"/>
      <c r="EHW483" s="308"/>
      <c r="EHX483" s="308"/>
      <c r="EHY483" s="308"/>
      <c r="EHZ483" s="308"/>
      <c r="EIA483" s="308"/>
      <c r="EIB483" s="308"/>
      <c r="EIC483" s="308"/>
      <c r="EID483" s="308"/>
      <c r="EIE483" s="308"/>
      <c r="EIF483" s="308"/>
      <c r="EIG483" s="308"/>
      <c r="EIH483" s="308"/>
      <c r="EII483" s="308"/>
      <c r="EIJ483" s="308"/>
      <c r="EIK483" s="308"/>
      <c r="EIL483" s="308"/>
      <c r="EIM483" s="308"/>
      <c r="EIN483" s="308"/>
      <c r="EIO483" s="308"/>
      <c r="EIP483" s="308"/>
      <c r="EIQ483" s="308"/>
      <c r="EIR483" s="308"/>
      <c r="EIS483" s="308"/>
      <c r="EIT483" s="308"/>
      <c r="EIU483" s="308"/>
      <c r="EIV483" s="308"/>
      <c r="EIW483" s="308"/>
      <c r="EIX483" s="308"/>
      <c r="EIY483" s="308"/>
      <c r="EIZ483" s="308"/>
      <c r="EJA483" s="308"/>
      <c r="EJB483" s="308"/>
      <c r="EJC483" s="308"/>
      <c r="EJD483" s="308"/>
      <c r="EJE483" s="308"/>
      <c r="EJF483" s="308"/>
      <c r="EJG483" s="308"/>
      <c r="EJH483" s="308"/>
      <c r="EJI483" s="308"/>
      <c r="EJJ483" s="308"/>
      <c r="EJK483" s="308"/>
      <c r="EJL483" s="308"/>
      <c r="EJM483" s="308"/>
      <c r="EJN483" s="308"/>
      <c r="EJO483" s="308"/>
      <c r="EJP483" s="308"/>
      <c r="EJQ483" s="308"/>
      <c r="EJR483" s="308"/>
      <c r="EJS483" s="308"/>
      <c r="EJT483" s="308"/>
      <c r="EJU483" s="308"/>
      <c r="EJV483" s="308"/>
      <c r="EJW483" s="308"/>
      <c r="EJX483" s="308"/>
      <c r="EJY483" s="308"/>
      <c r="EJZ483" s="308"/>
      <c r="EKA483" s="308"/>
      <c r="EKB483" s="308"/>
      <c r="EKC483" s="308"/>
      <c r="EKD483" s="308"/>
      <c r="EKE483" s="308"/>
      <c r="EKF483" s="308"/>
      <c r="EKG483" s="308"/>
      <c r="EKH483" s="308"/>
      <c r="EKI483" s="308"/>
      <c r="EKJ483" s="308"/>
      <c r="EKK483" s="308"/>
      <c r="EKL483" s="308"/>
      <c r="EKM483" s="308"/>
      <c r="EKN483" s="308"/>
      <c r="EKO483" s="308"/>
      <c r="EKP483" s="308"/>
      <c r="EKQ483" s="308"/>
      <c r="EKR483" s="308"/>
      <c r="EKS483" s="308"/>
      <c r="EKT483" s="308"/>
      <c r="EKU483" s="308"/>
      <c r="EKV483" s="308"/>
      <c r="EKW483" s="308"/>
      <c r="EKX483" s="308"/>
      <c r="EKY483" s="308"/>
      <c r="EKZ483" s="308"/>
      <c r="ELA483" s="308"/>
      <c r="ELB483" s="308"/>
      <c r="ELC483" s="308"/>
      <c r="ELD483" s="308"/>
      <c r="ELE483" s="308"/>
      <c r="ELF483" s="308"/>
      <c r="ELG483" s="308"/>
      <c r="ELH483" s="308"/>
      <c r="ELI483" s="308"/>
      <c r="ELJ483" s="308"/>
      <c r="ELK483" s="308"/>
      <c r="ELL483" s="308"/>
      <c r="ELM483" s="308"/>
      <c r="ELN483" s="308"/>
      <c r="ELO483" s="308"/>
      <c r="ELP483" s="308"/>
      <c r="ELQ483" s="308"/>
      <c r="ELR483" s="308"/>
      <c r="ELS483" s="308"/>
      <c r="ELT483" s="308"/>
      <c r="ELU483" s="308"/>
      <c r="ELV483" s="308"/>
      <c r="ELW483" s="308"/>
      <c r="ELX483" s="308"/>
      <c r="ELY483" s="308"/>
      <c r="ELZ483" s="308"/>
      <c r="EMA483" s="308"/>
      <c r="EMB483" s="308"/>
      <c r="EMC483" s="308"/>
      <c r="EMD483" s="308"/>
      <c r="EME483" s="308"/>
      <c r="EMF483" s="308"/>
      <c r="EMG483" s="308"/>
      <c r="EMH483" s="308"/>
      <c r="EMI483" s="308"/>
      <c r="EMJ483" s="308"/>
      <c r="EMK483" s="308"/>
      <c r="EML483" s="308"/>
      <c r="EMM483" s="308"/>
      <c r="EMN483" s="308"/>
      <c r="EMO483" s="308"/>
      <c r="EMP483" s="308"/>
      <c r="EMQ483" s="308"/>
      <c r="EMR483" s="308"/>
      <c r="EMS483" s="308"/>
      <c r="EMT483" s="308"/>
      <c r="EMU483" s="308"/>
      <c r="EMV483" s="308"/>
      <c r="EMW483" s="308"/>
      <c r="EMX483" s="308"/>
      <c r="EMY483" s="308"/>
      <c r="EMZ483" s="308"/>
      <c r="ENA483" s="308"/>
      <c r="ENB483" s="308"/>
      <c r="ENC483" s="308"/>
      <c r="END483" s="308"/>
      <c r="ENE483" s="308"/>
      <c r="ENF483" s="308"/>
      <c r="ENG483" s="308"/>
      <c r="ENH483" s="308"/>
      <c r="ENI483" s="308"/>
      <c r="ENJ483" s="308"/>
      <c r="ENK483" s="308"/>
      <c r="ENL483" s="308"/>
      <c r="ENM483" s="308"/>
      <c r="ENN483" s="308"/>
      <c r="ENO483" s="308"/>
      <c r="ENP483" s="308"/>
      <c r="ENQ483" s="308"/>
      <c r="ENR483" s="308"/>
      <c r="ENS483" s="308"/>
      <c r="ENT483" s="308"/>
      <c r="ENU483" s="308"/>
      <c r="ENV483" s="308"/>
      <c r="ENW483" s="308"/>
      <c r="ENX483" s="308"/>
      <c r="ENY483" s="308"/>
      <c r="ENZ483" s="308"/>
      <c r="EOA483" s="308"/>
      <c r="EOB483" s="308"/>
      <c r="EOC483" s="308"/>
      <c r="EOD483" s="308"/>
      <c r="EOE483" s="308"/>
      <c r="EOF483" s="308"/>
      <c r="EOG483" s="308"/>
      <c r="EOH483" s="308"/>
      <c r="EOI483" s="308"/>
      <c r="EOJ483" s="308"/>
      <c r="EOK483" s="308"/>
      <c r="EOL483" s="308"/>
      <c r="EOM483" s="308"/>
      <c r="EON483" s="308"/>
      <c r="EOO483" s="308"/>
      <c r="EOP483" s="308"/>
      <c r="EOQ483" s="308"/>
      <c r="EOR483" s="308"/>
      <c r="EOS483" s="308"/>
      <c r="EOT483" s="308"/>
      <c r="EOU483" s="308"/>
      <c r="EOV483" s="308"/>
      <c r="EOW483" s="308"/>
      <c r="EOX483" s="308"/>
      <c r="EOY483" s="308"/>
      <c r="EOZ483" s="308"/>
      <c r="EPA483" s="308"/>
      <c r="EPB483" s="308"/>
      <c r="EPC483" s="308"/>
      <c r="EPD483" s="308"/>
      <c r="EPE483" s="308"/>
      <c r="EPF483" s="308"/>
      <c r="EPG483" s="308"/>
      <c r="EPH483" s="308"/>
      <c r="EPI483" s="308"/>
      <c r="EPJ483" s="308"/>
      <c r="EPK483" s="308"/>
      <c r="EPL483" s="308"/>
      <c r="EPM483" s="308"/>
      <c r="EPN483" s="308"/>
      <c r="EPO483" s="308"/>
      <c r="EPP483" s="308"/>
      <c r="EPQ483" s="308"/>
      <c r="EPR483" s="308"/>
      <c r="EPS483" s="308"/>
      <c r="EPT483" s="308"/>
      <c r="EPU483" s="308"/>
      <c r="EPV483" s="308"/>
      <c r="EPW483" s="308"/>
      <c r="EPX483" s="308"/>
      <c r="EPY483" s="308"/>
      <c r="EPZ483" s="308"/>
      <c r="EQA483" s="308"/>
      <c r="EQB483" s="308"/>
      <c r="EQC483" s="308"/>
      <c r="EQD483" s="308"/>
      <c r="EQE483" s="308"/>
      <c r="EQF483" s="308"/>
      <c r="EQG483" s="308"/>
      <c r="EQH483" s="308"/>
      <c r="EQI483" s="308"/>
      <c r="EQJ483" s="308"/>
      <c r="EQK483" s="308"/>
      <c r="EQL483" s="308"/>
      <c r="EQM483" s="308"/>
      <c r="EQN483" s="308"/>
      <c r="EQO483" s="308"/>
      <c r="EQP483" s="308"/>
      <c r="EQQ483" s="308"/>
      <c r="EQR483" s="308"/>
      <c r="EQS483" s="308"/>
      <c r="EQT483" s="308"/>
      <c r="EQU483" s="308"/>
      <c r="EQV483" s="308"/>
      <c r="EQW483" s="308"/>
      <c r="EQX483" s="308"/>
      <c r="EQY483" s="308"/>
      <c r="EQZ483" s="308"/>
      <c r="ERA483" s="308"/>
      <c r="ERB483" s="308"/>
      <c r="ERC483" s="308"/>
      <c r="ERD483" s="308"/>
      <c r="ERE483" s="308"/>
      <c r="ERF483" s="308"/>
      <c r="ERG483" s="308"/>
      <c r="ERH483" s="308"/>
      <c r="ERI483" s="308"/>
      <c r="ERJ483" s="308"/>
      <c r="ERK483" s="308"/>
      <c r="ERL483" s="308"/>
      <c r="ERM483" s="308"/>
      <c r="ERN483" s="308"/>
      <c r="ERO483" s="308"/>
      <c r="ERP483" s="308"/>
      <c r="ERQ483" s="308"/>
      <c r="ERR483" s="308"/>
      <c r="ERS483" s="308"/>
      <c r="ERT483" s="308"/>
      <c r="ERU483" s="308"/>
      <c r="ERV483" s="308"/>
      <c r="ERW483" s="308"/>
      <c r="ERX483" s="308"/>
      <c r="ERY483" s="308"/>
      <c r="ERZ483" s="308"/>
      <c r="ESA483" s="308"/>
      <c r="ESB483" s="308"/>
      <c r="ESC483" s="308"/>
      <c r="ESD483" s="308"/>
      <c r="ESE483" s="308"/>
      <c r="ESF483" s="308"/>
      <c r="ESG483" s="308"/>
      <c r="ESH483" s="308"/>
      <c r="ESI483" s="308"/>
      <c r="ESJ483" s="308"/>
      <c r="ESK483" s="308"/>
      <c r="ESL483" s="308"/>
      <c r="ESM483" s="308"/>
      <c r="ESN483" s="308"/>
      <c r="ESO483" s="308"/>
      <c r="ESP483" s="308"/>
      <c r="ESQ483" s="308"/>
      <c r="ESR483" s="308"/>
      <c r="ESS483" s="308"/>
      <c r="EST483" s="308"/>
      <c r="ESU483" s="308"/>
      <c r="ESV483" s="308"/>
      <c r="ESW483" s="308"/>
      <c r="ESX483" s="308"/>
      <c r="ESY483" s="308"/>
      <c r="ESZ483" s="308"/>
      <c r="ETA483" s="308"/>
      <c r="ETB483" s="308"/>
      <c r="ETC483" s="308"/>
      <c r="ETD483" s="308"/>
      <c r="ETE483" s="308"/>
      <c r="ETF483" s="308"/>
      <c r="ETG483" s="308"/>
      <c r="ETH483" s="308"/>
      <c r="ETI483" s="308"/>
      <c r="ETJ483" s="308"/>
      <c r="ETK483" s="308"/>
      <c r="ETL483" s="308"/>
      <c r="ETM483" s="308"/>
      <c r="ETN483" s="308"/>
      <c r="ETO483" s="308"/>
      <c r="ETP483" s="308"/>
      <c r="ETQ483" s="308"/>
      <c r="ETR483" s="308"/>
      <c r="ETS483" s="308"/>
      <c r="ETT483" s="308"/>
      <c r="ETU483" s="308"/>
      <c r="ETV483" s="308"/>
      <c r="ETW483" s="308"/>
      <c r="ETX483" s="308"/>
      <c r="ETY483" s="308"/>
      <c r="ETZ483" s="308"/>
      <c r="EUA483" s="308"/>
      <c r="EUB483" s="308"/>
      <c r="EUC483" s="308"/>
      <c r="EUD483" s="308"/>
      <c r="EUE483" s="308"/>
      <c r="EUF483" s="308"/>
      <c r="EUG483" s="308"/>
      <c r="EUH483" s="308"/>
      <c r="EUI483" s="308"/>
      <c r="EUJ483" s="308"/>
      <c r="EUK483" s="308"/>
      <c r="EUL483" s="308"/>
      <c r="EUM483" s="308"/>
      <c r="EUN483" s="308"/>
      <c r="EUO483" s="308"/>
      <c r="EUP483" s="308"/>
      <c r="EUQ483" s="308"/>
      <c r="EUR483" s="308"/>
      <c r="EUS483" s="308"/>
      <c r="EUT483" s="308"/>
      <c r="EUU483" s="308"/>
      <c r="EUV483" s="308"/>
      <c r="EUW483" s="308"/>
      <c r="EUX483" s="308"/>
      <c r="EUY483" s="308"/>
      <c r="EUZ483" s="308"/>
      <c r="EVA483" s="308"/>
      <c r="EVB483" s="308"/>
      <c r="EVC483" s="308"/>
      <c r="EVD483" s="308"/>
      <c r="EVE483" s="308"/>
      <c r="EVF483" s="308"/>
      <c r="EVG483" s="308"/>
      <c r="EVH483" s="308"/>
      <c r="EVI483" s="308"/>
      <c r="EVJ483" s="308"/>
      <c r="EVK483" s="308"/>
      <c r="EVL483" s="308"/>
      <c r="EVM483" s="308"/>
      <c r="EVN483" s="308"/>
      <c r="EVO483" s="308"/>
      <c r="EVP483" s="308"/>
      <c r="EVQ483" s="308"/>
      <c r="EVR483" s="308"/>
      <c r="EVS483" s="308"/>
      <c r="EVT483" s="308"/>
      <c r="EVU483" s="308"/>
      <c r="EVV483" s="308"/>
      <c r="EVW483" s="308"/>
      <c r="EVX483" s="308"/>
      <c r="EVY483" s="308"/>
      <c r="EVZ483" s="308"/>
      <c r="EWA483" s="308"/>
      <c r="EWB483" s="308"/>
      <c r="EWC483" s="308"/>
      <c r="EWD483" s="308"/>
      <c r="EWE483" s="308"/>
      <c r="EWF483" s="308"/>
      <c r="EWG483" s="308"/>
      <c r="EWH483" s="308"/>
      <c r="EWI483" s="308"/>
      <c r="EWJ483" s="308"/>
      <c r="EWK483" s="308"/>
      <c r="EWL483" s="308"/>
      <c r="EWM483" s="308"/>
      <c r="EWN483" s="308"/>
      <c r="EWO483" s="308"/>
      <c r="EWP483" s="308"/>
      <c r="EWQ483" s="308"/>
      <c r="EWR483" s="308"/>
      <c r="EWS483" s="308"/>
      <c r="EWT483" s="308"/>
      <c r="EWU483" s="308"/>
      <c r="EWV483" s="308"/>
      <c r="EWW483" s="308"/>
      <c r="EWX483" s="308"/>
      <c r="EWY483" s="308"/>
      <c r="EWZ483" s="308"/>
      <c r="EXA483" s="308"/>
      <c r="EXB483" s="308"/>
      <c r="EXC483" s="308"/>
      <c r="EXD483" s="308"/>
      <c r="EXE483" s="308"/>
      <c r="EXF483" s="308"/>
      <c r="EXG483" s="308"/>
      <c r="EXH483" s="308"/>
      <c r="EXI483" s="308"/>
      <c r="EXJ483" s="308"/>
      <c r="EXK483" s="308"/>
      <c r="EXL483" s="308"/>
      <c r="EXM483" s="308"/>
      <c r="EXN483" s="308"/>
      <c r="EXO483" s="308"/>
      <c r="EXP483" s="308"/>
      <c r="EXQ483" s="308"/>
      <c r="EXR483" s="308"/>
      <c r="EXS483" s="308"/>
      <c r="EXT483" s="308"/>
      <c r="EXU483" s="308"/>
      <c r="EXV483" s="308"/>
      <c r="EXW483" s="308"/>
      <c r="EXX483" s="308"/>
      <c r="EXY483" s="308"/>
      <c r="EXZ483" s="308"/>
      <c r="EYA483" s="308"/>
      <c r="EYB483" s="308"/>
      <c r="EYC483" s="308"/>
      <c r="EYD483" s="308"/>
      <c r="EYE483" s="308"/>
      <c r="EYF483" s="308"/>
      <c r="EYG483" s="308"/>
      <c r="EYH483" s="308"/>
      <c r="EYI483" s="308"/>
      <c r="EYJ483" s="308"/>
      <c r="EYK483" s="308"/>
      <c r="EYL483" s="308"/>
      <c r="EYM483" s="308"/>
      <c r="EYN483" s="308"/>
      <c r="EYO483" s="308"/>
      <c r="EYP483" s="308"/>
      <c r="EYQ483" s="308"/>
      <c r="EYR483" s="308"/>
      <c r="EYS483" s="308"/>
      <c r="EYT483" s="308"/>
      <c r="EYU483" s="308"/>
      <c r="EYV483" s="308"/>
      <c r="EYW483" s="308"/>
      <c r="EYX483" s="308"/>
      <c r="EYY483" s="308"/>
      <c r="EYZ483" s="308"/>
      <c r="EZA483" s="308"/>
      <c r="EZB483" s="308"/>
      <c r="EZC483" s="308"/>
      <c r="EZD483" s="308"/>
      <c r="EZE483" s="308"/>
      <c r="EZF483" s="308"/>
      <c r="EZG483" s="308"/>
      <c r="EZH483" s="308"/>
      <c r="EZI483" s="308"/>
      <c r="EZJ483" s="308"/>
      <c r="EZK483" s="308"/>
      <c r="EZL483" s="308"/>
      <c r="EZM483" s="308"/>
      <c r="EZN483" s="308"/>
      <c r="EZO483" s="308"/>
      <c r="EZP483" s="308"/>
      <c r="EZQ483" s="308"/>
      <c r="EZR483" s="308"/>
      <c r="EZS483" s="308"/>
      <c r="EZT483" s="308"/>
      <c r="EZU483" s="308"/>
      <c r="EZV483" s="308"/>
      <c r="EZW483" s="308"/>
      <c r="EZX483" s="308"/>
      <c r="EZY483" s="308"/>
      <c r="EZZ483" s="308"/>
      <c r="FAA483" s="308"/>
      <c r="FAB483" s="308"/>
      <c r="FAC483" s="308"/>
      <c r="FAD483" s="308"/>
      <c r="FAE483" s="308"/>
      <c r="FAF483" s="308"/>
      <c r="FAG483" s="308"/>
      <c r="FAH483" s="308"/>
      <c r="FAI483" s="308"/>
      <c r="FAJ483" s="308"/>
      <c r="FAK483" s="308"/>
      <c r="FAL483" s="308"/>
      <c r="FAM483" s="308"/>
      <c r="FAN483" s="308"/>
      <c r="FAO483" s="308"/>
      <c r="FAP483" s="308"/>
      <c r="FAQ483" s="308"/>
      <c r="FAR483" s="308"/>
      <c r="FAS483" s="308"/>
      <c r="FAT483" s="308"/>
      <c r="FAU483" s="308"/>
      <c r="FAV483" s="308"/>
      <c r="FAW483" s="308"/>
      <c r="FAX483" s="308"/>
      <c r="FAY483" s="308"/>
      <c r="FAZ483" s="308"/>
      <c r="FBA483" s="308"/>
      <c r="FBB483" s="308"/>
      <c r="FBC483" s="308"/>
      <c r="FBD483" s="308"/>
      <c r="FBE483" s="308"/>
      <c r="FBF483" s="308"/>
      <c r="FBG483" s="308"/>
      <c r="FBH483" s="308"/>
      <c r="FBI483" s="308"/>
      <c r="FBJ483" s="308"/>
      <c r="FBK483" s="308"/>
      <c r="FBL483" s="308"/>
      <c r="FBM483" s="308"/>
      <c r="FBN483" s="308"/>
      <c r="FBO483" s="308"/>
      <c r="FBP483" s="308"/>
      <c r="FBQ483" s="308"/>
      <c r="FBR483" s="308"/>
      <c r="FBS483" s="308"/>
      <c r="FBT483" s="308"/>
      <c r="FBU483" s="308"/>
      <c r="FBV483" s="308"/>
      <c r="FBW483" s="308"/>
      <c r="FBX483" s="308"/>
      <c r="FBY483" s="308"/>
      <c r="FBZ483" s="308"/>
      <c r="FCA483" s="308"/>
      <c r="FCB483" s="308"/>
      <c r="FCC483" s="308"/>
      <c r="FCD483" s="308"/>
      <c r="FCE483" s="308"/>
      <c r="FCF483" s="308"/>
      <c r="FCG483" s="308"/>
      <c r="FCH483" s="308"/>
      <c r="FCI483" s="308"/>
      <c r="FCJ483" s="308"/>
      <c r="FCK483" s="308"/>
      <c r="FCL483" s="308"/>
      <c r="FCM483" s="308"/>
      <c r="FCN483" s="308"/>
      <c r="FCO483" s="308"/>
      <c r="FCP483" s="308"/>
      <c r="FCQ483" s="308"/>
      <c r="FCR483" s="308"/>
      <c r="FCS483" s="308"/>
      <c r="FCT483" s="308"/>
      <c r="FCU483" s="308"/>
      <c r="FCV483" s="308"/>
      <c r="FCW483" s="308"/>
      <c r="FCX483" s="308"/>
      <c r="FCY483" s="308"/>
      <c r="FCZ483" s="308"/>
      <c r="FDA483" s="308"/>
      <c r="FDB483" s="308"/>
      <c r="FDC483" s="308"/>
      <c r="FDD483" s="308"/>
      <c r="FDE483" s="308"/>
      <c r="FDF483" s="308"/>
      <c r="FDG483" s="308"/>
      <c r="FDH483" s="308"/>
      <c r="FDI483" s="308"/>
      <c r="FDJ483" s="308"/>
      <c r="FDK483" s="308"/>
      <c r="FDL483" s="308"/>
      <c r="FDM483" s="308"/>
      <c r="FDN483" s="308"/>
      <c r="FDO483" s="308"/>
      <c r="FDP483" s="308"/>
      <c r="FDQ483" s="308"/>
      <c r="FDR483" s="308"/>
      <c r="FDS483" s="308"/>
      <c r="FDT483" s="308"/>
      <c r="FDU483" s="308"/>
      <c r="FDV483" s="308"/>
      <c r="FDW483" s="308"/>
      <c r="FDX483" s="308"/>
      <c r="FDY483" s="308"/>
      <c r="FDZ483" s="308"/>
      <c r="FEA483" s="308"/>
      <c r="FEB483" s="308"/>
      <c r="FEC483" s="308"/>
      <c r="FED483" s="308"/>
      <c r="FEE483" s="308"/>
      <c r="FEF483" s="308"/>
      <c r="FEG483" s="308"/>
      <c r="FEH483" s="308"/>
      <c r="FEI483" s="308"/>
      <c r="FEJ483" s="308"/>
      <c r="FEK483" s="308"/>
      <c r="FEL483" s="308"/>
      <c r="FEM483" s="308"/>
      <c r="FEN483" s="308"/>
      <c r="FEO483" s="308"/>
      <c r="FEP483" s="308"/>
      <c r="FEQ483" s="308"/>
      <c r="FER483" s="308"/>
      <c r="FES483" s="308"/>
      <c r="FET483" s="308"/>
      <c r="FEU483" s="308"/>
      <c r="FEV483" s="308"/>
      <c r="FEW483" s="308"/>
      <c r="FEX483" s="308"/>
      <c r="FEY483" s="308"/>
      <c r="FEZ483" s="308"/>
      <c r="FFA483" s="308"/>
      <c r="FFB483" s="308"/>
      <c r="FFC483" s="308"/>
      <c r="FFD483" s="308"/>
      <c r="FFE483" s="308"/>
      <c r="FFF483" s="308"/>
      <c r="FFG483" s="308"/>
      <c r="FFH483" s="308"/>
      <c r="FFI483" s="308"/>
      <c r="FFJ483" s="308"/>
      <c r="FFK483" s="308"/>
      <c r="FFL483" s="308"/>
      <c r="FFM483" s="308"/>
      <c r="FFN483" s="308"/>
      <c r="FFO483" s="308"/>
      <c r="FFP483" s="308"/>
      <c r="FFQ483" s="308"/>
      <c r="FFR483" s="308"/>
      <c r="FFS483" s="308"/>
      <c r="FFT483" s="308"/>
      <c r="FFU483" s="308"/>
      <c r="FFV483" s="308"/>
      <c r="FFW483" s="308"/>
      <c r="FFX483" s="308"/>
      <c r="FFY483" s="308"/>
      <c r="FFZ483" s="308"/>
      <c r="FGA483" s="308"/>
      <c r="FGB483" s="308"/>
      <c r="FGC483" s="308"/>
      <c r="FGD483" s="308"/>
      <c r="FGE483" s="308"/>
      <c r="FGF483" s="308"/>
      <c r="FGG483" s="308"/>
      <c r="FGH483" s="308"/>
      <c r="FGI483" s="308"/>
      <c r="FGJ483" s="308"/>
      <c r="FGK483" s="308"/>
      <c r="FGL483" s="308"/>
      <c r="FGM483" s="308"/>
      <c r="FGN483" s="308"/>
      <c r="FGO483" s="308"/>
      <c r="FGP483" s="308"/>
      <c r="FGQ483" s="308"/>
      <c r="FGR483" s="308"/>
      <c r="FGS483" s="308"/>
      <c r="FGT483" s="308"/>
      <c r="FGU483" s="308"/>
      <c r="FGV483" s="308"/>
      <c r="FGW483" s="308"/>
      <c r="FGX483" s="308"/>
      <c r="FGY483" s="308"/>
      <c r="FGZ483" s="308"/>
      <c r="FHA483" s="308"/>
      <c r="FHB483" s="308"/>
      <c r="FHC483" s="308"/>
      <c r="FHD483" s="308"/>
      <c r="FHE483" s="308"/>
      <c r="FHF483" s="308"/>
      <c r="FHG483" s="308"/>
      <c r="FHH483" s="308"/>
      <c r="FHI483" s="308"/>
      <c r="FHJ483" s="308"/>
      <c r="FHK483" s="308"/>
      <c r="FHL483" s="308"/>
      <c r="FHM483" s="308"/>
      <c r="FHN483" s="308"/>
      <c r="FHO483" s="308"/>
      <c r="FHP483" s="308"/>
      <c r="FHQ483" s="308"/>
      <c r="FHR483" s="308"/>
      <c r="FHS483" s="308"/>
      <c r="FHT483" s="308"/>
      <c r="FHU483" s="308"/>
      <c r="FHV483" s="308"/>
      <c r="FHW483" s="308"/>
      <c r="FHX483" s="308"/>
      <c r="FHY483" s="308"/>
      <c r="FHZ483" s="308"/>
      <c r="FIA483" s="308"/>
      <c r="FIB483" s="308"/>
      <c r="FIC483" s="308"/>
      <c r="FID483" s="308"/>
      <c r="FIE483" s="308"/>
      <c r="FIF483" s="308"/>
      <c r="FIG483" s="308"/>
      <c r="FIH483" s="308"/>
      <c r="FII483" s="308"/>
      <c r="FIJ483" s="308"/>
      <c r="FIK483" s="308"/>
      <c r="FIL483" s="308"/>
      <c r="FIM483" s="308"/>
      <c r="FIN483" s="308"/>
      <c r="FIO483" s="308"/>
      <c r="FIP483" s="308"/>
      <c r="FIQ483" s="308"/>
      <c r="FIR483" s="308"/>
      <c r="FIS483" s="308"/>
      <c r="FIT483" s="308"/>
      <c r="FIU483" s="308"/>
      <c r="FIV483" s="308"/>
      <c r="FIW483" s="308"/>
      <c r="FIX483" s="308"/>
      <c r="FIY483" s="308"/>
      <c r="FIZ483" s="308"/>
      <c r="FJA483" s="308"/>
      <c r="FJB483" s="308"/>
      <c r="FJC483" s="308"/>
      <c r="FJD483" s="308"/>
      <c r="FJE483" s="308"/>
      <c r="FJF483" s="308"/>
      <c r="FJG483" s="308"/>
      <c r="FJH483" s="308"/>
      <c r="FJI483" s="308"/>
      <c r="FJJ483" s="308"/>
      <c r="FJK483" s="308"/>
      <c r="FJL483" s="308"/>
      <c r="FJM483" s="308"/>
      <c r="FJN483" s="308"/>
      <c r="FJO483" s="308"/>
      <c r="FJP483" s="308"/>
      <c r="FJQ483" s="308"/>
      <c r="FJR483" s="308"/>
      <c r="FJS483" s="308"/>
      <c r="FJT483" s="308"/>
      <c r="FJU483" s="308"/>
      <c r="FJV483" s="308"/>
      <c r="FJW483" s="308"/>
      <c r="FJX483" s="308"/>
      <c r="FJY483" s="308"/>
      <c r="FJZ483" s="308"/>
      <c r="FKA483" s="308"/>
      <c r="FKB483" s="308"/>
      <c r="FKC483" s="308"/>
      <c r="FKD483" s="308"/>
      <c r="FKE483" s="308"/>
      <c r="FKF483" s="308"/>
      <c r="FKG483" s="308"/>
      <c r="FKH483" s="308"/>
      <c r="FKI483" s="308"/>
      <c r="FKJ483" s="308"/>
      <c r="FKK483" s="308"/>
      <c r="FKL483" s="308"/>
      <c r="FKM483" s="308"/>
      <c r="FKN483" s="308"/>
      <c r="FKO483" s="308"/>
      <c r="FKP483" s="308"/>
      <c r="FKQ483" s="308"/>
      <c r="FKR483" s="308"/>
      <c r="FKS483" s="308"/>
      <c r="FKT483" s="308"/>
      <c r="FKU483" s="308"/>
      <c r="FKV483" s="308"/>
      <c r="FKW483" s="308"/>
      <c r="FKX483" s="308"/>
      <c r="FKY483" s="308"/>
      <c r="FKZ483" s="308"/>
      <c r="FLA483" s="308"/>
      <c r="FLB483" s="308"/>
      <c r="FLC483" s="308"/>
      <c r="FLD483" s="308"/>
      <c r="FLE483" s="308"/>
      <c r="FLF483" s="308"/>
      <c r="FLG483" s="308"/>
      <c r="FLH483" s="308"/>
      <c r="FLI483" s="308"/>
      <c r="FLJ483" s="308"/>
      <c r="FLK483" s="308"/>
      <c r="FLL483" s="308"/>
      <c r="FLM483" s="308"/>
      <c r="FLN483" s="308"/>
      <c r="FLO483" s="308"/>
      <c r="FLP483" s="308"/>
      <c r="FLQ483" s="308"/>
      <c r="FLR483" s="308"/>
      <c r="FLS483" s="308"/>
      <c r="FLT483" s="308"/>
      <c r="FLU483" s="308"/>
      <c r="FLV483" s="308"/>
      <c r="FLW483" s="308"/>
      <c r="FLX483" s="308"/>
      <c r="FLY483" s="308"/>
      <c r="FLZ483" s="308"/>
      <c r="FMA483" s="308"/>
      <c r="FMB483" s="308"/>
      <c r="FMC483" s="308"/>
      <c r="FMD483" s="308"/>
      <c r="FME483" s="308"/>
      <c r="FMF483" s="308"/>
      <c r="FMG483" s="308"/>
      <c r="FMH483" s="308"/>
      <c r="FMI483" s="308"/>
      <c r="FMJ483" s="308"/>
      <c r="FMK483" s="308"/>
      <c r="FML483" s="308"/>
      <c r="FMM483" s="308"/>
      <c r="FMN483" s="308"/>
      <c r="FMO483" s="308"/>
      <c r="FMP483" s="308"/>
      <c r="FMQ483" s="308"/>
      <c r="FMR483" s="308"/>
      <c r="FMS483" s="308"/>
      <c r="FMT483" s="308"/>
      <c r="FMU483" s="308"/>
      <c r="FMV483" s="308"/>
      <c r="FMW483" s="308"/>
      <c r="FMX483" s="308"/>
      <c r="FMY483" s="308"/>
      <c r="FMZ483" s="308"/>
      <c r="FNA483" s="308"/>
      <c r="FNB483" s="308"/>
      <c r="FNC483" s="308"/>
      <c r="FND483" s="308"/>
      <c r="FNE483" s="308"/>
      <c r="FNF483" s="308"/>
      <c r="FNG483" s="308"/>
      <c r="FNH483" s="308"/>
      <c r="FNI483" s="308"/>
      <c r="FNJ483" s="308"/>
      <c r="FNK483" s="308"/>
      <c r="FNL483" s="308"/>
      <c r="FNM483" s="308"/>
      <c r="FNN483" s="308"/>
      <c r="FNO483" s="308"/>
      <c r="FNP483" s="308"/>
      <c r="FNQ483" s="308"/>
      <c r="FNR483" s="308"/>
      <c r="FNS483" s="308"/>
      <c r="FNT483" s="308"/>
      <c r="FNU483" s="308"/>
      <c r="FNV483" s="308"/>
      <c r="FNW483" s="308"/>
      <c r="FNX483" s="308"/>
      <c r="FNY483" s="308"/>
      <c r="FNZ483" s="308"/>
      <c r="FOA483" s="308"/>
      <c r="FOB483" s="308"/>
      <c r="FOC483" s="308"/>
      <c r="FOD483" s="308"/>
      <c r="FOE483" s="308"/>
      <c r="FOF483" s="308"/>
      <c r="FOG483" s="308"/>
      <c r="FOH483" s="308"/>
      <c r="FOI483" s="308"/>
      <c r="FOJ483" s="308"/>
      <c r="FOK483" s="308"/>
      <c r="FOL483" s="308"/>
      <c r="FOM483" s="308"/>
      <c r="FON483" s="308"/>
      <c r="FOO483" s="308"/>
      <c r="FOP483" s="308"/>
      <c r="FOQ483" s="308"/>
      <c r="FOR483" s="308"/>
      <c r="FOS483" s="308"/>
      <c r="FOT483" s="308"/>
      <c r="FOU483" s="308"/>
      <c r="FOV483" s="308"/>
      <c r="FOW483" s="308"/>
      <c r="FOX483" s="308"/>
      <c r="FOY483" s="308"/>
      <c r="FOZ483" s="308"/>
      <c r="FPA483" s="308"/>
      <c r="FPB483" s="308"/>
      <c r="FPC483" s="308"/>
      <c r="FPD483" s="308"/>
      <c r="FPE483" s="308"/>
      <c r="FPF483" s="308"/>
      <c r="FPG483" s="308"/>
      <c r="FPH483" s="308"/>
      <c r="FPI483" s="308"/>
      <c r="FPJ483" s="308"/>
      <c r="FPK483" s="308"/>
      <c r="FPL483" s="308"/>
      <c r="FPM483" s="308"/>
      <c r="FPN483" s="308"/>
      <c r="FPO483" s="308"/>
      <c r="FPP483" s="308"/>
      <c r="FPQ483" s="308"/>
      <c r="FPR483" s="308"/>
      <c r="FPS483" s="308"/>
      <c r="FPT483" s="308"/>
      <c r="FPU483" s="308"/>
      <c r="FPV483" s="308"/>
      <c r="FPW483" s="308"/>
      <c r="FPX483" s="308"/>
      <c r="FPY483" s="308"/>
      <c r="FPZ483" s="308"/>
      <c r="FQA483" s="308"/>
      <c r="FQB483" s="308"/>
      <c r="FQC483" s="308"/>
      <c r="FQD483" s="308"/>
      <c r="FQE483" s="308"/>
      <c r="FQF483" s="308"/>
      <c r="FQG483" s="308"/>
      <c r="FQH483" s="308"/>
      <c r="FQI483" s="308"/>
      <c r="FQJ483" s="308"/>
      <c r="FQK483" s="308"/>
      <c r="FQL483" s="308"/>
      <c r="FQM483" s="308"/>
      <c r="FQN483" s="308"/>
      <c r="FQO483" s="308"/>
      <c r="FQP483" s="308"/>
      <c r="FQQ483" s="308"/>
      <c r="FQR483" s="308"/>
      <c r="FQS483" s="308"/>
      <c r="FQT483" s="308"/>
      <c r="FQU483" s="308"/>
      <c r="FQV483" s="308"/>
      <c r="FQW483" s="308"/>
      <c r="FQX483" s="308"/>
      <c r="FQY483" s="308"/>
      <c r="FQZ483" s="308"/>
      <c r="FRA483" s="308"/>
      <c r="FRB483" s="308"/>
      <c r="FRC483" s="308"/>
      <c r="FRD483" s="308"/>
      <c r="FRE483" s="308"/>
      <c r="FRF483" s="308"/>
      <c r="FRG483" s="308"/>
      <c r="FRH483" s="308"/>
      <c r="FRI483" s="308"/>
      <c r="FRJ483" s="308"/>
      <c r="FRK483" s="308"/>
      <c r="FRL483" s="308"/>
      <c r="FRM483" s="308"/>
      <c r="FRN483" s="308"/>
      <c r="FRO483" s="308"/>
      <c r="FRP483" s="308"/>
      <c r="FRQ483" s="308"/>
      <c r="FRR483" s="308"/>
      <c r="FRS483" s="308"/>
      <c r="FRT483" s="308"/>
      <c r="FRU483" s="308"/>
      <c r="FRV483" s="308"/>
      <c r="FRW483" s="308"/>
      <c r="FRX483" s="308"/>
      <c r="FRY483" s="308"/>
      <c r="FRZ483" s="308"/>
      <c r="FSA483" s="308"/>
      <c r="FSB483" s="308"/>
      <c r="FSC483" s="308"/>
      <c r="FSD483" s="308"/>
      <c r="FSE483" s="308"/>
      <c r="FSF483" s="308"/>
      <c r="FSG483" s="308"/>
      <c r="FSH483" s="308"/>
      <c r="FSI483" s="308"/>
      <c r="FSJ483" s="308"/>
      <c r="FSK483" s="308"/>
      <c r="FSL483" s="308"/>
      <c r="FSM483" s="308"/>
      <c r="FSN483" s="308"/>
      <c r="FSO483" s="308"/>
      <c r="FSP483" s="308"/>
      <c r="FSQ483" s="308"/>
      <c r="FSR483" s="308"/>
      <c r="FSS483" s="308"/>
      <c r="FST483" s="308"/>
      <c r="FSU483" s="308"/>
      <c r="FSV483" s="308"/>
      <c r="FSW483" s="308"/>
      <c r="FSX483" s="308"/>
      <c r="FSY483" s="308"/>
      <c r="FSZ483" s="308"/>
      <c r="FTA483" s="308"/>
      <c r="FTB483" s="308"/>
      <c r="FTC483" s="308"/>
      <c r="FTD483" s="308"/>
      <c r="FTE483" s="308"/>
      <c r="FTF483" s="308"/>
      <c r="FTG483" s="308"/>
      <c r="FTH483" s="308"/>
      <c r="FTI483" s="308"/>
      <c r="FTJ483" s="308"/>
      <c r="FTK483" s="308"/>
      <c r="FTL483" s="308"/>
      <c r="FTM483" s="308"/>
      <c r="FTN483" s="308"/>
      <c r="FTO483" s="308"/>
      <c r="FTP483" s="308"/>
      <c r="FTQ483" s="308"/>
      <c r="FTR483" s="308"/>
      <c r="FTS483" s="308"/>
      <c r="FTT483" s="308"/>
      <c r="FTU483" s="308"/>
      <c r="FTV483" s="308"/>
      <c r="FTW483" s="308"/>
      <c r="FTX483" s="308"/>
      <c r="FTY483" s="308"/>
      <c r="FTZ483" s="308"/>
      <c r="FUA483" s="308"/>
      <c r="FUB483" s="308"/>
      <c r="FUC483" s="308"/>
      <c r="FUD483" s="308"/>
      <c r="FUE483" s="308"/>
      <c r="FUF483" s="308"/>
      <c r="FUG483" s="308"/>
      <c r="FUH483" s="308"/>
      <c r="FUI483" s="308"/>
      <c r="FUJ483" s="308"/>
      <c r="FUK483" s="308"/>
      <c r="FUL483" s="308"/>
      <c r="FUM483" s="308"/>
      <c r="FUN483" s="308"/>
      <c r="FUO483" s="308"/>
      <c r="FUP483" s="308"/>
      <c r="FUQ483" s="308"/>
      <c r="FUR483" s="308"/>
      <c r="FUS483" s="308"/>
      <c r="FUT483" s="308"/>
      <c r="FUU483" s="308"/>
      <c r="FUV483" s="308"/>
      <c r="FUW483" s="308"/>
      <c r="FUX483" s="308"/>
      <c r="FUY483" s="308"/>
      <c r="FUZ483" s="308"/>
      <c r="FVA483" s="308"/>
      <c r="FVB483" s="308"/>
      <c r="FVC483" s="308"/>
      <c r="FVD483" s="308"/>
      <c r="FVE483" s="308"/>
      <c r="FVF483" s="308"/>
      <c r="FVG483" s="308"/>
      <c r="FVH483" s="308"/>
      <c r="FVI483" s="308"/>
      <c r="FVJ483" s="308"/>
      <c r="FVK483" s="308"/>
      <c r="FVL483" s="308"/>
      <c r="FVM483" s="308"/>
      <c r="FVN483" s="308"/>
      <c r="FVO483" s="308"/>
      <c r="FVP483" s="308"/>
      <c r="FVQ483" s="308"/>
      <c r="FVR483" s="308"/>
      <c r="FVS483" s="308"/>
      <c r="FVT483" s="308"/>
      <c r="FVU483" s="308"/>
      <c r="FVV483" s="308"/>
      <c r="FVW483" s="308"/>
      <c r="FVX483" s="308"/>
      <c r="FVY483" s="308"/>
      <c r="FVZ483" s="308"/>
      <c r="FWA483" s="308"/>
      <c r="FWB483" s="308"/>
      <c r="FWC483" s="308"/>
      <c r="FWD483" s="308"/>
      <c r="FWE483" s="308"/>
      <c r="FWF483" s="308"/>
      <c r="FWG483" s="308"/>
      <c r="FWH483" s="308"/>
      <c r="FWI483" s="308"/>
      <c r="FWJ483" s="308"/>
      <c r="FWK483" s="308"/>
      <c r="FWL483" s="308"/>
      <c r="FWM483" s="308"/>
      <c r="FWN483" s="308"/>
      <c r="FWO483" s="308"/>
      <c r="FWP483" s="308"/>
      <c r="FWQ483" s="308"/>
      <c r="FWR483" s="308"/>
      <c r="FWS483" s="308"/>
      <c r="FWT483" s="308"/>
      <c r="FWU483" s="308"/>
      <c r="FWV483" s="308"/>
      <c r="FWW483" s="308"/>
      <c r="FWX483" s="308"/>
      <c r="FWY483" s="308"/>
      <c r="FWZ483" s="308"/>
      <c r="FXA483" s="308"/>
      <c r="FXB483" s="308"/>
      <c r="FXC483" s="308"/>
      <c r="FXD483" s="308"/>
      <c r="FXE483" s="308"/>
      <c r="FXF483" s="308"/>
      <c r="FXG483" s="308"/>
      <c r="FXH483" s="308"/>
      <c r="FXI483" s="308"/>
      <c r="FXJ483" s="308"/>
      <c r="FXK483" s="308"/>
      <c r="FXL483" s="308"/>
      <c r="FXM483" s="308"/>
      <c r="FXN483" s="308"/>
      <c r="FXO483" s="308"/>
      <c r="FXP483" s="308"/>
      <c r="FXQ483" s="308"/>
      <c r="FXR483" s="308"/>
      <c r="FXS483" s="308"/>
      <c r="FXT483" s="308"/>
      <c r="FXU483" s="308"/>
      <c r="FXV483" s="308"/>
      <c r="FXW483" s="308"/>
      <c r="FXX483" s="308"/>
      <c r="FXY483" s="308"/>
      <c r="FXZ483" s="308"/>
      <c r="FYA483" s="308"/>
      <c r="FYB483" s="308"/>
      <c r="FYC483" s="308"/>
      <c r="FYD483" s="308"/>
      <c r="FYE483" s="308"/>
      <c r="FYF483" s="308"/>
      <c r="FYG483" s="308"/>
      <c r="FYH483" s="308"/>
      <c r="FYI483" s="308"/>
      <c r="FYJ483" s="308"/>
      <c r="FYK483" s="308"/>
      <c r="FYL483" s="308"/>
      <c r="FYM483" s="308"/>
      <c r="FYN483" s="308"/>
      <c r="FYO483" s="308"/>
      <c r="FYP483" s="308"/>
      <c r="FYQ483" s="308"/>
      <c r="FYR483" s="308"/>
      <c r="FYS483" s="308"/>
      <c r="FYT483" s="308"/>
      <c r="FYU483" s="308"/>
      <c r="FYV483" s="308"/>
      <c r="FYW483" s="308"/>
      <c r="FYX483" s="308"/>
      <c r="FYY483" s="308"/>
      <c r="FYZ483" s="308"/>
      <c r="FZA483" s="308"/>
      <c r="FZB483" s="308"/>
      <c r="FZC483" s="308"/>
      <c r="FZD483" s="308"/>
      <c r="FZE483" s="308"/>
      <c r="FZF483" s="308"/>
      <c r="FZG483" s="308"/>
      <c r="FZH483" s="308"/>
      <c r="FZI483" s="308"/>
      <c r="FZJ483" s="308"/>
      <c r="FZK483" s="308"/>
      <c r="FZL483" s="308"/>
      <c r="FZM483" s="308"/>
      <c r="FZN483" s="308"/>
      <c r="FZO483" s="308"/>
      <c r="FZP483" s="308"/>
      <c r="FZQ483" s="308"/>
      <c r="FZR483" s="308"/>
      <c r="FZS483" s="308"/>
      <c r="FZT483" s="308"/>
      <c r="FZU483" s="308"/>
      <c r="FZV483" s="308"/>
      <c r="FZW483" s="308"/>
      <c r="FZX483" s="308"/>
      <c r="FZY483" s="308"/>
      <c r="FZZ483" s="308"/>
      <c r="GAA483" s="308"/>
      <c r="GAB483" s="308"/>
      <c r="GAC483" s="308"/>
      <c r="GAD483" s="308"/>
      <c r="GAE483" s="308"/>
      <c r="GAF483" s="308"/>
      <c r="GAG483" s="308"/>
      <c r="GAH483" s="308"/>
      <c r="GAI483" s="308"/>
      <c r="GAJ483" s="308"/>
      <c r="GAK483" s="308"/>
      <c r="GAL483" s="308"/>
      <c r="GAM483" s="308"/>
      <c r="GAN483" s="308"/>
      <c r="GAO483" s="308"/>
      <c r="GAP483" s="308"/>
      <c r="GAQ483" s="308"/>
      <c r="GAR483" s="308"/>
      <c r="GAS483" s="308"/>
      <c r="GAT483" s="308"/>
      <c r="GAU483" s="308"/>
      <c r="GAV483" s="308"/>
      <c r="GAW483" s="308"/>
      <c r="GAX483" s="308"/>
      <c r="GAY483" s="308"/>
      <c r="GAZ483" s="308"/>
      <c r="GBA483" s="308"/>
      <c r="GBB483" s="308"/>
      <c r="GBC483" s="308"/>
      <c r="GBD483" s="308"/>
      <c r="GBE483" s="308"/>
      <c r="GBF483" s="308"/>
      <c r="GBG483" s="308"/>
      <c r="GBH483" s="308"/>
      <c r="GBI483" s="308"/>
      <c r="GBJ483" s="308"/>
      <c r="GBK483" s="308"/>
      <c r="GBL483" s="308"/>
      <c r="GBM483" s="308"/>
      <c r="GBN483" s="308"/>
      <c r="GBO483" s="308"/>
      <c r="GBP483" s="308"/>
      <c r="GBQ483" s="308"/>
      <c r="GBR483" s="308"/>
      <c r="GBS483" s="308"/>
      <c r="GBT483" s="308"/>
      <c r="GBU483" s="308"/>
      <c r="GBV483" s="308"/>
      <c r="GBW483" s="308"/>
      <c r="GBX483" s="308"/>
      <c r="GBY483" s="308"/>
      <c r="GBZ483" s="308"/>
      <c r="GCA483" s="308"/>
      <c r="GCB483" s="308"/>
      <c r="GCC483" s="308"/>
      <c r="GCD483" s="308"/>
      <c r="GCE483" s="308"/>
      <c r="GCF483" s="308"/>
      <c r="GCG483" s="308"/>
      <c r="GCH483" s="308"/>
      <c r="GCI483" s="308"/>
      <c r="GCJ483" s="308"/>
      <c r="GCK483" s="308"/>
      <c r="GCL483" s="308"/>
      <c r="GCM483" s="308"/>
      <c r="GCN483" s="308"/>
      <c r="GCO483" s="308"/>
      <c r="GCP483" s="308"/>
      <c r="GCQ483" s="308"/>
      <c r="GCR483" s="308"/>
      <c r="GCS483" s="308"/>
      <c r="GCT483" s="308"/>
      <c r="GCU483" s="308"/>
      <c r="GCV483" s="308"/>
      <c r="GCW483" s="308"/>
      <c r="GCX483" s="308"/>
      <c r="GCY483" s="308"/>
      <c r="GCZ483" s="308"/>
      <c r="GDA483" s="308"/>
      <c r="GDB483" s="308"/>
      <c r="GDC483" s="308"/>
      <c r="GDD483" s="308"/>
      <c r="GDE483" s="308"/>
      <c r="GDF483" s="308"/>
      <c r="GDG483" s="308"/>
      <c r="GDH483" s="308"/>
      <c r="GDI483" s="308"/>
      <c r="GDJ483" s="308"/>
      <c r="GDK483" s="308"/>
      <c r="GDL483" s="308"/>
      <c r="GDM483" s="308"/>
      <c r="GDN483" s="308"/>
      <c r="GDO483" s="308"/>
      <c r="GDP483" s="308"/>
      <c r="GDQ483" s="308"/>
      <c r="GDR483" s="308"/>
      <c r="GDS483" s="308"/>
      <c r="GDT483" s="308"/>
      <c r="GDU483" s="308"/>
      <c r="GDV483" s="308"/>
      <c r="GDW483" s="308"/>
      <c r="GDX483" s="308"/>
      <c r="GDY483" s="308"/>
      <c r="GDZ483" s="308"/>
      <c r="GEA483" s="308"/>
      <c r="GEB483" s="308"/>
      <c r="GEC483" s="308"/>
      <c r="GED483" s="308"/>
      <c r="GEE483" s="308"/>
      <c r="GEF483" s="308"/>
      <c r="GEG483" s="308"/>
      <c r="GEH483" s="308"/>
      <c r="GEI483" s="308"/>
      <c r="GEJ483" s="308"/>
      <c r="GEK483" s="308"/>
      <c r="GEL483" s="308"/>
      <c r="GEM483" s="308"/>
      <c r="GEN483" s="308"/>
      <c r="GEO483" s="308"/>
      <c r="GEP483" s="308"/>
      <c r="GEQ483" s="308"/>
      <c r="GER483" s="308"/>
      <c r="GES483" s="308"/>
      <c r="GET483" s="308"/>
      <c r="GEU483" s="308"/>
      <c r="GEV483" s="308"/>
      <c r="GEW483" s="308"/>
      <c r="GEX483" s="308"/>
      <c r="GEY483" s="308"/>
      <c r="GEZ483" s="308"/>
      <c r="GFA483" s="308"/>
      <c r="GFB483" s="308"/>
      <c r="GFC483" s="308"/>
      <c r="GFD483" s="308"/>
      <c r="GFE483" s="308"/>
      <c r="GFF483" s="308"/>
      <c r="GFG483" s="308"/>
      <c r="GFH483" s="308"/>
      <c r="GFI483" s="308"/>
      <c r="GFJ483" s="308"/>
      <c r="GFK483" s="308"/>
      <c r="GFL483" s="308"/>
      <c r="GFM483" s="308"/>
      <c r="GFN483" s="308"/>
      <c r="GFO483" s="308"/>
      <c r="GFP483" s="308"/>
      <c r="GFQ483" s="308"/>
      <c r="GFR483" s="308"/>
      <c r="GFS483" s="308"/>
      <c r="GFT483" s="308"/>
      <c r="GFU483" s="308"/>
      <c r="GFV483" s="308"/>
      <c r="GFW483" s="308"/>
      <c r="GFX483" s="308"/>
      <c r="GFY483" s="308"/>
      <c r="GFZ483" s="308"/>
      <c r="GGA483" s="308"/>
      <c r="GGB483" s="308"/>
      <c r="GGC483" s="308"/>
      <c r="GGD483" s="308"/>
      <c r="GGE483" s="308"/>
      <c r="GGF483" s="308"/>
      <c r="GGG483" s="308"/>
      <c r="GGH483" s="308"/>
      <c r="GGI483" s="308"/>
      <c r="GGJ483" s="308"/>
      <c r="GGK483" s="308"/>
      <c r="GGL483" s="308"/>
      <c r="GGM483" s="308"/>
      <c r="GGN483" s="308"/>
      <c r="GGO483" s="308"/>
      <c r="GGP483" s="308"/>
      <c r="GGQ483" s="308"/>
      <c r="GGR483" s="308"/>
      <c r="GGS483" s="308"/>
      <c r="GGT483" s="308"/>
      <c r="GGU483" s="308"/>
      <c r="GGV483" s="308"/>
      <c r="GGW483" s="308"/>
      <c r="GGX483" s="308"/>
      <c r="GGY483" s="308"/>
      <c r="GGZ483" s="308"/>
      <c r="GHA483" s="308"/>
      <c r="GHB483" s="308"/>
      <c r="GHC483" s="308"/>
      <c r="GHD483" s="308"/>
      <c r="GHE483" s="308"/>
      <c r="GHF483" s="308"/>
      <c r="GHG483" s="308"/>
      <c r="GHH483" s="308"/>
      <c r="GHI483" s="308"/>
      <c r="GHJ483" s="308"/>
      <c r="GHK483" s="308"/>
      <c r="GHL483" s="308"/>
      <c r="GHM483" s="308"/>
      <c r="GHN483" s="308"/>
      <c r="GHO483" s="308"/>
      <c r="GHP483" s="308"/>
      <c r="GHQ483" s="308"/>
      <c r="GHR483" s="308"/>
      <c r="GHS483" s="308"/>
      <c r="GHT483" s="308"/>
      <c r="GHU483" s="308"/>
      <c r="GHV483" s="308"/>
      <c r="GHW483" s="308"/>
      <c r="GHX483" s="308"/>
      <c r="GHY483" s="308"/>
      <c r="GHZ483" s="308"/>
      <c r="GIA483" s="308"/>
      <c r="GIB483" s="308"/>
      <c r="GIC483" s="308"/>
      <c r="GID483" s="308"/>
      <c r="GIE483" s="308"/>
      <c r="GIF483" s="308"/>
      <c r="GIG483" s="308"/>
      <c r="GIH483" s="308"/>
      <c r="GII483" s="308"/>
      <c r="GIJ483" s="308"/>
      <c r="GIK483" s="308"/>
      <c r="GIL483" s="308"/>
      <c r="GIM483" s="308"/>
      <c r="GIN483" s="308"/>
      <c r="GIO483" s="308"/>
      <c r="GIP483" s="308"/>
      <c r="GIQ483" s="308"/>
      <c r="GIR483" s="308"/>
      <c r="GIS483" s="308"/>
      <c r="GIT483" s="308"/>
      <c r="GIU483" s="308"/>
      <c r="GIV483" s="308"/>
      <c r="GIW483" s="308"/>
      <c r="GIX483" s="308"/>
      <c r="GIY483" s="308"/>
      <c r="GIZ483" s="308"/>
      <c r="GJA483" s="308"/>
      <c r="GJB483" s="308"/>
      <c r="GJC483" s="308"/>
      <c r="GJD483" s="308"/>
      <c r="GJE483" s="308"/>
      <c r="GJF483" s="308"/>
      <c r="GJG483" s="308"/>
      <c r="GJH483" s="308"/>
      <c r="GJI483" s="308"/>
      <c r="GJJ483" s="308"/>
      <c r="GJK483" s="308"/>
      <c r="GJL483" s="308"/>
      <c r="GJM483" s="308"/>
      <c r="GJN483" s="308"/>
      <c r="GJO483" s="308"/>
      <c r="GJP483" s="308"/>
      <c r="GJQ483" s="308"/>
      <c r="GJR483" s="308"/>
      <c r="GJS483" s="308"/>
      <c r="GJT483" s="308"/>
      <c r="GJU483" s="308"/>
      <c r="GJV483" s="308"/>
      <c r="GJW483" s="308"/>
      <c r="GJX483" s="308"/>
      <c r="GJY483" s="308"/>
      <c r="GJZ483" s="308"/>
      <c r="GKA483" s="308"/>
      <c r="GKB483" s="308"/>
      <c r="GKC483" s="308"/>
      <c r="GKD483" s="308"/>
      <c r="GKE483" s="308"/>
      <c r="GKF483" s="308"/>
      <c r="GKG483" s="308"/>
      <c r="GKH483" s="308"/>
      <c r="GKI483" s="308"/>
      <c r="GKJ483" s="308"/>
      <c r="GKK483" s="308"/>
      <c r="GKL483" s="308"/>
      <c r="GKM483" s="308"/>
      <c r="GKN483" s="308"/>
      <c r="GKO483" s="308"/>
      <c r="GKP483" s="308"/>
      <c r="GKQ483" s="308"/>
      <c r="GKR483" s="308"/>
      <c r="GKS483" s="308"/>
      <c r="GKT483" s="308"/>
      <c r="GKU483" s="308"/>
      <c r="GKV483" s="308"/>
      <c r="GKW483" s="308"/>
      <c r="GKX483" s="308"/>
      <c r="GKY483" s="308"/>
      <c r="GKZ483" s="308"/>
      <c r="GLA483" s="308"/>
      <c r="GLB483" s="308"/>
      <c r="GLC483" s="308"/>
      <c r="GLD483" s="308"/>
      <c r="GLE483" s="308"/>
      <c r="GLF483" s="308"/>
      <c r="GLG483" s="308"/>
      <c r="GLH483" s="308"/>
      <c r="GLI483" s="308"/>
      <c r="GLJ483" s="308"/>
      <c r="GLK483" s="308"/>
      <c r="GLL483" s="308"/>
      <c r="GLM483" s="308"/>
      <c r="GLN483" s="308"/>
      <c r="GLO483" s="308"/>
      <c r="GLP483" s="308"/>
      <c r="GLQ483" s="308"/>
      <c r="GLR483" s="308"/>
      <c r="GLS483" s="308"/>
      <c r="GLT483" s="308"/>
      <c r="GLU483" s="308"/>
      <c r="GLV483" s="308"/>
      <c r="GLW483" s="308"/>
      <c r="GLX483" s="308"/>
      <c r="GLY483" s="308"/>
      <c r="GLZ483" s="308"/>
      <c r="GMA483" s="308"/>
      <c r="GMB483" s="308"/>
      <c r="GMC483" s="308"/>
      <c r="GMD483" s="308"/>
      <c r="GME483" s="308"/>
      <c r="GMF483" s="308"/>
      <c r="GMG483" s="308"/>
      <c r="GMH483" s="308"/>
      <c r="GMI483" s="308"/>
      <c r="GMJ483" s="308"/>
      <c r="GMK483" s="308"/>
      <c r="GML483" s="308"/>
      <c r="GMM483" s="308"/>
      <c r="GMN483" s="308"/>
      <c r="GMO483" s="308"/>
      <c r="GMP483" s="308"/>
      <c r="GMQ483" s="308"/>
      <c r="GMR483" s="308"/>
      <c r="GMS483" s="308"/>
      <c r="GMT483" s="308"/>
      <c r="GMU483" s="308"/>
      <c r="GMV483" s="308"/>
      <c r="GMW483" s="308"/>
      <c r="GMX483" s="308"/>
      <c r="GMY483" s="308"/>
      <c r="GMZ483" s="308"/>
      <c r="GNA483" s="308"/>
      <c r="GNB483" s="308"/>
      <c r="GNC483" s="308"/>
      <c r="GND483" s="308"/>
      <c r="GNE483" s="308"/>
      <c r="GNF483" s="308"/>
      <c r="GNG483" s="308"/>
      <c r="GNH483" s="308"/>
      <c r="GNI483" s="308"/>
      <c r="GNJ483" s="308"/>
      <c r="GNK483" s="308"/>
      <c r="GNL483" s="308"/>
      <c r="GNM483" s="308"/>
      <c r="GNN483" s="308"/>
      <c r="GNO483" s="308"/>
      <c r="GNP483" s="308"/>
      <c r="GNQ483" s="308"/>
      <c r="GNR483" s="308"/>
      <c r="GNS483" s="308"/>
      <c r="GNT483" s="308"/>
      <c r="GNU483" s="308"/>
      <c r="GNV483" s="308"/>
      <c r="GNW483" s="308"/>
      <c r="GNX483" s="308"/>
      <c r="GNY483" s="308"/>
      <c r="GNZ483" s="308"/>
      <c r="GOA483" s="308"/>
      <c r="GOB483" s="308"/>
      <c r="GOC483" s="308"/>
      <c r="GOD483" s="308"/>
      <c r="GOE483" s="308"/>
      <c r="GOF483" s="308"/>
      <c r="GOG483" s="308"/>
      <c r="GOH483" s="308"/>
      <c r="GOI483" s="308"/>
      <c r="GOJ483" s="308"/>
      <c r="GOK483" s="308"/>
      <c r="GOL483" s="308"/>
      <c r="GOM483" s="308"/>
      <c r="GON483" s="308"/>
      <c r="GOO483" s="308"/>
      <c r="GOP483" s="308"/>
      <c r="GOQ483" s="308"/>
      <c r="GOR483" s="308"/>
      <c r="GOS483" s="308"/>
      <c r="GOT483" s="308"/>
      <c r="GOU483" s="308"/>
      <c r="GOV483" s="308"/>
      <c r="GOW483" s="308"/>
      <c r="GOX483" s="308"/>
      <c r="GOY483" s="308"/>
      <c r="GOZ483" s="308"/>
      <c r="GPA483" s="308"/>
      <c r="GPB483" s="308"/>
      <c r="GPC483" s="308"/>
      <c r="GPD483" s="308"/>
      <c r="GPE483" s="308"/>
      <c r="GPF483" s="308"/>
      <c r="GPG483" s="308"/>
      <c r="GPH483" s="308"/>
      <c r="GPI483" s="308"/>
      <c r="GPJ483" s="308"/>
      <c r="GPK483" s="308"/>
      <c r="GPL483" s="308"/>
      <c r="GPM483" s="308"/>
      <c r="GPN483" s="308"/>
      <c r="GPO483" s="308"/>
      <c r="GPP483" s="308"/>
      <c r="GPQ483" s="308"/>
      <c r="GPR483" s="308"/>
      <c r="GPS483" s="308"/>
      <c r="GPT483" s="308"/>
      <c r="GPU483" s="308"/>
      <c r="GPV483" s="308"/>
      <c r="GPW483" s="308"/>
      <c r="GPX483" s="308"/>
      <c r="GPY483" s="308"/>
      <c r="GPZ483" s="308"/>
      <c r="GQA483" s="308"/>
      <c r="GQB483" s="308"/>
      <c r="GQC483" s="308"/>
      <c r="GQD483" s="308"/>
      <c r="GQE483" s="308"/>
      <c r="GQF483" s="308"/>
      <c r="GQG483" s="308"/>
      <c r="GQH483" s="308"/>
      <c r="GQI483" s="308"/>
      <c r="GQJ483" s="308"/>
      <c r="GQK483" s="308"/>
      <c r="GQL483" s="308"/>
      <c r="GQM483" s="308"/>
      <c r="GQN483" s="308"/>
      <c r="GQO483" s="308"/>
      <c r="GQP483" s="308"/>
      <c r="GQQ483" s="308"/>
      <c r="GQR483" s="308"/>
      <c r="GQS483" s="308"/>
      <c r="GQT483" s="308"/>
      <c r="GQU483" s="308"/>
      <c r="GQV483" s="308"/>
      <c r="GQW483" s="308"/>
      <c r="GQX483" s="308"/>
      <c r="GQY483" s="308"/>
      <c r="GQZ483" s="308"/>
      <c r="GRA483" s="308"/>
      <c r="GRB483" s="308"/>
      <c r="GRC483" s="308"/>
      <c r="GRD483" s="308"/>
      <c r="GRE483" s="308"/>
      <c r="GRF483" s="308"/>
      <c r="GRG483" s="308"/>
      <c r="GRH483" s="308"/>
      <c r="GRI483" s="308"/>
      <c r="GRJ483" s="308"/>
      <c r="GRK483" s="308"/>
      <c r="GRL483" s="308"/>
      <c r="GRM483" s="308"/>
      <c r="GRN483" s="308"/>
      <c r="GRO483" s="308"/>
      <c r="GRP483" s="308"/>
      <c r="GRQ483" s="308"/>
      <c r="GRR483" s="308"/>
      <c r="GRS483" s="308"/>
      <c r="GRT483" s="308"/>
      <c r="GRU483" s="308"/>
      <c r="GRV483" s="308"/>
      <c r="GRW483" s="308"/>
      <c r="GRX483" s="308"/>
      <c r="GRY483" s="308"/>
      <c r="GRZ483" s="308"/>
      <c r="GSA483" s="308"/>
      <c r="GSB483" s="308"/>
      <c r="GSC483" s="308"/>
      <c r="GSD483" s="308"/>
      <c r="GSE483" s="308"/>
      <c r="GSF483" s="308"/>
      <c r="GSG483" s="308"/>
      <c r="GSH483" s="308"/>
      <c r="GSI483" s="308"/>
      <c r="GSJ483" s="308"/>
      <c r="GSK483" s="308"/>
      <c r="GSL483" s="308"/>
      <c r="GSM483" s="308"/>
      <c r="GSN483" s="308"/>
      <c r="GSO483" s="308"/>
      <c r="GSP483" s="308"/>
      <c r="GSQ483" s="308"/>
      <c r="GSR483" s="308"/>
      <c r="GSS483" s="308"/>
      <c r="GST483" s="308"/>
      <c r="GSU483" s="308"/>
      <c r="GSV483" s="308"/>
      <c r="GSW483" s="308"/>
      <c r="GSX483" s="308"/>
      <c r="GSY483" s="308"/>
      <c r="GSZ483" s="308"/>
      <c r="GTA483" s="308"/>
      <c r="GTB483" s="308"/>
      <c r="GTC483" s="308"/>
      <c r="GTD483" s="308"/>
      <c r="GTE483" s="308"/>
      <c r="GTF483" s="308"/>
      <c r="GTG483" s="308"/>
      <c r="GTH483" s="308"/>
      <c r="GTI483" s="308"/>
      <c r="GTJ483" s="308"/>
      <c r="GTK483" s="308"/>
      <c r="GTL483" s="308"/>
      <c r="GTM483" s="308"/>
      <c r="GTN483" s="308"/>
      <c r="GTO483" s="308"/>
      <c r="GTP483" s="308"/>
      <c r="GTQ483" s="308"/>
      <c r="GTR483" s="308"/>
      <c r="GTS483" s="308"/>
      <c r="GTT483" s="308"/>
      <c r="GTU483" s="308"/>
      <c r="GTV483" s="308"/>
      <c r="GTW483" s="308"/>
      <c r="GTX483" s="308"/>
      <c r="GTY483" s="308"/>
      <c r="GTZ483" s="308"/>
      <c r="GUA483" s="308"/>
      <c r="GUB483" s="308"/>
      <c r="GUC483" s="308"/>
      <c r="GUD483" s="308"/>
      <c r="GUE483" s="308"/>
      <c r="GUF483" s="308"/>
      <c r="GUG483" s="308"/>
      <c r="GUH483" s="308"/>
      <c r="GUI483" s="308"/>
      <c r="GUJ483" s="308"/>
      <c r="GUK483" s="308"/>
      <c r="GUL483" s="308"/>
      <c r="GUM483" s="308"/>
      <c r="GUN483" s="308"/>
      <c r="GUO483" s="308"/>
      <c r="GUP483" s="308"/>
      <c r="GUQ483" s="308"/>
      <c r="GUR483" s="308"/>
      <c r="GUS483" s="308"/>
      <c r="GUT483" s="308"/>
      <c r="GUU483" s="308"/>
      <c r="GUV483" s="308"/>
      <c r="GUW483" s="308"/>
      <c r="GUX483" s="308"/>
      <c r="GUY483" s="308"/>
      <c r="GUZ483" s="308"/>
      <c r="GVA483" s="308"/>
      <c r="GVB483" s="308"/>
      <c r="GVC483" s="308"/>
      <c r="GVD483" s="308"/>
      <c r="GVE483" s="308"/>
      <c r="GVF483" s="308"/>
      <c r="GVG483" s="308"/>
      <c r="GVH483" s="308"/>
      <c r="GVI483" s="308"/>
      <c r="GVJ483" s="308"/>
      <c r="GVK483" s="308"/>
      <c r="GVL483" s="308"/>
      <c r="GVM483" s="308"/>
      <c r="GVN483" s="308"/>
      <c r="GVO483" s="308"/>
      <c r="GVP483" s="308"/>
      <c r="GVQ483" s="308"/>
      <c r="GVR483" s="308"/>
      <c r="GVS483" s="308"/>
      <c r="GVT483" s="308"/>
      <c r="GVU483" s="308"/>
      <c r="GVV483" s="308"/>
      <c r="GVW483" s="308"/>
      <c r="GVX483" s="308"/>
      <c r="GVY483" s="308"/>
      <c r="GVZ483" s="308"/>
      <c r="GWA483" s="308"/>
      <c r="GWB483" s="308"/>
      <c r="GWC483" s="308"/>
      <c r="GWD483" s="308"/>
      <c r="GWE483" s="308"/>
      <c r="GWF483" s="308"/>
      <c r="GWG483" s="308"/>
      <c r="GWH483" s="308"/>
      <c r="GWI483" s="308"/>
      <c r="GWJ483" s="308"/>
      <c r="GWK483" s="308"/>
      <c r="GWL483" s="308"/>
      <c r="GWM483" s="308"/>
      <c r="GWN483" s="308"/>
      <c r="GWO483" s="308"/>
      <c r="GWP483" s="308"/>
      <c r="GWQ483" s="308"/>
      <c r="GWR483" s="308"/>
      <c r="GWS483" s="308"/>
      <c r="GWT483" s="308"/>
      <c r="GWU483" s="308"/>
      <c r="GWV483" s="308"/>
      <c r="GWW483" s="308"/>
      <c r="GWX483" s="308"/>
      <c r="GWY483" s="308"/>
      <c r="GWZ483" s="308"/>
      <c r="GXA483" s="308"/>
      <c r="GXB483" s="308"/>
      <c r="GXC483" s="308"/>
      <c r="GXD483" s="308"/>
      <c r="GXE483" s="308"/>
      <c r="GXF483" s="308"/>
      <c r="GXG483" s="308"/>
      <c r="GXH483" s="308"/>
      <c r="GXI483" s="308"/>
      <c r="GXJ483" s="308"/>
      <c r="GXK483" s="308"/>
      <c r="GXL483" s="308"/>
      <c r="GXM483" s="308"/>
      <c r="GXN483" s="308"/>
      <c r="GXO483" s="308"/>
      <c r="GXP483" s="308"/>
      <c r="GXQ483" s="308"/>
      <c r="GXR483" s="308"/>
      <c r="GXS483" s="308"/>
      <c r="GXT483" s="308"/>
      <c r="GXU483" s="308"/>
      <c r="GXV483" s="308"/>
      <c r="GXW483" s="308"/>
      <c r="GXX483" s="308"/>
      <c r="GXY483" s="308"/>
      <c r="GXZ483" s="308"/>
      <c r="GYA483" s="308"/>
      <c r="GYB483" s="308"/>
      <c r="GYC483" s="308"/>
      <c r="GYD483" s="308"/>
      <c r="GYE483" s="308"/>
      <c r="GYF483" s="308"/>
      <c r="GYG483" s="308"/>
      <c r="GYH483" s="308"/>
      <c r="GYI483" s="308"/>
      <c r="GYJ483" s="308"/>
      <c r="GYK483" s="308"/>
      <c r="GYL483" s="308"/>
      <c r="GYM483" s="308"/>
      <c r="GYN483" s="308"/>
      <c r="GYO483" s="308"/>
      <c r="GYP483" s="308"/>
      <c r="GYQ483" s="308"/>
      <c r="GYR483" s="308"/>
      <c r="GYS483" s="308"/>
      <c r="GYT483" s="308"/>
      <c r="GYU483" s="308"/>
      <c r="GYV483" s="308"/>
      <c r="GYW483" s="308"/>
      <c r="GYX483" s="308"/>
      <c r="GYY483" s="308"/>
      <c r="GYZ483" s="308"/>
      <c r="GZA483" s="308"/>
      <c r="GZB483" s="308"/>
      <c r="GZC483" s="308"/>
      <c r="GZD483" s="308"/>
      <c r="GZE483" s="308"/>
      <c r="GZF483" s="308"/>
      <c r="GZG483" s="308"/>
      <c r="GZH483" s="308"/>
      <c r="GZI483" s="308"/>
      <c r="GZJ483" s="308"/>
      <c r="GZK483" s="308"/>
      <c r="GZL483" s="308"/>
      <c r="GZM483" s="308"/>
      <c r="GZN483" s="308"/>
      <c r="GZO483" s="308"/>
      <c r="GZP483" s="308"/>
      <c r="GZQ483" s="308"/>
      <c r="GZR483" s="308"/>
      <c r="GZS483" s="308"/>
      <c r="GZT483" s="308"/>
      <c r="GZU483" s="308"/>
      <c r="GZV483" s="308"/>
      <c r="GZW483" s="308"/>
      <c r="GZX483" s="308"/>
      <c r="GZY483" s="308"/>
      <c r="GZZ483" s="308"/>
      <c r="HAA483" s="308"/>
      <c r="HAB483" s="308"/>
      <c r="HAC483" s="308"/>
      <c r="HAD483" s="308"/>
      <c r="HAE483" s="308"/>
      <c r="HAF483" s="308"/>
      <c r="HAG483" s="308"/>
      <c r="HAH483" s="308"/>
      <c r="HAI483" s="308"/>
      <c r="HAJ483" s="308"/>
      <c r="HAK483" s="308"/>
      <c r="HAL483" s="308"/>
      <c r="HAM483" s="308"/>
      <c r="HAN483" s="308"/>
      <c r="HAO483" s="308"/>
      <c r="HAP483" s="308"/>
      <c r="HAQ483" s="308"/>
      <c r="HAR483" s="308"/>
      <c r="HAS483" s="308"/>
      <c r="HAT483" s="308"/>
      <c r="HAU483" s="308"/>
      <c r="HAV483" s="308"/>
      <c r="HAW483" s="308"/>
      <c r="HAX483" s="308"/>
      <c r="HAY483" s="308"/>
      <c r="HAZ483" s="308"/>
      <c r="HBA483" s="308"/>
      <c r="HBB483" s="308"/>
      <c r="HBC483" s="308"/>
      <c r="HBD483" s="308"/>
      <c r="HBE483" s="308"/>
      <c r="HBF483" s="308"/>
      <c r="HBG483" s="308"/>
      <c r="HBH483" s="308"/>
      <c r="HBI483" s="308"/>
      <c r="HBJ483" s="308"/>
      <c r="HBK483" s="308"/>
      <c r="HBL483" s="308"/>
      <c r="HBM483" s="308"/>
      <c r="HBN483" s="308"/>
      <c r="HBO483" s="308"/>
      <c r="HBP483" s="308"/>
      <c r="HBQ483" s="308"/>
      <c r="HBR483" s="308"/>
      <c r="HBS483" s="308"/>
      <c r="HBT483" s="308"/>
      <c r="HBU483" s="308"/>
      <c r="HBV483" s="308"/>
      <c r="HBW483" s="308"/>
      <c r="HBX483" s="308"/>
      <c r="HBY483" s="308"/>
      <c r="HBZ483" s="308"/>
      <c r="HCA483" s="308"/>
      <c r="HCB483" s="308"/>
      <c r="HCC483" s="308"/>
      <c r="HCD483" s="308"/>
      <c r="HCE483" s="308"/>
      <c r="HCF483" s="308"/>
      <c r="HCG483" s="308"/>
      <c r="HCH483" s="308"/>
      <c r="HCI483" s="308"/>
      <c r="HCJ483" s="308"/>
      <c r="HCK483" s="308"/>
      <c r="HCL483" s="308"/>
      <c r="HCM483" s="308"/>
      <c r="HCN483" s="308"/>
      <c r="HCO483" s="308"/>
      <c r="HCP483" s="308"/>
      <c r="HCQ483" s="308"/>
      <c r="HCR483" s="308"/>
      <c r="HCS483" s="308"/>
      <c r="HCT483" s="308"/>
      <c r="HCU483" s="308"/>
      <c r="HCV483" s="308"/>
      <c r="HCW483" s="308"/>
      <c r="HCX483" s="308"/>
      <c r="HCY483" s="308"/>
      <c r="HCZ483" s="308"/>
      <c r="HDA483" s="308"/>
      <c r="HDB483" s="308"/>
      <c r="HDC483" s="308"/>
      <c r="HDD483" s="308"/>
      <c r="HDE483" s="308"/>
      <c r="HDF483" s="308"/>
      <c r="HDG483" s="308"/>
      <c r="HDH483" s="308"/>
      <c r="HDI483" s="308"/>
      <c r="HDJ483" s="308"/>
      <c r="HDK483" s="308"/>
      <c r="HDL483" s="308"/>
      <c r="HDM483" s="308"/>
      <c r="HDN483" s="308"/>
      <c r="HDO483" s="308"/>
      <c r="HDP483" s="308"/>
      <c r="HDQ483" s="308"/>
      <c r="HDR483" s="308"/>
      <c r="HDS483" s="308"/>
      <c r="HDT483" s="308"/>
      <c r="HDU483" s="308"/>
      <c r="HDV483" s="308"/>
      <c r="HDW483" s="308"/>
      <c r="HDX483" s="308"/>
      <c r="HDY483" s="308"/>
      <c r="HDZ483" s="308"/>
      <c r="HEA483" s="308"/>
      <c r="HEB483" s="308"/>
      <c r="HEC483" s="308"/>
      <c r="HED483" s="308"/>
      <c r="HEE483" s="308"/>
      <c r="HEF483" s="308"/>
      <c r="HEG483" s="308"/>
      <c r="HEH483" s="308"/>
      <c r="HEI483" s="308"/>
      <c r="HEJ483" s="308"/>
      <c r="HEK483" s="308"/>
      <c r="HEL483" s="308"/>
      <c r="HEM483" s="308"/>
      <c r="HEN483" s="308"/>
      <c r="HEO483" s="308"/>
      <c r="HEP483" s="308"/>
      <c r="HEQ483" s="308"/>
      <c r="HER483" s="308"/>
      <c r="HES483" s="308"/>
      <c r="HET483" s="308"/>
      <c r="HEU483" s="308"/>
      <c r="HEV483" s="308"/>
      <c r="HEW483" s="308"/>
      <c r="HEX483" s="308"/>
      <c r="HEY483" s="308"/>
      <c r="HEZ483" s="308"/>
      <c r="HFA483" s="308"/>
      <c r="HFB483" s="308"/>
      <c r="HFC483" s="308"/>
      <c r="HFD483" s="308"/>
      <c r="HFE483" s="308"/>
      <c r="HFF483" s="308"/>
      <c r="HFG483" s="308"/>
      <c r="HFH483" s="308"/>
      <c r="HFI483" s="308"/>
      <c r="HFJ483" s="308"/>
      <c r="HFK483" s="308"/>
      <c r="HFL483" s="308"/>
      <c r="HFM483" s="308"/>
      <c r="HFN483" s="308"/>
      <c r="HFO483" s="308"/>
      <c r="HFP483" s="308"/>
      <c r="HFQ483" s="308"/>
      <c r="HFR483" s="308"/>
      <c r="HFS483" s="308"/>
      <c r="HFT483" s="308"/>
      <c r="HFU483" s="308"/>
      <c r="HFV483" s="308"/>
      <c r="HFW483" s="308"/>
      <c r="HFX483" s="308"/>
      <c r="HFY483" s="308"/>
      <c r="HFZ483" s="308"/>
      <c r="HGA483" s="308"/>
      <c r="HGB483" s="308"/>
      <c r="HGC483" s="308"/>
      <c r="HGD483" s="308"/>
      <c r="HGE483" s="308"/>
      <c r="HGF483" s="308"/>
      <c r="HGG483" s="308"/>
      <c r="HGH483" s="308"/>
      <c r="HGI483" s="308"/>
      <c r="HGJ483" s="308"/>
      <c r="HGK483" s="308"/>
      <c r="HGL483" s="308"/>
      <c r="HGM483" s="308"/>
      <c r="HGN483" s="308"/>
      <c r="HGO483" s="308"/>
      <c r="HGP483" s="308"/>
      <c r="HGQ483" s="308"/>
      <c r="HGR483" s="308"/>
      <c r="HGS483" s="308"/>
      <c r="HGT483" s="308"/>
      <c r="HGU483" s="308"/>
      <c r="HGV483" s="308"/>
      <c r="HGW483" s="308"/>
      <c r="HGX483" s="308"/>
      <c r="HGY483" s="308"/>
      <c r="HGZ483" s="308"/>
      <c r="HHA483" s="308"/>
      <c r="HHB483" s="308"/>
      <c r="HHC483" s="308"/>
      <c r="HHD483" s="308"/>
      <c r="HHE483" s="308"/>
      <c r="HHF483" s="308"/>
      <c r="HHG483" s="308"/>
      <c r="HHH483" s="308"/>
      <c r="HHI483" s="308"/>
      <c r="HHJ483" s="308"/>
      <c r="HHK483" s="308"/>
      <c r="HHL483" s="308"/>
      <c r="HHM483" s="308"/>
      <c r="HHN483" s="308"/>
      <c r="HHO483" s="308"/>
      <c r="HHP483" s="308"/>
      <c r="HHQ483" s="308"/>
      <c r="HHR483" s="308"/>
      <c r="HHS483" s="308"/>
      <c r="HHT483" s="308"/>
      <c r="HHU483" s="308"/>
      <c r="HHV483" s="308"/>
      <c r="HHW483" s="308"/>
      <c r="HHX483" s="308"/>
      <c r="HHY483" s="308"/>
      <c r="HHZ483" s="308"/>
      <c r="HIA483" s="308"/>
      <c r="HIB483" s="308"/>
      <c r="HIC483" s="308"/>
      <c r="HID483" s="308"/>
      <c r="HIE483" s="308"/>
      <c r="HIF483" s="308"/>
      <c r="HIG483" s="308"/>
      <c r="HIH483" s="308"/>
      <c r="HII483" s="308"/>
      <c r="HIJ483" s="308"/>
      <c r="HIK483" s="308"/>
      <c r="HIL483" s="308"/>
      <c r="HIM483" s="308"/>
      <c r="HIN483" s="308"/>
      <c r="HIO483" s="308"/>
      <c r="HIP483" s="308"/>
      <c r="HIQ483" s="308"/>
      <c r="HIR483" s="308"/>
      <c r="HIS483" s="308"/>
      <c r="HIT483" s="308"/>
      <c r="HIU483" s="308"/>
      <c r="HIV483" s="308"/>
      <c r="HIW483" s="308"/>
      <c r="HIX483" s="308"/>
      <c r="HIY483" s="308"/>
      <c r="HIZ483" s="308"/>
      <c r="HJA483" s="308"/>
      <c r="HJB483" s="308"/>
      <c r="HJC483" s="308"/>
      <c r="HJD483" s="308"/>
      <c r="HJE483" s="308"/>
      <c r="HJF483" s="308"/>
      <c r="HJG483" s="308"/>
      <c r="HJH483" s="308"/>
      <c r="HJI483" s="308"/>
      <c r="HJJ483" s="308"/>
      <c r="HJK483" s="308"/>
      <c r="HJL483" s="308"/>
      <c r="HJM483" s="308"/>
      <c r="HJN483" s="308"/>
      <c r="HJO483" s="308"/>
      <c r="HJP483" s="308"/>
      <c r="HJQ483" s="308"/>
      <c r="HJR483" s="308"/>
      <c r="HJS483" s="308"/>
      <c r="HJT483" s="308"/>
      <c r="HJU483" s="308"/>
      <c r="HJV483" s="308"/>
      <c r="HJW483" s="308"/>
      <c r="HJX483" s="308"/>
      <c r="HJY483" s="308"/>
      <c r="HJZ483" s="308"/>
      <c r="HKA483" s="308"/>
      <c r="HKB483" s="308"/>
      <c r="HKC483" s="308"/>
      <c r="HKD483" s="308"/>
      <c r="HKE483" s="308"/>
      <c r="HKF483" s="308"/>
      <c r="HKG483" s="308"/>
      <c r="HKH483" s="308"/>
      <c r="HKI483" s="308"/>
      <c r="HKJ483" s="308"/>
      <c r="HKK483" s="308"/>
      <c r="HKL483" s="308"/>
      <c r="HKM483" s="308"/>
      <c r="HKN483" s="308"/>
      <c r="HKO483" s="308"/>
      <c r="HKP483" s="308"/>
      <c r="HKQ483" s="308"/>
      <c r="HKR483" s="308"/>
      <c r="HKS483" s="308"/>
      <c r="HKT483" s="308"/>
      <c r="HKU483" s="308"/>
      <c r="HKV483" s="308"/>
      <c r="HKW483" s="308"/>
      <c r="HKX483" s="308"/>
      <c r="HKY483" s="308"/>
      <c r="HKZ483" s="308"/>
      <c r="HLA483" s="308"/>
      <c r="HLB483" s="308"/>
      <c r="HLC483" s="308"/>
      <c r="HLD483" s="308"/>
      <c r="HLE483" s="308"/>
      <c r="HLF483" s="308"/>
      <c r="HLG483" s="308"/>
      <c r="HLH483" s="308"/>
      <c r="HLI483" s="308"/>
      <c r="HLJ483" s="308"/>
      <c r="HLK483" s="308"/>
      <c r="HLL483" s="308"/>
      <c r="HLM483" s="308"/>
      <c r="HLN483" s="308"/>
      <c r="HLO483" s="308"/>
      <c r="HLP483" s="308"/>
      <c r="HLQ483" s="308"/>
      <c r="HLR483" s="308"/>
      <c r="HLS483" s="308"/>
      <c r="HLT483" s="308"/>
      <c r="HLU483" s="308"/>
      <c r="HLV483" s="308"/>
      <c r="HLW483" s="308"/>
      <c r="HLX483" s="308"/>
      <c r="HLY483" s="308"/>
      <c r="HLZ483" s="308"/>
      <c r="HMA483" s="308"/>
      <c r="HMB483" s="308"/>
      <c r="HMC483" s="308"/>
      <c r="HMD483" s="308"/>
      <c r="HME483" s="308"/>
      <c r="HMF483" s="308"/>
      <c r="HMG483" s="308"/>
      <c r="HMH483" s="308"/>
      <c r="HMI483" s="308"/>
      <c r="HMJ483" s="308"/>
      <c r="HMK483" s="308"/>
      <c r="HML483" s="308"/>
      <c r="HMM483" s="308"/>
      <c r="HMN483" s="308"/>
      <c r="HMO483" s="308"/>
      <c r="HMP483" s="308"/>
      <c r="HMQ483" s="308"/>
      <c r="HMR483" s="308"/>
      <c r="HMS483" s="308"/>
      <c r="HMT483" s="308"/>
      <c r="HMU483" s="308"/>
      <c r="HMV483" s="308"/>
      <c r="HMW483" s="308"/>
      <c r="HMX483" s="308"/>
      <c r="HMY483" s="308"/>
      <c r="HMZ483" s="308"/>
      <c r="HNA483" s="308"/>
      <c r="HNB483" s="308"/>
      <c r="HNC483" s="308"/>
      <c r="HND483" s="308"/>
      <c r="HNE483" s="308"/>
      <c r="HNF483" s="308"/>
      <c r="HNG483" s="308"/>
      <c r="HNH483" s="308"/>
      <c r="HNI483" s="308"/>
      <c r="HNJ483" s="308"/>
      <c r="HNK483" s="308"/>
      <c r="HNL483" s="308"/>
      <c r="HNM483" s="308"/>
      <c r="HNN483" s="308"/>
      <c r="HNO483" s="308"/>
      <c r="HNP483" s="308"/>
      <c r="HNQ483" s="308"/>
      <c r="HNR483" s="308"/>
      <c r="HNS483" s="308"/>
      <c r="HNT483" s="308"/>
      <c r="HNU483" s="308"/>
      <c r="HNV483" s="308"/>
      <c r="HNW483" s="308"/>
      <c r="HNX483" s="308"/>
      <c r="HNY483" s="308"/>
      <c r="HNZ483" s="308"/>
      <c r="HOA483" s="308"/>
      <c r="HOB483" s="308"/>
      <c r="HOC483" s="308"/>
      <c r="HOD483" s="308"/>
      <c r="HOE483" s="308"/>
      <c r="HOF483" s="308"/>
      <c r="HOG483" s="308"/>
      <c r="HOH483" s="308"/>
      <c r="HOI483" s="308"/>
      <c r="HOJ483" s="308"/>
      <c r="HOK483" s="308"/>
      <c r="HOL483" s="308"/>
      <c r="HOM483" s="308"/>
      <c r="HON483" s="308"/>
      <c r="HOO483" s="308"/>
      <c r="HOP483" s="308"/>
      <c r="HOQ483" s="308"/>
      <c r="HOR483" s="308"/>
      <c r="HOS483" s="308"/>
      <c r="HOT483" s="308"/>
      <c r="HOU483" s="308"/>
      <c r="HOV483" s="308"/>
      <c r="HOW483" s="308"/>
      <c r="HOX483" s="308"/>
      <c r="HOY483" s="308"/>
      <c r="HOZ483" s="308"/>
      <c r="HPA483" s="308"/>
      <c r="HPB483" s="308"/>
      <c r="HPC483" s="308"/>
      <c r="HPD483" s="308"/>
      <c r="HPE483" s="308"/>
      <c r="HPF483" s="308"/>
      <c r="HPG483" s="308"/>
      <c r="HPH483" s="308"/>
      <c r="HPI483" s="308"/>
      <c r="HPJ483" s="308"/>
      <c r="HPK483" s="308"/>
      <c r="HPL483" s="308"/>
      <c r="HPM483" s="308"/>
      <c r="HPN483" s="308"/>
      <c r="HPO483" s="308"/>
      <c r="HPP483" s="308"/>
      <c r="HPQ483" s="308"/>
      <c r="HPR483" s="308"/>
      <c r="HPS483" s="308"/>
      <c r="HPT483" s="308"/>
      <c r="HPU483" s="308"/>
      <c r="HPV483" s="308"/>
      <c r="HPW483" s="308"/>
      <c r="HPX483" s="308"/>
      <c r="HPY483" s="308"/>
      <c r="HPZ483" s="308"/>
      <c r="HQA483" s="308"/>
      <c r="HQB483" s="308"/>
      <c r="HQC483" s="308"/>
      <c r="HQD483" s="308"/>
      <c r="HQE483" s="308"/>
      <c r="HQF483" s="308"/>
      <c r="HQG483" s="308"/>
      <c r="HQH483" s="308"/>
      <c r="HQI483" s="308"/>
      <c r="HQJ483" s="308"/>
      <c r="HQK483" s="308"/>
      <c r="HQL483" s="308"/>
      <c r="HQM483" s="308"/>
      <c r="HQN483" s="308"/>
      <c r="HQO483" s="308"/>
      <c r="HQP483" s="308"/>
      <c r="HQQ483" s="308"/>
      <c r="HQR483" s="308"/>
      <c r="HQS483" s="308"/>
      <c r="HQT483" s="308"/>
      <c r="HQU483" s="308"/>
      <c r="HQV483" s="308"/>
      <c r="HQW483" s="308"/>
      <c r="HQX483" s="308"/>
      <c r="HQY483" s="308"/>
      <c r="HQZ483" s="308"/>
      <c r="HRA483" s="308"/>
      <c r="HRB483" s="308"/>
      <c r="HRC483" s="308"/>
      <c r="HRD483" s="308"/>
      <c r="HRE483" s="308"/>
      <c r="HRF483" s="308"/>
      <c r="HRG483" s="308"/>
      <c r="HRH483" s="308"/>
      <c r="HRI483" s="308"/>
      <c r="HRJ483" s="308"/>
      <c r="HRK483" s="308"/>
      <c r="HRL483" s="308"/>
      <c r="HRM483" s="308"/>
      <c r="HRN483" s="308"/>
      <c r="HRO483" s="308"/>
      <c r="HRP483" s="308"/>
      <c r="HRQ483" s="308"/>
      <c r="HRR483" s="308"/>
      <c r="HRS483" s="308"/>
      <c r="HRT483" s="308"/>
      <c r="HRU483" s="308"/>
      <c r="HRV483" s="308"/>
      <c r="HRW483" s="308"/>
      <c r="HRX483" s="308"/>
      <c r="HRY483" s="308"/>
      <c r="HRZ483" s="308"/>
      <c r="HSA483" s="308"/>
      <c r="HSB483" s="308"/>
      <c r="HSC483" s="308"/>
      <c r="HSD483" s="308"/>
      <c r="HSE483" s="308"/>
      <c r="HSF483" s="308"/>
      <c r="HSG483" s="308"/>
      <c r="HSH483" s="308"/>
      <c r="HSI483" s="308"/>
      <c r="HSJ483" s="308"/>
      <c r="HSK483" s="308"/>
      <c r="HSL483" s="308"/>
      <c r="HSM483" s="308"/>
      <c r="HSN483" s="308"/>
      <c r="HSO483" s="308"/>
      <c r="HSP483" s="308"/>
      <c r="HSQ483" s="308"/>
      <c r="HSR483" s="308"/>
      <c r="HSS483" s="308"/>
      <c r="HST483" s="308"/>
      <c r="HSU483" s="308"/>
      <c r="HSV483" s="308"/>
      <c r="HSW483" s="308"/>
      <c r="HSX483" s="308"/>
      <c r="HSY483" s="308"/>
      <c r="HSZ483" s="308"/>
      <c r="HTA483" s="308"/>
      <c r="HTB483" s="308"/>
      <c r="HTC483" s="308"/>
      <c r="HTD483" s="308"/>
      <c r="HTE483" s="308"/>
      <c r="HTF483" s="308"/>
      <c r="HTG483" s="308"/>
      <c r="HTH483" s="308"/>
      <c r="HTI483" s="308"/>
      <c r="HTJ483" s="308"/>
      <c r="HTK483" s="308"/>
      <c r="HTL483" s="308"/>
      <c r="HTM483" s="308"/>
      <c r="HTN483" s="308"/>
      <c r="HTO483" s="308"/>
      <c r="HTP483" s="308"/>
      <c r="HTQ483" s="308"/>
      <c r="HTR483" s="308"/>
      <c r="HTS483" s="308"/>
      <c r="HTT483" s="308"/>
      <c r="HTU483" s="308"/>
      <c r="HTV483" s="308"/>
      <c r="HTW483" s="308"/>
      <c r="HTX483" s="308"/>
      <c r="HTY483" s="308"/>
      <c r="HTZ483" s="308"/>
      <c r="HUA483" s="308"/>
      <c r="HUB483" s="308"/>
      <c r="HUC483" s="308"/>
      <c r="HUD483" s="308"/>
      <c r="HUE483" s="308"/>
      <c r="HUF483" s="308"/>
      <c r="HUG483" s="308"/>
      <c r="HUH483" s="308"/>
      <c r="HUI483" s="308"/>
      <c r="HUJ483" s="308"/>
      <c r="HUK483" s="308"/>
      <c r="HUL483" s="308"/>
      <c r="HUM483" s="308"/>
      <c r="HUN483" s="308"/>
      <c r="HUO483" s="308"/>
      <c r="HUP483" s="308"/>
      <c r="HUQ483" s="308"/>
      <c r="HUR483" s="308"/>
      <c r="HUS483" s="308"/>
      <c r="HUT483" s="308"/>
      <c r="HUU483" s="308"/>
      <c r="HUV483" s="308"/>
      <c r="HUW483" s="308"/>
      <c r="HUX483" s="308"/>
      <c r="HUY483" s="308"/>
      <c r="HUZ483" s="308"/>
      <c r="HVA483" s="308"/>
      <c r="HVB483" s="308"/>
      <c r="HVC483" s="308"/>
      <c r="HVD483" s="308"/>
      <c r="HVE483" s="308"/>
      <c r="HVF483" s="308"/>
      <c r="HVG483" s="308"/>
      <c r="HVH483" s="308"/>
      <c r="HVI483" s="308"/>
      <c r="HVJ483" s="308"/>
      <c r="HVK483" s="308"/>
      <c r="HVL483" s="308"/>
      <c r="HVM483" s="308"/>
      <c r="HVN483" s="308"/>
      <c r="HVO483" s="308"/>
      <c r="HVP483" s="308"/>
      <c r="HVQ483" s="308"/>
      <c r="HVR483" s="308"/>
      <c r="HVS483" s="308"/>
      <c r="HVT483" s="308"/>
      <c r="HVU483" s="308"/>
      <c r="HVV483" s="308"/>
      <c r="HVW483" s="308"/>
      <c r="HVX483" s="308"/>
      <c r="HVY483" s="308"/>
      <c r="HVZ483" s="308"/>
      <c r="HWA483" s="308"/>
      <c r="HWB483" s="308"/>
      <c r="HWC483" s="308"/>
      <c r="HWD483" s="308"/>
      <c r="HWE483" s="308"/>
      <c r="HWF483" s="308"/>
      <c r="HWG483" s="308"/>
      <c r="HWH483" s="308"/>
      <c r="HWI483" s="308"/>
      <c r="HWJ483" s="308"/>
      <c r="HWK483" s="308"/>
      <c r="HWL483" s="308"/>
      <c r="HWM483" s="308"/>
      <c r="HWN483" s="308"/>
      <c r="HWO483" s="308"/>
      <c r="HWP483" s="308"/>
      <c r="HWQ483" s="308"/>
      <c r="HWR483" s="308"/>
      <c r="HWS483" s="308"/>
      <c r="HWT483" s="308"/>
      <c r="HWU483" s="308"/>
      <c r="HWV483" s="308"/>
      <c r="HWW483" s="308"/>
      <c r="HWX483" s="308"/>
      <c r="HWY483" s="308"/>
      <c r="HWZ483" s="308"/>
      <c r="HXA483" s="308"/>
      <c r="HXB483" s="308"/>
      <c r="HXC483" s="308"/>
      <c r="HXD483" s="308"/>
      <c r="HXE483" s="308"/>
      <c r="HXF483" s="308"/>
      <c r="HXG483" s="308"/>
      <c r="HXH483" s="308"/>
      <c r="HXI483" s="308"/>
      <c r="HXJ483" s="308"/>
      <c r="HXK483" s="308"/>
      <c r="HXL483" s="308"/>
      <c r="HXM483" s="308"/>
      <c r="HXN483" s="308"/>
      <c r="HXO483" s="308"/>
      <c r="HXP483" s="308"/>
      <c r="HXQ483" s="308"/>
      <c r="HXR483" s="308"/>
      <c r="HXS483" s="308"/>
      <c r="HXT483" s="308"/>
      <c r="HXU483" s="308"/>
      <c r="HXV483" s="308"/>
      <c r="HXW483" s="308"/>
      <c r="HXX483" s="308"/>
      <c r="HXY483" s="308"/>
      <c r="HXZ483" s="308"/>
      <c r="HYA483" s="308"/>
      <c r="HYB483" s="308"/>
      <c r="HYC483" s="308"/>
      <c r="HYD483" s="308"/>
      <c r="HYE483" s="308"/>
      <c r="HYF483" s="308"/>
      <c r="HYG483" s="308"/>
      <c r="HYH483" s="308"/>
      <c r="HYI483" s="308"/>
      <c r="HYJ483" s="308"/>
      <c r="HYK483" s="308"/>
      <c r="HYL483" s="308"/>
      <c r="HYM483" s="308"/>
      <c r="HYN483" s="308"/>
      <c r="HYO483" s="308"/>
      <c r="HYP483" s="308"/>
      <c r="HYQ483" s="308"/>
      <c r="HYR483" s="308"/>
      <c r="HYS483" s="308"/>
      <c r="HYT483" s="308"/>
      <c r="HYU483" s="308"/>
      <c r="HYV483" s="308"/>
      <c r="HYW483" s="308"/>
      <c r="HYX483" s="308"/>
      <c r="HYY483" s="308"/>
      <c r="HYZ483" s="308"/>
      <c r="HZA483" s="308"/>
      <c r="HZB483" s="308"/>
      <c r="HZC483" s="308"/>
      <c r="HZD483" s="308"/>
      <c r="HZE483" s="308"/>
      <c r="HZF483" s="308"/>
      <c r="HZG483" s="308"/>
      <c r="HZH483" s="308"/>
      <c r="HZI483" s="308"/>
      <c r="HZJ483" s="308"/>
      <c r="HZK483" s="308"/>
      <c r="HZL483" s="308"/>
      <c r="HZM483" s="308"/>
      <c r="HZN483" s="308"/>
      <c r="HZO483" s="308"/>
      <c r="HZP483" s="308"/>
      <c r="HZQ483" s="308"/>
      <c r="HZR483" s="308"/>
      <c r="HZS483" s="308"/>
      <c r="HZT483" s="308"/>
      <c r="HZU483" s="308"/>
      <c r="HZV483" s="308"/>
      <c r="HZW483" s="308"/>
      <c r="HZX483" s="308"/>
      <c r="HZY483" s="308"/>
      <c r="HZZ483" s="308"/>
      <c r="IAA483" s="308"/>
      <c r="IAB483" s="308"/>
      <c r="IAC483" s="308"/>
      <c r="IAD483" s="308"/>
      <c r="IAE483" s="308"/>
      <c r="IAF483" s="308"/>
      <c r="IAG483" s="308"/>
      <c r="IAH483" s="308"/>
      <c r="IAI483" s="308"/>
      <c r="IAJ483" s="308"/>
      <c r="IAK483" s="308"/>
      <c r="IAL483" s="308"/>
      <c r="IAM483" s="308"/>
      <c r="IAN483" s="308"/>
      <c r="IAO483" s="308"/>
      <c r="IAP483" s="308"/>
      <c r="IAQ483" s="308"/>
      <c r="IAR483" s="308"/>
      <c r="IAS483" s="308"/>
      <c r="IAT483" s="308"/>
      <c r="IAU483" s="308"/>
      <c r="IAV483" s="308"/>
      <c r="IAW483" s="308"/>
      <c r="IAX483" s="308"/>
      <c r="IAY483" s="308"/>
      <c r="IAZ483" s="308"/>
      <c r="IBA483" s="308"/>
      <c r="IBB483" s="308"/>
      <c r="IBC483" s="308"/>
      <c r="IBD483" s="308"/>
      <c r="IBE483" s="308"/>
      <c r="IBF483" s="308"/>
      <c r="IBG483" s="308"/>
      <c r="IBH483" s="308"/>
      <c r="IBI483" s="308"/>
      <c r="IBJ483" s="308"/>
      <c r="IBK483" s="308"/>
      <c r="IBL483" s="308"/>
      <c r="IBM483" s="308"/>
      <c r="IBN483" s="308"/>
      <c r="IBO483" s="308"/>
      <c r="IBP483" s="308"/>
      <c r="IBQ483" s="308"/>
      <c r="IBR483" s="308"/>
      <c r="IBS483" s="308"/>
      <c r="IBT483" s="308"/>
      <c r="IBU483" s="308"/>
      <c r="IBV483" s="308"/>
      <c r="IBW483" s="308"/>
      <c r="IBX483" s="308"/>
      <c r="IBY483" s="308"/>
      <c r="IBZ483" s="308"/>
      <c r="ICA483" s="308"/>
      <c r="ICB483" s="308"/>
      <c r="ICC483" s="308"/>
      <c r="ICD483" s="308"/>
      <c r="ICE483" s="308"/>
      <c r="ICF483" s="308"/>
      <c r="ICG483" s="308"/>
      <c r="ICH483" s="308"/>
      <c r="ICI483" s="308"/>
      <c r="ICJ483" s="308"/>
      <c r="ICK483" s="308"/>
      <c r="ICL483" s="308"/>
      <c r="ICM483" s="308"/>
      <c r="ICN483" s="308"/>
      <c r="ICO483" s="308"/>
      <c r="ICP483" s="308"/>
      <c r="ICQ483" s="308"/>
      <c r="ICR483" s="308"/>
      <c r="ICS483" s="308"/>
      <c r="ICT483" s="308"/>
      <c r="ICU483" s="308"/>
      <c r="ICV483" s="308"/>
      <c r="ICW483" s="308"/>
      <c r="ICX483" s="308"/>
      <c r="ICY483" s="308"/>
      <c r="ICZ483" s="308"/>
      <c r="IDA483" s="308"/>
      <c r="IDB483" s="308"/>
      <c r="IDC483" s="308"/>
      <c r="IDD483" s="308"/>
      <c r="IDE483" s="308"/>
      <c r="IDF483" s="308"/>
      <c r="IDG483" s="308"/>
      <c r="IDH483" s="308"/>
      <c r="IDI483" s="308"/>
      <c r="IDJ483" s="308"/>
      <c r="IDK483" s="308"/>
      <c r="IDL483" s="308"/>
      <c r="IDM483" s="308"/>
      <c r="IDN483" s="308"/>
      <c r="IDO483" s="308"/>
      <c r="IDP483" s="308"/>
      <c r="IDQ483" s="308"/>
      <c r="IDR483" s="308"/>
      <c r="IDS483" s="308"/>
      <c r="IDT483" s="308"/>
      <c r="IDU483" s="308"/>
      <c r="IDV483" s="308"/>
      <c r="IDW483" s="308"/>
      <c r="IDX483" s="308"/>
      <c r="IDY483" s="308"/>
      <c r="IDZ483" s="308"/>
      <c r="IEA483" s="308"/>
      <c r="IEB483" s="308"/>
      <c r="IEC483" s="308"/>
      <c r="IED483" s="308"/>
      <c r="IEE483" s="308"/>
      <c r="IEF483" s="308"/>
      <c r="IEG483" s="308"/>
      <c r="IEH483" s="308"/>
      <c r="IEI483" s="308"/>
      <c r="IEJ483" s="308"/>
      <c r="IEK483" s="308"/>
      <c r="IEL483" s="308"/>
      <c r="IEM483" s="308"/>
      <c r="IEN483" s="308"/>
      <c r="IEO483" s="308"/>
      <c r="IEP483" s="308"/>
      <c r="IEQ483" s="308"/>
      <c r="IER483" s="308"/>
      <c r="IES483" s="308"/>
      <c r="IET483" s="308"/>
      <c r="IEU483" s="308"/>
      <c r="IEV483" s="308"/>
      <c r="IEW483" s="308"/>
      <c r="IEX483" s="308"/>
      <c r="IEY483" s="308"/>
      <c r="IEZ483" s="308"/>
      <c r="IFA483" s="308"/>
      <c r="IFB483" s="308"/>
      <c r="IFC483" s="308"/>
      <c r="IFD483" s="308"/>
      <c r="IFE483" s="308"/>
      <c r="IFF483" s="308"/>
      <c r="IFG483" s="308"/>
      <c r="IFH483" s="308"/>
      <c r="IFI483" s="308"/>
      <c r="IFJ483" s="308"/>
      <c r="IFK483" s="308"/>
      <c r="IFL483" s="308"/>
      <c r="IFM483" s="308"/>
      <c r="IFN483" s="308"/>
      <c r="IFO483" s="308"/>
      <c r="IFP483" s="308"/>
      <c r="IFQ483" s="308"/>
      <c r="IFR483" s="308"/>
      <c r="IFS483" s="308"/>
      <c r="IFT483" s="308"/>
      <c r="IFU483" s="308"/>
      <c r="IFV483" s="308"/>
      <c r="IFW483" s="308"/>
      <c r="IFX483" s="308"/>
      <c r="IFY483" s="308"/>
      <c r="IFZ483" s="308"/>
      <c r="IGA483" s="308"/>
      <c r="IGB483" s="308"/>
      <c r="IGC483" s="308"/>
      <c r="IGD483" s="308"/>
      <c r="IGE483" s="308"/>
      <c r="IGF483" s="308"/>
      <c r="IGG483" s="308"/>
      <c r="IGH483" s="308"/>
      <c r="IGI483" s="308"/>
      <c r="IGJ483" s="308"/>
      <c r="IGK483" s="308"/>
      <c r="IGL483" s="308"/>
      <c r="IGM483" s="308"/>
      <c r="IGN483" s="308"/>
      <c r="IGO483" s="308"/>
      <c r="IGP483" s="308"/>
      <c r="IGQ483" s="308"/>
      <c r="IGR483" s="308"/>
      <c r="IGS483" s="308"/>
      <c r="IGT483" s="308"/>
      <c r="IGU483" s="308"/>
      <c r="IGV483" s="308"/>
      <c r="IGW483" s="308"/>
      <c r="IGX483" s="308"/>
      <c r="IGY483" s="308"/>
      <c r="IGZ483" s="308"/>
      <c r="IHA483" s="308"/>
      <c r="IHB483" s="308"/>
      <c r="IHC483" s="308"/>
      <c r="IHD483" s="308"/>
      <c r="IHE483" s="308"/>
      <c r="IHF483" s="308"/>
      <c r="IHG483" s="308"/>
      <c r="IHH483" s="308"/>
      <c r="IHI483" s="308"/>
      <c r="IHJ483" s="308"/>
      <c r="IHK483" s="308"/>
      <c r="IHL483" s="308"/>
      <c r="IHM483" s="308"/>
      <c r="IHN483" s="308"/>
      <c r="IHO483" s="308"/>
      <c r="IHP483" s="308"/>
      <c r="IHQ483" s="308"/>
      <c r="IHR483" s="308"/>
      <c r="IHS483" s="308"/>
      <c r="IHT483" s="308"/>
      <c r="IHU483" s="308"/>
      <c r="IHV483" s="308"/>
      <c r="IHW483" s="308"/>
      <c r="IHX483" s="308"/>
      <c r="IHY483" s="308"/>
      <c r="IHZ483" s="308"/>
      <c r="IIA483" s="308"/>
      <c r="IIB483" s="308"/>
      <c r="IIC483" s="308"/>
      <c r="IID483" s="308"/>
      <c r="IIE483" s="308"/>
      <c r="IIF483" s="308"/>
      <c r="IIG483" s="308"/>
      <c r="IIH483" s="308"/>
      <c r="III483" s="308"/>
      <c r="IIJ483" s="308"/>
      <c r="IIK483" s="308"/>
      <c r="IIL483" s="308"/>
      <c r="IIM483" s="308"/>
      <c r="IIN483" s="308"/>
      <c r="IIO483" s="308"/>
      <c r="IIP483" s="308"/>
      <c r="IIQ483" s="308"/>
      <c r="IIR483" s="308"/>
      <c r="IIS483" s="308"/>
      <c r="IIT483" s="308"/>
      <c r="IIU483" s="308"/>
      <c r="IIV483" s="308"/>
      <c r="IIW483" s="308"/>
      <c r="IIX483" s="308"/>
      <c r="IIY483" s="308"/>
      <c r="IIZ483" s="308"/>
      <c r="IJA483" s="308"/>
      <c r="IJB483" s="308"/>
      <c r="IJC483" s="308"/>
      <c r="IJD483" s="308"/>
      <c r="IJE483" s="308"/>
      <c r="IJF483" s="308"/>
      <c r="IJG483" s="308"/>
      <c r="IJH483" s="308"/>
      <c r="IJI483" s="308"/>
      <c r="IJJ483" s="308"/>
      <c r="IJK483" s="308"/>
      <c r="IJL483" s="308"/>
      <c r="IJM483" s="308"/>
      <c r="IJN483" s="308"/>
      <c r="IJO483" s="308"/>
      <c r="IJP483" s="308"/>
      <c r="IJQ483" s="308"/>
      <c r="IJR483" s="308"/>
      <c r="IJS483" s="308"/>
      <c r="IJT483" s="308"/>
      <c r="IJU483" s="308"/>
      <c r="IJV483" s="308"/>
      <c r="IJW483" s="308"/>
      <c r="IJX483" s="308"/>
      <c r="IJY483" s="308"/>
      <c r="IJZ483" s="308"/>
      <c r="IKA483" s="308"/>
      <c r="IKB483" s="308"/>
      <c r="IKC483" s="308"/>
      <c r="IKD483" s="308"/>
      <c r="IKE483" s="308"/>
      <c r="IKF483" s="308"/>
      <c r="IKG483" s="308"/>
      <c r="IKH483" s="308"/>
      <c r="IKI483" s="308"/>
      <c r="IKJ483" s="308"/>
      <c r="IKK483" s="308"/>
      <c r="IKL483" s="308"/>
      <c r="IKM483" s="308"/>
      <c r="IKN483" s="308"/>
      <c r="IKO483" s="308"/>
      <c r="IKP483" s="308"/>
      <c r="IKQ483" s="308"/>
      <c r="IKR483" s="308"/>
      <c r="IKS483" s="308"/>
      <c r="IKT483" s="308"/>
      <c r="IKU483" s="308"/>
      <c r="IKV483" s="308"/>
      <c r="IKW483" s="308"/>
      <c r="IKX483" s="308"/>
      <c r="IKY483" s="308"/>
      <c r="IKZ483" s="308"/>
      <c r="ILA483" s="308"/>
      <c r="ILB483" s="308"/>
      <c r="ILC483" s="308"/>
      <c r="ILD483" s="308"/>
      <c r="ILE483" s="308"/>
      <c r="ILF483" s="308"/>
      <c r="ILG483" s="308"/>
      <c r="ILH483" s="308"/>
      <c r="ILI483" s="308"/>
      <c r="ILJ483" s="308"/>
      <c r="ILK483" s="308"/>
      <c r="ILL483" s="308"/>
      <c r="ILM483" s="308"/>
      <c r="ILN483" s="308"/>
      <c r="ILO483" s="308"/>
      <c r="ILP483" s="308"/>
      <c r="ILQ483" s="308"/>
      <c r="ILR483" s="308"/>
      <c r="ILS483" s="308"/>
      <c r="ILT483" s="308"/>
      <c r="ILU483" s="308"/>
      <c r="ILV483" s="308"/>
      <c r="ILW483" s="308"/>
      <c r="ILX483" s="308"/>
      <c r="ILY483" s="308"/>
      <c r="ILZ483" s="308"/>
      <c r="IMA483" s="308"/>
      <c r="IMB483" s="308"/>
      <c r="IMC483" s="308"/>
      <c r="IMD483" s="308"/>
      <c r="IME483" s="308"/>
      <c r="IMF483" s="308"/>
      <c r="IMG483" s="308"/>
      <c r="IMH483" s="308"/>
      <c r="IMI483" s="308"/>
      <c r="IMJ483" s="308"/>
      <c r="IMK483" s="308"/>
      <c r="IML483" s="308"/>
      <c r="IMM483" s="308"/>
      <c r="IMN483" s="308"/>
      <c r="IMO483" s="308"/>
      <c r="IMP483" s="308"/>
      <c r="IMQ483" s="308"/>
      <c r="IMR483" s="308"/>
      <c r="IMS483" s="308"/>
      <c r="IMT483" s="308"/>
      <c r="IMU483" s="308"/>
      <c r="IMV483" s="308"/>
      <c r="IMW483" s="308"/>
      <c r="IMX483" s="308"/>
      <c r="IMY483" s="308"/>
      <c r="IMZ483" s="308"/>
      <c r="INA483" s="308"/>
      <c r="INB483" s="308"/>
      <c r="INC483" s="308"/>
      <c r="IND483" s="308"/>
      <c r="INE483" s="308"/>
      <c r="INF483" s="308"/>
      <c r="ING483" s="308"/>
      <c r="INH483" s="308"/>
      <c r="INI483" s="308"/>
      <c r="INJ483" s="308"/>
      <c r="INK483" s="308"/>
      <c r="INL483" s="308"/>
      <c r="INM483" s="308"/>
      <c r="INN483" s="308"/>
      <c r="INO483" s="308"/>
      <c r="INP483" s="308"/>
      <c r="INQ483" s="308"/>
      <c r="INR483" s="308"/>
      <c r="INS483" s="308"/>
      <c r="INT483" s="308"/>
      <c r="INU483" s="308"/>
      <c r="INV483" s="308"/>
      <c r="INW483" s="308"/>
      <c r="INX483" s="308"/>
      <c r="INY483" s="308"/>
      <c r="INZ483" s="308"/>
      <c r="IOA483" s="308"/>
      <c r="IOB483" s="308"/>
      <c r="IOC483" s="308"/>
      <c r="IOD483" s="308"/>
      <c r="IOE483" s="308"/>
      <c r="IOF483" s="308"/>
      <c r="IOG483" s="308"/>
      <c r="IOH483" s="308"/>
      <c r="IOI483" s="308"/>
      <c r="IOJ483" s="308"/>
      <c r="IOK483" s="308"/>
      <c r="IOL483" s="308"/>
      <c r="IOM483" s="308"/>
      <c r="ION483" s="308"/>
      <c r="IOO483" s="308"/>
      <c r="IOP483" s="308"/>
      <c r="IOQ483" s="308"/>
      <c r="IOR483" s="308"/>
      <c r="IOS483" s="308"/>
      <c r="IOT483" s="308"/>
      <c r="IOU483" s="308"/>
      <c r="IOV483" s="308"/>
      <c r="IOW483" s="308"/>
      <c r="IOX483" s="308"/>
      <c r="IOY483" s="308"/>
      <c r="IOZ483" s="308"/>
      <c r="IPA483" s="308"/>
      <c r="IPB483" s="308"/>
      <c r="IPC483" s="308"/>
      <c r="IPD483" s="308"/>
      <c r="IPE483" s="308"/>
      <c r="IPF483" s="308"/>
      <c r="IPG483" s="308"/>
      <c r="IPH483" s="308"/>
      <c r="IPI483" s="308"/>
      <c r="IPJ483" s="308"/>
      <c r="IPK483" s="308"/>
      <c r="IPL483" s="308"/>
      <c r="IPM483" s="308"/>
      <c r="IPN483" s="308"/>
      <c r="IPO483" s="308"/>
      <c r="IPP483" s="308"/>
      <c r="IPQ483" s="308"/>
      <c r="IPR483" s="308"/>
      <c r="IPS483" s="308"/>
      <c r="IPT483" s="308"/>
      <c r="IPU483" s="308"/>
      <c r="IPV483" s="308"/>
      <c r="IPW483" s="308"/>
      <c r="IPX483" s="308"/>
      <c r="IPY483" s="308"/>
      <c r="IPZ483" s="308"/>
      <c r="IQA483" s="308"/>
      <c r="IQB483" s="308"/>
      <c r="IQC483" s="308"/>
      <c r="IQD483" s="308"/>
      <c r="IQE483" s="308"/>
      <c r="IQF483" s="308"/>
      <c r="IQG483" s="308"/>
      <c r="IQH483" s="308"/>
      <c r="IQI483" s="308"/>
      <c r="IQJ483" s="308"/>
      <c r="IQK483" s="308"/>
      <c r="IQL483" s="308"/>
      <c r="IQM483" s="308"/>
      <c r="IQN483" s="308"/>
      <c r="IQO483" s="308"/>
      <c r="IQP483" s="308"/>
      <c r="IQQ483" s="308"/>
      <c r="IQR483" s="308"/>
      <c r="IQS483" s="308"/>
      <c r="IQT483" s="308"/>
      <c r="IQU483" s="308"/>
      <c r="IQV483" s="308"/>
      <c r="IQW483" s="308"/>
      <c r="IQX483" s="308"/>
      <c r="IQY483" s="308"/>
      <c r="IQZ483" s="308"/>
      <c r="IRA483" s="308"/>
      <c r="IRB483" s="308"/>
      <c r="IRC483" s="308"/>
      <c r="IRD483" s="308"/>
      <c r="IRE483" s="308"/>
      <c r="IRF483" s="308"/>
      <c r="IRG483" s="308"/>
      <c r="IRH483" s="308"/>
      <c r="IRI483" s="308"/>
      <c r="IRJ483" s="308"/>
      <c r="IRK483" s="308"/>
      <c r="IRL483" s="308"/>
      <c r="IRM483" s="308"/>
      <c r="IRN483" s="308"/>
      <c r="IRO483" s="308"/>
      <c r="IRP483" s="308"/>
      <c r="IRQ483" s="308"/>
      <c r="IRR483" s="308"/>
      <c r="IRS483" s="308"/>
      <c r="IRT483" s="308"/>
      <c r="IRU483" s="308"/>
      <c r="IRV483" s="308"/>
      <c r="IRW483" s="308"/>
      <c r="IRX483" s="308"/>
      <c r="IRY483" s="308"/>
      <c r="IRZ483" s="308"/>
      <c r="ISA483" s="308"/>
      <c r="ISB483" s="308"/>
      <c r="ISC483" s="308"/>
      <c r="ISD483" s="308"/>
      <c r="ISE483" s="308"/>
      <c r="ISF483" s="308"/>
      <c r="ISG483" s="308"/>
      <c r="ISH483" s="308"/>
      <c r="ISI483" s="308"/>
      <c r="ISJ483" s="308"/>
      <c r="ISK483" s="308"/>
      <c r="ISL483" s="308"/>
      <c r="ISM483" s="308"/>
      <c r="ISN483" s="308"/>
      <c r="ISO483" s="308"/>
      <c r="ISP483" s="308"/>
      <c r="ISQ483" s="308"/>
      <c r="ISR483" s="308"/>
      <c r="ISS483" s="308"/>
      <c r="IST483" s="308"/>
      <c r="ISU483" s="308"/>
      <c r="ISV483" s="308"/>
      <c r="ISW483" s="308"/>
      <c r="ISX483" s="308"/>
      <c r="ISY483" s="308"/>
      <c r="ISZ483" s="308"/>
      <c r="ITA483" s="308"/>
      <c r="ITB483" s="308"/>
      <c r="ITC483" s="308"/>
      <c r="ITD483" s="308"/>
      <c r="ITE483" s="308"/>
      <c r="ITF483" s="308"/>
      <c r="ITG483" s="308"/>
      <c r="ITH483" s="308"/>
      <c r="ITI483" s="308"/>
      <c r="ITJ483" s="308"/>
      <c r="ITK483" s="308"/>
      <c r="ITL483" s="308"/>
      <c r="ITM483" s="308"/>
      <c r="ITN483" s="308"/>
      <c r="ITO483" s="308"/>
      <c r="ITP483" s="308"/>
      <c r="ITQ483" s="308"/>
      <c r="ITR483" s="308"/>
      <c r="ITS483" s="308"/>
      <c r="ITT483" s="308"/>
      <c r="ITU483" s="308"/>
      <c r="ITV483" s="308"/>
      <c r="ITW483" s="308"/>
      <c r="ITX483" s="308"/>
      <c r="ITY483" s="308"/>
      <c r="ITZ483" s="308"/>
      <c r="IUA483" s="308"/>
      <c r="IUB483" s="308"/>
      <c r="IUC483" s="308"/>
      <c r="IUD483" s="308"/>
      <c r="IUE483" s="308"/>
      <c r="IUF483" s="308"/>
      <c r="IUG483" s="308"/>
      <c r="IUH483" s="308"/>
      <c r="IUI483" s="308"/>
      <c r="IUJ483" s="308"/>
      <c r="IUK483" s="308"/>
      <c r="IUL483" s="308"/>
      <c r="IUM483" s="308"/>
      <c r="IUN483" s="308"/>
      <c r="IUO483" s="308"/>
      <c r="IUP483" s="308"/>
      <c r="IUQ483" s="308"/>
      <c r="IUR483" s="308"/>
      <c r="IUS483" s="308"/>
      <c r="IUT483" s="308"/>
      <c r="IUU483" s="308"/>
      <c r="IUV483" s="308"/>
      <c r="IUW483" s="308"/>
      <c r="IUX483" s="308"/>
      <c r="IUY483" s="308"/>
      <c r="IUZ483" s="308"/>
      <c r="IVA483" s="308"/>
      <c r="IVB483" s="308"/>
      <c r="IVC483" s="308"/>
      <c r="IVD483" s="308"/>
      <c r="IVE483" s="308"/>
      <c r="IVF483" s="308"/>
      <c r="IVG483" s="308"/>
      <c r="IVH483" s="308"/>
      <c r="IVI483" s="308"/>
      <c r="IVJ483" s="308"/>
      <c r="IVK483" s="308"/>
      <c r="IVL483" s="308"/>
      <c r="IVM483" s="308"/>
      <c r="IVN483" s="308"/>
      <c r="IVO483" s="308"/>
      <c r="IVP483" s="308"/>
      <c r="IVQ483" s="308"/>
      <c r="IVR483" s="308"/>
      <c r="IVS483" s="308"/>
      <c r="IVT483" s="308"/>
      <c r="IVU483" s="308"/>
      <c r="IVV483" s="308"/>
      <c r="IVW483" s="308"/>
      <c r="IVX483" s="308"/>
      <c r="IVY483" s="308"/>
      <c r="IVZ483" s="308"/>
      <c r="IWA483" s="308"/>
      <c r="IWB483" s="308"/>
      <c r="IWC483" s="308"/>
      <c r="IWD483" s="308"/>
      <c r="IWE483" s="308"/>
      <c r="IWF483" s="308"/>
      <c r="IWG483" s="308"/>
      <c r="IWH483" s="308"/>
      <c r="IWI483" s="308"/>
      <c r="IWJ483" s="308"/>
      <c r="IWK483" s="308"/>
      <c r="IWL483" s="308"/>
      <c r="IWM483" s="308"/>
      <c r="IWN483" s="308"/>
      <c r="IWO483" s="308"/>
      <c r="IWP483" s="308"/>
      <c r="IWQ483" s="308"/>
      <c r="IWR483" s="308"/>
      <c r="IWS483" s="308"/>
      <c r="IWT483" s="308"/>
      <c r="IWU483" s="308"/>
      <c r="IWV483" s="308"/>
      <c r="IWW483" s="308"/>
      <c r="IWX483" s="308"/>
      <c r="IWY483" s="308"/>
      <c r="IWZ483" s="308"/>
      <c r="IXA483" s="308"/>
      <c r="IXB483" s="308"/>
      <c r="IXC483" s="308"/>
      <c r="IXD483" s="308"/>
      <c r="IXE483" s="308"/>
      <c r="IXF483" s="308"/>
      <c r="IXG483" s="308"/>
      <c r="IXH483" s="308"/>
      <c r="IXI483" s="308"/>
      <c r="IXJ483" s="308"/>
      <c r="IXK483" s="308"/>
      <c r="IXL483" s="308"/>
      <c r="IXM483" s="308"/>
      <c r="IXN483" s="308"/>
      <c r="IXO483" s="308"/>
      <c r="IXP483" s="308"/>
      <c r="IXQ483" s="308"/>
      <c r="IXR483" s="308"/>
      <c r="IXS483" s="308"/>
      <c r="IXT483" s="308"/>
      <c r="IXU483" s="308"/>
      <c r="IXV483" s="308"/>
      <c r="IXW483" s="308"/>
      <c r="IXX483" s="308"/>
      <c r="IXY483" s="308"/>
      <c r="IXZ483" s="308"/>
      <c r="IYA483" s="308"/>
      <c r="IYB483" s="308"/>
      <c r="IYC483" s="308"/>
      <c r="IYD483" s="308"/>
      <c r="IYE483" s="308"/>
      <c r="IYF483" s="308"/>
      <c r="IYG483" s="308"/>
      <c r="IYH483" s="308"/>
      <c r="IYI483" s="308"/>
      <c r="IYJ483" s="308"/>
      <c r="IYK483" s="308"/>
      <c r="IYL483" s="308"/>
      <c r="IYM483" s="308"/>
      <c r="IYN483" s="308"/>
      <c r="IYO483" s="308"/>
      <c r="IYP483" s="308"/>
      <c r="IYQ483" s="308"/>
      <c r="IYR483" s="308"/>
      <c r="IYS483" s="308"/>
      <c r="IYT483" s="308"/>
      <c r="IYU483" s="308"/>
      <c r="IYV483" s="308"/>
      <c r="IYW483" s="308"/>
      <c r="IYX483" s="308"/>
      <c r="IYY483" s="308"/>
      <c r="IYZ483" s="308"/>
      <c r="IZA483" s="308"/>
      <c r="IZB483" s="308"/>
      <c r="IZC483" s="308"/>
      <c r="IZD483" s="308"/>
      <c r="IZE483" s="308"/>
      <c r="IZF483" s="308"/>
      <c r="IZG483" s="308"/>
      <c r="IZH483" s="308"/>
      <c r="IZI483" s="308"/>
      <c r="IZJ483" s="308"/>
      <c r="IZK483" s="308"/>
      <c r="IZL483" s="308"/>
      <c r="IZM483" s="308"/>
      <c r="IZN483" s="308"/>
      <c r="IZO483" s="308"/>
      <c r="IZP483" s="308"/>
      <c r="IZQ483" s="308"/>
      <c r="IZR483" s="308"/>
      <c r="IZS483" s="308"/>
      <c r="IZT483" s="308"/>
      <c r="IZU483" s="308"/>
      <c r="IZV483" s="308"/>
      <c r="IZW483" s="308"/>
      <c r="IZX483" s="308"/>
      <c r="IZY483" s="308"/>
      <c r="IZZ483" s="308"/>
      <c r="JAA483" s="308"/>
      <c r="JAB483" s="308"/>
      <c r="JAC483" s="308"/>
      <c r="JAD483" s="308"/>
      <c r="JAE483" s="308"/>
      <c r="JAF483" s="308"/>
      <c r="JAG483" s="308"/>
      <c r="JAH483" s="308"/>
      <c r="JAI483" s="308"/>
      <c r="JAJ483" s="308"/>
      <c r="JAK483" s="308"/>
      <c r="JAL483" s="308"/>
      <c r="JAM483" s="308"/>
      <c r="JAN483" s="308"/>
      <c r="JAO483" s="308"/>
      <c r="JAP483" s="308"/>
      <c r="JAQ483" s="308"/>
      <c r="JAR483" s="308"/>
      <c r="JAS483" s="308"/>
      <c r="JAT483" s="308"/>
      <c r="JAU483" s="308"/>
      <c r="JAV483" s="308"/>
      <c r="JAW483" s="308"/>
      <c r="JAX483" s="308"/>
      <c r="JAY483" s="308"/>
      <c r="JAZ483" s="308"/>
      <c r="JBA483" s="308"/>
      <c r="JBB483" s="308"/>
      <c r="JBC483" s="308"/>
      <c r="JBD483" s="308"/>
      <c r="JBE483" s="308"/>
      <c r="JBF483" s="308"/>
      <c r="JBG483" s="308"/>
      <c r="JBH483" s="308"/>
      <c r="JBI483" s="308"/>
      <c r="JBJ483" s="308"/>
      <c r="JBK483" s="308"/>
      <c r="JBL483" s="308"/>
      <c r="JBM483" s="308"/>
      <c r="JBN483" s="308"/>
      <c r="JBO483" s="308"/>
      <c r="JBP483" s="308"/>
      <c r="JBQ483" s="308"/>
      <c r="JBR483" s="308"/>
      <c r="JBS483" s="308"/>
      <c r="JBT483" s="308"/>
      <c r="JBU483" s="308"/>
      <c r="JBV483" s="308"/>
      <c r="JBW483" s="308"/>
      <c r="JBX483" s="308"/>
      <c r="JBY483" s="308"/>
      <c r="JBZ483" s="308"/>
      <c r="JCA483" s="308"/>
      <c r="JCB483" s="308"/>
      <c r="JCC483" s="308"/>
      <c r="JCD483" s="308"/>
      <c r="JCE483" s="308"/>
      <c r="JCF483" s="308"/>
      <c r="JCG483" s="308"/>
      <c r="JCH483" s="308"/>
      <c r="JCI483" s="308"/>
      <c r="JCJ483" s="308"/>
      <c r="JCK483" s="308"/>
      <c r="JCL483" s="308"/>
      <c r="JCM483" s="308"/>
      <c r="JCN483" s="308"/>
      <c r="JCO483" s="308"/>
      <c r="JCP483" s="308"/>
      <c r="JCQ483" s="308"/>
      <c r="JCR483" s="308"/>
      <c r="JCS483" s="308"/>
      <c r="JCT483" s="308"/>
      <c r="JCU483" s="308"/>
      <c r="JCV483" s="308"/>
      <c r="JCW483" s="308"/>
      <c r="JCX483" s="308"/>
      <c r="JCY483" s="308"/>
      <c r="JCZ483" s="308"/>
      <c r="JDA483" s="308"/>
      <c r="JDB483" s="308"/>
      <c r="JDC483" s="308"/>
      <c r="JDD483" s="308"/>
      <c r="JDE483" s="308"/>
      <c r="JDF483" s="308"/>
      <c r="JDG483" s="308"/>
      <c r="JDH483" s="308"/>
      <c r="JDI483" s="308"/>
      <c r="JDJ483" s="308"/>
      <c r="JDK483" s="308"/>
      <c r="JDL483" s="308"/>
      <c r="JDM483" s="308"/>
      <c r="JDN483" s="308"/>
      <c r="JDO483" s="308"/>
      <c r="JDP483" s="308"/>
      <c r="JDQ483" s="308"/>
      <c r="JDR483" s="308"/>
      <c r="JDS483" s="308"/>
      <c r="JDT483" s="308"/>
      <c r="JDU483" s="308"/>
      <c r="JDV483" s="308"/>
      <c r="JDW483" s="308"/>
      <c r="JDX483" s="308"/>
      <c r="JDY483" s="308"/>
      <c r="JDZ483" s="308"/>
      <c r="JEA483" s="308"/>
      <c r="JEB483" s="308"/>
      <c r="JEC483" s="308"/>
      <c r="JED483" s="308"/>
      <c r="JEE483" s="308"/>
      <c r="JEF483" s="308"/>
      <c r="JEG483" s="308"/>
      <c r="JEH483" s="308"/>
      <c r="JEI483" s="308"/>
      <c r="JEJ483" s="308"/>
      <c r="JEK483" s="308"/>
      <c r="JEL483" s="308"/>
      <c r="JEM483" s="308"/>
      <c r="JEN483" s="308"/>
      <c r="JEO483" s="308"/>
      <c r="JEP483" s="308"/>
      <c r="JEQ483" s="308"/>
      <c r="JER483" s="308"/>
      <c r="JES483" s="308"/>
      <c r="JET483" s="308"/>
      <c r="JEU483" s="308"/>
      <c r="JEV483" s="308"/>
      <c r="JEW483" s="308"/>
      <c r="JEX483" s="308"/>
      <c r="JEY483" s="308"/>
      <c r="JEZ483" s="308"/>
      <c r="JFA483" s="308"/>
      <c r="JFB483" s="308"/>
      <c r="JFC483" s="308"/>
      <c r="JFD483" s="308"/>
      <c r="JFE483" s="308"/>
      <c r="JFF483" s="308"/>
      <c r="JFG483" s="308"/>
      <c r="JFH483" s="308"/>
      <c r="JFI483" s="308"/>
      <c r="JFJ483" s="308"/>
      <c r="JFK483" s="308"/>
      <c r="JFL483" s="308"/>
      <c r="JFM483" s="308"/>
      <c r="JFN483" s="308"/>
      <c r="JFO483" s="308"/>
      <c r="JFP483" s="308"/>
      <c r="JFQ483" s="308"/>
      <c r="JFR483" s="308"/>
      <c r="JFS483" s="308"/>
      <c r="JFT483" s="308"/>
      <c r="JFU483" s="308"/>
      <c r="JFV483" s="308"/>
      <c r="JFW483" s="308"/>
      <c r="JFX483" s="308"/>
      <c r="JFY483" s="308"/>
      <c r="JFZ483" s="308"/>
      <c r="JGA483" s="308"/>
      <c r="JGB483" s="308"/>
      <c r="JGC483" s="308"/>
      <c r="JGD483" s="308"/>
      <c r="JGE483" s="308"/>
      <c r="JGF483" s="308"/>
      <c r="JGG483" s="308"/>
      <c r="JGH483" s="308"/>
      <c r="JGI483" s="308"/>
      <c r="JGJ483" s="308"/>
      <c r="JGK483" s="308"/>
      <c r="JGL483" s="308"/>
      <c r="JGM483" s="308"/>
      <c r="JGN483" s="308"/>
      <c r="JGO483" s="308"/>
      <c r="JGP483" s="308"/>
      <c r="JGQ483" s="308"/>
      <c r="JGR483" s="308"/>
      <c r="JGS483" s="308"/>
      <c r="JGT483" s="308"/>
      <c r="JGU483" s="308"/>
      <c r="JGV483" s="308"/>
      <c r="JGW483" s="308"/>
      <c r="JGX483" s="308"/>
      <c r="JGY483" s="308"/>
      <c r="JGZ483" s="308"/>
      <c r="JHA483" s="308"/>
      <c r="JHB483" s="308"/>
      <c r="JHC483" s="308"/>
      <c r="JHD483" s="308"/>
      <c r="JHE483" s="308"/>
      <c r="JHF483" s="308"/>
      <c r="JHG483" s="308"/>
      <c r="JHH483" s="308"/>
      <c r="JHI483" s="308"/>
      <c r="JHJ483" s="308"/>
      <c r="JHK483" s="308"/>
      <c r="JHL483" s="308"/>
      <c r="JHM483" s="308"/>
      <c r="JHN483" s="308"/>
      <c r="JHO483" s="308"/>
      <c r="JHP483" s="308"/>
      <c r="JHQ483" s="308"/>
      <c r="JHR483" s="308"/>
      <c r="JHS483" s="308"/>
      <c r="JHT483" s="308"/>
      <c r="JHU483" s="308"/>
      <c r="JHV483" s="308"/>
      <c r="JHW483" s="308"/>
      <c r="JHX483" s="308"/>
      <c r="JHY483" s="308"/>
      <c r="JHZ483" s="308"/>
      <c r="JIA483" s="308"/>
      <c r="JIB483" s="308"/>
      <c r="JIC483" s="308"/>
      <c r="JID483" s="308"/>
      <c r="JIE483" s="308"/>
      <c r="JIF483" s="308"/>
      <c r="JIG483" s="308"/>
      <c r="JIH483" s="308"/>
      <c r="JII483" s="308"/>
      <c r="JIJ483" s="308"/>
      <c r="JIK483" s="308"/>
      <c r="JIL483" s="308"/>
      <c r="JIM483" s="308"/>
      <c r="JIN483" s="308"/>
      <c r="JIO483" s="308"/>
      <c r="JIP483" s="308"/>
      <c r="JIQ483" s="308"/>
      <c r="JIR483" s="308"/>
      <c r="JIS483" s="308"/>
      <c r="JIT483" s="308"/>
      <c r="JIU483" s="308"/>
      <c r="JIV483" s="308"/>
      <c r="JIW483" s="308"/>
      <c r="JIX483" s="308"/>
      <c r="JIY483" s="308"/>
      <c r="JIZ483" s="308"/>
      <c r="JJA483" s="308"/>
      <c r="JJB483" s="308"/>
      <c r="JJC483" s="308"/>
      <c r="JJD483" s="308"/>
      <c r="JJE483" s="308"/>
      <c r="JJF483" s="308"/>
      <c r="JJG483" s="308"/>
      <c r="JJH483" s="308"/>
      <c r="JJI483" s="308"/>
      <c r="JJJ483" s="308"/>
      <c r="JJK483" s="308"/>
      <c r="JJL483" s="308"/>
      <c r="JJM483" s="308"/>
      <c r="JJN483" s="308"/>
      <c r="JJO483" s="308"/>
      <c r="JJP483" s="308"/>
      <c r="JJQ483" s="308"/>
      <c r="JJR483" s="308"/>
      <c r="JJS483" s="308"/>
      <c r="JJT483" s="308"/>
      <c r="JJU483" s="308"/>
      <c r="JJV483" s="308"/>
      <c r="JJW483" s="308"/>
      <c r="JJX483" s="308"/>
      <c r="JJY483" s="308"/>
      <c r="JJZ483" s="308"/>
      <c r="JKA483" s="308"/>
      <c r="JKB483" s="308"/>
      <c r="JKC483" s="308"/>
      <c r="JKD483" s="308"/>
      <c r="JKE483" s="308"/>
      <c r="JKF483" s="308"/>
      <c r="JKG483" s="308"/>
      <c r="JKH483" s="308"/>
      <c r="JKI483" s="308"/>
      <c r="JKJ483" s="308"/>
      <c r="JKK483" s="308"/>
      <c r="JKL483" s="308"/>
      <c r="JKM483" s="308"/>
      <c r="JKN483" s="308"/>
      <c r="JKO483" s="308"/>
      <c r="JKP483" s="308"/>
      <c r="JKQ483" s="308"/>
      <c r="JKR483" s="308"/>
      <c r="JKS483" s="308"/>
      <c r="JKT483" s="308"/>
      <c r="JKU483" s="308"/>
      <c r="JKV483" s="308"/>
      <c r="JKW483" s="308"/>
      <c r="JKX483" s="308"/>
      <c r="JKY483" s="308"/>
      <c r="JKZ483" s="308"/>
      <c r="JLA483" s="308"/>
      <c r="JLB483" s="308"/>
      <c r="JLC483" s="308"/>
      <c r="JLD483" s="308"/>
      <c r="JLE483" s="308"/>
      <c r="JLF483" s="308"/>
      <c r="JLG483" s="308"/>
      <c r="JLH483" s="308"/>
      <c r="JLI483" s="308"/>
      <c r="JLJ483" s="308"/>
      <c r="JLK483" s="308"/>
      <c r="JLL483" s="308"/>
      <c r="JLM483" s="308"/>
      <c r="JLN483" s="308"/>
      <c r="JLO483" s="308"/>
      <c r="JLP483" s="308"/>
      <c r="JLQ483" s="308"/>
      <c r="JLR483" s="308"/>
      <c r="JLS483" s="308"/>
      <c r="JLT483" s="308"/>
      <c r="JLU483" s="308"/>
      <c r="JLV483" s="308"/>
      <c r="JLW483" s="308"/>
      <c r="JLX483" s="308"/>
      <c r="JLY483" s="308"/>
      <c r="JLZ483" s="308"/>
      <c r="JMA483" s="308"/>
      <c r="JMB483" s="308"/>
      <c r="JMC483" s="308"/>
      <c r="JMD483" s="308"/>
      <c r="JME483" s="308"/>
      <c r="JMF483" s="308"/>
      <c r="JMG483" s="308"/>
      <c r="JMH483" s="308"/>
      <c r="JMI483" s="308"/>
      <c r="JMJ483" s="308"/>
      <c r="JMK483" s="308"/>
      <c r="JML483" s="308"/>
      <c r="JMM483" s="308"/>
      <c r="JMN483" s="308"/>
      <c r="JMO483" s="308"/>
      <c r="JMP483" s="308"/>
      <c r="JMQ483" s="308"/>
      <c r="JMR483" s="308"/>
      <c r="JMS483" s="308"/>
      <c r="JMT483" s="308"/>
      <c r="JMU483" s="308"/>
      <c r="JMV483" s="308"/>
      <c r="JMW483" s="308"/>
      <c r="JMX483" s="308"/>
      <c r="JMY483" s="308"/>
      <c r="JMZ483" s="308"/>
      <c r="JNA483" s="308"/>
      <c r="JNB483" s="308"/>
      <c r="JNC483" s="308"/>
      <c r="JND483" s="308"/>
      <c r="JNE483" s="308"/>
      <c r="JNF483" s="308"/>
      <c r="JNG483" s="308"/>
      <c r="JNH483" s="308"/>
      <c r="JNI483" s="308"/>
      <c r="JNJ483" s="308"/>
      <c r="JNK483" s="308"/>
      <c r="JNL483" s="308"/>
      <c r="JNM483" s="308"/>
      <c r="JNN483" s="308"/>
      <c r="JNO483" s="308"/>
      <c r="JNP483" s="308"/>
      <c r="JNQ483" s="308"/>
      <c r="JNR483" s="308"/>
      <c r="JNS483" s="308"/>
      <c r="JNT483" s="308"/>
      <c r="JNU483" s="308"/>
      <c r="JNV483" s="308"/>
      <c r="JNW483" s="308"/>
      <c r="JNX483" s="308"/>
      <c r="JNY483" s="308"/>
      <c r="JNZ483" s="308"/>
      <c r="JOA483" s="308"/>
      <c r="JOB483" s="308"/>
      <c r="JOC483" s="308"/>
      <c r="JOD483" s="308"/>
      <c r="JOE483" s="308"/>
      <c r="JOF483" s="308"/>
      <c r="JOG483" s="308"/>
      <c r="JOH483" s="308"/>
      <c r="JOI483" s="308"/>
      <c r="JOJ483" s="308"/>
      <c r="JOK483" s="308"/>
      <c r="JOL483" s="308"/>
      <c r="JOM483" s="308"/>
      <c r="JON483" s="308"/>
      <c r="JOO483" s="308"/>
      <c r="JOP483" s="308"/>
      <c r="JOQ483" s="308"/>
      <c r="JOR483" s="308"/>
      <c r="JOS483" s="308"/>
      <c r="JOT483" s="308"/>
      <c r="JOU483" s="308"/>
      <c r="JOV483" s="308"/>
      <c r="JOW483" s="308"/>
      <c r="JOX483" s="308"/>
      <c r="JOY483" s="308"/>
      <c r="JOZ483" s="308"/>
      <c r="JPA483" s="308"/>
      <c r="JPB483" s="308"/>
      <c r="JPC483" s="308"/>
      <c r="JPD483" s="308"/>
      <c r="JPE483" s="308"/>
      <c r="JPF483" s="308"/>
      <c r="JPG483" s="308"/>
      <c r="JPH483" s="308"/>
      <c r="JPI483" s="308"/>
      <c r="JPJ483" s="308"/>
      <c r="JPK483" s="308"/>
      <c r="JPL483" s="308"/>
      <c r="JPM483" s="308"/>
      <c r="JPN483" s="308"/>
      <c r="JPO483" s="308"/>
      <c r="JPP483" s="308"/>
      <c r="JPQ483" s="308"/>
      <c r="JPR483" s="308"/>
      <c r="JPS483" s="308"/>
      <c r="JPT483" s="308"/>
      <c r="JPU483" s="308"/>
      <c r="JPV483" s="308"/>
      <c r="JPW483" s="308"/>
      <c r="JPX483" s="308"/>
      <c r="JPY483" s="308"/>
      <c r="JPZ483" s="308"/>
      <c r="JQA483" s="308"/>
      <c r="JQB483" s="308"/>
      <c r="JQC483" s="308"/>
      <c r="JQD483" s="308"/>
      <c r="JQE483" s="308"/>
      <c r="JQF483" s="308"/>
      <c r="JQG483" s="308"/>
      <c r="JQH483" s="308"/>
      <c r="JQI483" s="308"/>
      <c r="JQJ483" s="308"/>
      <c r="JQK483" s="308"/>
      <c r="JQL483" s="308"/>
      <c r="JQM483" s="308"/>
      <c r="JQN483" s="308"/>
      <c r="JQO483" s="308"/>
      <c r="JQP483" s="308"/>
      <c r="JQQ483" s="308"/>
      <c r="JQR483" s="308"/>
      <c r="JQS483" s="308"/>
      <c r="JQT483" s="308"/>
      <c r="JQU483" s="308"/>
      <c r="JQV483" s="308"/>
      <c r="JQW483" s="308"/>
      <c r="JQX483" s="308"/>
      <c r="JQY483" s="308"/>
      <c r="JQZ483" s="308"/>
      <c r="JRA483" s="308"/>
      <c r="JRB483" s="308"/>
      <c r="JRC483" s="308"/>
      <c r="JRD483" s="308"/>
      <c r="JRE483" s="308"/>
      <c r="JRF483" s="308"/>
      <c r="JRG483" s="308"/>
      <c r="JRH483" s="308"/>
      <c r="JRI483" s="308"/>
      <c r="JRJ483" s="308"/>
      <c r="JRK483" s="308"/>
      <c r="JRL483" s="308"/>
      <c r="JRM483" s="308"/>
      <c r="JRN483" s="308"/>
      <c r="JRO483" s="308"/>
      <c r="JRP483" s="308"/>
      <c r="JRQ483" s="308"/>
      <c r="JRR483" s="308"/>
      <c r="JRS483" s="308"/>
      <c r="JRT483" s="308"/>
      <c r="JRU483" s="308"/>
      <c r="JRV483" s="308"/>
      <c r="JRW483" s="308"/>
      <c r="JRX483" s="308"/>
      <c r="JRY483" s="308"/>
      <c r="JRZ483" s="308"/>
      <c r="JSA483" s="308"/>
      <c r="JSB483" s="308"/>
      <c r="JSC483" s="308"/>
      <c r="JSD483" s="308"/>
      <c r="JSE483" s="308"/>
      <c r="JSF483" s="308"/>
      <c r="JSG483" s="308"/>
      <c r="JSH483" s="308"/>
      <c r="JSI483" s="308"/>
      <c r="JSJ483" s="308"/>
      <c r="JSK483" s="308"/>
      <c r="JSL483" s="308"/>
      <c r="JSM483" s="308"/>
      <c r="JSN483" s="308"/>
      <c r="JSO483" s="308"/>
      <c r="JSP483" s="308"/>
      <c r="JSQ483" s="308"/>
      <c r="JSR483" s="308"/>
      <c r="JSS483" s="308"/>
      <c r="JST483" s="308"/>
      <c r="JSU483" s="308"/>
      <c r="JSV483" s="308"/>
      <c r="JSW483" s="308"/>
      <c r="JSX483" s="308"/>
      <c r="JSY483" s="308"/>
      <c r="JSZ483" s="308"/>
      <c r="JTA483" s="308"/>
      <c r="JTB483" s="308"/>
      <c r="JTC483" s="308"/>
      <c r="JTD483" s="308"/>
      <c r="JTE483" s="308"/>
      <c r="JTF483" s="308"/>
      <c r="JTG483" s="308"/>
      <c r="JTH483" s="308"/>
      <c r="JTI483" s="308"/>
      <c r="JTJ483" s="308"/>
      <c r="JTK483" s="308"/>
      <c r="JTL483" s="308"/>
      <c r="JTM483" s="308"/>
      <c r="JTN483" s="308"/>
      <c r="JTO483" s="308"/>
      <c r="JTP483" s="308"/>
      <c r="JTQ483" s="308"/>
      <c r="JTR483" s="308"/>
      <c r="JTS483" s="308"/>
      <c r="JTT483" s="308"/>
      <c r="JTU483" s="308"/>
      <c r="JTV483" s="308"/>
      <c r="JTW483" s="308"/>
      <c r="JTX483" s="308"/>
      <c r="JTY483" s="308"/>
      <c r="JTZ483" s="308"/>
      <c r="JUA483" s="308"/>
      <c r="JUB483" s="308"/>
      <c r="JUC483" s="308"/>
      <c r="JUD483" s="308"/>
      <c r="JUE483" s="308"/>
      <c r="JUF483" s="308"/>
      <c r="JUG483" s="308"/>
      <c r="JUH483" s="308"/>
      <c r="JUI483" s="308"/>
      <c r="JUJ483" s="308"/>
      <c r="JUK483" s="308"/>
      <c r="JUL483" s="308"/>
      <c r="JUM483" s="308"/>
      <c r="JUN483" s="308"/>
      <c r="JUO483" s="308"/>
      <c r="JUP483" s="308"/>
      <c r="JUQ483" s="308"/>
      <c r="JUR483" s="308"/>
      <c r="JUS483" s="308"/>
      <c r="JUT483" s="308"/>
      <c r="JUU483" s="308"/>
      <c r="JUV483" s="308"/>
      <c r="JUW483" s="308"/>
      <c r="JUX483" s="308"/>
      <c r="JUY483" s="308"/>
      <c r="JUZ483" s="308"/>
      <c r="JVA483" s="308"/>
      <c r="JVB483" s="308"/>
      <c r="JVC483" s="308"/>
      <c r="JVD483" s="308"/>
      <c r="JVE483" s="308"/>
      <c r="JVF483" s="308"/>
      <c r="JVG483" s="308"/>
      <c r="JVH483" s="308"/>
      <c r="JVI483" s="308"/>
      <c r="JVJ483" s="308"/>
      <c r="JVK483" s="308"/>
      <c r="JVL483" s="308"/>
      <c r="JVM483" s="308"/>
      <c r="JVN483" s="308"/>
      <c r="JVO483" s="308"/>
      <c r="JVP483" s="308"/>
      <c r="JVQ483" s="308"/>
      <c r="JVR483" s="308"/>
      <c r="JVS483" s="308"/>
      <c r="JVT483" s="308"/>
      <c r="JVU483" s="308"/>
      <c r="JVV483" s="308"/>
      <c r="JVW483" s="308"/>
      <c r="JVX483" s="308"/>
      <c r="JVY483" s="308"/>
      <c r="JVZ483" s="308"/>
      <c r="JWA483" s="308"/>
      <c r="JWB483" s="308"/>
      <c r="JWC483" s="308"/>
      <c r="JWD483" s="308"/>
      <c r="JWE483" s="308"/>
      <c r="JWF483" s="308"/>
      <c r="JWG483" s="308"/>
      <c r="JWH483" s="308"/>
      <c r="JWI483" s="308"/>
      <c r="JWJ483" s="308"/>
      <c r="JWK483" s="308"/>
      <c r="JWL483" s="308"/>
      <c r="JWM483" s="308"/>
      <c r="JWN483" s="308"/>
      <c r="JWO483" s="308"/>
      <c r="JWP483" s="308"/>
      <c r="JWQ483" s="308"/>
      <c r="JWR483" s="308"/>
      <c r="JWS483" s="308"/>
      <c r="JWT483" s="308"/>
      <c r="JWU483" s="308"/>
      <c r="JWV483" s="308"/>
      <c r="JWW483" s="308"/>
      <c r="JWX483" s="308"/>
      <c r="JWY483" s="308"/>
      <c r="JWZ483" s="308"/>
      <c r="JXA483" s="308"/>
      <c r="JXB483" s="308"/>
      <c r="JXC483" s="308"/>
      <c r="JXD483" s="308"/>
      <c r="JXE483" s="308"/>
      <c r="JXF483" s="308"/>
      <c r="JXG483" s="308"/>
      <c r="JXH483" s="308"/>
      <c r="JXI483" s="308"/>
      <c r="JXJ483" s="308"/>
      <c r="JXK483" s="308"/>
      <c r="JXL483" s="308"/>
      <c r="JXM483" s="308"/>
      <c r="JXN483" s="308"/>
      <c r="JXO483" s="308"/>
      <c r="JXP483" s="308"/>
      <c r="JXQ483" s="308"/>
      <c r="JXR483" s="308"/>
      <c r="JXS483" s="308"/>
      <c r="JXT483" s="308"/>
      <c r="JXU483" s="308"/>
      <c r="JXV483" s="308"/>
      <c r="JXW483" s="308"/>
      <c r="JXX483" s="308"/>
      <c r="JXY483" s="308"/>
      <c r="JXZ483" s="308"/>
      <c r="JYA483" s="308"/>
      <c r="JYB483" s="308"/>
      <c r="JYC483" s="308"/>
      <c r="JYD483" s="308"/>
      <c r="JYE483" s="308"/>
      <c r="JYF483" s="308"/>
      <c r="JYG483" s="308"/>
      <c r="JYH483" s="308"/>
      <c r="JYI483" s="308"/>
      <c r="JYJ483" s="308"/>
      <c r="JYK483" s="308"/>
      <c r="JYL483" s="308"/>
      <c r="JYM483" s="308"/>
      <c r="JYN483" s="308"/>
      <c r="JYO483" s="308"/>
      <c r="JYP483" s="308"/>
      <c r="JYQ483" s="308"/>
      <c r="JYR483" s="308"/>
      <c r="JYS483" s="308"/>
      <c r="JYT483" s="308"/>
      <c r="JYU483" s="308"/>
      <c r="JYV483" s="308"/>
      <c r="JYW483" s="308"/>
      <c r="JYX483" s="308"/>
      <c r="JYY483" s="308"/>
      <c r="JYZ483" s="308"/>
      <c r="JZA483" s="308"/>
      <c r="JZB483" s="308"/>
      <c r="JZC483" s="308"/>
      <c r="JZD483" s="308"/>
      <c r="JZE483" s="308"/>
      <c r="JZF483" s="308"/>
      <c r="JZG483" s="308"/>
      <c r="JZH483" s="308"/>
      <c r="JZI483" s="308"/>
      <c r="JZJ483" s="308"/>
      <c r="JZK483" s="308"/>
      <c r="JZL483" s="308"/>
      <c r="JZM483" s="308"/>
      <c r="JZN483" s="308"/>
      <c r="JZO483" s="308"/>
      <c r="JZP483" s="308"/>
      <c r="JZQ483" s="308"/>
      <c r="JZR483" s="308"/>
      <c r="JZS483" s="308"/>
      <c r="JZT483" s="308"/>
      <c r="JZU483" s="308"/>
      <c r="JZV483" s="308"/>
      <c r="JZW483" s="308"/>
      <c r="JZX483" s="308"/>
      <c r="JZY483" s="308"/>
      <c r="JZZ483" s="308"/>
      <c r="KAA483" s="308"/>
      <c r="KAB483" s="308"/>
      <c r="KAC483" s="308"/>
      <c r="KAD483" s="308"/>
      <c r="KAE483" s="308"/>
      <c r="KAF483" s="308"/>
      <c r="KAG483" s="308"/>
      <c r="KAH483" s="308"/>
      <c r="KAI483" s="308"/>
      <c r="KAJ483" s="308"/>
      <c r="KAK483" s="308"/>
      <c r="KAL483" s="308"/>
      <c r="KAM483" s="308"/>
      <c r="KAN483" s="308"/>
      <c r="KAO483" s="308"/>
      <c r="KAP483" s="308"/>
      <c r="KAQ483" s="308"/>
      <c r="KAR483" s="308"/>
      <c r="KAS483" s="308"/>
      <c r="KAT483" s="308"/>
      <c r="KAU483" s="308"/>
      <c r="KAV483" s="308"/>
      <c r="KAW483" s="308"/>
      <c r="KAX483" s="308"/>
      <c r="KAY483" s="308"/>
      <c r="KAZ483" s="308"/>
      <c r="KBA483" s="308"/>
      <c r="KBB483" s="308"/>
      <c r="KBC483" s="308"/>
      <c r="KBD483" s="308"/>
      <c r="KBE483" s="308"/>
      <c r="KBF483" s="308"/>
      <c r="KBG483" s="308"/>
      <c r="KBH483" s="308"/>
      <c r="KBI483" s="308"/>
      <c r="KBJ483" s="308"/>
      <c r="KBK483" s="308"/>
      <c r="KBL483" s="308"/>
      <c r="KBM483" s="308"/>
      <c r="KBN483" s="308"/>
      <c r="KBO483" s="308"/>
      <c r="KBP483" s="308"/>
      <c r="KBQ483" s="308"/>
      <c r="KBR483" s="308"/>
      <c r="KBS483" s="308"/>
      <c r="KBT483" s="308"/>
      <c r="KBU483" s="308"/>
      <c r="KBV483" s="308"/>
      <c r="KBW483" s="308"/>
      <c r="KBX483" s="308"/>
      <c r="KBY483" s="308"/>
      <c r="KBZ483" s="308"/>
      <c r="KCA483" s="308"/>
      <c r="KCB483" s="308"/>
      <c r="KCC483" s="308"/>
      <c r="KCD483" s="308"/>
      <c r="KCE483" s="308"/>
      <c r="KCF483" s="308"/>
      <c r="KCG483" s="308"/>
      <c r="KCH483" s="308"/>
      <c r="KCI483" s="308"/>
      <c r="KCJ483" s="308"/>
      <c r="KCK483" s="308"/>
      <c r="KCL483" s="308"/>
      <c r="KCM483" s="308"/>
      <c r="KCN483" s="308"/>
      <c r="KCO483" s="308"/>
      <c r="KCP483" s="308"/>
      <c r="KCQ483" s="308"/>
      <c r="KCR483" s="308"/>
      <c r="KCS483" s="308"/>
      <c r="KCT483" s="308"/>
      <c r="KCU483" s="308"/>
      <c r="KCV483" s="308"/>
      <c r="KCW483" s="308"/>
      <c r="KCX483" s="308"/>
      <c r="KCY483" s="308"/>
      <c r="KCZ483" s="308"/>
      <c r="KDA483" s="308"/>
      <c r="KDB483" s="308"/>
      <c r="KDC483" s="308"/>
      <c r="KDD483" s="308"/>
      <c r="KDE483" s="308"/>
      <c r="KDF483" s="308"/>
      <c r="KDG483" s="308"/>
      <c r="KDH483" s="308"/>
      <c r="KDI483" s="308"/>
      <c r="KDJ483" s="308"/>
      <c r="KDK483" s="308"/>
      <c r="KDL483" s="308"/>
      <c r="KDM483" s="308"/>
      <c r="KDN483" s="308"/>
      <c r="KDO483" s="308"/>
      <c r="KDP483" s="308"/>
      <c r="KDQ483" s="308"/>
      <c r="KDR483" s="308"/>
      <c r="KDS483" s="308"/>
      <c r="KDT483" s="308"/>
      <c r="KDU483" s="308"/>
      <c r="KDV483" s="308"/>
      <c r="KDW483" s="308"/>
      <c r="KDX483" s="308"/>
      <c r="KDY483" s="308"/>
      <c r="KDZ483" s="308"/>
      <c r="KEA483" s="308"/>
      <c r="KEB483" s="308"/>
      <c r="KEC483" s="308"/>
      <c r="KED483" s="308"/>
      <c r="KEE483" s="308"/>
      <c r="KEF483" s="308"/>
      <c r="KEG483" s="308"/>
      <c r="KEH483" s="308"/>
      <c r="KEI483" s="308"/>
      <c r="KEJ483" s="308"/>
      <c r="KEK483" s="308"/>
      <c r="KEL483" s="308"/>
      <c r="KEM483" s="308"/>
      <c r="KEN483" s="308"/>
      <c r="KEO483" s="308"/>
      <c r="KEP483" s="308"/>
      <c r="KEQ483" s="308"/>
      <c r="KER483" s="308"/>
      <c r="KES483" s="308"/>
      <c r="KET483" s="308"/>
      <c r="KEU483" s="308"/>
      <c r="KEV483" s="308"/>
      <c r="KEW483" s="308"/>
      <c r="KEX483" s="308"/>
      <c r="KEY483" s="308"/>
      <c r="KEZ483" s="308"/>
      <c r="KFA483" s="308"/>
      <c r="KFB483" s="308"/>
      <c r="KFC483" s="308"/>
      <c r="KFD483" s="308"/>
      <c r="KFE483" s="308"/>
      <c r="KFF483" s="308"/>
      <c r="KFG483" s="308"/>
      <c r="KFH483" s="308"/>
      <c r="KFI483" s="308"/>
      <c r="KFJ483" s="308"/>
      <c r="KFK483" s="308"/>
      <c r="KFL483" s="308"/>
      <c r="KFM483" s="308"/>
      <c r="KFN483" s="308"/>
      <c r="KFO483" s="308"/>
      <c r="KFP483" s="308"/>
      <c r="KFQ483" s="308"/>
      <c r="KFR483" s="308"/>
      <c r="KFS483" s="308"/>
      <c r="KFT483" s="308"/>
      <c r="KFU483" s="308"/>
      <c r="KFV483" s="308"/>
      <c r="KFW483" s="308"/>
      <c r="KFX483" s="308"/>
      <c r="KFY483" s="308"/>
      <c r="KFZ483" s="308"/>
      <c r="KGA483" s="308"/>
      <c r="KGB483" s="308"/>
      <c r="KGC483" s="308"/>
      <c r="KGD483" s="308"/>
      <c r="KGE483" s="308"/>
      <c r="KGF483" s="308"/>
      <c r="KGG483" s="308"/>
      <c r="KGH483" s="308"/>
      <c r="KGI483" s="308"/>
      <c r="KGJ483" s="308"/>
      <c r="KGK483" s="308"/>
      <c r="KGL483" s="308"/>
      <c r="KGM483" s="308"/>
      <c r="KGN483" s="308"/>
      <c r="KGO483" s="308"/>
      <c r="KGP483" s="308"/>
      <c r="KGQ483" s="308"/>
      <c r="KGR483" s="308"/>
      <c r="KGS483" s="308"/>
      <c r="KGT483" s="308"/>
      <c r="KGU483" s="308"/>
      <c r="KGV483" s="308"/>
      <c r="KGW483" s="308"/>
      <c r="KGX483" s="308"/>
      <c r="KGY483" s="308"/>
      <c r="KGZ483" s="308"/>
      <c r="KHA483" s="308"/>
      <c r="KHB483" s="308"/>
      <c r="KHC483" s="308"/>
      <c r="KHD483" s="308"/>
      <c r="KHE483" s="308"/>
      <c r="KHF483" s="308"/>
      <c r="KHG483" s="308"/>
      <c r="KHH483" s="308"/>
      <c r="KHI483" s="308"/>
      <c r="KHJ483" s="308"/>
      <c r="KHK483" s="308"/>
      <c r="KHL483" s="308"/>
      <c r="KHM483" s="308"/>
      <c r="KHN483" s="308"/>
      <c r="KHO483" s="308"/>
      <c r="KHP483" s="308"/>
      <c r="KHQ483" s="308"/>
      <c r="KHR483" s="308"/>
      <c r="KHS483" s="308"/>
      <c r="KHT483" s="308"/>
      <c r="KHU483" s="308"/>
      <c r="KHV483" s="308"/>
      <c r="KHW483" s="308"/>
      <c r="KHX483" s="308"/>
      <c r="KHY483" s="308"/>
      <c r="KHZ483" s="308"/>
      <c r="KIA483" s="308"/>
      <c r="KIB483" s="308"/>
      <c r="KIC483" s="308"/>
      <c r="KID483" s="308"/>
      <c r="KIE483" s="308"/>
      <c r="KIF483" s="308"/>
      <c r="KIG483" s="308"/>
      <c r="KIH483" s="308"/>
      <c r="KII483" s="308"/>
      <c r="KIJ483" s="308"/>
      <c r="KIK483" s="308"/>
      <c r="KIL483" s="308"/>
      <c r="KIM483" s="308"/>
      <c r="KIN483" s="308"/>
      <c r="KIO483" s="308"/>
      <c r="KIP483" s="308"/>
      <c r="KIQ483" s="308"/>
      <c r="KIR483" s="308"/>
      <c r="KIS483" s="308"/>
      <c r="KIT483" s="308"/>
      <c r="KIU483" s="308"/>
      <c r="KIV483" s="308"/>
      <c r="KIW483" s="308"/>
      <c r="KIX483" s="308"/>
      <c r="KIY483" s="308"/>
      <c r="KIZ483" s="308"/>
      <c r="KJA483" s="308"/>
      <c r="KJB483" s="308"/>
      <c r="KJC483" s="308"/>
      <c r="KJD483" s="308"/>
      <c r="KJE483" s="308"/>
      <c r="KJF483" s="308"/>
      <c r="KJG483" s="308"/>
      <c r="KJH483" s="308"/>
      <c r="KJI483" s="308"/>
      <c r="KJJ483" s="308"/>
      <c r="KJK483" s="308"/>
      <c r="KJL483" s="308"/>
      <c r="KJM483" s="308"/>
      <c r="KJN483" s="308"/>
      <c r="KJO483" s="308"/>
      <c r="KJP483" s="308"/>
      <c r="KJQ483" s="308"/>
      <c r="KJR483" s="308"/>
      <c r="KJS483" s="308"/>
      <c r="KJT483" s="308"/>
      <c r="KJU483" s="308"/>
      <c r="KJV483" s="308"/>
      <c r="KJW483" s="308"/>
      <c r="KJX483" s="308"/>
      <c r="KJY483" s="308"/>
      <c r="KJZ483" s="308"/>
      <c r="KKA483" s="308"/>
      <c r="KKB483" s="308"/>
      <c r="KKC483" s="308"/>
      <c r="KKD483" s="308"/>
      <c r="KKE483" s="308"/>
      <c r="KKF483" s="308"/>
      <c r="KKG483" s="308"/>
      <c r="KKH483" s="308"/>
      <c r="KKI483" s="308"/>
      <c r="KKJ483" s="308"/>
      <c r="KKK483" s="308"/>
      <c r="KKL483" s="308"/>
      <c r="KKM483" s="308"/>
      <c r="KKN483" s="308"/>
      <c r="KKO483" s="308"/>
      <c r="KKP483" s="308"/>
      <c r="KKQ483" s="308"/>
      <c r="KKR483" s="308"/>
      <c r="KKS483" s="308"/>
      <c r="KKT483" s="308"/>
      <c r="KKU483" s="308"/>
      <c r="KKV483" s="308"/>
      <c r="KKW483" s="308"/>
      <c r="KKX483" s="308"/>
      <c r="KKY483" s="308"/>
      <c r="KKZ483" s="308"/>
      <c r="KLA483" s="308"/>
      <c r="KLB483" s="308"/>
      <c r="KLC483" s="308"/>
      <c r="KLD483" s="308"/>
      <c r="KLE483" s="308"/>
      <c r="KLF483" s="308"/>
      <c r="KLG483" s="308"/>
      <c r="KLH483" s="308"/>
      <c r="KLI483" s="308"/>
      <c r="KLJ483" s="308"/>
      <c r="KLK483" s="308"/>
      <c r="KLL483" s="308"/>
      <c r="KLM483" s="308"/>
      <c r="KLN483" s="308"/>
      <c r="KLO483" s="308"/>
      <c r="KLP483" s="308"/>
      <c r="KLQ483" s="308"/>
      <c r="KLR483" s="308"/>
      <c r="KLS483" s="308"/>
      <c r="KLT483" s="308"/>
      <c r="KLU483" s="308"/>
      <c r="KLV483" s="308"/>
      <c r="KLW483" s="308"/>
      <c r="KLX483" s="308"/>
      <c r="KLY483" s="308"/>
      <c r="KLZ483" s="308"/>
      <c r="KMA483" s="308"/>
      <c r="KMB483" s="308"/>
      <c r="KMC483" s="308"/>
      <c r="KMD483" s="308"/>
      <c r="KME483" s="308"/>
      <c r="KMF483" s="308"/>
      <c r="KMG483" s="308"/>
      <c r="KMH483" s="308"/>
      <c r="KMI483" s="308"/>
      <c r="KMJ483" s="308"/>
      <c r="KMK483" s="308"/>
      <c r="KML483" s="308"/>
      <c r="KMM483" s="308"/>
      <c r="KMN483" s="308"/>
      <c r="KMO483" s="308"/>
      <c r="KMP483" s="308"/>
      <c r="KMQ483" s="308"/>
      <c r="KMR483" s="308"/>
      <c r="KMS483" s="308"/>
      <c r="KMT483" s="308"/>
      <c r="KMU483" s="308"/>
      <c r="KMV483" s="308"/>
      <c r="KMW483" s="308"/>
      <c r="KMX483" s="308"/>
      <c r="KMY483" s="308"/>
      <c r="KMZ483" s="308"/>
      <c r="KNA483" s="308"/>
      <c r="KNB483" s="308"/>
      <c r="KNC483" s="308"/>
      <c r="KND483" s="308"/>
      <c r="KNE483" s="308"/>
      <c r="KNF483" s="308"/>
      <c r="KNG483" s="308"/>
      <c r="KNH483" s="308"/>
      <c r="KNI483" s="308"/>
      <c r="KNJ483" s="308"/>
      <c r="KNK483" s="308"/>
      <c r="KNL483" s="308"/>
      <c r="KNM483" s="308"/>
      <c r="KNN483" s="308"/>
      <c r="KNO483" s="308"/>
      <c r="KNP483" s="308"/>
      <c r="KNQ483" s="308"/>
      <c r="KNR483" s="308"/>
      <c r="KNS483" s="308"/>
      <c r="KNT483" s="308"/>
      <c r="KNU483" s="308"/>
      <c r="KNV483" s="308"/>
      <c r="KNW483" s="308"/>
      <c r="KNX483" s="308"/>
      <c r="KNY483" s="308"/>
      <c r="KNZ483" s="308"/>
      <c r="KOA483" s="308"/>
      <c r="KOB483" s="308"/>
      <c r="KOC483" s="308"/>
      <c r="KOD483" s="308"/>
      <c r="KOE483" s="308"/>
      <c r="KOF483" s="308"/>
      <c r="KOG483" s="308"/>
      <c r="KOH483" s="308"/>
      <c r="KOI483" s="308"/>
      <c r="KOJ483" s="308"/>
      <c r="KOK483" s="308"/>
      <c r="KOL483" s="308"/>
      <c r="KOM483" s="308"/>
      <c r="KON483" s="308"/>
      <c r="KOO483" s="308"/>
      <c r="KOP483" s="308"/>
      <c r="KOQ483" s="308"/>
      <c r="KOR483" s="308"/>
      <c r="KOS483" s="308"/>
      <c r="KOT483" s="308"/>
      <c r="KOU483" s="308"/>
      <c r="KOV483" s="308"/>
      <c r="KOW483" s="308"/>
      <c r="KOX483" s="308"/>
      <c r="KOY483" s="308"/>
      <c r="KOZ483" s="308"/>
      <c r="KPA483" s="308"/>
      <c r="KPB483" s="308"/>
      <c r="KPC483" s="308"/>
      <c r="KPD483" s="308"/>
      <c r="KPE483" s="308"/>
      <c r="KPF483" s="308"/>
      <c r="KPG483" s="308"/>
      <c r="KPH483" s="308"/>
      <c r="KPI483" s="308"/>
      <c r="KPJ483" s="308"/>
      <c r="KPK483" s="308"/>
      <c r="KPL483" s="308"/>
      <c r="KPM483" s="308"/>
      <c r="KPN483" s="308"/>
      <c r="KPO483" s="308"/>
      <c r="KPP483" s="308"/>
      <c r="KPQ483" s="308"/>
      <c r="KPR483" s="308"/>
      <c r="KPS483" s="308"/>
      <c r="KPT483" s="308"/>
      <c r="KPU483" s="308"/>
      <c r="KPV483" s="308"/>
      <c r="KPW483" s="308"/>
      <c r="KPX483" s="308"/>
      <c r="KPY483" s="308"/>
      <c r="KPZ483" s="308"/>
      <c r="KQA483" s="308"/>
      <c r="KQB483" s="308"/>
      <c r="KQC483" s="308"/>
      <c r="KQD483" s="308"/>
      <c r="KQE483" s="308"/>
      <c r="KQF483" s="308"/>
      <c r="KQG483" s="308"/>
      <c r="KQH483" s="308"/>
      <c r="KQI483" s="308"/>
      <c r="KQJ483" s="308"/>
      <c r="KQK483" s="308"/>
      <c r="KQL483" s="308"/>
      <c r="KQM483" s="308"/>
      <c r="KQN483" s="308"/>
      <c r="KQO483" s="308"/>
      <c r="KQP483" s="308"/>
      <c r="KQQ483" s="308"/>
      <c r="KQR483" s="308"/>
      <c r="KQS483" s="308"/>
      <c r="KQT483" s="308"/>
      <c r="KQU483" s="308"/>
      <c r="KQV483" s="308"/>
      <c r="KQW483" s="308"/>
      <c r="KQX483" s="308"/>
      <c r="KQY483" s="308"/>
      <c r="KQZ483" s="308"/>
      <c r="KRA483" s="308"/>
      <c r="KRB483" s="308"/>
      <c r="KRC483" s="308"/>
      <c r="KRD483" s="308"/>
      <c r="KRE483" s="308"/>
      <c r="KRF483" s="308"/>
      <c r="KRG483" s="308"/>
      <c r="KRH483" s="308"/>
      <c r="KRI483" s="308"/>
      <c r="KRJ483" s="308"/>
      <c r="KRK483" s="308"/>
      <c r="KRL483" s="308"/>
      <c r="KRM483" s="308"/>
      <c r="KRN483" s="308"/>
      <c r="KRO483" s="308"/>
      <c r="KRP483" s="308"/>
      <c r="KRQ483" s="308"/>
      <c r="KRR483" s="308"/>
      <c r="KRS483" s="308"/>
      <c r="KRT483" s="308"/>
      <c r="KRU483" s="308"/>
      <c r="KRV483" s="308"/>
      <c r="KRW483" s="308"/>
      <c r="KRX483" s="308"/>
      <c r="KRY483" s="308"/>
      <c r="KRZ483" s="308"/>
      <c r="KSA483" s="308"/>
      <c r="KSB483" s="308"/>
      <c r="KSC483" s="308"/>
      <c r="KSD483" s="308"/>
      <c r="KSE483" s="308"/>
      <c r="KSF483" s="308"/>
      <c r="KSG483" s="308"/>
      <c r="KSH483" s="308"/>
      <c r="KSI483" s="308"/>
      <c r="KSJ483" s="308"/>
      <c r="KSK483" s="308"/>
      <c r="KSL483" s="308"/>
      <c r="KSM483" s="308"/>
      <c r="KSN483" s="308"/>
      <c r="KSO483" s="308"/>
      <c r="KSP483" s="308"/>
      <c r="KSQ483" s="308"/>
      <c r="KSR483" s="308"/>
      <c r="KSS483" s="308"/>
      <c r="KST483" s="308"/>
      <c r="KSU483" s="308"/>
      <c r="KSV483" s="308"/>
      <c r="KSW483" s="308"/>
      <c r="KSX483" s="308"/>
      <c r="KSY483" s="308"/>
      <c r="KSZ483" s="308"/>
      <c r="KTA483" s="308"/>
      <c r="KTB483" s="308"/>
      <c r="KTC483" s="308"/>
      <c r="KTD483" s="308"/>
      <c r="KTE483" s="308"/>
      <c r="KTF483" s="308"/>
      <c r="KTG483" s="308"/>
      <c r="KTH483" s="308"/>
      <c r="KTI483" s="308"/>
      <c r="KTJ483" s="308"/>
      <c r="KTK483" s="308"/>
      <c r="KTL483" s="308"/>
      <c r="KTM483" s="308"/>
      <c r="KTN483" s="308"/>
      <c r="KTO483" s="308"/>
      <c r="KTP483" s="308"/>
      <c r="KTQ483" s="308"/>
      <c r="KTR483" s="308"/>
      <c r="KTS483" s="308"/>
      <c r="KTT483" s="308"/>
      <c r="KTU483" s="308"/>
      <c r="KTV483" s="308"/>
      <c r="KTW483" s="308"/>
      <c r="KTX483" s="308"/>
      <c r="KTY483" s="308"/>
      <c r="KTZ483" s="308"/>
      <c r="KUA483" s="308"/>
      <c r="KUB483" s="308"/>
      <c r="KUC483" s="308"/>
      <c r="KUD483" s="308"/>
      <c r="KUE483" s="308"/>
      <c r="KUF483" s="308"/>
      <c r="KUG483" s="308"/>
      <c r="KUH483" s="308"/>
      <c r="KUI483" s="308"/>
      <c r="KUJ483" s="308"/>
      <c r="KUK483" s="308"/>
      <c r="KUL483" s="308"/>
      <c r="KUM483" s="308"/>
      <c r="KUN483" s="308"/>
      <c r="KUO483" s="308"/>
      <c r="KUP483" s="308"/>
      <c r="KUQ483" s="308"/>
      <c r="KUR483" s="308"/>
      <c r="KUS483" s="308"/>
      <c r="KUT483" s="308"/>
      <c r="KUU483" s="308"/>
      <c r="KUV483" s="308"/>
      <c r="KUW483" s="308"/>
      <c r="KUX483" s="308"/>
      <c r="KUY483" s="308"/>
      <c r="KUZ483" s="308"/>
      <c r="KVA483" s="308"/>
      <c r="KVB483" s="308"/>
      <c r="KVC483" s="308"/>
      <c r="KVD483" s="308"/>
      <c r="KVE483" s="308"/>
      <c r="KVF483" s="308"/>
      <c r="KVG483" s="308"/>
      <c r="KVH483" s="308"/>
      <c r="KVI483" s="308"/>
      <c r="KVJ483" s="308"/>
      <c r="KVK483" s="308"/>
      <c r="KVL483" s="308"/>
      <c r="KVM483" s="308"/>
      <c r="KVN483" s="308"/>
      <c r="KVO483" s="308"/>
      <c r="KVP483" s="308"/>
      <c r="KVQ483" s="308"/>
      <c r="KVR483" s="308"/>
      <c r="KVS483" s="308"/>
      <c r="KVT483" s="308"/>
      <c r="KVU483" s="308"/>
      <c r="KVV483" s="308"/>
      <c r="KVW483" s="308"/>
      <c r="KVX483" s="308"/>
      <c r="KVY483" s="308"/>
      <c r="KVZ483" s="308"/>
      <c r="KWA483" s="308"/>
      <c r="KWB483" s="308"/>
      <c r="KWC483" s="308"/>
      <c r="KWD483" s="308"/>
      <c r="KWE483" s="308"/>
      <c r="KWF483" s="308"/>
      <c r="KWG483" s="308"/>
      <c r="KWH483" s="308"/>
      <c r="KWI483" s="308"/>
      <c r="KWJ483" s="308"/>
      <c r="KWK483" s="308"/>
      <c r="KWL483" s="308"/>
      <c r="KWM483" s="308"/>
      <c r="KWN483" s="308"/>
      <c r="KWO483" s="308"/>
      <c r="KWP483" s="308"/>
      <c r="KWQ483" s="308"/>
      <c r="KWR483" s="308"/>
      <c r="KWS483" s="308"/>
      <c r="KWT483" s="308"/>
      <c r="KWU483" s="308"/>
      <c r="KWV483" s="308"/>
      <c r="KWW483" s="308"/>
      <c r="KWX483" s="308"/>
      <c r="KWY483" s="308"/>
      <c r="KWZ483" s="308"/>
      <c r="KXA483" s="308"/>
      <c r="KXB483" s="308"/>
      <c r="KXC483" s="308"/>
      <c r="KXD483" s="308"/>
      <c r="KXE483" s="308"/>
      <c r="KXF483" s="308"/>
      <c r="KXG483" s="308"/>
      <c r="KXH483" s="308"/>
      <c r="KXI483" s="308"/>
      <c r="KXJ483" s="308"/>
      <c r="KXK483" s="308"/>
      <c r="KXL483" s="308"/>
      <c r="KXM483" s="308"/>
      <c r="KXN483" s="308"/>
      <c r="KXO483" s="308"/>
      <c r="KXP483" s="308"/>
      <c r="KXQ483" s="308"/>
      <c r="KXR483" s="308"/>
      <c r="KXS483" s="308"/>
      <c r="KXT483" s="308"/>
      <c r="KXU483" s="308"/>
      <c r="KXV483" s="308"/>
      <c r="KXW483" s="308"/>
      <c r="KXX483" s="308"/>
      <c r="KXY483" s="308"/>
      <c r="KXZ483" s="308"/>
      <c r="KYA483" s="308"/>
      <c r="KYB483" s="308"/>
      <c r="KYC483" s="308"/>
      <c r="KYD483" s="308"/>
      <c r="KYE483" s="308"/>
      <c r="KYF483" s="308"/>
      <c r="KYG483" s="308"/>
      <c r="KYH483" s="308"/>
      <c r="KYI483" s="308"/>
      <c r="KYJ483" s="308"/>
      <c r="KYK483" s="308"/>
      <c r="KYL483" s="308"/>
      <c r="KYM483" s="308"/>
      <c r="KYN483" s="308"/>
      <c r="KYO483" s="308"/>
      <c r="KYP483" s="308"/>
      <c r="KYQ483" s="308"/>
      <c r="KYR483" s="308"/>
      <c r="KYS483" s="308"/>
      <c r="KYT483" s="308"/>
      <c r="KYU483" s="308"/>
      <c r="KYV483" s="308"/>
      <c r="KYW483" s="308"/>
      <c r="KYX483" s="308"/>
      <c r="KYY483" s="308"/>
      <c r="KYZ483" s="308"/>
      <c r="KZA483" s="308"/>
      <c r="KZB483" s="308"/>
      <c r="KZC483" s="308"/>
      <c r="KZD483" s="308"/>
      <c r="KZE483" s="308"/>
      <c r="KZF483" s="308"/>
      <c r="KZG483" s="308"/>
      <c r="KZH483" s="308"/>
      <c r="KZI483" s="308"/>
      <c r="KZJ483" s="308"/>
      <c r="KZK483" s="308"/>
      <c r="KZL483" s="308"/>
      <c r="KZM483" s="308"/>
      <c r="KZN483" s="308"/>
      <c r="KZO483" s="308"/>
      <c r="KZP483" s="308"/>
      <c r="KZQ483" s="308"/>
      <c r="KZR483" s="308"/>
      <c r="KZS483" s="308"/>
      <c r="KZT483" s="308"/>
      <c r="KZU483" s="308"/>
      <c r="KZV483" s="308"/>
      <c r="KZW483" s="308"/>
      <c r="KZX483" s="308"/>
      <c r="KZY483" s="308"/>
      <c r="KZZ483" s="308"/>
      <c r="LAA483" s="308"/>
      <c r="LAB483" s="308"/>
      <c r="LAC483" s="308"/>
      <c r="LAD483" s="308"/>
      <c r="LAE483" s="308"/>
      <c r="LAF483" s="308"/>
      <c r="LAG483" s="308"/>
      <c r="LAH483" s="308"/>
      <c r="LAI483" s="308"/>
      <c r="LAJ483" s="308"/>
      <c r="LAK483" s="308"/>
      <c r="LAL483" s="308"/>
      <c r="LAM483" s="308"/>
      <c r="LAN483" s="308"/>
      <c r="LAO483" s="308"/>
      <c r="LAP483" s="308"/>
      <c r="LAQ483" s="308"/>
      <c r="LAR483" s="308"/>
      <c r="LAS483" s="308"/>
      <c r="LAT483" s="308"/>
      <c r="LAU483" s="308"/>
      <c r="LAV483" s="308"/>
      <c r="LAW483" s="308"/>
      <c r="LAX483" s="308"/>
      <c r="LAY483" s="308"/>
      <c r="LAZ483" s="308"/>
      <c r="LBA483" s="308"/>
      <c r="LBB483" s="308"/>
      <c r="LBC483" s="308"/>
      <c r="LBD483" s="308"/>
      <c r="LBE483" s="308"/>
      <c r="LBF483" s="308"/>
      <c r="LBG483" s="308"/>
      <c r="LBH483" s="308"/>
      <c r="LBI483" s="308"/>
      <c r="LBJ483" s="308"/>
      <c r="LBK483" s="308"/>
      <c r="LBL483" s="308"/>
      <c r="LBM483" s="308"/>
      <c r="LBN483" s="308"/>
      <c r="LBO483" s="308"/>
      <c r="LBP483" s="308"/>
      <c r="LBQ483" s="308"/>
      <c r="LBR483" s="308"/>
      <c r="LBS483" s="308"/>
      <c r="LBT483" s="308"/>
      <c r="LBU483" s="308"/>
      <c r="LBV483" s="308"/>
      <c r="LBW483" s="308"/>
      <c r="LBX483" s="308"/>
      <c r="LBY483" s="308"/>
      <c r="LBZ483" s="308"/>
      <c r="LCA483" s="308"/>
      <c r="LCB483" s="308"/>
      <c r="LCC483" s="308"/>
      <c r="LCD483" s="308"/>
      <c r="LCE483" s="308"/>
      <c r="LCF483" s="308"/>
      <c r="LCG483" s="308"/>
      <c r="LCH483" s="308"/>
      <c r="LCI483" s="308"/>
      <c r="LCJ483" s="308"/>
      <c r="LCK483" s="308"/>
      <c r="LCL483" s="308"/>
      <c r="LCM483" s="308"/>
      <c r="LCN483" s="308"/>
      <c r="LCO483" s="308"/>
      <c r="LCP483" s="308"/>
      <c r="LCQ483" s="308"/>
      <c r="LCR483" s="308"/>
      <c r="LCS483" s="308"/>
      <c r="LCT483" s="308"/>
      <c r="LCU483" s="308"/>
      <c r="LCV483" s="308"/>
      <c r="LCW483" s="308"/>
      <c r="LCX483" s="308"/>
      <c r="LCY483" s="308"/>
      <c r="LCZ483" s="308"/>
      <c r="LDA483" s="308"/>
      <c r="LDB483" s="308"/>
      <c r="LDC483" s="308"/>
      <c r="LDD483" s="308"/>
      <c r="LDE483" s="308"/>
      <c r="LDF483" s="308"/>
      <c r="LDG483" s="308"/>
      <c r="LDH483" s="308"/>
      <c r="LDI483" s="308"/>
      <c r="LDJ483" s="308"/>
      <c r="LDK483" s="308"/>
      <c r="LDL483" s="308"/>
      <c r="LDM483" s="308"/>
      <c r="LDN483" s="308"/>
      <c r="LDO483" s="308"/>
      <c r="LDP483" s="308"/>
      <c r="LDQ483" s="308"/>
      <c r="LDR483" s="308"/>
      <c r="LDS483" s="308"/>
      <c r="LDT483" s="308"/>
      <c r="LDU483" s="308"/>
      <c r="LDV483" s="308"/>
      <c r="LDW483" s="308"/>
      <c r="LDX483" s="308"/>
      <c r="LDY483" s="308"/>
      <c r="LDZ483" s="308"/>
      <c r="LEA483" s="308"/>
      <c r="LEB483" s="308"/>
      <c r="LEC483" s="308"/>
      <c r="LED483" s="308"/>
      <c r="LEE483" s="308"/>
      <c r="LEF483" s="308"/>
      <c r="LEG483" s="308"/>
      <c r="LEH483" s="308"/>
      <c r="LEI483" s="308"/>
      <c r="LEJ483" s="308"/>
      <c r="LEK483" s="308"/>
      <c r="LEL483" s="308"/>
      <c r="LEM483" s="308"/>
      <c r="LEN483" s="308"/>
      <c r="LEO483" s="308"/>
      <c r="LEP483" s="308"/>
      <c r="LEQ483" s="308"/>
      <c r="LER483" s="308"/>
      <c r="LES483" s="308"/>
      <c r="LET483" s="308"/>
      <c r="LEU483" s="308"/>
      <c r="LEV483" s="308"/>
      <c r="LEW483" s="308"/>
      <c r="LEX483" s="308"/>
      <c r="LEY483" s="308"/>
      <c r="LEZ483" s="308"/>
      <c r="LFA483" s="308"/>
      <c r="LFB483" s="308"/>
      <c r="LFC483" s="308"/>
      <c r="LFD483" s="308"/>
      <c r="LFE483" s="308"/>
      <c r="LFF483" s="308"/>
      <c r="LFG483" s="308"/>
      <c r="LFH483" s="308"/>
      <c r="LFI483" s="308"/>
      <c r="LFJ483" s="308"/>
      <c r="LFK483" s="308"/>
      <c r="LFL483" s="308"/>
      <c r="LFM483" s="308"/>
      <c r="LFN483" s="308"/>
      <c r="LFO483" s="308"/>
      <c r="LFP483" s="308"/>
      <c r="LFQ483" s="308"/>
      <c r="LFR483" s="308"/>
      <c r="LFS483" s="308"/>
      <c r="LFT483" s="308"/>
      <c r="LFU483" s="308"/>
      <c r="LFV483" s="308"/>
      <c r="LFW483" s="308"/>
      <c r="LFX483" s="308"/>
      <c r="LFY483" s="308"/>
      <c r="LFZ483" s="308"/>
      <c r="LGA483" s="308"/>
      <c r="LGB483" s="308"/>
      <c r="LGC483" s="308"/>
      <c r="LGD483" s="308"/>
      <c r="LGE483" s="308"/>
      <c r="LGF483" s="308"/>
      <c r="LGG483" s="308"/>
      <c r="LGH483" s="308"/>
      <c r="LGI483" s="308"/>
      <c r="LGJ483" s="308"/>
      <c r="LGK483" s="308"/>
      <c r="LGL483" s="308"/>
      <c r="LGM483" s="308"/>
      <c r="LGN483" s="308"/>
      <c r="LGO483" s="308"/>
      <c r="LGP483" s="308"/>
      <c r="LGQ483" s="308"/>
      <c r="LGR483" s="308"/>
      <c r="LGS483" s="308"/>
      <c r="LGT483" s="308"/>
      <c r="LGU483" s="308"/>
      <c r="LGV483" s="308"/>
      <c r="LGW483" s="308"/>
      <c r="LGX483" s="308"/>
      <c r="LGY483" s="308"/>
      <c r="LGZ483" s="308"/>
      <c r="LHA483" s="308"/>
      <c r="LHB483" s="308"/>
      <c r="LHC483" s="308"/>
      <c r="LHD483" s="308"/>
      <c r="LHE483" s="308"/>
      <c r="LHF483" s="308"/>
      <c r="LHG483" s="308"/>
      <c r="LHH483" s="308"/>
      <c r="LHI483" s="308"/>
      <c r="LHJ483" s="308"/>
      <c r="LHK483" s="308"/>
      <c r="LHL483" s="308"/>
      <c r="LHM483" s="308"/>
      <c r="LHN483" s="308"/>
      <c r="LHO483" s="308"/>
      <c r="LHP483" s="308"/>
      <c r="LHQ483" s="308"/>
      <c r="LHR483" s="308"/>
      <c r="LHS483" s="308"/>
      <c r="LHT483" s="308"/>
      <c r="LHU483" s="308"/>
      <c r="LHV483" s="308"/>
      <c r="LHW483" s="308"/>
      <c r="LHX483" s="308"/>
      <c r="LHY483" s="308"/>
      <c r="LHZ483" s="308"/>
      <c r="LIA483" s="308"/>
      <c r="LIB483" s="308"/>
      <c r="LIC483" s="308"/>
      <c r="LID483" s="308"/>
      <c r="LIE483" s="308"/>
      <c r="LIF483" s="308"/>
      <c r="LIG483" s="308"/>
      <c r="LIH483" s="308"/>
      <c r="LII483" s="308"/>
      <c r="LIJ483" s="308"/>
      <c r="LIK483" s="308"/>
      <c r="LIL483" s="308"/>
      <c r="LIM483" s="308"/>
      <c r="LIN483" s="308"/>
      <c r="LIO483" s="308"/>
      <c r="LIP483" s="308"/>
      <c r="LIQ483" s="308"/>
      <c r="LIR483" s="308"/>
      <c r="LIS483" s="308"/>
      <c r="LIT483" s="308"/>
      <c r="LIU483" s="308"/>
      <c r="LIV483" s="308"/>
      <c r="LIW483" s="308"/>
      <c r="LIX483" s="308"/>
      <c r="LIY483" s="308"/>
      <c r="LIZ483" s="308"/>
      <c r="LJA483" s="308"/>
      <c r="LJB483" s="308"/>
      <c r="LJC483" s="308"/>
      <c r="LJD483" s="308"/>
      <c r="LJE483" s="308"/>
      <c r="LJF483" s="308"/>
      <c r="LJG483" s="308"/>
      <c r="LJH483" s="308"/>
      <c r="LJI483" s="308"/>
      <c r="LJJ483" s="308"/>
      <c r="LJK483" s="308"/>
      <c r="LJL483" s="308"/>
      <c r="LJM483" s="308"/>
      <c r="LJN483" s="308"/>
      <c r="LJO483" s="308"/>
      <c r="LJP483" s="308"/>
      <c r="LJQ483" s="308"/>
      <c r="LJR483" s="308"/>
      <c r="LJS483" s="308"/>
      <c r="LJT483" s="308"/>
      <c r="LJU483" s="308"/>
      <c r="LJV483" s="308"/>
      <c r="LJW483" s="308"/>
      <c r="LJX483" s="308"/>
      <c r="LJY483" s="308"/>
      <c r="LJZ483" s="308"/>
      <c r="LKA483" s="308"/>
      <c r="LKB483" s="308"/>
      <c r="LKC483" s="308"/>
      <c r="LKD483" s="308"/>
      <c r="LKE483" s="308"/>
      <c r="LKF483" s="308"/>
      <c r="LKG483" s="308"/>
      <c r="LKH483" s="308"/>
      <c r="LKI483" s="308"/>
      <c r="LKJ483" s="308"/>
      <c r="LKK483" s="308"/>
      <c r="LKL483" s="308"/>
      <c r="LKM483" s="308"/>
      <c r="LKN483" s="308"/>
      <c r="LKO483" s="308"/>
      <c r="LKP483" s="308"/>
      <c r="LKQ483" s="308"/>
      <c r="LKR483" s="308"/>
      <c r="LKS483" s="308"/>
      <c r="LKT483" s="308"/>
      <c r="LKU483" s="308"/>
      <c r="LKV483" s="308"/>
      <c r="LKW483" s="308"/>
      <c r="LKX483" s="308"/>
      <c r="LKY483" s="308"/>
      <c r="LKZ483" s="308"/>
      <c r="LLA483" s="308"/>
      <c r="LLB483" s="308"/>
      <c r="LLC483" s="308"/>
      <c r="LLD483" s="308"/>
      <c r="LLE483" s="308"/>
      <c r="LLF483" s="308"/>
      <c r="LLG483" s="308"/>
      <c r="LLH483" s="308"/>
      <c r="LLI483" s="308"/>
      <c r="LLJ483" s="308"/>
      <c r="LLK483" s="308"/>
      <c r="LLL483" s="308"/>
      <c r="LLM483" s="308"/>
      <c r="LLN483" s="308"/>
      <c r="LLO483" s="308"/>
      <c r="LLP483" s="308"/>
      <c r="LLQ483" s="308"/>
      <c r="LLR483" s="308"/>
      <c r="LLS483" s="308"/>
      <c r="LLT483" s="308"/>
      <c r="LLU483" s="308"/>
      <c r="LLV483" s="308"/>
      <c r="LLW483" s="308"/>
      <c r="LLX483" s="308"/>
      <c r="LLY483" s="308"/>
      <c r="LLZ483" s="308"/>
      <c r="LMA483" s="308"/>
      <c r="LMB483" s="308"/>
      <c r="LMC483" s="308"/>
      <c r="LMD483" s="308"/>
      <c r="LME483" s="308"/>
      <c r="LMF483" s="308"/>
      <c r="LMG483" s="308"/>
      <c r="LMH483" s="308"/>
      <c r="LMI483" s="308"/>
      <c r="LMJ483" s="308"/>
      <c r="LMK483" s="308"/>
      <c r="LML483" s="308"/>
      <c r="LMM483" s="308"/>
      <c r="LMN483" s="308"/>
      <c r="LMO483" s="308"/>
      <c r="LMP483" s="308"/>
      <c r="LMQ483" s="308"/>
      <c r="LMR483" s="308"/>
      <c r="LMS483" s="308"/>
      <c r="LMT483" s="308"/>
      <c r="LMU483" s="308"/>
      <c r="LMV483" s="308"/>
      <c r="LMW483" s="308"/>
      <c r="LMX483" s="308"/>
      <c r="LMY483" s="308"/>
      <c r="LMZ483" s="308"/>
      <c r="LNA483" s="308"/>
      <c r="LNB483" s="308"/>
      <c r="LNC483" s="308"/>
      <c r="LND483" s="308"/>
      <c r="LNE483" s="308"/>
      <c r="LNF483" s="308"/>
      <c r="LNG483" s="308"/>
      <c r="LNH483" s="308"/>
      <c r="LNI483" s="308"/>
      <c r="LNJ483" s="308"/>
      <c r="LNK483" s="308"/>
      <c r="LNL483" s="308"/>
      <c r="LNM483" s="308"/>
      <c r="LNN483" s="308"/>
      <c r="LNO483" s="308"/>
      <c r="LNP483" s="308"/>
      <c r="LNQ483" s="308"/>
      <c r="LNR483" s="308"/>
      <c r="LNS483" s="308"/>
      <c r="LNT483" s="308"/>
      <c r="LNU483" s="308"/>
      <c r="LNV483" s="308"/>
      <c r="LNW483" s="308"/>
      <c r="LNX483" s="308"/>
      <c r="LNY483" s="308"/>
      <c r="LNZ483" s="308"/>
      <c r="LOA483" s="308"/>
      <c r="LOB483" s="308"/>
      <c r="LOC483" s="308"/>
      <c r="LOD483" s="308"/>
      <c r="LOE483" s="308"/>
      <c r="LOF483" s="308"/>
      <c r="LOG483" s="308"/>
      <c r="LOH483" s="308"/>
      <c r="LOI483" s="308"/>
      <c r="LOJ483" s="308"/>
      <c r="LOK483" s="308"/>
      <c r="LOL483" s="308"/>
      <c r="LOM483" s="308"/>
      <c r="LON483" s="308"/>
      <c r="LOO483" s="308"/>
      <c r="LOP483" s="308"/>
      <c r="LOQ483" s="308"/>
      <c r="LOR483" s="308"/>
      <c r="LOS483" s="308"/>
      <c r="LOT483" s="308"/>
      <c r="LOU483" s="308"/>
      <c r="LOV483" s="308"/>
      <c r="LOW483" s="308"/>
      <c r="LOX483" s="308"/>
      <c r="LOY483" s="308"/>
      <c r="LOZ483" s="308"/>
      <c r="LPA483" s="308"/>
      <c r="LPB483" s="308"/>
      <c r="LPC483" s="308"/>
      <c r="LPD483" s="308"/>
      <c r="LPE483" s="308"/>
      <c r="LPF483" s="308"/>
      <c r="LPG483" s="308"/>
      <c r="LPH483" s="308"/>
      <c r="LPI483" s="308"/>
      <c r="LPJ483" s="308"/>
      <c r="LPK483" s="308"/>
      <c r="LPL483" s="308"/>
      <c r="LPM483" s="308"/>
      <c r="LPN483" s="308"/>
      <c r="LPO483" s="308"/>
      <c r="LPP483" s="308"/>
      <c r="LPQ483" s="308"/>
      <c r="LPR483" s="308"/>
      <c r="LPS483" s="308"/>
      <c r="LPT483" s="308"/>
      <c r="LPU483" s="308"/>
      <c r="LPV483" s="308"/>
      <c r="LPW483" s="308"/>
      <c r="LPX483" s="308"/>
      <c r="LPY483" s="308"/>
      <c r="LPZ483" s="308"/>
      <c r="LQA483" s="308"/>
      <c r="LQB483" s="308"/>
      <c r="LQC483" s="308"/>
      <c r="LQD483" s="308"/>
      <c r="LQE483" s="308"/>
      <c r="LQF483" s="308"/>
      <c r="LQG483" s="308"/>
      <c r="LQH483" s="308"/>
      <c r="LQI483" s="308"/>
      <c r="LQJ483" s="308"/>
      <c r="LQK483" s="308"/>
      <c r="LQL483" s="308"/>
      <c r="LQM483" s="308"/>
      <c r="LQN483" s="308"/>
      <c r="LQO483" s="308"/>
      <c r="LQP483" s="308"/>
      <c r="LQQ483" s="308"/>
      <c r="LQR483" s="308"/>
      <c r="LQS483" s="308"/>
      <c r="LQT483" s="308"/>
      <c r="LQU483" s="308"/>
      <c r="LQV483" s="308"/>
      <c r="LQW483" s="308"/>
      <c r="LQX483" s="308"/>
      <c r="LQY483" s="308"/>
      <c r="LQZ483" s="308"/>
      <c r="LRA483" s="308"/>
      <c r="LRB483" s="308"/>
      <c r="LRC483" s="308"/>
      <c r="LRD483" s="308"/>
      <c r="LRE483" s="308"/>
      <c r="LRF483" s="308"/>
      <c r="LRG483" s="308"/>
      <c r="LRH483" s="308"/>
      <c r="LRI483" s="308"/>
      <c r="LRJ483" s="308"/>
      <c r="LRK483" s="308"/>
      <c r="LRL483" s="308"/>
      <c r="LRM483" s="308"/>
      <c r="LRN483" s="308"/>
      <c r="LRO483" s="308"/>
      <c r="LRP483" s="308"/>
      <c r="LRQ483" s="308"/>
      <c r="LRR483" s="308"/>
      <c r="LRS483" s="308"/>
      <c r="LRT483" s="308"/>
      <c r="LRU483" s="308"/>
      <c r="LRV483" s="308"/>
      <c r="LRW483" s="308"/>
      <c r="LRX483" s="308"/>
      <c r="LRY483" s="308"/>
      <c r="LRZ483" s="308"/>
      <c r="LSA483" s="308"/>
      <c r="LSB483" s="308"/>
      <c r="LSC483" s="308"/>
      <c r="LSD483" s="308"/>
      <c r="LSE483" s="308"/>
      <c r="LSF483" s="308"/>
      <c r="LSG483" s="308"/>
      <c r="LSH483" s="308"/>
      <c r="LSI483" s="308"/>
      <c r="LSJ483" s="308"/>
      <c r="LSK483" s="308"/>
      <c r="LSL483" s="308"/>
      <c r="LSM483" s="308"/>
      <c r="LSN483" s="308"/>
      <c r="LSO483" s="308"/>
      <c r="LSP483" s="308"/>
      <c r="LSQ483" s="308"/>
      <c r="LSR483" s="308"/>
      <c r="LSS483" s="308"/>
      <c r="LST483" s="308"/>
      <c r="LSU483" s="308"/>
      <c r="LSV483" s="308"/>
      <c r="LSW483" s="308"/>
      <c r="LSX483" s="308"/>
      <c r="LSY483" s="308"/>
      <c r="LSZ483" s="308"/>
      <c r="LTA483" s="308"/>
      <c r="LTB483" s="308"/>
      <c r="LTC483" s="308"/>
      <c r="LTD483" s="308"/>
      <c r="LTE483" s="308"/>
      <c r="LTF483" s="308"/>
      <c r="LTG483" s="308"/>
      <c r="LTH483" s="308"/>
      <c r="LTI483" s="308"/>
      <c r="LTJ483" s="308"/>
      <c r="LTK483" s="308"/>
      <c r="LTL483" s="308"/>
      <c r="LTM483" s="308"/>
      <c r="LTN483" s="308"/>
      <c r="LTO483" s="308"/>
      <c r="LTP483" s="308"/>
      <c r="LTQ483" s="308"/>
      <c r="LTR483" s="308"/>
      <c r="LTS483" s="308"/>
      <c r="LTT483" s="308"/>
      <c r="LTU483" s="308"/>
      <c r="LTV483" s="308"/>
      <c r="LTW483" s="308"/>
      <c r="LTX483" s="308"/>
      <c r="LTY483" s="308"/>
      <c r="LTZ483" s="308"/>
      <c r="LUA483" s="308"/>
      <c r="LUB483" s="308"/>
      <c r="LUC483" s="308"/>
      <c r="LUD483" s="308"/>
      <c r="LUE483" s="308"/>
      <c r="LUF483" s="308"/>
      <c r="LUG483" s="308"/>
      <c r="LUH483" s="308"/>
      <c r="LUI483" s="308"/>
      <c r="LUJ483" s="308"/>
      <c r="LUK483" s="308"/>
      <c r="LUL483" s="308"/>
      <c r="LUM483" s="308"/>
      <c r="LUN483" s="308"/>
      <c r="LUO483" s="308"/>
      <c r="LUP483" s="308"/>
      <c r="LUQ483" s="308"/>
      <c r="LUR483" s="308"/>
      <c r="LUS483" s="308"/>
      <c r="LUT483" s="308"/>
      <c r="LUU483" s="308"/>
      <c r="LUV483" s="308"/>
      <c r="LUW483" s="308"/>
      <c r="LUX483" s="308"/>
      <c r="LUY483" s="308"/>
      <c r="LUZ483" s="308"/>
      <c r="LVA483" s="308"/>
      <c r="LVB483" s="308"/>
      <c r="LVC483" s="308"/>
      <c r="LVD483" s="308"/>
      <c r="LVE483" s="308"/>
      <c r="LVF483" s="308"/>
      <c r="LVG483" s="308"/>
      <c r="LVH483" s="308"/>
      <c r="LVI483" s="308"/>
      <c r="LVJ483" s="308"/>
      <c r="LVK483" s="308"/>
      <c r="LVL483" s="308"/>
      <c r="LVM483" s="308"/>
      <c r="LVN483" s="308"/>
      <c r="LVO483" s="308"/>
      <c r="LVP483" s="308"/>
      <c r="LVQ483" s="308"/>
      <c r="LVR483" s="308"/>
      <c r="LVS483" s="308"/>
      <c r="LVT483" s="308"/>
      <c r="LVU483" s="308"/>
      <c r="LVV483" s="308"/>
      <c r="LVW483" s="308"/>
      <c r="LVX483" s="308"/>
      <c r="LVY483" s="308"/>
      <c r="LVZ483" s="308"/>
      <c r="LWA483" s="308"/>
      <c r="LWB483" s="308"/>
      <c r="LWC483" s="308"/>
      <c r="LWD483" s="308"/>
      <c r="LWE483" s="308"/>
      <c r="LWF483" s="308"/>
      <c r="LWG483" s="308"/>
      <c r="LWH483" s="308"/>
      <c r="LWI483" s="308"/>
      <c r="LWJ483" s="308"/>
      <c r="LWK483" s="308"/>
      <c r="LWL483" s="308"/>
      <c r="LWM483" s="308"/>
      <c r="LWN483" s="308"/>
      <c r="LWO483" s="308"/>
      <c r="LWP483" s="308"/>
      <c r="LWQ483" s="308"/>
      <c r="LWR483" s="308"/>
      <c r="LWS483" s="308"/>
      <c r="LWT483" s="308"/>
      <c r="LWU483" s="308"/>
      <c r="LWV483" s="308"/>
      <c r="LWW483" s="308"/>
      <c r="LWX483" s="308"/>
      <c r="LWY483" s="308"/>
      <c r="LWZ483" s="308"/>
      <c r="LXA483" s="308"/>
      <c r="LXB483" s="308"/>
      <c r="LXC483" s="308"/>
      <c r="LXD483" s="308"/>
      <c r="LXE483" s="308"/>
      <c r="LXF483" s="308"/>
      <c r="LXG483" s="308"/>
      <c r="LXH483" s="308"/>
      <c r="LXI483" s="308"/>
      <c r="LXJ483" s="308"/>
      <c r="LXK483" s="308"/>
      <c r="LXL483" s="308"/>
      <c r="LXM483" s="308"/>
      <c r="LXN483" s="308"/>
      <c r="LXO483" s="308"/>
      <c r="LXP483" s="308"/>
      <c r="LXQ483" s="308"/>
      <c r="LXR483" s="308"/>
      <c r="LXS483" s="308"/>
      <c r="LXT483" s="308"/>
      <c r="LXU483" s="308"/>
      <c r="LXV483" s="308"/>
      <c r="LXW483" s="308"/>
      <c r="LXX483" s="308"/>
      <c r="LXY483" s="308"/>
      <c r="LXZ483" s="308"/>
      <c r="LYA483" s="308"/>
      <c r="LYB483" s="308"/>
      <c r="LYC483" s="308"/>
      <c r="LYD483" s="308"/>
      <c r="LYE483" s="308"/>
      <c r="LYF483" s="308"/>
      <c r="LYG483" s="308"/>
      <c r="LYH483" s="308"/>
      <c r="LYI483" s="308"/>
      <c r="LYJ483" s="308"/>
      <c r="LYK483" s="308"/>
      <c r="LYL483" s="308"/>
      <c r="LYM483" s="308"/>
      <c r="LYN483" s="308"/>
      <c r="LYO483" s="308"/>
      <c r="LYP483" s="308"/>
      <c r="LYQ483" s="308"/>
      <c r="LYR483" s="308"/>
      <c r="LYS483" s="308"/>
      <c r="LYT483" s="308"/>
      <c r="LYU483" s="308"/>
      <c r="LYV483" s="308"/>
      <c r="LYW483" s="308"/>
      <c r="LYX483" s="308"/>
      <c r="LYY483" s="308"/>
      <c r="LYZ483" s="308"/>
      <c r="LZA483" s="308"/>
      <c r="LZB483" s="308"/>
      <c r="LZC483" s="308"/>
      <c r="LZD483" s="308"/>
      <c r="LZE483" s="308"/>
      <c r="LZF483" s="308"/>
      <c r="LZG483" s="308"/>
      <c r="LZH483" s="308"/>
      <c r="LZI483" s="308"/>
      <c r="LZJ483" s="308"/>
      <c r="LZK483" s="308"/>
      <c r="LZL483" s="308"/>
      <c r="LZM483" s="308"/>
      <c r="LZN483" s="308"/>
      <c r="LZO483" s="308"/>
      <c r="LZP483" s="308"/>
      <c r="LZQ483" s="308"/>
      <c r="LZR483" s="308"/>
      <c r="LZS483" s="308"/>
      <c r="LZT483" s="308"/>
      <c r="LZU483" s="308"/>
      <c r="LZV483" s="308"/>
      <c r="LZW483" s="308"/>
      <c r="LZX483" s="308"/>
      <c r="LZY483" s="308"/>
      <c r="LZZ483" s="308"/>
      <c r="MAA483" s="308"/>
      <c r="MAB483" s="308"/>
      <c r="MAC483" s="308"/>
      <c r="MAD483" s="308"/>
      <c r="MAE483" s="308"/>
      <c r="MAF483" s="308"/>
      <c r="MAG483" s="308"/>
      <c r="MAH483" s="308"/>
      <c r="MAI483" s="308"/>
      <c r="MAJ483" s="308"/>
      <c r="MAK483" s="308"/>
      <c r="MAL483" s="308"/>
      <c r="MAM483" s="308"/>
      <c r="MAN483" s="308"/>
      <c r="MAO483" s="308"/>
      <c r="MAP483" s="308"/>
      <c r="MAQ483" s="308"/>
      <c r="MAR483" s="308"/>
      <c r="MAS483" s="308"/>
      <c r="MAT483" s="308"/>
      <c r="MAU483" s="308"/>
      <c r="MAV483" s="308"/>
      <c r="MAW483" s="308"/>
      <c r="MAX483" s="308"/>
      <c r="MAY483" s="308"/>
      <c r="MAZ483" s="308"/>
      <c r="MBA483" s="308"/>
      <c r="MBB483" s="308"/>
      <c r="MBC483" s="308"/>
      <c r="MBD483" s="308"/>
      <c r="MBE483" s="308"/>
      <c r="MBF483" s="308"/>
      <c r="MBG483" s="308"/>
      <c r="MBH483" s="308"/>
      <c r="MBI483" s="308"/>
      <c r="MBJ483" s="308"/>
      <c r="MBK483" s="308"/>
      <c r="MBL483" s="308"/>
      <c r="MBM483" s="308"/>
      <c r="MBN483" s="308"/>
      <c r="MBO483" s="308"/>
      <c r="MBP483" s="308"/>
      <c r="MBQ483" s="308"/>
      <c r="MBR483" s="308"/>
      <c r="MBS483" s="308"/>
      <c r="MBT483" s="308"/>
      <c r="MBU483" s="308"/>
      <c r="MBV483" s="308"/>
      <c r="MBW483" s="308"/>
      <c r="MBX483" s="308"/>
      <c r="MBY483" s="308"/>
      <c r="MBZ483" s="308"/>
      <c r="MCA483" s="308"/>
      <c r="MCB483" s="308"/>
      <c r="MCC483" s="308"/>
      <c r="MCD483" s="308"/>
      <c r="MCE483" s="308"/>
      <c r="MCF483" s="308"/>
      <c r="MCG483" s="308"/>
      <c r="MCH483" s="308"/>
      <c r="MCI483" s="308"/>
      <c r="MCJ483" s="308"/>
      <c r="MCK483" s="308"/>
      <c r="MCL483" s="308"/>
      <c r="MCM483" s="308"/>
      <c r="MCN483" s="308"/>
      <c r="MCO483" s="308"/>
      <c r="MCP483" s="308"/>
      <c r="MCQ483" s="308"/>
      <c r="MCR483" s="308"/>
      <c r="MCS483" s="308"/>
      <c r="MCT483" s="308"/>
      <c r="MCU483" s="308"/>
      <c r="MCV483" s="308"/>
      <c r="MCW483" s="308"/>
      <c r="MCX483" s="308"/>
      <c r="MCY483" s="308"/>
      <c r="MCZ483" s="308"/>
      <c r="MDA483" s="308"/>
      <c r="MDB483" s="308"/>
      <c r="MDC483" s="308"/>
      <c r="MDD483" s="308"/>
      <c r="MDE483" s="308"/>
      <c r="MDF483" s="308"/>
      <c r="MDG483" s="308"/>
      <c r="MDH483" s="308"/>
      <c r="MDI483" s="308"/>
      <c r="MDJ483" s="308"/>
      <c r="MDK483" s="308"/>
      <c r="MDL483" s="308"/>
      <c r="MDM483" s="308"/>
      <c r="MDN483" s="308"/>
      <c r="MDO483" s="308"/>
      <c r="MDP483" s="308"/>
      <c r="MDQ483" s="308"/>
      <c r="MDR483" s="308"/>
      <c r="MDS483" s="308"/>
      <c r="MDT483" s="308"/>
      <c r="MDU483" s="308"/>
      <c r="MDV483" s="308"/>
      <c r="MDW483" s="308"/>
      <c r="MDX483" s="308"/>
      <c r="MDY483" s="308"/>
      <c r="MDZ483" s="308"/>
      <c r="MEA483" s="308"/>
      <c r="MEB483" s="308"/>
      <c r="MEC483" s="308"/>
      <c r="MED483" s="308"/>
      <c r="MEE483" s="308"/>
      <c r="MEF483" s="308"/>
      <c r="MEG483" s="308"/>
      <c r="MEH483" s="308"/>
      <c r="MEI483" s="308"/>
      <c r="MEJ483" s="308"/>
      <c r="MEK483" s="308"/>
      <c r="MEL483" s="308"/>
      <c r="MEM483" s="308"/>
      <c r="MEN483" s="308"/>
      <c r="MEO483" s="308"/>
      <c r="MEP483" s="308"/>
      <c r="MEQ483" s="308"/>
      <c r="MER483" s="308"/>
      <c r="MES483" s="308"/>
      <c r="MET483" s="308"/>
      <c r="MEU483" s="308"/>
      <c r="MEV483" s="308"/>
      <c r="MEW483" s="308"/>
      <c r="MEX483" s="308"/>
      <c r="MEY483" s="308"/>
      <c r="MEZ483" s="308"/>
      <c r="MFA483" s="308"/>
      <c r="MFB483" s="308"/>
      <c r="MFC483" s="308"/>
      <c r="MFD483" s="308"/>
      <c r="MFE483" s="308"/>
      <c r="MFF483" s="308"/>
      <c r="MFG483" s="308"/>
      <c r="MFH483" s="308"/>
      <c r="MFI483" s="308"/>
      <c r="MFJ483" s="308"/>
      <c r="MFK483" s="308"/>
      <c r="MFL483" s="308"/>
      <c r="MFM483" s="308"/>
      <c r="MFN483" s="308"/>
      <c r="MFO483" s="308"/>
      <c r="MFP483" s="308"/>
      <c r="MFQ483" s="308"/>
      <c r="MFR483" s="308"/>
      <c r="MFS483" s="308"/>
      <c r="MFT483" s="308"/>
      <c r="MFU483" s="308"/>
      <c r="MFV483" s="308"/>
      <c r="MFW483" s="308"/>
      <c r="MFX483" s="308"/>
      <c r="MFY483" s="308"/>
      <c r="MFZ483" s="308"/>
      <c r="MGA483" s="308"/>
      <c r="MGB483" s="308"/>
      <c r="MGC483" s="308"/>
      <c r="MGD483" s="308"/>
      <c r="MGE483" s="308"/>
      <c r="MGF483" s="308"/>
      <c r="MGG483" s="308"/>
      <c r="MGH483" s="308"/>
      <c r="MGI483" s="308"/>
      <c r="MGJ483" s="308"/>
      <c r="MGK483" s="308"/>
      <c r="MGL483" s="308"/>
      <c r="MGM483" s="308"/>
      <c r="MGN483" s="308"/>
      <c r="MGO483" s="308"/>
      <c r="MGP483" s="308"/>
      <c r="MGQ483" s="308"/>
      <c r="MGR483" s="308"/>
      <c r="MGS483" s="308"/>
      <c r="MGT483" s="308"/>
      <c r="MGU483" s="308"/>
      <c r="MGV483" s="308"/>
      <c r="MGW483" s="308"/>
      <c r="MGX483" s="308"/>
      <c r="MGY483" s="308"/>
      <c r="MGZ483" s="308"/>
      <c r="MHA483" s="308"/>
      <c r="MHB483" s="308"/>
      <c r="MHC483" s="308"/>
      <c r="MHD483" s="308"/>
      <c r="MHE483" s="308"/>
      <c r="MHF483" s="308"/>
      <c r="MHG483" s="308"/>
      <c r="MHH483" s="308"/>
      <c r="MHI483" s="308"/>
      <c r="MHJ483" s="308"/>
      <c r="MHK483" s="308"/>
      <c r="MHL483" s="308"/>
      <c r="MHM483" s="308"/>
      <c r="MHN483" s="308"/>
      <c r="MHO483" s="308"/>
      <c r="MHP483" s="308"/>
      <c r="MHQ483" s="308"/>
      <c r="MHR483" s="308"/>
      <c r="MHS483" s="308"/>
      <c r="MHT483" s="308"/>
      <c r="MHU483" s="308"/>
      <c r="MHV483" s="308"/>
      <c r="MHW483" s="308"/>
      <c r="MHX483" s="308"/>
      <c r="MHY483" s="308"/>
      <c r="MHZ483" s="308"/>
      <c r="MIA483" s="308"/>
      <c r="MIB483" s="308"/>
      <c r="MIC483" s="308"/>
      <c r="MID483" s="308"/>
      <c r="MIE483" s="308"/>
      <c r="MIF483" s="308"/>
      <c r="MIG483" s="308"/>
      <c r="MIH483" s="308"/>
      <c r="MII483" s="308"/>
      <c r="MIJ483" s="308"/>
      <c r="MIK483" s="308"/>
      <c r="MIL483" s="308"/>
      <c r="MIM483" s="308"/>
      <c r="MIN483" s="308"/>
      <c r="MIO483" s="308"/>
      <c r="MIP483" s="308"/>
      <c r="MIQ483" s="308"/>
      <c r="MIR483" s="308"/>
      <c r="MIS483" s="308"/>
      <c r="MIT483" s="308"/>
      <c r="MIU483" s="308"/>
      <c r="MIV483" s="308"/>
      <c r="MIW483" s="308"/>
      <c r="MIX483" s="308"/>
      <c r="MIY483" s="308"/>
      <c r="MIZ483" s="308"/>
      <c r="MJA483" s="308"/>
      <c r="MJB483" s="308"/>
      <c r="MJC483" s="308"/>
      <c r="MJD483" s="308"/>
      <c r="MJE483" s="308"/>
      <c r="MJF483" s="308"/>
      <c r="MJG483" s="308"/>
      <c r="MJH483" s="308"/>
      <c r="MJI483" s="308"/>
      <c r="MJJ483" s="308"/>
      <c r="MJK483" s="308"/>
      <c r="MJL483" s="308"/>
      <c r="MJM483" s="308"/>
      <c r="MJN483" s="308"/>
      <c r="MJO483" s="308"/>
      <c r="MJP483" s="308"/>
      <c r="MJQ483" s="308"/>
      <c r="MJR483" s="308"/>
      <c r="MJS483" s="308"/>
      <c r="MJT483" s="308"/>
      <c r="MJU483" s="308"/>
      <c r="MJV483" s="308"/>
      <c r="MJW483" s="308"/>
      <c r="MJX483" s="308"/>
      <c r="MJY483" s="308"/>
      <c r="MJZ483" s="308"/>
      <c r="MKA483" s="308"/>
      <c r="MKB483" s="308"/>
      <c r="MKC483" s="308"/>
      <c r="MKD483" s="308"/>
      <c r="MKE483" s="308"/>
      <c r="MKF483" s="308"/>
      <c r="MKG483" s="308"/>
      <c r="MKH483" s="308"/>
      <c r="MKI483" s="308"/>
      <c r="MKJ483" s="308"/>
      <c r="MKK483" s="308"/>
      <c r="MKL483" s="308"/>
      <c r="MKM483" s="308"/>
      <c r="MKN483" s="308"/>
      <c r="MKO483" s="308"/>
      <c r="MKP483" s="308"/>
      <c r="MKQ483" s="308"/>
      <c r="MKR483" s="308"/>
      <c r="MKS483" s="308"/>
      <c r="MKT483" s="308"/>
      <c r="MKU483" s="308"/>
      <c r="MKV483" s="308"/>
      <c r="MKW483" s="308"/>
      <c r="MKX483" s="308"/>
      <c r="MKY483" s="308"/>
      <c r="MKZ483" s="308"/>
      <c r="MLA483" s="308"/>
      <c r="MLB483" s="308"/>
      <c r="MLC483" s="308"/>
      <c r="MLD483" s="308"/>
      <c r="MLE483" s="308"/>
      <c r="MLF483" s="308"/>
      <c r="MLG483" s="308"/>
      <c r="MLH483" s="308"/>
      <c r="MLI483" s="308"/>
      <c r="MLJ483" s="308"/>
      <c r="MLK483" s="308"/>
      <c r="MLL483" s="308"/>
      <c r="MLM483" s="308"/>
      <c r="MLN483" s="308"/>
      <c r="MLO483" s="308"/>
      <c r="MLP483" s="308"/>
      <c r="MLQ483" s="308"/>
      <c r="MLR483" s="308"/>
      <c r="MLS483" s="308"/>
      <c r="MLT483" s="308"/>
      <c r="MLU483" s="308"/>
      <c r="MLV483" s="308"/>
      <c r="MLW483" s="308"/>
      <c r="MLX483" s="308"/>
      <c r="MLY483" s="308"/>
      <c r="MLZ483" s="308"/>
      <c r="MMA483" s="308"/>
      <c r="MMB483" s="308"/>
      <c r="MMC483" s="308"/>
      <c r="MMD483" s="308"/>
      <c r="MME483" s="308"/>
      <c r="MMF483" s="308"/>
      <c r="MMG483" s="308"/>
      <c r="MMH483" s="308"/>
      <c r="MMI483" s="308"/>
      <c r="MMJ483" s="308"/>
      <c r="MMK483" s="308"/>
      <c r="MML483" s="308"/>
      <c r="MMM483" s="308"/>
      <c r="MMN483" s="308"/>
      <c r="MMO483" s="308"/>
      <c r="MMP483" s="308"/>
      <c r="MMQ483" s="308"/>
      <c r="MMR483" s="308"/>
      <c r="MMS483" s="308"/>
      <c r="MMT483" s="308"/>
      <c r="MMU483" s="308"/>
      <c r="MMV483" s="308"/>
      <c r="MMW483" s="308"/>
      <c r="MMX483" s="308"/>
      <c r="MMY483" s="308"/>
      <c r="MMZ483" s="308"/>
      <c r="MNA483" s="308"/>
      <c r="MNB483" s="308"/>
      <c r="MNC483" s="308"/>
      <c r="MND483" s="308"/>
      <c r="MNE483" s="308"/>
      <c r="MNF483" s="308"/>
      <c r="MNG483" s="308"/>
      <c r="MNH483" s="308"/>
      <c r="MNI483" s="308"/>
      <c r="MNJ483" s="308"/>
      <c r="MNK483" s="308"/>
      <c r="MNL483" s="308"/>
      <c r="MNM483" s="308"/>
      <c r="MNN483" s="308"/>
      <c r="MNO483" s="308"/>
      <c r="MNP483" s="308"/>
      <c r="MNQ483" s="308"/>
      <c r="MNR483" s="308"/>
      <c r="MNS483" s="308"/>
      <c r="MNT483" s="308"/>
      <c r="MNU483" s="308"/>
      <c r="MNV483" s="308"/>
      <c r="MNW483" s="308"/>
      <c r="MNX483" s="308"/>
      <c r="MNY483" s="308"/>
      <c r="MNZ483" s="308"/>
      <c r="MOA483" s="308"/>
      <c r="MOB483" s="308"/>
      <c r="MOC483" s="308"/>
      <c r="MOD483" s="308"/>
      <c r="MOE483" s="308"/>
      <c r="MOF483" s="308"/>
      <c r="MOG483" s="308"/>
      <c r="MOH483" s="308"/>
      <c r="MOI483" s="308"/>
      <c r="MOJ483" s="308"/>
      <c r="MOK483" s="308"/>
      <c r="MOL483" s="308"/>
      <c r="MOM483" s="308"/>
      <c r="MON483" s="308"/>
      <c r="MOO483" s="308"/>
      <c r="MOP483" s="308"/>
      <c r="MOQ483" s="308"/>
      <c r="MOR483" s="308"/>
      <c r="MOS483" s="308"/>
      <c r="MOT483" s="308"/>
      <c r="MOU483" s="308"/>
      <c r="MOV483" s="308"/>
      <c r="MOW483" s="308"/>
      <c r="MOX483" s="308"/>
      <c r="MOY483" s="308"/>
      <c r="MOZ483" s="308"/>
      <c r="MPA483" s="308"/>
      <c r="MPB483" s="308"/>
      <c r="MPC483" s="308"/>
      <c r="MPD483" s="308"/>
      <c r="MPE483" s="308"/>
      <c r="MPF483" s="308"/>
      <c r="MPG483" s="308"/>
      <c r="MPH483" s="308"/>
      <c r="MPI483" s="308"/>
      <c r="MPJ483" s="308"/>
      <c r="MPK483" s="308"/>
      <c r="MPL483" s="308"/>
      <c r="MPM483" s="308"/>
      <c r="MPN483" s="308"/>
      <c r="MPO483" s="308"/>
      <c r="MPP483" s="308"/>
      <c r="MPQ483" s="308"/>
      <c r="MPR483" s="308"/>
      <c r="MPS483" s="308"/>
      <c r="MPT483" s="308"/>
      <c r="MPU483" s="308"/>
      <c r="MPV483" s="308"/>
      <c r="MPW483" s="308"/>
      <c r="MPX483" s="308"/>
      <c r="MPY483" s="308"/>
      <c r="MPZ483" s="308"/>
      <c r="MQA483" s="308"/>
      <c r="MQB483" s="308"/>
      <c r="MQC483" s="308"/>
      <c r="MQD483" s="308"/>
      <c r="MQE483" s="308"/>
      <c r="MQF483" s="308"/>
      <c r="MQG483" s="308"/>
      <c r="MQH483" s="308"/>
      <c r="MQI483" s="308"/>
      <c r="MQJ483" s="308"/>
      <c r="MQK483" s="308"/>
      <c r="MQL483" s="308"/>
      <c r="MQM483" s="308"/>
      <c r="MQN483" s="308"/>
      <c r="MQO483" s="308"/>
      <c r="MQP483" s="308"/>
      <c r="MQQ483" s="308"/>
      <c r="MQR483" s="308"/>
      <c r="MQS483" s="308"/>
      <c r="MQT483" s="308"/>
      <c r="MQU483" s="308"/>
      <c r="MQV483" s="308"/>
      <c r="MQW483" s="308"/>
      <c r="MQX483" s="308"/>
      <c r="MQY483" s="308"/>
      <c r="MQZ483" s="308"/>
      <c r="MRA483" s="308"/>
      <c r="MRB483" s="308"/>
      <c r="MRC483" s="308"/>
      <c r="MRD483" s="308"/>
      <c r="MRE483" s="308"/>
      <c r="MRF483" s="308"/>
      <c r="MRG483" s="308"/>
      <c r="MRH483" s="308"/>
      <c r="MRI483" s="308"/>
      <c r="MRJ483" s="308"/>
      <c r="MRK483" s="308"/>
      <c r="MRL483" s="308"/>
      <c r="MRM483" s="308"/>
      <c r="MRN483" s="308"/>
      <c r="MRO483" s="308"/>
      <c r="MRP483" s="308"/>
      <c r="MRQ483" s="308"/>
      <c r="MRR483" s="308"/>
      <c r="MRS483" s="308"/>
      <c r="MRT483" s="308"/>
      <c r="MRU483" s="308"/>
      <c r="MRV483" s="308"/>
      <c r="MRW483" s="308"/>
      <c r="MRX483" s="308"/>
      <c r="MRY483" s="308"/>
      <c r="MRZ483" s="308"/>
      <c r="MSA483" s="308"/>
      <c r="MSB483" s="308"/>
      <c r="MSC483" s="308"/>
      <c r="MSD483" s="308"/>
      <c r="MSE483" s="308"/>
      <c r="MSF483" s="308"/>
      <c r="MSG483" s="308"/>
      <c r="MSH483" s="308"/>
      <c r="MSI483" s="308"/>
      <c r="MSJ483" s="308"/>
      <c r="MSK483" s="308"/>
      <c r="MSL483" s="308"/>
      <c r="MSM483" s="308"/>
      <c r="MSN483" s="308"/>
      <c r="MSO483" s="308"/>
      <c r="MSP483" s="308"/>
      <c r="MSQ483" s="308"/>
      <c r="MSR483" s="308"/>
      <c r="MSS483" s="308"/>
      <c r="MST483" s="308"/>
      <c r="MSU483" s="308"/>
      <c r="MSV483" s="308"/>
      <c r="MSW483" s="308"/>
      <c r="MSX483" s="308"/>
      <c r="MSY483" s="308"/>
      <c r="MSZ483" s="308"/>
      <c r="MTA483" s="308"/>
      <c r="MTB483" s="308"/>
      <c r="MTC483" s="308"/>
      <c r="MTD483" s="308"/>
      <c r="MTE483" s="308"/>
      <c r="MTF483" s="308"/>
      <c r="MTG483" s="308"/>
      <c r="MTH483" s="308"/>
      <c r="MTI483" s="308"/>
      <c r="MTJ483" s="308"/>
      <c r="MTK483" s="308"/>
      <c r="MTL483" s="308"/>
      <c r="MTM483" s="308"/>
      <c r="MTN483" s="308"/>
      <c r="MTO483" s="308"/>
      <c r="MTP483" s="308"/>
      <c r="MTQ483" s="308"/>
      <c r="MTR483" s="308"/>
      <c r="MTS483" s="308"/>
      <c r="MTT483" s="308"/>
      <c r="MTU483" s="308"/>
      <c r="MTV483" s="308"/>
      <c r="MTW483" s="308"/>
      <c r="MTX483" s="308"/>
      <c r="MTY483" s="308"/>
      <c r="MTZ483" s="308"/>
      <c r="MUA483" s="308"/>
      <c r="MUB483" s="308"/>
      <c r="MUC483" s="308"/>
      <c r="MUD483" s="308"/>
      <c r="MUE483" s="308"/>
      <c r="MUF483" s="308"/>
      <c r="MUG483" s="308"/>
      <c r="MUH483" s="308"/>
      <c r="MUI483" s="308"/>
      <c r="MUJ483" s="308"/>
      <c r="MUK483" s="308"/>
      <c r="MUL483" s="308"/>
      <c r="MUM483" s="308"/>
      <c r="MUN483" s="308"/>
      <c r="MUO483" s="308"/>
      <c r="MUP483" s="308"/>
      <c r="MUQ483" s="308"/>
      <c r="MUR483" s="308"/>
      <c r="MUS483" s="308"/>
      <c r="MUT483" s="308"/>
      <c r="MUU483" s="308"/>
      <c r="MUV483" s="308"/>
      <c r="MUW483" s="308"/>
      <c r="MUX483" s="308"/>
      <c r="MUY483" s="308"/>
      <c r="MUZ483" s="308"/>
      <c r="MVA483" s="308"/>
      <c r="MVB483" s="308"/>
      <c r="MVC483" s="308"/>
      <c r="MVD483" s="308"/>
      <c r="MVE483" s="308"/>
      <c r="MVF483" s="308"/>
      <c r="MVG483" s="308"/>
      <c r="MVH483" s="308"/>
      <c r="MVI483" s="308"/>
      <c r="MVJ483" s="308"/>
      <c r="MVK483" s="308"/>
      <c r="MVL483" s="308"/>
      <c r="MVM483" s="308"/>
      <c r="MVN483" s="308"/>
      <c r="MVO483" s="308"/>
      <c r="MVP483" s="308"/>
      <c r="MVQ483" s="308"/>
      <c r="MVR483" s="308"/>
      <c r="MVS483" s="308"/>
      <c r="MVT483" s="308"/>
      <c r="MVU483" s="308"/>
      <c r="MVV483" s="308"/>
      <c r="MVW483" s="308"/>
      <c r="MVX483" s="308"/>
      <c r="MVY483" s="308"/>
      <c r="MVZ483" s="308"/>
      <c r="MWA483" s="308"/>
      <c r="MWB483" s="308"/>
      <c r="MWC483" s="308"/>
      <c r="MWD483" s="308"/>
      <c r="MWE483" s="308"/>
      <c r="MWF483" s="308"/>
      <c r="MWG483" s="308"/>
      <c r="MWH483" s="308"/>
      <c r="MWI483" s="308"/>
      <c r="MWJ483" s="308"/>
      <c r="MWK483" s="308"/>
      <c r="MWL483" s="308"/>
      <c r="MWM483" s="308"/>
      <c r="MWN483" s="308"/>
      <c r="MWO483" s="308"/>
      <c r="MWP483" s="308"/>
      <c r="MWQ483" s="308"/>
      <c r="MWR483" s="308"/>
      <c r="MWS483" s="308"/>
      <c r="MWT483" s="308"/>
      <c r="MWU483" s="308"/>
      <c r="MWV483" s="308"/>
      <c r="MWW483" s="308"/>
      <c r="MWX483" s="308"/>
      <c r="MWY483" s="308"/>
      <c r="MWZ483" s="308"/>
      <c r="MXA483" s="308"/>
      <c r="MXB483" s="308"/>
      <c r="MXC483" s="308"/>
      <c r="MXD483" s="308"/>
      <c r="MXE483" s="308"/>
      <c r="MXF483" s="308"/>
      <c r="MXG483" s="308"/>
      <c r="MXH483" s="308"/>
      <c r="MXI483" s="308"/>
      <c r="MXJ483" s="308"/>
      <c r="MXK483" s="308"/>
      <c r="MXL483" s="308"/>
      <c r="MXM483" s="308"/>
      <c r="MXN483" s="308"/>
      <c r="MXO483" s="308"/>
      <c r="MXP483" s="308"/>
      <c r="MXQ483" s="308"/>
      <c r="MXR483" s="308"/>
      <c r="MXS483" s="308"/>
      <c r="MXT483" s="308"/>
      <c r="MXU483" s="308"/>
      <c r="MXV483" s="308"/>
      <c r="MXW483" s="308"/>
      <c r="MXX483" s="308"/>
      <c r="MXY483" s="308"/>
      <c r="MXZ483" s="308"/>
      <c r="MYA483" s="308"/>
      <c r="MYB483" s="308"/>
      <c r="MYC483" s="308"/>
      <c r="MYD483" s="308"/>
      <c r="MYE483" s="308"/>
      <c r="MYF483" s="308"/>
      <c r="MYG483" s="308"/>
      <c r="MYH483" s="308"/>
      <c r="MYI483" s="308"/>
      <c r="MYJ483" s="308"/>
      <c r="MYK483" s="308"/>
      <c r="MYL483" s="308"/>
      <c r="MYM483" s="308"/>
      <c r="MYN483" s="308"/>
      <c r="MYO483" s="308"/>
      <c r="MYP483" s="308"/>
      <c r="MYQ483" s="308"/>
      <c r="MYR483" s="308"/>
      <c r="MYS483" s="308"/>
      <c r="MYT483" s="308"/>
      <c r="MYU483" s="308"/>
      <c r="MYV483" s="308"/>
      <c r="MYW483" s="308"/>
      <c r="MYX483" s="308"/>
      <c r="MYY483" s="308"/>
      <c r="MYZ483" s="308"/>
      <c r="MZA483" s="308"/>
      <c r="MZB483" s="308"/>
      <c r="MZC483" s="308"/>
      <c r="MZD483" s="308"/>
      <c r="MZE483" s="308"/>
      <c r="MZF483" s="308"/>
      <c r="MZG483" s="308"/>
      <c r="MZH483" s="308"/>
      <c r="MZI483" s="308"/>
      <c r="MZJ483" s="308"/>
      <c r="MZK483" s="308"/>
      <c r="MZL483" s="308"/>
      <c r="MZM483" s="308"/>
      <c r="MZN483" s="308"/>
      <c r="MZO483" s="308"/>
      <c r="MZP483" s="308"/>
      <c r="MZQ483" s="308"/>
      <c r="MZR483" s="308"/>
      <c r="MZS483" s="308"/>
      <c r="MZT483" s="308"/>
      <c r="MZU483" s="308"/>
      <c r="MZV483" s="308"/>
      <c r="MZW483" s="308"/>
      <c r="MZX483" s="308"/>
      <c r="MZY483" s="308"/>
      <c r="MZZ483" s="308"/>
      <c r="NAA483" s="308"/>
      <c r="NAB483" s="308"/>
      <c r="NAC483" s="308"/>
      <c r="NAD483" s="308"/>
      <c r="NAE483" s="308"/>
      <c r="NAF483" s="308"/>
      <c r="NAG483" s="308"/>
      <c r="NAH483" s="308"/>
      <c r="NAI483" s="308"/>
      <c r="NAJ483" s="308"/>
      <c r="NAK483" s="308"/>
      <c r="NAL483" s="308"/>
      <c r="NAM483" s="308"/>
      <c r="NAN483" s="308"/>
      <c r="NAO483" s="308"/>
      <c r="NAP483" s="308"/>
      <c r="NAQ483" s="308"/>
      <c r="NAR483" s="308"/>
      <c r="NAS483" s="308"/>
      <c r="NAT483" s="308"/>
      <c r="NAU483" s="308"/>
      <c r="NAV483" s="308"/>
      <c r="NAW483" s="308"/>
      <c r="NAX483" s="308"/>
      <c r="NAY483" s="308"/>
      <c r="NAZ483" s="308"/>
      <c r="NBA483" s="308"/>
      <c r="NBB483" s="308"/>
      <c r="NBC483" s="308"/>
      <c r="NBD483" s="308"/>
      <c r="NBE483" s="308"/>
      <c r="NBF483" s="308"/>
      <c r="NBG483" s="308"/>
      <c r="NBH483" s="308"/>
      <c r="NBI483" s="308"/>
      <c r="NBJ483" s="308"/>
      <c r="NBK483" s="308"/>
      <c r="NBL483" s="308"/>
      <c r="NBM483" s="308"/>
      <c r="NBN483" s="308"/>
      <c r="NBO483" s="308"/>
      <c r="NBP483" s="308"/>
      <c r="NBQ483" s="308"/>
      <c r="NBR483" s="308"/>
      <c r="NBS483" s="308"/>
      <c r="NBT483" s="308"/>
      <c r="NBU483" s="308"/>
      <c r="NBV483" s="308"/>
      <c r="NBW483" s="308"/>
      <c r="NBX483" s="308"/>
      <c r="NBY483" s="308"/>
      <c r="NBZ483" s="308"/>
      <c r="NCA483" s="308"/>
      <c r="NCB483" s="308"/>
      <c r="NCC483" s="308"/>
      <c r="NCD483" s="308"/>
      <c r="NCE483" s="308"/>
      <c r="NCF483" s="308"/>
      <c r="NCG483" s="308"/>
      <c r="NCH483" s="308"/>
      <c r="NCI483" s="308"/>
      <c r="NCJ483" s="308"/>
      <c r="NCK483" s="308"/>
      <c r="NCL483" s="308"/>
      <c r="NCM483" s="308"/>
      <c r="NCN483" s="308"/>
      <c r="NCO483" s="308"/>
      <c r="NCP483" s="308"/>
      <c r="NCQ483" s="308"/>
      <c r="NCR483" s="308"/>
      <c r="NCS483" s="308"/>
      <c r="NCT483" s="308"/>
      <c r="NCU483" s="308"/>
      <c r="NCV483" s="308"/>
      <c r="NCW483" s="308"/>
      <c r="NCX483" s="308"/>
      <c r="NCY483" s="308"/>
      <c r="NCZ483" s="308"/>
      <c r="NDA483" s="308"/>
      <c r="NDB483" s="308"/>
      <c r="NDC483" s="308"/>
      <c r="NDD483" s="308"/>
      <c r="NDE483" s="308"/>
      <c r="NDF483" s="308"/>
      <c r="NDG483" s="308"/>
      <c r="NDH483" s="308"/>
      <c r="NDI483" s="308"/>
      <c r="NDJ483" s="308"/>
      <c r="NDK483" s="308"/>
      <c r="NDL483" s="308"/>
      <c r="NDM483" s="308"/>
      <c r="NDN483" s="308"/>
      <c r="NDO483" s="308"/>
      <c r="NDP483" s="308"/>
      <c r="NDQ483" s="308"/>
      <c r="NDR483" s="308"/>
      <c r="NDS483" s="308"/>
      <c r="NDT483" s="308"/>
      <c r="NDU483" s="308"/>
      <c r="NDV483" s="308"/>
      <c r="NDW483" s="308"/>
      <c r="NDX483" s="308"/>
      <c r="NDY483" s="308"/>
      <c r="NDZ483" s="308"/>
      <c r="NEA483" s="308"/>
      <c r="NEB483" s="308"/>
      <c r="NEC483" s="308"/>
      <c r="NED483" s="308"/>
      <c r="NEE483" s="308"/>
      <c r="NEF483" s="308"/>
      <c r="NEG483" s="308"/>
      <c r="NEH483" s="308"/>
      <c r="NEI483" s="308"/>
      <c r="NEJ483" s="308"/>
      <c r="NEK483" s="308"/>
      <c r="NEL483" s="308"/>
      <c r="NEM483" s="308"/>
      <c r="NEN483" s="308"/>
      <c r="NEO483" s="308"/>
      <c r="NEP483" s="308"/>
      <c r="NEQ483" s="308"/>
      <c r="NER483" s="308"/>
      <c r="NES483" s="308"/>
      <c r="NET483" s="308"/>
      <c r="NEU483" s="308"/>
      <c r="NEV483" s="308"/>
      <c r="NEW483" s="308"/>
      <c r="NEX483" s="308"/>
      <c r="NEY483" s="308"/>
      <c r="NEZ483" s="308"/>
      <c r="NFA483" s="308"/>
      <c r="NFB483" s="308"/>
      <c r="NFC483" s="308"/>
      <c r="NFD483" s="308"/>
      <c r="NFE483" s="308"/>
      <c r="NFF483" s="308"/>
      <c r="NFG483" s="308"/>
      <c r="NFH483" s="308"/>
      <c r="NFI483" s="308"/>
      <c r="NFJ483" s="308"/>
      <c r="NFK483" s="308"/>
      <c r="NFL483" s="308"/>
      <c r="NFM483" s="308"/>
      <c r="NFN483" s="308"/>
      <c r="NFO483" s="308"/>
      <c r="NFP483" s="308"/>
      <c r="NFQ483" s="308"/>
      <c r="NFR483" s="308"/>
      <c r="NFS483" s="308"/>
      <c r="NFT483" s="308"/>
      <c r="NFU483" s="308"/>
      <c r="NFV483" s="308"/>
      <c r="NFW483" s="308"/>
      <c r="NFX483" s="308"/>
      <c r="NFY483" s="308"/>
      <c r="NFZ483" s="308"/>
      <c r="NGA483" s="308"/>
      <c r="NGB483" s="308"/>
      <c r="NGC483" s="308"/>
      <c r="NGD483" s="308"/>
      <c r="NGE483" s="308"/>
      <c r="NGF483" s="308"/>
      <c r="NGG483" s="308"/>
      <c r="NGH483" s="308"/>
      <c r="NGI483" s="308"/>
      <c r="NGJ483" s="308"/>
      <c r="NGK483" s="308"/>
      <c r="NGL483" s="308"/>
      <c r="NGM483" s="308"/>
      <c r="NGN483" s="308"/>
      <c r="NGO483" s="308"/>
      <c r="NGP483" s="308"/>
      <c r="NGQ483" s="308"/>
      <c r="NGR483" s="308"/>
      <c r="NGS483" s="308"/>
      <c r="NGT483" s="308"/>
      <c r="NGU483" s="308"/>
      <c r="NGV483" s="308"/>
      <c r="NGW483" s="308"/>
      <c r="NGX483" s="308"/>
      <c r="NGY483" s="308"/>
      <c r="NGZ483" s="308"/>
      <c r="NHA483" s="308"/>
      <c r="NHB483" s="308"/>
      <c r="NHC483" s="308"/>
      <c r="NHD483" s="308"/>
      <c r="NHE483" s="308"/>
      <c r="NHF483" s="308"/>
      <c r="NHG483" s="308"/>
      <c r="NHH483" s="308"/>
      <c r="NHI483" s="308"/>
      <c r="NHJ483" s="308"/>
      <c r="NHK483" s="308"/>
      <c r="NHL483" s="308"/>
      <c r="NHM483" s="308"/>
      <c r="NHN483" s="308"/>
      <c r="NHO483" s="308"/>
      <c r="NHP483" s="308"/>
      <c r="NHQ483" s="308"/>
      <c r="NHR483" s="308"/>
      <c r="NHS483" s="308"/>
      <c r="NHT483" s="308"/>
      <c r="NHU483" s="308"/>
      <c r="NHV483" s="308"/>
      <c r="NHW483" s="308"/>
      <c r="NHX483" s="308"/>
      <c r="NHY483" s="308"/>
      <c r="NHZ483" s="308"/>
      <c r="NIA483" s="308"/>
      <c r="NIB483" s="308"/>
      <c r="NIC483" s="308"/>
      <c r="NID483" s="308"/>
      <c r="NIE483" s="308"/>
      <c r="NIF483" s="308"/>
      <c r="NIG483" s="308"/>
      <c r="NIH483" s="308"/>
      <c r="NII483" s="308"/>
      <c r="NIJ483" s="308"/>
      <c r="NIK483" s="308"/>
      <c r="NIL483" s="308"/>
      <c r="NIM483" s="308"/>
      <c r="NIN483" s="308"/>
      <c r="NIO483" s="308"/>
      <c r="NIP483" s="308"/>
      <c r="NIQ483" s="308"/>
      <c r="NIR483" s="308"/>
      <c r="NIS483" s="308"/>
      <c r="NIT483" s="308"/>
      <c r="NIU483" s="308"/>
      <c r="NIV483" s="308"/>
      <c r="NIW483" s="308"/>
      <c r="NIX483" s="308"/>
      <c r="NIY483" s="308"/>
      <c r="NIZ483" s="308"/>
      <c r="NJA483" s="308"/>
      <c r="NJB483" s="308"/>
      <c r="NJC483" s="308"/>
      <c r="NJD483" s="308"/>
      <c r="NJE483" s="308"/>
      <c r="NJF483" s="308"/>
      <c r="NJG483" s="308"/>
      <c r="NJH483" s="308"/>
      <c r="NJI483" s="308"/>
      <c r="NJJ483" s="308"/>
      <c r="NJK483" s="308"/>
      <c r="NJL483" s="308"/>
      <c r="NJM483" s="308"/>
      <c r="NJN483" s="308"/>
      <c r="NJO483" s="308"/>
      <c r="NJP483" s="308"/>
      <c r="NJQ483" s="308"/>
      <c r="NJR483" s="308"/>
      <c r="NJS483" s="308"/>
      <c r="NJT483" s="308"/>
      <c r="NJU483" s="308"/>
      <c r="NJV483" s="308"/>
      <c r="NJW483" s="308"/>
      <c r="NJX483" s="308"/>
      <c r="NJY483" s="308"/>
      <c r="NJZ483" s="308"/>
      <c r="NKA483" s="308"/>
      <c r="NKB483" s="308"/>
      <c r="NKC483" s="308"/>
      <c r="NKD483" s="308"/>
      <c r="NKE483" s="308"/>
      <c r="NKF483" s="308"/>
      <c r="NKG483" s="308"/>
      <c r="NKH483" s="308"/>
      <c r="NKI483" s="308"/>
      <c r="NKJ483" s="308"/>
      <c r="NKK483" s="308"/>
      <c r="NKL483" s="308"/>
      <c r="NKM483" s="308"/>
      <c r="NKN483" s="308"/>
      <c r="NKO483" s="308"/>
      <c r="NKP483" s="308"/>
      <c r="NKQ483" s="308"/>
      <c r="NKR483" s="308"/>
      <c r="NKS483" s="308"/>
      <c r="NKT483" s="308"/>
      <c r="NKU483" s="308"/>
      <c r="NKV483" s="308"/>
      <c r="NKW483" s="308"/>
      <c r="NKX483" s="308"/>
      <c r="NKY483" s="308"/>
      <c r="NKZ483" s="308"/>
      <c r="NLA483" s="308"/>
      <c r="NLB483" s="308"/>
      <c r="NLC483" s="308"/>
      <c r="NLD483" s="308"/>
      <c r="NLE483" s="308"/>
      <c r="NLF483" s="308"/>
      <c r="NLG483" s="308"/>
      <c r="NLH483" s="308"/>
      <c r="NLI483" s="308"/>
      <c r="NLJ483" s="308"/>
      <c r="NLK483" s="308"/>
      <c r="NLL483" s="308"/>
      <c r="NLM483" s="308"/>
      <c r="NLN483" s="308"/>
      <c r="NLO483" s="308"/>
      <c r="NLP483" s="308"/>
      <c r="NLQ483" s="308"/>
      <c r="NLR483" s="308"/>
      <c r="NLS483" s="308"/>
      <c r="NLT483" s="308"/>
      <c r="NLU483" s="308"/>
      <c r="NLV483" s="308"/>
      <c r="NLW483" s="308"/>
      <c r="NLX483" s="308"/>
      <c r="NLY483" s="308"/>
      <c r="NLZ483" s="308"/>
      <c r="NMA483" s="308"/>
      <c r="NMB483" s="308"/>
      <c r="NMC483" s="308"/>
      <c r="NMD483" s="308"/>
      <c r="NME483" s="308"/>
      <c r="NMF483" s="308"/>
      <c r="NMG483" s="308"/>
      <c r="NMH483" s="308"/>
      <c r="NMI483" s="308"/>
      <c r="NMJ483" s="308"/>
      <c r="NMK483" s="308"/>
      <c r="NML483" s="308"/>
      <c r="NMM483" s="308"/>
      <c r="NMN483" s="308"/>
      <c r="NMO483" s="308"/>
      <c r="NMP483" s="308"/>
      <c r="NMQ483" s="308"/>
      <c r="NMR483" s="308"/>
      <c r="NMS483" s="308"/>
      <c r="NMT483" s="308"/>
      <c r="NMU483" s="308"/>
      <c r="NMV483" s="308"/>
      <c r="NMW483" s="308"/>
      <c r="NMX483" s="308"/>
      <c r="NMY483" s="308"/>
      <c r="NMZ483" s="308"/>
      <c r="NNA483" s="308"/>
      <c r="NNB483" s="308"/>
      <c r="NNC483" s="308"/>
      <c r="NND483" s="308"/>
      <c r="NNE483" s="308"/>
      <c r="NNF483" s="308"/>
      <c r="NNG483" s="308"/>
      <c r="NNH483" s="308"/>
      <c r="NNI483" s="308"/>
      <c r="NNJ483" s="308"/>
      <c r="NNK483" s="308"/>
      <c r="NNL483" s="308"/>
      <c r="NNM483" s="308"/>
      <c r="NNN483" s="308"/>
      <c r="NNO483" s="308"/>
      <c r="NNP483" s="308"/>
      <c r="NNQ483" s="308"/>
      <c r="NNR483" s="308"/>
      <c r="NNS483" s="308"/>
      <c r="NNT483" s="308"/>
      <c r="NNU483" s="308"/>
      <c r="NNV483" s="308"/>
      <c r="NNW483" s="308"/>
      <c r="NNX483" s="308"/>
      <c r="NNY483" s="308"/>
      <c r="NNZ483" s="308"/>
      <c r="NOA483" s="308"/>
      <c r="NOB483" s="308"/>
      <c r="NOC483" s="308"/>
      <c r="NOD483" s="308"/>
      <c r="NOE483" s="308"/>
      <c r="NOF483" s="308"/>
      <c r="NOG483" s="308"/>
      <c r="NOH483" s="308"/>
      <c r="NOI483" s="308"/>
      <c r="NOJ483" s="308"/>
      <c r="NOK483" s="308"/>
      <c r="NOL483" s="308"/>
      <c r="NOM483" s="308"/>
      <c r="NON483" s="308"/>
      <c r="NOO483" s="308"/>
      <c r="NOP483" s="308"/>
      <c r="NOQ483" s="308"/>
      <c r="NOR483" s="308"/>
      <c r="NOS483" s="308"/>
      <c r="NOT483" s="308"/>
      <c r="NOU483" s="308"/>
      <c r="NOV483" s="308"/>
      <c r="NOW483" s="308"/>
      <c r="NOX483" s="308"/>
      <c r="NOY483" s="308"/>
      <c r="NOZ483" s="308"/>
      <c r="NPA483" s="308"/>
      <c r="NPB483" s="308"/>
      <c r="NPC483" s="308"/>
      <c r="NPD483" s="308"/>
      <c r="NPE483" s="308"/>
      <c r="NPF483" s="308"/>
      <c r="NPG483" s="308"/>
      <c r="NPH483" s="308"/>
      <c r="NPI483" s="308"/>
      <c r="NPJ483" s="308"/>
      <c r="NPK483" s="308"/>
      <c r="NPL483" s="308"/>
      <c r="NPM483" s="308"/>
      <c r="NPN483" s="308"/>
      <c r="NPO483" s="308"/>
      <c r="NPP483" s="308"/>
      <c r="NPQ483" s="308"/>
      <c r="NPR483" s="308"/>
      <c r="NPS483" s="308"/>
      <c r="NPT483" s="308"/>
      <c r="NPU483" s="308"/>
      <c r="NPV483" s="308"/>
      <c r="NPW483" s="308"/>
      <c r="NPX483" s="308"/>
      <c r="NPY483" s="308"/>
      <c r="NPZ483" s="308"/>
      <c r="NQA483" s="308"/>
      <c r="NQB483" s="308"/>
      <c r="NQC483" s="308"/>
      <c r="NQD483" s="308"/>
      <c r="NQE483" s="308"/>
      <c r="NQF483" s="308"/>
      <c r="NQG483" s="308"/>
      <c r="NQH483" s="308"/>
      <c r="NQI483" s="308"/>
      <c r="NQJ483" s="308"/>
      <c r="NQK483" s="308"/>
      <c r="NQL483" s="308"/>
      <c r="NQM483" s="308"/>
      <c r="NQN483" s="308"/>
      <c r="NQO483" s="308"/>
      <c r="NQP483" s="308"/>
      <c r="NQQ483" s="308"/>
      <c r="NQR483" s="308"/>
      <c r="NQS483" s="308"/>
      <c r="NQT483" s="308"/>
      <c r="NQU483" s="308"/>
      <c r="NQV483" s="308"/>
      <c r="NQW483" s="308"/>
      <c r="NQX483" s="308"/>
      <c r="NQY483" s="308"/>
      <c r="NQZ483" s="308"/>
      <c r="NRA483" s="308"/>
      <c r="NRB483" s="308"/>
      <c r="NRC483" s="308"/>
      <c r="NRD483" s="308"/>
      <c r="NRE483" s="308"/>
      <c r="NRF483" s="308"/>
      <c r="NRG483" s="308"/>
      <c r="NRH483" s="308"/>
      <c r="NRI483" s="308"/>
      <c r="NRJ483" s="308"/>
      <c r="NRK483" s="308"/>
      <c r="NRL483" s="308"/>
      <c r="NRM483" s="308"/>
      <c r="NRN483" s="308"/>
      <c r="NRO483" s="308"/>
      <c r="NRP483" s="308"/>
      <c r="NRQ483" s="308"/>
      <c r="NRR483" s="308"/>
      <c r="NRS483" s="308"/>
      <c r="NRT483" s="308"/>
      <c r="NRU483" s="308"/>
      <c r="NRV483" s="308"/>
      <c r="NRW483" s="308"/>
      <c r="NRX483" s="308"/>
      <c r="NRY483" s="308"/>
      <c r="NRZ483" s="308"/>
      <c r="NSA483" s="308"/>
      <c r="NSB483" s="308"/>
      <c r="NSC483" s="308"/>
      <c r="NSD483" s="308"/>
      <c r="NSE483" s="308"/>
      <c r="NSF483" s="308"/>
      <c r="NSG483" s="308"/>
      <c r="NSH483" s="308"/>
      <c r="NSI483" s="308"/>
      <c r="NSJ483" s="308"/>
      <c r="NSK483" s="308"/>
      <c r="NSL483" s="308"/>
      <c r="NSM483" s="308"/>
      <c r="NSN483" s="308"/>
      <c r="NSO483" s="308"/>
      <c r="NSP483" s="308"/>
      <c r="NSQ483" s="308"/>
      <c r="NSR483" s="308"/>
      <c r="NSS483" s="308"/>
      <c r="NST483" s="308"/>
      <c r="NSU483" s="308"/>
      <c r="NSV483" s="308"/>
      <c r="NSW483" s="308"/>
      <c r="NSX483" s="308"/>
      <c r="NSY483" s="308"/>
      <c r="NSZ483" s="308"/>
      <c r="NTA483" s="308"/>
      <c r="NTB483" s="308"/>
      <c r="NTC483" s="308"/>
      <c r="NTD483" s="308"/>
      <c r="NTE483" s="308"/>
      <c r="NTF483" s="308"/>
      <c r="NTG483" s="308"/>
      <c r="NTH483" s="308"/>
      <c r="NTI483" s="308"/>
      <c r="NTJ483" s="308"/>
      <c r="NTK483" s="308"/>
      <c r="NTL483" s="308"/>
      <c r="NTM483" s="308"/>
      <c r="NTN483" s="308"/>
      <c r="NTO483" s="308"/>
      <c r="NTP483" s="308"/>
      <c r="NTQ483" s="308"/>
      <c r="NTR483" s="308"/>
      <c r="NTS483" s="308"/>
      <c r="NTT483" s="308"/>
      <c r="NTU483" s="308"/>
      <c r="NTV483" s="308"/>
      <c r="NTW483" s="308"/>
      <c r="NTX483" s="308"/>
      <c r="NTY483" s="308"/>
      <c r="NTZ483" s="308"/>
      <c r="NUA483" s="308"/>
      <c r="NUB483" s="308"/>
      <c r="NUC483" s="308"/>
      <c r="NUD483" s="308"/>
      <c r="NUE483" s="308"/>
      <c r="NUF483" s="308"/>
      <c r="NUG483" s="308"/>
      <c r="NUH483" s="308"/>
      <c r="NUI483" s="308"/>
      <c r="NUJ483" s="308"/>
      <c r="NUK483" s="308"/>
      <c r="NUL483" s="308"/>
      <c r="NUM483" s="308"/>
      <c r="NUN483" s="308"/>
      <c r="NUO483" s="308"/>
      <c r="NUP483" s="308"/>
      <c r="NUQ483" s="308"/>
      <c r="NUR483" s="308"/>
      <c r="NUS483" s="308"/>
      <c r="NUT483" s="308"/>
      <c r="NUU483" s="308"/>
      <c r="NUV483" s="308"/>
      <c r="NUW483" s="308"/>
      <c r="NUX483" s="308"/>
      <c r="NUY483" s="308"/>
      <c r="NUZ483" s="308"/>
      <c r="NVA483" s="308"/>
      <c r="NVB483" s="308"/>
      <c r="NVC483" s="308"/>
      <c r="NVD483" s="308"/>
      <c r="NVE483" s="308"/>
      <c r="NVF483" s="308"/>
      <c r="NVG483" s="308"/>
      <c r="NVH483" s="308"/>
      <c r="NVI483" s="308"/>
      <c r="NVJ483" s="308"/>
      <c r="NVK483" s="308"/>
      <c r="NVL483" s="308"/>
      <c r="NVM483" s="308"/>
      <c r="NVN483" s="308"/>
      <c r="NVO483" s="308"/>
      <c r="NVP483" s="308"/>
      <c r="NVQ483" s="308"/>
      <c r="NVR483" s="308"/>
      <c r="NVS483" s="308"/>
      <c r="NVT483" s="308"/>
      <c r="NVU483" s="308"/>
      <c r="NVV483" s="308"/>
      <c r="NVW483" s="308"/>
      <c r="NVX483" s="308"/>
      <c r="NVY483" s="308"/>
      <c r="NVZ483" s="308"/>
      <c r="NWA483" s="308"/>
      <c r="NWB483" s="308"/>
      <c r="NWC483" s="308"/>
      <c r="NWD483" s="308"/>
      <c r="NWE483" s="308"/>
      <c r="NWF483" s="308"/>
      <c r="NWG483" s="308"/>
      <c r="NWH483" s="308"/>
      <c r="NWI483" s="308"/>
      <c r="NWJ483" s="308"/>
      <c r="NWK483" s="308"/>
      <c r="NWL483" s="308"/>
      <c r="NWM483" s="308"/>
      <c r="NWN483" s="308"/>
      <c r="NWO483" s="308"/>
      <c r="NWP483" s="308"/>
      <c r="NWQ483" s="308"/>
      <c r="NWR483" s="308"/>
      <c r="NWS483" s="308"/>
      <c r="NWT483" s="308"/>
      <c r="NWU483" s="308"/>
      <c r="NWV483" s="308"/>
      <c r="NWW483" s="308"/>
      <c r="NWX483" s="308"/>
      <c r="NWY483" s="308"/>
      <c r="NWZ483" s="308"/>
      <c r="NXA483" s="308"/>
      <c r="NXB483" s="308"/>
      <c r="NXC483" s="308"/>
      <c r="NXD483" s="308"/>
      <c r="NXE483" s="308"/>
      <c r="NXF483" s="308"/>
      <c r="NXG483" s="308"/>
      <c r="NXH483" s="308"/>
      <c r="NXI483" s="308"/>
      <c r="NXJ483" s="308"/>
      <c r="NXK483" s="308"/>
      <c r="NXL483" s="308"/>
      <c r="NXM483" s="308"/>
      <c r="NXN483" s="308"/>
      <c r="NXO483" s="308"/>
      <c r="NXP483" s="308"/>
      <c r="NXQ483" s="308"/>
      <c r="NXR483" s="308"/>
      <c r="NXS483" s="308"/>
      <c r="NXT483" s="308"/>
      <c r="NXU483" s="308"/>
      <c r="NXV483" s="308"/>
      <c r="NXW483" s="308"/>
      <c r="NXX483" s="308"/>
      <c r="NXY483" s="308"/>
      <c r="NXZ483" s="308"/>
      <c r="NYA483" s="308"/>
      <c r="NYB483" s="308"/>
      <c r="NYC483" s="308"/>
      <c r="NYD483" s="308"/>
      <c r="NYE483" s="308"/>
      <c r="NYF483" s="308"/>
      <c r="NYG483" s="308"/>
      <c r="NYH483" s="308"/>
      <c r="NYI483" s="308"/>
      <c r="NYJ483" s="308"/>
      <c r="NYK483" s="308"/>
      <c r="NYL483" s="308"/>
      <c r="NYM483" s="308"/>
      <c r="NYN483" s="308"/>
      <c r="NYO483" s="308"/>
      <c r="NYP483" s="308"/>
      <c r="NYQ483" s="308"/>
      <c r="NYR483" s="308"/>
      <c r="NYS483" s="308"/>
      <c r="NYT483" s="308"/>
      <c r="NYU483" s="308"/>
      <c r="NYV483" s="308"/>
      <c r="NYW483" s="308"/>
      <c r="NYX483" s="308"/>
      <c r="NYY483" s="308"/>
      <c r="NYZ483" s="308"/>
      <c r="NZA483" s="308"/>
      <c r="NZB483" s="308"/>
      <c r="NZC483" s="308"/>
      <c r="NZD483" s="308"/>
      <c r="NZE483" s="308"/>
      <c r="NZF483" s="308"/>
      <c r="NZG483" s="308"/>
      <c r="NZH483" s="308"/>
      <c r="NZI483" s="308"/>
      <c r="NZJ483" s="308"/>
      <c r="NZK483" s="308"/>
      <c r="NZL483" s="308"/>
      <c r="NZM483" s="308"/>
      <c r="NZN483" s="308"/>
      <c r="NZO483" s="308"/>
      <c r="NZP483" s="308"/>
      <c r="NZQ483" s="308"/>
      <c r="NZR483" s="308"/>
      <c r="NZS483" s="308"/>
      <c r="NZT483" s="308"/>
      <c r="NZU483" s="308"/>
      <c r="NZV483" s="308"/>
      <c r="NZW483" s="308"/>
      <c r="NZX483" s="308"/>
      <c r="NZY483" s="308"/>
      <c r="NZZ483" s="308"/>
      <c r="OAA483" s="308"/>
      <c r="OAB483" s="308"/>
      <c r="OAC483" s="308"/>
      <c r="OAD483" s="308"/>
      <c r="OAE483" s="308"/>
      <c r="OAF483" s="308"/>
      <c r="OAG483" s="308"/>
      <c r="OAH483" s="308"/>
      <c r="OAI483" s="308"/>
      <c r="OAJ483" s="308"/>
      <c r="OAK483" s="308"/>
      <c r="OAL483" s="308"/>
      <c r="OAM483" s="308"/>
      <c r="OAN483" s="308"/>
      <c r="OAO483" s="308"/>
      <c r="OAP483" s="308"/>
      <c r="OAQ483" s="308"/>
      <c r="OAR483" s="308"/>
      <c r="OAS483" s="308"/>
      <c r="OAT483" s="308"/>
      <c r="OAU483" s="308"/>
      <c r="OAV483" s="308"/>
      <c r="OAW483" s="308"/>
      <c r="OAX483" s="308"/>
      <c r="OAY483" s="308"/>
      <c r="OAZ483" s="308"/>
      <c r="OBA483" s="308"/>
      <c r="OBB483" s="308"/>
      <c r="OBC483" s="308"/>
      <c r="OBD483" s="308"/>
      <c r="OBE483" s="308"/>
      <c r="OBF483" s="308"/>
      <c r="OBG483" s="308"/>
      <c r="OBH483" s="308"/>
      <c r="OBI483" s="308"/>
      <c r="OBJ483" s="308"/>
      <c r="OBK483" s="308"/>
      <c r="OBL483" s="308"/>
      <c r="OBM483" s="308"/>
      <c r="OBN483" s="308"/>
      <c r="OBO483" s="308"/>
      <c r="OBP483" s="308"/>
      <c r="OBQ483" s="308"/>
      <c r="OBR483" s="308"/>
      <c r="OBS483" s="308"/>
      <c r="OBT483" s="308"/>
      <c r="OBU483" s="308"/>
      <c r="OBV483" s="308"/>
      <c r="OBW483" s="308"/>
      <c r="OBX483" s="308"/>
      <c r="OBY483" s="308"/>
      <c r="OBZ483" s="308"/>
      <c r="OCA483" s="308"/>
      <c r="OCB483" s="308"/>
      <c r="OCC483" s="308"/>
      <c r="OCD483" s="308"/>
      <c r="OCE483" s="308"/>
      <c r="OCF483" s="308"/>
      <c r="OCG483" s="308"/>
      <c r="OCH483" s="308"/>
      <c r="OCI483" s="308"/>
      <c r="OCJ483" s="308"/>
      <c r="OCK483" s="308"/>
      <c r="OCL483" s="308"/>
      <c r="OCM483" s="308"/>
      <c r="OCN483" s="308"/>
      <c r="OCO483" s="308"/>
      <c r="OCP483" s="308"/>
      <c r="OCQ483" s="308"/>
      <c r="OCR483" s="308"/>
      <c r="OCS483" s="308"/>
      <c r="OCT483" s="308"/>
      <c r="OCU483" s="308"/>
      <c r="OCV483" s="308"/>
      <c r="OCW483" s="308"/>
      <c r="OCX483" s="308"/>
      <c r="OCY483" s="308"/>
      <c r="OCZ483" s="308"/>
      <c r="ODA483" s="308"/>
      <c r="ODB483" s="308"/>
      <c r="ODC483" s="308"/>
      <c r="ODD483" s="308"/>
      <c r="ODE483" s="308"/>
      <c r="ODF483" s="308"/>
      <c r="ODG483" s="308"/>
      <c r="ODH483" s="308"/>
      <c r="ODI483" s="308"/>
      <c r="ODJ483" s="308"/>
      <c r="ODK483" s="308"/>
      <c r="ODL483" s="308"/>
      <c r="ODM483" s="308"/>
      <c r="ODN483" s="308"/>
      <c r="ODO483" s="308"/>
      <c r="ODP483" s="308"/>
      <c r="ODQ483" s="308"/>
      <c r="ODR483" s="308"/>
      <c r="ODS483" s="308"/>
      <c r="ODT483" s="308"/>
      <c r="ODU483" s="308"/>
      <c r="ODV483" s="308"/>
      <c r="ODW483" s="308"/>
      <c r="ODX483" s="308"/>
      <c r="ODY483" s="308"/>
      <c r="ODZ483" s="308"/>
      <c r="OEA483" s="308"/>
      <c r="OEB483" s="308"/>
      <c r="OEC483" s="308"/>
      <c r="OED483" s="308"/>
      <c r="OEE483" s="308"/>
      <c r="OEF483" s="308"/>
      <c r="OEG483" s="308"/>
      <c r="OEH483" s="308"/>
      <c r="OEI483" s="308"/>
      <c r="OEJ483" s="308"/>
      <c r="OEK483" s="308"/>
      <c r="OEL483" s="308"/>
      <c r="OEM483" s="308"/>
      <c r="OEN483" s="308"/>
      <c r="OEO483" s="308"/>
      <c r="OEP483" s="308"/>
      <c r="OEQ483" s="308"/>
      <c r="OER483" s="308"/>
      <c r="OES483" s="308"/>
      <c r="OET483" s="308"/>
      <c r="OEU483" s="308"/>
      <c r="OEV483" s="308"/>
      <c r="OEW483" s="308"/>
      <c r="OEX483" s="308"/>
      <c r="OEY483" s="308"/>
      <c r="OEZ483" s="308"/>
      <c r="OFA483" s="308"/>
      <c r="OFB483" s="308"/>
      <c r="OFC483" s="308"/>
      <c r="OFD483" s="308"/>
      <c r="OFE483" s="308"/>
      <c r="OFF483" s="308"/>
      <c r="OFG483" s="308"/>
      <c r="OFH483" s="308"/>
      <c r="OFI483" s="308"/>
      <c r="OFJ483" s="308"/>
      <c r="OFK483" s="308"/>
      <c r="OFL483" s="308"/>
      <c r="OFM483" s="308"/>
      <c r="OFN483" s="308"/>
      <c r="OFO483" s="308"/>
      <c r="OFP483" s="308"/>
      <c r="OFQ483" s="308"/>
      <c r="OFR483" s="308"/>
      <c r="OFS483" s="308"/>
      <c r="OFT483" s="308"/>
      <c r="OFU483" s="308"/>
      <c r="OFV483" s="308"/>
      <c r="OFW483" s="308"/>
      <c r="OFX483" s="308"/>
      <c r="OFY483" s="308"/>
      <c r="OFZ483" s="308"/>
      <c r="OGA483" s="308"/>
      <c r="OGB483" s="308"/>
      <c r="OGC483" s="308"/>
      <c r="OGD483" s="308"/>
      <c r="OGE483" s="308"/>
      <c r="OGF483" s="308"/>
      <c r="OGG483" s="308"/>
      <c r="OGH483" s="308"/>
      <c r="OGI483" s="308"/>
      <c r="OGJ483" s="308"/>
      <c r="OGK483" s="308"/>
      <c r="OGL483" s="308"/>
      <c r="OGM483" s="308"/>
      <c r="OGN483" s="308"/>
      <c r="OGO483" s="308"/>
      <c r="OGP483" s="308"/>
      <c r="OGQ483" s="308"/>
      <c r="OGR483" s="308"/>
      <c r="OGS483" s="308"/>
      <c r="OGT483" s="308"/>
      <c r="OGU483" s="308"/>
      <c r="OGV483" s="308"/>
      <c r="OGW483" s="308"/>
      <c r="OGX483" s="308"/>
      <c r="OGY483" s="308"/>
      <c r="OGZ483" s="308"/>
      <c r="OHA483" s="308"/>
      <c r="OHB483" s="308"/>
      <c r="OHC483" s="308"/>
      <c r="OHD483" s="308"/>
      <c r="OHE483" s="308"/>
      <c r="OHF483" s="308"/>
      <c r="OHG483" s="308"/>
      <c r="OHH483" s="308"/>
      <c r="OHI483" s="308"/>
      <c r="OHJ483" s="308"/>
      <c r="OHK483" s="308"/>
      <c r="OHL483" s="308"/>
      <c r="OHM483" s="308"/>
      <c r="OHN483" s="308"/>
      <c r="OHO483" s="308"/>
      <c r="OHP483" s="308"/>
      <c r="OHQ483" s="308"/>
      <c r="OHR483" s="308"/>
      <c r="OHS483" s="308"/>
      <c r="OHT483" s="308"/>
      <c r="OHU483" s="308"/>
      <c r="OHV483" s="308"/>
      <c r="OHW483" s="308"/>
      <c r="OHX483" s="308"/>
      <c r="OHY483" s="308"/>
      <c r="OHZ483" s="308"/>
      <c r="OIA483" s="308"/>
      <c r="OIB483" s="308"/>
      <c r="OIC483" s="308"/>
      <c r="OID483" s="308"/>
      <c r="OIE483" s="308"/>
      <c r="OIF483" s="308"/>
      <c r="OIG483" s="308"/>
      <c r="OIH483" s="308"/>
      <c r="OII483" s="308"/>
      <c r="OIJ483" s="308"/>
      <c r="OIK483" s="308"/>
      <c r="OIL483" s="308"/>
      <c r="OIM483" s="308"/>
      <c r="OIN483" s="308"/>
      <c r="OIO483" s="308"/>
      <c r="OIP483" s="308"/>
      <c r="OIQ483" s="308"/>
      <c r="OIR483" s="308"/>
      <c r="OIS483" s="308"/>
      <c r="OIT483" s="308"/>
      <c r="OIU483" s="308"/>
      <c r="OIV483" s="308"/>
      <c r="OIW483" s="308"/>
      <c r="OIX483" s="308"/>
      <c r="OIY483" s="308"/>
      <c r="OIZ483" s="308"/>
      <c r="OJA483" s="308"/>
      <c r="OJB483" s="308"/>
      <c r="OJC483" s="308"/>
      <c r="OJD483" s="308"/>
      <c r="OJE483" s="308"/>
      <c r="OJF483" s="308"/>
      <c r="OJG483" s="308"/>
      <c r="OJH483" s="308"/>
      <c r="OJI483" s="308"/>
      <c r="OJJ483" s="308"/>
      <c r="OJK483" s="308"/>
      <c r="OJL483" s="308"/>
      <c r="OJM483" s="308"/>
      <c r="OJN483" s="308"/>
      <c r="OJO483" s="308"/>
      <c r="OJP483" s="308"/>
      <c r="OJQ483" s="308"/>
      <c r="OJR483" s="308"/>
      <c r="OJS483" s="308"/>
      <c r="OJT483" s="308"/>
      <c r="OJU483" s="308"/>
      <c r="OJV483" s="308"/>
      <c r="OJW483" s="308"/>
      <c r="OJX483" s="308"/>
      <c r="OJY483" s="308"/>
      <c r="OJZ483" s="308"/>
      <c r="OKA483" s="308"/>
      <c r="OKB483" s="308"/>
      <c r="OKC483" s="308"/>
      <c r="OKD483" s="308"/>
      <c r="OKE483" s="308"/>
      <c r="OKF483" s="308"/>
      <c r="OKG483" s="308"/>
      <c r="OKH483" s="308"/>
      <c r="OKI483" s="308"/>
      <c r="OKJ483" s="308"/>
      <c r="OKK483" s="308"/>
      <c r="OKL483" s="308"/>
      <c r="OKM483" s="308"/>
      <c r="OKN483" s="308"/>
      <c r="OKO483" s="308"/>
      <c r="OKP483" s="308"/>
      <c r="OKQ483" s="308"/>
      <c r="OKR483" s="308"/>
      <c r="OKS483" s="308"/>
      <c r="OKT483" s="308"/>
      <c r="OKU483" s="308"/>
      <c r="OKV483" s="308"/>
      <c r="OKW483" s="308"/>
      <c r="OKX483" s="308"/>
      <c r="OKY483" s="308"/>
      <c r="OKZ483" s="308"/>
      <c r="OLA483" s="308"/>
      <c r="OLB483" s="308"/>
      <c r="OLC483" s="308"/>
      <c r="OLD483" s="308"/>
      <c r="OLE483" s="308"/>
      <c r="OLF483" s="308"/>
      <c r="OLG483" s="308"/>
      <c r="OLH483" s="308"/>
      <c r="OLI483" s="308"/>
      <c r="OLJ483" s="308"/>
      <c r="OLK483" s="308"/>
      <c r="OLL483" s="308"/>
      <c r="OLM483" s="308"/>
      <c r="OLN483" s="308"/>
      <c r="OLO483" s="308"/>
      <c r="OLP483" s="308"/>
      <c r="OLQ483" s="308"/>
      <c r="OLR483" s="308"/>
      <c r="OLS483" s="308"/>
      <c r="OLT483" s="308"/>
      <c r="OLU483" s="308"/>
      <c r="OLV483" s="308"/>
      <c r="OLW483" s="308"/>
      <c r="OLX483" s="308"/>
      <c r="OLY483" s="308"/>
      <c r="OLZ483" s="308"/>
      <c r="OMA483" s="308"/>
      <c r="OMB483" s="308"/>
      <c r="OMC483" s="308"/>
      <c r="OMD483" s="308"/>
      <c r="OME483" s="308"/>
      <c r="OMF483" s="308"/>
      <c r="OMG483" s="308"/>
      <c r="OMH483" s="308"/>
      <c r="OMI483" s="308"/>
      <c r="OMJ483" s="308"/>
      <c r="OMK483" s="308"/>
      <c r="OML483" s="308"/>
      <c r="OMM483" s="308"/>
      <c r="OMN483" s="308"/>
      <c r="OMO483" s="308"/>
      <c r="OMP483" s="308"/>
      <c r="OMQ483" s="308"/>
      <c r="OMR483" s="308"/>
      <c r="OMS483" s="308"/>
      <c r="OMT483" s="308"/>
      <c r="OMU483" s="308"/>
      <c r="OMV483" s="308"/>
      <c r="OMW483" s="308"/>
      <c r="OMX483" s="308"/>
      <c r="OMY483" s="308"/>
      <c r="OMZ483" s="308"/>
      <c r="ONA483" s="308"/>
      <c r="ONB483" s="308"/>
      <c r="ONC483" s="308"/>
      <c r="OND483" s="308"/>
      <c r="ONE483" s="308"/>
      <c r="ONF483" s="308"/>
      <c r="ONG483" s="308"/>
      <c r="ONH483" s="308"/>
      <c r="ONI483" s="308"/>
      <c r="ONJ483" s="308"/>
      <c r="ONK483" s="308"/>
      <c r="ONL483" s="308"/>
      <c r="ONM483" s="308"/>
      <c r="ONN483" s="308"/>
      <c r="ONO483" s="308"/>
      <c r="ONP483" s="308"/>
      <c r="ONQ483" s="308"/>
      <c r="ONR483" s="308"/>
      <c r="ONS483" s="308"/>
      <c r="ONT483" s="308"/>
      <c r="ONU483" s="308"/>
      <c r="ONV483" s="308"/>
      <c r="ONW483" s="308"/>
      <c r="ONX483" s="308"/>
      <c r="ONY483" s="308"/>
      <c r="ONZ483" s="308"/>
      <c r="OOA483" s="308"/>
      <c r="OOB483" s="308"/>
      <c r="OOC483" s="308"/>
      <c r="OOD483" s="308"/>
      <c r="OOE483" s="308"/>
      <c r="OOF483" s="308"/>
      <c r="OOG483" s="308"/>
      <c r="OOH483" s="308"/>
      <c r="OOI483" s="308"/>
      <c r="OOJ483" s="308"/>
      <c r="OOK483" s="308"/>
      <c r="OOL483" s="308"/>
      <c r="OOM483" s="308"/>
      <c r="OON483" s="308"/>
      <c r="OOO483" s="308"/>
      <c r="OOP483" s="308"/>
      <c r="OOQ483" s="308"/>
      <c r="OOR483" s="308"/>
      <c r="OOS483" s="308"/>
      <c r="OOT483" s="308"/>
      <c r="OOU483" s="308"/>
      <c r="OOV483" s="308"/>
      <c r="OOW483" s="308"/>
      <c r="OOX483" s="308"/>
      <c r="OOY483" s="308"/>
      <c r="OOZ483" s="308"/>
      <c r="OPA483" s="308"/>
      <c r="OPB483" s="308"/>
      <c r="OPC483" s="308"/>
      <c r="OPD483" s="308"/>
      <c r="OPE483" s="308"/>
      <c r="OPF483" s="308"/>
      <c r="OPG483" s="308"/>
      <c r="OPH483" s="308"/>
      <c r="OPI483" s="308"/>
      <c r="OPJ483" s="308"/>
      <c r="OPK483" s="308"/>
      <c r="OPL483" s="308"/>
      <c r="OPM483" s="308"/>
      <c r="OPN483" s="308"/>
      <c r="OPO483" s="308"/>
      <c r="OPP483" s="308"/>
      <c r="OPQ483" s="308"/>
      <c r="OPR483" s="308"/>
      <c r="OPS483" s="308"/>
      <c r="OPT483" s="308"/>
      <c r="OPU483" s="308"/>
      <c r="OPV483" s="308"/>
      <c r="OPW483" s="308"/>
      <c r="OPX483" s="308"/>
      <c r="OPY483" s="308"/>
      <c r="OPZ483" s="308"/>
      <c r="OQA483" s="308"/>
      <c r="OQB483" s="308"/>
      <c r="OQC483" s="308"/>
      <c r="OQD483" s="308"/>
      <c r="OQE483" s="308"/>
      <c r="OQF483" s="308"/>
      <c r="OQG483" s="308"/>
      <c r="OQH483" s="308"/>
      <c r="OQI483" s="308"/>
      <c r="OQJ483" s="308"/>
      <c r="OQK483" s="308"/>
      <c r="OQL483" s="308"/>
      <c r="OQM483" s="308"/>
      <c r="OQN483" s="308"/>
      <c r="OQO483" s="308"/>
      <c r="OQP483" s="308"/>
      <c r="OQQ483" s="308"/>
      <c r="OQR483" s="308"/>
      <c r="OQS483" s="308"/>
      <c r="OQT483" s="308"/>
      <c r="OQU483" s="308"/>
      <c r="OQV483" s="308"/>
      <c r="OQW483" s="308"/>
      <c r="OQX483" s="308"/>
      <c r="OQY483" s="308"/>
      <c r="OQZ483" s="308"/>
      <c r="ORA483" s="308"/>
      <c r="ORB483" s="308"/>
      <c r="ORC483" s="308"/>
      <c r="ORD483" s="308"/>
      <c r="ORE483" s="308"/>
      <c r="ORF483" s="308"/>
      <c r="ORG483" s="308"/>
      <c r="ORH483" s="308"/>
      <c r="ORI483" s="308"/>
      <c r="ORJ483" s="308"/>
      <c r="ORK483" s="308"/>
      <c r="ORL483" s="308"/>
      <c r="ORM483" s="308"/>
      <c r="ORN483" s="308"/>
      <c r="ORO483" s="308"/>
      <c r="ORP483" s="308"/>
      <c r="ORQ483" s="308"/>
      <c r="ORR483" s="308"/>
      <c r="ORS483" s="308"/>
      <c r="ORT483" s="308"/>
      <c r="ORU483" s="308"/>
      <c r="ORV483" s="308"/>
      <c r="ORW483" s="308"/>
      <c r="ORX483" s="308"/>
      <c r="ORY483" s="308"/>
      <c r="ORZ483" s="308"/>
      <c r="OSA483" s="308"/>
      <c r="OSB483" s="308"/>
      <c r="OSC483" s="308"/>
      <c r="OSD483" s="308"/>
      <c r="OSE483" s="308"/>
      <c r="OSF483" s="308"/>
      <c r="OSG483" s="308"/>
      <c r="OSH483" s="308"/>
      <c r="OSI483" s="308"/>
      <c r="OSJ483" s="308"/>
      <c r="OSK483" s="308"/>
      <c r="OSL483" s="308"/>
      <c r="OSM483" s="308"/>
      <c r="OSN483" s="308"/>
      <c r="OSO483" s="308"/>
      <c r="OSP483" s="308"/>
      <c r="OSQ483" s="308"/>
      <c r="OSR483" s="308"/>
      <c r="OSS483" s="308"/>
      <c r="OST483" s="308"/>
      <c r="OSU483" s="308"/>
      <c r="OSV483" s="308"/>
      <c r="OSW483" s="308"/>
      <c r="OSX483" s="308"/>
      <c r="OSY483" s="308"/>
      <c r="OSZ483" s="308"/>
      <c r="OTA483" s="308"/>
      <c r="OTB483" s="308"/>
      <c r="OTC483" s="308"/>
      <c r="OTD483" s="308"/>
      <c r="OTE483" s="308"/>
      <c r="OTF483" s="308"/>
      <c r="OTG483" s="308"/>
      <c r="OTH483" s="308"/>
      <c r="OTI483" s="308"/>
      <c r="OTJ483" s="308"/>
      <c r="OTK483" s="308"/>
      <c r="OTL483" s="308"/>
      <c r="OTM483" s="308"/>
      <c r="OTN483" s="308"/>
      <c r="OTO483" s="308"/>
      <c r="OTP483" s="308"/>
      <c r="OTQ483" s="308"/>
      <c r="OTR483" s="308"/>
      <c r="OTS483" s="308"/>
      <c r="OTT483" s="308"/>
      <c r="OTU483" s="308"/>
      <c r="OTV483" s="308"/>
      <c r="OTW483" s="308"/>
      <c r="OTX483" s="308"/>
      <c r="OTY483" s="308"/>
      <c r="OTZ483" s="308"/>
      <c r="OUA483" s="308"/>
      <c r="OUB483" s="308"/>
      <c r="OUC483" s="308"/>
      <c r="OUD483" s="308"/>
      <c r="OUE483" s="308"/>
      <c r="OUF483" s="308"/>
      <c r="OUG483" s="308"/>
      <c r="OUH483" s="308"/>
      <c r="OUI483" s="308"/>
      <c r="OUJ483" s="308"/>
      <c r="OUK483" s="308"/>
      <c r="OUL483" s="308"/>
      <c r="OUM483" s="308"/>
      <c r="OUN483" s="308"/>
      <c r="OUO483" s="308"/>
      <c r="OUP483" s="308"/>
      <c r="OUQ483" s="308"/>
      <c r="OUR483" s="308"/>
      <c r="OUS483" s="308"/>
      <c r="OUT483" s="308"/>
      <c r="OUU483" s="308"/>
      <c r="OUV483" s="308"/>
      <c r="OUW483" s="308"/>
      <c r="OUX483" s="308"/>
      <c r="OUY483" s="308"/>
      <c r="OUZ483" s="308"/>
      <c r="OVA483" s="308"/>
      <c r="OVB483" s="308"/>
      <c r="OVC483" s="308"/>
      <c r="OVD483" s="308"/>
      <c r="OVE483" s="308"/>
      <c r="OVF483" s="308"/>
      <c r="OVG483" s="308"/>
      <c r="OVH483" s="308"/>
      <c r="OVI483" s="308"/>
      <c r="OVJ483" s="308"/>
      <c r="OVK483" s="308"/>
      <c r="OVL483" s="308"/>
      <c r="OVM483" s="308"/>
      <c r="OVN483" s="308"/>
      <c r="OVO483" s="308"/>
      <c r="OVP483" s="308"/>
      <c r="OVQ483" s="308"/>
      <c r="OVR483" s="308"/>
      <c r="OVS483" s="308"/>
      <c r="OVT483" s="308"/>
      <c r="OVU483" s="308"/>
      <c r="OVV483" s="308"/>
      <c r="OVW483" s="308"/>
      <c r="OVX483" s="308"/>
      <c r="OVY483" s="308"/>
      <c r="OVZ483" s="308"/>
      <c r="OWA483" s="308"/>
      <c r="OWB483" s="308"/>
      <c r="OWC483" s="308"/>
      <c r="OWD483" s="308"/>
      <c r="OWE483" s="308"/>
      <c r="OWF483" s="308"/>
      <c r="OWG483" s="308"/>
      <c r="OWH483" s="308"/>
      <c r="OWI483" s="308"/>
      <c r="OWJ483" s="308"/>
      <c r="OWK483" s="308"/>
      <c r="OWL483" s="308"/>
      <c r="OWM483" s="308"/>
      <c r="OWN483" s="308"/>
      <c r="OWO483" s="308"/>
      <c r="OWP483" s="308"/>
      <c r="OWQ483" s="308"/>
      <c r="OWR483" s="308"/>
      <c r="OWS483" s="308"/>
      <c r="OWT483" s="308"/>
      <c r="OWU483" s="308"/>
      <c r="OWV483" s="308"/>
      <c r="OWW483" s="308"/>
      <c r="OWX483" s="308"/>
      <c r="OWY483" s="308"/>
      <c r="OWZ483" s="308"/>
      <c r="OXA483" s="308"/>
      <c r="OXB483" s="308"/>
      <c r="OXC483" s="308"/>
      <c r="OXD483" s="308"/>
      <c r="OXE483" s="308"/>
      <c r="OXF483" s="308"/>
      <c r="OXG483" s="308"/>
      <c r="OXH483" s="308"/>
      <c r="OXI483" s="308"/>
      <c r="OXJ483" s="308"/>
      <c r="OXK483" s="308"/>
      <c r="OXL483" s="308"/>
      <c r="OXM483" s="308"/>
      <c r="OXN483" s="308"/>
      <c r="OXO483" s="308"/>
      <c r="OXP483" s="308"/>
      <c r="OXQ483" s="308"/>
      <c r="OXR483" s="308"/>
      <c r="OXS483" s="308"/>
      <c r="OXT483" s="308"/>
      <c r="OXU483" s="308"/>
      <c r="OXV483" s="308"/>
      <c r="OXW483" s="308"/>
      <c r="OXX483" s="308"/>
      <c r="OXY483" s="308"/>
      <c r="OXZ483" s="308"/>
      <c r="OYA483" s="308"/>
      <c r="OYB483" s="308"/>
      <c r="OYC483" s="308"/>
      <c r="OYD483" s="308"/>
      <c r="OYE483" s="308"/>
      <c r="OYF483" s="308"/>
      <c r="OYG483" s="308"/>
      <c r="OYH483" s="308"/>
      <c r="OYI483" s="308"/>
      <c r="OYJ483" s="308"/>
      <c r="OYK483" s="308"/>
      <c r="OYL483" s="308"/>
      <c r="OYM483" s="308"/>
      <c r="OYN483" s="308"/>
      <c r="OYO483" s="308"/>
      <c r="OYP483" s="308"/>
      <c r="OYQ483" s="308"/>
      <c r="OYR483" s="308"/>
      <c r="OYS483" s="308"/>
      <c r="OYT483" s="308"/>
      <c r="OYU483" s="308"/>
      <c r="OYV483" s="308"/>
      <c r="OYW483" s="308"/>
      <c r="OYX483" s="308"/>
      <c r="OYY483" s="308"/>
      <c r="OYZ483" s="308"/>
      <c r="OZA483" s="308"/>
      <c r="OZB483" s="308"/>
      <c r="OZC483" s="308"/>
      <c r="OZD483" s="308"/>
      <c r="OZE483" s="308"/>
      <c r="OZF483" s="308"/>
      <c r="OZG483" s="308"/>
      <c r="OZH483" s="308"/>
      <c r="OZI483" s="308"/>
      <c r="OZJ483" s="308"/>
      <c r="OZK483" s="308"/>
      <c r="OZL483" s="308"/>
      <c r="OZM483" s="308"/>
      <c r="OZN483" s="308"/>
      <c r="OZO483" s="308"/>
      <c r="OZP483" s="308"/>
      <c r="OZQ483" s="308"/>
      <c r="OZR483" s="308"/>
      <c r="OZS483" s="308"/>
      <c r="OZT483" s="308"/>
      <c r="OZU483" s="308"/>
      <c r="OZV483" s="308"/>
      <c r="OZW483" s="308"/>
      <c r="OZX483" s="308"/>
      <c r="OZY483" s="308"/>
      <c r="OZZ483" s="308"/>
      <c r="PAA483" s="308"/>
      <c r="PAB483" s="308"/>
      <c r="PAC483" s="308"/>
      <c r="PAD483" s="308"/>
      <c r="PAE483" s="308"/>
      <c r="PAF483" s="308"/>
      <c r="PAG483" s="308"/>
      <c r="PAH483" s="308"/>
      <c r="PAI483" s="308"/>
      <c r="PAJ483" s="308"/>
      <c r="PAK483" s="308"/>
      <c r="PAL483" s="308"/>
      <c r="PAM483" s="308"/>
      <c r="PAN483" s="308"/>
      <c r="PAO483" s="308"/>
      <c r="PAP483" s="308"/>
      <c r="PAQ483" s="308"/>
      <c r="PAR483" s="308"/>
      <c r="PAS483" s="308"/>
      <c r="PAT483" s="308"/>
      <c r="PAU483" s="308"/>
      <c r="PAV483" s="308"/>
      <c r="PAW483" s="308"/>
      <c r="PAX483" s="308"/>
      <c r="PAY483" s="308"/>
      <c r="PAZ483" s="308"/>
      <c r="PBA483" s="308"/>
      <c r="PBB483" s="308"/>
      <c r="PBC483" s="308"/>
      <c r="PBD483" s="308"/>
      <c r="PBE483" s="308"/>
      <c r="PBF483" s="308"/>
      <c r="PBG483" s="308"/>
      <c r="PBH483" s="308"/>
      <c r="PBI483" s="308"/>
      <c r="PBJ483" s="308"/>
      <c r="PBK483" s="308"/>
      <c r="PBL483" s="308"/>
      <c r="PBM483" s="308"/>
      <c r="PBN483" s="308"/>
      <c r="PBO483" s="308"/>
      <c r="PBP483" s="308"/>
      <c r="PBQ483" s="308"/>
      <c r="PBR483" s="308"/>
      <c r="PBS483" s="308"/>
      <c r="PBT483" s="308"/>
      <c r="PBU483" s="308"/>
      <c r="PBV483" s="308"/>
      <c r="PBW483" s="308"/>
      <c r="PBX483" s="308"/>
      <c r="PBY483" s="308"/>
      <c r="PBZ483" s="308"/>
      <c r="PCA483" s="308"/>
      <c r="PCB483" s="308"/>
      <c r="PCC483" s="308"/>
      <c r="PCD483" s="308"/>
      <c r="PCE483" s="308"/>
      <c r="PCF483" s="308"/>
      <c r="PCG483" s="308"/>
      <c r="PCH483" s="308"/>
      <c r="PCI483" s="308"/>
      <c r="PCJ483" s="308"/>
      <c r="PCK483" s="308"/>
      <c r="PCL483" s="308"/>
      <c r="PCM483" s="308"/>
      <c r="PCN483" s="308"/>
      <c r="PCO483" s="308"/>
      <c r="PCP483" s="308"/>
      <c r="PCQ483" s="308"/>
      <c r="PCR483" s="308"/>
      <c r="PCS483" s="308"/>
      <c r="PCT483" s="308"/>
      <c r="PCU483" s="308"/>
      <c r="PCV483" s="308"/>
      <c r="PCW483" s="308"/>
      <c r="PCX483" s="308"/>
      <c r="PCY483" s="308"/>
      <c r="PCZ483" s="308"/>
      <c r="PDA483" s="308"/>
      <c r="PDB483" s="308"/>
      <c r="PDC483" s="308"/>
      <c r="PDD483" s="308"/>
      <c r="PDE483" s="308"/>
      <c r="PDF483" s="308"/>
      <c r="PDG483" s="308"/>
      <c r="PDH483" s="308"/>
      <c r="PDI483" s="308"/>
      <c r="PDJ483" s="308"/>
      <c r="PDK483" s="308"/>
      <c r="PDL483" s="308"/>
      <c r="PDM483" s="308"/>
      <c r="PDN483" s="308"/>
      <c r="PDO483" s="308"/>
      <c r="PDP483" s="308"/>
      <c r="PDQ483" s="308"/>
      <c r="PDR483" s="308"/>
      <c r="PDS483" s="308"/>
      <c r="PDT483" s="308"/>
      <c r="PDU483" s="308"/>
      <c r="PDV483" s="308"/>
      <c r="PDW483" s="308"/>
      <c r="PDX483" s="308"/>
      <c r="PDY483" s="308"/>
      <c r="PDZ483" s="308"/>
      <c r="PEA483" s="308"/>
      <c r="PEB483" s="308"/>
      <c r="PEC483" s="308"/>
      <c r="PED483" s="308"/>
      <c r="PEE483" s="308"/>
      <c r="PEF483" s="308"/>
      <c r="PEG483" s="308"/>
      <c r="PEH483" s="308"/>
      <c r="PEI483" s="308"/>
      <c r="PEJ483" s="308"/>
      <c r="PEK483" s="308"/>
      <c r="PEL483" s="308"/>
      <c r="PEM483" s="308"/>
      <c r="PEN483" s="308"/>
      <c r="PEO483" s="308"/>
      <c r="PEP483" s="308"/>
      <c r="PEQ483" s="308"/>
      <c r="PER483" s="308"/>
      <c r="PES483" s="308"/>
      <c r="PET483" s="308"/>
      <c r="PEU483" s="308"/>
      <c r="PEV483" s="308"/>
      <c r="PEW483" s="308"/>
      <c r="PEX483" s="308"/>
      <c r="PEY483" s="308"/>
      <c r="PEZ483" s="308"/>
      <c r="PFA483" s="308"/>
      <c r="PFB483" s="308"/>
      <c r="PFC483" s="308"/>
      <c r="PFD483" s="308"/>
      <c r="PFE483" s="308"/>
      <c r="PFF483" s="308"/>
      <c r="PFG483" s="308"/>
      <c r="PFH483" s="308"/>
      <c r="PFI483" s="308"/>
      <c r="PFJ483" s="308"/>
      <c r="PFK483" s="308"/>
      <c r="PFL483" s="308"/>
      <c r="PFM483" s="308"/>
      <c r="PFN483" s="308"/>
      <c r="PFO483" s="308"/>
      <c r="PFP483" s="308"/>
      <c r="PFQ483" s="308"/>
      <c r="PFR483" s="308"/>
      <c r="PFS483" s="308"/>
      <c r="PFT483" s="308"/>
      <c r="PFU483" s="308"/>
      <c r="PFV483" s="308"/>
      <c r="PFW483" s="308"/>
      <c r="PFX483" s="308"/>
      <c r="PFY483" s="308"/>
      <c r="PFZ483" s="308"/>
      <c r="PGA483" s="308"/>
      <c r="PGB483" s="308"/>
      <c r="PGC483" s="308"/>
      <c r="PGD483" s="308"/>
      <c r="PGE483" s="308"/>
      <c r="PGF483" s="308"/>
      <c r="PGG483" s="308"/>
      <c r="PGH483" s="308"/>
      <c r="PGI483" s="308"/>
      <c r="PGJ483" s="308"/>
      <c r="PGK483" s="308"/>
      <c r="PGL483" s="308"/>
      <c r="PGM483" s="308"/>
      <c r="PGN483" s="308"/>
      <c r="PGO483" s="308"/>
      <c r="PGP483" s="308"/>
      <c r="PGQ483" s="308"/>
      <c r="PGR483" s="308"/>
      <c r="PGS483" s="308"/>
      <c r="PGT483" s="308"/>
      <c r="PGU483" s="308"/>
      <c r="PGV483" s="308"/>
      <c r="PGW483" s="308"/>
      <c r="PGX483" s="308"/>
      <c r="PGY483" s="308"/>
      <c r="PGZ483" s="308"/>
      <c r="PHA483" s="308"/>
      <c r="PHB483" s="308"/>
      <c r="PHC483" s="308"/>
      <c r="PHD483" s="308"/>
      <c r="PHE483" s="308"/>
      <c r="PHF483" s="308"/>
      <c r="PHG483" s="308"/>
      <c r="PHH483" s="308"/>
      <c r="PHI483" s="308"/>
      <c r="PHJ483" s="308"/>
      <c r="PHK483" s="308"/>
      <c r="PHL483" s="308"/>
      <c r="PHM483" s="308"/>
      <c r="PHN483" s="308"/>
      <c r="PHO483" s="308"/>
      <c r="PHP483" s="308"/>
      <c r="PHQ483" s="308"/>
      <c r="PHR483" s="308"/>
      <c r="PHS483" s="308"/>
      <c r="PHT483" s="308"/>
      <c r="PHU483" s="308"/>
      <c r="PHV483" s="308"/>
      <c r="PHW483" s="308"/>
      <c r="PHX483" s="308"/>
      <c r="PHY483" s="308"/>
      <c r="PHZ483" s="308"/>
      <c r="PIA483" s="308"/>
      <c r="PIB483" s="308"/>
      <c r="PIC483" s="308"/>
      <c r="PID483" s="308"/>
      <c r="PIE483" s="308"/>
      <c r="PIF483" s="308"/>
      <c r="PIG483" s="308"/>
      <c r="PIH483" s="308"/>
      <c r="PII483" s="308"/>
      <c r="PIJ483" s="308"/>
      <c r="PIK483" s="308"/>
      <c r="PIL483" s="308"/>
      <c r="PIM483" s="308"/>
      <c r="PIN483" s="308"/>
      <c r="PIO483" s="308"/>
      <c r="PIP483" s="308"/>
      <c r="PIQ483" s="308"/>
      <c r="PIR483" s="308"/>
      <c r="PIS483" s="308"/>
      <c r="PIT483" s="308"/>
      <c r="PIU483" s="308"/>
      <c r="PIV483" s="308"/>
      <c r="PIW483" s="308"/>
      <c r="PIX483" s="308"/>
      <c r="PIY483" s="308"/>
      <c r="PIZ483" s="308"/>
      <c r="PJA483" s="308"/>
      <c r="PJB483" s="308"/>
      <c r="PJC483" s="308"/>
      <c r="PJD483" s="308"/>
      <c r="PJE483" s="308"/>
      <c r="PJF483" s="308"/>
      <c r="PJG483" s="308"/>
      <c r="PJH483" s="308"/>
      <c r="PJI483" s="308"/>
      <c r="PJJ483" s="308"/>
      <c r="PJK483" s="308"/>
      <c r="PJL483" s="308"/>
      <c r="PJM483" s="308"/>
      <c r="PJN483" s="308"/>
      <c r="PJO483" s="308"/>
      <c r="PJP483" s="308"/>
      <c r="PJQ483" s="308"/>
      <c r="PJR483" s="308"/>
      <c r="PJS483" s="308"/>
      <c r="PJT483" s="308"/>
      <c r="PJU483" s="308"/>
      <c r="PJV483" s="308"/>
      <c r="PJW483" s="308"/>
      <c r="PJX483" s="308"/>
      <c r="PJY483" s="308"/>
      <c r="PJZ483" s="308"/>
      <c r="PKA483" s="308"/>
      <c r="PKB483" s="308"/>
      <c r="PKC483" s="308"/>
      <c r="PKD483" s="308"/>
      <c r="PKE483" s="308"/>
      <c r="PKF483" s="308"/>
      <c r="PKG483" s="308"/>
      <c r="PKH483" s="308"/>
      <c r="PKI483" s="308"/>
      <c r="PKJ483" s="308"/>
      <c r="PKK483" s="308"/>
      <c r="PKL483" s="308"/>
      <c r="PKM483" s="308"/>
      <c r="PKN483" s="308"/>
      <c r="PKO483" s="308"/>
      <c r="PKP483" s="308"/>
      <c r="PKQ483" s="308"/>
      <c r="PKR483" s="308"/>
      <c r="PKS483" s="308"/>
      <c r="PKT483" s="308"/>
      <c r="PKU483" s="308"/>
      <c r="PKV483" s="308"/>
      <c r="PKW483" s="308"/>
      <c r="PKX483" s="308"/>
      <c r="PKY483" s="308"/>
      <c r="PKZ483" s="308"/>
      <c r="PLA483" s="308"/>
      <c r="PLB483" s="308"/>
      <c r="PLC483" s="308"/>
      <c r="PLD483" s="308"/>
      <c r="PLE483" s="308"/>
      <c r="PLF483" s="308"/>
      <c r="PLG483" s="308"/>
      <c r="PLH483" s="308"/>
      <c r="PLI483" s="308"/>
      <c r="PLJ483" s="308"/>
      <c r="PLK483" s="308"/>
      <c r="PLL483" s="308"/>
      <c r="PLM483" s="308"/>
      <c r="PLN483" s="308"/>
      <c r="PLO483" s="308"/>
      <c r="PLP483" s="308"/>
      <c r="PLQ483" s="308"/>
      <c r="PLR483" s="308"/>
      <c r="PLS483" s="308"/>
      <c r="PLT483" s="308"/>
      <c r="PLU483" s="308"/>
      <c r="PLV483" s="308"/>
      <c r="PLW483" s="308"/>
      <c r="PLX483" s="308"/>
      <c r="PLY483" s="308"/>
      <c r="PLZ483" s="308"/>
      <c r="PMA483" s="308"/>
      <c r="PMB483" s="308"/>
      <c r="PMC483" s="308"/>
      <c r="PMD483" s="308"/>
      <c r="PME483" s="308"/>
      <c r="PMF483" s="308"/>
      <c r="PMG483" s="308"/>
      <c r="PMH483" s="308"/>
      <c r="PMI483" s="308"/>
      <c r="PMJ483" s="308"/>
      <c r="PMK483" s="308"/>
      <c r="PML483" s="308"/>
      <c r="PMM483" s="308"/>
      <c r="PMN483" s="308"/>
      <c r="PMO483" s="308"/>
      <c r="PMP483" s="308"/>
      <c r="PMQ483" s="308"/>
      <c r="PMR483" s="308"/>
      <c r="PMS483" s="308"/>
      <c r="PMT483" s="308"/>
      <c r="PMU483" s="308"/>
      <c r="PMV483" s="308"/>
      <c r="PMW483" s="308"/>
      <c r="PMX483" s="308"/>
      <c r="PMY483" s="308"/>
      <c r="PMZ483" s="308"/>
      <c r="PNA483" s="308"/>
      <c r="PNB483" s="308"/>
      <c r="PNC483" s="308"/>
      <c r="PND483" s="308"/>
      <c r="PNE483" s="308"/>
      <c r="PNF483" s="308"/>
      <c r="PNG483" s="308"/>
      <c r="PNH483" s="308"/>
      <c r="PNI483" s="308"/>
      <c r="PNJ483" s="308"/>
      <c r="PNK483" s="308"/>
      <c r="PNL483" s="308"/>
      <c r="PNM483" s="308"/>
      <c r="PNN483" s="308"/>
      <c r="PNO483" s="308"/>
      <c r="PNP483" s="308"/>
      <c r="PNQ483" s="308"/>
      <c r="PNR483" s="308"/>
      <c r="PNS483" s="308"/>
      <c r="PNT483" s="308"/>
      <c r="PNU483" s="308"/>
      <c r="PNV483" s="308"/>
      <c r="PNW483" s="308"/>
      <c r="PNX483" s="308"/>
      <c r="PNY483" s="308"/>
      <c r="PNZ483" s="308"/>
      <c r="POA483" s="308"/>
      <c r="POB483" s="308"/>
      <c r="POC483" s="308"/>
      <c r="POD483" s="308"/>
      <c r="POE483" s="308"/>
      <c r="POF483" s="308"/>
      <c r="POG483" s="308"/>
      <c r="POH483" s="308"/>
      <c r="POI483" s="308"/>
      <c r="POJ483" s="308"/>
      <c r="POK483" s="308"/>
      <c r="POL483" s="308"/>
      <c r="POM483" s="308"/>
      <c r="PON483" s="308"/>
      <c r="POO483" s="308"/>
      <c r="POP483" s="308"/>
      <c r="POQ483" s="308"/>
      <c r="POR483" s="308"/>
      <c r="POS483" s="308"/>
      <c r="POT483" s="308"/>
      <c r="POU483" s="308"/>
      <c r="POV483" s="308"/>
      <c r="POW483" s="308"/>
      <c r="POX483" s="308"/>
      <c r="POY483" s="308"/>
      <c r="POZ483" s="308"/>
      <c r="PPA483" s="308"/>
      <c r="PPB483" s="308"/>
      <c r="PPC483" s="308"/>
      <c r="PPD483" s="308"/>
      <c r="PPE483" s="308"/>
      <c r="PPF483" s="308"/>
      <c r="PPG483" s="308"/>
      <c r="PPH483" s="308"/>
      <c r="PPI483" s="308"/>
      <c r="PPJ483" s="308"/>
      <c r="PPK483" s="308"/>
      <c r="PPL483" s="308"/>
      <c r="PPM483" s="308"/>
      <c r="PPN483" s="308"/>
      <c r="PPO483" s="308"/>
      <c r="PPP483" s="308"/>
      <c r="PPQ483" s="308"/>
      <c r="PPR483" s="308"/>
      <c r="PPS483" s="308"/>
      <c r="PPT483" s="308"/>
      <c r="PPU483" s="308"/>
      <c r="PPV483" s="308"/>
      <c r="PPW483" s="308"/>
      <c r="PPX483" s="308"/>
      <c r="PPY483" s="308"/>
      <c r="PPZ483" s="308"/>
      <c r="PQA483" s="308"/>
      <c r="PQB483" s="308"/>
      <c r="PQC483" s="308"/>
      <c r="PQD483" s="308"/>
      <c r="PQE483" s="308"/>
      <c r="PQF483" s="308"/>
      <c r="PQG483" s="308"/>
      <c r="PQH483" s="308"/>
      <c r="PQI483" s="308"/>
      <c r="PQJ483" s="308"/>
      <c r="PQK483" s="308"/>
      <c r="PQL483" s="308"/>
      <c r="PQM483" s="308"/>
      <c r="PQN483" s="308"/>
      <c r="PQO483" s="308"/>
      <c r="PQP483" s="308"/>
      <c r="PQQ483" s="308"/>
      <c r="PQR483" s="308"/>
      <c r="PQS483" s="308"/>
      <c r="PQT483" s="308"/>
      <c r="PQU483" s="308"/>
      <c r="PQV483" s="308"/>
      <c r="PQW483" s="308"/>
      <c r="PQX483" s="308"/>
      <c r="PQY483" s="308"/>
      <c r="PQZ483" s="308"/>
      <c r="PRA483" s="308"/>
      <c r="PRB483" s="308"/>
      <c r="PRC483" s="308"/>
      <c r="PRD483" s="308"/>
      <c r="PRE483" s="308"/>
      <c r="PRF483" s="308"/>
      <c r="PRG483" s="308"/>
      <c r="PRH483" s="308"/>
      <c r="PRI483" s="308"/>
      <c r="PRJ483" s="308"/>
      <c r="PRK483" s="308"/>
      <c r="PRL483" s="308"/>
      <c r="PRM483" s="308"/>
      <c r="PRN483" s="308"/>
      <c r="PRO483" s="308"/>
      <c r="PRP483" s="308"/>
      <c r="PRQ483" s="308"/>
      <c r="PRR483" s="308"/>
      <c r="PRS483" s="308"/>
      <c r="PRT483" s="308"/>
      <c r="PRU483" s="308"/>
      <c r="PRV483" s="308"/>
      <c r="PRW483" s="308"/>
      <c r="PRX483" s="308"/>
      <c r="PRY483" s="308"/>
      <c r="PRZ483" s="308"/>
      <c r="PSA483" s="308"/>
      <c r="PSB483" s="308"/>
      <c r="PSC483" s="308"/>
      <c r="PSD483" s="308"/>
      <c r="PSE483" s="308"/>
      <c r="PSF483" s="308"/>
      <c r="PSG483" s="308"/>
      <c r="PSH483" s="308"/>
      <c r="PSI483" s="308"/>
      <c r="PSJ483" s="308"/>
      <c r="PSK483" s="308"/>
      <c r="PSL483" s="308"/>
      <c r="PSM483" s="308"/>
      <c r="PSN483" s="308"/>
      <c r="PSO483" s="308"/>
      <c r="PSP483" s="308"/>
      <c r="PSQ483" s="308"/>
      <c r="PSR483" s="308"/>
      <c r="PSS483" s="308"/>
      <c r="PST483" s="308"/>
      <c r="PSU483" s="308"/>
      <c r="PSV483" s="308"/>
      <c r="PSW483" s="308"/>
      <c r="PSX483" s="308"/>
      <c r="PSY483" s="308"/>
      <c r="PSZ483" s="308"/>
      <c r="PTA483" s="308"/>
      <c r="PTB483" s="308"/>
      <c r="PTC483" s="308"/>
      <c r="PTD483" s="308"/>
      <c r="PTE483" s="308"/>
      <c r="PTF483" s="308"/>
      <c r="PTG483" s="308"/>
      <c r="PTH483" s="308"/>
      <c r="PTI483" s="308"/>
      <c r="PTJ483" s="308"/>
      <c r="PTK483" s="308"/>
      <c r="PTL483" s="308"/>
      <c r="PTM483" s="308"/>
      <c r="PTN483" s="308"/>
      <c r="PTO483" s="308"/>
      <c r="PTP483" s="308"/>
      <c r="PTQ483" s="308"/>
      <c r="PTR483" s="308"/>
      <c r="PTS483" s="308"/>
      <c r="PTT483" s="308"/>
      <c r="PTU483" s="308"/>
      <c r="PTV483" s="308"/>
      <c r="PTW483" s="308"/>
      <c r="PTX483" s="308"/>
      <c r="PTY483" s="308"/>
      <c r="PTZ483" s="308"/>
      <c r="PUA483" s="308"/>
      <c r="PUB483" s="308"/>
      <c r="PUC483" s="308"/>
      <c r="PUD483" s="308"/>
      <c r="PUE483" s="308"/>
      <c r="PUF483" s="308"/>
      <c r="PUG483" s="308"/>
      <c r="PUH483" s="308"/>
      <c r="PUI483" s="308"/>
      <c r="PUJ483" s="308"/>
      <c r="PUK483" s="308"/>
      <c r="PUL483" s="308"/>
      <c r="PUM483" s="308"/>
      <c r="PUN483" s="308"/>
      <c r="PUO483" s="308"/>
      <c r="PUP483" s="308"/>
      <c r="PUQ483" s="308"/>
      <c r="PUR483" s="308"/>
      <c r="PUS483" s="308"/>
      <c r="PUT483" s="308"/>
      <c r="PUU483" s="308"/>
      <c r="PUV483" s="308"/>
      <c r="PUW483" s="308"/>
      <c r="PUX483" s="308"/>
      <c r="PUY483" s="308"/>
      <c r="PUZ483" s="308"/>
      <c r="PVA483" s="308"/>
      <c r="PVB483" s="308"/>
      <c r="PVC483" s="308"/>
      <c r="PVD483" s="308"/>
      <c r="PVE483" s="308"/>
      <c r="PVF483" s="308"/>
      <c r="PVG483" s="308"/>
      <c r="PVH483" s="308"/>
      <c r="PVI483" s="308"/>
      <c r="PVJ483" s="308"/>
      <c r="PVK483" s="308"/>
      <c r="PVL483" s="308"/>
      <c r="PVM483" s="308"/>
      <c r="PVN483" s="308"/>
      <c r="PVO483" s="308"/>
      <c r="PVP483" s="308"/>
      <c r="PVQ483" s="308"/>
      <c r="PVR483" s="308"/>
      <c r="PVS483" s="308"/>
      <c r="PVT483" s="308"/>
      <c r="PVU483" s="308"/>
      <c r="PVV483" s="308"/>
      <c r="PVW483" s="308"/>
      <c r="PVX483" s="308"/>
      <c r="PVY483" s="308"/>
      <c r="PVZ483" s="308"/>
      <c r="PWA483" s="308"/>
      <c r="PWB483" s="308"/>
      <c r="PWC483" s="308"/>
      <c r="PWD483" s="308"/>
      <c r="PWE483" s="308"/>
      <c r="PWF483" s="308"/>
      <c r="PWG483" s="308"/>
      <c r="PWH483" s="308"/>
      <c r="PWI483" s="308"/>
      <c r="PWJ483" s="308"/>
      <c r="PWK483" s="308"/>
      <c r="PWL483" s="308"/>
      <c r="PWM483" s="308"/>
      <c r="PWN483" s="308"/>
      <c r="PWO483" s="308"/>
      <c r="PWP483" s="308"/>
      <c r="PWQ483" s="308"/>
      <c r="PWR483" s="308"/>
      <c r="PWS483" s="308"/>
      <c r="PWT483" s="308"/>
      <c r="PWU483" s="308"/>
      <c r="PWV483" s="308"/>
      <c r="PWW483" s="308"/>
      <c r="PWX483" s="308"/>
      <c r="PWY483" s="308"/>
      <c r="PWZ483" s="308"/>
      <c r="PXA483" s="308"/>
      <c r="PXB483" s="308"/>
      <c r="PXC483" s="308"/>
      <c r="PXD483" s="308"/>
      <c r="PXE483" s="308"/>
      <c r="PXF483" s="308"/>
      <c r="PXG483" s="308"/>
      <c r="PXH483" s="308"/>
      <c r="PXI483" s="308"/>
      <c r="PXJ483" s="308"/>
      <c r="PXK483" s="308"/>
      <c r="PXL483" s="308"/>
      <c r="PXM483" s="308"/>
      <c r="PXN483" s="308"/>
      <c r="PXO483" s="308"/>
      <c r="PXP483" s="308"/>
      <c r="PXQ483" s="308"/>
      <c r="PXR483" s="308"/>
      <c r="PXS483" s="308"/>
      <c r="PXT483" s="308"/>
      <c r="PXU483" s="308"/>
      <c r="PXV483" s="308"/>
      <c r="PXW483" s="308"/>
      <c r="PXX483" s="308"/>
      <c r="PXY483" s="308"/>
      <c r="PXZ483" s="308"/>
      <c r="PYA483" s="308"/>
      <c r="PYB483" s="308"/>
      <c r="PYC483" s="308"/>
      <c r="PYD483" s="308"/>
      <c r="PYE483" s="308"/>
      <c r="PYF483" s="308"/>
      <c r="PYG483" s="308"/>
      <c r="PYH483" s="308"/>
      <c r="PYI483" s="308"/>
      <c r="PYJ483" s="308"/>
      <c r="PYK483" s="308"/>
      <c r="PYL483" s="308"/>
      <c r="PYM483" s="308"/>
      <c r="PYN483" s="308"/>
      <c r="PYO483" s="308"/>
      <c r="PYP483" s="308"/>
      <c r="PYQ483" s="308"/>
      <c r="PYR483" s="308"/>
      <c r="PYS483" s="308"/>
      <c r="PYT483" s="308"/>
      <c r="PYU483" s="308"/>
      <c r="PYV483" s="308"/>
      <c r="PYW483" s="308"/>
      <c r="PYX483" s="308"/>
      <c r="PYY483" s="308"/>
      <c r="PYZ483" s="308"/>
      <c r="PZA483" s="308"/>
      <c r="PZB483" s="308"/>
      <c r="PZC483" s="308"/>
      <c r="PZD483" s="308"/>
      <c r="PZE483" s="308"/>
      <c r="PZF483" s="308"/>
      <c r="PZG483" s="308"/>
      <c r="PZH483" s="308"/>
      <c r="PZI483" s="308"/>
      <c r="PZJ483" s="308"/>
      <c r="PZK483" s="308"/>
      <c r="PZL483" s="308"/>
      <c r="PZM483" s="308"/>
      <c r="PZN483" s="308"/>
      <c r="PZO483" s="308"/>
      <c r="PZP483" s="308"/>
      <c r="PZQ483" s="308"/>
      <c r="PZR483" s="308"/>
      <c r="PZS483" s="308"/>
      <c r="PZT483" s="308"/>
      <c r="PZU483" s="308"/>
      <c r="PZV483" s="308"/>
      <c r="PZW483" s="308"/>
      <c r="PZX483" s="308"/>
      <c r="PZY483" s="308"/>
      <c r="PZZ483" s="308"/>
      <c r="QAA483" s="308"/>
      <c r="QAB483" s="308"/>
      <c r="QAC483" s="308"/>
      <c r="QAD483" s="308"/>
      <c r="QAE483" s="308"/>
      <c r="QAF483" s="308"/>
      <c r="QAG483" s="308"/>
      <c r="QAH483" s="308"/>
      <c r="QAI483" s="308"/>
      <c r="QAJ483" s="308"/>
      <c r="QAK483" s="308"/>
      <c r="QAL483" s="308"/>
      <c r="QAM483" s="308"/>
      <c r="QAN483" s="308"/>
      <c r="QAO483" s="308"/>
      <c r="QAP483" s="308"/>
      <c r="QAQ483" s="308"/>
      <c r="QAR483" s="308"/>
      <c r="QAS483" s="308"/>
      <c r="QAT483" s="308"/>
      <c r="QAU483" s="308"/>
      <c r="QAV483" s="308"/>
      <c r="QAW483" s="308"/>
      <c r="QAX483" s="308"/>
      <c r="QAY483" s="308"/>
      <c r="QAZ483" s="308"/>
      <c r="QBA483" s="308"/>
      <c r="QBB483" s="308"/>
      <c r="QBC483" s="308"/>
      <c r="QBD483" s="308"/>
      <c r="QBE483" s="308"/>
      <c r="QBF483" s="308"/>
      <c r="QBG483" s="308"/>
      <c r="QBH483" s="308"/>
      <c r="QBI483" s="308"/>
      <c r="QBJ483" s="308"/>
      <c r="QBK483" s="308"/>
      <c r="QBL483" s="308"/>
      <c r="QBM483" s="308"/>
      <c r="QBN483" s="308"/>
      <c r="QBO483" s="308"/>
      <c r="QBP483" s="308"/>
      <c r="QBQ483" s="308"/>
      <c r="QBR483" s="308"/>
      <c r="QBS483" s="308"/>
      <c r="QBT483" s="308"/>
      <c r="QBU483" s="308"/>
      <c r="QBV483" s="308"/>
      <c r="QBW483" s="308"/>
      <c r="QBX483" s="308"/>
      <c r="QBY483" s="308"/>
      <c r="QBZ483" s="308"/>
      <c r="QCA483" s="308"/>
      <c r="QCB483" s="308"/>
      <c r="QCC483" s="308"/>
      <c r="QCD483" s="308"/>
      <c r="QCE483" s="308"/>
      <c r="QCF483" s="308"/>
      <c r="QCG483" s="308"/>
      <c r="QCH483" s="308"/>
      <c r="QCI483" s="308"/>
      <c r="QCJ483" s="308"/>
      <c r="QCK483" s="308"/>
      <c r="QCL483" s="308"/>
      <c r="QCM483" s="308"/>
      <c r="QCN483" s="308"/>
      <c r="QCO483" s="308"/>
      <c r="QCP483" s="308"/>
      <c r="QCQ483" s="308"/>
      <c r="QCR483" s="308"/>
      <c r="QCS483" s="308"/>
      <c r="QCT483" s="308"/>
      <c r="QCU483" s="308"/>
      <c r="QCV483" s="308"/>
      <c r="QCW483" s="308"/>
      <c r="QCX483" s="308"/>
      <c r="QCY483" s="308"/>
      <c r="QCZ483" s="308"/>
      <c r="QDA483" s="308"/>
      <c r="QDB483" s="308"/>
      <c r="QDC483" s="308"/>
      <c r="QDD483" s="308"/>
      <c r="QDE483" s="308"/>
      <c r="QDF483" s="308"/>
      <c r="QDG483" s="308"/>
      <c r="QDH483" s="308"/>
      <c r="QDI483" s="308"/>
      <c r="QDJ483" s="308"/>
      <c r="QDK483" s="308"/>
      <c r="QDL483" s="308"/>
      <c r="QDM483" s="308"/>
      <c r="QDN483" s="308"/>
      <c r="QDO483" s="308"/>
      <c r="QDP483" s="308"/>
      <c r="QDQ483" s="308"/>
      <c r="QDR483" s="308"/>
      <c r="QDS483" s="308"/>
      <c r="QDT483" s="308"/>
      <c r="QDU483" s="308"/>
      <c r="QDV483" s="308"/>
      <c r="QDW483" s="308"/>
      <c r="QDX483" s="308"/>
      <c r="QDY483" s="308"/>
      <c r="QDZ483" s="308"/>
      <c r="QEA483" s="308"/>
      <c r="QEB483" s="308"/>
      <c r="QEC483" s="308"/>
      <c r="QED483" s="308"/>
      <c r="QEE483" s="308"/>
      <c r="QEF483" s="308"/>
      <c r="QEG483" s="308"/>
      <c r="QEH483" s="308"/>
      <c r="QEI483" s="308"/>
      <c r="QEJ483" s="308"/>
      <c r="QEK483" s="308"/>
      <c r="QEL483" s="308"/>
      <c r="QEM483" s="308"/>
      <c r="QEN483" s="308"/>
      <c r="QEO483" s="308"/>
      <c r="QEP483" s="308"/>
      <c r="QEQ483" s="308"/>
      <c r="QER483" s="308"/>
      <c r="QES483" s="308"/>
      <c r="QET483" s="308"/>
      <c r="QEU483" s="308"/>
      <c r="QEV483" s="308"/>
      <c r="QEW483" s="308"/>
      <c r="QEX483" s="308"/>
      <c r="QEY483" s="308"/>
      <c r="QEZ483" s="308"/>
      <c r="QFA483" s="308"/>
      <c r="QFB483" s="308"/>
      <c r="QFC483" s="308"/>
      <c r="QFD483" s="308"/>
      <c r="QFE483" s="308"/>
      <c r="QFF483" s="308"/>
      <c r="QFG483" s="308"/>
      <c r="QFH483" s="308"/>
      <c r="QFI483" s="308"/>
      <c r="QFJ483" s="308"/>
      <c r="QFK483" s="308"/>
      <c r="QFL483" s="308"/>
      <c r="QFM483" s="308"/>
      <c r="QFN483" s="308"/>
      <c r="QFO483" s="308"/>
      <c r="QFP483" s="308"/>
      <c r="QFQ483" s="308"/>
      <c r="QFR483" s="308"/>
      <c r="QFS483" s="308"/>
      <c r="QFT483" s="308"/>
      <c r="QFU483" s="308"/>
      <c r="QFV483" s="308"/>
      <c r="QFW483" s="308"/>
      <c r="QFX483" s="308"/>
      <c r="QFY483" s="308"/>
      <c r="QFZ483" s="308"/>
      <c r="QGA483" s="308"/>
      <c r="QGB483" s="308"/>
      <c r="QGC483" s="308"/>
      <c r="QGD483" s="308"/>
      <c r="QGE483" s="308"/>
      <c r="QGF483" s="308"/>
      <c r="QGG483" s="308"/>
      <c r="QGH483" s="308"/>
      <c r="QGI483" s="308"/>
      <c r="QGJ483" s="308"/>
      <c r="QGK483" s="308"/>
      <c r="QGL483" s="308"/>
      <c r="QGM483" s="308"/>
      <c r="QGN483" s="308"/>
      <c r="QGO483" s="308"/>
      <c r="QGP483" s="308"/>
      <c r="QGQ483" s="308"/>
      <c r="QGR483" s="308"/>
      <c r="QGS483" s="308"/>
      <c r="QGT483" s="308"/>
      <c r="QGU483" s="308"/>
      <c r="QGV483" s="308"/>
      <c r="QGW483" s="308"/>
      <c r="QGX483" s="308"/>
      <c r="QGY483" s="308"/>
      <c r="QGZ483" s="308"/>
      <c r="QHA483" s="308"/>
      <c r="QHB483" s="308"/>
      <c r="QHC483" s="308"/>
      <c r="QHD483" s="308"/>
      <c r="QHE483" s="308"/>
      <c r="QHF483" s="308"/>
      <c r="QHG483" s="308"/>
      <c r="QHH483" s="308"/>
      <c r="QHI483" s="308"/>
      <c r="QHJ483" s="308"/>
      <c r="QHK483" s="308"/>
      <c r="QHL483" s="308"/>
      <c r="QHM483" s="308"/>
      <c r="QHN483" s="308"/>
      <c r="QHO483" s="308"/>
      <c r="QHP483" s="308"/>
      <c r="QHQ483" s="308"/>
      <c r="QHR483" s="308"/>
      <c r="QHS483" s="308"/>
      <c r="QHT483" s="308"/>
      <c r="QHU483" s="308"/>
      <c r="QHV483" s="308"/>
      <c r="QHW483" s="308"/>
      <c r="QHX483" s="308"/>
      <c r="QHY483" s="308"/>
      <c r="QHZ483" s="308"/>
      <c r="QIA483" s="308"/>
      <c r="QIB483" s="308"/>
      <c r="QIC483" s="308"/>
      <c r="QID483" s="308"/>
      <c r="QIE483" s="308"/>
      <c r="QIF483" s="308"/>
      <c r="QIG483" s="308"/>
      <c r="QIH483" s="308"/>
      <c r="QII483" s="308"/>
      <c r="QIJ483" s="308"/>
      <c r="QIK483" s="308"/>
      <c r="QIL483" s="308"/>
      <c r="QIM483" s="308"/>
      <c r="QIN483" s="308"/>
      <c r="QIO483" s="308"/>
      <c r="QIP483" s="308"/>
      <c r="QIQ483" s="308"/>
      <c r="QIR483" s="308"/>
      <c r="QIS483" s="308"/>
      <c r="QIT483" s="308"/>
      <c r="QIU483" s="308"/>
      <c r="QIV483" s="308"/>
      <c r="QIW483" s="308"/>
      <c r="QIX483" s="308"/>
      <c r="QIY483" s="308"/>
      <c r="QIZ483" s="308"/>
      <c r="QJA483" s="308"/>
      <c r="QJB483" s="308"/>
      <c r="QJC483" s="308"/>
      <c r="QJD483" s="308"/>
      <c r="QJE483" s="308"/>
      <c r="QJF483" s="308"/>
      <c r="QJG483" s="308"/>
      <c r="QJH483" s="308"/>
      <c r="QJI483" s="308"/>
      <c r="QJJ483" s="308"/>
      <c r="QJK483" s="308"/>
      <c r="QJL483" s="308"/>
      <c r="QJM483" s="308"/>
      <c r="QJN483" s="308"/>
      <c r="QJO483" s="308"/>
      <c r="QJP483" s="308"/>
      <c r="QJQ483" s="308"/>
      <c r="QJR483" s="308"/>
      <c r="QJS483" s="308"/>
      <c r="QJT483" s="308"/>
      <c r="QJU483" s="308"/>
      <c r="QJV483" s="308"/>
      <c r="QJW483" s="308"/>
      <c r="QJX483" s="308"/>
      <c r="QJY483" s="308"/>
      <c r="QJZ483" s="308"/>
      <c r="QKA483" s="308"/>
      <c r="QKB483" s="308"/>
      <c r="QKC483" s="308"/>
      <c r="QKD483" s="308"/>
      <c r="QKE483" s="308"/>
      <c r="QKF483" s="308"/>
      <c r="QKG483" s="308"/>
      <c r="QKH483" s="308"/>
      <c r="QKI483" s="308"/>
      <c r="QKJ483" s="308"/>
      <c r="QKK483" s="308"/>
      <c r="QKL483" s="308"/>
      <c r="QKM483" s="308"/>
      <c r="QKN483" s="308"/>
      <c r="QKO483" s="308"/>
      <c r="QKP483" s="308"/>
      <c r="QKQ483" s="308"/>
      <c r="QKR483" s="308"/>
      <c r="QKS483" s="308"/>
      <c r="QKT483" s="308"/>
      <c r="QKU483" s="308"/>
      <c r="QKV483" s="308"/>
      <c r="QKW483" s="308"/>
      <c r="QKX483" s="308"/>
      <c r="QKY483" s="308"/>
      <c r="QKZ483" s="308"/>
      <c r="QLA483" s="308"/>
      <c r="QLB483" s="308"/>
      <c r="QLC483" s="308"/>
      <c r="QLD483" s="308"/>
      <c r="QLE483" s="308"/>
      <c r="QLF483" s="308"/>
      <c r="QLG483" s="308"/>
      <c r="QLH483" s="308"/>
      <c r="QLI483" s="308"/>
      <c r="QLJ483" s="308"/>
      <c r="QLK483" s="308"/>
      <c r="QLL483" s="308"/>
      <c r="QLM483" s="308"/>
      <c r="QLN483" s="308"/>
      <c r="QLO483" s="308"/>
      <c r="QLP483" s="308"/>
      <c r="QLQ483" s="308"/>
      <c r="QLR483" s="308"/>
      <c r="QLS483" s="308"/>
      <c r="QLT483" s="308"/>
      <c r="QLU483" s="308"/>
      <c r="QLV483" s="308"/>
      <c r="QLW483" s="308"/>
      <c r="QLX483" s="308"/>
      <c r="QLY483" s="308"/>
      <c r="QLZ483" s="308"/>
      <c r="QMA483" s="308"/>
      <c r="QMB483" s="308"/>
      <c r="QMC483" s="308"/>
      <c r="QMD483" s="308"/>
      <c r="QME483" s="308"/>
      <c r="QMF483" s="308"/>
      <c r="QMG483" s="308"/>
      <c r="QMH483" s="308"/>
      <c r="QMI483" s="308"/>
      <c r="QMJ483" s="308"/>
      <c r="QMK483" s="308"/>
      <c r="QML483" s="308"/>
      <c r="QMM483" s="308"/>
      <c r="QMN483" s="308"/>
      <c r="QMO483" s="308"/>
      <c r="QMP483" s="308"/>
      <c r="QMQ483" s="308"/>
      <c r="QMR483" s="308"/>
      <c r="QMS483" s="308"/>
      <c r="QMT483" s="308"/>
      <c r="QMU483" s="308"/>
      <c r="QMV483" s="308"/>
      <c r="QMW483" s="308"/>
      <c r="QMX483" s="308"/>
      <c r="QMY483" s="308"/>
      <c r="QMZ483" s="308"/>
      <c r="QNA483" s="308"/>
      <c r="QNB483" s="308"/>
      <c r="QNC483" s="308"/>
      <c r="QND483" s="308"/>
      <c r="QNE483" s="308"/>
      <c r="QNF483" s="308"/>
      <c r="QNG483" s="308"/>
      <c r="QNH483" s="308"/>
      <c r="QNI483" s="308"/>
      <c r="QNJ483" s="308"/>
      <c r="QNK483" s="308"/>
      <c r="QNL483" s="308"/>
      <c r="QNM483" s="308"/>
      <c r="QNN483" s="308"/>
      <c r="QNO483" s="308"/>
      <c r="QNP483" s="308"/>
      <c r="QNQ483" s="308"/>
      <c r="QNR483" s="308"/>
      <c r="QNS483" s="308"/>
      <c r="QNT483" s="308"/>
      <c r="QNU483" s="308"/>
      <c r="QNV483" s="308"/>
      <c r="QNW483" s="308"/>
      <c r="QNX483" s="308"/>
      <c r="QNY483" s="308"/>
      <c r="QNZ483" s="308"/>
      <c r="QOA483" s="308"/>
      <c r="QOB483" s="308"/>
      <c r="QOC483" s="308"/>
      <c r="QOD483" s="308"/>
      <c r="QOE483" s="308"/>
      <c r="QOF483" s="308"/>
      <c r="QOG483" s="308"/>
      <c r="QOH483" s="308"/>
      <c r="QOI483" s="308"/>
      <c r="QOJ483" s="308"/>
      <c r="QOK483" s="308"/>
      <c r="QOL483" s="308"/>
      <c r="QOM483" s="308"/>
      <c r="QON483" s="308"/>
      <c r="QOO483" s="308"/>
      <c r="QOP483" s="308"/>
      <c r="QOQ483" s="308"/>
      <c r="QOR483" s="308"/>
      <c r="QOS483" s="308"/>
      <c r="QOT483" s="308"/>
      <c r="QOU483" s="308"/>
      <c r="QOV483" s="308"/>
      <c r="QOW483" s="308"/>
      <c r="QOX483" s="308"/>
      <c r="QOY483" s="308"/>
      <c r="QOZ483" s="308"/>
      <c r="QPA483" s="308"/>
      <c r="QPB483" s="308"/>
      <c r="QPC483" s="308"/>
      <c r="QPD483" s="308"/>
      <c r="QPE483" s="308"/>
      <c r="QPF483" s="308"/>
      <c r="QPG483" s="308"/>
      <c r="QPH483" s="308"/>
      <c r="QPI483" s="308"/>
      <c r="QPJ483" s="308"/>
      <c r="QPK483" s="308"/>
      <c r="QPL483" s="308"/>
      <c r="QPM483" s="308"/>
      <c r="QPN483" s="308"/>
      <c r="QPO483" s="308"/>
      <c r="QPP483" s="308"/>
      <c r="QPQ483" s="308"/>
      <c r="QPR483" s="308"/>
      <c r="QPS483" s="308"/>
      <c r="QPT483" s="308"/>
      <c r="QPU483" s="308"/>
      <c r="QPV483" s="308"/>
      <c r="QPW483" s="308"/>
      <c r="QPX483" s="308"/>
      <c r="QPY483" s="308"/>
      <c r="QPZ483" s="308"/>
      <c r="QQA483" s="308"/>
      <c r="QQB483" s="308"/>
      <c r="QQC483" s="308"/>
      <c r="QQD483" s="308"/>
      <c r="QQE483" s="308"/>
      <c r="QQF483" s="308"/>
      <c r="QQG483" s="308"/>
      <c r="QQH483" s="308"/>
      <c r="QQI483" s="308"/>
      <c r="QQJ483" s="308"/>
      <c r="QQK483" s="308"/>
      <c r="QQL483" s="308"/>
      <c r="QQM483" s="308"/>
      <c r="QQN483" s="308"/>
      <c r="QQO483" s="308"/>
      <c r="QQP483" s="308"/>
      <c r="QQQ483" s="308"/>
      <c r="QQR483" s="308"/>
      <c r="QQS483" s="308"/>
      <c r="QQT483" s="308"/>
      <c r="QQU483" s="308"/>
      <c r="QQV483" s="308"/>
      <c r="QQW483" s="308"/>
      <c r="QQX483" s="308"/>
      <c r="QQY483" s="308"/>
      <c r="QQZ483" s="308"/>
      <c r="QRA483" s="308"/>
      <c r="QRB483" s="308"/>
      <c r="QRC483" s="308"/>
      <c r="QRD483" s="308"/>
      <c r="QRE483" s="308"/>
      <c r="QRF483" s="308"/>
      <c r="QRG483" s="308"/>
      <c r="QRH483" s="308"/>
      <c r="QRI483" s="308"/>
      <c r="QRJ483" s="308"/>
      <c r="QRK483" s="308"/>
      <c r="QRL483" s="308"/>
      <c r="QRM483" s="308"/>
      <c r="QRN483" s="308"/>
      <c r="QRO483" s="308"/>
      <c r="QRP483" s="308"/>
      <c r="QRQ483" s="308"/>
      <c r="QRR483" s="308"/>
      <c r="QRS483" s="308"/>
      <c r="QRT483" s="308"/>
      <c r="QRU483" s="308"/>
      <c r="QRV483" s="308"/>
      <c r="QRW483" s="308"/>
      <c r="QRX483" s="308"/>
      <c r="QRY483" s="308"/>
      <c r="QRZ483" s="308"/>
      <c r="QSA483" s="308"/>
      <c r="QSB483" s="308"/>
      <c r="QSC483" s="308"/>
      <c r="QSD483" s="308"/>
      <c r="QSE483" s="308"/>
      <c r="QSF483" s="308"/>
      <c r="QSG483" s="308"/>
      <c r="QSH483" s="308"/>
      <c r="QSI483" s="308"/>
      <c r="QSJ483" s="308"/>
      <c r="QSK483" s="308"/>
      <c r="QSL483" s="308"/>
      <c r="QSM483" s="308"/>
      <c r="QSN483" s="308"/>
      <c r="QSO483" s="308"/>
      <c r="QSP483" s="308"/>
      <c r="QSQ483" s="308"/>
      <c r="QSR483" s="308"/>
      <c r="QSS483" s="308"/>
      <c r="QST483" s="308"/>
      <c r="QSU483" s="308"/>
      <c r="QSV483" s="308"/>
      <c r="QSW483" s="308"/>
      <c r="QSX483" s="308"/>
      <c r="QSY483" s="308"/>
      <c r="QSZ483" s="308"/>
      <c r="QTA483" s="308"/>
      <c r="QTB483" s="308"/>
      <c r="QTC483" s="308"/>
      <c r="QTD483" s="308"/>
      <c r="QTE483" s="308"/>
      <c r="QTF483" s="308"/>
      <c r="QTG483" s="308"/>
      <c r="QTH483" s="308"/>
      <c r="QTI483" s="308"/>
      <c r="QTJ483" s="308"/>
      <c r="QTK483" s="308"/>
      <c r="QTL483" s="308"/>
      <c r="QTM483" s="308"/>
      <c r="QTN483" s="308"/>
      <c r="QTO483" s="308"/>
      <c r="QTP483" s="308"/>
      <c r="QTQ483" s="308"/>
      <c r="QTR483" s="308"/>
      <c r="QTS483" s="308"/>
      <c r="QTT483" s="308"/>
      <c r="QTU483" s="308"/>
      <c r="QTV483" s="308"/>
      <c r="QTW483" s="308"/>
      <c r="QTX483" s="308"/>
      <c r="QTY483" s="308"/>
      <c r="QTZ483" s="308"/>
      <c r="QUA483" s="308"/>
      <c r="QUB483" s="308"/>
      <c r="QUC483" s="308"/>
      <c r="QUD483" s="308"/>
      <c r="QUE483" s="308"/>
      <c r="QUF483" s="308"/>
      <c r="QUG483" s="308"/>
      <c r="QUH483" s="308"/>
      <c r="QUI483" s="308"/>
      <c r="QUJ483" s="308"/>
      <c r="QUK483" s="308"/>
      <c r="QUL483" s="308"/>
      <c r="QUM483" s="308"/>
      <c r="QUN483" s="308"/>
      <c r="QUO483" s="308"/>
      <c r="QUP483" s="308"/>
      <c r="QUQ483" s="308"/>
      <c r="QUR483" s="308"/>
      <c r="QUS483" s="308"/>
      <c r="QUT483" s="308"/>
      <c r="QUU483" s="308"/>
      <c r="QUV483" s="308"/>
      <c r="QUW483" s="308"/>
      <c r="QUX483" s="308"/>
      <c r="QUY483" s="308"/>
      <c r="QUZ483" s="308"/>
      <c r="QVA483" s="308"/>
      <c r="QVB483" s="308"/>
      <c r="QVC483" s="308"/>
      <c r="QVD483" s="308"/>
      <c r="QVE483" s="308"/>
      <c r="QVF483" s="308"/>
      <c r="QVG483" s="308"/>
      <c r="QVH483" s="308"/>
      <c r="QVI483" s="308"/>
      <c r="QVJ483" s="308"/>
      <c r="QVK483" s="308"/>
      <c r="QVL483" s="308"/>
      <c r="QVM483" s="308"/>
      <c r="QVN483" s="308"/>
      <c r="QVO483" s="308"/>
      <c r="QVP483" s="308"/>
      <c r="QVQ483" s="308"/>
      <c r="QVR483" s="308"/>
      <c r="QVS483" s="308"/>
      <c r="QVT483" s="308"/>
      <c r="QVU483" s="308"/>
      <c r="QVV483" s="308"/>
      <c r="QVW483" s="308"/>
      <c r="QVX483" s="308"/>
      <c r="QVY483" s="308"/>
      <c r="QVZ483" s="308"/>
      <c r="QWA483" s="308"/>
      <c r="QWB483" s="308"/>
      <c r="QWC483" s="308"/>
      <c r="QWD483" s="308"/>
      <c r="QWE483" s="308"/>
      <c r="QWF483" s="308"/>
      <c r="QWG483" s="308"/>
      <c r="QWH483" s="308"/>
      <c r="QWI483" s="308"/>
      <c r="QWJ483" s="308"/>
      <c r="QWK483" s="308"/>
      <c r="QWL483" s="308"/>
      <c r="QWM483" s="308"/>
      <c r="QWN483" s="308"/>
      <c r="QWO483" s="308"/>
      <c r="QWP483" s="308"/>
      <c r="QWQ483" s="308"/>
      <c r="QWR483" s="308"/>
      <c r="QWS483" s="308"/>
      <c r="QWT483" s="308"/>
      <c r="QWU483" s="308"/>
      <c r="QWV483" s="308"/>
      <c r="QWW483" s="308"/>
      <c r="QWX483" s="308"/>
      <c r="QWY483" s="308"/>
      <c r="QWZ483" s="308"/>
      <c r="QXA483" s="308"/>
      <c r="QXB483" s="308"/>
      <c r="QXC483" s="308"/>
      <c r="QXD483" s="308"/>
      <c r="QXE483" s="308"/>
      <c r="QXF483" s="308"/>
      <c r="QXG483" s="308"/>
      <c r="QXH483" s="308"/>
      <c r="QXI483" s="308"/>
      <c r="QXJ483" s="308"/>
      <c r="QXK483" s="308"/>
      <c r="QXL483" s="308"/>
      <c r="QXM483" s="308"/>
      <c r="QXN483" s="308"/>
      <c r="QXO483" s="308"/>
      <c r="QXP483" s="308"/>
      <c r="QXQ483" s="308"/>
      <c r="QXR483" s="308"/>
      <c r="QXS483" s="308"/>
      <c r="QXT483" s="308"/>
      <c r="QXU483" s="308"/>
      <c r="QXV483" s="308"/>
      <c r="QXW483" s="308"/>
      <c r="QXX483" s="308"/>
      <c r="QXY483" s="308"/>
      <c r="QXZ483" s="308"/>
      <c r="QYA483" s="308"/>
      <c r="QYB483" s="308"/>
      <c r="QYC483" s="308"/>
      <c r="QYD483" s="308"/>
      <c r="QYE483" s="308"/>
      <c r="QYF483" s="308"/>
      <c r="QYG483" s="308"/>
      <c r="QYH483" s="308"/>
      <c r="QYI483" s="308"/>
      <c r="QYJ483" s="308"/>
      <c r="QYK483" s="308"/>
      <c r="QYL483" s="308"/>
      <c r="QYM483" s="308"/>
      <c r="QYN483" s="308"/>
      <c r="QYO483" s="308"/>
      <c r="QYP483" s="308"/>
      <c r="QYQ483" s="308"/>
      <c r="QYR483" s="308"/>
      <c r="QYS483" s="308"/>
      <c r="QYT483" s="308"/>
      <c r="QYU483" s="308"/>
      <c r="QYV483" s="308"/>
      <c r="QYW483" s="308"/>
      <c r="QYX483" s="308"/>
      <c r="QYY483" s="308"/>
      <c r="QYZ483" s="308"/>
      <c r="QZA483" s="308"/>
      <c r="QZB483" s="308"/>
      <c r="QZC483" s="308"/>
      <c r="QZD483" s="308"/>
      <c r="QZE483" s="308"/>
      <c r="QZF483" s="308"/>
      <c r="QZG483" s="308"/>
      <c r="QZH483" s="308"/>
      <c r="QZI483" s="308"/>
      <c r="QZJ483" s="308"/>
      <c r="QZK483" s="308"/>
      <c r="QZL483" s="308"/>
      <c r="QZM483" s="308"/>
      <c r="QZN483" s="308"/>
      <c r="QZO483" s="308"/>
      <c r="QZP483" s="308"/>
      <c r="QZQ483" s="308"/>
      <c r="QZR483" s="308"/>
      <c r="QZS483" s="308"/>
      <c r="QZT483" s="308"/>
      <c r="QZU483" s="308"/>
      <c r="QZV483" s="308"/>
      <c r="QZW483" s="308"/>
      <c r="QZX483" s="308"/>
      <c r="QZY483" s="308"/>
      <c r="QZZ483" s="308"/>
      <c r="RAA483" s="308"/>
      <c r="RAB483" s="308"/>
      <c r="RAC483" s="308"/>
      <c r="RAD483" s="308"/>
      <c r="RAE483" s="308"/>
      <c r="RAF483" s="308"/>
      <c r="RAG483" s="308"/>
      <c r="RAH483" s="308"/>
      <c r="RAI483" s="308"/>
      <c r="RAJ483" s="308"/>
      <c r="RAK483" s="308"/>
      <c r="RAL483" s="308"/>
      <c r="RAM483" s="308"/>
      <c r="RAN483" s="308"/>
      <c r="RAO483" s="308"/>
      <c r="RAP483" s="308"/>
      <c r="RAQ483" s="308"/>
      <c r="RAR483" s="308"/>
      <c r="RAS483" s="308"/>
      <c r="RAT483" s="308"/>
      <c r="RAU483" s="308"/>
      <c r="RAV483" s="308"/>
      <c r="RAW483" s="308"/>
      <c r="RAX483" s="308"/>
      <c r="RAY483" s="308"/>
      <c r="RAZ483" s="308"/>
      <c r="RBA483" s="308"/>
      <c r="RBB483" s="308"/>
      <c r="RBC483" s="308"/>
      <c r="RBD483" s="308"/>
      <c r="RBE483" s="308"/>
      <c r="RBF483" s="308"/>
      <c r="RBG483" s="308"/>
      <c r="RBH483" s="308"/>
      <c r="RBI483" s="308"/>
      <c r="RBJ483" s="308"/>
      <c r="RBK483" s="308"/>
      <c r="RBL483" s="308"/>
      <c r="RBM483" s="308"/>
      <c r="RBN483" s="308"/>
      <c r="RBO483" s="308"/>
      <c r="RBP483" s="308"/>
      <c r="RBQ483" s="308"/>
      <c r="RBR483" s="308"/>
      <c r="RBS483" s="308"/>
      <c r="RBT483" s="308"/>
      <c r="RBU483" s="308"/>
      <c r="RBV483" s="308"/>
      <c r="RBW483" s="308"/>
      <c r="RBX483" s="308"/>
      <c r="RBY483" s="308"/>
      <c r="RBZ483" s="308"/>
      <c r="RCA483" s="308"/>
      <c r="RCB483" s="308"/>
      <c r="RCC483" s="308"/>
      <c r="RCD483" s="308"/>
      <c r="RCE483" s="308"/>
      <c r="RCF483" s="308"/>
      <c r="RCG483" s="308"/>
      <c r="RCH483" s="308"/>
      <c r="RCI483" s="308"/>
      <c r="RCJ483" s="308"/>
      <c r="RCK483" s="308"/>
      <c r="RCL483" s="308"/>
      <c r="RCM483" s="308"/>
      <c r="RCN483" s="308"/>
      <c r="RCO483" s="308"/>
      <c r="RCP483" s="308"/>
      <c r="RCQ483" s="308"/>
      <c r="RCR483" s="308"/>
      <c r="RCS483" s="308"/>
      <c r="RCT483" s="308"/>
      <c r="RCU483" s="308"/>
      <c r="RCV483" s="308"/>
      <c r="RCW483" s="308"/>
      <c r="RCX483" s="308"/>
      <c r="RCY483" s="308"/>
      <c r="RCZ483" s="308"/>
      <c r="RDA483" s="308"/>
      <c r="RDB483" s="308"/>
      <c r="RDC483" s="308"/>
      <c r="RDD483" s="308"/>
      <c r="RDE483" s="308"/>
      <c r="RDF483" s="308"/>
      <c r="RDG483" s="308"/>
      <c r="RDH483" s="308"/>
      <c r="RDI483" s="308"/>
      <c r="RDJ483" s="308"/>
      <c r="RDK483" s="308"/>
      <c r="RDL483" s="308"/>
      <c r="RDM483" s="308"/>
      <c r="RDN483" s="308"/>
      <c r="RDO483" s="308"/>
      <c r="RDP483" s="308"/>
      <c r="RDQ483" s="308"/>
      <c r="RDR483" s="308"/>
      <c r="RDS483" s="308"/>
      <c r="RDT483" s="308"/>
      <c r="RDU483" s="308"/>
      <c r="RDV483" s="308"/>
      <c r="RDW483" s="308"/>
      <c r="RDX483" s="308"/>
      <c r="RDY483" s="308"/>
      <c r="RDZ483" s="308"/>
      <c r="REA483" s="308"/>
      <c r="REB483" s="308"/>
      <c r="REC483" s="308"/>
      <c r="RED483" s="308"/>
      <c r="REE483" s="308"/>
      <c r="REF483" s="308"/>
      <c r="REG483" s="308"/>
      <c r="REH483" s="308"/>
      <c r="REI483" s="308"/>
      <c r="REJ483" s="308"/>
      <c r="REK483" s="308"/>
      <c r="REL483" s="308"/>
      <c r="REM483" s="308"/>
      <c r="REN483" s="308"/>
      <c r="REO483" s="308"/>
      <c r="REP483" s="308"/>
      <c r="REQ483" s="308"/>
      <c r="RER483" s="308"/>
      <c r="RES483" s="308"/>
      <c r="RET483" s="308"/>
      <c r="REU483" s="308"/>
      <c r="REV483" s="308"/>
      <c r="REW483" s="308"/>
      <c r="REX483" s="308"/>
      <c r="REY483" s="308"/>
      <c r="REZ483" s="308"/>
      <c r="RFA483" s="308"/>
      <c r="RFB483" s="308"/>
      <c r="RFC483" s="308"/>
      <c r="RFD483" s="308"/>
      <c r="RFE483" s="308"/>
      <c r="RFF483" s="308"/>
      <c r="RFG483" s="308"/>
      <c r="RFH483" s="308"/>
      <c r="RFI483" s="308"/>
      <c r="RFJ483" s="308"/>
      <c r="RFK483" s="308"/>
      <c r="RFL483" s="308"/>
      <c r="RFM483" s="308"/>
      <c r="RFN483" s="308"/>
      <c r="RFO483" s="308"/>
      <c r="RFP483" s="308"/>
      <c r="RFQ483" s="308"/>
      <c r="RFR483" s="308"/>
      <c r="RFS483" s="308"/>
      <c r="RFT483" s="308"/>
      <c r="RFU483" s="308"/>
      <c r="RFV483" s="308"/>
      <c r="RFW483" s="308"/>
      <c r="RFX483" s="308"/>
      <c r="RFY483" s="308"/>
      <c r="RFZ483" s="308"/>
      <c r="RGA483" s="308"/>
      <c r="RGB483" s="308"/>
      <c r="RGC483" s="308"/>
      <c r="RGD483" s="308"/>
      <c r="RGE483" s="308"/>
      <c r="RGF483" s="308"/>
      <c r="RGG483" s="308"/>
      <c r="RGH483" s="308"/>
      <c r="RGI483" s="308"/>
      <c r="RGJ483" s="308"/>
      <c r="RGK483" s="308"/>
      <c r="RGL483" s="308"/>
      <c r="RGM483" s="308"/>
      <c r="RGN483" s="308"/>
      <c r="RGO483" s="308"/>
      <c r="RGP483" s="308"/>
      <c r="RGQ483" s="308"/>
      <c r="RGR483" s="308"/>
      <c r="RGS483" s="308"/>
      <c r="RGT483" s="308"/>
      <c r="RGU483" s="308"/>
      <c r="RGV483" s="308"/>
      <c r="RGW483" s="308"/>
      <c r="RGX483" s="308"/>
      <c r="RGY483" s="308"/>
      <c r="RGZ483" s="308"/>
      <c r="RHA483" s="308"/>
      <c r="RHB483" s="308"/>
      <c r="RHC483" s="308"/>
      <c r="RHD483" s="308"/>
      <c r="RHE483" s="308"/>
      <c r="RHF483" s="308"/>
      <c r="RHG483" s="308"/>
      <c r="RHH483" s="308"/>
      <c r="RHI483" s="308"/>
      <c r="RHJ483" s="308"/>
      <c r="RHK483" s="308"/>
      <c r="RHL483" s="308"/>
      <c r="RHM483" s="308"/>
      <c r="RHN483" s="308"/>
      <c r="RHO483" s="308"/>
      <c r="RHP483" s="308"/>
      <c r="RHQ483" s="308"/>
      <c r="RHR483" s="308"/>
      <c r="RHS483" s="308"/>
      <c r="RHT483" s="308"/>
      <c r="RHU483" s="308"/>
      <c r="RHV483" s="308"/>
      <c r="RHW483" s="308"/>
      <c r="RHX483" s="308"/>
      <c r="RHY483" s="308"/>
      <c r="RHZ483" s="308"/>
      <c r="RIA483" s="308"/>
      <c r="RIB483" s="308"/>
      <c r="RIC483" s="308"/>
      <c r="RID483" s="308"/>
      <c r="RIE483" s="308"/>
      <c r="RIF483" s="308"/>
      <c r="RIG483" s="308"/>
      <c r="RIH483" s="308"/>
      <c r="RII483" s="308"/>
      <c r="RIJ483" s="308"/>
      <c r="RIK483" s="308"/>
      <c r="RIL483" s="308"/>
      <c r="RIM483" s="308"/>
      <c r="RIN483" s="308"/>
      <c r="RIO483" s="308"/>
      <c r="RIP483" s="308"/>
      <c r="RIQ483" s="308"/>
      <c r="RIR483" s="308"/>
      <c r="RIS483" s="308"/>
      <c r="RIT483" s="308"/>
      <c r="RIU483" s="308"/>
      <c r="RIV483" s="308"/>
      <c r="RIW483" s="308"/>
      <c r="RIX483" s="308"/>
      <c r="RIY483" s="308"/>
      <c r="RIZ483" s="308"/>
      <c r="RJA483" s="308"/>
      <c r="RJB483" s="308"/>
      <c r="RJC483" s="308"/>
      <c r="RJD483" s="308"/>
      <c r="RJE483" s="308"/>
      <c r="RJF483" s="308"/>
      <c r="RJG483" s="308"/>
      <c r="RJH483" s="308"/>
      <c r="RJI483" s="308"/>
      <c r="RJJ483" s="308"/>
      <c r="RJK483" s="308"/>
      <c r="RJL483" s="308"/>
      <c r="RJM483" s="308"/>
      <c r="RJN483" s="308"/>
      <c r="RJO483" s="308"/>
      <c r="RJP483" s="308"/>
      <c r="RJQ483" s="308"/>
      <c r="RJR483" s="308"/>
      <c r="RJS483" s="308"/>
      <c r="RJT483" s="308"/>
      <c r="RJU483" s="308"/>
      <c r="RJV483" s="308"/>
      <c r="RJW483" s="308"/>
      <c r="RJX483" s="308"/>
      <c r="RJY483" s="308"/>
      <c r="RJZ483" s="308"/>
      <c r="RKA483" s="308"/>
      <c r="RKB483" s="308"/>
      <c r="RKC483" s="308"/>
      <c r="RKD483" s="308"/>
      <c r="RKE483" s="308"/>
      <c r="RKF483" s="308"/>
      <c r="RKG483" s="308"/>
      <c r="RKH483" s="308"/>
      <c r="RKI483" s="308"/>
      <c r="RKJ483" s="308"/>
      <c r="RKK483" s="308"/>
      <c r="RKL483" s="308"/>
      <c r="RKM483" s="308"/>
      <c r="RKN483" s="308"/>
      <c r="RKO483" s="308"/>
      <c r="RKP483" s="308"/>
      <c r="RKQ483" s="308"/>
      <c r="RKR483" s="308"/>
      <c r="RKS483" s="308"/>
      <c r="RKT483" s="308"/>
      <c r="RKU483" s="308"/>
      <c r="RKV483" s="308"/>
      <c r="RKW483" s="308"/>
      <c r="RKX483" s="308"/>
      <c r="RKY483" s="308"/>
      <c r="RKZ483" s="308"/>
      <c r="RLA483" s="308"/>
      <c r="RLB483" s="308"/>
      <c r="RLC483" s="308"/>
      <c r="RLD483" s="308"/>
      <c r="RLE483" s="308"/>
      <c r="RLF483" s="308"/>
      <c r="RLG483" s="308"/>
      <c r="RLH483" s="308"/>
      <c r="RLI483" s="308"/>
      <c r="RLJ483" s="308"/>
      <c r="RLK483" s="308"/>
      <c r="RLL483" s="308"/>
      <c r="RLM483" s="308"/>
      <c r="RLN483" s="308"/>
      <c r="RLO483" s="308"/>
      <c r="RLP483" s="308"/>
      <c r="RLQ483" s="308"/>
      <c r="RLR483" s="308"/>
      <c r="RLS483" s="308"/>
      <c r="RLT483" s="308"/>
      <c r="RLU483" s="308"/>
      <c r="RLV483" s="308"/>
      <c r="RLW483" s="308"/>
      <c r="RLX483" s="308"/>
      <c r="RLY483" s="308"/>
      <c r="RLZ483" s="308"/>
      <c r="RMA483" s="308"/>
      <c r="RMB483" s="308"/>
      <c r="RMC483" s="308"/>
      <c r="RMD483" s="308"/>
      <c r="RME483" s="308"/>
      <c r="RMF483" s="308"/>
      <c r="RMG483" s="308"/>
      <c r="RMH483" s="308"/>
      <c r="RMI483" s="308"/>
      <c r="RMJ483" s="308"/>
      <c r="RMK483" s="308"/>
      <c r="RML483" s="308"/>
      <c r="RMM483" s="308"/>
      <c r="RMN483" s="308"/>
      <c r="RMO483" s="308"/>
      <c r="RMP483" s="308"/>
      <c r="RMQ483" s="308"/>
      <c r="RMR483" s="308"/>
      <c r="RMS483" s="308"/>
      <c r="RMT483" s="308"/>
      <c r="RMU483" s="308"/>
      <c r="RMV483" s="308"/>
      <c r="RMW483" s="308"/>
      <c r="RMX483" s="308"/>
      <c r="RMY483" s="308"/>
      <c r="RMZ483" s="308"/>
      <c r="RNA483" s="308"/>
      <c r="RNB483" s="308"/>
      <c r="RNC483" s="308"/>
      <c r="RND483" s="308"/>
      <c r="RNE483" s="308"/>
      <c r="RNF483" s="308"/>
      <c r="RNG483" s="308"/>
      <c r="RNH483" s="308"/>
      <c r="RNI483" s="308"/>
      <c r="RNJ483" s="308"/>
      <c r="RNK483" s="308"/>
      <c r="RNL483" s="308"/>
      <c r="RNM483" s="308"/>
      <c r="RNN483" s="308"/>
      <c r="RNO483" s="308"/>
      <c r="RNP483" s="308"/>
      <c r="RNQ483" s="308"/>
      <c r="RNR483" s="308"/>
      <c r="RNS483" s="308"/>
      <c r="RNT483" s="308"/>
      <c r="RNU483" s="308"/>
      <c r="RNV483" s="308"/>
      <c r="RNW483" s="308"/>
      <c r="RNX483" s="308"/>
      <c r="RNY483" s="308"/>
      <c r="RNZ483" s="308"/>
      <c r="ROA483" s="308"/>
      <c r="ROB483" s="308"/>
      <c r="ROC483" s="308"/>
      <c r="ROD483" s="308"/>
      <c r="ROE483" s="308"/>
      <c r="ROF483" s="308"/>
      <c r="ROG483" s="308"/>
      <c r="ROH483" s="308"/>
      <c r="ROI483" s="308"/>
      <c r="ROJ483" s="308"/>
      <c r="ROK483" s="308"/>
      <c r="ROL483" s="308"/>
      <c r="ROM483" s="308"/>
      <c r="RON483" s="308"/>
      <c r="ROO483" s="308"/>
      <c r="ROP483" s="308"/>
      <c r="ROQ483" s="308"/>
      <c r="ROR483" s="308"/>
      <c r="ROS483" s="308"/>
      <c r="ROT483" s="308"/>
      <c r="ROU483" s="308"/>
      <c r="ROV483" s="308"/>
      <c r="ROW483" s="308"/>
      <c r="ROX483" s="308"/>
      <c r="ROY483" s="308"/>
      <c r="ROZ483" s="308"/>
      <c r="RPA483" s="308"/>
      <c r="RPB483" s="308"/>
      <c r="RPC483" s="308"/>
      <c r="RPD483" s="308"/>
      <c r="RPE483" s="308"/>
      <c r="RPF483" s="308"/>
      <c r="RPG483" s="308"/>
      <c r="RPH483" s="308"/>
      <c r="RPI483" s="308"/>
      <c r="RPJ483" s="308"/>
      <c r="RPK483" s="308"/>
      <c r="RPL483" s="308"/>
      <c r="RPM483" s="308"/>
      <c r="RPN483" s="308"/>
      <c r="RPO483" s="308"/>
      <c r="RPP483" s="308"/>
      <c r="RPQ483" s="308"/>
      <c r="RPR483" s="308"/>
      <c r="RPS483" s="308"/>
      <c r="RPT483" s="308"/>
      <c r="RPU483" s="308"/>
      <c r="RPV483" s="308"/>
      <c r="RPW483" s="308"/>
      <c r="RPX483" s="308"/>
      <c r="RPY483" s="308"/>
      <c r="RPZ483" s="308"/>
      <c r="RQA483" s="308"/>
      <c r="RQB483" s="308"/>
      <c r="RQC483" s="308"/>
      <c r="RQD483" s="308"/>
      <c r="RQE483" s="308"/>
      <c r="RQF483" s="308"/>
      <c r="RQG483" s="308"/>
      <c r="RQH483" s="308"/>
      <c r="RQI483" s="308"/>
      <c r="RQJ483" s="308"/>
      <c r="RQK483" s="308"/>
      <c r="RQL483" s="308"/>
      <c r="RQM483" s="308"/>
      <c r="RQN483" s="308"/>
      <c r="RQO483" s="308"/>
      <c r="RQP483" s="308"/>
      <c r="RQQ483" s="308"/>
      <c r="RQR483" s="308"/>
      <c r="RQS483" s="308"/>
      <c r="RQT483" s="308"/>
      <c r="RQU483" s="308"/>
      <c r="RQV483" s="308"/>
      <c r="RQW483" s="308"/>
      <c r="RQX483" s="308"/>
      <c r="RQY483" s="308"/>
      <c r="RQZ483" s="308"/>
      <c r="RRA483" s="308"/>
      <c r="RRB483" s="308"/>
      <c r="RRC483" s="308"/>
      <c r="RRD483" s="308"/>
      <c r="RRE483" s="308"/>
      <c r="RRF483" s="308"/>
      <c r="RRG483" s="308"/>
      <c r="RRH483" s="308"/>
      <c r="RRI483" s="308"/>
      <c r="RRJ483" s="308"/>
      <c r="RRK483" s="308"/>
      <c r="RRL483" s="308"/>
      <c r="RRM483" s="308"/>
      <c r="RRN483" s="308"/>
      <c r="RRO483" s="308"/>
      <c r="RRP483" s="308"/>
      <c r="RRQ483" s="308"/>
      <c r="RRR483" s="308"/>
      <c r="RRS483" s="308"/>
      <c r="RRT483" s="308"/>
      <c r="RRU483" s="308"/>
      <c r="RRV483" s="308"/>
      <c r="RRW483" s="308"/>
      <c r="RRX483" s="308"/>
      <c r="RRY483" s="308"/>
      <c r="RRZ483" s="308"/>
      <c r="RSA483" s="308"/>
      <c r="RSB483" s="308"/>
      <c r="RSC483" s="308"/>
      <c r="RSD483" s="308"/>
      <c r="RSE483" s="308"/>
      <c r="RSF483" s="308"/>
      <c r="RSG483" s="308"/>
      <c r="RSH483" s="308"/>
      <c r="RSI483" s="308"/>
      <c r="RSJ483" s="308"/>
      <c r="RSK483" s="308"/>
      <c r="RSL483" s="308"/>
      <c r="RSM483" s="308"/>
      <c r="RSN483" s="308"/>
      <c r="RSO483" s="308"/>
      <c r="RSP483" s="308"/>
      <c r="RSQ483" s="308"/>
      <c r="RSR483" s="308"/>
      <c r="RSS483" s="308"/>
      <c r="RST483" s="308"/>
      <c r="RSU483" s="308"/>
      <c r="RSV483" s="308"/>
      <c r="RSW483" s="308"/>
      <c r="RSX483" s="308"/>
      <c r="RSY483" s="308"/>
      <c r="RSZ483" s="308"/>
      <c r="RTA483" s="308"/>
      <c r="RTB483" s="308"/>
      <c r="RTC483" s="308"/>
      <c r="RTD483" s="308"/>
      <c r="RTE483" s="308"/>
      <c r="RTF483" s="308"/>
      <c r="RTG483" s="308"/>
      <c r="RTH483" s="308"/>
      <c r="RTI483" s="308"/>
      <c r="RTJ483" s="308"/>
      <c r="RTK483" s="308"/>
      <c r="RTL483" s="308"/>
      <c r="RTM483" s="308"/>
      <c r="RTN483" s="308"/>
      <c r="RTO483" s="308"/>
      <c r="RTP483" s="308"/>
      <c r="RTQ483" s="308"/>
      <c r="RTR483" s="308"/>
      <c r="RTS483" s="308"/>
      <c r="RTT483" s="308"/>
      <c r="RTU483" s="308"/>
      <c r="RTV483" s="308"/>
      <c r="RTW483" s="308"/>
      <c r="RTX483" s="308"/>
      <c r="RTY483" s="308"/>
      <c r="RTZ483" s="308"/>
      <c r="RUA483" s="308"/>
      <c r="RUB483" s="308"/>
      <c r="RUC483" s="308"/>
      <c r="RUD483" s="308"/>
      <c r="RUE483" s="308"/>
      <c r="RUF483" s="308"/>
      <c r="RUG483" s="308"/>
      <c r="RUH483" s="308"/>
      <c r="RUI483" s="308"/>
      <c r="RUJ483" s="308"/>
      <c r="RUK483" s="308"/>
      <c r="RUL483" s="308"/>
      <c r="RUM483" s="308"/>
      <c r="RUN483" s="308"/>
      <c r="RUO483" s="308"/>
      <c r="RUP483" s="308"/>
      <c r="RUQ483" s="308"/>
      <c r="RUR483" s="308"/>
      <c r="RUS483" s="308"/>
      <c r="RUT483" s="308"/>
      <c r="RUU483" s="308"/>
      <c r="RUV483" s="308"/>
      <c r="RUW483" s="308"/>
      <c r="RUX483" s="308"/>
      <c r="RUY483" s="308"/>
      <c r="RUZ483" s="308"/>
      <c r="RVA483" s="308"/>
      <c r="RVB483" s="308"/>
      <c r="RVC483" s="308"/>
      <c r="RVD483" s="308"/>
      <c r="RVE483" s="308"/>
      <c r="RVF483" s="308"/>
      <c r="RVG483" s="308"/>
      <c r="RVH483" s="308"/>
      <c r="RVI483" s="308"/>
      <c r="RVJ483" s="308"/>
      <c r="RVK483" s="308"/>
      <c r="RVL483" s="308"/>
      <c r="RVM483" s="308"/>
      <c r="RVN483" s="308"/>
      <c r="RVO483" s="308"/>
      <c r="RVP483" s="308"/>
      <c r="RVQ483" s="308"/>
      <c r="RVR483" s="308"/>
      <c r="RVS483" s="308"/>
      <c r="RVT483" s="308"/>
      <c r="RVU483" s="308"/>
      <c r="RVV483" s="308"/>
      <c r="RVW483" s="308"/>
      <c r="RVX483" s="308"/>
      <c r="RVY483" s="308"/>
      <c r="RVZ483" s="308"/>
      <c r="RWA483" s="308"/>
      <c r="RWB483" s="308"/>
      <c r="RWC483" s="308"/>
      <c r="RWD483" s="308"/>
      <c r="RWE483" s="308"/>
      <c r="RWF483" s="308"/>
      <c r="RWG483" s="308"/>
      <c r="RWH483" s="308"/>
      <c r="RWI483" s="308"/>
      <c r="RWJ483" s="308"/>
      <c r="RWK483" s="308"/>
      <c r="RWL483" s="308"/>
      <c r="RWM483" s="308"/>
      <c r="RWN483" s="308"/>
      <c r="RWO483" s="308"/>
      <c r="RWP483" s="308"/>
      <c r="RWQ483" s="308"/>
      <c r="RWR483" s="308"/>
      <c r="RWS483" s="308"/>
      <c r="RWT483" s="308"/>
      <c r="RWU483" s="308"/>
      <c r="RWV483" s="308"/>
      <c r="RWW483" s="308"/>
      <c r="RWX483" s="308"/>
      <c r="RWY483" s="308"/>
      <c r="RWZ483" s="308"/>
      <c r="RXA483" s="308"/>
      <c r="RXB483" s="308"/>
      <c r="RXC483" s="308"/>
      <c r="RXD483" s="308"/>
      <c r="RXE483" s="308"/>
      <c r="RXF483" s="308"/>
      <c r="RXG483" s="308"/>
      <c r="RXH483" s="308"/>
      <c r="RXI483" s="308"/>
      <c r="RXJ483" s="308"/>
      <c r="RXK483" s="308"/>
      <c r="RXL483" s="308"/>
      <c r="RXM483" s="308"/>
      <c r="RXN483" s="308"/>
      <c r="RXO483" s="308"/>
      <c r="RXP483" s="308"/>
      <c r="RXQ483" s="308"/>
      <c r="RXR483" s="308"/>
      <c r="RXS483" s="308"/>
      <c r="RXT483" s="308"/>
      <c r="RXU483" s="308"/>
      <c r="RXV483" s="308"/>
      <c r="RXW483" s="308"/>
      <c r="RXX483" s="308"/>
      <c r="RXY483" s="308"/>
      <c r="RXZ483" s="308"/>
      <c r="RYA483" s="308"/>
      <c r="RYB483" s="308"/>
      <c r="RYC483" s="308"/>
      <c r="RYD483" s="308"/>
      <c r="RYE483" s="308"/>
      <c r="RYF483" s="308"/>
      <c r="RYG483" s="308"/>
      <c r="RYH483" s="308"/>
      <c r="RYI483" s="308"/>
      <c r="RYJ483" s="308"/>
      <c r="RYK483" s="308"/>
      <c r="RYL483" s="308"/>
      <c r="RYM483" s="308"/>
      <c r="RYN483" s="308"/>
      <c r="RYO483" s="308"/>
      <c r="RYP483" s="308"/>
      <c r="RYQ483" s="308"/>
      <c r="RYR483" s="308"/>
      <c r="RYS483" s="308"/>
      <c r="RYT483" s="308"/>
      <c r="RYU483" s="308"/>
      <c r="RYV483" s="308"/>
      <c r="RYW483" s="308"/>
      <c r="RYX483" s="308"/>
      <c r="RYY483" s="308"/>
      <c r="RYZ483" s="308"/>
      <c r="RZA483" s="308"/>
      <c r="RZB483" s="308"/>
      <c r="RZC483" s="308"/>
      <c r="RZD483" s="308"/>
      <c r="RZE483" s="308"/>
      <c r="RZF483" s="308"/>
      <c r="RZG483" s="308"/>
      <c r="RZH483" s="308"/>
      <c r="RZI483" s="308"/>
      <c r="RZJ483" s="308"/>
      <c r="RZK483" s="308"/>
      <c r="RZL483" s="308"/>
      <c r="RZM483" s="308"/>
      <c r="RZN483" s="308"/>
      <c r="RZO483" s="308"/>
      <c r="RZP483" s="308"/>
      <c r="RZQ483" s="308"/>
      <c r="RZR483" s="308"/>
      <c r="RZS483" s="308"/>
      <c r="RZT483" s="308"/>
      <c r="RZU483" s="308"/>
      <c r="RZV483" s="308"/>
      <c r="RZW483" s="308"/>
      <c r="RZX483" s="308"/>
      <c r="RZY483" s="308"/>
      <c r="RZZ483" s="308"/>
      <c r="SAA483" s="308"/>
      <c r="SAB483" s="308"/>
      <c r="SAC483" s="308"/>
      <c r="SAD483" s="308"/>
      <c r="SAE483" s="308"/>
      <c r="SAF483" s="308"/>
      <c r="SAG483" s="308"/>
      <c r="SAH483" s="308"/>
      <c r="SAI483" s="308"/>
      <c r="SAJ483" s="308"/>
      <c r="SAK483" s="308"/>
      <c r="SAL483" s="308"/>
      <c r="SAM483" s="308"/>
      <c r="SAN483" s="308"/>
      <c r="SAO483" s="308"/>
      <c r="SAP483" s="308"/>
      <c r="SAQ483" s="308"/>
      <c r="SAR483" s="308"/>
      <c r="SAS483" s="308"/>
      <c r="SAT483" s="308"/>
      <c r="SAU483" s="308"/>
      <c r="SAV483" s="308"/>
      <c r="SAW483" s="308"/>
      <c r="SAX483" s="308"/>
      <c r="SAY483" s="308"/>
      <c r="SAZ483" s="308"/>
      <c r="SBA483" s="308"/>
      <c r="SBB483" s="308"/>
      <c r="SBC483" s="308"/>
      <c r="SBD483" s="308"/>
      <c r="SBE483" s="308"/>
      <c r="SBF483" s="308"/>
      <c r="SBG483" s="308"/>
      <c r="SBH483" s="308"/>
      <c r="SBI483" s="308"/>
      <c r="SBJ483" s="308"/>
      <c r="SBK483" s="308"/>
      <c r="SBL483" s="308"/>
      <c r="SBM483" s="308"/>
      <c r="SBN483" s="308"/>
      <c r="SBO483" s="308"/>
      <c r="SBP483" s="308"/>
      <c r="SBQ483" s="308"/>
      <c r="SBR483" s="308"/>
      <c r="SBS483" s="308"/>
      <c r="SBT483" s="308"/>
      <c r="SBU483" s="308"/>
      <c r="SBV483" s="308"/>
      <c r="SBW483" s="308"/>
      <c r="SBX483" s="308"/>
      <c r="SBY483" s="308"/>
      <c r="SBZ483" s="308"/>
      <c r="SCA483" s="308"/>
      <c r="SCB483" s="308"/>
      <c r="SCC483" s="308"/>
      <c r="SCD483" s="308"/>
      <c r="SCE483" s="308"/>
      <c r="SCF483" s="308"/>
      <c r="SCG483" s="308"/>
      <c r="SCH483" s="308"/>
      <c r="SCI483" s="308"/>
      <c r="SCJ483" s="308"/>
      <c r="SCK483" s="308"/>
      <c r="SCL483" s="308"/>
      <c r="SCM483" s="308"/>
      <c r="SCN483" s="308"/>
      <c r="SCO483" s="308"/>
      <c r="SCP483" s="308"/>
      <c r="SCQ483" s="308"/>
      <c r="SCR483" s="308"/>
      <c r="SCS483" s="308"/>
      <c r="SCT483" s="308"/>
      <c r="SCU483" s="308"/>
      <c r="SCV483" s="308"/>
      <c r="SCW483" s="308"/>
      <c r="SCX483" s="308"/>
      <c r="SCY483" s="308"/>
      <c r="SCZ483" s="308"/>
      <c r="SDA483" s="308"/>
      <c r="SDB483" s="308"/>
      <c r="SDC483" s="308"/>
      <c r="SDD483" s="308"/>
      <c r="SDE483" s="308"/>
      <c r="SDF483" s="308"/>
      <c r="SDG483" s="308"/>
      <c r="SDH483" s="308"/>
      <c r="SDI483" s="308"/>
      <c r="SDJ483" s="308"/>
      <c r="SDK483" s="308"/>
      <c r="SDL483" s="308"/>
      <c r="SDM483" s="308"/>
      <c r="SDN483" s="308"/>
      <c r="SDO483" s="308"/>
      <c r="SDP483" s="308"/>
      <c r="SDQ483" s="308"/>
      <c r="SDR483" s="308"/>
      <c r="SDS483" s="308"/>
      <c r="SDT483" s="308"/>
      <c r="SDU483" s="308"/>
      <c r="SDV483" s="308"/>
      <c r="SDW483" s="308"/>
      <c r="SDX483" s="308"/>
      <c r="SDY483" s="308"/>
      <c r="SDZ483" s="308"/>
      <c r="SEA483" s="308"/>
      <c r="SEB483" s="308"/>
      <c r="SEC483" s="308"/>
      <c r="SED483" s="308"/>
      <c r="SEE483" s="308"/>
      <c r="SEF483" s="308"/>
      <c r="SEG483" s="308"/>
      <c r="SEH483" s="308"/>
      <c r="SEI483" s="308"/>
      <c r="SEJ483" s="308"/>
      <c r="SEK483" s="308"/>
      <c r="SEL483" s="308"/>
      <c r="SEM483" s="308"/>
      <c r="SEN483" s="308"/>
      <c r="SEO483" s="308"/>
      <c r="SEP483" s="308"/>
      <c r="SEQ483" s="308"/>
      <c r="SER483" s="308"/>
      <c r="SES483" s="308"/>
      <c r="SET483" s="308"/>
      <c r="SEU483" s="308"/>
      <c r="SEV483" s="308"/>
      <c r="SEW483" s="308"/>
      <c r="SEX483" s="308"/>
      <c r="SEY483" s="308"/>
      <c r="SEZ483" s="308"/>
      <c r="SFA483" s="308"/>
      <c r="SFB483" s="308"/>
      <c r="SFC483" s="308"/>
      <c r="SFD483" s="308"/>
      <c r="SFE483" s="308"/>
      <c r="SFF483" s="308"/>
      <c r="SFG483" s="308"/>
      <c r="SFH483" s="308"/>
      <c r="SFI483" s="308"/>
      <c r="SFJ483" s="308"/>
      <c r="SFK483" s="308"/>
      <c r="SFL483" s="308"/>
      <c r="SFM483" s="308"/>
      <c r="SFN483" s="308"/>
      <c r="SFO483" s="308"/>
      <c r="SFP483" s="308"/>
      <c r="SFQ483" s="308"/>
      <c r="SFR483" s="308"/>
      <c r="SFS483" s="308"/>
      <c r="SFT483" s="308"/>
      <c r="SFU483" s="308"/>
      <c r="SFV483" s="308"/>
      <c r="SFW483" s="308"/>
      <c r="SFX483" s="308"/>
      <c r="SFY483" s="308"/>
      <c r="SFZ483" s="308"/>
      <c r="SGA483" s="308"/>
      <c r="SGB483" s="308"/>
      <c r="SGC483" s="308"/>
      <c r="SGD483" s="308"/>
      <c r="SGE483" s="308"/>
      <c r="SGF483" s="308"/>
      <c r="SGG483" s="308"/>
      <c r="SGH483" s="308"/>
      <c r="SGI483" s="308"/>
      <c r="SGJ483" s="308"/>
      <c r="SGK483" s="308"/>
      <c r="SGL483" s="308"/>
      <c r="SGM483" s="308"/>
      <c r="SGN483" s="308"/>
      <c r="SGO483" s="308"/>
      <c r="SGP483" s="308"/>
      <c r="SGQ483" s="308"/>
      <c r="SGR483" s="308"/>
      <c r="SGS483" s="308"/>
      <c r="SGT483" s="308"/>
      <c r="SGU483" s="308"/>
      <c r="SGV483" s="308"/>
      <c r="SGW483" s="308"/>
      <c r="SGX483" s="308"/>
      <c r="SGY483" s="308"/>
      <c r="SGZ483" s="308"/>
      <c r="SHA483" s="308"/>
      <c r="SHB483" s="308"/>
      <c r="SHC483" s="308"/>
      <c r="SHD483" s="308"/>
      <c r="SHE483" s="308"/>
      <c r="SHF483" s="308"/>
      <c r="SHG483" s="308"/>
      <c r="SHH483" s="308"/>
      <c r="SHI483" s="308"/>
      <c r="SHJ483" s="308"/>
      <c r="SHK483" s="308"/>
      <c r="SHL483" s="308"/>
      <c r="SHM483" s="308"/>
      <c r="SHN483" s="308"/>
      <c r="SHO483" s="308"/>
      <c r="SHP483" s="308"/>
      <c r="SHQ483" s="308"/>
      <c r="SHR483" s="308"/>
      <c r="SHS483" s="308"/>
      <c r="SHT483" s="308"/>
      <c r="SHU483" s="308"/>
      <c r="SHV483" s="308"/>
      <c r="SHW483" s="308"/>
      <c r="SHX483" s="308"/>
      <c r="SHY483" s="308"/>
      <c r="SHZ483" s="308"/>
      <c r="SIA483" s="308"/>
      <c r="SIB483" s="308"/>
      <c r="SIC483" s="308"/>
      <c r="SID483" s="308"/>
      <c r="SIE483" s="308"/>
      <c r="SIF483" s="308"/>
      <c r="SIG483" s="308"/>
      <c r="SIH483" s="308"/>
      <c r="SII483" s="308"/>
      <c r="SIJ483" s="308"/>
      <c r="SIK483" s="308"/>
      <c r="SIL483" s="308"/>
      <c r="SIM483" s="308"/>
      <c r="SIN483" s="308"/>
      <c r="SIO483" s="308"/>
      <c r="SIP483" s="308"/>
      <c r="SIQ483" s="308"/>
      <c r="SIR483" s="308"/>
      <c r="SIS483" s="308"/>
      <c r="SIT483" s="308"/>
      <c r="SIU483" s="308"/>
      <c r="SIV483" s="308"/>
      <c r="SIW483" s="308"/>
      <c r="SIX483" s="308"/>
      <c r="SIY483" s="308"/>
      <c r="SIZ483" s="308"/>
      <c r="SJA483" s="308"/>
      <c r="SJB483" s="308"/>
      <c r="SJC483" s="308"/>
      <c r="SJD483" s="308"/>
      <c r="SJE483" s="308"/>
      <c r="SJF483" s="308"/>
      <c r="SJG483" s="308"/>
      <c r="SJH483" s="308"/>
      <c r="SJI483" s="308"/>
      <c r="SJJ483" s="308"/>
      <c r="SJK483" s="308"/>
      <c r="SJL483" s="308"/>
      <c r="SJM483" s="308"/>
      <c r="SJN483" s="308"/>
      <c r="SJO483" s="308"/>
      <c r="SJP483" s="308"/>
      <c r="SJQ483" s="308"/>
      <c r="SJR483" s="308"/>
      <c r="SJS483" s="308"/>
      <c r="SJT483" s="308"/>
      <c r="SJU483" s="308"/>
      <c r="SJV483" s="308"/>
      <c r="SJW483" s="308"/>
      <c r="SJX483" s="308"/>
      <c r="SJY483" s="308"/>
      <c r="SJZ483" s="308"/>
      <c r="SKA483" s="308"/>
      <c r="SKB483" s="308"/>
      <c r="SKC483" s="308"/>
      <c r="SKD483" s="308"/>
      <c r="SKE483" s="308"/>
      <c r="SKF483" s="308"/>
      <c r="SKG483" s="308"/>
      <c r="SKH483" s="308"/>
      <c r="SKI483" s="308"/>
      <c r="SKJ483" s="308"/>
      <c r="SKK483" s="308"/>
      <c r="SKL483" s="308"/>
      <c r="SKM483" s="308"/>
      <c r="SKN483" s="308"/>
      <c r="SKO483" s="308"/>
      <c r="SKP483" s="308"/>
      <c r="SKQ483" s="308"/>
      <c r="SKR483" s="308"/>
      <c r="SKS483" s="308"/>
      <c r="SKT483" s="308"/>
      <c r="SKU483" s="308"/>
      <c r="SKV483" s="308"/>
      <c r="SKW483" s="308"/>
      <c r="SKX483" s="308"/>
      <c r="SKY483" s="308"/>
      <c r="SKZ483" s="308"/>
      <c r="SLA483" s="308"/>
      <c r="SLB483" s="308"/>
      <c r="SLC483" s="308"/>
      <c r="SLD483" s="308"/>
      <c r="SLE483" s="308"/>
      <c r="SLF483" s="308"/>
      <c r="SLG483" s="308"/>
      <c r="SLH483" s="308"/>
      <c r="SLI483" s="308"/>
      <c r="SLJ483" s="308"/>
      <c r="SLK483" s="308"/>
      <c r="SLL483" s="308"/>
      <c r="SLM483" s="308"/>
      <c r="SLN483" s="308"/>
      <c r="SLO483" s="308"/>
      <c r="SLP483" s="308"/>
      <c r="SLQ483" s="308"/>
      <c r="SLR483" s="308"/>
      <c r="SLS483" s="308"/>
      <c r="SLT483" s="308"/>
      <c r="SLU483" s="308"/>
      <c r="SLV483" s="308"/>
      <c r="SLW483" s="308"/>
      <c r="SLX483" s="308"/>
      <c r="SLY483" s="308"/>
      <c r="SLZ483" s="308"/>
      <c r="SMA483" s="308"/>
      <c r="SMB483" s="308"/>
      <c r="SMC483" s="308"/>
      <c r="SMD483" s="308"/>
      <c r="SME483" s="308"/>
      <c r="SMF483" s="308"/>
      <c r="SMG483" s="308"/>
      <c r="SMH483" s="308"/>
      <c r="SMI483" s="308"/>
      <c r="SMJ483" s="308"/>
      <c r="SMK483" s="308"/>
      <c r="SML483" s="308"/>
      <c r="SMM483" s="308"/>
      <c r="SMN483" s="308"/>
      <c r="SMO483" s="308"/>
      <c r="SMP483" s="308"/>
      <c r="SMQ483" s="308"/>
      <c r="SMR483" s="308"/>
      <c r="SMS483" s="308"/>
      <c r="SMT483" s="308"/>
      <c r="SMU483" s="308"/>
      <c r="SMV483" s="308"/>
      <c r="SMW483" s="308"/>
      <c r="SMX483" s="308"/>
      <c r="SMY483" s="308"/>
      <c r="SMZ483" s="308"/>
      <c r="SNA483" s="308"/>
      <c r="SNB483" s="308"/>
      <c r="SNC483" s="308"/>
      <c r="SND483" s="308"/>
      <c r="SNE483" s="308"/>
      <c r="SNF483" s="308"/>
      <c r="SNG483" s="308"/>
      <c r="SNH483" s="308"/>
      <c r="SNI483" s="308"/>
      <c r="SNJ483" s="308"/>
      <c r="SNK483" s="308"/>
      <c r="SNL483" s="308"/>
      <c r="SNM483" s="308"/>
      <c r="SNN483" s="308"/>
      <c r="SNO483" s="308"/>
      <c r="SNP483" s="308"/>
      <c r="SNQ483" s="308"/>
      <c r="SNR483" s="308"/>
      <c r="SNS483" s="308"/>
      <c r="SNT483" s="308"/>
      <c r="SNU483" s="308"/>
      <c r="SNV483" s="308"/>
      <c r="SNW483" s="308"/>
      <c r="SNX483" s="308"/>
      <c r="SNY483" s="308"/>
      <c r="SNZ483" s="308"/>
      <c r="SOA483" s="308"/>
      <c r="SOB483" s="308"/>
      <c r="SOC483" s="308"/>
      <c r="SOD483" s="308"/>
      <c r="SOE483" s="308"/>
      <c r="SOF483" s="308"/>
      <c r="SOG483" s="308"/>
      <c r="SOH483" s="308"/>
      <c r="SOI483" s="308"/>
      <c r="SOJ483" s="308"/>
      <c r="SOK483" s="308"/>
      <c r="SOL483" s="308"/>
      <c r="SOM483" s="308"/>
      <c r="SON483" s="308"/>
      <c r="SOO483" s="308"/>
      <c r="SOP483" s="308"/>
      <c r="SOQ483" s="308"/>
      <c r="SOR483" s="308"/>
      <c r="SOS483" s="308"/>
      <c r="SOT483" s="308"/>
      <c r="SOU483" s="308"/>
      <c r="SOV483" s="308"/>
      <c r="SOW483" s="308"/>
      <c r="SOX483" s="308"/>
      <c r="SOY483" s="308"/>
      <c r="SOZ483" s="308"/>
      <c r="SPA483" s="308"/>
      <c r="SPB483" s="308"/>
      <c r="SPC483" s="308"/>
      <c r="SPD483" s="308"/>
      <c r="SPE483" s="308"/>
      <c r="SPF483" s="308"/>
      <c r="SPG483" s="308"/>
      <c r="SPH483" s="308"/>
      <c r="SPI483" s="308"/>
      <c r="SPJ483" s="308"/>
      <c r="SPK483" s="308"/>
      <c r="SPL483" s="308"/>
      <c r="SPM483" s="308"/>
      <c r="SPN483" s="308"/>
      <c r="SPO483" s="308"/>
      <c r="SPP483" s="308"/>
      <c r="SPQ483" s="308"/>
      <c r="SPR483" s="308"/>
      <c r="SPS483" s="308"/>
      <c r="SPT483" s="308"/>
      <c r="SPU483" s="308"/>
      <c r="SPV483" s="308"/>
      <c r="SPW483" s="308"/>
      <c r="SPX483" s="308"/>
      <c r="SPY483" s="308"/>
      <c r="SPZ483" s="308"/>
      <c r="SQA483" s="308"/>
      <c r="SQB483" s="308"/>
      <c r="SQC483" s="308"/>
      <c r="SQD483" s="308"/>
      <c r="SQE483" s="308"/>
      <c r="SQF483" s="308"/>
      <c r="SQG483" s="308"/>
      <c r="SQH483" s="308"/>
      <c r="SQI483" s="308"/>
      <c r="SQJ483" s="308"/>
      <c r="SQK483" s="308"/>
      <c r="SQL483" s="308"/>
      <c r="SQM483" s="308"/>
      <c r="SQN483" s="308"/>
      <c r="SQO483" s="308"/>
      <c r="SQP483" s="308"/>
      <c r="SQQ483" s="308"/>
      <c r="SQR483" s="308"/>
      <c r="SQS483" s="308"/>
      <c r="SQT483" s="308"/>
      <c r="SQU483" s="308"/>
      <c r="SQV483" s="308"/>
      <c r="SQW483" s="308"/>
      <c r="SQX483" s="308"/>
      <c r="SQY483" s="308"/>
      <c r="SQZ483" s="308"/>
      <c r="SRA483" s="308"/>
      <c r="SRB483" s="308"/>
      <c r="SRC483" s="308"/>
      <c r="SRD483" s="308"/>
      <c r="SRE483" s="308"/>
      <c r="SRF483" s="308"/>
      <c r="SRG483" s="308"/>
      <c r="SRH483" s="308"/>
      <c r="SRI483" s="308"/>
      <c r="SRJ483" s="308"/>
      <c r="SRK483" s="308"/>
      <c r="SRL483" s="308"/>
      <c r="SRM483" s="308"/>
      <c r="SRN483" s="308"/>
      <c r="SRO483" s="308"/>
      <c r="SRP483" s="308"/>
      <c r="SRQ483" s="308"/>
      <c r="SRR483" s="308"/>
      <c r="SRS483" s="308"/>
      <c r="SRT483" s="308"/>
      <c r="SRU483" s="308"/>
      <c r="SRV483" s="308"/>
      <c r="SRW483" s="308"/>
      <c r="SRX483" s="308"/>
      <c r="SRY483" s="308"/>
      <c r="SRZ483" s="308"/>
      <c r="SSA483" s="308"/>
      <c r="SSB483" s="308"/>
      <c r="SSC483" s="308"/>
      <c r="SSD483" s="308"/>
      <c r="SSE483" s="308"/>
      <c r="SSF483" s="308"/>
      <c r="SSG483" s="308"/>
      <c r="SSH483" s="308"/>
      <c r="SSI483" s="308"/>
      <c r="SSJ483" s="308"/>
      <c r="SSK483" s="308"/>
      <c r="SSL483" s="308"/>
      <c r="SSM483" s="308"/>
      <c r="SSN483" s="308"/>
      <c r="SSO483" s="308"/>
      <c r="SSP483" s="308"/>
      <c r="SSQ483" s="308"/>
      <c r="SSR483" s="308"/>
      <c r="SSS483" s="308"/>
      <c r="SST483" s="308"/>
      <c r="SSU483" s="308"/>
      <c r="SSV483" s="308"/>
      <c r="SSW483" s="308"/>
      <c r="SSX483" s="308"/>
      <c r="SSY483" s="308"/>
      <c r="SSZ483" s="308"/>
      <c r="STA483" s="308"/>
      <c r="STB483" s="308"/>
      <c r="STC483" s="308"/>
      <c r="STD483" s="308"/>
      <c r="STE483" s="308"/>
      <c r="STF483" s="308"/>
      <c r="STG483" s="308"/>
      <c r="STH483" s="308"/>
      <c r="STI483" s="308"/>
      <c r="STJ483" s="308"/>
      <c r="STK483" s="308"/>
      <c r="STL483" s="308"/>
      <c r="STM483" s="308"/>
      <c r="STN483" s="308"/>
      <c r="STO483" s="308"/>
      <c r="STP483" s="308"/>
      <c r="STQ483" s="308"/>
      <c r="STR483" s="308"/>
      <c r="STS483" s="308"/>
      <c r="STT483" s="308"/>
      <c r="STU483" s="308"/>
      <c r="STV483" s="308"/>
      <c r="STW483" s="308"/>
      <c r="STX483" s="308"/>
      <c r="STY483" s="308"/>
      <c r="STZ483" s="308"/>
      <c r="SUA483" s="308"/>
      <c r="SUB483" s="308"/>
      <c r="SUC483" s="308"/>
      <c r="SUD483" s="308"/>
      <c r="SUE483" s="308"/>
      <c r="SUF483" s="308"/>
      <c r="SUG483" s="308"/>
      <c r="SUH483" s="308"/>
      <c r="SUI483" s="308"/>
      <c r="SUJ483" s="308"/>
      <c r="SUK483" s="308"/>
      <c r="SUL483" s="308"/>
      <c r="SUM483" s="308"/>
      <c r="SUN483" s="308"/>
      <c r="SUO483" s="308"/>
      <c r="SUP483" s="308"/>
      <c r="SUQ483" s="308"/>
      <c r="SUR483" s="308"/>
      <c r="SUS483" s="308"/>
      <c r="SUT483" s="308"/>
      <c r="SUU483" s="308"/>
      <c r="SUV483" s="308"/>
      <c r="SUW483" s="308"/>
      <c r="SUX483" s="308"/>
      <c r="SUY483" s="308"/>
      <c r="SUZ483" s="308"/>
      <c r="SVA483" s="308"/>
      <c r="SVB483" s="308"/>
      <c r="SVC483" s="308"/>
      <c r="SVD483" s="308"/>
      <c r="SVE483" s="308"/>
      <c r="SVF483" s="308"/>
      <c r="SVG483" s="308"/>
      <c r="SVH483" s="308"/>
      <c r="SVI483" s="308"/>
      <c r="SVJ483" s="308"/>
      <c r="SVK483" s="308"/>
      <c r="SVL483" s="308"/>
      <c r="SVM483" s="308"/>
      <c r="SVN483" s="308"/>
      <c r="SVO483" s="308"/>
      <c r="SVP483" s="308"/>
      <c r="SVQ483" s="308"/>
      <c r="SVR483" s="308"/>
      <c r="SVS483" s="308"/>
      <c r="SVT483" s="308"/>
      <c r="SVU483" s="308"/>
      <c r="SVV483" s="308"/>
      <c r="SVW483" s="308"/>
      <c r="SVX483" s="308"/>
      <c r="SVY483" s="308"/>
      <c r="SVZ483" s="308"/>
      <c r="SWA483" s="308"/>
      <c r="SWB483" s="308"/>
      <c r="SWC483" s="308"/>
      <c r="SWD483" s="308"/>
      <c r="SWE483" s="308"/>
      <c r="SWF483" s="308"/>
      <c r="SWG483" s="308"/>
      <c r="SWH483" s="308"/>
      <c r="SWI483" s="308"/>
      <c r="SWJ483" s="308"/>
      <c r="SWK483" s="308"/>
      <c r="SWL483" s="308"/>
      <c r="SWM483" s="308"/>
      <c r="SWN483" s="308"/>
      <c r="SWO483" s="308"/>
      <c r="SWP483" s="308"/>
      <c r="SWQ483" s="308"/>
      <c r="SWR483" s="308"/>
      <c r="SWS483" s="308"/>
      <c r="SWT483" s="308"/>
      <c r="SWU483" s="308"/>
      <c r="SWV483" s="308"/>
      <c r="SWW483" s="308"/>
      <c r="SWX483" s="308"/>
      <c r="SWY483" s="308"/>
      <c r="SWZ483" s="308"/>
      <c r="SXA483" s="308"/>
      <c r="SXB483" s="308"/>
      <c r="SXC483" s="308"/>
      <c r="SXD483" s="308"/>
      <c r="SXE483" s="308"/>
      <c r="SXF483" s="308"/>
      <c r="SXG483" s="308"/>
      <c r="SXH483" s="308"/>
      <c r="SXI483" s="308"/>
      <c r="SXJ483" s="308"/>
      <c r="SXK483" s="308"/>
      <c r="SXL483" s="308"/>
      <c r="SXM483" s="308"/>
      <c r="SXN483" s="308"/>
      <c r="SXO483" s="308"/>
      <c r="SXP483" s="308"/>
      <c r="SXQ483" s="308"/>
      <c r="SXR483" s="308"/>
      <c r="SXS483" s="308"/>
      <c r="SXT483" s="308"/>
      <c r="SXU483" s="308"/>
      <c r="SXV483" s="308"/>
      <c r="SXW483" s="308"/>
      <c r="SXX483" s="308"/>
      <c r="SXY483" s="308"/>
      <c r="SXZ483" s="308"/>
      <c r="SYA483" s="308"/>
      <c r="SYB483" s="308"/>
      <c r="SYC483" s="308"/>
      <c r="SYD483" s="308"/>
      <c r="SYE483" s="308"/>
      <c r="SYF483" s="308"/>
      <c r="SYG483" s="308"/>
      <c r="SYH483" s="308"/>
      <c r="SYI483" s="308"/>
      <c r="SYJ483" s="308"/>
      <c r="SYK483" s="308"/>
      <c r="SYL483" s="308"/>
      <c r="SYM483" s="308"/>
      <c r="SYN483" s="308"/>
      <c r="SYO483" s="308"/>
      <c r="SYP483" s="308"/>
      <c r="SYQ483" s="308"/>
      <c r="SYR483" s="308"/>
      <c r="SYS483" s="308"/>
      <c r="SYT483" s="308"/>
      <c r="SYU483" s="308"/>
      <c r="SYV483" s="308"/>
      <c r="SYW483" s="308"/>
      <c r="SYX483" s="308"/>
      <c r="SYY483" s="308"/>
      <c r="SYZ483" s="308"/>
      <c r="SZA483" s="308"/>
      <c r="SZB483" s="308"/>
      <c r="SZC483" s="308"/>
      <c r="SZD483" s="308"/>
      <c r="SZE483" s="308"/>
      <c r="SZF483" s="308"/>
      <c r="SZG483" s="308"/>
      <c r="SZH483" s="308"/>
      <c r="SZI483" s="308"/>
      <c r="SZJ483" s="308"/>
      <c r="SZK483" s="308"/>
      <c r="SZL483" s="308"/>
      <c r="SZM483" s="308"/>
      <c r="SZN483" s="308"/>
      <c r="SZO483" s="308"/>
      <c r="SZP483" s="308"/>
      <c r="SZQ483" s="308"/>
      <c r="SZR483" s="308"/>
      <c r="SZS483" s="308"/>
      <c r="SZT483" s="308"/>
      <c r="SZU483" s="308"/>
      <c r="SZV483" s="308"/>
      <c r="SZW483" s="308"/>
      <c r="SZX483" s="308"/>
      <c r="SZY483" s="308"/>
      <c r="SZZ483" s="308"/>
      <c r="TAA483" s="308"/>
      <c r="TAB483" s="308"/>
      <c r="TAC483" s="308"/>
      <c r="TAD483" s="308"/>
      <c r="TAE483" s="308"/>
      <c r="TAF483" s="308"/>
      <c r="TAG483" s="308"/>
      <c r="TAH483" s="308"/>
      <c r="TAI483" s="308"/>
      <c r="TAJ483" s="308"/>
      <c r="TAK483" s="308"/>
      <c r="TAL483" s="308"/>
      <c r="TAM483" s="308"/>
      <c r="TAN483" s="308"/>
      <c r="TAO483" s="308"/>
      <c r="TAP483" s="308"/>
      <c r="TAQ483" s="308"/>
      <c r="TAR483" s="308"/>
      <c r="TAS483" s="308"/>
      <c r="TAT483" s="308"/>
      <c r="TAU483" s="308"/>
      <c r="TAV483" s="308"/>
      <c r="TAW483" s="308"/>
      <c r="TAX483" s="308"/>
      <c r="TAY483" s="308"/>
      <c r="TAZ483" s="308"/>
      <c r="TBA483" s="308"/>
      <c r="TBB483" s="308"/>
      <c r="TBC483" s="308"/>
      <c r="TBD483" s="308"/>
      <c r="TBE483" s="308"/>
      <c r="TBF483" s="308"/>
      <c r="TBG483" s="308"/>
      <c r="TBH483" s="308"/>
      <c r="TBI483" s="308"/>
      <c r="TBJ483" s="308"/>
      <c r="TBK483" s="308"/>
      <c r="TBL483" s="308"/>
      <c r="TBM483" s="308"/>
      <c r="TBN483" s="308"/>
      <c r="TBO483" s="308"/>
      <c r="TBP483" s="308"/>
      <c r="TBQ483" s="308"/>
      <c r="TBR483" s="308"/>
      <c r="TBS483" s="308"/>
      <c r="TBT483" s="308"/>
      <c r="TBU483" s="308"/>
      <c r="TBV483" s="308"/>
      <c r="TBW483" s="308"/>
      <c r="TBX483" s="308"/>
      <c r="TBY483" s="308"/>
      <c r="TBZ483" s="308"/>
      <c r="TCA483" s="308"/>
      <c r="TCB483" s="308"/>
      <c r="TCC483" s="308"/>
      <c r="TCD483" s="308"/>
      <c r="TCE483" s="308"/>
      <c r="TCF483" s="308"/>
      <c r="TCG483" s="308"/>
      <c r="TCH483" s="308"/>
      <c r="TCI483" s="308"/>
      <c r="TCJ483" s="308"/>
      <c r="TCK483" s="308"/>
      <c r="TCL483" s="308"/>
      <c r="TCM483" s="308"/>
      <c r="TCN483" s="308"/>
      <c r="TCO483" s="308"/>
      <c r="TCP483" s="308"/>
      <c r="TCQ483" s="308"/>
      <c r="TCR483" s="308"/>
      <c r="TCS483" s="308"/>
      <c r="TCT483" s="308"/>
      <c r="TCU483" s="308"/>
      <c r="TCV483" s="308"/>
      <c r="TCW483" s="308"/>
      <c r="TCX483" s="308"/>
      <c r="TCY483" s="308"/>
      <c r="TCZ483" s="308"/>
      <c r="TDA483" s="308"/>
      <c r="TDB483" s="308"/>
      <c r="TDC483" s="308"/>
      <c r="TDD483" s="308"/>
      <c r="TDE483" s="308"/>
      <c r="TDF483" s="308"/>
      <c r="TDG483" s="308"/>
      <c r="TDH483" s="308"/>
      <c r="TDI483" s="308"/>
      <c r="TDJ483" s="308"/>
      <c r="TDK483" s="308"/>
      <c r="TDL483" s="308"/>
      <c r="TDM483" s="308"/>
      <c r="TDN483" s="308"/>
      <c r="TDO483" s="308"/>
      <c r="TDP483" s="308"/>
      <c r="TDQ483" s="308"/>
      <c r="TDR483" s="308"/>
      <c r="TDS483" s="308"/>
      <c r="TDT483" s="308"/>
      <c r="TDU483" s="308"/>
      <c r="TDV483" s="308"/>
      <c r="TDW483" s="308"/>
      <c r="TDX483" s="308"/>
      <c r="TDY483" s="308"/>
      <c r="TDZ483" s="308"/>
      <c r="TEA483" s="308"/>
      <c r="TEB483" s="308"/>
      <c r="TEC483" s="308"/>
      <c r="TED483" s="308"/>
      <c r="TEE483" s="308"/>
      <c r="TEF483" s="308"/>
      <c r="TEG483" s="308"/>
      <c r="TEH483" s="308"/>
      <c r="TEI483" s="308"/>
      <c r="TEJ483" s="308"/>
      <c r="TEK483" s="308"/>
      <c r="TEL483" s="308"/>
      <c r="TEM483" s="308"/>
      <c r="TEN483" s="308"/>
      <c r="TEO483" s="308"/>
      <c r="TEP483" s="308"/>
      <c r="TEQ483" s="308"/>
      <c r="TER483" s="308"/>
      <c r="TES483" s="308"/>
      <c r="TET483" s="308"/>
      <c r="TEU483" s="308"/>
      <c r="TEV483" s="308"/>
      <c r="TEW483" s="308"/>
      <c r="TEX483" s="308"/>
      <c r="TEY483" s="308"/>
      <c r="TEZ483" s="308"/>
      <c r="TFA483" s="308"/>
      <c r="TFB483" s="308"/>
      <c r="TFC483" s="308"/>
      <c r="TFD483" s="308"/>
      <c r="TFE483" s="308"/>
      <c r="TFF483" s="308"/>
      <c r="TFG483" s="308"/>
      <c r="TFH483" s="308"/>
      <c r="TFI483" s="308"/>
      <c r="TFJ483" s="308"/>
      <c r="TFK483" s="308"/>
      <c r="TFL483" s="308"/>
      <c r="TFM483" s="308"/>
      <c r="TFN483" s="308"/>
      <c r="TFO483" s="308"/>
      <c r="TFP483" s="308"/>
      <c r="TFQ483" s="308"/>
      <c r="TFR483" s="308"/>
      <c r="TFS483" s="308"/>
      <c r="TFT483" s="308"/>
      <c r="TFU483" s="308"/>
      <c r="TFV483" s="308"/>
      <c r="TFW483" s="308"/>
      <c r="TFX483" s="308"/>
      <c r="TFY483" s="308"/>
      <c r="TFZ483" s="308"/>
      <c r="TGA483" s="308"/>
      <c r="TGB483" s="308"/>
      <c r="TGC483" s="308"/>
      <c r="TGD483" s="308"/>
      <c r="TGE483" s="308"/>
      <c r="TGF483" s="308"/>
      <c r="TGG483" s="308"/>
      <c r="TGH483" s="308"/>
      <c r="TGI483" s="308"/>
      <c r="TGJ483" s="308"/>
      <c r="TGK483" s="308"/>
      <c r="TGL483" s="308"/>
      <c r="TGM483" s="308"/>
      <c r="TGN483" s="308"/>
      <c r="TGO483" s="308"/>
      <c r="TGP483" s="308"/>
      <c r="TGQ483" s="308"/>
      <c r="TGR483" s="308"/>
      <c r="TGS483" s="308"/>
      <c r="TGT483" s="308"/>
      <c r="TGU483" s="308"/>
      <c r="TGV483" s="308"/>
      <c r="TGW483" s="308"/>
      <c r="TGX483" s="308"/>
      <c r="TGY483" s="308"/>
      <c r="TGZ483" s="308"/>
      <c r="THA483" s="308"/>
      <c r="THB483" s="308"/>
      <c r="THC483" s="308"/>
      <c r="THD483" s="308"/>
      <c r="THE483" s="308"/>
      <c r="THF483" s="308"/>
      <c r="THG483" s="308"/>
      <c r="THH483" s="308"/>
      <c r="THI483" s="308"/>
      <c r="THJ483" s="308"/>
      <c r="THK483" s="308"/>
      <c r="THL483" s="308"/>
      <c r="THM483" s="308"/>
      <c r="THN483" s="308"/>
      <c r="THO483" s="308"/>
      <c r="THP483" s="308"/>
      <c r="THQ483" s="308"/>
      <c r="THR483" s="308"/>
      <c r="THS483" s="308"/>
      <c r="THT483" s="308"/>
      <c r="THU483" s="308"/>
      <c r="THV483" s="308"/>
      <c r="THW483" s="308"/>
      <c r="THX483" s="308"/>
      <c r="THY483" s="308"/>
      <c r="THZ483" s="308"/>
      <c r="TIA483" s="308"/>
      <c r="TIB483" s="308"/>
      <c r="TIC483" s="308"/>
      <c r="TID483" s="308"/>
      <c r="TIE483" s="308"/>
      <c r="TIF483" s="308"/>
      <c r="TIG483" s="308"/>
      <c r="TIH483" s="308"/>
      <c r="TII483" s="308"/>
      <c r="TIJ483" s="308"/>
      <c r="TIK483" s="308"/>
      <c r="TIL483" s="308"/>
      <c r="TIM483" s="308"/>
      <c r="TIN483" s="308"/>
      <c r="TIO483" s="308"/>
      <c r="TIP483" s="308"/>
      <c r="TIQ483" s="308"/>
      <c r="TIR483" s="308"/>
      <c r="TIS483" s="308"/>
      <c r="TIT483" s="308"/>
      <c r="TIU483" s="308"/>
      <c r="TIV483" s="308"/>
      <c r="TIW483" s="308"/>
      <c r="TIX483" s="308"/>
      <c r="TIY483" s="308"/>
      <c r="TIZ483" s="308"/>
      <c r="TJA483" s="308"/>
      <c r="TJB483" s="308"/>
      <c r="TJC483" s="308"/>
      <c r="TJD483" s="308"/>
      <c r="TJE483" s="308"/>
      <c r="TJF483" s="308"/>
      <c r="TJG483" s="308"/>
      <c r="TJH483" s="308"/>
      <c r="TJI483" s="308"/>
      <c r="TJJ483" s="308"/>
      <c r="TJK483" s="308"/>
      <c r="TJL483" s="308"/>
      <c r="TJM483" s="308"/>
      <c r="TJN483" s="308"/>
      <c r="TJO483" s="308"/>
      <c r="TJP483" s="308"/>
      <c r="TJQ483" s="308"/>
      <c r="TJR483" s="308"/>
      <c r="TJS483" s="308"/>
      <c r="TJT483" s="308"/>
      <c r="TJU483" s="308"/>
      <c r="TJV483" s="308"/>
      <c r="TJW483" s="308"/>
      <c r="TJX483" s="308"/>
      <c r="TJY483" s="308"/>
      <c r="TJZ483" s="308"/>
      <c r="TKA483" s="308"/>
      <c r="TKB483" s="308"/>
      <c r="TKC483" s="308"/>
      <c r="TKD483" s="308"/>
      <c r="TKE483" s="308"/>
      <c r="TKF483" s="308"/>
      <c r="TKG483" s="308"/>
      <c r="TKH483" s="308"/>
      <c r="TKI483" s="308"/>
      <c r="TKJ483" s="308"/>
      <c r="TKK483" s="308"/>
      <c r="TKL483" s="308"/>
      <c r="TKM483" s="308"/>
      <c r="TKN483" s="308"/>
      <c r="TKO483" s="308"/>
      <c r="TKP483" s="308"/>
      <c r="TKQ483" s="308"/>
      <c r="TKR483" s="308"/>
      <c r="TKS483" s="308"/>
      <c r="TKT483" s="308"/>
      <c r="TKU483" s="308"/>
      <c r="TKV483" s="308"/>
      <c r="TKW483" s="308"/>
      <c r="TKX483" s="308"/>
      <c r="TKY483" s="308"/>
      <c r="TKZ483" s="308"/>
      <c r="TLA483" s="308"/>
      <c r="TLB483" s="308"/>
      <c r="TLC483" s="308"/>
      <c r="TLD483" s="308"/>
      <c r="TLE483" s="308"/>
      <c r="TLF483" s="308"/>
      <c r="TLG483" s="308"/>
      <c r="TLH483" s="308"/>
      <c r="TLI483" s="308"/>
      <c r="TLJ483" s="308"/>
      <c r="TLK483" s="308"/>
      <c r="TLL483" s="308"/>
      <c r="TLM483" s="308"/>
      <c r="TLN483" s="308"/>
      <c r="TLO483" s="308"/>
      <c r="TLP483" s="308"/>
      <c r="TLQ483" s="308"/>
      <c r="TLR483" s="308"/>
      <c r="TLS483" s="308"/>
      <c r="TLT483" s="308"/>
      <c r="TLU483" s="308"/>
      <c r="TLV483" s="308"/>
      <c r="TLW483" s="308"/>
      <c r="TLX483" s="308"/>
      <c r="TLY483" s="308"/>
      <c r="TLZ483" s="308"/>
      <c r="TMA483" s="308"/>
      <c r="TMB483" s="308"/>
      <c r="TMC483" s="308"/>
      <c r="TMD483" s="308"/>
      <c r="TME483" s="308"/>
      <c r="TMF483" s="308"/>
      <c r="TMG483" s="308"/>
      <c r="TMH483" s="308"/>
      <c r="TMI483" s="308"/>
      <c r="TMJ483" s="308"/>
      <c r="TMK483" s="308"/>
      <c r="TML483" s="308"/>
      <c r="TMM483" s="308"/>
      <c r="TMN483" s="308"/>
      <c r="TMO483" s="308"/>
      <c r="TMP483" s="308"/>
      <c r="TMQ483" s="308"/>
      <c r="TMR483" s="308"/>
      <c r="TMS483" s="308"/>
      <c r="TMT483" s="308"/>
      <c r="TMU483" s="308"/>
      <c r="TMV483" s="308"/>
      <c r="TMW483" s="308"/>
      <c r="TMX483" s="308"/>
      <c r="TMY483" s="308"/>
      <c r="TMZ483" s="308"/>
      <c r="TNA483" s="308"/>
      <c r="TNB483" s="308"/>
      <c r="TNC483" s="308"/>
      <c r="TND483" s="308"/>
      <c r="TNE483" s="308"/>
      <c r="TNF483" s="308"/>
      <c r="TNG483" s="308"/>
      <c r="TNH483" s="308"/>
      <c r="TNI483" s="308"/>
      <c r="TNJ483" s="308"/>
      <c r="TNK483" s="308"/>
      <c r="TNL483" s="308"/>
      <c r="TNM483" s="308"/>
      <c r="TNN483" s="308"/>
      <c r="TNO483" s="308"/>
      <c r="TNP483" s="308"/>
      <c r="TNQ483" s="308"/>
      <c r="TNR483" s="308"/>
      <c r="TNS483" s="308"/>
      <c r="TNT483" s="308"/>
      <c r="TNU483" s="308"/>
      <c r="TNV483" s="308"/>
      <c r="TNW483" s="308"/>
      <c r="TNX483" s="308"/>
      <c r="TNY483" s="308"/>
      <c r="TNZ483" s="308"/>
      <c r="TOA483" s="308"/>
      <c r="TOB483" s="308"/>
      <c r="TOC483" s="308"/>
      <c r="TOD483" s="308"/>
      <c r="TOE483" s="308"/>
      <c r="TOF483" s="308"/>
      <c r="TOG483" s="308"/>
      <c r="TOH483" s="308"/>
      <c r="TOI483" s="308"/>
      <c r="TOJ483" s="308"/>
      <c r="TOK483" s="308"/>
      <c r="TOL483" s="308"/>
      <c r="TOM483" s="308"/>
      <c r="TON483" s="308"/>
      <c r="TOO483" s="308"/>
      <c r="TOP483" s="308"/>
      <c r="TOQ483" s="308"/>
      <c r="TOR483" s="308"/>
      <c r="TOS483" s="308"/>
      <c r="TOT483" s="308"/>
      <c r="TOU483" s="308"/>
      <c r="TOV483" s="308"/>
      <c r="TOW483" s="308"/>
      <c r="TOX483" s="308"/>
      <c r="TOY483" s="308"/>
      <c r="TOZ483" s="308"/>
      <c r="TPA483" s="308"/>
      <c r="TPB483" s="308"/>
      <c r="TPC483" s="308"/>
      <c r="TPD483" s="308"/>
      <c r="TPE483" s="308"/>
      <c r="TPF483" s="308"/>
      <c r="TPG483" s="308"/>
      <c r="TPH483" s="308"/>
      <c r="TPI483" s="308"/>
      <c r="TPJ483" s="308"/>
      <c r="TPK483" s="308"/>
      <c r="TPL483" s="308"/>
      <c r="TPM483" s="308"/>
      <c r="TPN483" s="308"/>
      <c r="TPO483" s="308"/>
      <c r="TPP483" s="308"/>
      <c r="TPQ483" s="308"/>
      <c r="TPR483" s="308"/>
      <c r="TPS483" s="308"/>
      <c r="TPT483" s="308"/>
      <c r="TPU483" s="308"/>
      <c r="TPV483" s="308"/>
      <c r="TPW483" s="308"/>
      <c r="TPX483" s="308"/>
      <c r="TPY483" s="308"/>
      <c r="TPZ483" s="308"/>
      <c r="TQA483" s="308"/>
      <c r="TQB483" s="308"/>
      <c r="TQC483" s="308"/>
      <c r="TQD483" s="308"/>
      <c r="TQE483" s="308"/>
      <c r="TQF483" s="308"/>
      <c r="TQG483" s="308"/>
      <c r="TQH483" s="308"/>
      <c r="TQI483" s="308"/>
      <c r="TQJ483" s="308"/>
      <c r="TQK483" s="308"/>
      <c r="TQL483" s="308"/>
      <c r="TQM483" s="308"/>
      <c r="TQN483" s="308"/>
      <c r="TQO483" s="308"/>
      <c r="TQP483" s="308"/>
      <c r="TQQ483" s="308"/>
      <c r="TQR483" s="308"/>
      <c r="TQS483" s="308"/>
      <c r="TQT483" s="308"/>
      <c r="TQU483" s="308"/>
      <c r="TQV483" s="308"/>
      <c r="TQW483" s="308"/>
      <c r="TQX483" s="308"/>
      <c r="TQY483" s="308"/>
      <c r="TQZ483" s="308"/>
      <c r="TRA483" s="308"/>
      <c r="TRB483" s="308"/>
      <c r="TRC483" s="308"/>
      <c r="TRD483" s="308"/>
      <c r="TRE483" s="308"/>
      <c r="TRF483" s="308"/>
      <c r="TRG483" s="308"/>
      <c r="TRH483" s="308"/>
      <c r="TRI483" s="308"/>
      <c r="TRJ483" s="308"/>
      <c r="TRK483" s="308"/>
      <c r="TRL483" s="308"/>
      <c r="TRM483" s="308"/>
      <c r="TRN483" s="308"/>
      <c r="TRO483" s="308"/>
      <c r="TRP483" s="308"/>
      <c r="TRQ483" s="308"/>
      <c r="TRR483" s="308"/>
      <c r="TRS483" s="308"/>
      <c r="TRT483" s="308"/>
      <c r="TRU483" s="308"/>
      <c r="TRV483" s="308"/>
      <c r="TRW483" s="308"/>
      <c r="TRX483" s="308"/>
      <c r="TRY483" s="308"/>
      <c r="TRZ483" s="308"/>
      <c r="TSA483" s="308"/>
      <c r="TSB483" s="308"/>
      <c r="TSC483" s="308"/>
      <c r="TSD483" s="308"/>
      <c r="TSE483" s="308"/>
      <c r="TSF483" s="308"/>
      <c r="TSG483" s="308"/>
      <c r="TSH483" s="308"/>
      <c r="TSI483" s="308"/>
      <c r="TSJ483" s="308"/>
      <c r="TSK483" s="308"/>
      <c r="TSL483" s="308"/>
      <c r="TSM483" s="308"/>
      <c r="TSN483" s="308"/>
      <c r="TSO483" s="308"/>
      <c r="TSP483" s="308"/>
      <c r="TSQ483" s="308"/>
      <c r="TSR483" s="308"/>
      <c r="TSS483" s="308"/>
      <c r="TST483" s="308"/>
      <c r="TSU483" s="308"/>
      <c r="TSV483" s="308"/>
      <c r="TSW483" s="308"/>
      <c r="TSX483" s="308"/>
      <c r="TSY483" s="308"/>
      <c r="TSZ483" s="308"/>
      <c r="TTA483" s="308"/>
      <c r="TTB483" s="308"/>
      <c r="TTC483" s="308"/>
      <c r="TTD483" s="308"/>
      <c r="TTE483" s="308"/>
      <c r="TTF483" s="308"/>
      <c r="TTG483" s="308"/>
      <c r="TTH483" s="308"/>
      <c r="TTI483" s="308"/>
      <c r="TTJ483" s="308"/>
      <c r="TTK483" s="308"/>
      <c r="TTL483" s="308"/>
      <c r="TTM483" s="308"/>
      <c r="TTN483" s="308"/>
      <c r="TTO483" s="308"/>
      <c r="TTP483" s="308"/>
      <c r="TTQ483" s="308"/>
      <c r="TTR483" s="308"/>
      <c r="TTS483" s="308"/>
      <c r="TTT483" s="308"/>
      <c r="TTU483" s="308"/>
      <c r="TTV483" s="308"/>
      <c r="TTW483" s="308"/>
      <c r="TTX483" s="308"/>
      <c r="TTY483" s="308"/>
      <c r="TTZ483" s="308"/>
      <c r="TUA483" s="308"/>
      <c r="TUB483" s="308"/>
      <c r="TUC483" s="308"/>
      <c r="TUD483" s="308"/>
      <c r="TUE483" s="308"/>
      <c r="TUF483" s="308"/>
      <c r="TUG483" s="308"/>
      <c r="TUH483" s="308"/>
      <c r="TUI483" s="308"/>
      <c r="TUJ483" s="308"/>
      <c r="TUK483" s="308"/>
      <c r="TUL483" s="308"/>
      <c r="TUM483" s="308"/>
      <c r="TUN483" s="308"/>
      <c r="TUO483" s="308"/>
      <c r="TUP483" s="308"/>
      <c r="TUQ483" s="308"/>
      <c r="TUR483" s="308"/>
      <c r="TUS483" s="308"/>
      <c r="TUT483" s="308"/>
      <c r="TUU483" s="308"/>
      <c r="TUV483" s="308"/>
      <c r="TUW483" s="308"/>
      <c r="TUX483" s="308"/>
      <c r="TUY483" s="308"/>
      <c r="TUZ483" s="308"/>
      <c r="TVA483" s="308"/>
      <c r="TVB483" s="308"/>
      <c r="TVC483" s="308"/>
      <c r="TVD483" s="308"/>
      <c r="TVE483" s="308"/>
      <c r="TVF483" s="308"/>
      <c r="TVG483" s="308"/>
      <c r="TVH483" s="308"/>
      <c r="TVI483" s="308"/>
      <c r="TVJ483" s="308"/>
      <c r="TVK483" s="308"/>
      <c r="TVL483" s="308"/>
      <c r="TVM483" s="308"/>
      <c r="TVN483" s="308"/>
      <c r="TVO483" s="308"/>
      <c r="TVP483" s="308"/>
      <c r="TVQ483" s="308"/>
      <c r="TVR483" s="308"/>
      <c r="TVS483" s="308"/>
      <c r="TVT483" s="308"/>
      <c r="TVU483" s="308"/>
      <c r="TVV483" s="308"/>
      <c r="TVW483" s="308"/>
      <c r="TVX483" s="308"/>
      <c r="TVY483" s="308"/>
      <c r="TVZ483" s="308"/>
      <c r="TWA483" s="308"/>
      <c r="TWB483" s="308"/>
      <c r="TWC483" s="308"/>
      <c r="TWD483" s="308"/>
      <c r="TWE483" s="308"/>
      <c r="TWF483" s="308"/>
      <c r="TWG483" s="308"/>
      <c r="TWH483" s="308"/>
      <c r="TWI483" s="308"/>
      <c r="TWJ483" s="308"/>
      <c r="TWK483" s="308"/>
      <c r="TWL483" s="308"/>
      <c r="TWM483" s="308"/>
      <c r="TWN483" s="308"/>
      <c r="TWO483" s="308"/>
      <c r="TWP483" s="308"/>
      <c r="TWQ483" s="308"/>
      <c r="TWR483" s="308"/>
      <c r="TWS483" s="308"/>
      <c r="TWT483" s="308"/>
      <c r="TWU483" s="308"/>
      <c r="TWV483" s="308"/>
      <c r="TWW483" s="308"/>
      <c r="TWX483" s="308"/>
      <c r="TWY483" s="308"/>
      <c r="TWZ483" s="308"/>
      <c r="TXA483" s="308"/>
      <c r="TXB483" s="308"/>
      <c r="TXC483" s="308"/>
      <c r="TXD483" s="308"/>
      <c r="TXE483" s="308"/>
      <c r="TXF483" s="308"/>
      <c r="TXG483" s="308"/>
      <c r="TXH483" s="308"/>
      <c r="TXI483" s="308"/>
      <c r="TXJ483" s="308"/>
      <c r="TXK483" s="308"/>
      <c r="TXL483" s="308"/>
      <c r="TXM483" s="308"/>
      <c r="TXN483" s="308"/>
      <c r="TXO483" s="308"/>
      <c r="TXP483" s="308"/>
      <c r="TXQ483" s="308"/>
      <c r="TXR483" s="308"/>
      <c r="TXS483" s="308"/>
      <c r="TXT483" s="308"/>
      <c r="TXU483" s="308"/>
      <c r="TXV483" s="308"/>
      <c r="TXW483" s="308"/>
      <c r="TXX483" s="308"/>
      <c r="TXY483" s="308"/>
      <c r="TXZ483" s="308"/>
      <c r="TYA483" s="308"/>
      <c r="TYB483" s="308"/>
      <c r="TYC483" s="308"/>
      <c r="TYD483" s="308"/>
      <c r="TYE483" s="308"/>
      <c r="TYF483" s="308"/>
      <c r="TYG483" s="308"/>
      <c r="TYH483" s="308"/>
      <c r="TYI483" s="308"/>
      <c r="TYJ483" s="308"/>
      <c r="TYK483" s="308"/>
      <c r="TYL483" s="308"/>
      <c r="TYM483" s="308"/>
      <c r="TYN483" s="308"/>
      <c r="TYO483" s="308"/>
      <c r="TYP483" s="308"/>
      <c r="TYQ483" s="308"/>
      <c r="TYR483" s="308"/>
      <c r="TYS483" s="308"/>
      <c r="TYT483" s="308"/>
      <c r="TYU483" s="308"/>
      <c r="TYV483" s="308"/>
      <c r="TYW483" s="308"/>
      <c r="TYX483" s="308"/>
      <c r="TYY483" s="308"/>
      <c r="TYZ483" s="308"/>
      <c r="TZA483" s="308"/>
      <c r="TZB483" s="308"/>
      <c r="TZC483" s="308"/>
      <c r="TZD483" s="308"/>
      <c r="TZE483" s="308"/>
      <c r="TZF483" s="308"/>
      <c r="TZG483" s="308"/>
      <c r="TZH483" s="308"/>
      <c r="TZI483" s="308"/>
      <c r="TZJ483" s="308"/>
      <c r="TZK483" s="308"/>
      <c r="TZL483" s="308"/>
      <c r="TZM483" s="308"/>
      <c r="TZN483" s="308"/>
      <c r="TZO483" s="308"/>
      <c r="TZP483" s="308"/>
      <c r="TZQ483" s="308"/>
      <c r="TZR483" s="308"/>
      <c r="TZS483" s="308"/>
      <c r="TZT483" s="308"/>
      <c r="TZU483" s="308"/>
      <c r="TZV483" s="308"/>
      <c r="TZW483" s="308"/>
      <c r="TZX483" s="308"/>
      <c r="TZY483" s="308"/>
      <c r="TZZ483" s="308"/>
      <c r="UAA483" s="308"/>
      <c r="UAB483" s="308"/>
      <c r="UAC483" s="308"/>
      <c r="UAD483" s="308"/>
      <c r="UAE483" s="308"/>
      <c r="UAF483" s="308"/>
      <c r="UAG483" s="308"/>
      <c r="UAH483" s="308"/>
      <c r="UAI483" s="308"/>
      <c r="UAJ483" s="308"/>
      <c r="UAK483" s="308"/>
      <c r="UAL483" s="308"/>
      <c r="UAM483" s="308"/>
      <c r="UAN483" s="308"/>
      <c r="UAO483" s="308"/>
      <c r="UAP483" s="308"/>
      <c r="UAQ483" s="308"/>
      <c r="UAR483" s="308"/>
      <c r="UAS483" s="308"/>
      <c r="UAT483" s="308"/>
      <c r="UAU483" s="308"/>
      <c r="UAV483" s="308"/>
      <c r="UAW483" s="308"/>
      <c r="UAX483" s="308"/>
      <c r="UAY483" s="308"/>
      <c r="UAZ483" s="308"/>
      <c r="UBA483" s="308"/>
      <c r="UBB483" s="308"/>
      <c r="UBC483" s="308"/>
      <c r="UBD483" s="308"/>
      <c r="UBE483" s="308"/>
      <c r="UBF483" s="308"/>
      <c r="UBG483" s="308"/>
      <c r="UBH483" s="308"/>
      <c r="UBI483" s="308"/>
      <c r="UBJ483" s="308"/>
      <c r="UBK483" s="308"/>
      <c r="UBL483" s="308"/>
      <c r="UBM483" s="308"/>
      <c r="UBN483" s="308"/>
      <c r="UBO483" s="308"/>
      <c r="UBP483" s="308"/>
      <c r="UBQ483" s="308"/>
      <c r="UBR483" s="308"/>
      <c r="UBS483" s="308"/>
      <c r="UBT483" s="308"/>
      <c r="UBU483" s="308"/>
      <c r="UBV483" s="308"/>
      <c r="UBW483" s="308"/>
      <c r="UBX483" s="308"/>
      <c r="UBY483" s="308"/>
      <c r="UBZ483" s="308"/>
      <c r="UCA483" s="308"/>
      <c r="UCB483" s="308"/>
      <c r="UCC483" s="308"/>
      <c r="UCD483" s="308"/>
      <c r="UCE483" s="308"/>
      <c r="UCF483" s="308"/>
      <c r="UCG483" s="308"/>
      <c r="UCH483" s="308"/>
      <c r="UCI483" s="308"/>
      <c r="UCJ483" s="308"/>
      <c r="UCK483" s="308"/>
      <c r="UCL483" s="308"/>
      <c r="UCM483" s="308"/>
      <c r="UCN483" s="308"/>
      <c r="UCO483" s="308"/>
      <c r="UCP483" s="308"/>
      <c r="UCQ483" s="308"/>
      <c r="UCR483" s="308"/>
      <c r="UCS483" s="308"/>
      <c r="UCT483" s="308"/>
      <c r="UCU483" s="308"/>
      <c r="UCV483" s="308"/>
      <c r="UCW483" s="308"/>
      <c r="UCX483" s="308"/>
      <c r="UCY483" s="308"/>
      <c r="UCZ483" s="308"/>
      <c r="UDA483" s="308"/>
      <c r="UDB483" s="308"/>
      <c r="UDC483" s="308"/>
      <c r="UDD483" s="308"/>
      <c r="UDE483" s="308"/>
      <c r="UDF483" s="308"/>
      <c r="UDG483" s="308"/>
      <c r="UDH483" s="308"/>
      <c r="UDI483" s="308"/>
      <c r="UDJ483" s="308"/>
      <c r="UDK483" s="308"/>
      <c r="UDL483" s="308"/>
      <c r="UDM483" s="308"/>
      <c r="UDN483" s="308"/>
      <c r="UDO483" s="308"/>
      <c r="UDP483" s="308"/>
      <c r="UDQ483" s="308"/>
      <c r="UDR483" s="308"/>
      <c r="UDS483" s="308"/>
      <c r="UDT483" s="308"/>
      <c r="UDU483" s="308"/>
      <c r="UDV483" s="308"/>
      <c r="UDW483" s="308"/>
      <c r="UDX483" s="308"/>
      <c r="UDY483" s="308"/>
      <c r="UDZ483" s="308"/>
      <c r="UEA483" s="308"/>
      <c r="UEB483" s="308"/>
      <c r="UEC483" s="308"/>
      <c r="UED483" s="308"/>
      <c r="UEE483" s="308"/>
      <c r="UEF483" s="308"/>
      <c r="UEG483" s="308"/>
      <c r="UEH483" s="308"/>
      <c r="UEI483" s="308"/>
      <c r="UEJ483" s="308"/>
      <c r="UEK483" s="308"/>
      <c r="UEL483" s="308"/>
      <c r="UEM483" s="308"/>
      <c r="UEN483" s="308"/>
      <c r="UEO483" s="308"/>
      <c r="UEP483" s="308"/>
      <c r="UEQ483" s="308"/>
      <c r="UER483" s="308"/>
      <c r="UES483" s="308"/>
      <c r="UET483" s="308"/>
      <c r="UEU483" s="308"/>
      <c r="UEV483" s="308"/>
      <c r="UEW483" s="308"/>
      <c r="UEX483" s="308"/>
      <c r="UEY483" s="308"/>
      <c r="UEZ483" s="308"/>
      <c r="UFA483" s="308"/>
      <c r="UFB483" s="308"/>
      <c r="UFC483" s="308"/>
      <c r="UFD483" s="308"/>
      <c r="UFE483" s="308"/>
      <c r="UFF483" s="308"/>
      <c r="UFG483" s="308"/>
      <c r="UFH483" s="308"/>
      <c r="UFI483" s="308"/>
      <c r="UFJ483" s="308"/>
      <c r="UFK483" s="308"/>
      <c r="UFL483" s="308"/>
      <c r="UFM483" s="308"/>
      <c r="UFN483" s="308"/>
      <c r="UFO483" s="308"/>
      <c r="UFP483" s="308"/>
      <c r="UFQ483" s="308"/>
      <c r="UFR483" s="308"/>
      <c r="UFS483" s="308"/>
      <c r="UFT483" s="308"/>
      <c r="UFU483" s="308"/>
      <c r="UFV483" s="308"/>
      <c r="UFW483" s="308"/>
      <c r="UFX483" s="308"/>
      <c r="UFY483" s="308"/>
      <c r="UFZ483" s="308"/>
      <c r="UGA483" s="308"/>
      <c r="UGB483" s="308"/>
      <c r="UGC483" s="308"/>
      <c r="UGD483" s="308"/>
      <c r="UGE483" s="308"/>
      <c r="UGF483" s="308"/>
      <c r="UGG483" s="308"/>
      <c r="UGH483" s="308"/>
      <c r="UGI483" s="308"/>
      <c r="UGJ483" s="308"/>
      <c r="UGK483" s="308"/>
      <c r="UGL483" s="308"/>
      <c r="UGM483" s="308"/>
      <c r="UGN483" s="308"/>
      <c r="UGO483" s="308"/>
      <c r="UGP483" s="308"/>
      <c r="UGQ483" s="308"/>
      <c r="UGR483" s="308"/>
      <c r="UGS483" s="308"/>
      <c r="UGT483" s="308"/>
      <c r="UGU483" s="308"/>
      <c r="UGV483" s="308"/>
      <c r="UGW483" s="308"/>
      <c r="UGX483" s="308"/>
      <c r="UGY483" s="308"/>
      <c r="UGZ483" s="308"/>
      <c r="UHA483" s="308"/>
      <c r="UHB483" s="308"/>
      <c r="UHC483" s="308"/>
      <c r="UHD483" s="308"/>
      <c r="UHE483" s="308"/>
      <c r="UHF483" s="308"/>
      <c r="UHG483" s="308"/>
      <c r="UHH483" s="308"/>
      <c r="UHI483" s="308"/>
      <c r="UHJ483" s="308"/>
      <c r="UHK483" s="308"/>
      <c r="UHL483" s="308"/>
      <c r="UHM483" s="308"/>
      <c r="UHN483" s="308"/>
      <c r="UHO483" s="308"/>
      <c r="UHP483" s="308"/>
      <c r="UHQ483" s="308"/>
      <c r="UHR483" s="308"/>
      <c r="UHS483" s="308"/>
      <c r="UHT483" s="308"/>
      <c r="UHU483" s="308"/>
      <c r="UHV483" s="308"/>
      <c r="UHW483" s="308"/>
      <c r="UHX483" s="308"/>
      <c r="UHY483" s="308"/>
      <c r="UHZ483" s="308"/>
      <c r="UIA483" s="308"/>
      <c r="UIB483" s="308"/>
      <c r="UIC483" s="308"/>
      <c r="UID483" s="308"/>
      <c r="UIE483" s="308"/>
      <c r="UIF483" s="308"/>
      <c r="UIG483" s="308"/>
      <c r="UIH483" s="308"/>
      <c r="UII483" s="308"/>
      <c r="UIJ483" s="308"/>
      <c r="UIK483" s="308"/>
      <c r="UIL483" s="308"/>
      <c r="UIM483" s="308"/>
      <c r="UIN483" s="308"/>
      <c r="UIO483" s="308"/>
      <c r="UIP483" s="308"/>
      <c r="UIQ483" s="308"/>
      <c r="UIR483" s="308"/>
      <c r="UIS483" s="308"/>
      <c r="UIT483" s="308"/>
      <c r="UIU483" s="308"/>
      <c r="UIV483" s="308"/>
      <c r="UIW483" s="308"/>
      <c r="UIX483" s="308"/>
      <c r="UIY483" s="308"/>
      <c r="UIZ483" s="308"/>
      <c r="UJA483" s="308"/>
      <c r="UJB483" s="308"/>
      <c r="UJC483" s="308"/>
      <c r="UJD483" s="308"/>
      <c r="UJE483" s="308"/>
      <c r="UJF483" s="308"/>
      <c r="UJG483" s="308"/>
      <c r="UJH483" s="308"/>
      <c r="UJI483" s="308"/>
      <c r="UJJ483" s="308"/>
      <c r="UJK483" s="308"/>
      <c r="UJL483" s="308"/>
      <c r="UJM483" s="308"/>
      <c r="UJN483" s="308"/>
      <c r="UJO483" s="308"/>
      <c r="UJP483" s="308"/>
      <c r="UJQ483" s="308"/>
      <c r="UJR483" s="308"/>
      <c r="UJS483" s="308"/>
      <c r="UJT483" s="308"/>
      <c r="UJU483" s="308"/>
      <c r="UJV483" s="308"/>
      <c r="UJW483" s="308"/>
      <c r="UJX483" s="308"/>
      <c r="UJY483" s="308"/>
      <c r="UJZ483" s="308"/>
      <c r="UKA483" s="308"/>
      <c r="UKB483" s="308"/>
      <c r="UKC483" s="308"/>
      <c r="UKD483" s="308"/>
      <c r="UKE483" s="308"/>
      <c r="UKF483" s="308"/>
      <c r="UKG483" s="308"/>
      <c r="UKH483" s="308"/>
      <c r="UKI483" s="308"/>
      <c r="UKJ483" s="308"/>
      <c r="UKK483" s="308"/>
      <c r="UKL483" s="308"/>
      <c r="UKM483" s="308"/>
      <c r="UKN483" s="308"/>
      <c r="UKO483" s="308"/>
      <c r="UKP483" s="308"/>
      <c r="UKQ483" s="308"/>
      <c r="UKR483" s="308"/>
      <c r="UKS483" s="308"/>
      <c r="UKT483" s="308"/>
      <c r="UKU483" s="308"/>
      <c r="UKV483" s="308"/>
      <c r="UKW483" s="308"/>
      <c r="UKX483" s="308"/>
      <c r="UKY483" s="308"/>
      <c r="UKZ483" s="308"/>
      <c r="ULA483" s="308"/>
      <c r="ULB483" s="308"/>
      <c r="ULC483" s="308"/>
      <c r="ULD483" s="308"/>
      <c r="ULE483" s="308"/>
      <c r="ULF483" s="308"/>
      <c r="ULG483" s="308"/>
      <c r="ULH483" s="308"/>
      <c r="ULI483" s="308"/>
      <c r="ULJ483" s="308"/>
      <c r="ULK483" s="308"/>
      <c r="ULL483" s="308"/>
      <c r="ULM483" s="308"/>
      <c r="ULN483" s="308"/>
      <c r="ULO483" s="308"/>
      <c r="ULP483" s="308"/>
      <c r="ULQ483" s="308"/>
      <c r="ULR483" s="308"/>
      <c r="ULS483" s="308"/>
      <c r="ULT483" s="308"/>
      <c r="ULU483" s="308"/>
      <c r="ULV483" s="308"/>
      <c r="ULW483" s="308"/>
      <c r="ULX483" s="308"/>
      <c r="ULY483" s="308"/>
      <c r="ULZ483" s="308"/>
      <c r="UMA483" s="308"/>
      <c r="UMB483" s="308"/>
      <c r="UMC483" s="308"/>
      <c r="UMD483" s="308"/>
      <c r="UME483" s="308"/>
      <c r="UMF483" s="308"/>
      <c r="UMG483" s="308"/>
      <c r="UMH483" s="308"/>
      <c r="UMI483" s="308"/>
      <c r="UMJ483" s="308"/>
      <c r="UMK483" s="308"/>
      <c r="UML483" s="308"/>
      <c r="UMM483" s="308"/>
      <c r="UMN483" s="308"/>
      <c r="UMO483" s="308"/>
      <c r="UMP483" s="308"/>
      <c r="UMQ483" s="308"/>
      <c r="UMR483" s="308"/>
      <c r="UMS483" s="308"/>
      <c r="UMT483" s="308"/>
      <c r="UMU483" s="308"/>
      <c r="UMV483" s="308"/>
      <c r="UMW483" s="308"/>
      <c r="UMX483" s="308"/>
      <c r="UMY483" s="308"/>
      <c r="UMZ483" s="308"/>
      <c r="UNA483" s="308"/>
      <c r="UNB483" s="308"/>
      <c r="UNC483" s="308"/>
      <c r="UND483" s="308"/>
      <c r="UNE483" s="308"/>
      <c r="UNF483" s="308"/>
      <c r="UNG483" s="308"/>
      <c r="UNH483" s="308"/>
      <c r="UNI483" s="308"/>
      <c r="UNJ483" s="308"/>
      <c r="UNK483" s="308"/>
      <c r="UNL483" s="308"/>
      <c r="UNM483" s="308"/>
      <c r="UNN483" s="308"/>
      <c r="UNO483" s="308"/>
      <c r="UNP483" s="308"/>
      <c r="UNQ483" s="308"/>
      <c r="UNR483" s="308"/>
      <c r="UNS483" s="308"/>
      <c r="UNT483" s="308"/>
      <c r="UNU483" s="308"/>
      <c r="UNV483" s="308"/>
      <c r="UNW483" s="308"/>
      <c r="UNX483" s="308"/>
      <c r="UNY483" s="308"/>
      <c r="UNZ483" s="308"/>
      <c r="UOA483" s="308"/>
      <c r="UOB483" s="308"/>
      <c r="UOC483" s="308"/>
      <c r="UOD483" s="308"/>
      <c r="UOE483" s="308"/>
      <c r="UOF483" s="308"/>
      <c r="UOG483" s="308"/>
      <c r="UOH483" s="308"/>
      <c r="UOI483" s="308"/>
      <c r="UOJ483" s="308"/>
      <c r="UOK483" s="308"/>
      <c r="UOL483" s="308"/>
      <c r="UOM483" s="308"/>
      <c r="UON483" s="308"/>
      <c r="UOO483" s="308"/>
      <c r="UOP483" s="308"/>
      <c r="UOQ483" s="308"/>
      <c r="UOR483" s="308"/>
      <c r="UOS483" s="308"/>
      <c r="UOT483" s="308"/>
      <c r="UOU483" s="308"/>
      <c r="UOV483" s="308"/>
      <c r="UOW483" s="308"/>
      <c r="UOX483" s="308"/>
      <c r="UOY483" s="308"/>
      <c r="UOZ483" s="308"/>
      <c r="UPA483" s="308"/>
      <c r="UPB483" s="308"/>
      <c r="UPC483" s="308"/>
      <c r="UPD483" s="308"/>
      <c r="UPE483" s="308"/>
      <c r="UPF483" s="308"/>
      <c r="UPG483" s="308"/>
      <c r="UPH483" s="308"/>
      <c r="UPI483" s="308"/>
      <c r="UPJ483" s="308"/>
      <c r="UPK483" s="308"/>
      <c r="UPL483" s="308"/>
      <c r="UPM483" s="308"/>
      <c r="UPN483" s="308"/>
      <c r="UPO483" s="308"/>
      <c r="UPP483" s="308"/>
      <c r="UPQ483" s="308"/>
      <c r="UPR483" s="308"/>
      <c r="UPS483" s="308"/>
      <c r="UPT483" s="308"/>
      <c r="UPU483" s="308"/>
      <c r="UPV483" s="308"/>
      <c r="UPW483" s="308"/>
      <c r="UPX483" s="308"/>
      <c r="UPY483" s="308"/>
      <c r="UPZ483" s="308"/>
      <c r="UQA483" s="308"/>
      <c r="UQB483" s="308"/>
      <c r="UQC483" s="308"/>
      <c r="UQD483" s="308"/>
      <c r="UQE483" s="308"/>
      <c r="UQF483" s="308"/>
      <c r="UQG483" s="308"/>
      <c r="UQH483" s="308"/>
      <c r="UQI483" s="308"/>
      <c r="UQJ483" s="308"/>
      <c r="UQK483" s="308"/>
      <c r="UQL483" s="308"/>
      <c r="UQM483" s="308"/>
      <c r="UQN483" s="308"/>
      <c r="UQO483" s="308"/>
      <c r="UQP483" s="308"/>
      <c r="UQQ483" s="308"/>
      <c r="UQR483" s="308"/>
      <c r="UQS483" s="308"/>
      <c r="UQT483" s="308"/>
      <c r="UQU483" s="308"/>
      <c r="UQV483" s="308"/>
      <c r="UQW483" s="308"/>
      <c r="UQX483" s="308"/>
      <c r="UQY483" s="308"/>
      <c r="UQZ483" s="308"/>
      <c r="URA483" s="308"/>
      <c r="URB483" s="308"/>
      <c r="URC483" s="308"/>
      <c r="URD483" s="308"/>
      <c r="URE483" s="308"/>
      <c r="URF483" s="308"/>
      <c r="URG483" s="308"/>
      <c r="URH483" s="308"/>
      <c r="URI483" s="308"/>
      <c r="URJ483" s="308"/>
      <c r="URK483" s="308"/>
      <c r="URL483" s="308"/>
      <c r="URM483" s="308"/>
      <c r="URN483" s="308"/>
      <c r="URO483" s="308"/>
      <c r="URP483" s="308"/>
      <c r="URQ483" s="308"/>
      <c r="URR483" s="308"/>
      <c r="URS483" s="308"/>
      <c r="URT483" s="308"/>
      <c r="URU483" s="308"/>
      <c r="URV483" s="308"/>
      <c r="URW483" s="308"/>
      <c r="URX483" s="308"/>
      <c r="URY483" s="308"/>
      <c r="URZ483" s="308"/>
      <c r="USA483" s="308"/>
      <c r="USB483" s="308"/>
      <c r="USC483" s="308"/>
      <c r="USD483" s="308"/>
      <c r="USE483" s="308"/>
      <c r="USF483" s="308"/>
      <c r="USG483" s="308"/>
      <c r="USH483" s="308"/>
      <c r="USI483" s="308"/>
      <c r="USJ483" s="308"/>
      <c r="USK483" s="308"/>
      <c r="USL483" s="308"/>
      <c r="USM483" s="308"/>
      <c r="USN483" s="308"/>
      <c r="USO483" s="308"/>
      <c r="USP483" s="308"/>
      <c r="USQ483" s="308"/>
      <c r="USR483" s="308"/>
      <c r="USS483" s="308"/>
      <c r="UST483" s="308"/>
      <c r="USU483" s="308"/>
      <c r="USV483" s="308"/>
      <c r="USW483" s="308"/>
      <c r="USX483" s="308"/>
      <c r="USY483" s="308"/>
      <c r="USZ483" s="308"/>
      <c r="UTA483" s="308"/>
      <c r="UTB483" s="308"/>
      <c r="UTC483" s="308"/>
      <c r="UTD483" s="308"/>
      <c r="UTE483" s="308"/>
      <c r="UTF483" s="308"/>
      <c r="UTG483" s="308"/>
      <c r="UTH483" s="308"/>
      <c r="UTI483" s="308"/>
      <c r="UTJ483" s="308"/>
      <c r="UTK483" s="308"/>
      <c r="UTL483" s="308"/>
      <c r="UTM483" s="308"/>
      <c r="UTN483" s="308"/>
      <c r="UTO483" s="308"/>
      <c r="UTP483" s="308"/>
      <c r="UTQ483" s="308"/>
      <c r="UTR483" s="308"/>
      <c r="UTS483" s="308"/>
      <c r="UTT483" s="308"/>
      <c r="UTU483" s="308"/>
      <c r="UTV483" s="308"/>
      <c r="UTW483" s="308"/>
      <c r="UTX483" s="308"/>
      <c r="UTY483" s="308"/>
      <c r="UTZ483" s="308"/>
      <c r="UUA483" s="308"/>
      <c r="UUB483" s="308"/>
      <c r="UUC483" s="308"/>
      <c r="UUD483" s="308"/>
      <c r="UUE483" s="308"/>
      <c r="UUF483" s="308"/>
      <c r="UUG483" s="308"/>
      <c r="UUH483" s="308"/>
      <c r="UUI483" s="308"/>
      <c r="UUJ483" s="308"/>
      <c r="UUK483" s="308"/>
      <c r="UUL483" s="308"/>
      <c r="UUM483" s="308"/>
      <c r="UUN483" s="308"/>
      <c r="UUO483" s="308"/>
      <c r="UUP483" s="308"/>
      <c r="UUQ483" s="308"/>
      <c r="UUR483" s="308"/>
      <c r="UUS483" s="308"/>
      <c r="UUT483" s="308"/>
      <c r="UUU483" s="308"/>
      <c r="UUV483" s="308"/>
      <c r="UUW483" s="308"/>
      <c r="UUX483" s="308"/>
      <c r="UUY483" s="308"/>
      <c r="UUZ483" s="308"/>
      <c r="UVA483" s="308"/>
      <c r="UVB483" s="308"/>
      <c r="UVC483" s="308"/>
      <c r="UVD483" s="308"/>
      <c r="UVE483" s="308"/>
      <c r="UVF483" s="308"/>
      <c r="UVG483" s="308"/>
      <c r="UVH483" s="308"/>
      <c r="UVI483" s="308"/>
      <c r="UVJ483" s="308"/>
      <c r="UVK483" s="308"/>
      <c r="UVL483" s="308"/>
      <c r="UVM483" s="308"/>
      <c r="UVN483" s="308"/>
      <c r="UVO483" s="308"/>
      <c r="UVP483" s="308"/>
      <c r="UVQ483" s="308"/>
      <c r="UVR483" s="308"/>
      <c r="UVS483" s="308"/>
      <c r="UVT483" s="308"/>
      <c r="UVU483" s="308"/>
      <c r="UVV483" s="308"/>
      <c r="UVW483" s="308"/>
      <c r="UVX483" s="308"/>
      <c r="UVY483" s="308"/>
      <c r="UVZ483" s="308"/>
      <c r="UWA483" s="308"/>
      <c r="UWB483" s="308"/>
      <c r="UWC483" s="308"/>
      <c r="UWD483" s="308"/>
      <c r="UWE483" s="308"/>
      <c r="UWF483" s="308"/>
      <c r="UWG483" s="308"/>
      <c r="UWH483" s="308"/>
      <c r="UWI483" s="308"/>
      <c r="UWJ483" s="308"/>
      <c r="UWK483" s="308"/>
      <c r="UWL483" s="308"/>
      <c r="UWM483" s="308"/>
      <c r="UWN483" s="308"/>
      <c r="UWO483" s="308"/>
      <c r="UWP483" s="308"/>
      <c r="UWQ483" s="308"/>
      <c r="UWR483" s="308"/>
      <c r="UWS483" s="308"/>
      <c r="UWT483" s="308"/>
      <c r="UWU483" s="308"/>
      <c r="UWV483" s="308"/>
      <c r="UWW483" s="308"/>
      <c r="UWX483" s="308"/>
      <c r="UWY483" s="308"/>
      <c r="UWZ483" s="308"/>
      <c r="UXA483" s="308"/>
      <c r="UXB483" s="308"/>
      <c r="UXC483" s="308"/>
      <c r="UXD483" s="308"/>
      <c r="UXE483" s="308"/>
      <c r="UXF483" s="308"/>
      <c r="UXG483" s="308"/>
      <c r="UXH483" s="308"/>
      <c r="UXI483" s="308"/>
      <c r="UXJ483" s="308"/>
      <c r="UXK483" s="308"/>
      <c r="UXL483" s="308"/>
      <c r="UXM483" s="308"/>
      <c r="UXN483" s="308"/>
      <c r="UXO483" s="308"/>
      <c r="UXP483" s="308"/>
      <c r="UXQ483" s="308"/>
      <c r="UXR483" s="308"/>
      <c r="UXS483" s="308"/>
      <c r="UXT483" s="308"/>
      <c r="UXU483" s="308"/>
      <c r="UXV483" s="308"/>
      <c r="UXW483" s="308"/>
      <c r="UXX483" s="308"/>
      <c r="UXY483" s="308"/>
      <c r="UXZ483" s="308"/>
      <c r="UYA483" s="308"/>
      <c r="UYB483" s="308"/>
      <c r="UYC483" s="308"/>
      <c r="UYD483" s="308"/>
      <c r="UYE483" s="308"/>
      <c r="UYF483" s="308"/>
      <c r="UYG483" s="308"/>
      <c r="UYH483" s="308"/>
      <c r="UYI483" s="308"/>
      <c r="UYJ483" s="308"/>
      <c r="UYK483" s="308"/>
      <c r="UYL483" s="308"/>
      <c r="UYM483" s="308"/>
      <c r="UYN483" s="308"/>
      <c r="UYO483" s="308"/>
      <c r="UYP483" s="308"/>
      <c r="UYQ483" s="308"/>
      <c r="UYR483" s="308"/>
      <c r="UYS483" s="308"/>
      <c r="UYT483" s="308"/>
      <c r="UYU483" s="308"/>
      <c r="UYV483" s="308"/>
      <c r="UYW483" s="308"/>
      <c r="UYX483" s="308"/>
      <c r="UYY483" s="308"/>
      <c r="UYZ483" s="308"/>
      <c r="UZA483" s="308"/>
      <c r="UZB483" s="308"/>
      <c r="UZC483" s="308"/>
      <c r="UZD483" s="308"/>
      <c r="UZE483" s="308"/>
      <c r="UZF483" s="308"/>
      <c r="UZG483" s="308"/>
      <c r="UZH483" s="308"/>
      <c r="UZI483" s="308"/>
      <c r="UZJ483" s="308"/>
      <c r="UZK483" s="308"/>
      <c r="UZL483" s="308"/>
      <c r="UZM483" s="308"/>
      <c r="UZN483" s="308"/>
      <c r="UZO483" s="308"/>
      <c r="UZP483" s="308"/>
      <c r="UZQ483" s="308"/>
      <c r="UZR483" s="308"/>
      <c r="UZS483" s="308"/>
      <c r="UZT483" s="308"/>
      <c r="UZU483" s="308"/>
      <c r="UZV483" s="308"/>
      <c r="UZW483" s="308"/>
      <c r="UZX483" s="308"/>
      <c r="UZY483" s="308"/>
      <c r="UZZ483" s="308"/>
      <c r="VAA483" s="308"/>
      <c r="VAB483" s="308"/>
      <c r="VAC483" s="308"/>
      <c r="VAD483" s="308"/>
      <c r="VAE483" s="308"/>
      <c r="VAF483" s="308"/>
      <c r="VAG483" s="308"/>
      <c r="VAH483" s="308"/>
      <c r="VAI483" s="308"/>
      <c r="VAJ483" s="308"/>
      <c r="VAK483" s="308"/>
      <c r="VAL483" s="308"/>
      <c r="VAM483" s="308"/>
      <c r="VAN483" s="308"/>
      <c r="VAO483" s="308"/>
      <c r="VAP483" s="308"/>
      <c r="VAQ483" s="308"/>
      <c r="VAR483" s="308"/>
      <c r="VAS483" s="308"/>
      <c r="VAT483" s="308"/>
      <c r="VAU483" s="308"/>
      <c r="VAV483" s="308"/>
      <c r="VAW483" s="308"/>
      <c r="VAX483" s="308"/>
      <c r="VAY483" s="308"/>
      <c r="VAZ483" s="308"/>
      <c r="VBA483" s="308"/>
      <c r="VBB483" s="308"/>
      <c r="VBC483" s="308"/>
      <c r="VBD483" s="308"/>
      <c r="VBE483" s="308"/>
      <c r="VBF483" s="308"/>
      <c r="VBG483" s="308"/>
      <c r="VBH483" s="308"/>
      <c r="VBI483" s="308"/>
      <c r="VBJ483" s="308"/>
      <c r="VBK483" s="308"/>
      <c r="VBL483" s="308"/>
      <c r="VBM483" s="308"/>
      <c r="VBN483" s="308"/>
      <c r="VBO483" s="308"/>
      <c r="VBP483" s="308"/>
      <c r="VBQ483" s="308"/>
      <c r="VBR483" s="308"/>
      <c r="VBS483" s="308"/>
      <c r="VBT483" s="308"/>
      <c r="VBU483" s="308"/>
      <c r="VBV483" s="308"/>
      <c r="VBW483" s="308"/>
      <c r="VBX483" s="308"/>
      <c r="VBY483" s="308"/>
      <c r="VBZ483" s="308"/>
      <c r="VCA483" s="308"/>
      <c r="VCB483" s="308"/>
      <c r="VCC483" s="308"/>
      <c r="VCD483" s="308"/>
      <c r="VCE483" s="308"/>
      <c r="VCF483" s="308"/>
      <c r="VCG483" s="308"/>
      <c r="VCH483" s="308"/>
      <c r="VCI483" s="308"/>
      <c r="VCJ483" s="308"/>
      <c r="VCK483" s="308"/>
      <c r="VCL483" s="308"/>
      <c r="VCM483" s="308"/>
      <c r="VCN483" s="308"/>
      <c r="VCO483" s="308"/>
      <c r="VCP483" s="308"/>
      <c r="VCQ483" s="308"/>
      <c r="VCR483" s="308"/>
      <c r="VCS483" s="308"/>
      <c r="VCT483" s="308"/>
      <c r="VCU483" s="308"/>
      <c r="VCV483" s="308"/>
      <c r="VCW483" s="308"/>
      <c r="VCX483" s="308"/>
      <c r="VCY483" s="308"/>
      <c r="VCZ483" s="308"/>
      <c r="VDA483" s="308"/>
      <c r="VDB483" s="308"/>
      <c r="VDC483" s="308"/>
      <c r="VDD483" s="308"/>
      <c r="VDE483" s="308"/>
      <c r="VDF483" s="308"/>
      <c r="VDG483" s="308"/>
      <c r="VDH483" s="308"/>
      <c r="VDI483" s="308"/>
      <c r="VDJ483" s="308"/>
      <c r="VDK483" s="308"/>
      <c r="VDL483" s="308"/>
      <c r="VDM483" s="308"/>
      <c r="VDN483" s="308"/>
      <c r="VDO483" s="308"/>
      <c r="VDP483" s="308"/>
      <c r="VDQ483" s="308"/>
      <c r="VDR483" s="308"/>
      <c r="VDS483" s="308"/>
      <c r="VDT483" s="308"/>
      <c r="VDU483" s="308"/>
      <c r="VDV483" s="308"/>
      <c r="VDW483" s="308"/>
      <c r="VDX483" s="308"/>
      <c r="VDY483" s="308"/>
      <c r="VDZ483" s="308"/>
      <c r="VEA483" s="308"/>
      <c r="VEB483" s="308"/>
      <c r="VEC483" s="308"/>
      <c r="VED483" s="308"/>
      <c r="VEE483" s="308"/>
      <c r="VEF483" s="308"/>
      <c r="VEG483" s="308"/>
      <c r="VEH483" s="308"/>
      <c r="VEI483" s="308"/>
      <c r="VEJ483" s="308"/>
      <c r="VEK483" s="308"/>
      <c r="VEL483" s="308"/>
      <c r="VEM483" s="308"/>
      <c r="VEN483" s="308"/>
      <c r="VEO483" s="308"/>
      <c r="VEP483" s="308"/>
      <c r="VEQ483" s="308"/>
      <c r="VER483" s="308"/>
      <c r="VES483" s="308"/>
      <c r="VET483" s="308"/>
      <c r="VEU483" s="308"/>
      <c r="VEV483" s="308"/>
      <c r="VEW483" s="308"/>
      <c r="VEX483" s="308"/>
      <c r="VEY483" s="308"/>
      <c r="VEZ483" s="308"/>
      <c r="VFA483" s="308"/>
      <c r="VFB483" s="308"/>
      <c r="VFC483" s="308"/>
      <c r="VFD483" s="308"/>
      <c r="VFE483" s="308"/>
      <c r="VFF483" s="308"/>
      <c r="VFG483" s="308"/>
      <c r="VFH483" s="308"/>
      <c r="VFI483" s="308"/>
      <c r="VFJ483" s="308"/>
      <c r="VFK483" s="308"/>
      <c r="VFL483" s="308"/>
      <c r="VFM483" s="308"/>
      <c r="VFN483" s="308"/>
      <c r="VFO483" s="308"/>
      <c r="VFP483" s="308"/>
      <c r="VFQ483" s="308"/>
      <c r="VFR483" s="308"/>
      <c r="VFS483" s="308"/>
      <c r="VFT483" s="308"/>
      <c r="VFU483" s="308"/>
      <c r="VFV483" s="308"/>
      <c r="VFW483" s="308"/>
      <c r="VFX483" s="308"/>
      <c r="VFY483" s="308"/>
      <c r="VFZ483" s="308"/>
      <c r="VGA483" s="308"/>
      <c r="VGB483" s="308"/>
      <c r="VGC483" s="308"/>
      <c r="VGD483" s="308"/>
      <c r="VGE483" s="308"/>
      <c r="VGF483" s="308"/>
      <c r="VGG483" s="308"/>
      <c r="VGH483" s="308"/>
      <c r="VGI483" s="308"/>
      <c r="VGJ483" s="308"/>
      <c r="VGK483" s="308"/>
      <c r="VGL483" s="308"/>
      <c r="VGM483" s="308"/>
      <c r="VGN483" s="308"/>
      <c r="VGO483" s="308"/>
      <c r="VGP483" s="308"/>
      <c r="VGQ483" s="308"/>
      <c r="VGR483" s="308"/>
      <c r="VGS483" s="308"/>
      <c r="VGT483" s="308"/>
      <c r="VGU483" s="308"/>
      <c r="VGV483" s="308"/>
      <c r="VGW483" s="308"/>
      <c r="VGX483" s="308"/>
      <c r="VGY483" s="308"/>
      <c r="VGZ483" s="308"/>
      <c r="VHA483" s="308"/>
      <c r="VHB483" s="308"/>
      <c r="VHC483" s="308"/>
      <c r="VHD483" s="308"/>
      <c r="VHE483" s="308"/>
      <c r="VHF483" s="308"/>
      <c r="VHG483" s="308"/>
      <c r="VHH483" s="308"/>
      <c r="VHI483" s="308"/>
      <c r="VHJ483" s="308"/>
      <c r="VHK483" s="308"/>
      <c r="VHL483" s="308"/>
      <c r="VHM483" s="308"/>
      <c r="VHN483" s="308"/>
      <c r="VHO483" s="308"/>
      <c r="VHP483" s="308"/>
      <c r="VHQ483" s="308"/>
      <c r="VHR483" s="308"/>
      <c r="VHS483" s="308"/>
      <c r="VHT483" s="308"/>
      <c r="VHU483" s="308"/>
      <c r="VHV483" s="308"/>
      <c r="VHW483" s="308"/>
      <c r="VHX483" s="308"/>
      <c r="VHY483" s="308"/>
      <c r="VHZ483" s="308"/>
      <c r="VIA483" s="308"/>
      <c r="VIB483" s="308"/>
      <c r="VIC483" s="308"/>
      <c r="VID483" s="308"/>
      <c r="VIE483" s="308"/>
      <c r="VIF483" s="308"/>
      <c r="VIG483" s="308"/>
      <c r="VIH483" s="308"/>
      <c r="VII483" s="308"/>
      <c r="VIJ483" s="308"/>
      <c r="VIK483" s="308"/>
      <c r="VIL483" s="308"/>
      <c r="VIM483" s="308"/>
      <c r="VIN483" s="308"/>
      <c r="VIO483" s="308"/>
      <c r="VIP483" s="308"/>
      <c r="VIQ483" s="308"/>
      <c r="VIR483" s="308"/>
      <c r="VIS483" s="308"/>
      <c r="VIT483" s="308"/>
      <c r="VIU483" s="308"/>
      <c r="VIV483" s="308"/>
      <c r="VIW483" s="308"/>
      <c r="VIX483" s="308"/>
      <c r="VIY483" s="308"/>
      <c r="VIZ483" s="308"/>
      <c r="VJA483" s="308"/>
      <c r="VJB483" s="308"/>
      <c r="VJC483" s="308"/>
      <c r="VJD483" s="308"/>
      <c r="VJE483" s="308"/>
      <c r="VJF483" s="308"/>
      <c r="VJG483" s="308"/>
      <c r="VJH483" s="308"/>
      <c r="VJI483" s="308"/>
      <c r="VJJ483" s="308"/>
      <c r="VJK483" s="308"/>
      <c r="VJL483" s="308"/>
      <c r="VJM483" s="308"/>
      <c r="VJN483" s="308"/>
      <c r="VJO483" s="308"/>
      <c r="VJP483" s="308"/>
      <c r="VJQ483" s="308"/>
      <c r="VJR483" s="308"/>
      <c r="VJS483" s="308"/>
      <c r="VJT483" s="308"/>
      <c r="VJU483" s="308"/>
      <c r="VJV483" s="308"/>
      <c r="VJW483" s="308"/>
      <c r="VJX483" s="308"/>
      <c r="VJY483" s="308"/>
      <c r="VJZ483" s="308"/>
      <c r="VKA483" s="308"/>
      <c r="VKB483" s="308"/>
      <c r="VKC483" s="308"/>
      <c r="VKD483" s="308"/>
      <c r="VKE483" s="308"/>
      <c r="VKF483" s="308"/>
      <c r="VKG483" s="308"/>
      <c r="VKH483" s="308"/>
      <c r="VKI483" s="308"/>
      <c r="VKJ483" s="308"/>
      <c r="VKK483" s="308"/>
      <c r="VKL483" s="308"/>
      <c r="VKM483" s="308"/>
      <c r="VKN483" s="308"/>
      <c r="VKO483" s="308"/>
      <c r="VKP483" s="308"/>
      <c r="VKQ483" s="308"/>
      <c r="VKR483" s="308"/>
      <c r="VKS483" s="308"/>
      <c r="VKT483" s="308"/>
      <c r="VKU483" s="308"/>
      <c r="VKV483" s="308"/>
      <c r="VKW483" s="308"/>
      <c r="VKX483" s="308"/>
      <c r="VKY483" s="308"/>
      <c r="VKZ483" s="308"/>
      <c r="VLA483" s="308"/>
      <c r="VLB483" s="308"/>
      <c r="VLC483" s="308"/>
      <c r="VLD483" s="308"/>
      <c r="VLE483" s="308"/>
      <c r="VLF483" s="308"/>
      <c r="VLG483" s="308"/>
      <c r="VLH483" s="308"/>
      <c r="VLI483" s="308"/>
      <c r="VLJ483" s="308"/>
      <c r="VLK483" s="308"/>
      <c r="VLL483" s="308"/>
      <c r="VLM483" s="308"/>
      <c r="VLN483" s="308"/>
      <c r="VLO483" s="308"/>
      <c r="VLP483" s="308"/>
      <c r="VLQ483" s="308"/>
      <c r="VLR483" s="308"/>
      <c r="VLS483" s="308"/>
      <c r="VLT483" s="308"/>
      <c r="VLU483" s="308"/>
      <c r="VLV483" s="308"/>
      <c r="VLW483" s="308"/>
      <c r="VLX483" s="308"/>
      <c r="VLY483" s="308"/>
      <c r="VLZ483" s="308"/>
      <c r="VMA483" s="308"/>
      <c r="VMB483" s="308"/>
      <c r="VMC483" s="308"/>
      <c r="VMD483" s="308"/>
      <c r="VME483" s="308"/>
      <c r="VMF483" s="308"/>
      <c r="VMG483" s="308"/>
      <c r="VMH483" s="308"/>
      <c r="VMI483" s="308"/>
      <c r="VMJ483" s="308"/>
      <c r="VMK483" s="308"/>
      <c r="VML483" s="308"/>
      <c r="VMM483" s="308"/>
      <c r="VMN483" s="308"/>
      <c r="VMO483" s="308"/>
      <c r="VMP483" s="308"/>
      <c r="VMQ483" s="308"/>
      <c r="VMR483" s="308"/>
      <c r="VMS483" s="308"/>
      <c r="VMT483" s="308"/>
      <c r="VMU483" s="308"/>
      <c r="VMV483" s="308"/>
      <c r="VMW483" s="308"/>
      <c r="VMX483" s="308"/>
      <c r="VMY483" s="308"/>
      <c r="VMZ483" s="308"/>
      <c r="VNA483" s="308"/>
      <c r="VNB483" s="308"/>
      <c r="VNC483" s="308"/>
      <c r="VND483" s="308"/>
      <c r="VNE483" s="308"/>
      <c r="VNF483" s="308"/>
      <c r="VNG483" s="308"/>
      <c r="VNH483" s="308"/>
      <c r="VNI483" s="308"/>
      <c r="VNJ483" s="308"/>
      <c r="VNK483" s="308"/>
      <c r="VNL483" s="308"/>
      <c r="VNM483" s="308"/>
      <c r="VNN483" s="308"/>
      <c r="VNO483" s="308"/>
      <c r="VNP483" s="308"/>
      <c r="VNQ483" s="308"/>
      <c r="VNR483" s="308"/>
      <c r="VNS483" s="308"/>
      <c r="VNT483" s="308"/>
      <c r="VNU483" s="308"/>
      <c r="VNV483" s="308"/>
      <c r="VNW483" s="308"/>
      <c r="VNX483" s="308"/>
      <c r="VNY483" s="308"/>
      <c r="VNZ483" s="308"/>
      <c r="VOA483" s="308"/>
      <c r="VOB483" s="308"/>
      <c r="VOC483" s="308"/>
      <c r="VOD483" s="308"/>
      <c r="VOE483" s="308"/>
      <c r="VOF483" s="308"/>
      <c r="VOG483" s="308"/>
      <c r="VOH483" s="308"/>
      <c r="VOI483" s="308"/>
      <c r="VOJ483" s="308"/>
      <c r="VOK483" s="308"/>
      <c r="VOL483" s="308"/>
      <c r="VOM483" s="308"/>
      <c r="VON483" s="308"/>
      <c r="VOO483" s="308"/>
      <c r="VOP483" s="308"/>
      <c r="VOQ483" s="308"/>
      <c r="VOR483" s="308"/>
      <c r="VOS483" s="308"/>
      <c r="VOT483" s="308"/>
      <c r="VOU483" s="308"/>
      <c r="VOV483" s="308"/>
      <c r="VOW483" s="308"/>
      <c r="VOX483" s="308"/>
      <c r="VOY483" s="308"/>
      <c r="VOZ483" s="308"/>
      <c r="VPA483" s="308"/>
      <c r="VPB483" s="308"/>
      <c r="VPC483" s="308"/>
      <c r="VPD483" s="308"/>
      <c r="VPE483" s="308"/>
      <c r="VPF483" s="308"/>
      <c r="VPG483" s="308"/>
      <c r="VPH483" s="308"/>
      <c r="VPI483" s="308"/>
      <c r="VPJ483" s="308"/>
      <c r="VPK483" s="308"/>
      <c r="VPL483" s="308"/>
      <c r="VPM483" s="308"/>
      <c r="VPN483" s="308"/>
      <c r="VPO483" s="308"/>
      <c r="VPP483" s="308"/>
      <c r="VPQ483" s="308"/>
      <c r="VPR483" s="308"/>
      <c r="VPS483" s="308"/>
      <c r="VPT483" s="308"/>
      <c r="VPU483" s="308"/>
      <c r="VPV483" s="308"/>
      <c r="VPW483" s="308"/>
      <c r="VPX483" s="308"/>
      <c r="VPY483" s="308"/>
      <c r="VPZ483" s="308"/>
      <c r="VQA483" s="308"/>
      <c r="VQB483" s="308"/>
      <c r="VQC483" s="308"/>
      <c r="VQD483" s="308"/>
      <c r="VQE483" s="308"/>
      <c r="VQF483" s="308"/>
      <c r="VQG483" s="308"/>
      <c r="VQH483" s="308"/>
      <c r="VQI483" s="308"/>
      <c r="VQJ483" s="308"/>
      <c r="VQK483" s="308"/>
      <c r="VQL483" s="308"/>
      <c r="VQM483" s="308"/>
      <c r="VQN483" s="308"/>
      <c r="VQO483" s="308"/>
      <c r="VQP483" s="308"/>
      <c r="VQQ483" s="308"/>
      <c r="VQR483" s="308"/>
      <c r="VQS483" s="308"/>
      <c r="VQT483" s="308"/>
      <c r="VQU483" s="308"/>
      <c r="VQV483" s="308"/>
      <c r="VQW483" s="308"/>
      <c r="VQX483" s="308"/>
      <c r="VQY483" s="308"/>
      <c r="VQZ483" s="308"/>
      <c r="VRA483" s="308"/>
      <c r="VRB483" s="308"/>
      <c r="VRC483" s="308"/>
      <c r="VRD483" s="308"/>
      <c r="VRE483" s="308"/>
      <c r="VRF483" s="308"/>
      <c r="VRG483" s="308"/>
      <c r="VRH483" s="308"/>
      <c r="VRI483" s="308"/>
      <c r="VRJ483" s="308"/>
      <c r="VRK483" s="308"/>
      <c r="VRL483" s="308"/>
      <c r="VRM483" s="308"/>
      <c r="VRN483" s="308"/>
      <c r="VRO483" s="308"/>
      <c r="VRP483" s="308"/>
      <c r="VRQ483" s="308"/>
      <c r="VRR483" s="308"/>
      <c r="VRS483" s="308"/>
      <c r="VRT483" s="308"/>
      <c r="VRU483" s="308"/>
      <c r="VRV483" s="308"/>
      <c r="VRW483" s="308"/>
      <c r="VRX483" s="308"/>
      <c r="VRY483" s="308"/>
      <c r="VRZ483" s="308"/>
      <c r="VSA483" s="308"/>
      <c r="VSB483" s="308"/>
      <c r="VSC483" s="308"/>
      <c r="VSD483" s="308"/>
      <c r="VSE483" s="308"/>
      <c r="VSF483" s="308"/>
      <c r="VSG483" s="308"/>
      <c r="VSH483" s="308"/>
      <c r="VSI483" s="308"/>
      <c r="VSJ483" s="308"/>
      <c r="VSK483" s="308"/>
      <c r="VSL483" s="308"/>
      <c r="VSM483" s="308"/>
      <c r="VSN483" s="308"/>
      <c r="VSO483" s="308"/>
      <c r="VSP483" s="308"/>
      <c r="VSQ483" s="308"/>
      <c r="VSR483" s="308"/>
      <c r="VSS483" s="308"/>
      <c r="VST483" s="308"/>
      <c r="VSU483" s="308"/>
      <c r="VSV483" s="308"/>
      <c r="VSW483" s="308"/>
      <c r="VSX483" s="308"/>
      <c r="VSY483" s="308"/>
      <c r="VSZ483" s="308"/>
      <c r="VTA483" s="308"/>
      <c r="VTB483" s="308"/>
      <c r="VTC483" s="308"/>
      <c r="VTD483" s="308"/>
      <c r="VTE483" s="308"/>
      <c r="VTF483" s="308"/>
      <c r="VTG483" s="308"/>
      <c r="VTH483" s="308"/>
      <c r="VTI483" s="308"/>
      <c r="VTJ483" s="308"/>
      <c r="VTK483" s="308"/>
      <c r="VTL483" s="308"/>
      <c r="VTM483" s="308"/>
      <c r="VTN483" s="308"/>
      <c r="VTO483" s="308"/>
      <c r="VTP483" s="308"/>
      <c r="VTQ483" s="308"/>
      <c r="VTR483" s="308"/>
      <c r="VTS483" s="308"/>
      <c r="VTT483" s="308"/>
      <c r="VTU483" s="308"/>
      <c r="VTV483" s="308"/>
      <c r="VTW483" s="308"/>
      <c r="VTX483" s="308"/>
      <c r="VTY483" s="308"/>
      <c r="VTZ483" s="308"/>
      <c r="VUA483" s="308"/>
      <c r="VUB483" s="308"/>
      <c r="VUC483" s="308"/>
      <c r="VUD483" s="308"/>
      <c r="VUE483" s="308"/>
      <c r="VUF483" s="308"/>
      <c r="VUG483" s="308"/>
      <c r="VUH483" s="308"/>
      <c r="VUI483" s="308"/>
      <c r="VUJ483" s="308"/>
      <c r="VUK483" s="308"/>
      <c r="VUL483" s="308"/>
      <c r="VUM483" s="308"/>
      <c r="VUN483" s="308"/>
      <c r="VUO483" s="308"/>
      <c r="VUP483" s="308"/>
      <c r="VUQ483" s="308"/>
      <c r="VUR483" s="308"/>
      <c r="VUS483" s="308"/>
      <c r="VUT483" s="308"/>
      <c r="VUU483" s="308"/>
      <c r="VUV483" s="308"/>
      <c r="VUW483" s="308"/>
      <c r="VUX483" s="308"/>
      <c r="VUY483" s="308"/>
      <c r="VUZ483" s="308"/>
      <c r="VVA483" s="308"/>
      <c r="VVB483" s="308"/>
      <c r="VVC483" s="308"/>
      <c r="VVD483" s="308"/>
      <c r="VVE483" s="308"/>
      <c r="VVF483" s="308"/>
      <c r="VVG483" s="308"/>
      <c r="VVH483" s="308"/>
      <c r="VVI483" s="308"/>
      <c r="VVJ483" s="308"/>
      <c r="VVK483" s="308"/>
      <c r="VVL483" s="308"/>
      <c r="VVM483" s="308"/>
      <c r="VVN483" s="308"/>
      <c r="VVO483" s="308"/>
      <c r="VVP483" s="308"/>
      <c r="VVQ483" s="308"/>
      <c r="VVR483" s="308"/>
      <c r="VVS483" s="308"/>
      <c r="VVT483" s="308"/>
      <c r="VVU483" s="308"/>
      <c r="VVV483" s="308"/>
      <c r="VVW483" s="308"/>
      <c r="VVX483" s="308"/>
      <c r="VVY483" s="308"/>
      <c r="VVZ483" s="308"/>
      <c r="VWA483" s="308"/>
      <c r="VWB483" s="308"/>
      <c r="VWC483" s="308"/>
      <c r="VWD483" s="308"/>
      <c r="VWE483" s="308"/>
      <c r="VWF483" s="308"/>
      <c r="VWG483" s="308"/>
      <c r="VWH483" s="308"/>
      <c r="VWI483" s="308"/>
      <c r="VWJ483" s="308"/>
      <c r="VWK483" s="308"/>
      <c r="VWL483" s="308"/>
      <c r="VWM483" s="308"/>
      <c r="VWN483" s="308"/>
      <c r="VWO483" s="308"/>
      <c r="VWP483" s="308"/>
      <c r="VWQ483" s="308"/>
      <c r="VWR483" s="308"/>
      <c r="VWS483" s="308"/>
      <c r="VWT483" s="308"/>
      <c r="VWU483" s="308"/>
      <c r="VWV483" s="308"/>
      <c r="VWW483" s="308"/>
      <c r="VWX483" s="308"/>
      <c r="VWY483" s="308"/>
      <c r="VWZ483" s="308"/>
      <c r="VXA483" s="308"/>
      <c r="VXB483" s="308"/>
      <c r="VXC483" s="308"/>
      <c r="VXD483" s="308"/>
      <c r="VXE483" s="308"/>
      <c r="VXF483" s="308"/>
      <c r="VXG483" s="308"/>
      <c r="VXH483" s="308"/>
      <c r="VXI483" s="308"/>
      <c r="VXJ483" s="308"/>
      <c r="VXK483" s="308"/>
      <c r="VXL483" s="308"/>
      <c r="VXM483" s="308"/>
      <c r="VXN483" s="308"/>
      <c r="VXO483" s="308"/>
      <c r="VXP483" s="308"/>
      <c r="VXQ483" s="308"/>
      <c r="VXR483" s="308"/>
      <c r="VXS483" s="308"/>
      <c r="VXT483" s="308"/>
      <c r="VXU483" s="308"/>
      <c r="VXV483" s="308"/>
      <c r="VXW483" s="308"/>
      <c r="VXX483" s="308"/>
      <c r="VXY483" s="308"/>
      <c r="VXZ483" s="308"/>
      <c r="VYA483" s="308"/>
      <c r="VYB483" s="308"/>
      <c r="VYC483" s="308"/>
      <c r="VYD483" s="308"/>
      <c r="VYE483" s="308"/>
      <c r="VYF483" s="308"/>
      <c r="VYG483" s="308"/>
      <c r="VYH483" s="308"/>
      <c r="VYI483" s="308"/>
      <c r="VYJ483" s="308"/>
      <c r="VYK483" s="308"/>
      <c r="VYL483" s="308"/>
      <c r="VYM483" s="308"/>
      <c r="VYN483" s="308"/>
      <c r="VYO483" s="308"/>
      <c r="VYP483" s="308"/>
      <c r="VYQ483" s="308"/>
      <c r="VYR483" s="308"/>
      <c r="VYS483" s="308"/>
      <c r="VYT483" s="308"/>
      <c r="VYU483" s="308"/>
      <c r="VYV483" s="308"/>
      <c r="VYW483" s="308"/>
      <c r="VYX483" s="308"/>
      <c r="VYY483" s="308"/>
      <c r="VYZ483" s="308"/>
      <c r="VZA483" s="308"/>
      <c r="VZB483" s="308"/>
      <c r="VZC483" s="308"/>
      <c r="VZD483" s="308"/>
      <c r="VZE483" s="308"/>
      <c r="VZF483" s="308"/>
      <c r="VZG483" s="308"/>
      <c r="VZH483" s="308"/>
      <c r="VZI483" s="308"/>
      <c r="VZJ483" s="308"/>
      <c r="VZK483" s="308"/>
      <c r="VZL483" s="308"/>
      <c r="VZM483" s="308"/>
      <c r="VZN483" s="308"/>
      <c r="VZO483" s="308"/>
      <c r="VZP483" s="308"/>
      <c r="VZQ483" s="308"/>
      <c r="VZR483" s="308"/>
      <c r="VZS483" s="308"/>
      <c r="VZT483" s="308"/>
      <c r="VZU483" s="308"/>
      <c r="VZV483" s="308"/>
      <c r="VZW483" s="308"/>
      <c r="VZX483" s="308"/>
      <c r="VZY483" s="308"/>
      <c r="VZZ483" s="308"/>
      <c r="WAA483" s="308"/>
      <c r="WAB483" s="308"/>
      <c r="WAC483" s="308"/>
      <c r="WAD483" s="308"/>
      <c r="WAE483" s="308"/>
      <c r="WAF483" s="308"/>
      <c r="WAG483" s="308"/>
      <c r="WAH483" s="308"/>
      <c r="WAI483" s="308"/>
      <c r="WAJ483" s="308"/>
      <c r="WAK483" s="308"/>
      <c r="WAL483" s="308"/>
      <c r="WAM483" s="308"/>
      <c r="WAN483" s="308"/>
      <c r="WAO483" s="308"/>
      <c r="WAP483" s="308"/>
      <c r="WAQ483" s="308"/>
      <c r="WAR483" s="308"/>
      <c r="WAS483" s="308"/>
      <c r="WAT483" s="308"/>
      <c r="WAU483" s="308"/>
      <c r="WAV483" s="308"/>
      <c r="WAW483" s="308"/>
      <c r="WAX483" s="308"/>
      <c r="WAY483" s="308"/>
      <c r="WAZ483" s="308"/>
      <c r="WBA483" s="308"/>
      <c r="WBB483" s="308"/>
      <c r="WBC483" s="308"/>
      <c r="WBD483" s="308"/>
      <c r="WBE483" s="308"/>
      <c r="WBF483" s="308"/>
      <c r="WBG483" s="308"/>
      <c r="WBH483" s="308"/>
      <c r="WBI483" s="308"/>
      <c r="WBJ483" s="308"/>
      <c r="WBK483" s="308"/>
      <c r="WBL483" s="308"/>
      <c r="WBM483" s="308"/>
      <c r="WBN483" s="308"/>
      <c r="WBO483" s="308"/>
      <c r="WBP483" s="308"/>
      <c r="WBQ483" s="308"/>
      <c r="WBR483" s="308"/>
      <c r="WBS483" s="308"/>
      <c r="WBT483" s="308"/>
      <c r="WBU483" s="308"/>
      <c r="WBV483" s="308"/>
      <c r="WBW483" s="308"/>
      <c r="WBX483" s="308"/>
      <c r="WBY483" s="308"/>
      <c r="WBZ483" s="308"/>
      <c r="WCA483" s="308"/>
      <c r="WCB483" s="308"/>
      <c r="WCC483" s="308"/>
      <c r="WCD483" s="308"/>
      <c r="WCE483" s="308"/>
      <c r="WCF483" s="308"/>
      <c r="WCG483" s="308"/>
      <c r="WCH483" s="308"/>
      <c r="WCI483" s="308"/>
      <c r="WCJ483" s="308"/>
      <c r="WCK483" s="308"/>
      <c r="WCL483" s="308"/>
      <c r="WCM483" s="308"/>
      <c r="WCN483" s="308"/>
      <c r="WCO483" s="308"/>
      <c r="WCP483" s="308"/>
      <c r="WCQ483" s="308"/>
      <c r="WCR483" s="308"/>
      <c r="WCS483" s="308"/>
      <c r="WCT483" s="308"/>
      <c r="WCU483" s="308"/>
      <c r="WCV483" s="308"/>
      <c r="WCW483" s="308"/>
      <c r="WCX483" s="308"/>
      <c r="WCY483" s="308"/>
      <c r="WCZ483" s="308"/>
      <c r="WDA483" s="308"/>
      <c r="WDB483" s="308"/>
      <c r="WDC483" s="308"/>
      <c r="WDD483" s="308"/>
      <c r="WDE483" s="308"/>
      <c r="WDF483" s="308"/>
      <c r="WDG483" s="308"/>
      <c r="WDH483" s="308"/>
      <c r="WDI483" s="308"/>
      <c r="WDJ483" s="308"/>
      <c r="WDK483" s="308"/>
      <c r="WDL483" s="308"/>
      <c r="WDM483" s="308"/>
      <c r="WDN483" s="308"/>
      <c r="WDO483" s="308"/>
      <c r="WDP483" s="308"/>
      <c r="WDQ483" s="308"/>
      <c r="WDR483" s="308"/>
      <c r="WDS483" s="308"/>
      <c r="WDT483" s="308"/>
      <c r="WDU483" s="308"/>
      <c r="WDV483" s="308"/>
      <c r="WDW483" s="308"/>
      <c r="WDX483" s="308"/>
      <c r="WDY483" s="308"/>
      <c r="WDZ483" s="308"/>
      <c r="WEA483" s="308"/>
      <c r="WEB483" s="308"/>
      <c r="WEC483" s="308"/>
      <c r="WED483" s="308"/>
      <c r="WEE483" s="308"/>
      <c r="WEF483" s="308"/>
      <c r="WEG483" s="308"/>
      <c r="WEH483" s="308"/>
      <c r="WEI483" s="308"/>
      <c r="WEJ483" s="308"/>
      <c r="WEK483" s="308"/>
      <c r="WEL483" s="308"/>
      <c r="WEM483" s="308"/>
      <c r="WEN483" s="308"/>
      <c r="WEO483" s="308"/>
      <c r="WEP483" s="308"/>
      <c r="WEQ483" s="308"/>
      <c r="WER483" s="308"/>
      <c r="WES483" s="308"/>
      <c r="WET483" s="308"/>
      <c r="WEU483" s="308"/>
      <c r="WEV483" s="308"/>
      <c r="WEW483" s="308"/>
      <c r="WEX483" s="308"/>
      <c r="WEY483" s="308"/>
      <c r="WEZ483" s="308"/>
      <c r="WFA483" s="308"/>
      <c r="WFB483" s="308"/>
      <c r="WFC483" s="308"/>
      <c r="WFD483" s="308"/>
      <c r="WFE483" s="308"/>
      <c r="WFF483" s="308"/>
      <c r="WFG483" s="308"/>
      <c r="WFH483" s="308"/>
      <c r="WFI483" s="308"/>
      <c r="WFJ483" s="308"/>
      <c r="WFK483" s="308"/>
      <c r="WFL483" s="308"/>
      <c r="WFM483" s="308"/>
      <c r="WFN483" s="308"/>
      <c r="WFO483" s="308"/>
      <c r="WFP483" s="308"/>
      <c r="WFQ483" s="308"/>
      <c r="WFR483" s="308"/>
      <c r="WFS483" s="308"/>
      <c r="WFT483" s="308"/>
      <c r="WFU483" s="308"/>
      <c r="WFV483" s="308"/>
      <c r="WFW483" s="308"/>
      <c r="WFX483" s="308"/>
      <c r="WFY483" s="308"/>
      <c r="WFZ483" s="308"/>
      <c r="WGA483" s="308"/>
      <c r="WGB483" s="308"/>
      <c r="WGC483" s="308"/>
      <c r="WGD483" s="308"/>
      <c r="WGE483" s="308"/>
      <c r="WGF483" s="308"/>
      <c r="WGG483" s="308"/>
      <c r="WGH483" s="308"/>
      <c r="WGI483" s="308"/>
      <c r="WGJ483" s="308"/>
      <c r="WGK483" s="308"/>
      <c r="WGL483" s="308"/>
      <c r="WGM483" s="308"/>
      <c r="WGN483" s="308"/>
      <c r="WGO483" s="308"/>
      <c r="WGP483" s="308"/>
      <c r="WGQ483" s="308"/>
      <c r="WGR483" s="308"/>
      <c r="WGS483" s="308"/>
      <c r="WGT483" s="308"/>
      <c r="WGU483" s="308"/>
      <c r="WGV483" s="308"/>
      <c r="WGW483" s="308"/>
      <c r="WGX483" s="308"/>
      <c r="WGY483" s="308"/>
      <c r="WGZ483" s="308"/>
      <c r="WHA483" s="308"/>
      <c r="WHB483" s="308"/>
      <c r="WHC483" s="308"/>
      <c r="WHD483" s="308"/>
      <c r="WHE483" s="308"/>
      <c r="WHF483" s="308"/>
      <c r="WHG483" s="308"/>
      <c r="WHH483" s="308"/>
      <c r="WHI483" s="308"/>
      <c r="WHJ483" s="308"/>
      <c r="WHK483" s="308"/>
      <c r="WHL483" s="308"/>
      <c r="WHM483" s="308"/>
      <c r="WHN483" s="308"/>
      <c r="WHO483" s="308"/>
      <c r="WHP483" s="308"/>
      <c r="WHQ483" s="308"/>
      <c r="WHR483" s="308"/>
      <c r="WHS483" s="308"/>
      <c r="WHT483" s="308"/>
      <c r="WHU483" s="308"/>
      <c r="WHV483" s="308"/>
      <c r="WHW483" s="308"/>
      <c r="WHX483" s="308"/>
      <c r="WHY483" s="308"/>
      <c r="WHZ483" s="308"/>
      <c r="WIA483" s="308"/>
      <c r="WIB483" s="308"/>
      <c r="WIC483" s="308"/>
      <c r="WID483" s="308"/>
      <c r="WIE483" s="308"/>
      <c r="WIF483" s="308"/>
      <c r="WIG483" s="308"/>
      <c r="WIH483" s="308"/>
      <c r="WII483" s="308"/>
      <c r="WIJ483" s="308"/>
      <c r="WIK483" s="308"/>
      <c r="WIL483" s="308"/>
      <c r="WIM483" s="308"/>
      <c r="WIN483" s="308"/>
      <c r="WIO483" s="308"/>
      <c r="WIP483" s="308"/>
      <c r="WIQ483" s="308"/>
      <c r="WIR483" s="308"/>
      <c r="WIS483" s="308"/>
      <c r="WIT483" s="308"/>
      <c r="WIU483" s="308"/>
      <c r="WIV483" s="308"/>
      <c r="WIW483" s="308"/>
      <c r="WIX483" s="308"/>
      <c r="WIY483" s="308"/>
      <c r="WIZ483" s="308"/>
      <c r="WJA483" s="308"/>
      <c r="WJB483" s="308"/>
      <c r="WJC483" s="308"/>
      <c r="WJD483" s="308"/>
      <c r="WJE483" s="308"/>
      <c r="WJF483" s="308"/>
      <c r="WJG483" s="308"/>
      <c r="WJH483" s="308"/>
      <c r="WJI483" s="308"/>
      <c r="WJJ483" s="308"/>
      <c r="WJK483" s="308"/>
      <c r="WJL483" s="308"/>
      <c r="WJM483" s="308"/>
      <c r="WJN483" s="308"/>
      <c r="WJO483" s="308"/>
      <c r="WJP483" s="308"/>
      <c r="WJQ483" s="308"/>
      <c r="WJR483" s="308"/>
      <c r="WJS483" s="308"/>
      <c r="WJT483" s="308"/>
      <c r="WJU483" s="308"/>
      <c r="WJV483" s="308"/>
      <c r="WJW483" s="308"/>
      <c r="WJX483" s="308"/>
      <c r="WJY483" s="308"/>
      <c r="WJZ483" s="308"/>
      <c r="WKA483" s="308"/>
      <c r="WKB483" s="308"/>
      <c r="WKC483" s="308"/>
      <c r="WKD483" s="308"/>
      <c r="WKE483" s="308"/>
      <c r="WKF483" s="308"/>
      <c r="WKG483" s="308"/>
      <c r="WKH483" s="308"/>
      <c r="WKI483" s="308"/>
      <c r="WKJ483" s="308"/>
      <c r="WKK483" s="308"/>
      <c r="WKL483" s="308"/>
      <c r="WKM483" s="308"/>
      <c r="WKN483" s="308"/>
      <c r="WKO483" s="308"/>
      <c r="WKP483" s="308"/>
      <c r="WKQ483" s="308"/>
      <c r="WKR483" s="308"/>
      <c r="WKS483" s="308"/>
      <c r="WKT483" s="308"/>
      <c r="WKU483" s="308"/>
      <c r="WKV483" s="308"/>
      <c r="WKW483" s="308"/>
      <c r="WKX483" s="308"/>
      <c r="WKY483" s="308"/>
      <c r="WKZ483" s="308"/>
      <c r="WLA483" s="308"/>
      <c r="WLB483" s="308"/>
      <c r="WLC483" s="308"/>
      <c r="WLD483" s="308"/>
      <c r="WLE483" s="308"/>
      <c r="WLF483" s="308"/>
      <c r="WLG483" s="308"/>
      <c r="WLH483" s="308"/>
      <c r="WLI483" s="308"/>
      <c r="WLJ483" s="308"/>
      <c r="WLK483" s="308"/>
      <c r="WLL483" s="308"/>
      <c r="WLM483" s="308"/>
      <c r="WLN483" s="308"/>
      <c r="WLO483" s="308"/>
      <c r="WLP483" s="308"/>
      <c r="WLQ483" s="308"/>
      <c r="WLR483" s="308"/>
      <c r="WLS483" s="308"/>
      <c r="WLT483" s="308"/>
      <c r="WLU483" s="308"/>
      <c r="WLV483" s="308"/>
      <c r="WLW483" s="308"/>
      <c r="WLX483" s="308"/>
      <c r="WLY483" s="308"/>
      <c r="WLZ483" s="308"/>
      <c r="WMA483" s="308"/>
      <c r="WMB483" s="308"/>
      <c r="WMC483" s="308"/>
      <c r="WMD483" s="308"/>
      <c r="WME483" s="308"/>
      <c r="WMF483" s="308"/>
      <c r="WMG483" s="308"/>
      <c r="WMH483" s="308"/>
      <c r="WMI483" s="308"/>
      <c r="WMJ483" s="308"/>
      <c r="WMK483" s="308"/>
      <c r="WML483" s="308"/>
      <c r="WMM483" s="308"/>
      <c r="WMN483" s="308"/>
      <c r="WMO483" s="308"/>
      <c r="WMP483" s="308"/>
      <c r="WMQ483" s="308"/>
      <c r="WMR483" s="308"/>
      <c r="WMS483" s="308"/>
      <c r="WMT483" s="308"/>
      <c r="WMU483" s="308"/>
      <c r="WMV483" s="308"/>
      <c r="WMW483" s="308"/>
      <c r="WMX483" s="308"/>
      <c r="WMY483" s="308"/>
      <c r="WMZ483" s="308"/>
      <c r="WNA483" s="308"/>
      <c r="WNB483" s="308"/>
      <c r="WNC483" s="308"/>
      <c r="WND483" s="308"/>
      <c r="WNE483" s="308"/>
      <c r="WNF483" s="308"/>
      <c r="WNG483" s="308"/>
      <c r="WNH483" s="308"/>
      <c r="WNI483" s="308"/>
      <c r="WNJ483" s="308"/>
      <c r="WNK483" s="308"/>
      <c r="WNL483" s="308"/>
      <c r="WNM483" s="308"/>
      <c r="WNN483" s="308"/>
      <c r="WNO483" s="308"/>
      <c r="WNP483" s="308"/>
      <c r="WNQ483" s="308"/>
      <c r="WNR483" s="308"/>
      <c r="WNS483" s="308"/>
      <c r="WNT483" s="308"/>
      <c r="WNU483" s="308"/>
      <c r="WNV483" s="308"/>
      <c r="WNW483" s="308"/>
      <c r="WNX483" s="308"/>
      <c r="WNY483" s="308"/>
      <c r="WNZ483" s="308"/>
      <c r="WOA483" s="308"/>
      <c r="WOB483" s="308"/>
      <c r="WOC483" s="308"/>
      <c r="WOD483" s="308"/>
      <c r="WOE483" s="308"/>
      <c r="WOF483" s="308"/>
      <c r="WOG483" s="308"/>
      <c r="WOH483" s="308"/>
      <c r="WOI483" s="308"/>
      <c r="WOJ483" s="308"/>
      <c r="WOK483" s="308"/>
      <c r="WOL483" s="308"/>
      <c r="WOM483" s="308"/>
      <c r="WON483" s="308"/>
      <c r="WOO483" s="308"/>
      <c r="WOP483" s="308"/>
      <c r="WOQ483" s="308"/>
      <c r="WOR483" s="308"/>
      <c r="WOS483" s="308"/>
      <c r="WOT483" s="308"/>
      <c r="WOU483" s="308"/>
      <c r="WOV483" s="308"/>
      <c r="WOW483" s="308"/>
      <c r="WOX483" s="308"/>
      <c r="WOY483" s="308"/>
      <c r="WOZ483" s="308"/>
      <c r="WPA483" s="308"/>
      <c r="WPB483" s="308"/>
      <c r="WPC483" s="308"/>
      <c r="WPD483" s="308"/>
      <c r="WPE483" s="308"/>
      <c r="WPF483" s="308"/>
      <c r="WPG483" s="308"/>
      <c r="WPH483" s="308"/>
      <c r="WPI483" s="308"/>
      <c r="WPJ483" s="308"/>
      <c r="WPK483" s="308"/>
      <c r="WPL483" s="308"/>
      <c r="WPM483" s="308"/>
      <c r="WPN483" s="308"/>
      <c r="WPO483" s="308"/>
      <c r="WPP483" s="308"/>
      <c r="WPQ483" s="308"/>
      <c r="WPR483" s="308"/>
      <c r="WPS483" s="308"/>
      <c r="WPT483" s="308"/>
      <c r="WPU483" s="308"/>
      <c r="WPV483" s="308"/>
      <c r="WPW483" s="308"/>
      <c r="WPX483" s="308"/>
      <c r="WPY483" s="308"/>
      <c r="WPZ483" s="308"/>
      <c r="WQA483" s="308"/>
      <c r="WQB483" s="308"/>
      <c r="WQC483" s="308"/>
      <c r="WQD483" s="308"/>
      <c r="WQE483" s="308"/>
      <c r="WQF483" s="308"/>
      <c r="WQG483" s="308"/>
      <c r="WQH483" s="308"/>
      <c r="WQI483" s="308"/>
      <c r="WQJ483" s="308"/>
      <c r="WQK483" s="308"/>
      <c r="WQL483" s="308"/>
      <c r="WQM483" s="308"/>
      <c r="WQN483" s="308"/>
      <c r="WQO483" s="308"/>
      <c r="WQP483" s="308"/>
      <c r="WQQ483" s="308"/>
      <c r="WQR483" s="308"/>
      <c r="WQS483" s="308"/>
      <c r="WQT483" s="308"/>
      <c r="WQU483" s="308"/>
      <c r="WQV483" s="308"/>
      <c r="WQW483" s="308"/>
      <c r="WQX483" s="308"/>
      <c r="WQY483" s="308"/>
      <c r="WQZ483" s="308"/>
      <c r="WRA483" s="308"/>
      <c r="WRB483" s="308"/>
      <c r="WRC483" s="308"/>
      <c r="WRD483" s="308"/>
      <c r="WRE483" s="308"/>
      <c r="WRF483" s="308"/>
      <c r="WRG483" s="308"/>
      <c r="WRH483" s="308"/>
      <c r="WRI483" s="308"/>
      <c r="WRJ483" s="308"/>
      <c r="WRK483" s="308"/>
      <c r="WRL483" s="308"/>
      <c r="WRM483" s="308"/>
      <c r="WRN483" s="308"/>
      <c r="WRO483" s="308"/>
      <c r="WRP483" s="308"/>
      <c r="WRQ483" s="308"/>
      <c r="WRR483" s="308"/>
      <c r="WRS483" s="308"/>
      <c r="WRT483" s="308"/>
      <c r="WRU483" s="308"/>
      <c r="WRV483" s="308"/>
      <c r="WRW483" s="308"/>
      <c r="WRX483" s="308"/>
      <c r="WRY483" s="308"/>
      <c r="WRZ483" s="308"/>
      <c r="WSA483" s="308"/>
      <c r="WSB483" s="308"/>
      <c r="WSC483" s="308"/>
      <c r="WSD483" s="308"/>
      <c r="WSE483" s="308"/>
      <c r="WSF483" s="308"/>
      <c r="WSG483" s="308"/>
      <c r="WSH483" s="308"/>
      <c r="WSI483" s="308"/>
      <c r="WSJ483" s="308"/>
      <c r="WSK483" s="308"/>
      <c r="WSL483" s="308"/>
      <c r="WSM483" s="308"/>
      <c r="WSN483" s="308"/>
      <c r="WSO483" s="308"/>
      <c r="WSP483" s="308"/>
      <c r="WSQ483" s="308"/>
      <c r="WSR483" s="308"/>
      <c r="WSS483" s="308"/>
      <c r="WST483" s="308"/>
      <c r="WSU483" s="308"/>
      <c r="WSV483" s="308"/>
      <c r="WSW483" s="308"/>
      <c r="WSX483" s="308"/>
      <c r="WSY483" s="308"/>
      <c r="WSZ483" s="308"/>
      <c r="WTA483" s="308"/>
      <c r="WTB483" s="308"/>
      <c r="WTC483" s="308"/>
      <c r="WTD483" s="308"/>
      <c r="WTE483" s="308"/>
      <c r="WTF483" s="308"/>
      <c r="WTG483" s="308"/>
      <c r="WTH483" s="308"/>
      <c r="WTI483" s="308"/>
      <c r="WTJ483" s="308"/>
      <c r="WTK483" s="308"/>
      <c r="WTL483" s="308"/>
      <c r="WTM483" s="308"/>
      <c r="WTN483" s="308"/>
      <c r="WTO483" s="308"/>
      <c r="WTP483" s="308"/>
      <c r="WTQ483" s="308"/>
      <c r="WTR483" s="308"/>
      <c r="WTS483" s="308"/>
      <c r="WTT483" s="308"/>
      <c r="WTU483" s="308"/>
      <c r="WTV483" s="308"/>
      <c r="WTW483" s="308"/>
      <c r="WTX483" s="308"/>
      <c r="WTY483" s="308"/>
      <c r="WTZ483" s="308"/>
      <c r="WUA483" s="308"/>
      <c r="WUB483" s="308"/>
      <c r="WUC483" s="308"/>
      <c r="WUD483" s="308"/>
      <c r="WUE483" s="308"/>
      <c r="WUF483" s="308"/>
      <c r="WUG483" s="308"/>
      <c r="WUH483" s="308"/>
      <c r="WUI483" s="308"/>
      <c r="WUJ483" s="308"/>
      <c r="WUK483" s="308"/>
      <c r="WUL483" s="308"/>
      <c r="WUM483" s="308"/>
      <c r="WUN483" s="308"/>
      <c r="WUO483" s="308"/>
      <c r="WUP483" s="308"/>
      <c r="WUQ483" s="308"/>
      <c r="WUR483" s="308"/>
      <c r="WUS483" s="308"/>
      <c r="WUT483" s="308"/>
      <c r="WUU483" s="308"/>
      <c r="WUV483" s="308"/>
      <c r="WUW483" s="308"/>
      <c r="WUX483" s="308"/>
      <c r="WUY483" s="308"/>
      <c r="WUZ483" s="308"/>
      <c r="WVA483" s="308"/>
      <c r="WVB483" s="308"/>
      <c r="WVC483" s="308"/>
      <c r="WVD483" s="308"/>
      <c r="WVE483" s="308"/>
      <c r="WVF483" s="308"/>
      <c r="WVG483" s="308"/>
      <c r="WVH483" s="308"/>
      <c r="WVI483" s="308"/>
      <c r="WVJ483" s="308"/>
      <c r="WVK483" s="308"/>
      <c r="WVL483" s="308"/>
      <c r="WVM483" s="308"/>
      <c r="WVN483" s="308"/>
      <c r="WVO483" s="308"/>
      <c r="WVP483" s="308"/>
      <c r="WVQ483" s="308"/>
      <c r="WVR483" s="308"/>
      <c r="WVS483" s="308"/>
      <c r="WVT483" s="308"/>
      <c r="WVU483" s="308"/>
      <c r="WVV483" s="308"/>
      <c r="WVW483" s="308"/>
      <c r="WVX483" s="308"/>
      <c r="WVY483" s="308"/>
      <c r="WVZ483" s="308"/>
      <c r="WWA483" s="308"/>
      <c r="WWB483" s="308"/>
      <c r="WWC483" s="308"/>
      <c r="WWD483" s="308"/>
      <c r="WWE483" s="308"/>
      <c r="WWF483" s="308"/>
      <c r="WWG483" s="308"/>
      <c r="WWH483" s="308"/>
      <c r="WWI483" s="308"/>
      <c r="WWJ483" s="308"/>
      <c r="WWK483" s="308"/>
      <c r="WWL483" s="308"/>
      <c r="WWM483" s="308"/>
      <c r="WWN483" s="308"/>
      <c r="WWO483" s="308"/>
      <c r="WWP483" s="308"/>
      <c r="WWQ483" s="308"/>
      <c r="WWR483" s="308"/>
      <c r="WWS483" s="308"/>
      <c r="WWT483" s="308"/>
      <c r="WWU483" s="308"/>
      <c r="WWV483" s="308"/>
      <c r="WWW483" s="308"/>
      <c r="WWX483" s="308"/>
      <c r="WWY483" s="308"/>
      <c r="WWZ483" s="308"/>
      <c r="WXA483" s="308"/>
      <c r="WXB483" s="308"/>
      <c r="WXC483" s="308"/>
      <c r="WXD483" s="308"/>
      <c r="WXE483" s="308"/>
      <c r="WXF483" s="308"/>
      <c r="WXG483" s="308"/>
      <c r="WXH483" s="308"/>
      <c r="WXI483" s="308"/>
      <c r="WXJ483" s="308"/>
      <c r="WXK483" s="308"/>
      <c r="WXL483" s="308"/>
      <c r="WXM483" s="308"/>
      <c r="WXN483" s="308"/>
      <c r="WXO483" s="308"/>
      <c r="WXP483" s="308"/>
      <c r="WXQ483" s="308"/>
      <c r="WXR483" s="308"/>
      <c r="WXS483" s="308"/>
      <c r="WXT483" s="308"/>
      <c r="WXU483" s="308"/>
      <c r="WXV483" s="308"/>
      <c r="WXW483" s="308"/>
      <c r="WXX483" s="308"/>
      <c r="WXY483" s="308"/>
      <c r="WXZ483" s="308"/>
      <c r="WYA483" s="308"/>
      <c r="WYB483" s="308"/>
      <c r="WYC483" s="308"/>
      <c r="WYD483" s="308"/>
      <c r="WYE483" s="308"/>
      <c r="WYF483" s="308"/>
      <c r="WYG483" s="308"/>
      <c r="WYH483" s="308"/>
      <c r="WYI483" s="308"/>
      <c r="WYJ483" s="308"/>
      <c r="WYK483" s="308"/>
      <c r="WYL483" s="308"/>
      <c r="WYM483" s="308"/>
      <c r="WYN483" s="308"/>
      <c r="WYO483" s="308"/>
      <c r="WYP483" s="308"/>
      <c r="WYQ483" s="308"/>
      <c r="WYR483" s="308"/>
      <c r="WYS483" s="308"/>
      <c r="WYT483" s="308"/>
      <c r="WYU483" s="308"/>
      <c r="WYV483" s="308"/>
      <c r="WYW483" s="308"/>
      <c r="WYX483" s="308"/>
      <c r="WYY483" s="308"/>
      <c r="WYZ483" s="308"/>
      <c r="WZA483" s="308"/>
      <c r="WZB483" s="308"/>
      <c r="WZC483" s="308"/>
      <c r="WZD483" s="308"/>
      <c r="WZE483" s="308"/>
      <c r="WZF483" s="308"/>
      <c r="WZG483" s="308"/>
      <c r="WZH483" s="308"/>
      <c r="WZI483" s="308"/>
      <c r="WZJ483" s="308"/>
      <c r="WZK483" s="308"/>
      <c r="WZL483" s="308"/>
      <c r="WZM483" s="308"/>
      <c r="WZN483" s="308"/>
      <c r="WZO483" s="308"/>
      <c r="WZP483" s="308"/>
      <c r="WZQ483" s="308"/>
      <c r="WZR483" s="308"/>
      <c r="WZS483" s="308"/>
      <c r="WZT483" s="308"/>
      <c r="WZU483" s="308"/>
      <c r="WZV483" s="308"/>
      <c r="WZW483" s="308"/>
      <c r="WZX483" s="308"/>
      <c r="WZY483" s="308"/>
      <c r="WZZ483" s="308"/>
      <c r="XAA483" s="308"/>
      <c r="XAB483" s="308"/>
      <c r="XAC483" s="308"/>
      <c r="XAD483" s="308"/>
      <c r="XAE483" s="308"/>
      <c r="XAF483" s="308"/>
      <c r="XAG483" s="308"/>
      <c r="XAH483" s="308"/>
      <c r="XAI483" s="308"/>
      <c r="XAJ483" s="308"/>
      <c r="XAK483" s="308"/>
      <c r="XAL483" s="308"/>
      <c r="XAM483" s="308"/>
      <c r="XAN483" s="308"/>
      <c r="XAO483" s="308"/>
      <c r="XAP483" s="308"/>
      <c r="XAQ483" s="308"/>
      <c r="XAR483" s="308"/>
      <c r="XAS483" s="308"/>
      <c r="XAT483" s="308"/>
      <c r="XAU483" s="308"/>
      <c r="XAV483" s="308"/>
      <c r="XAW483" s="308"/>
      <c r="XAX483" s="308"/>
      <c r="XAY483" s="308"/>
      <c r="XAZ483" s="308"/>
      <c r="XBA483" s="308"/>
      <c r="XBB483" s="308"/>
      <c r="XBC483" s="308"/>
      <c r="XBD483" s="308"/>
      <c r="XBE483" s="308"/>
      <c r="XBF483" s="308"/>
      <c r="XBG483" s="308"/>
      <c r="XBH483" s="308"/>
      <c r="XBI483" s="308"/>
      <c r="XBJ483" s="308"/>
      <c r="XBK483" s="308"/>
      <c r="XBL483" s="308"/>
      <c r="XBM483" s="308"/>
      <c r="XBN483" s="308"/>
      <c r="XBO483" s="308"/>
      <c r="XBP483" s="308"/>
      <c r="XBQ483" s="308"/>
      <c r="XBR483" s="308"/>
      <c r="XBS483" s="308"/>
      <c r="XBT483" s="308"/>
      <c r="XBU483" s="308"/>
      <c r="XBV483" s="308"/>
      <c r="XBW483" s="308"/>
      <c r="XBX483" s="308"/>
      <c r="XBY483" s="308"/>
      <c r="XBZ483" s="308"/>
      <c r="XCA483" s="308"/>
      <c r="XCB483" s="308"/>
      <c r="XCC483" s="308"/>
      <c r="XCD483" s="308"/>
      <c r="XCE483" s="308"/>
      <c r="XCF483" s="308"/>
    </row>
  </sheetData>
  <sheetProtection sheet="1" formatCells="0" formatColumns="0" formatRows="0" insertColumns="0" insertRows="0" insertHyperlinks="0" selectLockedCells="1" sort="0" autoFilter="0" pivotTables="0"/>
  <mergeCells count="22"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  <mergeCell ref="B238:B244"/>
    <mergeCell ref="C238:H238"/>
    <mergeCell ref="B185:B191"/>
    <mergeCell ref="C185:H185"/>
    <mergeCell ref="B216:B222"/>
    <mergeCell ref="C216:H216"/>
    <mergeCell ref="B227:B233"/>
    <mergeCell ref="C227:H227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B14" sqref="B14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8" t="s">
        <v>176</v>
      </c>
      <c r="C5" s="229"/>
      <c r="D5" s="229"/>
      <c r="E5" s="229"/>
      <c r="F5" s="25"/>
      <c r="G5" s="228" t="s">
        <v>177</v>
      </c>
      <c r="H5" s="229"/>
      <c r="I5" s="229"/>
      <c r="J5" s="229"/>
      <c r="K5" s="229"/>
      <c r="L5" s="25"/>
      <c r="M5" s="228" t="s">
        <v>176</v>
      </c>
      <c r="N5" s="229"/>
      <c r="O5" s="229"/>
      <c r="P5" s="229"/>
    </row>
    <row r="6" spans="2:16384">
      <c r="B6" s="230" t="s">
        <v>178</v>
      </c>
      <c r="C6" s="25"/>
      <c r="D6" s="25"/>
      <c r="E6" s="25"/>
      <c r="F6" s="25"/>
      <c r="G6" s="231"/>
      <c r="H6" s="232">
        <f>DCF!E5</f>
        <v>2023</v>
      </c>
      <c r="I6" s="233">
        <f>DCF!F5</f>
        <v>2024</v>
      </c>
      <c r="J6" s="25"/>
      <c r="K6" s="25"/>
      <c r="L6" s="25"/>
      <c r="M6" s="230" t="s">
        <v>178</v>
      </c>
      <c r="N6" s="25"/>
      <c r="O6" s="25"/>
      <c r="P6" s="25"/>
    </row>
    <row r="7" spans="2:16384">
      <c r="B7" s="234"/>
      <c r="C7" s="235"/>
      <c r="D7" s="235"/>
      <c r="E7" s="235"/>
      <c r="F7" s="235"/>
      <c r="G7" s="235"/>
      <c r="H7" s="25"/>
      <c r="I7" s="25"/>
      <c r="J7" s="25"/>
      <c r="K7" s="25"/>
      <c r="L7" s="25"/>
      <c r="M7" s="234"/>
      <c r="N7" s="235"/>
      <c r="O7" s="235"/>
      <c r="P7" s="235"/>
    </row>
    <row r="8" spans="2:16384">
      <c r="B8" s="234" t="s">
        <v>179</v>
      </c>
      <c r="C8" s="25"/>
      <c r="D8" s="25"/>
      <c r="E8" s="236" t="e" vm="1">
        <f ca="1">'Information from Python'!F5</f>
        <v>#VALUE!</v>
      </c>
      <c r="F8" s="235"/>
      <c r="G8" s="235" t="s">
        <v>180</v>
      </c>
      <c r="H8" s="237">
        <f>DCF!E6</f>
        <v>96773</v>
      </c>
      <c r="I8" s="237">
        <f>DCF!F6</f>
        <v>106450.3</v>
      </c>
      <c r="J8" s="25"/>
      <c r="K8" s="25"/>
      <c r="L8" s="25"/>
      <c r="M8" s="25" t="s">
        <v>181</v>
      </c>
      <c r="N8" s="238">
        <f>High_Share_Price</f>
        <v>280</v>
      </c>
      <c r="O8" s="25" t="s">
        <v>182</v>
      </c>
      <c r="P8" s="25"/>
    </row>
    <row r="9" spans="2:16384">
      <c r="B9" s="234" t="s">
        <v>183</v>
      </c>
      <c r="C9" s="25"/>
      <c r="D9" s="25"/>
      <c r="E9" s="239">
        <f>Shares_Outstanding / 1000000</f>
        <v>15171.99</v>
      </c>
      <c r="F9" s="235"/>
      <c r="G9" s="235" t="s">
        <v>184</v>
      </c>
      <c r="H9" s="237">
        <f>DCF!E15</f>
        <v>14796</v>
      </c>
      <c r="I9" s="237">
        <f>DCF!F15</f>
        <v>21407.782397665589</v>
      </c>
      <c r="J9" s="25"/>
      <c r="K9" s="25"/>
      <c r="L9" s="25"/>
      <c r="M9" s="25" t="s">
        <v>185</v>
      </c>
      <c r="N9" s="238">
        <f>Low_Share_Price</f>
        <v>120</v>
      </c>
      <c r="O9" s="25" t="s">
        <v>186</v>
      </c>
      <c r="P9" s="25"/>
    </row>
    <row r="10" spans="2:16384">
      <c r="B10" s="234" t="s">
        <v>187</v>
      </c>
      <c r="C10" s="234"/>
      <c r="D10" s="234"/>
      <c r="E10" s="240" t="e" vm="1">
        <f ca="1">E8 * E9</f>
        <v>#VALUE!</v>
      </c>
      <c r="F10" s="235"/>
      <c r="G10" s="241" t="s">
        <v>188</v>
      </c>
      <c r="H10" s="242" t="e" vm="1">
        <f ca="1">$E$13/H8</f>
        <v>#VALUE!</v>
      </c>
      <c r="I10" s="242" t="e" vm="1">
        <f ca="1">$E$13/I8</f>
        <v>#VALUE!</v>
      </c>
      <c r="J10" s="25"/>
      <c r="K10" s="25"/>
      <c r="L10" s="25"/>
      <c r="M10" s="25"/>
      <c r="N10" s="25"/>
      <c r="O10" s="25"/>
      <c r="P10" s="25"/>
    </row>
    <row r="11" spans="2:16384">
      <c r="B11" s="234" t="s">
        <v>189</v>
      </c>
      <c r="C11" s="234"/>
      <c r="D11" s="234"/>
      <c r="E11" s="243">
        <f>'Balance Sheet Historic'!C62</f>
        <v>9573</v>
      </c>
      <c r="F11" s="235"/>
      <c r="G11" s="235" t="s">
        <v>190</v>
      </c>
      <c r="H11" s="242" t="e" vm="1">
        <f ca="1">$E$13/H9</f>
        <v>#VALUE!</v>
      </c>
      <c r="I11" s="242" t="e" vm="1">
        <f ca="1">$E$13/I9</f>
        <v>#VALUE!</v>
      </c>
      <c r="J11" s="25"/>
      <c r="K11" s="25"/>
      <c r="L11" s="25"/>
      <c r="M11" s="25"/>
      <c r="N11" s="25"/>
      <c r="O11" s="25"/>
      <c r="P11" s="25"/>
    </row>
    <row r="12" spans="2:16384">
      <c r="B12" s="234" t="s">
        <v>191</v>
      </c>
      <c r="C12" s="234"/>
      <c r="D12" s="234"/>
      <c r="E12" s="243">
        <f>'Balance Sheet Historic'!C53</f>
        <v>28352</v>
      </c>
      <c r="F12" s="235"/>
      <c r="G12" s="234"/>
      <c r="H12" s="235"/>
      <c r="I12" s="235"/>
      <c r="J12" s="25"/>
      <c r="K12" s="25"/>
      <c r="L12" s="25"/>
      <c r="M12" s="25"/>
      <c r="N12" s="25"/>
      <c r="O12" s="25"/>
      <c r="P12" s="25"/>
    </row>
    <row r="13" spans="2:16384">
      <c r="B13" s="244" t="s">
        <v>176</v>
      </c>
      <c r="C13" s="244"/>
      <c r="D13" s="244"/>
      <c r="E13" s="245" t="e" vm="1">
        <f ca="1">E10+E11-E12</f>
        <v>#VALUE!</v>
      </c>
      <c r="F13" s="235"/>
      <c r="G13" s="235"/>
      <c r="H13" s="235"/>
      <c r="I13" s="235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314" t="s">
        <v>252</v>
      </c>
      <c r="C23" s="315">
        <v>1137223.081161313</v>
      </c>
      <c r="D23" s="316">
        <v>1056174.081161313</v>
      </c>
      <c r="E23" s="309">
        <v>3.7245544455490549</v>
      </c>
      <c r="F23" s="319">
        <v>3.435896865785645</v>
      </c>
      <c r="G23" s="309">
        <v>12.00608694993632</v>
      </c>
      <c r="H23" s="310">
        <v>10.76059663747364</v>
      </c>
    </row>
    <row r="24" spans="2:16384">
      <c r="B24" s="314" t="s">
        <v>253</v>
      </c>
      <c r="C24" s="317">
        <v>42458.781280389398</v>
      </c>
      <c r="D24" s="318">
        <v>61779.781280389398</v>
      </c>
      <c r="E24" s="311">
        <v>0.62616964917634632</v>
      </c>
      <c r="F24" s="114">
        <v>0.6986687167700244</v>
      </c>
      <c r="G24" s="311">
        <v>8.4253296436129688</v>
      </c>
      <c r="H24" s="313">
        <v>7.1084778829121396</v>
      </c>
    </row>
    <row r="25" spans="2:16384">
      <c r="B25" s="314" t="s">
        <v>254</v>
      </c>
      <c r="C25" s="317">
        <v>3236031.52</v>
      </c>
      <c r="D25" s="318">
        <v>3258340.52</v>
      </c>
      <c r="E25" s="311">
        <v>15.120262935610979</v>
      </c>
      <c r="F25" s="114">
        <v>13.292729824332371</v>
      </c>
      <c r="G25" s="311">
        <v>30.572777512737819</v>
      </c>
      <c r="H25" s="313">
        <v>24.916575055440848</v>
      </c>
    </row>
    <row r="26" spans="2:16384">
      <c r="B26" s="314" t="s">
        <v>255</v>
      </c>
      <c r="C26" s="317">
        <v>389606.584734793</v>
      </c>
      <c r="D26" s="318">
        <v>399440.60673479299</v>
      </c>
      <c r="E26" s="311">
        <v>12.66717475213283</v>
      </c>
      <c r="F26" s="114">
        <v>11.844648722655821</v>
      </c>
      <c r="G26" s="311">
        <v>63.499434934957428</v>
      </c>
      <c r="H26" s="313">
        <v>55.002866458904343</v>
      </c>
    </row>
    <row r="27" spans="2:16384">
      <c r="B27" s="314"/>
      <c r="C27" s="317"/>
      <c r="D27" s="318"/>
      <c r="E27" s="311"/>
      <c r="F27" s="312"/>
      <c r="G27" s="311"/>
      <c r="H27" s="313"/>
    </row>
    <row r="28" spans="2:16384">
      <c r="B28" s="314"/>
      <c r="C28" s="317"/>
      <c r="D28" s="318"/>
      <c r="E28" s="311"/>
      <c r="F28" s="312"/>
      <c r="G28" s="311"/>
      <c r="H28" s="313"/>
    </row>
    <row r="29" spans="2:16384">
      <c r="B29" s="314"/>
      <c r="C29" s="317"/>
      <c r="D29" s="318"/>
      <c r="E29" s="311"/>
      <c r="F29" s="312"/>
      <c r="G29" s="311"/>
      <c r="H29" s="313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14"/>
      <c r="C30" s="317"/>
      <c r="D30" s="318"/>
      <c r="E30" s="311"/>
      <c r="F30" s="312"/>
      <c r="G30" s="311"/>
      <c r="H30" s="313"/>
      <c r="AZ30">
        <v>0.62616964917634632</v>
      </c>
      <c r="BA30">
        <v>8.0345404456173029</v>
      </c>
      <c r="BB30">
        <v>15.120262935610979</v>
      </c>
    </row>
    <row r="31" spans="2:16384">
      <c r="B31" s="314"/>
      <c r="C31" s="317"/>
      <c r="D31" s="318"/>
      <c r="E31" s="311"/>
      <c r="F31" s="312"/>
      <c r="G31" s="311"/>
      <c r="H31" s="313"/>
      <c r="AZ31">
        <v>0.6986687167700244</v>
      </c>
      <c r="BA31">
        <v>7.3179860323859653</v>
      </c>
      <c r="BB31">
        <v>13.292729824332371</v>
      </c>
    </row>
    <row r="32" spans="2:16384">
      <c r="B32" s="314"/>
      <c r="C32" s="317"/>
      <c r="D32" s="318"/>
      <c r="E32" s="311"/>
      <c r="F32" s="312"/>
      <c r="G32" s="311"/>
      <c r="H32" s="313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4"/>
      <c r="C35" s="25"/>
      <c r="D35" s="246" t="s">
        <v>213</v>
      </c>
      <c r="E35" s="247">
        <f>MAX(E23:E33)</f>
        <v>15.120262935610979</v>
      </c>
      <c r="F35" s="247">
        <f t="shared" ref="F35:H35" si="0">MAX(F23:F33)</f>
        <v>13.292729824332371</v>
      </c>
      <c r="G35" s="247">
        <f t="shared" si="0"/>
        <v>63.499434934957428</v>
      </c>
      <c r="H35" s="247">
        <f t="shared" si="0"/>
        <v>55.002866458904343</v>
      </c>
    </row>
    <row r="36" spans="2:54">
      <c r="B36" s="234"/>
      <c r="C36" s="25"/>
      <c r="D36" s="246" t="s">
        <v>214</v>
      </c>
      <c r="E36" s="247">
        <f>AVERAGE(E23:E33)</f>
        <v>8.0345404456173029</v>
      </c>
      <c r="F36" s="247">
        <f t="shared" ref="F36:H36" si="1">AVERAGE(F23:F33)</f>
        <v>7.3179860323859653</v>
      </c>
      <c r="G36" s="247">
        <f t="shared" si="1"/>
        <v>28.625907260311131</v>
      </c>
      <c r="H36" s="247">
        <f t="shared" si="1"/>
        <v>24.447129008682744</v>
      </c>
    </row>
    <row r="37" spans="2:54">
      <c r="B37" s="234"/>
      <c r="C37" s="25"/>
      <c r="D37" s="246" t="s">
        <v>215</v>
      </c>
      <c r="E37" s="247">
        <f>MEDIAN(E23:E33)</f>
        <v>8.1958645988409415</v>
      </c>
      <c r="F37" s="247">
        <f t="shared" ref="F37:H37" si="2">MEDIAN(F23:F33)</f>
        <v>7.6402727942207331</v>
      </c>
      <c r="G37" s="247">
        <f t="shared" si="2"/>
        <v>21.289432231337067</v>
      </c>
      <c r="H37" s="247">
        <f t="shared" si="2"/>
        <v>17.838585846457242</v>
      </c>
    </row>
    <row r="38" spans="2:54">
      <c r="B38" s="234"/>
      <c r="C38" s="25"/>
      <c r="D38" s="246" t="s">
        <v>216</v>
      </c>
      <c r="E38" s="247">
        <f>MIN(E23:E33)</f>
        <v>0.62616964917634632</v>
      </c>
      <c r="F38" s="247">
        <f t="shared" ref="F38:H38" si="3">MIN(F23:F33)</f>
        <v>0.6986687167700244</v>
      </c>
      <c r="G38" s="247">
        <f t="shared" si="3"/>
        <v>8.4253296436129688</v>
      </c>
      <c r="H38" s="247">
        <f t="shared" si="3"/>
        <v>7.1084778829121396</v>
      </c>
    </row>
    <row r="39" spans="2:54">
      <c r="B39" s="25"/>
      <c r="C39" s="235"/>
      <c r="D39" s="235"/>
      <c r="E39" s="248"/>
      <c r="F39" s="92"/>
      <c r="G39" s="92"/>
      <c r="H39" s="92"/>
    </row>
    <row r="40" spans="2:54">
      <c r="B40" s="249" t="str" cm="1">
        <f t="array" ref="B40">Name</f>
        <v>Apple Inc.</v>
      </c>
      <c r="C40" s="250" t="e" vm="1">
        <f ca="1">E10</f>
        <v>#VALUE!</v>
      </c>
      <c r="D40" s="250" t="e" vm="1">
        <f ca="1">E13</f>
        <v>#VALUE!</v>
      </c>
      <c r="E40" s="251" t="e" vm="1">
        <f ca="1">H10</f>
        <v>#VALUE!</v>
      </c>
      <c r="F40" s="251" t="e" vm="1">
        <f ca="1">I10</f>
        <v>#VALUE!</v>
      </c>
      <c r="G40" s="251" t="e" vm="1">
        <f ca="1">H11</f>
        <v>#VALUE!</v>
      </c>
      <c r="H40" s="251" t="e" vm="1">
        <f ca="1">I11</f>
        <v>#VALUE!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opLeftCell="B1" zoomScaleNormal="113" workbookViewId="0">
      <selection activeCell="H5" sqref="H5:J8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2" t="str">
        <f>"Valuation Football Field: "&amp;Name</f>
        <v>Valuation Football Field: Apple Inc.</v>
      </c>
      <c r="C4" s="324"/>
      <c r="D4" s="324"/>
      <c r="E4" s="324"/>
      <c r="F4" s="324"/>
      <c r="G4" s="25"/>
      <c r="H4" s="25"/>
      <c r="I4" s="25"/>
      <c r="AT4" s="264" t="str">
        <f>B4</f>
        <v>Valuation Football Field: Apple Inc.</v>
      </c>
      <c r="AU4" s="264"/>
      <c r="AV4" s="264"/>
      <c r="AW4" s="264"/>
      <c r="AX4" s="264"/>
      <c r="AY4" s="264"/>
      <c r="AZ4" s="264"/>
      <c r="BA4" s="264"/>
      <c r="BB4" s="264"/>
    </row>
    <row r="5" spans="2:16384">
      <c r="B5" s="25"/>
      <c r="C5" s="252" t="s">
        <v>230</v>
      </c>
      <c r="D5" s="253" t="s">
        <v>223</v>
      </c>
      <c r="E5" s="253" t="s">
        <v>234</v>
      </c>
      <c r="F5" s="253" t="s">
        <v>224</v>
      </c>
      <c r="G5" s="25"/>
      <c r="H5" s="254" t="s">
        <v>231</v>
      </c>
      <c r="I5" s="254" t="s">
        <v>232</v>
      </c>
      <c r="J5" s="254" t="s">
        <v>233</v>
      </c>
      <c r="AT5" s="264"/>
      <c r="AU5" s="264" t="s">
        <v>230</v>
      </c>
      <c r="AV5" s="264" t="s">
        <v>223</v>
      </c>
      <c r="AW5" s="264" t="s">
        <v>234</v>
      </c>
      <c r="AX5" s="264" t="s">
        <v>224</v>
      </c>
      <c r="AY5" s="264"/>
      <c r="AZ5" s="264" t="s">
        <v>231</v>
      </c>
      <c r="BA5" s="264" t="s">
        <v>232</v>
      </c>
      <c r="BB5" s="264" t="s">
        <v>233</v>
      </c>
    </row>
    <row r="6" spans="2:16384">
      <c r="B6" s="255" t="s">
        <v>235</v>
      </c>
      <c r="C6" s="234"/>
      <c r="D6" s="256">
        <f>Low_Share_Price</f>
        <v>120</v>
      </c>
      <c r="E6" s="257">
        <f>AVERAGE(D6,F6)</f>
        <v>200</v>
      </c>
      <c r="F6" s="256">
        <f>High_Share_Price</f>
        <v>280</v>
      </c>
      <c r="G6" s="25"/>
      <c r="H6" s="117">
        <f>D6</f>
        <v>120</v>
      </c>
      <c r="I6" s="142">
        <f>E6-D6</f>
        <v>80</v>
      </c>
      <c r="J6" s="117">
        <f>F6-E6</f>
        <v>80</v>
      </c>
      <c r="S6" s="117"/>
      <c r="T6" s="117"/>
      <c r="U6" s="117"/>
      <c r="V6" s="117"/>
      <c r="W6" s="117"/>
      <c r="X6" s="117"/>
      <c r="Y6" s="117"/>
      <c r="AT6" s="264" t="s">
        <v>235</v>
      </c>
      <c r="AU6" s="264"/>
      <c r="AV6" s="265">
        <f>D6</f>
        <v>120</v>
      </c>
      <c r="AW6" s="265">
        <f t="shared" ref="AW6:BB6" si="0">E6</f>
        <v>200</v>
      </c>
      <c r="AX6" s="265">
        <f t="shared" si="0"/>
        <v>280</v>
      </c>
      <c r="AY6" s="265"/>
      <c r="AZ6" s="265">
        <f t="shared" si="0"/>
        <v>120</v>
      </c>
      <c r="BA6" s="265">
        <f t="shared" si="0"/>
        <v>80</v>
      </c>
      <c r="BB6" s="265">
        <f t="shared" si="0"/>
        <v>80</v>
      </c>
    </row>
    <row r="7" spans="2:16384">
      <c r="B7" s="255" t="s">
        <v>225</v>
      </c>
      <c r="C7" s="234"/>
      <c r="D7" s="256">
        <f>MIN(DCF!D111:H115)</f>
        <v>9.8607521877802</v>
      </c>
      <c r="E7" s="257">
        <f ca="1">DCF!C102</f>
        <v>11.650909482118017</v>
      </c>
      <c r="F7" s="256">
        <f>MAX(DCF!D111:H115)</f>
        <v>14.37641100233099</v>
      </c>
      <c r="G7" s="25"/>
      <c r="H7" s="117">
        <f t="shared" ref="H7" si="1">D7</f>
        <v>9.8607521877802</v>
      </c>
      <c r="I7" s="142">
        <f t="shared" ref="I7" ca="1" si="2">E7-D7</f>
        <v>1.790157294337817</v>
      </c>
      <c r="J7" s="117">
        <f t="shared" ref="J7" ca="1" si="3">F7-E7</f>
        <v>2.7255015202129727</v>
      </c>
      <c r="S7" s="117"/>
      <c r="T7" s="117"/>
      <c r="U7" s="117"/>
      <c r="V7" s="117"/>
      <c r="W7" s="117"/>
      <c r="X7" s="117"/>
      <c r="Y7" s="117"/>
      <c r="AT7" s="264" t="s">
        <v>225</v>
      </c>
      <c r="AU7" s="264"/>
      <c r="AV7" s="265">
        <f t="shared" ref="AV7:AV13" si="4">D7</f>
        <v>9.8607521877802</v>
      </c>
      <c r="AW7" s="265">
        <f t="shared" ref="AW7:AW13" ca="1" si="5">E7</f>
        <v>11.650909482118017</v>
      </c>
      <c r="AX7" s="265">
        <f t="shared" ref="AX7:AX13" si="6">F7</f>
        <v>14.37641100233099</v>
      </c>
      <c r="AY7" s="265"/>
      <c r="AZ7" s="265">
        <f t="shared" ref="AZ7:AZ13" si="7">H7</f>
        <v>9.8607521877802</v>
      </c>
      <c r="BA7" s="265">
        <f t="shared" ref="BA7:BA13" ca="1" si="8">I7</f>
        <v>1.790157294337817</v>
      </c>
      <c r="BB7" s="265">
        <f t="shared" ref="BB7:BB13" ca="1" si="9">J7</f>
        <v>2.7255015202129727</v>
      </c>
    </row>
    <row r="8" spans="2:16384">
      <c r="B8" s="255" t="s">
        <v>226</v>
      </c>
      <c r="C8" s="234"/>
      <c r="D8" s="256">
        <f>(('Comparable multiples'!AZ30*Revenue_FY0)-Total_Debt+Cash)/(Shares_Outstanding/1000000)</f>
        <v>5.2317010134954325</v>
      </c>
      <c r="E8" s="258">
        <f>(('Comparable multiples'!BA30*Revenue_FY0)-Total_Debt+Cash)/(Shares_Outstanding/1000000)</f>
        <v>52.485243039556664</v>
      </c>
      <c r="F8" s="256">
        <f>(('Comparable multiples'!BB30*Revenue_FY0)-Total_Debt+Cash)/(Shares_Outstanding/1000000)</f>
        <v>97.680805554701877</v>
      </c>
      <c r="G8" s="25"/>
      <c r="H8" s="117">
        <f>D8</f>
        <v>5.2317010134954325</v>
      </c>
      <c r="I8" s="142">
        <f t="shared" ref="I8:J11" si="10">E8-D8</f>
        <v>47.253542026061233</v>
      </c>
      <c r="J8" s="117">
        <f t="shared" si="10"/>
        <v>45.195562515145213</v>
      </c>
      <c r="S8" s="117"/>
      <c r="T8" s="117"/>
      <c r="U8" s="117"/>
      <c r="V8" s="117"/>
      <c r="W8" s="117"/>
      <c r="X8" s="117"/>
      <c r="Y8" s="117"/>
      <c r="AT8" s="264" t="s">
        <v>248</v>
      </c>
      <c r="AU8" s="264"/>
      <c r="AV8" s="265">
        <f t="shared" si="4"/>
        <v>5.2317010134954325</v>
      </c>
      <c r="AW8" s="265">
        <f t="shared" si="5"/>
        <v>52.485243039556664</v>
      </c>
      <c r="AX8" s="265">
        <f t="shared" si="6"/>
        <v>97.680805554701877</v>
      </c>
      <c r="AY8" s="265"/>
      <c r="AZ8" s="265">
        <f t="shared" si="7"/>
        <v>5.2317010134954325</v>
      </c>
      <c r="BA8" s="265">
        <f t="shared" si="8"/>
        <v>47.253542026061233</v>
      </c>
      <c r="BB8" s="265">
        <f t="shared" si="9"/>
        <v>45.195562515145213</v>
      </c>
    </row>
    <row r="9" spans="2:16384">
      <c r="B9" s="255" t="s">
        <v>227</v>
      </c>
      <c r="C9" s="234"/>
      <c r="D9" s="256">
        <f>(('Comparable multiples'!AZ31*Revenue_FY1)-Total_Debt+Cash)/(Shares_Outstanding/1000000)</f>
        <v>6.1397677233364991</v>
      </c>
      <c r="E9" s="258">
        <f>(('Comparable multiples'!BA31*Revenue_FY1)-Total_Debt+Cash)/(Shares_Outstanding/1000000)</f>
        <v>52.58247655998295</v>
      </c>
      <c r="F9" s="256">
        <f>(('Comparable multiples'!BB31*Revenue_FY1)-Total_Debt+Cash)/(Shares_Outstanding/1000000)</f>
        <v>94.502703839056593</v>
      </c>
      <c r="G9" s="25"/>
      <c r="H9" s="117">
        <f>D9</f>
        <v>6.1397677233364991</v>
      </c>
      <c r="I9" s="142">
        <f t="shared" si="10"/>
        <v>46.442708836646453</v>
      </c>
      <c r="J9" s="117">
        <f t="shared" si="10"/>
        <v>41.920227279073643</v>
      </c>
      <c r="S9" s="117"/>
      <c r="T9" s="117"/>
      <c r="U9" s="117"/>
      <c r="V9" s="117"/>
      <c r="W9" s="117"/>
      <c r="X9" s="117"/>
      <c r="Y9" s="117"/>
      <c r="AT9" s="264" t="s">
        <v>249</v>
      </c>
      <c r="AU9" s="264"/>
      <c r="AV9" s="265">
        <f t="shared" si="4"/>
        <v>6.1397677233364991</v>
      </c>
      <c r="AW9" s="265">
        <f t="shared" si="5"/>
        <v>52.58247655998295</v>
      </c>
      <c r="AX9" s="265">
        <f t="shared" si="6"/>
        <v>94.502703839056593</v>
      </c>
      <c r="AY9" s="265"/>
      <c r="AZ9" s="265">
        <f t="shared" si="7"/>
        <v>6.1397677233364991</v>
      </c>
      <c r="BA9" s="265">
        <f t="shared" si="8"/>
        <v>46.442708836646453</v>
      </c>
      <c r="BB9" s="265">
        <f t="shared" si="9"/>
        <v>41.920227279073643</v>
      </c>
    </row>
    <row r="10" spans="2:16384">
      <c r="B10" s="255" t="s">
        <v>228</v>
      </c>
      <c r="C10" s="234"/>
      <c r="D10" s="256">
        <f>(('Comparable multiples'!AZ32*EBITDA_FY0)-Total_Debt+Cash)/(Shares_Outstanding/1000000)</f>
        <v>9.4542757678391212</v>
      </c>
      <c r="E10" s="258">
        <f>(('Comparable multiples'!BA32*EBITDA_FY0)-Total_Debt+Cash)/(Shares_Outstanding/1000000)</f>
        <v>29.154245674006081</v>
      </c>
      <c r="F10" s="256">
        <f>(('Comparable multiples'!BB32*EBITDA_FY0)-Total_Debt+Cash)/(Shares_Outstanding/1000000)</f>
        <v>63.1635427717544</v>
      </c>
      <c r="G10" s="25"/>
      <c r="H10" s="117">
        <f>D10</f>
        <v>9.4542757678391212</v>
      </c>
      <c r="I10" s="142">
        <f t="shared" si="10"/>
        <v>19.69996990616696</v>
      </c>
      <c r="J10" s="117">
        <f t="shared" si="10"/>
        <v>34.009297097748316</v>
      </c>
      <c r="S10" s="117"/>
      <c r="T10" s="117"/>
      <c r="U10" s="117"/>
      <c r="V10" s="117"/>
      <c r="W10" s="117"/>
      <c r="X10" s="117"/>
      <c r="Y10" s="117"/>
      <c r="AT10" s="264" t="s">
        <v>250</v>
      </c>
      <c r="AU10" s="264"/>
      <c r="AV10" s="265">
        <f t="shared" si="4"/>
        <v>9.4542757678391212</v>
      </c>
      <c r="AW10" s="265">
        <f t="shared" si="5"/>
        <v>29.154245674006081</v>
      </c>
      <c r="AX10" s="265">
        <f t="shared" si="6"/>
        <v>63.1635427717544</v>
      </c>
      <c r="AY10" s="265"/>
      <c r="AZ10" s="265">
        <f t="shared" si="7"/>
        <v>9.4542757678391212</v>
      </c>
      <c r="BA10" s="265">
        <f t="shared" si="8"/>
        <v>19.69996990616696</v>
      </c>
      <c r="BB10" s="265">
        <f t="shared" si="9"/>
        <v>34.009297097748316</v>
      </c>
    </row>
    <row r="11" spans="2:16384">
      <c r="B11" s="255" t="s">
        <v>229</v>
      </c>
      <c r="C11" s="234"/>
      <c r="D11" s="256">
        <f>(('Comparable multiples'!AZ33*EBITDA_FY1)-Total_Debt+Cash)/(Shares_Outstanding/1000000)</f>
        <v>11.267852647938845</v>
      </c>
      <c r="E11" s="258">
        <f>(('Comparable multiples'!BA33*EBITDA_FY1)-Total_Debt+Cash)/(Shares_Outstanding/1000000)</f>
        <v>35.732808818456796</v>
      </c>
      <c r="F11" s="256">
        <f>(('Comparable multiples'!BB33*EBITDA_FY1)-Total_Debt+Cash)/(Shares_Outstanding/1000000)</f>
        <v>78.847164834677812</v>
      </c>
      <c r="G11" s="25"/>
      <c r="H11" s="117">
        <f>D11</f>
        <v>11.267852647938845</v>
      </c>
      <c r="I11" s="142">
        <f t="shared" si="10"/>
        <v>24.464956170517951</v>
      </c>
      <c r="J11" s="117">
        <f t="shared" si="10"/>
        <v>43.114356016221016</v>
      </c>
      <c r="S11" s="117"/>
      <c r="T11" s="117"/>
      <c r="U11" s="117"/>
      <c r="V11" s="117"/>
      <c r="W11" s="117"/>
      <c r="X11" s="117"/>
      <c r="Y11" s="117"/>
      <c r="AT11" s="264" t="s">
        <v>251</v>
      </c>
      <c r="AU11" s="264"/>
      <c r="AV11" s="265">
        <f t="shared" si="4"/>
        <v>11.267852647938845</v>
      </c>
      <c r="AW11" s="265">
        <f t="shared" si="5"/>
        <v>35.732808818456796</v>
      </c>
      <c r="AX11" s="265">
        <f t="shared" si="6"/>
        <v>78.847164834677812</v>
      </c>
      <c r="AY11" s="265"/>
      <c r="AZ11" s="265">
        <f t="shared" si="7"/>
        <v>11.267852647938845</v>
      </c>
      <c r="BA11" s="265">
        <f t="shared" si="8"/>
        <v>24.464956170517951</v>
      </c>
      <c r="BB11" s="265">
        <f t="shared" si="9"/>
        <v>43.114356016221016</v>
      </c>
    </row>
    <row r="12" spans="2:16384">
      <c r="B12" s="25"/>
      <c r="C12" s="25"/>
      <c r="D12" s="259"/>
      <c r="E12" s="260"/>
      <c r="F12" s="259"/>
      <c r="G12" s="25"/>
      <c r="H12" s="234"/>
      <c r="I12" s="261"/>
      <c r="J12" s="262"/>
      <c r="S12" s="117"/>
      <c r="T12" s="117"/>
      <c r="U12" s="117"/>
      <c r="V12" s="117"/>
      <c r="W12" s="117"/>
      <c r="X12" s="117"/>
      <c r="Y12" s="117"/>
      <c r="AT12" s="264"/>
      <c r="AU12" s="264"/>
      <c r="AV12" s="265"/>
      <c r="AW12" s="265"/>
      <c r="AX12" s="265"/>
      <c r="AY12" s="265"/>
      <c r="AZ12" s="265"/>
      <c r="BA12" s="265"/>
      <c r="BB12" s="265"/>
    </row>
    <row r="13" spans="2:16384">
      <c r="B13" s="255" t="s">
        <v>11</v>
      </c>
      <c r="D13" s="117" t="e" vm="1">
        <f ca="1">'Information from Python'!$F$5</f>
        <v>#VALUE!</v>
      </c>
      <c r="E13" s="142" t="e" vm="1">
        <f ca="1">'Information from Python'!$F$5</f>
        <v>#VALUE!</v>
      </c>
      <c r="F13" s="117" t="e" vm="1">
        <f ca="1">'Information from Python'!$F$5</f>
        <v>#VALUE!</v>
      </c>
      <c r="H13" s="262">
        <v>1000</v>
      </c>
      <c r="I13" s="263">
        <v>0</v>
      </c>
      <c r="J13" s="262">
        <v>0</v>
      </c>
      <c r="S13" s="117"/>
      <c r="T13" s="117"/>
      <c r="U13" s="117"/>
      <c r="V13" s="117"/>
      <c r="W13" s="117"/>
      <c r="X13" s="117"/>
      <c r="Y13" s="117"/>
      <c r="AT13" s="264" t="s">
        <v>11</v>
      </c>
      <c r="AU13" s="264"/>
      <c r="AV13" s="265" t="e" vm="1">
        <f t="shared" ca="1" si="4"/>
        <v>#VALUE!</v>
      </c>
      <c r="AW13" s="265" t="e" vm="1">
        <f t="shared" ca="1" si="5"/>
        <v>#VALUE!</v>
      </c>
      <c r="AX13" s="265" t="e" vm="1">
        <f t="shared" ca="1" si="6"/>
        <v>#VALUE!</v>
      </c>
      <c r="AY13" s="265"/>
      <c r="AZ13" s="265">
        <f t="shared" si="7"/>
        <v>1000</v>
      </c>
      <c r="BA13" s="265">
        <f t="shared" si="8"/>
        <v>0</v>
      </c>
      <c r="BB13" s="265">
        <f t="shared" si="9"/>
        <v>0</v>
      </c>
    </row>
    <row r="14" spans="2:16384">
      <c r="AT14" s="264"/>
      <c r="AU14" s="264"/>
      <c r="AV14" s="264"/>
      <c r="AW14" s="264"/>
      <c r="AX14" s="264"/>
      <c r="AY14" s="264"/>
      <c r="AZ14" s="264"/>
      <c r="BA14" s="264"/>
      <c r="BB14" s="264"/>
    </row>
    <row r="15" spans="2:16384">
      <c r="AT15" s="264" t="s">
        <v>246</v>
      </c>
      <c r="AU15" s="264"/>
      <c r="AV15" s="264"/>
      <c r="AW15" s="264"/>
      <c r="AX15" s="264"/>
      <c r="AY15" s="264"/>
      <c r="AZ15" s="264"/>
      <c r="BA15" s="264"/>
      <c r="BB15" s="264"/>
    </row>
    <row r="23" spans="12:12">
      <c r="L23" s="116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5" t="s">
        <v>149</v>
      </c>
      <c r="G4" s="325"/>
      <c r="H4" s="325"/>
      <c r="I4" s="325"/>
      <c r="J4" s="325"/>
      <c r="K4" s="325"/>
      <c r="L4" s="325"/>
      <c r="M4" s="325"/>
      <c r="N4" s="325"/>
      <c r="O4" s="325"/>
    </row>
    <row r="5" spans="2:16384">
      <c r="B5" s="85" t="s">
        <v>202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68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69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68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69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68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69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68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70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68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69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68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69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68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69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68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69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68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69" t="str">
        <f>IF(B17&lt;&gt;"",$E$8*(1+Growth_RATE_PPE)^(COLUMN()-COLUMN($E$8)),"")</f>
        <v/>
      </c>
      <c r="O17" s="6" t="str">
        <f>IF(AND(P17&lt;&gt;"",COLUMN()-COLUMN($N17)&lt;$P17),$N17/$P17,"")</f>
        <v/>
      </c>
      <c r="P17" s="268" t="str">
        <f>IF(B17&lt;&gt;"",AVERAGE($P$6:$P$7),"")</f>
        <v/>
      </c>
      <c r="Q17" s="6"/>
    </row>
    <row r="18" spans="2:17">
      <c r="B18" t="str">
        <v/>
      </c>
      <c r="O18" s="271" t="str">
        <f>IF(B18&lt;&gt;"",$E$8*(1+Growth_RATE_PPE)^(COLUMN()-COLUMN($E$8)),"")</f>
        <v/>
      </c>
      <c r="P18" s="268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26" t="s">
        <v>196</v>
      </c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26" t="s">
        <v>196</v>
      </c>
      <c r="D4" s="326"/>
      <c r="E4" s="326"/>
      <c r="F4" s="326"/>
      <c r="G4" s="326"/>
      <c r="H4" s="326"/>
      <c r="I4" s="326"/>
      <c r="J4" s="326"/>
      <c r="K4" s="326"/>
      <c r="L4" s="326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26" t="s">
        <v>196</v>
      </c>
      <c r="D4" s="326"/>
      <c r="E4" s="326"/>
      <c r="F4" s="326"/>
      <c r="G4" s="326"/>
      <c r="H4" s="326"/>
      <c r="I4" s="326"/>
      <c r="J4" s="326"/>
      <c r="K4" s="326"/>
      <c r="L4" s="326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27" t="s">
        <v>196</v>
      </c>
      <c r="D36" s="327"/>
      <c r="E36" s="327"/>
      <c r="F36" s="327"/>
      <c r="G36" s="327"/>
      <c r="H36" s="327"/>
      <c r="I36" s="327"/>
      <c r="J36" s="327"/>
      <c r="K36" s="327"/>
      <c r="L36" s="327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27" t="s">
        <v>196</v>
      </c>
      <c r="D50" s="327"/>
      <c r="E50" s="327"/>
      <c r="F50" s="327"/>
      <c r="G50" s="327"/>
      <c r="H50" s="327"/>
      <c r="I50" s="327"/>
      <c r="J50" s="327"/>
      <c r="K50" s="327"/>
      <c r="L50" s="327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242</v>
      </c>
      <c r="C4" s="124"/>
      <c r="E4" s="123" t="s">
        <v>245</v>
      </c>
      <c r="F4" s="124"/>
    </row>
    <row r="5" spans="2:16384">
      <c r="B5" s="125" t="s">
        <v>10</v>
      </c>
      <c r="C5" s="35" t="s">
        <v>0</v>
      </c>
      <c r="E5" s="126" t="s">
        <v>11</v>
      </c>
      <c r="F5" s="140" t="e" cm="1" vm="2">
        <f t="array" aca="1" ref="F5" ca="1">INDEX(_xlfn.STOCKHISTORY(Ticker, TODAY()-7, TODAY(), 0, 1), ROWS(_xlfn.STOCKHISTORY(Ticker, TODAY()-7, TODAY(), 0, 1)), 2)</f>
        <v>#VALUE!</v>
      </c>
    </row>
    <row r="6" spans="2:16384">
      <c r="B6" s="125" t="s">
        <v>217</v>
      </c>
      <c r="C6" s="35" t="s">
        <v>218</v>
      </c>
    </row>
    <row r="7" spans="2:16384">
      <c r="B7" s="125"/>
      <c r="C7" s="35"/>
    </row>
    <row r="8" spans="2:16384">
      <c r="B8" s="125" t="s">
        <v>12</v>
      </c>
      <c r="C8" s="35">
        <v>5</v>
      </c>
    </row>
    <row r="9" spans="2:16384">
      <c r="B9" s="125" t="s">
        <v>13</v>
      </c>
      <c r="C9" s="35">
        <v>2023</v>
      </c>
    </row>
    <row r="10" spans="2:16384">
      <c r="B10" s="125" t="s">
        <v>92</v>
      </c>
      <c r="C10" s="35">
        <v>3</v>
      </c>
    </row>
    <row r="11" spans="2:16384">
      <c r="B11" s="125"/>
      <c r="C11" s="35"/>
    </row>
    <row r="12" spans="2:16384">
      <c r="B12" s="125" t="s">
        <v>115</v>
      </c>
      <c r="C12" s="35" t="s">
        <v>243</v>
      </c>
    </row>
    <row r="13" spans="2:16384">
      <c r="B13" s="125"/>
      <c r="C13" s="35"/>
    </row>
    <row r="14" spans="2:16384">
      <c r="B14" s="125" t="s">
        <v>97</v>
      </c>
      <c r="C14" s="122">
        <v>1</v>
      </c>
    </row>
    <row r="15" spans="2:16384">
      <c r="B15" s="125" t="s">
        <v>98</v>
      </c>
      <c r="C15" s="132">
        <v>0.04</v>
      </c>
    </row>
    <row r="16" spans="2:16384">
      <c r="B16" s="125" t="s">
        <v>100</v>
      </c>
      <c r="C16" s="132">
        <v>7.0000000000000007E-2</v>
      </c>
    </row>
    <row r="17" spans="2:3">
      <c r="B17" s="125" t="s">
        <v>99</v>
      </c>
      <c r="C17" s="132">
        <f>Market_Return-Riskfree_Return</f>
        <v>3.0000000000000006E-2</v>
      </c>
    </row>
    <row r="18" spans="2:3">
      <c r="B18" s="125"/>
      <c r="C18" s="35"/>
    </row>
    <row r="19" spans="2:3">
      <c r="B19" s="125" t="s">
        <v>128</v>
      </c>
      <c r="C19" s="133">
        <v>15171990000</v>
      </c>
    </row>
    <row r="20" spans="2:3">
      <c r="B20" s="125"/>
      <c r="C20" s="35"/>
    </row>
    <row r="21" spans="2:3">
      <c r="B21" s="125" t="s">
        <v>193</v>
      </c>
      <c r="C21" s="134">
        <v>280</v>
      </c>
    </row>
    <row r="22" spans="2:3">
      <c r="B22" s="126" t="s">
        <v>194</v>
      </c>
      <c r="C22" s="135">
        <v>120</v>
      </c>
    </row>
    <row r="25" spans="2:3">
      <c r="B25" s="139" t="s">
        <v>219</v>
      </c>
    </row>
    <row r="26" spans="2:3">
      <c r="B26" s="138" t="s">
        <v>244</v>
      </c>
    </row>
    <row r="27" spans="2:3">
      <c r="B27" s="136" t="str">
        <f>IF('Comparable multiples'!B23&lt;&gt;"",'Comparable multiples'!B23,"")</f>
        <v>DUMMY 1</v>
      </c>
    </row>
    <row r="28" spans="2:3">
      <c r="B28" s="136" t="str">
        <f>IF('Comparable multiples'!B24&lt;&gt;"",'Comparable multiples'!B24,"")</f>
        <v>DUMMY 2</v>
      </c>
    </row>
    <row r="29" spans="2:3">
      <c r="B29" s="136" t="str">
        <f>IF('Comparable multiples'!B25&lt;&gt;"",'Comparable multiples'!B25,"")</f>
        <v>DUMMY 3</v>
      </c>
    </row>
    <row r="30" spans="2:3">
      <c r="B30" s="136" t="str">
        <f>IF('Comparable multiples'!B26&lt;&gt;"",'Comparable multiples'!B26,"")</f>
        <v>DUMMY 4</v>
      </c>
    </row>
    <row r="31" spans="2:3">
      <c r="B31" s="136" t="str">
        <f>IF('Comparable multiples'!B27&lt;&gt;"",'Comparable multiples'!B27,"")</f>
        <v/>
      </c>
    </row>
    <row r="32" spans="2:3">
      <c r="B32" s="136" t="str">
        <f>IF('Comparable multiples'!B28&lt;&gt;"",'Comparable multiples'!B28,"")</f>
        <v/>
      </c>
    </row>
    <row r="33" spans="2:2">
      <c r="B33" s="136" t="str">
        <f>IF('Comparable multiples'!B29&lt;&gt;"",'Comparable multiples'!B29,"")</f>
        <v/>
      </c>
    </row>
    <row r="34" spans="2:2">
      <c r="B34" s="136" t="str">
        <f>IF('Comparable multiples'!B30&lt;&gt;"",'Comparable multiples'!B30,"")</f>
        <v/>
      </c>
    </row>
    <row r="35" spans="2:2">
      <c r="B35" s="136" t="str">
        <f>IF('Comparable multiples'!B31&lt;&gt;"",'Comparable multiples'!B31,"")</f>
        <v/>
      </c>
    </row>
    <row r="36" spans="2:2">
      <c r="B36" s="136" t="str">
        <f>IF('Comparable multiples'!B32&lt;&gt;"",'Comparable multiples'!B32,"")</f>
        <v/>
      </c>
    </row>
    <row r="37" spans="2:2">
      <c r="B37" s="137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28" t="s">
        <v>196</v>
      </c>
      <c r="D4" s="328"/>
      <c r="E4" s="328"/>
      <c r="F4" s="141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2025-02-28T19:37:57Z</dcterms:modified>
</cp:coreProperties>
</file>