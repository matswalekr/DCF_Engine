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B64161E7-93DC-9A46-9531-4E45B6FB5AF7}" xr6:coauthVersionLast="47" xr6:coauthVersionMax="47" xr10:uidLastSave="{00000000-0000-0000-0000-000000000000}"/>
  <bookViews>
    <workbookView xWindow="0" yWindow="740" windowWidth="29400" windowHeight="16500" activeTab="1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DCF!$E$57</definedName>
    <definedName name="Yearly_Depreciation">Assumptions!$D$12</definedName>
    <definedName name="Years_Forecasted">'Information from Python'!$C$10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21" i="4" l="1"/>
  <c r="Q221" i="4"/>
  <c r="P221" i="4"/>
  <c r="T221" i="4" s="1"/>
  <c r="R220" i="4"/>
  <c r="Q220" i="4"/>
  <c r="P220" i="4"/>
  <c r="T220" i="4" s="1"/>
  <c r="R219" i="4"/>
  <c r="Q219" i="4"/>
  <c r="P219" i="4"/>
  <c r="R168" i="4"/>
  <c r="Q168" i="4"/>
  <c r="P168" i="4"/>
  <c r="T168" i="4" s="1"/>
  <c r="R167" i="4"/>
  <c r="Q167" i="4"/>
  <c r="P167" i="4"/>
  <c r="R166" i="4"/>
  <c r="Q166" i="4"/>
  <c r="P166" i="4"/>
  <c r="T166" i="4" s="1"/>
  <c r="Q112" i="4"/>
  <c r="R113" i="4"/>
  <c r="Q113" i="4"/>
  <c r="P113" i="4"/>
  <c r="T113" i="4" s="1"/>
  <c r="R112" i="4"/>
  <c r="P112" i="4"/>
  <c r="T112" i="4" s="1"/>
  <c r="D22" i="1"/>
  <c r="C208" i="4"/>
  <c r="C206" i="4"/>
  <c r="C205" i="4"/>
  <c r="C204" i="4"/>
  <c r="C155" i="4"/>
  <c r="C153" i="4"/>
  <c r="C152" i="4"/>
  <c r="C151" i="4"/>
  <c r="C148" i="4"/>
  <c r="F121" i="4"/>
  <c r="E121" i="4" s="1"/>
  <c r="D121" i="4" s="1"/>
  <c r="F132" i="4"/>
  <c r="E132" i="4" s="1"/>
  <c r="D132" i="4" s="1"/>
  <c r="F5" i="5" a="1"/>
  <c r="U221" i="4" l="1"/>
  <c r="V221" i="4"/>
  <c r="V220" i="4"/>
  <c r="U220" i="4"/>
  <c r="U167" i="4"/>
  <c r="V167" i="4"/>
  <c r="V168" i="4"/>
  <c r="U168" i="4"/>
  <c r="V112" i="4"/>
  <c r="T167" i="4"/>
  <c r="V113" i="4"/>
  <c r="V166" i="4"/>
  <c r="U166" i="4"/>
  <c r="U113" i="4"/>
  <c r="U112" i="4"/>
  <c r="F5" i="5"/>
  <c r="G132" i="4"/>
  <c r="H132" i="4" s="1"/>
  <c r="G121" i="4"/>
  <c r="H121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7" i="4"/>
  <c r="D7" i="3"/>
  <c r="H7" i="3" s="1"/>
  <c r="AZ7" i="3" s="1"/>
  <c r="F7" i="3"/>
  <c r="AX7" i="3" s="1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E6" i="3" l="1"/>
  <c r="AV7" i="3"/>
  <c r="AZ29" i="2" a="1"/>
  <c r="C101" i="4"/>
  <c r="N9" i="2"/>
  <c r="N8" i="2"/>
  <c r="F110" i="4"/>
  <c r="I94" i="4"/>
  <c r="Q111" i="4" s="1"/>
  <c r="M64" i="4"/>
  <c r="D66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E49" i="4"/>
  <c r="E44" i="4"/>
  <c r="E43" i="4"/>
  <c r="L35" i="4" l="1"/>
  <c r="L10" i="4"/>
  <c r="L23" i="4"/>
  <c r="L7" i="4"/>
  <c r="L13" i="4"/>
  <c r="K23" i="4"/>
  <c r="K7" i="4"/>
  <c r="K13" i="4"/>
  <c r="K10" i="4"/>
  <c r="I23" i="4"/>
  <c r="I7" i="4"/>
  <c r="I13" i="4"/>
  <c r="I10" i="4"/>
  <c r="J35" i="4"/>
  <c r="J23" i="4"/>
  <c r="J7" i="4"/>
  <c r="J13" i="4"/>
  <c r="J10" i="4"/>
  <c r="N35" i="4"/>
  <c r="N10" i="4"/>
  <c r="N13" i="4"/>
  <c r="N23" i="4"/>
  <c r="N7" i="4"/>
  <c r="G5" i="4"/>
  <c r="F14" i="4"/>
  <c r="O35" i="4"/>
  <c r="O7" i="4"/>
  <c r="O13" i="4"/>
  <c r="O10" i="4"/>
  <c r="O23" i="4"/>
  <c r="M35" i="4"/>
  <c r="M13" i="4"/>
  <c r="M10" i="4"/>
  <c r="M23" i="4"/>
  <c r="M7" i="4"/>
  <c r="M5" i="11"/>
  <c r="M7" i="11" s="1"/>
  <c r="M67" i="4"/>
  <c r="K35" i="4"/>
  <c r="K32" i="4"/>
  <c r="K17" i="4" s="1"/>
  <c r="K31" i="4"/>
  <c r="I31" i="4"/>
  <c r="I35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5" i="4"/>
  <c r="M83" i="4"/>
  <c r="M70" i="4" s="1"/>
  <c r="M84" i="4"/>
  <c r="M72" i="4" s="1"/>
  <c r="M66" i="4"/>
  <c r="E31" i="4"/>
  <c r="E33" i="4"/>
  <c r="E30" i="4"/>
  <c r="I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G14" i="4"/>
  <c r="I14" i="4"/>
  <c r="J14" i="4"/>
  <c r="O14" i="4"/>
  <c r="M14" i="4"/>
  <c r="E110" i="4"/>
  <c r="D110" i="4" s="1"/>
  <c r="G110" i="4"/>
  <c r="H110" i="4" s="1"/>
  <c r="E8" i="11"/>
  <c r="D7" i="11"/>
  <c r="D6" i="11"/>
  <c r="C6" i="11"/>
  <c r="G40" i="6"/>
  <c r="G38" i="6"/>
  <c r="G64" i="6" s="1"/>
  <c r="C17" i="5"/>
  <c r="E45" i="4" s="1"/>
  <c r="E46" i="4" s="1"/>
  <c r="P68" i="4"/>
  <c r="I64" i="4"/>
  <c r="J64" i="4"/>
  <c r="K64" i="4"/>
  <c r="L64" i="4"/>
  <c r="L67" i="4" s="1"/>
  <c r="N64" i="4"/>
  <c r="N67" i="4" s="1"/>
  <c r="O64" i="4"/>
  <c r="O67" i="4" s="1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F20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6" i="4"/>
  <c r="E64" i="4"/>
  <c r="G33" i="4" l="1"/>
  <c r="G13" i="4"/>
  <c r="I66" i="4"/>
  <c r="I67" i="4"/>
  <c r="H5" i="4"/>
  <c r="H33" i="4" s="1"/>
  <c r="J66" i="4"/>
  <c r="J67" i="4"/>
  <c r="G34" i="4"/>
  <c r="K66" i="4"/>
  <c r="K67" i="4"/>
  <c r="P111" i="4"/>
  <c r="R111" i="4"/>
  <c r="V111" i="4" s="1"/>
  <c r="E48" i="4"/>
  <c r="E50" i="4" s="1"/>
  <c r="E35" i="4"/>
  <c r="G35" i="4"/>
  <c r="G20" i="4" s="1"/>
  <c r="D13" i="3"/>
  <c r="AV13" i="3" s="1"/>
  <c r="E13" i="3"/>
  <c r="AW13" i="3" s="1"/>
  <c r="F13" i="3"/>
  <c r="AX13" i="3" s="1"/>
  <c r="D11" i="4"/>
  <c r="D15" i="4" s="1"/>
  <c r="N66" i="4"/>
  <c r="N5" i="11"/>
  <c r="O66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9" i="4" s="1"/>
  <c r="C62" i="6"/>
  <c r="C97" i="4" s="1"/>
  <c r="D65" i="6"/>
  <c r="E62" i="6"/>
  <c r="D35" i="4" s="1"/>
  <c r="K56" i="6"/>
  <c r="K67" i="6"/>
  <c r="L55" i="6"/>
  <c r="C53" i="6"/>
  <c r="C98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4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1" i="4"/>
  <c r="M71" i="4"/>
  <c r="N71" i="4"/>
  <c r="I71" i="4"/>
  <c r="J71" i="4"/>
  <c r="O71" i="4"/>
  <c r="L84" i="4"/>
  <c r="L72" i="4" s="1"/>
  <c r="L66" i="4"/>
  <c r="L71" i="4"/>
  <c r="N85" i="4"/>
  <c r="N84" i="4"/>
  <c r="N72" i="4" s="1"/>
  <c r="K85" i="4"/>
  <c r="K84" i="4"/>
  <c r="K72" i="4" s="1"/>
  <c r="O85" i="4"/>
  <c r="O84" i="4"/>
  <c r="O72" i="4" s="1"/>
  <c r="J85" i="4"/>
  <c r="J84" i="4"/>
  <c r="J72" i="4" s="1"/>
  <c r="I85" i="4"/>
  <c r="I84" i="4"/>
  <c r="I72" i="4" s="1"/>
  <c r="L83" i="4"/>
  <c r="L70" i="4" s="1"/>
  <c r="L85" i="4"/>
  <c r="K77" i="4"/>
  <c r="K83" i="4"/>
  <c r="K70" i="4" s="1"/>
  <c r="F64" i="4"/>
  <c r="E83" i="4"/>
  <c r="E70" i="4" s="1"/>
  <c r="J5" i="11"/>
  <c r="J83" i="4"/>
  <c r="J70" i="4" s="1"/>
  <c r="O83" i="4"/>
  <c r="O70" i="4" s="1"/>
  <c r="I83" i="4"/>
  <c r="I70" i="4" s="1"/>
  <c r="N83" i="4"/>
  <c r="N70" i="4" s="1"/>
  <c r="I5" i="11"/>
  <c r="M79" i="4"/>
  <c r="M77" i="4"/>
  <c r="N77" i="4"/>
  <c r="K5" i="11"/>
  <c r="L79" i="4"/>
  <c r="L77" i="4"/>
  <c r="I77" i="4"/>
  <c r="J77" i="4"/>
  <c r="E5" i="11"/>
  <c r="O77" i="4"/>
  <c r="L5" i="11"/>
  <c r="L7" i="11" s="1"/>
  <c r="Q6" i="11"/>
  <c r="P6" i="11"/>
  <c r="E67" i="4"/>
  <c r="E68" i="4" s="1"/>
  <c r="D64" i="4"/>
  <c r="D83" i="4" s="1"/>
  <c r="D70" i="4" s="1"/>
  <c r="K79" i="4"/>
  <c r="J79" i="4"/>
  <c r="I79" i="4"/>
  <c r="O79" i="4"/>
  <c r="N79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H14" i="4" l="1"/>
  <c r="H20" i="4"/>
  <c r="H13" i="4"/>
  <c r="T111" i="4"/>
  <c r="U111" i="4"/>
  <c r="H34" i="4"/>
  <c r="H35" i="4"/>
  <c r="G67" i="6"/>
  <c r="AW6" i="3"/>
  <c r="E10" i="2"/>
  <c r="C40" i="2" s="1"/>
  <c r="E12" i="2"/>
  <c r="D44" i="6"/>
  <c r="D84" i="4" s="1"/>
  <c r="D72" i="4" s="1"/>
  <c r="E44" i="6"/>
  <c r="D67" i="6"/>
  <c r="C60" i="6"/>
  <c r="E67" i="6"/>
  <c r="G60" i="6"/>
  <c r="E11" i="2"/>
  <c r="F10" i="3" s="1"/>
  <c r="AX10" i="3" s="1"/>
  <c r="D53" i="4"/>
  <c r="D55" i="4" s="1"/>
  <c r="E53" i="4" s="1"/>
  <c r="F67" i="6"/>
  <c r="F60" i="6"/>
  <c r="E60" i="6"/>
  <c r="C44" i="6"/>
  <c r="E84" i="4" s="1"/>
  <c r="E72" i="4" s="1"/>
  <c r="D52" i="6"/>
  <c r="D60" i="6" s="1"/>
  <c r="C67" i="6"/>
  <c r="H30" i="4"/>
  <c r="F30" i="4"/>
  <c r="G64" i="4"/>
  <c r="H64" i="4" s="1"/>
  <c r="H85" i="4" s="1"/>
  <c r="F85" i="4"/>
  <c r="F5" i="11"/>
  <c r="L68" i="4"/>
  <c r="L74" i="4" s="1"/>
  <c r="L76" i="4" s="1"/>
  <c r="J68" i="4"/>
  <c r="J74" i="4" s="1"/>
  <c r="J76" i="4" s="1"/>
  <c r="O68" i="4"/>
  <c r="O74" i="4" s="1"/>
  <c r="O76" i="4" s="1"/>
  <c r="I68" i="4"/>
  <c r="I74" i="4" s="1"/>
  <c r="I76" i="4" s="1"/>
  <c r="D67" i="4"/>
  <c r="D68" i="4" s="1"/>
  <c r="D5" i="11"/>
  <c r="N68" i="4"/>
  <c r="N74" i="4" s="1"/>
  <c r="N76" i="4" s="1"/>
  <c r="M68" i="4"/>
  <c r="M74" i="4" s="1"/>
  <c r="M76" i="4" s="1"/>
  <c r="K68" i="4"/>
  <c r="K74" i="4" s="1"/>
  <c r="F44" i="6"/>
  <c r="E10" i="3" l="1"/>
  <c r="AW10" i="3" s="1"/>
  <c r="D10" i="3"/>
  <c r="AV10" i="3" s="1"/>
  <c r="F8" i="3"/>
  <c r="E8" i="3"/>
  <c r="D8" i="3"/>
  <c r="K76" i="4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4" i="4"/>
  <c r="F72" i="4" s="1"/>
  <c r="E54" i="4"/>
  <c r="B7" i="11" a="1"/>
  <c r="G5" i="11"/>
  <c r="G85" i="4"/>
  <c r="H5" i="11"/>
  <c r="H10" i="3" l="1"/>
  <c r="AZ10" i="3" s="1"/>
  <c r="J10" i="3"/>
  <c r="BB10" i="3" s="1"/>
  <c r="I10" i="3"/>
  <c r="BA10" i="3" s="1"/>
  <c r="F217" i="4"/>
  <c r="G217" i="4" s="1"/>
  <c r="H217" i="4" s="1"/>
  <c r="I201" i="4"/>
  <c r="Q218" i="4" s="1"/>
  <c r="AV8" i="3"/>
  <c r="H8" i="3"/>
  <c r="AZ8" i="3" s="1"/>
  <c r="AW8" i="3"/>
  <c r="I8" i="3"/>
  <c r="BA8" i="3" s="1"/>
  <c r="AX8" i="3"/>
  <c r="J8" i="3"/>
  <c r="BB8" i="3" s="1"/>
  <c r="C124" i="4"/>
  <c r="C242" i="4"/>
  <c r="C113" i="4"/>
  <c r="C178" i="4"/>
  <c r="C189" i="4"/>
  <c r="C231" i="4"/>
  <c r="C220" i="4"/>
  <c r="C167" i="4"/>
  <c r="C135" i="4"/>
  <c r="F228" i="4"/>
  <c r="F239" i="4"/>
  <c r="K14" i="11"/>
  <c r="J13" i="11"/>
  <c r="H11" i="11"/>
  <c r="H83" i="4" s="1"/>
  <c r="H70" i="4" s="1"/>
  <c r="I12" i="11"/>
  <c r="F7" i="4"/>
  <c r="F8" i="4" s="1"/>
  <c r="D9" i="3"/>
  <c r="F9" i="3"/>
  <c r="AX9" i="3" s="1"/>
  <c r="G6" i="4"/>
  <c r="G7" i="4" s="1"/>
  <c r="H31" i="4"/>
  <c r="G31" i="4"/>
  <c r="F31" i="4"/>
  <c r="F10" i="4" s="1"/>
  <c r="E40" i="2"/>
  <c r="D40" i="2"/>
  <c r="G84" i="4"/>
  <c r="G72" i="4" s="1"/>
  <c r="I10" i="2"/>
  <c r="F40" i="2" s="1"/>
  <c r="H11" i="2"/>
  <c r="E57" i="4"/>
  <c r="P17" i="11"/>
  <c r="O17" i="11" s="1"/>
  <c r="O18" i="11"/>
  <c r="N17" i="11"/>
  <c r="B7" i="11"/>
  <c r="M16" i="11"/>
  <c r="P12" i="11"/>
  <c r="M12" i="11" s="1"/>
  <c r="F9" i="11"/>
  <c r="F83" i="4" s="1"/>
  <c r="F70" i="4" s="1"/>
  <c r="G10" i="11"/>
  <c r="G83" i="4" s="1"/>
  <c r="G70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G10" i="4" l="1"/>
  <c r="H10" i="4" s="1"/>
  <c r="F175" i="4"/>
  <c r="E175" i="4" s="1"/>
  <c r="D175" i="4" s="1"/>
  <c r="F186" i="4"/>
  <c r="G239" i="4"/>
  <c r="H239" i="4" s="1"/>
  <c r="E239" i="4"/>
  <c r="G228" i="4"/>
  <c r="H228" i="4" s="1"/>
  <c r="E228" i="4"/>
  <c r="D228" i="4" s="1"/>
  <c r="E217" i="4"/>
  <c r="D217" i="4" s="1"/>
  <c r="P218" i="4" s="1"/>
  <c r="F164" i="4"/>
  <c r="I148" i="4"/>
  <c r="Q165" i="4" s="1"/>
  <c r="C243" i="4"/>
  <c r="C244" i="4" s="1"/>
  <c r="C241" i="4"/>
  <c r="C240" i="4" s="1"/>
  <c r="C136" i="4"/>
  <c r="C137" i="4" s="1"/>
  <c r="C134" i="4"/>
  <c r="C133" i="4" s="1"/>
  <c r="C221" i="4"/>
  <c r="C222" i="4" s="1"/>
  <c r="C219" i="4"/>
  <c r="C218" i="4" s="1"/>
  <c r="C232" i="4"/>
  <c r="C233" i="4" s="1"/>
  <c r="C230" i="4"/>
  <c r="C229" i="4" s="1"/>
  <c r="C190" i="4"/>
  <c r="C191" i="4" s="1"/>
  <c r="C188" i="4"/>
  <c r="C187" i="4" s="1"/>
  <c r="C179" i="4"/>
  <c r="C180" i="4" s="1"/>
  <c r="C177" i="4"/>
  <c r="C176" i="4" s="1"/>
  <c r="C166" i="4"/>
  <c r="C165" i="4" s="1"/>
  <c r="C168" i="4"/>
  <c r="C169" i="4" s="1"/>
  <c r="G40" i="2"/>
  <c r="C123" i="4"/>
  <c r="C122" i="4" s="1"/>
  <c r="C125" i="4"/>
  <c r="C126" i="4" s="1"/>
  <c r="H9" i="3"/>
  <c r="AZ9" i="3" s="1"/>
  <c r="AV9" i="3"/>
  <c r="G8" i="4"/>
  <c r="G11" i="4" s="1"/>
  <c r="G15" i="4" s="1"/>
  <c r="H6" i="4"/>
  <c r="I9" i="3"/>
  <c r="BA9" i="3" s="1"/>
  <c r="J9" i="3"/>
  <c r="BB9" i="3" s="1"/>
  <c r="F11" i="4"/>
  <c r="F15" i="4" s="1"/>
  <c r="I9" i="2" s="1"/>
  <c r="H84" i="4"/>
  <c r="H72" i="4" s="1"/>
  <c r="C114" i="4"/>
  <c r="C115" i="4" s="1"/>
  <c r="C112" i="4"/>
  <c r="C111" i="4" s="1"/>
  <c r="F77" i="4"/>
  <c r="G77" i="4"/>
  <c r="H77" i="4"/>
  <c r="D17" i="4"/>
  <c r="D71" i="4"/>
  <c r="D74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H7" i="4" l="1"/>
  <c r="H8" i="4" s="1"/>
  <c r="R218" i="4"/>
  <c r="V218" i="4" s="1"/>
  <c r="D239" i="4"/>
  <c r="G175" i="4"/>
  <c r="H175" i="4" s="1"/>
  <c r="G186" i="4"/>
  <c r="H186" i="4" s="1"/>
  <c r="E186" i="4"/>
  <c r="G164" i="4"/>
  <c r="H164" i="4" s="1"/>
  <c r="E164" i="4"/>
  <c r="D164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200" i="4" l="1"/>
  <c r="I202" i="4" s="1"/>
  <c r="I203" i="4" s="1"/>
  <c r="C202" i="4" s="1"/>
  <c r="H11" i="4"/>
  <c r="H15" i="4" s="1"/>
  <c r="I147" i="4" s="1"/>
  <c r="I149" i="4" s="1"/>
  <c r="I150" i="4" s="1"/>
  <c r="V219" i="4"/>
  <c r="T218" i="4"/>
  <c r="U218" i="4"/>
  <c r="P165" i="4"/>
  <c r="R165" i="4"/>
  <c r="V165" i="4" s="1"/>
  <c r="D186" i="4"/>
  <c r="C201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1" i="4"/>
  <c r="E74" i="4" s="1"/>
  <c r="H7" i="11"/>
  <c r="U219" i="4" l="1"/>
  <c r="T219" i="4"/>
  <c r="T165" i="4"/>
  <c r="U165" i="4"/>
  <c r="C203" i="4"/>
  <c r="C207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9" i="4" l="1"/>
  <c r="C217" i="4" s="1"/>
  <c r="C212" i="4"/>
  <c r="C239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1" i="4"/>
  <c r="H19" i="11"/>
  <c r="H32" i="4" s="1"/>
  <c r="H17" i="4" l="1"/>
  <c r="H18" i="4" s="1"/>
  <c r="H71" i="4"/>
  <c r="G17" i="4"/>
  <c r="G18" i="4" s="1"/>
  <c r="G71" i="4"/>
  <c r="G66" i="4" l="1"/>
  <c r="G67" i="4" s="1"/>
  <c r="F66" i="4"/>
  <c r="F67" i="4" s="1"/>
  <c r="H21" i="4"/>
  <c r="H23" i="4" s="1"/>
  <c r="E21" i="4"/>
  <c r="H66" i="4" l="1"/>
  <c r="G21" i="4"/>
  <c r="E24" i="4"/>
  <c r="E34" i="4"/>
  <c r="F21" i="4"/>
  <c r="F23" i="4" s="1"/>
  <c r="D34" i="4"/>
  <c r="F68" i="4"/>
  <c r="F74" i="4" s="1"/>
  <c r="G68" i="4"/>
  <c r="G74" i="4" s="1"/>
  <c r="H24" i="4"/>
  <c r="H67" i="4" l="1"/>
  <c r="H68" i="4" s="1"/>
  <c r="H74" i="4" s="1"/>
  <c r="I93" i="4" s="1"/>
  <c r="C211" i="4" s="1"/>
  <c r="C228" i="4" s="1"/>
  <c r="G23" i="4"/>
  <c r="G24" i="4" s="1"/>
  <c r="F24" i="4"/>
  <c r="F76" i="4"/>
  <c r="G76" i="4" s="1"/>
  <c r="I95" i="4" l="1"/>
  <c r="I96" i="4" s="1"/>
  <c r="C95" i="4" s="1"/>
  <c r="C158" i="4"/>
  <c r="C149" i="4"/>
  <c r="C150" i="4" s="1"/>
  <c r="H76" i="4"/>
  <c r="H79" i="4" s="1"/>
  <c r="G79" i="4"/>
  <c r="F79" i="4"/>
  <c r="C175" i="4" l="1"/>
  <c r="C154" i="4"/>
  <c r="C156" i="4" s="1"/>
  <c r="C159" i="4"/>
  <c r="C94" i="4"/>
  <c r="C96" i="4" s="1"/>
  <c r="C186" i="4" l="1"/>
  <c r="C164" i="4"/>
  <c r="C104" i="4"/>
  <c r="C105" i="4"/>
  <c r="C100" i="4"/>
  <c r="C102" i="4" s="1"/>
  <c r="C121" i="4" l="1"/>
  <c r="C132" i="4"/>
  <c r="C110" i="4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<sst xmlns="http://schemas.openxmlformats.org/spreadsheetml/2006/main" count="464" uniqueCount="293">
  <si>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</si>
  <si>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</si>
  <si>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</si>
  <si>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</si>
  <si>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</si>
  <si>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</si>
  <si>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</si>
  <si>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</si>
  <si>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</si>
  <si>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</si>
  <si>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</si>
  <si>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</si>
  <si>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</si>
  <si>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</si>
  <si>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</si>
  <si>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</si>
  <si>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</si>
  <si>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</si>
  <si>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</si>
  <si>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</si>
  <si>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</si>
  <si>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</si>
  <si>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</si>
  <si>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</si>
  <si>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</si>
  <si>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</si>
  <si>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</si>
  <si>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</si>
  <si>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</si>
  <si>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</si>
  <si>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</si>
  <si>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</si>
  <si>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</si>
  <si>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</si>
  <si>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</si>
  <si>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</si>
  <si>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</si>
  <si>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</si>
  <si>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</si>
  <si>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</si>
  <si>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</si>
  <si>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</si>
  <si>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</si>
  <si>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</si>
  <si>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</si>
  <si>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</si>
  <si>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</si>
  <si>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</si>
  <si>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</si>
  <si>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</si>
  <si>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</si>
  <si>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</si>
  <si>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</si>
  <si>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</si>
  <si>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</si>
  <si>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</si>
  <si>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</si>
  <si>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</si>
  <si>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</si>
  <si>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</si>
  <si>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</si>
  <si>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</si>
  <si>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</si>
  <si>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</si>
  <si>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</si>
  <si>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</si>
  <si>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</si>
  <si>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</si>
  <si>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</si>
  <si>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</si>
  <si>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</si>
  <si>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</si>
  <si>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</si>
  <si>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</si>
  <si>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</si>
  <si>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</si>
  <si>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</si>
  <si>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</si>
  <si>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</si>
  <si>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</si>
  <si>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</si>
  <si>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</si>
  <si>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</si>
  <si>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</si>
  <si>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</si>
  <si>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</si>
  <si>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</si>
  <si>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</si>
  <si>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</si>
  <si>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</si>
  <si>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</si>
  <si>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</si>
  <si>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</si>
  <si>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</si>
  <si>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</si>
  <si>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</si>
  <si>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</si>
  <si>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</si>
  <si>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</si>
  <si>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</si>
  <si>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</si>
  <si>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</si>
  <si>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</si>
  <si>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</si>
  <si>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</si>
  <si>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</si>
  <si>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</si>
  <si>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</si>
  <si>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</si>
  <si>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</si>
  <si>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</si>
  <si>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</si>
  <si>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</si>
  <si>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</si>
  <si>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</si>
  <si>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</si>
  <si>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</si>
  <si>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</si>
  <si>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</si>
  <si>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</si>
  <si>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</si>
  <si>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</si>
  <si>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</si>
  <si>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</si>
  <si>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</si>
  <si>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</si>
  <si>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</si>
  <si>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</si>
  <si>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</si>
  <si>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</si>
  <si>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</si>
  <si>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</si>
  <si>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</si>
  <si>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</si>
  <si>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</si>
  <si>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</si>
  <si>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</si>
  <si>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</si>
  <si>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</si>
  <si>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</si>
  <si>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</si>
  <si>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</si>
  <si>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</si>
  <si>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</si>
  <si>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</si>
  <si>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</si>
  <si>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</si>
  <si>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</si>
  <si>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</si>
  <si>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</si>
  <si>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</si>
  <si>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</si>
  <si>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</si>
  <si>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</si>
  <si>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</si>
  <si>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</si>
  <si>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</si>
  <si>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</si>
  <si>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</si>
  <si>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</si>
  <si>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</si>
  <si>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</si>
  <si>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</si>
  <si>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</si>
  <si>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</si>
  <si>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</si>
  <si>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</si>
  <si>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</si>
  <si>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</si>
  <si>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</si>
  <si>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</si>
  <si>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</si>
  <si>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</si>
  <si>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</si>
  <si>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</si>
  <si>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</si>
  <si>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</si>
  <si>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</si>
  <si>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</si>
  <si>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</si>
  <si>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</si>
  <si>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</si>
  <si>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</si>
  <si>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</si>
  <si>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</si>
  <si>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</si>
  <si>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</si>
  <si>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</si>
  <si>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</si>
  <si>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</si>
  <si>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</si>
  <si>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</si>
  <si>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</si>
  <si>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</si>
  <si>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</si>
  <si>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</si>
  <si>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</si>
  <si>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</si>
  <si>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</si>
  <si>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</si>
  <si>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</si>
  <si>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</si>
  <si>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</si>
  <si>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</si>
  <si>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</si>
  <si>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</si>
  <si>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</si>
  <si>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</si>
  <si>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</si>
  <si>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</si>
  <si>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</si>
  <si>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</si>
  <si>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</si>
  <si>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</si>
  <si>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</si>
  <si>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</si>
  <si>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</si>
  <si>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</si>
  <si>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</si>
  <si>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</si>
  <si>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</si>
  <si>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</si>
  <si>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</si>
  <si>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</si>
  <si>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</si>
  <si>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</si>
  <si>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</si>
  <si>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</si>
  <si>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</si>
  <si>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</si>
  <si>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</si>
  <si>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</si>
  <si>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</si>
  <si>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</si>
  <si>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</si>
  <si>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</si>
  <si>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</si>
  <si>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</si>
  <si>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</si>
  <si>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</si>
  <si>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</si>
  <si>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</si>
  <si>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</si>
  <si>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</si>
  <si>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</si>
  <si>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</si>
  <si>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</si>
  <si>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</si>
  <si>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</si>
  <si>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</si>
  <si>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</si>
  <si>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</si>
  <si>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</si>
  <si>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</si>
  <si>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</si>
  <si>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</si>
  <si>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</si>
  <si>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</si>
  <si>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</si>
  <si>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</si>
  <si>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</si>
  <si>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</si>
  <si>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</si>
  <si>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</si>
  <si>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</si>
  <si>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</si>
  <si>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</si>
  <si>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</si>
  <si>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</si>
  <si>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</si>
  <si>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</si>
  <si>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</si>
  <si>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</si>
  <si>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</si>
  <si>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</si>
  <si>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</si>
  <si>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</si>
  <si>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</si>
  <si>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</si>
  <si>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</si>
  <si>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Implied growth rate EV/EBITDA</t>
  </si>
  <si>
    <t>Implied growth rate EV/Revenue</t>
  </si>
  <si>
    <t>Growth Rate estimates</t>
  </si>
  <si>
    <t>Exit EV/EBITDA estimates</t>
  </si>
  <si>
    <t>Input exit EV/EBITDA</t>
  </si>
  <si>
    <t>Input exit EV/Revenue</t>
  </si>
  <si>
    <t>Exit EV/Revenue estimates</t>
  </si>
  <si>
    <t>(2) Assume constant net debt</t>
  </si>
  <si>
    <t>(1) Assume no Special items unless specified otherwise</t>
  </si>
  <si>
    <t>Implied Y0 EV/EBITDA using perpetual growth rate</t>
  </si>
  <si>
    <t>Implied Y0 EV/EBITDA using EV/Revenue</t>
  </si>
  <si>
    <t>Implied Y0 EV/Revenue using perpetual growth rate</t>
  </si>
  <si>
    <t>Implied Y0 EV/Reneue using EV/EBITDA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</si>
</sst>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1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  <font>
      <sz val="12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0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8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/>
    <xf numFmtId="2" fontId="0" fillId="0" borderId="0" xfId="1" applyNumberFormat="1" applyFont="1"/>
    <xf numFmtId="2" fontId="0" fillId="9" borderId="40" xfId="1" applyNumberFormat="1" applyFont="1" applyFill="1" applyBorder="1"/>
    <xf numFmtId="0" fontId="49" fillId="0" borderId="0" xfId="0" applyFont="1"/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50" fillId="14" borderId="34" xfId="0" applyNumberFormat="1" applyFont="1" applyFill="1" applyBorder="1" applyAlignment="1" applyProtection="1">
      <alignment horizontal="right" indent="2"/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50" fillId="14" borderId="37" xfId="0" applyNumberFormat="1" applyFont="1" applyFill="1" applyBorder="1" applyAlignment="1" applyProtection="1">
      <alignment horizontal="right" indent="2"/>
      <protection locked="0"/>
    </xf>
    <xf numFmtId="2" fontId="50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22" fillId="14" borderId="35" xfId="0" applyNumberFormat="1" applyFont="1" applyFill="1" applyBorder="1" applyAlignment="1" applyProtection="1">
      <alignment horizontal="right" indent="2"/>
      <protection locked="0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left" indent="1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DCF!$O$109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DCF!$T$111:$T$113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75CBB04-7E95-A744-AE3F-222F111F2EC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4829CA-5336-9647-AC0F-F430F3129C6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21DFB2-E152-CD43-9029-07C96C27C1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DCF!$U$111:$U$113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DCF!$Q$111:$Q$113</c15:f>
                <c15:dlblRangeCache>
                  <c:ptCount val="3"/>
                  <c:pt idx="0">
                    <c:v>1,5%</c:v>
                  </c:pt>
                  <c:pt idx="1">
                    <c:v>#BLOCKED!</c:v>
                  </c:pt>
                  <c:pt idx="2">
                    <c:v>#BLOCKED!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925B01C-2DA3-6641-85F7-C327FFA1158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12B0D6-915D-9E43-8F7C-9728ECBB9BF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0A1765-DCAC-FE44-A7CD-CF7AF7A74C5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DCF!$V$111:$V$113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DCF!$R$111:$R$113</c15:f>
                <c15:dlblRangeCache>
                  <c:ptCount val="3"/>
                  <c:pt idx="0">
                    <c:v>2,00% </c:v>
                  </c:pt>
                  <c:pt idx="1">
                    <c:v>#BLOCKED!</c:v>
                  </c:pt>
                  <c:pt idx="2">
                    <c:v>#BLOCKED!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DCF!$O$163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A235BDE-F154-9744-BB7F-A10BCD81D24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6F003D-4717-6845-BC43-B08CB6CE13D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BEBF52-6445-7548-B283-0E508B48F7E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EA8542-05C8-4940-BB66-D02CD09A155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DCF!$T$165:$T$168</c:f>
              <c:numCache>
                <c:formatCode>0.00</c:formatCode>
                <c:ptCount val="4"/>
                <c:pt idx="0">
                  <c:v>0</c:v>
                </c:pt>
                <c:pt idx="1">
                  <c:v>9.0992993772289346</c:v>
                </c:pt>
                <c:pt idx="2">
                  <c:v>0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DCF!$P$165:$P$168</c15:f>
                <c15:dlblRangeCache>
                  <c:ptCount val="4"/>
                  <c:pt idx="0">
                    <c:v>#BLOCKED!</c:v>
                  </c:pt>
                  <c:pt idx="1">
                    <c:v>9,10</c:v>
                  </c:pt>
                  <c:pt idx="2">
                    <c:v>#BLOCKED!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C139348-F4B8-3145-AA70-67B4A1AADDD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1C8AC6-22CC-9747-8C1D-1473387DBAA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F49FFB-0059-2D4E-8D52-010C4C4920D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1C9CA7-48DF-E249-8F04-C2C3F81E5D3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DCF!$U$165:$U$168</c:f>
              <c:numCache>
                <c:formatCode>0.00</c:formatCode>
                <c:ptCount val="4"/>
                <c:pt idx="0">
                  <c:v>0</c:v>
                </c:pt>
                <c:pt idx="1">
                  <c:v>1.8356480513733722</c:v>
                </c:pt>
                <c:pt idx="2">
                  <c:v>0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DCF!$Q$165:$Q$168</c15:f>
                <c15:dlblRangeCache>
                  <c:ptCount val="4"/>
                  <c:pt idx="0">
                    <c:v>#BLOCKED!</c:v>
                  </c:pt>
                  <c:pt idx="1">
                    <c:v>10,93</c:v>
                  </c:pt>
                  <c:pt idx="2">
                    <c:v>#BLOCKED!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4AD7F51-8A1D-2C4D-88CC-B4D4ABAB053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862DAE-2574-0944-A96E-E509BA9941B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A468C9-C58F-AD42-8EC1-BE56D734A7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EE1053-43EF-1846-B8C7-853615394C9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DCF!$V$165:$V$168</c:f>
              <c:numCache>
                <c:formatCode>0.00</c:formatCode>
                <c:ptCount val="4"/>
                <c:pt idx="0">
                  <c:v>0</c:v>
                </c:pt>
                <c:pt idx="1">
                  <c:v>2.7947608684547181</c:v>
                </c:pt>
                <c:pt idx="2">
                  <c:v>0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DCF!$R$165:$R$168</c15:f>
                <c15:dlblRangeCache>
                  <c:ptCount val="4"/>
                  <c:pt idx="0">
                    <c:v>#BLOCKED!</c:v>
                  </c:pt>
                  <c:pt idx="1">
                    <c:v>13,73</c:v>
                  </c:pt>
                  <c:pt idx="2">
                    <c:v>#BLOCKED!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DCF!$O$216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00FBA76-98EF-9E43-8A37-7675AC7A0AF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B2A90D-0A99-4A46-ACE6-5F01824E9DB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10CD38-035D-1A43-81E9-EAA586812A7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1333A6-F059-094D-9FD9-3942718D81C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DCF!$T$218:$T$221</c:f>
              <c:numCache>
                <c:formatCode>0.00</c:formatCode>
                <c:ptCount val="4"/>
                <c:pt idx="0">
                  <c:v>0</c:v>
                </c:pt>
                <c:pt idx="1">
                  <c:v>1.3912272388525655</c:v>
                </c:pt>
                <c:pt idx="2">
                  <c:v>0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DCF!$P$218:$P$221</c15:f>
                <c15:dlblRangeCache>
                  <c:ptCount val="4"/>
                  <c:pt idx="0">
                    <c:v>#BLOCKED!</c:v>
                  </c:pt>
                  <c:pt idx="1">
                    <c:v>1,39</c:v>
                  </c:pt>
                  <c:pt idx="2">
                    <c:v>#BLOCKED!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8B0AED1-83FC-984A-97F8-503DE11E96F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5B91DA-5044-7943-9B01-066EB25D053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1B7E31-1937-4144-B8AC-AFC4B7E470B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8F98C4-ED16-A843-9FCF-F5AF07D5659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DCF!$U$218:$U$221</c:f>
              <c:numCache>
                <c:formatCode>0.00</c:formatCode>
                <c:ptCount val="4"/>
                <c:pt idx="0">
                  <c:v>0</c:v>
                </c:pt>
                <c:pt idx="1">
                  <c:v>0.28065936333605879</c:v>
                </c:pt>
                <c:pt idx="2">
                  <c:v>0</c:v>
                </c:pt>
                <c:pt idx="3">
                  <c:v>7.0500935898252877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DCF!$Q$218:$Q$221</c15:f>
                <c15:dlblRangeCache>
                  <c:ptCount val="4"/>
                  <c:pt idx="0">
                    <c:v>#BLOCKED!</c:v>
                  </c:pt>
                  <c:pt idx="1">
                    <c:v>1,67</c:v>
                  </c:pt>
                  <c:pt idx="2">
                    <c:v>#BLOCKED!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CDF936C-B357-994C-BDBA-679060B5087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E56826-4A38-EC4A-89AD-32138BBE00B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E91C38-8BF6-044E-86D3-34EBA17F864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52764F-8907-734D-8736-2A3ABCB1B6F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DCF!$V$218:$V$221</c:f>
              <c:numCache>
                <c:formatCode>0.00</c:formatCode>
                <c:ptCount val="4"/>
                <c:pt idx="0">
                  <c:v>0</c:v>
                </c:pt>
                <c:pt idx="1">
                  <c:v>0.42730184875591326</c:v>
                </c:pt>
                <c:pt idx="2">
                  <c:v>0</c:v>
                </c:pt>
                <c:pt idx="3">
                  <c:v>7.4439996966093451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DCF!$R$218:$R$221</c15:f>
                <c15:dlblRangeCache>
                  <c:ptCount val="4"/>
                  <c:pt idx="0">
                    <c:v>#BLOCKED!</c:v>
                  </c:pt>
                  <c:pt idx="1">
                    <c:v>2,10</c:v>
                  </c:pt>
                  <c:pt idx="2">
                    <c:v>#BLOCKED!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2FA0AC3-F10F-7F4B-9EC0-80E72F8CA31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1C57FF-4F51-D64F-BD4B-FA534954A27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8409CC-6F2E-8B4A-A676-346034F6239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7C5BD0-AFFE-3848-9B42-19807BB0294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8A557E-5344-AE41-B205-ABA03451C68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DAB34D-15EF-6D41-885D-5906DE77C4E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9.8607521877802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9,86 €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1FC99EB-F221-3548-9CDF-1138E9228EB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FF75E7-A3FE-114F-9407-F35193DA644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969E9B-3C3A-204F-8D71-2890F84AF8C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6EDEE2-2ABF-C340-94D5-B01B0C26BDC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A7AC59-836C-714C-BCBE-6E7A4EFEB2E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1B6E38B-5C27-1049-857A-1DC0C35EDAB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1.790157294337817</c:v>
                </c:pt>
                <c:pt idx="2">
                  <c:v>47.253542026061233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11,65 €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8DB3BC5-87C3-CB41-BE3B-B95E30E1694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8C34E5-E5ED-0043-8DE3-88E1B39BD42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9B784F-A106-174E-865E-DCBA5D4032E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E3C400-B97C-A849-8A56-9188CFC9CD6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2C728F-36CD-B54E-B5EB-D63C374CFE2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68165C-1611-0B43-A664-59C81213998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2.7255015202129727</c:v>
                </c:pt>
                <c:pt idx="2">
                  <c:v>45.195562515145213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14,38 €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90</xdr:row>
      <xdr:rowOff>0</xdr:rowOff>
    </xdr:from>
    <xdr:to>
      <xdr:col>17</xdr:col>
      <xdr:colOff>2425700</xdr:colOff>
      <xdr:row>107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143</xdr:row>
      <xdr:rowOff>97692</xdr:rowOff>
    </xdr:from>
    <xdr:to>
      <xdr:col>17</xdr:col>
      <xdr:colOff>2432539</xdr:colOff>
      <xdr:row>161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196</xdr:row>
      <xdr:rowOff>160462</xdr:rowOff>
    </xdr:from>
    <xdr:to>
      <xdr:col>17</xdr:col>
      <xdr:colOff>2413000</xdr:colOff>
      <xdr:row>214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10</v>
    <v>1</v>
  </rv>
  <rv s="1">
    <v>10</v>
    <v>8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F22" sqref="F22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236</v>
      </c>
      <c r="C4" s="272"/>
      <c r="D4" s="124"/>
    </row>
    <row r="5" spans="2:16384">
      <c r="B5" s="125"/>
      <c r="C5" s="273" t="s">
        <v>151</v>
      </c>
      <c r="D5" s="35"/>
    </row>
    <row r="6" spans="2:16384">
      <c r="B6" s="130" t="s">
        <v>93</v>
      </c>
      <c r="C6" s="273" t="s">
        <v>155</v>
      </c>
      <c r="D6" s="131">
        <v>0.1</v>
      </c>
    </row>
    <row r="7" spans="2:16384">
      <c r="B7" s="128"/>
      <c r="C7" s="273"/>
      <c r="D7" s="35"/>
    </row>
    <row r="8" spans="2:16384">
      <c r="B8" s="128" t="s">
        <v>86</v>
      </c>
      <c r="C8" s="273" t="s">
        <v>155</v>
      </c>
      <c r="D8" s="118">
        <f>Average_Gross_Margin</f>
        <v>0.72014242893006786</v>
      </c>
    </row>
    <row r="9" spans="2:16384">
      <c r="B9" s="128" t="s">
        <v>94</v>
      </c>
      <c r="C9" s="273" t="s">
        <v>155</v>
      </c>
      <c r="D9" s="118">
        <f>Growth_Sales</f>
        <v>0.1</v>
      </c>
    </row>
    <row r="10" spans="2:16384">
      <c r="B10" s="128" t="s">
        <v>96</v>
      </c>
      <c r="C10" s="273" t="s">
        <v>155</v>
      </c>
      <c r="D10" s="120">
        <v>0.02</v>
      </c>
    </row>
    <row r="11" spans="2:16384">
      <c r="B11" s="128"/>
      <c r="C11" s="273"/>
      <c r="D11" s="35"/>
    </row>
    <row r="12" spans="2:16384">
      <c r="B12" s="128" t="s">
        <v>118</v>
      </c>
      <c r="C12" s="273" t="s">
        <v>155</v>
      </c>
      <c r="D12" s="120">
        <v>0.03</v>
      </c>
    </row>
    <row r="13" spans="2:16384">
      <c r="B13" s="128" t="s">
        <v>119</v>
      </c>
      <c r="C13" s="273" t="s">
        <v>155</v>
      </c>
      <c r="D13" s="120">
        <v>0.02</v>
      </c>
    </row>
    <row r="14" spans="2:16384">
      <c r="B14" s="128"/>
      <c r="C14" s="273"/>
      <c r="D14" s="35"/>
    </row>
    <row r="15" spans="2:16384">
      <c r="B15" s="128" t="s">
        <v>237</v>
      </c>
      <c r="C15" s="273" t="s">
        <v>155</v>
      </c>
      <c r="D15" s="121">
        <v>1.4999999999999999E-2</v>
      </c>
    </row>
    <row r="16" spans="2:16384">
      <c r="B16" s="128"/>
      <c r="C16" s="273"/>
      <c r="D16" s="35"/>
    </row>
    <row r="17" spans="2:4">
      <c r="B17" s="128" t="s">
        <v>95</v>
      </c>
      <c r="C17" s="273" t="s">
        <v>155</v>
      </c>
      <c r="D17" s="120">
        <f>30%</f>
        <v>0.3</v>
      </c>
    </row>
    <row r="18" spans="2:4">
      <c r="B18" s="128" t="s">
        <v>238</v>
      </c>
      <c r="C18" s="273" t="s">
        <v>155</v>
      </c>
      <c r="D18" s="118">
        <f>ABS(Latest_Interest/Total_Debt_FY_minu1)</f>
        <v>2.7139874739039668E-2</v>
      </c>
    </row>
    <row r="19" spans="2:4">
      <c r="B19" s="128"/>
      <c r="C19" s="273"/>
      <c r="D19" s="35"/>
    </row>
    <row r="20" spans="2:4">
      <c r="B20" s="128" t="s">
        <v>241</v>
      </c>
      <c r="C20" s="273" t="s">
        <v>154</v>
      </c>
      <c r="D20" s="122">
        <f>Average_Inventory_Turnover</f>
        <v>5.4574954602297057</v>
      </c>
    </row>
    <row r="21" spans="2:4">
      <c r="B21" s="128" t="s">
        <v>239</v>
      </c>
      <c r="C21" s="273" t="s">
        <v>154</v>
      </c>
      <c r="D21" s="122">
        <f>Average_Receivables_Turnover</f>
        <v>26.392398910547467</v>
      </c>
    </row>
    <row r="22" spans="2:4">
      <c r="B22" s="129" t="s">
        <v>240</v>
      </c>
      <c r="C22" s="274" t="s">
        <v>154</v>
      </c>
      <c r="D22" s="127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3"/>
  <sheetViews>
    <sheetView tabSelected="1" zoomScale="66" workbookViewId="0">
      <selection activeCell="B27" sqref="B27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43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6" s="37" customFormat="1" ht="21" outlineLevel="1" thickBot="1">
      <c r="A2"/>
      <c r="B2" s="38" t="s">
        <v>162</v>
      </c>
    </row>
    <row r="3" spans="1:16" ht="17" thickTop="1"/>
    <row r="4" spans="1:16" s="42" customFormat="1">
      <c r="A4"/>
      <c r="B4" s="143" t="s">
        <v>162</v>
      </c>
      <c r="C4" s="143"/>
      <c r="D4" s="144"/>
      <c r="E4" s="145"/>
      <c r="F4" s="146" t="s">
        <v>149</v>
      </c>
      <c r="G4" s="147"/>
      <c r="H4" s="146"/>
      <c r="I4" s="146"/>
      <c r="J4" s="146"/>
      <c r="K4" s="146"/>
      <c r="L4" s="146"/>
      <c r="M4" s="146"/>
      <c r="N4" s="146"/>
      <c r="O4" s="146"/>
    </row>
    <row r="5" spans="1:16" s="41" customFormat="1">
      <c r="A5"/>
      <c r="B5" s="148" t="s">
        <v>150</v>
      </c>
      <c r="C5" s="149" t="s">
        <v>151</v>
      </c>
      <c r="D5" s="150">
        <f>Start_Year-1</f>
        <v>2022</v>
      </c>
      <c r="E5" s="151">
        <f>Start_Year</f>
        <v>2023</v>
      </c>
      <c r="F5" s="152">
        <f t="shared" ref="F5:O5" si="0">IF(COLUMN()-COLUMN($E$5)&lt;=Years_Forecasted, E5+1, "")</f>
        <v>2024</v>
      </c>
      <c r="G5" s="153">
        <f t="shared" si="0"/>
        <v>2025</v>
      </c>
      <c r="H5" s="153">
        <f t="shared" si="0"/>
        <v>2026</v>
      </c>
      <c r="I5" s="153" t="str">
        <f t="shared" si="0"/>
        <v/>
      </c>
      <c r="J5" s="153" t="str">
        <f t="shared" si="0"/>
        <v/>
      </c>
      <c r="K5" s="153" t="str">
        <f t="shared" si="0"/>
        <v/>
      </c>
      <c r="L5" s="153" t="str">
        <f t="shared" si="0"/>
        <v/>
      </c>
      <c r="M5" s="153" t="str">
        <f t="shared" si="0"/>
        <v/>
      </c>
      <c r="N5" s="153" t="str">
        <f t="shared" si="0"/>
        <v/>
      </c>
      <c r="O5" s="153" t="str">
        <f t="shared" si="0"/>
        <v/>
      </c>
    </row>
    <row r="6" spans="1:16">
      <c r="B6" t="s">
        <v>44</v>
      </c>
      <c r="C6" s="154" t="s">
        <v>163</v>
      </c>
      <c r="D6" s="155">
        <f>'Income Statement Historic'!D6</f>
        <v>81462</v>
      </c>
      <c r="E6" s="156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6">
      <c r="B7" t="s">
        <v>45</v>
      </c>
      <c r="C7" s="157" t="s">
        <v>163</v>
      </c>
      <c r="D7" s="158">
        <f>'Income Statement Historic'!D7</f>
        <v>56862</v>
      </c>
      <c r="E7" s="159">
        <f>'Income Statement Historic'!C7</f>
        <v>74446</v>
      </c>
      <c r="F7" s="160">
        <f>IF(F5="","",F6*F30)</f>
        <v>76659.377602334411</v>
      </c>
      <c r="G7" s="160">
        <f t="shared" ref="G7:O7" si="2">IF(G5="","",G6*G30)</f>
        <v>84325.315362567853</v>
      </c>
      <c r="H7" s="160">
        <f t="shared" si="2"/>
        <v>92757.846898824646</v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2"/>
        <v/>
      </c>
      <c r="O7" s="160" t="str">
        <f t="shared" si="2"/>
        <v/>
      </c>
    </row>
    <row r="8" spans="1:16" outlineLevel="1">
      <c r="B8" s="161" t="s">
        <v>164</v>
      </c>
      <c r="C8" s="162" t="s">
        <v>163</v>
      </c>
      <c r="D8" s="163">
        <f>IF(D6="","",D6-D7)</f>
        <v>24600</v>
      </c>
      <c r="E8" s="164">
        <f>IF(E6="","",E6-E7)</f>
        <v>22327</v>
      </c>
      <c r="F8" s="163">
        <f t="shared" ref="F8:O8" si="3">IF(F6="","",F6-F7)</f>
        <v>29790.922397665592</v>
      </c>
      <c r="G8" s="163">
        <f t="shared" si="3"/>
        <v>32770.014637432163</v>
      </c>
      <c r="H8" s="163">
        <f t="shared" si="3"/>
        <v>36047.016101175381</v>
      </c>
      <c r="I8" s="163" t="str">
        <f t="shared" si="3"/>
        <v/>
      </c>
      <c r="J8" s="163" t="str">
        <f t="shared" si="3"/>
        <v/>
      </c>
      <c r="K8" s="163" t="str">
        <f t="shared" si="3"/>
        <v/>
      </c>
      <c r="L8" s="163" t="str">
        <f t="shared" si="3"/>
        <v/>
      </c>
      <c r="M8" s="163" t="str">
        <f t="shared" si="3"/>
        <v/>
      </c>
      <c r="N8" s="163" t="str">
        <f t="shared" si="3"/>
        <v/>
      </c>
      <c r="O8" s="163" t="str">
        <f t="shared" si="3"/>
        <v/>
      </c>
    </row>
    <row r="9" spans="1:16" outlineLevel="1">
      <c r="B9" s="1"/>
      <c r="C9" s="162"/>
      <c r="D9" s="163"/>
      <c r="E9" s="164"/>
      <c r="F9" s="163"/>
      <c r="G9" s="163"/>
      <c r="H9" s="163"/>
      <c r="I9" s="163"/>
      <c r="J9" s="163"/>
      <c r="K9" s="163"/>
      <c r="L9" s="163"/>
      <c r="M9" s="163"/>
      <c r="N9" s="163"/>
      <c r="O9" s="163"/>
    </row>
    <row r="10" spans="1:16">
      <c r="B10" s="165" t="s">
        <v>47</v>
      </c>
      <c r="C10" s="157" t="s">
        <v>163</v>
      </c>
      <c r="D10" s="158">
        <f>'Income Statement Historic'!D9</f>
        <v>7021</v>
      </c>
      <c r="E10" s="159">
        <f>'Income Statement Historic'!C9</f>
        <v>8769</v>
      </c>
      <c r="F10" s="160">
        <f>IF(F5="","",E10*(1+F31))</f>
        <v>9645.9000000000015</v>
      </c>
      <c r="G10" s="160">
        <f t="shared" ref="G10:O10" si="4">IF(G5="","",F10*(1+G31))</f>
        <v>10610.490000000002</v>
      </c>
      <c r="H10" s="160">
        <f>IF(H5="","",G10*(1+H31))</f>
        <v>11671.539000000002</v>
      </c>
      <c r="I10" s="160" t="str">
        <f t="shared" si="4"/>
        <v/>
      </c>
      <c r="J10" s="160" t="str">
        <f t="shared" si="4"/>
        <v/>
      </c>
      <c r="K10" s="160" t="str">
        <f t="shared" si="4"/>
        <v/>
      </c>
      <c r="L10" s="160" t="str">
        <f t="shared" si="4"/>
        <v/>
      </c>
      <c r="M10" s="160" t="str">
        <f t="shared" si="4"/>
        <v/>
      </c>
      <c r="N10" s="160" t="str">
        <f t="shared" si="4"/>
        <v/>
      </c>
      <c r="O10" s="160" t="str">
        <f t="shared" si="4"/>
        <v/>
      </c>
    </row>
    <row r="11" spans="1:16">
      <c r="B11" s="1" t="s">
        <v>49</v>
      </c>
      <c r="C11" s="162" t="s">
        <v>163</v>
      </c>
      <c r="D11" s="163">
        <f>IF(D8="","",D8-D10)</f>
        <v>17579</v>
      </c>
      <c r="E11" s="164">
        <f t="shared" ref="E11:O11" si="5">IF(E8="","",E8-E10)</f>
        <v>13558</v>
      </c>
      <c r="F11" s="163">
        <f t="shared" si="5"/>
        <v>20145.022397665591</v>
      </c>
      <c r="G11" s="163">
        <f t="shared" si="5"/>
        <v>22159.524637432161</v>
      </c>
      <c r="H11" s="163">
        <f t="shared" si="5"/>
        <v>24375.477101175376</v>
      </c>
      <c r="I11" s="163" t="str">
        <f t="shared" si="5"/>
        <v/>
      </c>
      <c r="J11" s="163" t="str">
        <f t="shared" si="5"/>
        <v/>
      </c>
      <c r="K11" s="163" t="str">
        <f t="shared" si="5"/>
        <v/>
      </c>
      <c r="L11" s="163" t="str">
        <f t="shared" si="5"/>
        <v/>
      </c>
      <c r="M11" s="163" t="str">
        <f t="shared" si="5"/>
        <v/>
      </c>
      <c r="N11" s="163" t="str">
        <f t="shared" si="5"/>
        <v/>
      </c>
      <c r="O11" s="163" t="str">
        <f t="shared" si="5"/>
        <v/>
      </c>
    </row>
    <row r="12" spans="1:16">
      <c r="C12" s="154"/>
      <c r="D12" s="155"/>
      <c r="E12" s="156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6">
      <c r="B13" t="s">
        <v>50</v>
      </c>
      <c r="C13" s="154" t="s">
        <v>163</v>
      </c>
      <c r="D13" s="155">
        <f>'Income Statement Historic'!D12</f>
        <v>114</v>
      </c>
      <c r="E13" s="156">
        <f>'Income Statement Historic'!C12</f>
        <v>1238</v>
      </c>
      <c r="F13" s="6">
        <f>IF(F5="","",E13*(1+F33))</f>
        <v>1262.76</v>
      </c>
      <c r="G13" s="6">
        <f t="shared" ref="G13:O13" si="6">IF(G5="","",F13*(1+G33))</f>
        <v>1288.0152</v>
      </c>
      <c r="H13" s="6">
        <f>IF(H5="","",G13*(1+H33))</f>
        <v>1313.7755040000002</v>
      </c>
      <c r="I13" s="6" t="str">
        <f t="shared" si="6"/>
        <v/>
      </c>
      <c r="J13" s="6" t="str">
        <f t="shared" si="6"/>
        <v/>
      </c>
      <c r="K13" s="6" t="str">
        <f t="shared" si="6"/>
        <v/>
      </c>
      <c r="L13" s="6" t="str">
        <f t="shared" si="6"/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</row>
    <row r="14" spans="1:16" ht="18">
      <c r="B14" s="165" t="s">
        <v>51</v>
      </c>
      <c r="C14" s="157" t="s">
        <v>163</v>
      </c>
      <c r="D14" s="158">
        <f>'Income Statement Historic'!D13</f>
        <v>-36</v>
      </c>
      <c r="E14" s="159">
        <f>'Income Statement Historic'!C13</f>
        <v>0</v>
      </c>
      <c r="F14" s="160">
        <f>IF(F5="","",0)</f>
        <v>0</v>
      </c>
      <c r="G14" s="160">
        <f t="shared" ref="G14:O14" si="7">IF(G5="","",0)</f>
        <v>0</v>
      </c>
      <c r="H14" s="160">
        <f t="shared" si="7"/>
        <v>0</v>
      </c>
      <c r="I14" s="160" t="str">
        <f t="shared" si="7"/>
        <v/>
      </c>
      <c r="J14" s="160" t="str">
        <f t="shared" si="7"/>
        <v/>
      </c>
      <c r="K14" s="160" t="str">
        <f t="shared" si="7"/>
        <v/>
      </c>
      <c r="L14" s="160" t="str">
        <f t="shared" si="7"/>
        <v/>
      </c>
      <c r="M14" s="160" t="str">
        <f t="shared" si="7"/>
        <v/>
      </c>
      <c r="N14" s="160" t="str">
        <f t="shared" si="7"/>
        <v/>
      </c>
      <c r="O14" s="160" t="str">
        <f t="shared" si="7"/>
        <v/>
      </c>
      <c r="P14" s="173">
        <v>1</v>
      </c>
    </row>
    <row r="15" spans="1:16">
      <c r="B15" s="1" t="s">
        <v>192</v>
      </c>
      <c r="C15" s="154" t="s">
        <v>163</v>
      </c>
      <c r="D15" s="166">
        <f>IF(D5&lt;&gt;"",SUM(D11:D14),"")</f>
        <v>17657</v>
      </c>
      <c r="E15" s="167">
        <f t="shared" ref="E15:O15" si="8">IF(E5&lt;&gt;"",SUM(E11:E14),"")</f>
        <v>14796</v>
      </c>
      <c r="F15" s="166">
        <f t="shared" si="8"/>
        <v>21407.782397665589</v>
      </c>
      <c r="G15" s="166">
        <f t="shared" si="8"/>
        <v>23447.539837432163</v>
      </c>
      <c r="H15" s="166">
        <f t="shared" si="8"/>
        <v>25689.252605175378</v>
      </c>
      <c r="I15" s="166" t="str">
        <f t="shared" si="8"/>
        <v/>
      </c>
      <c r="J15" s="166" t="str">
        <f t="shared" si="8"/>
        <v/>
      </c>
      <c r="K15" s="166" t="str">
        <f t="shared" si="8"/>
        <v/>
      </c>
      <c r="L15" s="166" t="str">
        <f t="shared" si="8"/>
        <v/>
      </c>
      <c r="M15" s="166" t="str">
        <f t="shared" si="8"/>
        <v/>
      </c>
      <c r="N15" s="166" t="str">
        <f t="shared" si="8"/>
        <v/>
      </c>
      <c r="O15" s="166" t="str">
        <f t="shared" si="8"/>
        <v/>
      </c>
    </row>
    <row r="16" spans="1:16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6">
      <c r="B17" s="165" t="s">
        <v>48</v>
      </c>
      <c r="C17" s="157" t="s">
        <v>163</v>
      </c>
      <c r="D17" s="158">
        <f t="shared" ref="D17:O17" ca="1" si="9">D32</f>
        <v>3747</v>
      </c>
      <c r="E17" s="159">
        <f t="shared" ca="1" si="9"/>
        <v>4667</v>
      </c>
      <c r="F17" s="158">
        <f t="shared" ca="1" si="9"/>
        <v>5632.9396725001388</v>
      </c>
      <c r="G17" s="158">
        <f t="shared" ca="1" si="9"/>
        <v>6627.8575351752816</v>
      </c>
      <c r="H17" s="158">
        <f t="shared" ca="1" si="9"/>
        <v>7652.6229337306795</v>
      </c>
      <c r="I17" s="158" t="str">
        <f t="shared" si="9"/>
        <v/>
      </c>
      <c r="J17" s="158" t="str">
        <f t="shared" si="9"/>
        <v/>
      </c>
      <c r="K17" s="158" t="str">
        <f>K32</f>
        <v/>
      </c>
      <c r="L17" s="158" t="str">
        <f t="shared" si="9"/>
        <v/>
      </c>
      <c r="M17" s="158" t="str">
        <f t="shared" si="9"/>
        <v/>
      </c>
      <c r="N17" s="158" t="str">
        <f t="shared" si="9"/>
        <v/>
      </c>
      <c r="O17" s="158" t="str">
        <f t="shared" si="9"/>
        <v/>
      </c>
    </row>
    <row r="18" spans="1:16">
      <c r="B18" s="1" t="s">
        <v>1</v>
      </c>
      <c r="C18" s="162" t="s">
        <v>163</v>
      </c>
      <c r="D18" s="163">
        <f ca="1">IF(D11="","",D15-D17)</f>
        <v>13910</v>
      </c>
      <c r="E18" s="164">
        <f t="shared" ref="E18:O18" ca="1" si="10">IF(E11="","",E15-E17)</f>
        <v>10129</v>
      </c>
      <c r="F18" s="163">
        <f t="shared" ca="1" si="10"/>
        <v>15774.84272516545</v>
      </c>
      <c r="G18" s="163">
        <f t="shared" ca="1" si="10"/>
        <v>16819.682302256882</v>
      </c>
      <c r="H18" s="163">
        <f t="shared" ca="1" si="10"/>
        <v>18036.629671444698</v>
      </c>
      <c r="I18" s="163" t="str">
        <f t="shared" si="10"/>
        <v/>
      </c>
      <c r="J18" s="163" t="str">
        <f t="shared" si="10"/>
        <v/>
      </c>
      <c r="K18" s="163" t="str">
        <f t="shared" si="10"/>
        <v/>
      </c>
      <c r="L18" s="163" t="str">
        <f t="shared" si="10"/>
        <v/>
      </c>
      <c r="M18" s="163" t="str">
        <f t="shared" si="10"/>
        <v/>
      </c>
      <c r="N18" s="163" t="str">
        <f t="shared" si="10"/>
        <v/>
      </c>
      <c r="O18" s="163" t="str">
        <f t="shared" si="10"/>
        <v/>
      </c>
    </row>
    <row r="19" spans="1:16">
      <c r="B19" s="1"/>
      <c r="C19" s="162"/>
      <c r="D19" s="163"/>
      <c r="E19" s="164"/>
      <c r="F19" s="163"/>
      <c r="G19" s="163"/>
      <c r="H19" s="163"/>
      <c r="I19" s="163"/>
      <c r="J19" s="163"/>
      <c r="K19" s="163"/>
      <c r="L19" s="163"/>
      <c r="M19" s="163"/>
      <c r="N19" s="163"/>
      <c r="O19" s="163"/>
    </row>
    <row r="20" spans="1:16" ht="18">
      <c r="B20" s="165" t="s">
        <v>52</v>
      </c>
      <c r="C20" s="157" t="s">
        <v>163</v>
      </c>
      <c r="D20" s="158">
        <f>'Income Statement Historic'!D15</f>
        <v>-191</v>
      </c>
      <c r="E20" s="159">
        <f>'Income Statement Historic'!C15</f>
        <v>-156</v>
      </c>
      <c r="F20" s="160">
        <f>IF(F5="","",-Total_Debt_FY0*F35)</f>
        <v>-259.81002087682674</v>
      </c>
      <c r="G20" s="160">
        <f t="shared" ref="G20:O20" si="11">IF(G5="","",-Total_Debt_FY0*G35)</f>
        <v>-259.81002087682674</v>
      </c>
      <c r="H20" s="160">
        <f>IF(H5="","",-Total_Debt_FY0*H35)</f>
        <v>-259.81002087682674</v>
      </c>
      <c r="I20" s="160" t="str">
        <f t="shared" si="11"/>
        <v/>
      </c>
      <c r="J20" s="160" t="str">
        <f t="shared" si="11"/>
        <v/>
      </c>
      <c r="K20" s="160" t="str">
        <f t="shared" si="11"/>
        <v/>
      </c>
      <c r="L20" s="160" t="str">
        <f t="shared" si="11"/>
        <v/>
      </c>
      <c r="M20" s="160" t="str">
        <f t="shared" si="11"/>
        <v/>
      </c>
      <c r="N20" s="160" t="str">
        <f t="shared" si="11"/>
        <v/>
      </c>
      <c r="O20" s="160" t="str">
        <f t="shared" si="11"/>
        <v/>
      </c>
      <c r="P20" s="173">
        <v>2</v>
      </c>
    </row>
    <row r="21" spans="1:16">
      <c r="B21" s="1" t="s">
        <v>53</v>
      </c>
      <c r="C21" s="162" t="s">
        <v>163</v>
      </c>
      <c r="D21" s="163">
        <f ca="1">IF(D18="","",SUM(D18:D20))</f>
        <v>13719</v>
      </c>
      <c r="E21" s="164">
        <f t="shared" ref="E21:O21" ca="1" si="12">IF(E18="","",SUM(E18:E20))</f>
        <v>9973</v>
      </c>
      <c r="F21" s="163">
        <f t="shared" ca="1" si="12"/>
        <v>15515.032704288624</v>
      </c>
      <c r="G21" s="163">
        <f t="shared" ca="1" si="12"/>
        <v>16559.872281380056</v>
      </c>
      <c r="H21" s="163">
        <f t="shared" ca="1" si="12"/>
        <v>17776.819650567872</v>
      </c>
      <c r="I21" s="163" t="str">
        <f t="shared" si="12"/>
        <v/>
      </c>
      <c r="J21" s="163" t="str">
        <f t="shared" si="12"/>
        <v/>
      </c>
      <c r="K21" s="163" t="str">
        <f t="shared" si="12"/>
        <v/>
      </c>
      <c r="L21" s="163" t="str">
        <f t="shared" si="12"/>
        <v/>
      </c>
      <c r="M21" s="163" t="str">
        <f t="shared" si="12"/>
        <v/>
      </c>
      <c r="N21" s="163" t="str">
        <f t="shared" si="12"/>
        <v/>
      </c>
      <c r="O21" s="163" t="str">
        <f t="shared" si="12"/>
        <v/>
      </c>
    </row>
    <row r="22" spans="1:16">
      <c r="B22" s="1"/>
      <c r="C22" s="162"/>
      <c r="D22" s="163"/>
      <c r="E22" s="164"/>
      <c r="F22" s="163"/>
      <c r="G22" s="163"/>
      <c r="H22" s="163"/>
      <c r="I22" s="163"/>
      <c r="J22" s="163"/>
      <c r="K22" s="163"/>
      <c r="L22" s="163"/>
      <c r="M22" s="163"/>
      <c r="N22" s="163"/>
      <c r="O22" s="163"/>
    </row>
    <row r="23" spans="1:16">
      <c r="B23" t="s">
        <v>54</v>
      </c>
      <c r="C23" s="154" t="s">
        <v>163</v>
      </c>
      <c r="D23" s="155">
        <f>-'Income Statement Historic'!D17</f>
        <v>-1132</v>
      </c>
      <c r="E23" s="156">
        <f>-'Income Statement Historic'!C17</f>
        <v>5001</v>
      </c>
      <c r="F23" s="6">
        <f ca="1">IF(F5="","",-F21*F34)</f>
        <v>-4654.5098112865871</v>
      </c>
      <c r="G23" s="6">
        <f t="shared" ref="G23:O23" ca="1" si="13">IF(G5="","",-G21*G34)</f>
        <v>-4967.9616844140164</v>
      </c>
      <c r="H23" s="6">
        <f t="shared" ca="1" si="13"/>
        <v>-5333.0458951703613</v>
      </c>
      <c r="I23" s="6" t="str">
        <f t="shared" si="13"/>
        <v/>
      </c>
      <c r="J23" s="6" t="str">
        <f t="shared" si="13"/>
        <v/>
      </c>
      <c r="K23" s="6" t="str">
        <f t="shared" si="13"/>
        <v/>
      </c>
      <c r="L23" s="6" t="str">
        <f t="shared" si="13"/>
        <v/>
      </c>
      <c r="M23" s="6" t="str">
        <f t="shared" si="13"/>
        <v/>
      </c>
      <c r="N23" s="6" t="str">
        <f t="shared" si="13"/>
        <v/>
      </c>
      <c r="O23" s="6" t="str">
        <f t="shared" si="13"/>
        <v/>
      </c>
    </row>
    <row r="24" spans="1:16" ht="17" thickBot="1">
      <c r="B24" s="39" t="s">
        <v>55</v>
      </c>
      <c r="C24" s="168" t="s">
        <v>163</v>
      </c>
      <c r="D24" s="169">
        <f ca="1">IF(D21="","",SUM(D21:D23))</f>
        <v>12587</v>
      </c>
      <c r="E24" s="170">
        <f t="shared" ref="E24:O24" ca="1" si="14">IF(E21="","",SUM(E21:E23))</f>
        <v>14974</v>
      </c>
      <c r="F24" s="169">
        <f t="shared" ca="1" si="14"/>
        <v>10860.522893002037</v>
      </c>
      <c r="G24" s="169">
        <f t="shared" ca="1" si="14"/>
        <v>11591.91059696604</v>
      </c>
      <c r="H24" s="169">
        <f t="shared" ca="1" si="14"/>
        <v>12443.773755397509</v>
      </c>
      <c r="I24" s="169" t="str">
        <f t="shared" si="14"/>
        <v/>
      </c>
      <c r="J24" s="169" t="str">
        <f t="shared" si="14"/>
        <v/>
      </c>
      <c r="K24" s="169" t="str">
        <f t="shared" si="14"/>
        <v/>
      </c>
      <c r="L24" s="169" t="str">
        <f t="shared" si="14"/>
        <v/>
      </c>
      <c r="M24" s="169" t="str">
        <f t="shared" si="14"/>
        <v/>
      </c>
      <c r="N24" s="169" t="str">
        <f t="shared" si="14"/>
        <v/>
      </c>
      <c r="O24" s="169" t="str">
        <f t="shared" si="14"/>
        <v/>
      </c>
    </row>
    <row r="25" spans="1:16" ht="17" thickTop="1">
      <c r="E25" s="35"/>
    </row>
    <row r="26" spans="1:16">
      <c r="E26" s="35"/>
    </row>
    <row r="27" spans="1:16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6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6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5">IF(F5&lt;&gt;"",Growth_Sales,"")</f>
        <v>0.1</v>
      </c>
      <c r="G29" s="57">
        <f t="shared" si="15"/>
        <v>0.1</v>
      </c>
      <c r="H29" s="57">
        <f t="shared" si="15"/>
        <v>0.1</v>
      </c>
      <c r="I29" s="57" t="str">
        <f t="shared" si="15"/>
        <v/>
      </c>
      <c r="J29" s="57" t="str">
        <f t="shared" si="15"/>
        <v/>
      </c>
      <c r="K29" s="57" t="str">
        <f t="shared" si="15"/>
        <v/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</row>
    <row r="30" spans="1:16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6">IF(F5&lt;&gt;"",Gross_Margin,"")</f>
        <v>0.72014242893006786</v>
      </c>
      <c r="G30" s="55">
        <f t="shared" si="16"/>
        <v>0.72014242893006786</v>
      </c>
      <c r="H30" s="55">
        <f t="shared" si="16"/>
        <v>0.72014242893006786</v>
      </c>
      <c r="I30" s="55" t="str">
        <f t="shared" si="16"/>
        <v/>
      </c>
      <c r="J30" s="55" t="str">
        <f t="shared" si="16"/>
        <v/>
      </c>
      <c r="K30" s="55" t="str">
        <f t="shared" si="16"/>
        <v/>
      </c>
      <c r="L30" s="55" t="str">
        <f t="shared" si="16"/>
        <v/>
      </c>
      <c r="M30" s="55" t="str">
        <f t="shared" si="16"/>
        <v/>
      </c>
      <c r="N30" s="55" t="str">
        <f t="shared" si="16"/>
        <v/>
      </c>
      <c r="O30" s="55" t="str">
        <f t="shared" si="16"/>
        <v/>
      </c>
    </row>
    <row r="31" spans="1:16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7">IF(F5&lt;&gt;"",Growth_SGA,"")</f>
        <v>0.1</v>
      </c>
      <c r="G31" s="58">
        <f t="shared" si="17"/>
        <v>0.1</v>
      </c>
      <c r="H31" s="58">
        <f t="shared" si="17"/>
        <v>0.1</v>
      </c>
      <c r="I31" s="58" t="str">
        <f>IF(I5&lt;&gt;"",Growth_SGA,"")</f>
        <v/>
      </c>
      <c r="J31" s="58" t="str">
        <f t="shared" si="17"/>
        <v/>
      </c>
      <c r="K31" s="58" t="str">
        <f>IF(K5&lt;&gt;"",Growth_SGA,"")</f>
        <v/>
      </c>
      <c r="L31" s="58" t="str">
        <f t="shared" si="17"/>
        <v/>
      </c>
      <c r="M31" s="58" t="str">
        <f t="shared" si="17"/>
        <v/>
      </c>
      <c r="N31" s="58" t="str">
        <f t="shared" si="17"/>
        <v/>
      </c>
      <c r="O31" s="58" t="str">
        <f t="shared" si="17"/>
        <v/>
      </c>
    </row>
    <row r="32" spans="1:16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8">IF(F5&lt;&gt;"",Growth_Non_Operating,"")</f>
        <v>0.02</v>
      </c>
      <c r="G33" s="58">
        <f t="shared" si="18"/>
        <v>0.02</v>
      </c>
      <c r="H33" s="58">
        <f>IF(H5&lt;&gt;"",Growth_Non_Operating,"")</f>
        <v>0.02</v>
      </c>
      <c r="I33" s="58" t="str">
        <f t="shared" si="18"/>
        <v/>
      </c>
      <c r="J33" s="58" t="str">
        <f t="shared" si="18"/>
        <v/>
      </c>
      <c r="K33" s="58" t="str">
        <f t="shared" si="18"/>
        <v/>
      </c>
      <c r="L33" s="58" t="str">
        <f t="shared" si="18"/>
        <v/>
      </c>
      <c r="M33" s="58" t="str">
        <f t="shared" si="18"/>
        <v/>
      </c>
      <c r="N33" s="58" t="str">
        <f t="shared" si="18"/>
        <v/>
      </c>
      <c r="O33" s="58" t="str">
        <f t="shared" si="18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19">IF(F5&lt;&gt;"",Tax_Rate,"")</f>
        <v>0.3</v>
      </c>
      <c r="G34" s="61">
        <f t="shared" si="19"/>
        <v>0.3</v>
      </c>
      <c r="H34" s="61">
        <f t="shared" si="19"/>
        <v>0.3</v>
      </c>
      <c r="I34" s="61" t="str">
        <f t="shared" si="19"/>
        <v/>
      </c>
      <c r="J34" s="61" t="str">
        <f t="shared" si="19"/>
        <v/>
      </c>
      <c r="K34" s="61" t="str">
        <f t="shared" si="19"/>
        <v/>
      </c>
      <c r="L34" s="61" t="str">
        <f t="shared" si="19"/>
        <v/>
      </c>
      <c r="M34" s="61" t="str">
        <f t="shared" si="19"/>
        <v/>
      </c>
      <c r="N34" s="61" t="str">
        <f t="shared" si="19"/>
        <v/>
      </c>
      <c r="O34" s="61" t="str">
        <f t="shared" si="19"/>
        <v/>
      </c>
    </row>
    <row r="35" spans="1:16384" ht="17" customHeight="1">
      <c r="B35" s="54" t="s">
        <v>247</v>
      </c>
      <c r="C35" s="64" t="s">
        <v>155</v>
      </c>
      <c r="D35" s="13">
        <f>ABS(D20/'Balance Sheet Historic'!E62)</f>
        <v>2.1525977685112139E-2</v>
      </c>
      <c r="E35" s="119">
        <f>Interest_Rate</f>
        <v>2.7139874739039668E-2</v>
      </c>
      <c r="F35" s="266">
        <f t="shared" ref="F35:O35" si="20">IF(F5&lt;&gt;"",Interest_Rate,"")</f>
        <v>2.7139874739039668E-2</v>
      </c>
      <c r="G35" s="266">
        <f t="shared" si="20"/>
        <v>2.7139874739039668E-2</v>
      </c>
      <c r="H35" s="266">
        <f t="shared" si="20"/>
        <v>2.7139874739039668E-2</v>
      </c>
      <c r="I35" s="266" t="str">
        <f t="shared" si="20"/>
        <v/>
      </c>
      <c r="J35" s="266" t="str">
        <f>IF(J5&lt;&gt;"",Interest_Rate,"")</f>
        <v/>
      </c>
      <c r="K35" s="266" t="str">
        <f t="shared" si="20"/>
        <v/>
      </c>
      <c r="L35" s="266" t="str">
        <f t="shared" si="20"/>
        <v/>
      </c>
      <c r="M35" s="266" t="str">
        <f t="shared" si="20"/>
        <v/>
      </c>
      <c r="N35" s="266" t="str">
        <f t="shared" si="20"/>
        <v/>
      </c>
      <c r="O35" s="266" t="str">
        <f t="shared" si="20"/>
        <v/>
      </c>
    </row>
    <row r="36" spans="1:16384" ht="17" customHeight="1">
      <c r="B36" s="329" t="s">
        <v>288</v>
      </c>
    </row>
    <row r="37" spans="1:16384" ht="17" customHeight="1">
      <c r="B37" s="329" t="s">
        <v>287</v>
      </c>
    </row>
    <row r="38" spans="1:16384" ht="17" customHeight="1"/>
    <row r="39" spans="1:16384" s="18" customFormat="1" ht="21" thickBot="1">
      <c r="A39"/>
      <c r="B39" s="22" t="s">
        <v>156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  <c r="CAM39" s="21"/>
      <c r="CAN39" s="21"/>
      <c r="CAO39" s="21"/>
      <c r="CAP39" s="21"/>
      <c r="CAQ39" s="21"/>
      <c r="CAR39" s="21"/>
      <c r="CAS39" s="21"/>
      <c r="CAT39" s="21"/>
      <c r="CAU39" s="21"/>
      <c r="CAV39" s="21"/>
      <c r="CAW39" s="21"/>
      <c r="CAX39" s="21"/>
      <c r="CAY39" s="21"/>
      <c r="CAZ39" s="21"/>
      <c r="CBA39" s="21"/>
      <c r="CBB39" s="21"/>
      <c r="CBC39" s="21"/>
      <c r="CBD39" s="21"/>
      <c r="CBE39" s="21"/>
      <c r="CBF39" s="21"/>
      <c r="CBG39" s="21"/>
      <c r="CBH39" s="21"/>
      <c r="CBI39" s="21"/>
      <c r="CBJ39" s="21"/>
      <c r="CBK39" s="21"/>
      <c r="CBL39" s="21"/>
      <c r="CBM39" s="21"/>
      <c r="CBN39" s="21"/>
      <c r="CBO39" s="21"/>
      <c r="CBP39" s="21"/>
      <c r="CBQ39" s="21"/>
      <c r="CBR39" s="21"/>
      <c r="CBS39" s="21"/>
      <c r="CBT39" s="21"/>
      <c r="CBU39" s="21"/>
      <c r="CBV39" s="21"/>
      <c r="CBW39" s="21"/>
      <c r="CBX39" s="21"/>
      <c r="CBY39" s="21"/>
      <c r="CBZ39" s="21"/>
      <c r="CCA39" s="21"/>
      <c r="CCB39" s="21"/>
      <c r="CCC39" s="21"/>
      <c r="CCD39" s="21"/>
      <c r="CCE39" s="21"/>
      <c r="CCF39" s="21"/>
      <c r="CCG39" s="21"/>
      <c r="CCH39" s="21"/>
      <c r="CCI39" s="21"/>
      <c r="CCJ39" s="21"/>
      <c r="CCK39" s="21"/>
      <c r="CCL39" s="21"/>
      <c r="CCM39" s="21"/>
      <c r="CCN39" s="21"/>
      <c r="CCO39" s="21"/>
      <c r="CCP39" s="21"/>
      <c r="CCQ39" s="21"/>
      <c r="CCR39" s="21"/>
      <c r="CCS39" s="21"/>
      <c r="CCT39" s="21"/>
      <c r="CCU39" s="21"/>
      <c r="CCV39" s="21"/>
      <c r="CCW39" s="21"/>
      <c r="CCX39" s="21"/>
      <c r="CCY39" s="21"/>
      <c r="CCZ39" s="21"/>
      <c r="CDA39" s="21"/>
      <c r="CDB39" s="21"/>
      <c r="CDC39" s="21"/>
      <c r="CDD39" s="21"/>
      <c r="CDE39" s="21"/>
      <c r="CDF39" s="21"/>
      <c r="CDG39" s="21"/>
      <c r="CDH39" s="21"/>
      <c r="CDI39" s="21"/>
      <c r="CDJ39" s="21"/>
      <c r="CDK39" s="21"/>
      <c r="CDL39" s="21"/>
      <c r="CDM39" s="21"/>
      <c r="CDN39" s="21"/>
      <c r="CDO39" s="21"/>
      <c r="CDP39" s="21"/>
      <c r="CDQ39" s="21"/>
      <c r="CDR39" s="21"/>
      <c r="CDS39" s="21"/>
      <c r="CDT39" s="21"/>
      <c r="CDU39" s="21"/>
      <c r="CDV39" s="21"/>
      <c r="CDW39" s="21"/>
      <c r="CDX39" s="21"/>
      <c r="CDY39" s="21"/>
      <c r="CDZ39" s="21"/>
      <c r="CEA39" s="21"/>
      <c r="CEB39" s="21"/>
      <c r="CEC39" s="21"/>
      <c r="CED39" s="21"/>
      <c r="CEE39" s="21"/>
      <c r="CEF39" s="21"/>
      <c r="CEG39" s="21"/>
      <c r="CEH39" s="21"/>
      <c r="CEI39" s="21"/>
      <c r="CEJ39" s="21"/>
      <c r="CEK39" s="21"/>
      <c r="CEL39" s="21"/>
      <c r="CEM39" s="21"/>
      <c r="CEN39" s="21"/>
      <c r="CEO39" s="21"/>
      <c r="CEP39" s="21"/>
      <c r="CEQ39" s="21"/>
      <c r="CER39" s="21"/>
      <c r="CES39" s="21"/>
      <c r="CET39" s="21"/>
      <c r="CEU39" s="21"/>
      <c r="CEV39" s="21"/>
      <c r="CEW39" s="21"/>
      <c r="CEX39" s="21"/>
      <c r="CEY39" s="21"/>
      <c r="CEZ39" s="21"/>
      <c r="CFA39" s="21"/>
      <c r="CFB39" s="21"/>
      <c r="CFC39" s="21"/>
      <c r="CFD39" s="21"/>
      <c r="CFE39" s="21"/>
      <c r="CFF39" s="21"/>
      <c r="CFG39" s="21"/>
      <c r="CFH39" s="21"/>
      <c r="CFI39" s="21"/>
      <c r="CFJ39" s="21"/>
      <c r="CFK39" s="21"/>
      <c r="CFL39" s="21"/>
      <c r="CFM39" s="21"/>
      <c r="CFN39" s="21"/>
      <c r="CFO39" s="21"/>
      <c r="CFP39" s="21"/>
      <c r="CFQ39" s="21"/>
      <c r="CFR39" s="21"/>
      <c r="CFS39" s="21"/>
      <c r="CFT39" s="21"/>
      <c r="CFU39" s="21"/>
      <c r="CFV39" s="21"/>
      <c r="CFW39" s="21"/>
      <c r="CFX39" s="21"/>
      <c r="CFY39" s="21"/>
      <c r="CFZ39" s="21"/>
      <c r="CGA39" s="21"/>
      <c r="CGB39" s="21"/>
      <c r="CGC39" s="21"/>
      <c r="CGD39" s="21"/>
      <c r="CGE39" s="21"/>
      <c r="CGF39" s="21"/>
      <c r="CGG39" s="21"/>
      <c r="CGH39" s="21"/>
      <c r="CGI39" s="21"/>
      <c r="CGJ39" s="21"/>
      <c r="CGK39" s="21"/>
      <c r="CGL39" s="21"/>
      <c r="CGM39" s="21"/>
      <c r="CGN39" s="21"/>
      <c r="CGO39" s="21"/>
      <c r="CGP39" s="21"/>
      <c r="CGQ39" s="21"/>
      <c r="CGR39" s="21"/>
      <c r="CGS39" s="21"/>
      <c r="CGT39" s="21"/>
      <c r="CGU39" s="21"/>
      <c r="CGV39" s="21"/>
      <c r="CGW39" s="21"/>
      <c r="CGX39" s="21"/>
      <c r="CGY39" s="21"/>
      <c r="CGZ39" s="21"/>
      <c r="CHA39" s="21"/>
      <c r="CHB39" s="21"/>
      <c r="CHC39" s="21"/>
      <c r="CHD39" s="21"/>
      <c r="CHE39" s="21"/>
      <c r="CHF39" s="21"/>
      <c r="CHG39" s="21"/>
      <c r="CHH39" s="21"/>
      <c r="CHI39" s="21"/>
      <c r="CHJ39" s="21"/>
      <c r="CHK39" s="21"/>
      <c r="CHL39" s="21"/>
      <c r="CHM39" s="21"/>
      <c r="CHN39" s="21"/>
      <c r="CHO39" s="21"/>
      <c r="CHP39" s="21"/>
      <c r="CHQ39" s="21"/>
      <c r="CHR39" s="21"/>
      <c r="CHS39" s="21"/>
      <c r="CHT39" s="21"/>
      <c r="CHU39" s="21"/>
      <c r="CHV39" s="21"/>
      <c r="CHW39" s="21"/>
      <c r="CHX39" s="21"/>
      <c r="CHY39" s="21"/>
      <c r="CHZ39" s="21"/>
      <c r="CIA39" s="21"/>
      <c r="CIB39" s="21"/>
      <c r="CIC39" s="21"/>
      <c r="CID39" s="21"/>
      <c r="CIE39" s="21"/>
      <c r="CIF39" s="21"/>
      <c r="CIG39" s="21"/>
      <c r="CIH39" s="21"/>
      <c r="CII39" s="21"/>
      <c r="CIJ39" s="21"/>
      <c r="CIK39" s="21"/>
      <c r="CIL39" s="21"/>
      <c r="CIM39" s="21"/>
      <c r="CIN39" s="21"/>
      <c r="CIO39" s="21"/>
      <c r="CIP39" s="21"/>
      <c r="CIQ39" s="21"/>
      <c r="CIR39" s="21"/>
      <c r="CIS39" s="21"/>
      <c r="CIT39" s="21"/>
      <c r="CIU39" s="21"/>
      <c r="CIV39" s="21"/>
      <c r="CIW39" s="21"/>
      <c r="CIX39" s="21"/>
      <c r="CIY39" s="21"/>
      <c r="CIZ39" s="21"/>
      <c r="CJA39" s="21"/>
      <c r="CJB39" s="21"/>
      <c r="CJC39" s="21"/>
      <c r="CJD39" s="21"/>
      <c r="CJE39" s="21"/>
      <c r="CJF39" s="21"/>
      <c r="CJG39" s="21"/>
      <c r="CJH39" s="21"/>
      <c r="CJI39" s="21"/>
      <c r="CJJ39" s="21"/>
      <c r="CJK39" s="21"/>
      <c r="CJL39" s="21"/>
      <c r="CJM39" s="21"/>
      <c r="CJN39" s="21"/>
      <c r="CJO39" s="21"/>
      <c r="CJP39" s="21"/>
      <c r="CJQ39" s="21"/>
      <c r="CJR39" s="21"/>
      <c r="CJS39" s="21"/>
      <c r="CJT39" s="21"/>
      <c r="CJU39" s="21"/>
      <c r="CJV39" s="21"/>
      <c r="CJW39" s="21"/>
      <c r="CJX39" s="21"/>
      <c r="CJY39" s="21"/>
      <c r="CJZ39" s="21"/>
      <c r="CKA39" s="21"/>
      <c r="CKB39" s="21"/>
      <c r="CKC39" s="21"/>
      <c r="CKD39" s="21"/>
      <c r="CKE39" s="21"/>
      <c r="CKF39" s="21"/>
      <c r="CKG39" s="21"/>
      <c r="CKH39" s="21"/>
      <c r="CKI39" s="21"/>
      <c r="CKJ39" s="21"/>
      <c r="CKK39" s="21"/>
      <c r="CKL39" s="21"/>
      <c r="CKM39" s="21"/>
      <c r="CKN39" s="21"/>
      <c r="CKO39" s="21"/>
      <c r="CKP39" s="21"/>
      <c r="CKQ39" s="21"/>
      <c r="CKR39" s="21"/>
      <c r="CKS39" s="21"/>
      <c r="CKT39" s="21"/>
      <c r="CKU39" s="21"/>
      <c r="CKV39" s="21"/>
      <c r="CKW39" s="21"/>
      <c r="CKX39" s="21"/>
      <c r="CKY39" s="21"/>
      <c r="CKZ39" s="21"/>
      <c r="CLA39" s="21"/>
      <c r="CLB39" s="21"/>
      <c r="CLC39" s="21"/>
      <c r="CLD39" s="21"/>
      <c r="CLE39" s="21"/>
      <c r="CLF39" s="21"/>
      <c r="CLG39" s="21"/>
      <c r="CLH39" s="21"/>
      <c r="CLI39" s="21"/>
      <c r="CLJ39" s="21"/>
      <c r="CLK39" s="21"/>
      <c r="CLL39" s="21"/>
      <c r="CLM39" s="21"/>
      <c r="CLN39" s="21"/>
      <c r="CLO39" s="21"/>
      <c r="CLP39" s="21"/>
      <c r="CLQ39" s="21"/>
      <c r="CLR39" s="21"/>
      <c r="CLS39" s="21"/>
      <c r="CLT39" s="21"/>
      <c r="CLU39" s="21"/>
      <c r="CLV39" s="21"/>
      <c r="CLW39" s="21"/>
      <c r="CLX39" s="21"/>
      <c r="CLY39" s="21"/>
      <c r="CLZ39" s="21"/>
      <c r="CMA39" s="21"/>
      <c r="CMB39" s="21"/>
      <c r="CMC39" s="21"/>
      <c r="CMD39" s="21"/>
      <c r="CME39" s="21"/>
      <c r="CMF39" s="21"/>
      <c r="CMG39" s="21"/>
      <c r="CMH39" s="21"/>
      <c r="CMI39" s="21"/>
      <c r="CMJ39" s="21"/>
      <c r="CMK39" s="21"/>
      <c r="CML39" s="21"/>
      <c r="CMM39" s="21"/>
      <c r="CMN39" s="21"/>
      <c r="CMO39" s="21"/>
      <c r="CMP39" s="21"/>
      <c r="CMQ39" s="21"/>
      <c r="CMR39" s="21"/>
      <c r="CMS39" s="21"/>
      <c r="CMT39" s="21"/>
      <c r="CMU39" s="21"/>
      <c r="CMV39" s="21"/>
      <c r="CMW39" s="21"/>
      <c r="CMX39" s="21"/>
      <c r="CMY39" s="21"/>
      <c r="CMZ39" s="21"/>
      <c r="CNA39" s="21"/>
      <c r="CNB39" s="21"/>
      <c r="CNC39" s="21"/>
      <c r="CND39" s="21"/>
      <c r="CNE39" s="21"/>
      <c r="CNF39" s="21"/>
      <c r="CNG39" s="21"/>
      <c r="CNH39" s="21"/>
      <c r="CNI39" s="21"/>
      <c r="CNJ39" s="21"/>
      <c r="CNK39" s="21"/>
      <c r="CNL39" s="21"/>
      <c r="CNM39" s="21"/>
      <c r="CNN39" s="21"/>
      <c r="CNO39" s="21"/>
      <c r="CNP39" s="21"/>
      <c r="CNQ39" s="21"/>
      <c r="CNR39" s="21"/>
      <c r="CNS39" s="21"/>
      <c r="CNT39" s="21"/>
      <c r="CNU39" s="21"/>
      <c r="CNV39" s="21"/>
      <c r="CNW39" s="21"/>
      <c r="CNX39" s="21"/>
      <c r="CNY39" s="21"/>
      <c r="CNZ39" s="21"/>
      <c r="COA39" s="21"/>
      <c r="COB39" s="21"/>
      <c r="COC39" s="21"/>
      <c r="COD39" s="21"/>
      <c r="COE39" s="21"/>
      <c r="COF39" s="21"/>
      <c r="COG39" s="21"/>
      <c r="COH39" s="21"/>
      <c r="COI39" s="21"/>
      <c r="COJ39" s="21"/>
      <c r="COK39" s="21"/>
      <c r="COL39" s="21"/>
      <c r="COM39" s="21"/>
      <c r="CON39" s="21"/>
      <c r="COO39" s="21"/>
      <c r="COP39" s="21"/>
      <c r="COQ39" s="21"/>
      <c r="COR39" s="21"/>
      <c r="COS39" s="21"/>
      <c r="COT39" s="21"/>
      <c r="COU39" s="21"/>
      <c r="COV39" s="21"/>
      <c r="COW39" s="21"/>
      <c r="COX39" s="21"/>
      <c r="COY39" s="21"/>
      <c r="COZ39" s="21"/>
      <c r="CPA39" s="21"/>
      <c r="CPB39" s="21"/>
      <c r="CPC39" s="21"/>
      <c r="CPD39" s="21"/>
      <c r="CPE39" s="21"/>
      <c r="CPF39" s="21"/>
      <c r="CPG39" s="21"/>
      <c r="CPH39" s="21"/>
      <c r="CPI39" s="21"/>
      <c r="CPJ39" s="21"/>
      <c r="CPK39" s="21"/>
      <c r="CPL39" s="21"/>
      <c r="CPM39" s="21"/>
      <c r="CPN39" s="21"/>
      <c r="CPO39" s="21"/>
      <c r="CPP39" s="21"/>
      <c r="CPQ39" s="21"/>
      <c r="CPR39" s="21"/>
      <c r="CPS39" s="21"/>
      <c r="CPT39" s="21"/>
      <c r="CPU39" s="21"/>
      <c r="CPV39" s="21"/>
      <c r="CPW39" s="21"/>
      <c r="CPX39" s="21"/>
      <c r="CPY39" s="21"/>
      <c r="CPZ39" s="21"/>
      <c r="CQA39" s="21"/>
      <c r="CQB39" s="21"/>
      <c r="CQC39" s="21"/>
      <c r="CQD39" s="21"/>
      <c r="CQE39" s="21"/>
      <c r="CQF39" s="21"/>
      <c r="CQG39" s="21"/>
      <c r="CQH39" s="21"/>
      <c r="CQI39" s="21"/>
      <c r="CQJ39" s="21"/>
      <c r="CQK39" s="21"/>
      <c r="CQL39" s="21"/>
      <c r="CQM39" s="21"/>
      <c r="CQN39" s="21"/>
      <c r="CQO39" s="21"/>
      <c r="CQP39" s="21"/>
      <c r="CQQ39" s="21"/>
      <c r="CQR39" s="21"/>
      <c r="CQS39" s="21"/>
      <c r="CQT39" s="21"/>
      <c r="CQU39" s="21"/>
      <c r="CQV39" s="21"/>
      <c r="CQW39" s="21"/>
      <c r="CQX39" s="21"/>
      <c r="CQY39" s="21"/>
      <c r="CQZ39" s="21"/>
      <c r="CRA39" s="21"/>
      <c r="CRB39" s="21"/>
      <c r="CRC39" s="21"/>
      <c r="CRD39" s="21"/>
      <c r="CRE39" s="21"/>
      <c r="CRF39" s="21"/>
      <c r="CRG39" s="21"/>
      <c r="CRH39" s="21"/>
      <c r="CRI39" s="21"/>
      <c r="CRJ39" s="21"/>
      <c r="CRK39" s="21"/>
      <c r="CRL39" s="21"/>
      <c r="CRM39" s="21"/>
      <c r="CRN39" s="21"/>
      <c r="CRO39" s="21"/>
      <c r="CRP39" s="21"/>
      <c r="CRQ39" s="21"/>
      <c r="CRR39" s="21"/>
      <c r="CRS39" s="21"/>
      <c r="CRT39" s="21"/>
      <c r="CRU39" s="21"/>
      <c r="CRV39" s="21"/>
      <c r="CRW39" s="21"/>
      <c r="CRX39" s="21"/>
      <c r="CRY39" s="21"/>
      <c r="CRZ39" s="21"/>
      <c r="CSA39" s="21"/>
      <c r="CSB39" s="21"/>
      <c r="CSC39" s="21"/>
      <c r="CSD39" s="21"/>
      <c r="CSE39" s="21"/>
      <c r="CSF39" s="21"/>
      <c r="CSG39" s="21"/>
      <c r="CSH39" s="21"/>
      <c r="CSI39" s="21"/>
      <c r="CSJ39" s="21"/>
      <c r="CSK39" s="21"/>
      <c r="CSL39" s="21"/>
      <c r="CSM39" s="21"/>
      <c r="CSN39" s="21"/>
      <c r="CSO39" s="21"/>
      <c r="CSP39" s="21"/>
      <c r="CSQ39" s="21"/>
      <c r="CSR39" s="21"/>
      <c r="CSS39" s="21"/>
      <c r="CST39" s="21"/>
      <c r="CSU39" s="21"/>
      <c r="CSV39" s="21"/>
      <c r="CSW39" s="21"/>
      <c r="CSX39" s="21"/>
      <c r="CSY39" s="21"/>
      <c r="CSZ39" s="21"/>
      <c r="CTA39" s="21"/>
      <c r="CTB39" s="21"/>
      <c r="CTC39" s="21"/>
      <c r="CTD39" s="21"/>
      <c r="CTE39" s="21"/>
      <c r="CTF39" s="21"/>
      <c r="CTG39" s="21"/>
      <c r="CTH39" s="21"/>
      <c r="CTI39" s="21"/>
      <c r="CTJ39" s="21"/>
      <c r="CTK39" s="21"/>
      <c r="CTL39" s="21"/>
      <c r="CTM39" s="21"/>
      <c r="CTN39" s="21"/>
      <c r="CTO39" s="21"/>
      <c r="CTP39" s="21"/>
      <c r="CTQ39" s="21"/>
      <c r="CTR39" s="21"/>
      <c r="CTS39" s="21"/>
      <c r="CTT39" s="21"/>
      <c r="CTU39" s="21"/>
      <c r="CTV39" s="21"/>
      <c r="CTW39" s="21"/>
      <c r="CTX39" s="21"/>
      <c r="CTY39" s="21"/>
      <c r="CTZ39" s="21"/>
      <c r="CUA39" s="21"/>
      <c r="CUB39" s="21"/>
      <c r="CUC39" s="21"/>
      <c r="CUD39" s="21"/>
      <c r="CUE39" s="21"/>
      <c r="CUF39" s="21"/>
      <c r="CUG39" s="21"/>
      <c r="CUH39" s="21"/>
      <c r="CUI39" s="21"/>
      <c r="CUJ39" s="21"/>
      <c r="CUK39" s="21"/>
      <c r="CUL39" s="21"/>
      <c r="CUM39" s="21"/>
      <c r="CUN39" s="21"/>
      <c r="CUO39" s="21"/>
      <c r="CUP39" s="21"/>
      <c r="CUQ39" s="21"/>
      <c r="CUR39" s="21"/>
      <c r="CUS39" s="21"/>
      <c r="CUT39" s="21"/>
      <c r="CUU39" s="21"/>
      <c r="CUV39" s="21"/>
      <c r="CUW39" s="21"/>
      <c r="CUX39" s="21"/>
      <c r="CUY39" s="21"/>
      <c r="CUZ39" s="21"/>
      <c r="CVA39" s="21"/>
      <c r="CVB39" s="21"/>
      <c r="CVC39" s="21"/>
      <c r="CVD39" s="21"/>
      <c r="CVE39" s="21"/>
      <c r="CVF39" s="21"/>
      <c r="CVG39" s="21"/>
      <c r="CVH39" s="21"/>
      <c r="CVI39" s="21"/>
      <c r="CVJ39" s="21"/>
      <c r="CVK39" s="21"/>
      <c r="CVL39" s="21"/>
      <c r="CVM39" s="21"/>
      <c r="CVN39" s="21"/>
      <c r="CVO39" s="21"/>
      <c r="CVP39" s="21"/>
      <c r="CVQ39" s="21"/>
      <c r="CVR39" s="21"/>
      <c r="CVS39" s="21"/>
      <c r="CVT39" s="21"/>
      <c r="CVU39" s="21"/>
      <c r="CVV39" s="21"/>
      <c r="CVW39" s="21"/>
      <c r="CVX39" s="21"/>
      <c r="CVY39" s="21"/>
      <c r="CVZ39" s="21"/>
      <c r="CWA39" s="21"/>
      <c r="CWB39" s="21"/>
      <c r="CWC39" s="21"/>
      <c r="CWD39" s="21"/>
      <c r="CWE39" s="21"/>
      <c r="CWF39" s="21"/>
      <c r="CWG39" s="21"/>
      <c r="CWH39" s="21"/>
      <c r="CWI39" s="21"/>
      <c r="CWJ39" s="21"/>
      <c r="CWK39" s="21"/>
      <c r="CWL39" s="21"/>
      <c r="CWM39" s="21"/>
      <c r="CWN39" s="21"/>
      <c r="CWO39" s="21"/>
      <c r="CWP39" s="21"/>
      <c r="CWQ39" s="21"/>
      <c r="CWR39" s="21"/>
      <c r="CWS39" s="21"/>
      <c r="CWT39" s="21"/>
      <c r="CWU39" s="21"/>
      <c r="CWV39" s="21"/>
      <c r="CWW39" s="21"/>
      <c r="CWX39" s="21"/>
      <c r="CWY39" s="21"/>
      <c r="CWZ39" s="21"/>
      <c r="CXA39" s="21"/>
      <c r="CXB39" s="21"/>
      <c r="CXC39" s="21"/>
      <c r="CXD39" s="21"/>
      <c r="CXE39" s="21"/>
      <c r="CXF39" s="21"/>
      <c r="CXG39" s="21"/>
      <c r="CXH39" s="21"/>
      <c r="CXI39" s="21"/>
      <c r="CXJ39" s="21"/>
      <c r="CXK39" s="21"/>
      <c r="CXL39" s="21"/>
      <c r="CXM39" s="21"/>
      <c r="CXN39" s="21"/>
      <c r="CXO39" s="21"/>
      <c r="CXP39" s="21"/>
      <c r="CXQ39" s="21"/>
      <c r="CXR39" s="21"/>
      <c r="CXS39" s="21"/>
      <c r="CXT39" s="21"/>
      <c r="CXU39" s="21"/>
      <c r="CXV39" s="21"/>
      <c r="CXW39" s="21"/>
      <c r="CXX39" s="21"/>
      <c r="CXY39" s="21"/>
      <c r="CXZ39" s="21"/>
      <c r="CYA39" s="21"/>
      <c r="CYB39" s="21"/>
      <c r="CYC39" s="21"/>
      <c r="CYD39" s="21"/>
      <c r="CYE39" s="21"/>
      <c r="CYF39" s="21"/>
      <c r="CYG39" s="21"/>
      <c r="CYH39" s="21"/>
      <c r="CYI39" s="21"/>
      <c r="CYJ39" s="21"/>
      <c r="CYK39" s="21"/>
      <c r="CYL39" s="21"/>
      <c r="CYM39" s="21"/>
      <c r="CYN39" s="21"/>
      <c r="CYO39" s="21"/>
      <c r="CYP39" s="21"/>
      <c r="CYQ39" s="21"/>
      <c r="CYR39" s="21"/>
      <c r="CYS39" s="21"/>
      <c r="CYT39" s="21"/>
      <c r="CYU39" s="21"/>
      <c r="CYV39" s="21"/>
      <c r="CYW39" s="21"/>
      <c r="CYX39" s="21"/>
      <c r="CYY39" s="21"/>
      <c r="CYZ39" s="21"/>
      <c r="CZA39" s="21"/>
      <c r="CZB39" s="21"/>
      <c r="CZC39" s="21"/>
      <c r="CZD39" s="21"/>
      <c r="CZE39" s="21"/>
      <c r="CZF39" s="21"/>
      <c r="CZG39" s="21"/>
      <c r="CZH39" s="21"/>
      <c r="CZI39" s="21"/>
      <c r="CZJ39" s="21"/>
      <c r="CZK39" s="21"/>
      <c r="CZL39" s="21"/>
      <c r="CZM39" s="21"/>
      <c r="CZN39" s="21"/>
      <c r="CZO39" s="21"/>
      <c r="CZP39" s="21"/>
      <c r="CZQ39" s="21"/>
      <c r="CZR39" s="21"/>
      <c r="CZS39" s="21"/>
      <c r="CZT39" s="21"/>
      <c r="CZU39" s="21"/>
      <c r="CZV39" s="21"/>
      <c r="CZW39" s="21"/>
      <c r="CZX39" s="21"/>
      <c r="CZY39" s="21"/>
      <c r="CZZ39" s="21"/>
      <c r="DAA39" s="21"/>
      <c r="DAB39" s="21"/>
      <c r="DAC39" s="21"/>
      <c r="DAD39" s="21"/>
      <c r="DAE39" s="21"/>
      <c r="DAF39" s="21"/>
      <c r="DAG39" s="21"/>
      <c r="DAH39" s="21"/>
      <c r="DAI39" s="21"/>
      <c r="DAJ39" s="21"/>
      <c r="DAK39" s="21"/>
      <c r="DAL39" s="21"/>
      <c r="DAM39" s="21"/>
      <c r="DAN39" s="21"/>
      <c r="DAO39" s="21"/>
      <c r="DAP39" s="21"/>
      <c r="DAQ39" s="21"/>
      <c r="DAR39" s="21"/>
      <c r="DAS39" s="21"/>
      <c r="DAT39" s="21"/>
      <c r="DAU39" s="21"/>
      <c r="DAV39" s="21"/>
      <c r="DAW39" s="21"/>
      <c r="DAX39" s="21"/>
      <c r="DAY39" s="21"/>
      <c r="DAZ39" s="21"/>
      <c r="DBA39" s="21"/>
      <c r="DBB39" s="21"/>
      <c r="DBC39" s="21"/>
      <c r="DBD39" s="21"/>
      <c r="DBE39" s="21"/>
      <c r="DBF39" s="21"/>
      <c r="DBG39" s="21"/>
      <c r="DBH39" s="21"/>
      <c r="DBI39" s="21"/>
      <c r="DBJ39" s="21"/>
      <c r="DBK39" s="21"/>
      <c r="DBL39" s="21"/>
      <c r="DBM39" s="21"/>
      <c r="DBN39" s="21"/>
      <c r="DBO39" s="21"/>
      <c r="DBP39" s="21"/>
      <c r="DBQ39" s="21"/>
      <c r="DBR39" s="21"/>
      <c r="DBS39" s="21"/>
      <c r="DBT39" s="21"/>
      <c r="DBU39" s="21"/>
      <c r="DBV39" s="21"/>
      <c r="DBW39" s="21"/>
      <c r="DBX39" s="21"/>
      <c r="DBY39" s="21"/>
      <c r="DBZ39" s="21"/>
      <c r="DCA39" s="21"/>
      <c r="DCB39" s="21"/>
      <c r="DCC39" s="21"/>
      <c r="DCD39" s="21"/>
      <c r="DCE39" s="21"/>
      <c r="DCF39" s="21"/>
      <c r="DCG39" s="21"/>
      <c r="DCH39" s="21"/>
      <c r="DCI39" s="21"/>
      <c r="DCJ39" s="21"/>
      <c r="DCK39" s="21"/>
      <c r="DCL39" s="21"/>
      <c r="DCM39" s="21"/>
      <c r="DCN39" s="21"/>
      <c r="DCO39" s="21"/>
      <c r="DCP39" s="21"/>
      <c r="DCQ39" s="21"/>
      <c r="DCR39" s="21"/>
      <c r="DCS39" s="21"/>
      <c r="DCT39" s="21"/>
      <c r="DCU39" s="21"/>
      <c r="DCV39" s="21"/>
      <c r="DCW39" s="21"/>
      <c r="DCX39" s="21"/>
      <c r="DCY39" s="21"/>
      <c r="DCZ39" s="21"/>
      <c r="DDA39" s="21"/>
      <c r="DDB39" s="21"/>
      <c r="DDC39" s="21"/>
      <c r="DDD39" s="21"/>
      <c r="DDE39" s="21"/>
      <c r="DDF39" s="21"/>
      <c r="DDG39" s="21"/>
      <c r="DDH39" s="21"/>
      <c r="DDI39" s="21"/>
      <c r="DDJ39" s="21"/>
      <c r="DDK39" s="21"/>
      <c r="DDL39" s="21"/>
      <c r="DDM39" s="21"/>
      <c r="DDN39" s="21"/>
      <c r="DDO39" s="21"/>
      <c r="DDP39" s="21"/>
      <c r="DDQ39" s="21"/>
      <c r="DDR39" s="21"/>
      <c r="DDS39" s="21"/>
      <c r="DDT39" s="21"/>
      <c r="DDU39" s="21"/>
      <c r="DDV39" s="21"/>
      <c r="DDW39" s="21"/>
      <c r="DDX39" s="21"/>
      <c r="DDY39" s="21"/>
      <c r="DDZ39" s="21"/>
      <c r="DEA39" s="21"/>
      <c r="DEB39" s="21"/>
      <c r="DEC39" s="21"/>
      <c r="DED39" s="21"/>
      <c r="DEE39" s="21"/>
      <c r="DEF39" s="21"/>
      <c r="DEG39" s="21"/>
      <c r="DEH39" s="21"/>
      <c r="DEI39" s="21"/>
      <c r="DEJ39" s="21"/>
      <c r="DEK39" s="21"/>
      <c r="DEL39" s="21"/>
      <c r="DEM39" s="21"/>
      <c r="DEN39" s="21"/>
      <c r="DEO39" s="21"/>
      <c r="DEP39" s="21"/>
      <c r="DEQ39" s="21"/>
      <c r="DER39" s="21"/>
      <c r="DES39" s="21"/>
      <c r="DET39" s="21"/>
      <c r="DEU39" s="21"/>
      <c r="DEV39" s="21"/>
      <c r="DEW39" s="21"/>
      <c r="DEX39" s="21"/>
      <c r="DEY39" s="21"/>
      <c r="DEZ39" s="21"/>
      <c r="DFA39" s="21"/>
      <c r="DFB39" s="21"/>
      <c r="DFC39" s="21"/>
      <c r="DFD39" s="21"/>
      <c r="DFE39" s="21"/>
      <c r="DFF39" s="21"/>
      <c r="DFG39" s="21"/>
      <c r="DFH39" s="21"/>
      <c r="DFI39" s="21"/>
      <c r="DFJ39" s="21"/>
      <c r="DFK39" s="21"/>
      <c r="DFL39" s="21"/>
      <c r="DFM39" s="21"/>
      <c r="DFN39" s="21"/>
      <c r="DFO39" s="21"/>
      <c r="DFP39" s="21"/>
      <c r="DFQ39" s="21"/>
      <c r="DFR39" s="21"/>
      <c r="DFS39" s="21"/>
      <c r="DFT39" s="21"/>
      <c r="DFU39" s="21"/>
      <c r="DFV39" s="21"/>
      <c r="DFW39" s="21"/>
      <c r="DFX39" s="21"/>
      <c r="DFY39" s="21"/>
      <c r="DFZ39" s="21"/>
      <c r="DGA39" s="21"/>
      <c r="DGB39" s="21"/>
      <c r="DGC39" s="21"/>
      <c r="DGD39" s="21"/>
      <c r="DGE39" s="21"/>
      <c r="DGF39" s="21"/>
      <c r="DGG39" s="21"/>
      <c r="DGH39" s="21"/>
      <c r="DGI39" s="21"/>
      <c r="DGJ39" s="21"/>
      <c r="DGK39" s="21"/>
      <c r="DGL39" s="21"/>
      <c r="DGM39" s="21"/>
      <c r="DGN39" s="21"/>
      <c r="DGO39" s="21"/>
      <c r="DGP39" s="21"/>
      <c r="DGQ39" s="21"/>
      <c r="DGR39" s="21"/>
      <c r="DGS39" s="21"/>
      <c r="DGT39" s="21"/>
      <c r="DGU39" s="21"/>
      <c r="DGV39" s="21"/>
      <c r="DGW39" s="21"/>
      <c r="DGX39" s="21"/>
      <c r="DGY39" s="21"/>
      <c r="DGZ39" s="21"/>
      <c r="DHA39" s="21"/>
      <c r="DHB39" s="21"/>
      <c r="DHC39" s="21"/>
      <c r="DHD39" s="21"/>
      <c r="DHE39" s="21"/>
      <c r="DHF39" s="21"/>
      <c r="DHG39" s="21"/>
      <c r="DHH39" s="21"/>
      <c r="DHI39" s="21"/>
      <c r="DHJ39" s="21"/>
      <c r="DHK39" s="21"/>
      <c r="DHL39" s="21"/>
      <c r="DHM39" s="21"/>
      <c r="DHN39" s="21"/>
      <c r="DHO39" s="21"/>
      <c r="DHP39" s="21"/>
      <c r="DHQ39" s="21"/>
      <c r="DHR39" s="21"/>
      <c r="DHS39" s="21"/>
      <c r="DHT39" s="21"/>
      <c r="DHU39" s="21"/>
      <c r="DHV39" s="21"/>
      <c r="DHW39" s="21"/>
      <c r="DHX39" s="21"/>
      <c r="DHY39" s="21"/>
      <c r="DHZ39" s="21"/>
      <c r="DIA39" s="21"/>
      <c r="DIB39" s="21"/>
      <c r="DIC39" s="21"/>
      <c r="DID39" s="21"/>
      <c r="DIE39" s="21"/>
      <c r="DIF39" s="21"/>
      <c r="DIG39" s="21"/>
      <c r="DIH39" s="21"/>
      <c r="DII39" s="21"/>
      <c r="DIJ39" s="21"/>
      <c r="DIK39" s="21"/>
      <c r="DIL39" s="21"/>
      <c r="DIM39" s="21"/>
      <c r="DIN39" s="21"/>
      <c r="DIO39" s="21"/>
      <c r="DIP39" s="21"/>
      <c r="DIQ39" s="21"/>
      <c r="DIR39" s="21"/>
      <c r="DIS39" s="21"/>
      <c r="DIT39" s="21"/>
      <c r="DIU39" s="21"/>
      <c r="DIV39" s="21"/>
      <c r="DIW39" s="21"/>
      <c r="DIX39" s="21"/>
      <c r="DIY39" s="21"/>
      <c r="DIZ39" s="21"/>
      <c r="DJA39" s="21"/>
      <c r="DJB39" s="21"/>
      <c r="DJC39" s="21"/>
      <c r="DJD39" s="21"/>
      <c r="DJE39" s="21"/>
      <c r="DJF39" s="21"/>
      <c r="DJG39" s="21"/>
      <c r="DJH39" s="21"/>
      <c r="DJI39" s="21"/>
      <c r="DJJ39" s="21"/>
      <c r="DJK39" s="21"/>
      <c r="DJL39" s="21"/>
      <c r="DJM39" s="21"/>
      <c r="DJN39" s="21"/>
      <c r="DJO39" s="21"/>
      <c r="DJP39" s="21"/>
      <c r="DJQ39" s="21"/>
      <c r="DJR39" s="21"/>
      <c r="DJS39" s="21"/>
      <c r="DJT39" s="21"/>
      <c r="DJU39" s="21"/>
      <c r="DJV39" s="21"/>
      <c r="DJW39" s="21"/>
      <c r="DJX39" s="21"/>
      <c r="DJY39" s="21"/>
      <c r="DJZ39" s="21"/>
      <c r="DKA39" s="21"/>
      <c r="DKB39" s="21"/>
      <c r="DKC39" s="21"/>
      <c r="DKD39" s="21"/>
      <c r="DKE39" s="21"/>
      <c r="DKF39" s="21"/>
      <c r="DKG39" s="21"/>
      <c r="DKH39" s="21"/>
      <c r="DKI39" s="21"/>
      <c r="DKJ39" s="21"/>
      <c r="DKK39" s="21"/>
      <c r="DKL39" s="21"/>
      <c r="DKM39" s="21"/>
      <c r="DKN39" s="21"/>
      <c r="DKO39" s="21"/>
      <c r="DKP39" s="21"/>
      <c r="DKQ39" s="21"/>
      <c r="DKR39" s="21"/>
      <c r="DKS39" s="21"/>
      <c r="DKT39" s="21"/>
      <c r="DKU39" s="21"/>
      <c r="DKV39" s="21"/>
      <c r="DKW39" s="21"/>
      <c r="DKX39" s="21"/>
      <c r="DKY39" s="21"/>
      <c r="DKZ39" s="21"/>
      <c r="DLA39" s="21"/>
      <c r="DLB39" s="21"/>
      <c r="DLC39" s="21"/>
      <c r="DLD39" s="21"/>
      <c r="DLE39" s="21"/>
      <c r="DLF39" s="21"/>
      <c r="DLG39" s="21"/>
      <c r="DLH39" s="21"/>
      <c r="DLI39" s="21"/>
      <c r="DLJ39" s="21"/>
      <c r="DLK39" s="21"/>
      <c r="DLL39" s="21"/>
      <c r="DLM39" s="21"/>
      <c r="DLN39" s="21"/>
      <c r="DLO39" s="21"/>
      <c r="DLP39" s="21"/>
      <c r="DLQ39" s="21"/>
      <c r="DLR39" s="21"/>
      <c r="DLS39" s="21"/>
      <c r="DLT39" s="21"/>
      <c r="DLU39" s="21"/>
      <c r="DLV39" s="21"/>
      <c r="DLW39" s="21"/>
      <c r="DLX39" s="21"/>
      <c r="DLY39" s="21"/>
      <c r="DLZ39" s="21"/>
      <c r="DMA39" s="21"/>
      <c r="DMB39" s="21"/>
      <c r="DMC39" s="21"/>
      <c r="DMD39" s="21"/>
      <c r="DME39" s="21"/>
      <c r="DMF39" s="21"/>
      <c r="DMG39" s="21"/>
      <c r="DMH39" s="21"/>
      <c r="DMI39" s="21"/>
      <c r="DMJ39" s="21"/>
      <c r="DMK39" s="21"/>
      <c r="DML39" s="21"/>
      <c r="DMM39" s="21"/>
      <c r="DMN39" s="21"/>
      <c r="DMO39" s="21"/>
      <c r="DMP39" s="21"/>
      <c r="DMQ39" s="21"/>
      <c r="DMR39" s="21"/>
      <c r="DMS39" s="21"/>
      <c r="DMT39" s="21"/>
      <c r="DMU39" s="21"/>
      <c r="DMV39" s="21"/>
      <c r="DMW39" s="21"/>
      <c r="DMX39" s="21"/>
      <c r="DMY39" s="21"/>
      <c r="DMZ39" s="21"/>
      <c r="DNA39" s="21"/>
      <c r="DNB39" s="21"/>
      <c r="DNC39" s="21"/>
      <c r="DND39" s="21"/>
      <c r="DNE39" s="21"/>
      <c r="DNF39" s="21"/>
      <c r="DNG39" s="21"/>
      <c r="DNH39" s="21"/>
      <c r="DNI39" s="21"/>
      <c r="DNJ39" s="21"/>
      <c r="DNK39" s="21"/>
      <c r="DNL39" s="21"/>
      <c r="DNM39" s="21"/>
      <c r="DNN39" s="21"/>
      <c r="DNO39" s="21"/>
      <c r="DNP39" s="21"/>
      <c r="DNQ39" s="21"/>
      <c r="DNR39" s="21"/>
      <c r="DNS39" s="21"/>
      <c r="DNT39" s="21"/>
      <c r="DNU39" s="21"/>
      <c r="DNV39" s="21"/>
      <c r="DNW39" s="21"/>
      <c r="DNX39" s="21"/>
      <c r="DNY39" s="21"/>
      <c r="DNZ39" s="21"/>
      <c r="DOA39" s="21"/>
      <c r="DOB39" s="21"/>
      <c r="DOC39" s="21"/>
      <c r="DOD39" s="21"/>
      <c r="DOE39" s="21"/>
      <c r="DOF39" s="21"/>
      <c r="DOG39" s="21"/>
      <c r="DOH39" s="21"/>
      <c r="DOI39" s="21"/>
      <c r="DOJ39" s="21"/>
      <c r="DOK39" s="21"/>
      <c r="DOL39" s="21"/>
      <c r="DOM39" s="21"/>
      <c r="DON39" s="21"/>
      <c r="DOO39" s="21"/>
      <c r="DOP39" s="21"/>
      <c r="DOQ39" s="21"/>
      <c r="DOR39" s="21"/>
      <c r="DOS39" s="21"/>
      <c r="DOT39" s="21"/>
      <c r="DOU39" s="21"/>
      <c r="DOV39" s="21"/>
      <c r="DOW39" s="21"/>
      <c r="DOX39" s="21"/>
      <c r="DOY39" s="21"/>
      <c r="DOZ39" s="21"/>
      <c r="DPA39" s="21"/>
      <c r="DPB39" s="21"/>
      <c r="DPC39" s="21"/>
      <c r="DPD39" s="21"/>
      <c r="DPE39" s="21"/>
      <c r="DPF39" s="21"/>
      <c r="DPG39" s="21"/>
      <c r="DPH39" s="21"/>
      <c r="DPI39" s="21"/>
      <c r="DPJ39" s="21"/>
      <c r="DPK39" s="21"/>
      <c r="DPL39" s="21"/>
      <c r="DPM39" s="21"/>
      <c r="DPN39" s="21"/>
      <c r="DPO39" s="21"/>
      <c r="DPP39" s="21"/>
      <c r="DPQ39" s="21"/>
      <c r="DPR39" s="21"/>
      <c r="DPS39" s="21"/>
      <c r="DPT39" s="21"/>
      <c r="DPU39" s="21"/>
      <c r="DPV39" s="21"/>
      <c r="DPW39" s="21"/>
      <c r="DPX39" s="21"/>
      <c r="DPY39" s="21"/>
      <c r="DPZ39" s="21"/>
      <c r="DQA39" s="21"/>
      <c r="DQB39" s="21"/>
      <c r="DQC39" s="21"/>
      <c r="DQD39" s="21"/>
      <c r="DQE39" s="21"/>
      <c r="DQF39" s="21"/>
      <c r="DQG39" s="21"/>
      <c r="DQH39" s="21"/>
      <c r="DQI39" s="21"/>
      <c r="DQJ39" s="21"/>
      <c r="DQK39" s="21"/>
      <c r="DQL39" s="21"/>
      <c r="DQM39" s="21"/>
      <c r="DQN39" s="21"/>
      <c r="DQO39" s="21"/>
      <c r="DQP39" s="21"/>
      <c r="DQQ39" s="21"/>
      <c r="DQR39" s="21"/>
      <c r="DQS39" s="21"/>
      <c r="DQT39" s="21"/>
      <c r="DQU39" s="21"/>
      <c r="DQV39" s="21"/>
      <c r="DQW39" s="21"/>
      <c r="DQX39" s="21"/>
      <c r="DQY39" s="21"/>
      <c r="DQZ39" s="21"/>
      <c r="DRA39" s="21"/>
      <c r="DRB39" s="21"/>
      <c r="DRC39" s="21"/>
      <c r="DRD39" s="21"/>
      <c r="DRE39" s="21"/>
      <c r="DRF39" s="21"/>
      <c r="DRG39" s="21"/>
      <c r="DRH39" s="21"/>
      <c r="DRI39" s="21"/>
      <c r="DRJ39" s="21"/>
      <c r="DRK39" s="21"/>
      <c r="DRL39" s="21"/>
      <c r="DRM39" s="21"/>
      <c r="DRN39" s="21"/>
      <c r="DRO39" s="21"/>
      <c r="DRP39" s="21"/>
      <c r="DRQ39" s="21"/>
      <c r="DRR39" s="21"/>
      <c r="DRS39" s="21"/>
      <c r="DRT39" s="21"/>
      <c r="DRU39" s="21"/>
      <c r="DRV39" s="21"/>
      <c r="DRW39" s="21"/>
      <c r="DRX39" s="21"/>
      <c r="DRY39" s="21"/>
      <c r="DRZ39" s="21"/>
      <c r="DSA39" s="21"/>
      <c r="DSB39" s="21"/>
      <c r="DSC39" s="21"/>
      <c r="DSD39" s="21"/>
      <c r="DSE39" s="21"/>
      <c r="DSF39" s="21"/>
      <c r="DSG39" s="21"/>
      <c r="DSH39" s="21"/>
      <c r="DSI39" s="21"/>
      <c r="DSJ39" s="21"/>
      <c r="DSK39" s="21"/>
      <c r="DSL39" s="21"/>
      <c r="DSM39" s="21"/>
      <c r="DSN39" s="21"/>
      <c r="DSO39" s="21"/>
      <c r="DSP39" s="21"/>
      <c r="DSQ39" s="21"/>
      <c r="DSR39" s="21"/>
      <c r="DSS39" s="21"/>
      <c r="DST39" s="21"/>
      <c r="DSU39" s="21"/>
      <c r="DSV39" s="21"/>
      <c r="DSW39" s="21"/>
      <c r="DSX39" s="21"/>
      <c r="DSY39" s="21"/>
      <c r="DSZ39" s="21"/>
      <c r="DTA39" s="21"/>
      <c r="DTB39" s="21"/>
      <c r="DTC39" s="21"/>
      <c r="DTD39" s="21"/>
      <c r="DTE39" s="21"/>
      <c r="DTF39" s="21"/>
      <c r="DTG39" s="21"/>
      <c r="DTH39" s="21"/>
      <c r="DTI39" s="21"/>
      <c r="DTJ39" s="21"/>
      <c r="DTK39" s="21"/>
      <c r="DTL39" s="21"/>
      <c r="DTM39" s="21"/>
      <c r="DTN39" s="21"/>
      <c r="DTO39" s="21"/>
      <c r="DTP39" s="21"/>
      <c r="DTQ39" s="21"/>
      <c r="DTR39" s="21"/>
      <c r="DTS39" s="21"/>
      <c r="DTT39" s="21"/>
      <c r="DTU39" s="21"/>
      <c r="DTV39" s="21"/>
      <c r="DTW39" s="21"/>
      <c r="DTX39" s="21"/>
      <c r="DTY39" s="21"/>
      <c r="DTZ39" s="21"/>
      <c r="DUA39" s="21"/>
      <c r="DUB39" s="21"/>
      <c r="DUC39" s="21"/>
      <c r="DUD39" s="21"/>
      <c r="DUE39" s="21"/>
      <c r="DUF39" s="21"/>
      <c r="DUG39" s="21"/>
      <c r="DUH39" s="21"/>
      <c r="DUI39" s="21"/>
      <c r="DUJ39" s="21"/>
      <c r="DUK39" s="21"/>
      <c r="DUL39" s="21"/>
      <c r="DUM39" s="21"/>
      <c r="DUN39" s="21"/>
      <c r="DUO39" s="21"/>
      <c r="DUP39" s="21"/>
      <c r="DUQ39" s="21"/>
      <c r="DUR39" s="21"/>
      <c r="DUS39" s="21"/>
      <c r="DUT39" s="21"/>
      <c r="DUU39" s="21"/>
      <c r="DUV39" s="21"/>
      <c r="DUW39" s="21"/>
      <c r="DUX39" s="21"/>
      <c r="DUY39" s="21"/>
      <c r="DUZ39" s="21"/>
      <c r="DVA39" s="21"/>
      <c r="DVB39" s="21"/>
      <c r="DVC39" s="21"/>
      <c r="DVD39" s="21"/>
      <c r="DVE39" s="21"/>
      <c r="DVF39" s="21"/>
      <c r="DVG39" s="21"/>
      <c r="DVH39" s="21"/>
      <c r="DVI39" s="21"/>
      <c r="DVJ39" s="21"/>
      <c r="DVK39" s="21"/>
      <c r="DVL39" s="21"/>
      <c r="DVM39" s="21"/>
      <c r="DVN39" s="21"/>
      <c r="DVO39" s="21"/>
      <c r="DVP39" s="21"/>
      <c r="DVQ39" s="21"/>
      <c r="DVR39" s="21"/>
      <c r="DVS39" s="21"/>
      <c r="DVT39" s="21"/>
      <c r="DVU39" s="21"/>
      <c r="DVV39" s="21"/>
      <c r="DVW39" s="21"/>
      <c r="DVX39" s="21"/>
      <c r="DVY39" s="21"/>
      <c r="DVZ39" s="21"/>
      <c r="DWA39" s="21"/>
      <c r="DWB39" s="21"/>
      <c r="DWC39" s="21"/>
      <c r="DWD39" s="21"/>
      <c r="DWE39" s="21"/>
      <c r="DWF39" s="21"/>
      <c r="DWG39" s="21"/>
      <c r="DWH39" s="21"/>
      <c r="DWI39" s="21"/>
      <c r="DWJ39" s="21"/>
      <c r="DWK39" s="21"/>
      <c r="DWL39" s="21"/>
      <c r="DWM39" s="21"/>
      <c r="DWN39" s="21"/>
      <c r="DWO39" s="21"/>
      <c r="DWP39" s="21"/>
      <c r="DWQ39" s="21"/>
      <c r="DWR39" s="21"/>
      <c r="DWS39" s="21"/>
      <c r="DWT39" s="21"/>
      <c r="DWU39" s="21"/>
      <c r="DWV39" s="21"/>
      <c r="DWW39" s="21"/>
      <c r="DWX39" s="21"/>
      <c r="DWY39" s="21"/>
      <c r="DWZ39" s="21"/>
      <c r="DXA39" s="21"/>
      <c r="DXB39" s="21"/>
      <c r="DXC39" s="21"/>
      <c r="DXD39" s="21"/>
      <c r="DXE39" s="21"/>
      <c r="DXF39" s="21"/>
      <c r="DXG39" s="21"/>
      <c r="DXH39" s="21"/>
      <c r="DXI39" s="21"/>
      <c r="DXJ39" s="21"/>
      <c r="DXK39" s="21"/>
      <c r="DXL39" s="21"/>
      <c r="DXM39" s="21"/>
      <c r="DXN39" s="21"/>
      <c r="DXO39" s="21"/>
      <c r="DXP39" s="21"/>
      <c r="DXQ39" s="21"/>
      <c r="DXR39" s="21"/>
      <c r="DXS39" s="21"/>
      <c r="DXT39" s="21"/>
      <c r="DXU39" s="21"/>
      <c r="DXV39" s="21"/>
      <c r="DXW39" s="21"/>
      <c r="DXX39" s="21"/>
      <c r="DXY39" s="21"/>
      <c r="DXZ39" s="21"/>
      <c r="DYA39" s="21"/>
      <c r="DYB39" s="21"/>
      <c r="DYC39" s="21"/>
      <c r="DYD39" s="21"/>
      <c r="DYE39" s="21"/>
      <c r="DYF39" s="21"/>
      <c r="DYG39" s="21"/>
      <c r="DYH39" s="21"/>
      <c r="DYI39" s="21"/>
      <c r="DYJ39" s="21"/>
      <c r="DYK39" s="21"/>
      <c r="DYL39" s="21"/>
      <c r="DYM39" s="21"/>
      <c r="DYN39" s="21"/>
      <c r="DYO39" s="21"/>
      <c r="DYP39" s="21"/>
      <c r="DYQ39" s="21"/>
      <c r="DYR39" s="21"/>
      <c r="DYS39" s="21"/>
      <c r="DYT39" s="21"/>
      <c r="DYU39" s="21"/>
      <c r="DYV39" s="21"/>
      <c r="DYW39" s="21"/>
      <c r="DYX39" s="21"/>
      <c r="DYY39" s="21"/>
      <c r="DYZ39" s="21"/>
      <c r="DZA39" s="21"/>
      <c r="DZB39" s="21"/>
      <c r="DZC39" s="21"/>
      <c r="DZD39" s="21"/>
      <c r="DZE39" s="21"/>
      <c r="DZF39" s="21"/>
      <c r="DZG39" s="21"/>
      <c r="DZH39" s="21"/>
      <c r="DZI39" s="21"/>
      <c r="DZJ39" s="21"/>
      <c r="DZK39" s="21"/>
      <c r="DZL39" s="21"/>
      <c r="DZM39" s="21"/>
      <c r="DZN39" s="21"/>
      <c r="DZO39" s="21"/>
      <c r="DZP39" s="21"/>
      <c r="DZQ39" s="21"/>
      <c r="DZR39" s="21"/>
      <c r="DZS39" s="21"/>
      <c r="DZT39" s="21"/>
      <c r="DZU39" s="21"/>
      <c r="DZV39" s="21"/>
      <c r="DZW39" s="21"/>
      <c r="DZX39" s="21"/>
      <c r="DZY39" s="21"/>
      <c r="DZZ39" s="21"/>
      <c r="EAA39" s="21"/>
      <c r="EAB39" s="21"/>
      <c r="EAC39" s="21"/>
      <c r="EAD39" s="21"/>
      <c r="EAE39" s="21"/>
      <c r="EAF39" s="21"/>
      <c r="EAG39" s="21"/>
      <c r="EAH39" s="21"/>
      <c r="EAI39" s="21"/>
      <c r="EAJ39" s="21"/>
      <c r="EAK39" s="21"/>
      <c r="EAL39" s="21"/>
      <c r="EAM39" s="21"/>
      <c r="EAN39" s="21"/>
      <c r="EAO39" s="21"/>
      <c r="EAP39" s="21"/>
      <c r="EAQ39" s="21"/>
      <c r="EAR39" s="21"/>
      <c r="EAS39" s="21"/>
      <c r="EAT39" s="21"/>
      <c r="EAU39" s="21"/>
      <c r="EAV39" s="21"/>
      <c r="EAW39" s="21"/>
      <c r="EAX39" s="21"/>
      <c r="EAY39" s="21"/>
      <c r="EAZ39" s="21"/>
      <c r="EBA39" s="21"/>
      <c r="EBB39" s="21"/>
      <c r="EBC39" s="21"/>
      <c r="EBD39" s="21"/>
      <c r="EBE39" s="21"/>
      <c r="EBF39" s="21"/>
      <c r="EBG39" s="21"/>
      <c r="EBH39" s="21"/>
      <c r="EBI39" s="21"/>
      <c r="EBJ39" s="21"/>
      <c r="EBK39" s="21"/>
      <c r="EBL39" s="21"/>
      <c r="EBM39" s="21"/>
      <c r="EBN39" s="21"/>
      <c r="EBO39" s="21"/>
      <c r="EBP39" s="21"/>
      <c r="EBQ39" s="21"/>
      <c r="EBR39" s="21"/>
      <c r="EBS39" s="21"/>
      <c r="EBT39" s="21"/>
      <c r="EBU39" s="21"/>
      <c r="EBV39" s="21"/>
      <c r="EBW39" s="21"/>
      <c r="EBX39" s="21"/>
      <c r="EBY39" s="21"/>
      <c r="EBZ39" s="21"/>
      <c r="ECA39" s="21"/>
      <c r="ECB39" s="21"/>
      <c r="ECC39" s="21"/>
      <c r="ECD39" s="21"/>
      <c r="ECE39" s="21"/>
      <c r="ECF39" s="21"/>
      <c r="ECG39" s="21"/>
      <c r="ECH39" s="21"/>
      <c r="ECI39" s="21"/>
      <c r="ECJ39" s="21"/>
      <c r="ECK39" s="21"/>
      <c r="ECL39" s="21"/>
      <c r="ECM39" s="21"/>
      <c r="ECN39" s="21"/>
      <c r="ECO39" s="21"/>
      <c r="ECP39" s="21"/>
      <c r="ECQ39" s="21"/>
      <c r="ECR39" s="21"/>
      <c r="ECS39" s="21"/>
      <c r="ECT39" s="21"/>
      <c r="ECU39" s="21"/>
      <c r="ECV39" s="21"/>
      <c r="ECW39" s="21"/>
      <c r="ECX39" s="21"/>
      <c r="ECY39" s="21"/>
      <c r="ECZ39" s="21"/>
      <c r="EDA39" s="21"/>
      <c r="EDB39" s="21"/>
      <c r="EDC39" s="21"/>
      <c r="EDD39" s="21"/>
      <c r="EDE39" s="21"/>
      <c r="EDF39" s="21"/>
      <c r="EDG39" s="21"/>
      <c r="EDH39" s="21"/>
      <c r="EDI39" s="21"/>
      <c r="EDJ39" s="21"/>
      <c r="EDK39" s="21"/>
      <c r="EDL39" s="21"/>
      <c r="EDM39" s="21"/>
      <c r="EDN39" s="21"/>
      <c r="EDO39" s="21"/>
      <c r="EDP39" s="21"/>
      <c r="EDQ39" s="21"/>
      <c r="EDR39" s="21"/>
      <c r="EDS39" s="21"/>
      <c r="EDT39" s="21"/>
      <c r="EDU39" s="21"/>
      <c r="EDV39" s="21"/>
      <c r="EDW39" s="21"/>
      <c r="EDX39" s="21"/>
      <c r="EDY39" s="21"/>
      <c r="EDZ39" s="21"/>
      <c r="EEA39" s="21"/>
      <c r="EEB39" s="21"/>
      <c r="EEC39" s="21"/>
      <c r="EED39" s="21"/>
      <c r="EEE39" s="21"/>
      <c r="EEF39" s="21"/>
      <c r="EEG39" s="21"/>
      <c r="EEH39" s="21"/>
      <c r="EEI39" s="21"/>
      <c r="EEJ39" s="21"/>
      <c r="EEK39" s="21"/>
      <c r="EEL39" s="21"/>
      <c r="EEM39" s="21"/>
      <c r="EEN39" s="21"/>
      <c r="EEO39" s="21"/>
      <c r="EEP39" s="21"/>
      <c r="EEQ39" s="21"/>
      <c r="EER39" s="21"/>
      <c r="EES39" s="21"/>
      <c r="EET39" s="21"/>
      <c r="EEU39" s="21"/>
      <c r="EEV39" s="21"/>
      <c r="EEW39" s="21"/>
      <c r="EEX39" s="21"/>
      <c r="EEY39" s="21"/>
      <c r="EEZ39" s="21"/>
      <c r="EFA39" s="21"/>
      <c r="EFB39" s="21"/>
      <c r="EFC39" s="21"/>
      <c r="EFD39" s="21"/>
      <c r="EFE39" s="21"/>
      <c r="EFF39" s="21"/>
      <c r="EFG39" s="21"/>
      <c r="EFH39" s="21"/>
      <c r="EFI39" s="21"/>
      <c r="EFJ39" s="21"/>
      <c r="EFK39" s="21"/>
      <c r="EFL39" s="21"/>
      <c r="EFM39" s="21"/>
      <c r="EFN39" s="21"/>
      <c r="EFO39" s="21"/>
      <c r="EFP39" s="21"/>
      <c r="EFQ39" s="21"/>
      <c r="EFR39" s="21"/>
      <c r="EFS39" s="21"/>
      <c r="EFT39" s="21"/>
      <c r="EFU39" s="21"/>
      <c r="EFV39" s="21"/>
      <c r="EFW39" s="21"/>
      <c r="EFX39" s="21"/>
      <c r="EFY39" s="21"/>
      <c r="EFZ39" s="21"/>
      <c r="EGA39" s="21"/>
      <c r="EGB39" s="21"/>
      <c r="EGC39" s="21"/>
      <c r="EGD39" s="21"/>
      <c r="EGE39" s="21"/>
      <c r="EGF39" s="21"/>
      <c r="EGG39" s="21"/>
      <c r="EGH39" s="21"/>
      <c r="EGI39" s="21"/>
      <c r="EGJ39" s="21"/>
      <c r="EGK39" s="21"/>
      <c r="EGL39" s="21"/>
      <c r="EGM39" s="21"/>
      <c r="EGN39" s="21"/>
      <c r="EGO39" s="21"/>
      <c r="EGP39" s="21"/>
      <c r="EGQ39" s="21"/>
      <c r="EGR39" s="21"/>
      <c r="EGS39" s="21"/>
      <c r="EGT39" s="21"/>
      <c r="EGU39" s="21"/>
      <c r="EGV39" s="21"/>
      <c r="EGW39" s="21"/>
      <c r="EGX39" s="21"/>
      <c r="EGY39" s="21"/>
      <c r="EGZ39" s="21"/>
      <c r="EHA39" s="21"/>
      <c r="EHB39" s="21"/>
      <c r="EHC39" s="21"/>
      <c r="EHD39" s="21"/>
      <c r="EHE39" s="21"/>
      <c r="EHF39" s="21"/>
      <c r="EHG39" s="21"/>
      <c r="EHH39" s="21"/>
      <c r="EHI39" s="21"/>
      <c r="EHJ39" s="21"/>
      <c r="EHK39" s="21"/>
      <c r="EHL39" s="21"/>
      <c r="EHM39" s="21"/>
      <c r="EHN39" s="21"/>
      <c r="EHO39" s="21"/>
      <c r="EHP39" s="21"/>
      <c r="EHQ39" s="21"/>
      <c r="EHR39" s="21"/>
      <c r="EHS39" s="21"/>
      <c r="EHT39" s="21"/>
      <c r="EHU39" s="21"/>
      <c r="EHV39" s="21"/>
      <c r="EHW39" s="21"/>
      <c r="EHX39" s="21"/>
      <c r="EHY39" s="21"/>
      <c r="EHZ39" s="21"/>
      <c r="EIA39" s="21"/>
      <c r="EIB39" s="21"/>
      <c r="EIC39" s="21"/>
      <c r="EID39" s="21"/>
      <c r="EIE39" s="21"/>
      <c r="EIF39" s="21"/>
      <c r="EIG39" s="21"/>
      <c r="EIH39" s="21"/>
      <c r="EII39" s="21"/>
      <c r="EIJ39" s="21"/>
      <c r="EIK39" s="21"/>
      <c r="EIL39" s="21"/>
      <c r="EIM39" s="21"/>
      <c r="EIN39" s="21"/>
      <c r="EIO39" s="21"/>
      <c r="EIP39" s="21"/>
      <c r="EIQ39" s="21"/>
      <c r="EIR39" s="21"/>
      <c r="EIS39" s="21"/>
      <c r="EIT39" s="21"/>
      <c r="EIU39" s="21"/>
      <c r="EIV39" s="21"/>
      <c r="EIW39" s="21"/>
      <c r="EIX39" s="21"/>
      <c r="EIY39" s="21"/>
      <c r="EIZ39" s="21"/>
      <c r="EJA39" s="21"/>
      <c r="EJB39" s="21"/>
      <c r="EJC39" s="21"/>
      <c r="EJD39" s="21"/>
      <c r="EJE39" s="21"/>
      <c r="EJF39" s="21"/>
      <c r="EJG39" s="21"/>
      <c r="EJH39" s="21"/>
      <c r="EJI39" s="21"/>
      <c r="EJJ39" s="21"/>
      <c r="EJK39" s="21"/>
      <c r="EJL39" s="21"/>
      <c r="EJM39" s="21"/>
      <c r="EJN39" s="21"/>
      <c r="EJO39" s="21"/>
      <c r="EJP39" s="21"/>
      <c r="EJQ39" s="21"/>
      <c r="EJR39" s="21"/>
      <c r="EJS39" s="21"/>
      <c r="EJT39" s="21"/>
      <c r="EJU39" s="21"/>
      <c r="EJV39" s="21"/>
      <c r="EJW39" s="21"/>
      <c r="EJX39" s="21"/>
      <c r="EJY39" s="21"/>
      <c r="EJZ39" s="21"/>
      <c r="EKA39" s="21"/>
      <c r="EKB39" s="21"/>
      <c r="EKC39" s="21"/>
      <c r="EKD39" s="21"/>
      <c r="EKE39" s="21"/>
      <c r="EKF39" s="21"/>
      <c r="EKG39" s="21"/>
      <c r="EKH39" s="21"/>
      <c r="EKI39" s="21"/>
      <c r="EKJ39" s="21"/>
      <c r="EKK39" s="21"/>
      <c r="EKL39" s="21"/>
      <c r="EKM39" s="21"/>
      <c r="EKN39" s="21"/>
      <c r="EKO39" s="21"/>
      <c r="EKP39" s="21"/>
      <c r="EKQ39" s="21"/>
      <c r="EKR39" s="21"/>
      <c r="EKS39" s="21"/>
      <c r="EKT39" s="21"/>
      <c r="EKU39" s="21"/>
      <c r="EKV39" s="21"/>
      <c r="EKW39" s="21"/>
      <c r="EKX39" s="21"/>
      <c r="EKY39" s="21"/>
      <c r="EKZ39" s="21"/>
      <c r="ELA39" s="21"/>
      <c r="ELB39" s="21"/>
      <c r="ELC39" s="21"/>
      <c r="ELD39" s="21"/>
      <c r="ELE39" s="21"/>
      <c r="ELF39" s="21"/>
      <c r="ELG39" s="21"/>
      <c r="ELH39" s="21"/>
      <c r="ELI39" s="21"/>
      <c r="ELJ39" s="21"/>
      <c r="ELK39" s="21"/>
      <c r="ELL39" s="21"/>
      <c r="ELM39" s="21"/>
      <c r="ELN39" s="21"/>
      <c r="ELO39" s="21"/>
      <c r="ELP39" s="21"/>
      <c r="ELQ39" s="21"/>
      <c r="ELR39" s="21"/>
      <c r="ELS39" s="21"/>
      <c r="ELT39" s="21"/>
      <c r="ELU39" s="21"/>
      <c r="ELV39" s="21"/>
      <c r="ELW39" s="21"/>
      <c r="ELX39" s="21"/>
      <c r="ELY39" s="21"/>
      <c r="ELZ39" s="21"/>
      <c r="EMA39" s="21"/>
      <c r="EMB39" s="21"/>
      <c r="EMC39" s="21"/>
      <c r="EMD39" s="21"/>
      <c r="EME39" s="21"/>
      <c r="EMF39" s="21"/>
      <c r="EMG39" s="21"/>
      <c r="EMH39" s="21"/>
      <c r="EMI39" s="21"/>
      <c r="EMJ39" s="21"/>
      <c r="EMK39" s="21"/>
      <c r="EML39" s="21"/>
      <c r="EMM39" s="21"/>
      <c r="EMN39" s="21"/>
      <c r="EMO39" s="21"/>
      <c r="EMP39" s="21"/>
      <c r="EMQ39" s="21"/>
      <c r="EMR39" s="21"/>
      <c r="EMS39" s="21"/>
      <c r="EMT39" s="21"/>
      <c r="EMU39" s="21"/>
      <c r="EMV39" s="21"/>
      <c r="EMW39" s="21"/>
      <c r="EMX39" s="21"/>
      <c r="EMY39" s="21"/>
      <c r="EMZ39" s="21"/>
      <c r="ENA39" s="21"/>
      <c r="ENB39" s="21"/>
      <c r="ENC39" s="21"/>
      <c r="END39" s="21"/>
      <c r="ENE39" s="21"/>
      <c r="ENF39" s="21"/>
      <c r="ENG39" s="21"/>
      <c r="ENH39" s="21"/>
      <c r="ENI39" s="21"/>
      <c r="ENJ39" s="21"/>
      <c r="ENK39" s="21"/>
      <c r="ENL39" s="21"/>
      <c r="ENM39" s="21"/>
      <c r="ENN39" s="21"/>
      <c r="ENO39" s="21"/>
      <c r="ENP39" s="21"/>
      <c r="ENQ39" s="21"/>
      <c r="ENR39" s="21"/>
      <c r="ENS39" s="21"/>
      <c r="ENT39" s="21"/>
      <c r="ENU39" s="21"/>
      <c r="ENV39" s="21"/>
      <c r="ENW39" s="21"/>
      <c r="ENX39" s="21"/>
      <c r="ENY39" s="21"/>
      <c r="ENZ39" s="21"/>
      <c r="EOA39" s="21"/>
      <c r="EOB39" s="21"/>
      <c r="EOC39" s="21"/>
      <c r="EOD39" s="21"/>
      <c r="EOE39" s="21"/>
      <c r="EOF39" s="21"/>
      <c r="EOG39" s="21"/>
      <c r="EOH39" s="21"/>
      <c r="EOI39" s="21"/>
      <c r="EOJ39" s="21"/>
      <c r="EOK39" s="21"/>
      <c r="EOL39" s="21"/>
      <c r="EOM39" s="21"/>
      <c r="EON39" s="21"/>
      <c r="EOO39" s="21"/>
      <c r="EOP39" s="21"/>
      <c r="EOQ39" s="21"/>
      <c r="EOR39" s="21"/>
      <c r="EOS39" s="21"/>
      <c r="EOT39" s="21"/>
      <c r="EOU39" s="21"/>
      <c r="EOV39" s="21"/>
      <c r="EOW39" s="21"/>
      <c r="EOX39" s="21"/>
      <c r="EOY39" s="21"/>
      <c r="EOZ39" s="21"/>
      <c r="EPA39" s="21"/>
      <c r="EPB39" s="21"/>
      <c r="EPC39" s="21"/>
      <c r="EPD39" s="21"/>
      <c r="EPE39" s="21"/>
      <c r="EPF39" s="21"/>
      <c r="EPG39" s="21"/>
      <c r="EPH39" s="21"/>
      <c r="EPI39" s="21"/>
      <c r="EPJ39" s="21"/>
      <c r="EPK39" s="21"/>
      <c r="EPL39" s="21"/>
      <c r="EPM39" s="21"/>
      <c r="EPN39" s="21"/>
      <c r="EPO39" s="21"/>
      <c r="EPP39" s="21"/>
      <c r="EPQ39" s="21"/>
      <c r="EPR39" s="21"/>
      <c r="EPS39" s="21"/>
      <c r="EPT39" s="21"/>
      <c r="EPU39" s="21"/>
      <c r="EPV39" s="21"/>
      <c r="EPW39" s="21"/>
      <c r="EPX39" s="21"/>
      <c r="EPY39" s="21"/>
      <c r="EPZ39" s="21"/>
      <c r="EQA39" s="21"/>
      <c r="EQB39" s="21"/>
      <c r="EQC39" s="21"/>
      <c r="EQD39" s="21"/>
      <c r="EQE39" s="21"/>
      <c r="EQF39" s="21"/>
      <c r="EQG39" s="21"/>
      <c r="EQH39" s="21"/>
      <c r="EQI39" s="21"/>
      <c r="EQJ39" s="21"/>
      <c r="EQK39" s="21"/>
      <c r="EQL39" s="21"/>
      <c r="EQM39" s="21"/>
      <c r="EQN39" s="21"/>
      <c r="EQO39" s="21"/>
      <c r="EQP39" s="21"/>
      <c r="EQQ39" s="21"/>
      <c r="EQR39" s="21"/>
      <c r="EQS39" s="21"/>
      <c r="EQT39" s="21"/>
      <c r="EQU39" s="21"/>
      <c r="EQV39" s="21"/>
      <c r="EQW39" s="21"/>
      <c r="EQX39" s="21"/>
      <c r="EQY39" s="21"/>
      <c r="EQZ39" s="21"/>
      <c r="ERA39" s="21"/>
      <c r="ERB39" s="21"/>
      <c r="ERC39" s="21"/>
      <c r="ERD39" s="21"/>
      <c r="ERE39" s="21"/>
      <c r="ERF39" s="21"/>
      <c r="ERG39" s="21"/>
      <c r="ERH39" s="21"/>
      <c r="ERI39" s="21"/>
      <c r="ERJ39" s="21"/>
      <c r="ERK39" s="21"/>
      <c r="ERL39" s="21"/>
      <c r="ERM39" s="21"/>
      <c r="ERN39" s="21"/>
      <c r="ERO39" s="21"/>
      <c r="ERP39" s="21"/>
      <c r="ERQ39" s="21"/>
      <c r="ERR39" s="21"/>
      <c r="ERS39" s="21"/>
      <c r="ERT39" s="21"/>
      <c r="ERU39" s="21"/>
      <c r="ERV39" s="21"/>
      <c r="ERW39" s="21"/>
      <c r="ERX39" s="21"/>
      <c r="ERY39" s="21"/>
      <c r="ERZ39" s="21"/>
      <c r="ESA39" s="21"/>
      <c r="ESB39" s="21"/>
      <c r="ESC39" s="21"/>
      <c r="ESD39" s="21"/>
      <c r="ESE39" s="21"/>
      <c r="ESF39" s="21"/>
      <c r="ESG39" s="21"/>
      <c r="ESH39" s="21"/>
      <c r="ESI39" s="21"/>
      <c r="ESJ39" s="21"/>
      <c r="ESK39" s="21"/>
      <c r="ESL39" s="21"/>
      <c r="ESM39" s="21"/>
      <c r="ESN39" s="21"/>
      <c r="ESO39" s="21"/>
      <c r="ESP39" s="21"/>
      <c r="ESQ39" s="21"/>
      <c r="ESR39" s="21"/>
      <c r="ESS39" s="21"/>
      <c r="EST39" s="21"/>
      <c r="ESU39" s="21"/>
      <c r="ESV39" s="21"/>
      <c r="ESW39" s="21"/>
      <c r="ESX39" s="21"/>
      <c r="ESY39" s="21"/>
      <c r="ESZ39" s="21"/>
      <c r="ETA39" s="21"/>
      <c r="ETB39" s="21"/>
      <c r="ETC39" s="21"/>
      <c r="ETD39" s="21"/>
      <c r="ETE39" s="21"/>
      <c r="ETF39" s="21"/>
      <c r="ETG39" s="21"/>
      <c r="ETH39" s="21"/>
      <c r="ETI39" s="21"/>
      <c r="ETJ39" s="21"/>
      <c r="ETK39" s="21"/>
      <c r="ETL39" s="21"/>
      <c r="ETM39" s="21"/>
      <c r="ETN39" s="21"/>
      <c r="ETO39" s="21"/>
      <c r="ETP39" s="21"/>
      <c r="ETQ39" s="21"/>
      <c r="ETR39" s="21"/>
      <c r="ETS39" s="21"/>
      <c r="ETT39" s="21"/>
      <c r="ETU39" s="21"/>
      <c r="ETV39" s="21"/>
      <c r="ETW39" s="21"/>
      <c r="ETX39" s="21"/>
      <c r="ETY39" s="21"/>
      <c r="ETZ39" s="21"/>
      <c r="EUA39" s="21"/>
      <c r="EUB39" s="21"/>
      <c r="EUC39" s="21"/>
      <c r="EUD39" s="21"/>
      <c r="EUE39" s="21"/>
      <c r="EUF39" s="21"/>
      <c r="EUG39" s="21"/>
      <c r="EUH39" s="21"/>
      <c r="EUI39" s="21"/>
      <c r="EUJ39" s="21"/>
      <c r="EUK39" s="21"/>
      <c r="EUL39" s="21"/>
      <c r="EUM39" s="21"/>
      <c r="EUN39" s="21"/>
      <c r="EUO39" s="21"/>
      <c r="EUP39" s="21"/>
      <c r="EUQ39" s="21"/>
      <c r="EUR39" s="21"/>
      <c r="EUS39" s="21"/>
      <c r="EUT39" s="21"/>
      <c r="EUU39" s="21"/>
      <c r="EUV39" s="21"/>
      <c r="EUW39" s="21"/>
      <c r="EUX39" s="21"/>
      <c r="EUY39" s="21"/>
      <c r="EUZ39" s="21"/>
      <c r="EVA39" s="21"/>
      <c r="EVB39" s="21"/>
      <c r="EVC39" s="21"/>
      <c r="EVD39" s="21"/>
      <c r="EVE39" s="21"/>
      <c r="EVF39" s="21"/>
      <c r="EVG39" s="21"/>
      <c r="EVH39" s="21"/>
      <c r="EVI39" s="21"/>
      <c r="EVJ39" s="21"/>
      <c r="EVK39" s="21"/>
      <c r="EVL39" s="21"/>
      <c r="EVM39" s="21"/>
      <c r="EVN39" s="21"/>
      <c r="EVO39" s="21"/>
      <c r="EVP39" s="21"/>
      <c r="EVQ39" s="21"/>
      <c r="EVR39" s="21"/>
      <c r="EVS39" s="21"/>
      <c r="EVT39" s="21"/>
      <c r="EVU39" s="21"/>
      <c r="EVV39" s="21"/>
      <c r="EVW39" s="21"/>
      <c r="EVX39" s="21"/>
      <c r="EVY39" s="21"/>
      <c r="EVZ39" s="21"/>
      <c r="EWA39" s="21"/>
      <c r="EWB39" s="21"/>
      <c r="EWC39" s="21"/>
      <c r="EWD39" s="21"/>
      <c r="EWE39" s="21"/>
      <c r="EWF39" s="21"/>
      <c r="EWG39" s="21"/>
      <c r="EWH39" s="21"/>
      <c r="EWI39" s="21"/>
      <c r="EWJ39" s="21"/>
      <c r="EWK39" s="21"/>
      <c r="EWL39" s="21"/>
      <c r="EWM39" s="21"/>
      <c r="EWN39" s="21"/>
      <c r="EWO39" s="21"/>
      <c r="EWP39" s="21"/>
      <c r="EWQ39" s="21"/>
      <c r="EWR39" s="21"/>
      <c r="EWS39" s="21"/>
      <c r="EWT39" s="21"/>
      <c r="EWU39" s="21"/>
      <c r="EWV39" s="21"/>
      <c r="EWW39" s="21"/>
      <c r="EWX39" s="21"/>
      <c r="EWY39" s="21"/>
      <c r="EWZ39" s="21"/>
      <c r="EXA39" s="21"/>
      <c r="EXB39" s="21"/>
      <c r="EXC39" s="21"/>
      <c r="EXD39" s="21"/>
      <c r="EXE39" s="21"/>
      <c r="EXF39" s="21"/>
      <c r="EXG39" s="21"/>
      <c r="EXH39" s="21"/>
      <c r="EXI39" s="21"/>
      <c r="EXJ39" s="21"/>
      <c r="EXK39" s="21"/>
      <c r="EXL39" s="21"/>
      <c r="EXM39" s="21"/>
      <c r="EXN39" s="21"/>
      <c r="EXO39" s="21"/>
      <c r="EXP39" s="21"/>
      <c r="EXQ39" s="21"/>
      <c r="EXR39" s="21"/>
      <c r="EXS39" s="21"/>
      <c r="EXT39" s="21"/>
      <c r="EXU39" s="21"/>
      <c r="EXV39" s="21"/>
      <c r="EXW39" s="21"/>
      <c r="EXX39" s="21"/>
      <c r="EXY39" s="21"/>
      <c r="EXZ39" s="21"/>
      <c r="EYA39" s="21"/>
      <c r="EYB39" s="21"/>
      <c r="EYC39" s="21"/>
      <c r="EYD39" s="21"/>
      <c r="EYE39" s="21"/>
      <c r="EYF39" s="21"/>
      <c r="EYG39" s="21"/>
      <c r="EYH39" s="21"/>
      <c r="EYI39" s="21"/>
      <c r="EYJ39" s="21"/>
      <c r="EYK39" s="21"/>
      <c r="EYL39" s="21"/>
      <c r="EYM39" s="21"/>
      <c r="EYN39" s="21"/>
      <c r="EYO39" s="21"/>
      <c r="EYP39" s="21"/>
      <c r="EYQ39" s="21"/>
      <c r="EYR39" s="21"/>
      <c r="EYS39" s="21"/>
      <c r="EYT39" s="21"/>
      <c r="EYU39" s="21"/>
      <c r="EYV39" s="21"/>
      <c r="EYW39" s="21"/>
      <c r="EYX39" s="21"/>
      <c r="EYY39" s="21"/>
      <c r="EYZ39" s="21"/>
      <c r="EZA39" s="21"/>
      <c r="EZB39" s="21"/>
      <c r="EZC39" s="21"/>
      <c r="EZD39" s="21"/>
      <c r="EZE39" s="21"/>
      <c r="EZF39" s="21"/>
      <c r="EZG39" s="21"/>
      <c r="EZH39" s="21"/>
      <c r="EZI39" s="21"/>
      <c r="EZJ39" s="21"/>
      <c r="EZK39" s="21"/>
      <c r="EZL39" s="21"/>
      <c r="EZM39" s="21"/>
      <c r="EZN39" s="21"/>
      <c r="EZO39" s="21"/>
      <c r="EZP39" s="21"/>
      <c r="EZQ39" s="21"/>
      <c r="EZR39" s="21"/>
      <c r="EZS39" s="21"/>
      <c r="EZT39" s="21"/>
      <c r="EZU39" s="21"/>
      <c r="EZV39" s="21"/>
      <c r="EZW39" s="21"/>
      <c r="EZX39" s="21"/>
      <c r="EZY39" s="21"/>
      <c r="EZZ39" s="21"/>
      <c r="FAA39" s="21"/>
      <c r="FAB39" s="21"/>
      <c r="FAC39" s="21"/>
      <c r="FAD39" s="21"/>
      <c r="FAE39" s="21"/>
      <c r="FAF39" s="21"/>
      <c r="FAG39" s="21"/>
      <c r="FAH39" s="21"/>
      <c r="FAI39" s="21"/>
      <c r="FAJ39" s="21"/>
      <c r="FAK39" s="21"/>
      <c r="FAL39" s="21"/>
      <c r="FAM39" s="21"/>
      <c r="FAN39" s="21"/>
      <c r="FAO39" s="21"/>
      <c r="FAP39" s="21"/>
      <c r="FAQ39" s="21"/>
      <c r="FAR39" s="21"/>
      <c r="FAS39" s="21"/>
      <c r="FAT39" s="21"/>
      <c r="FAU39" s="21"/>
      <c r="FAV39" s="21"/>
      <c r="FAW39" s="21"/>
      <c r="FAX39" s="21"/>
      <c r="FAY39" s="21"/>
      <c r="FAZ39" s="21"/>
      <c r="FBA39" s="21"/>
      <c r="FBB39" s="21"/>
      <c r="FBC39" s="21"/>
      <c r="FBD39" s="21"/>
      <c r="FBE39" s="21"/>
      <c r="FBF39" s="21"/>
      <c r="FBG39" s="21"/>
      <c r="FBH39" s="21"/>
      <c r="FBI39" s="21"/>
      <c r="FBJ39" s="21"/>
      <c r="FBK39" s="21"/>
      <c r="FBL39" s="21"/>
      <c r="FBM39" s="21"/>
      <c r="FBN39" s="21"/>
      <c r="FBO39" s="21"/>
      <c r="FBP39" s="21"/>
      <c r="FBQ39" s="21"/>
      <c r="FBR39" s="21"/>
      <c r="FBS39" s="21"/>
      <c r="FBT39" s="21"/>
      <c r="FBU39" s="21"/>
      <c r="FBV39" s="21"/>
      <c r="FBW39" s="21"/>
      <c r="FBX39" s="21"/>
      <c r="FBY39" s="21"/>
      <c r="FBZ39" s="21"/>
      <c r="FCA39" s="21"/>
      <c r="FCB39" s="21"/>
      <c r="FCC39" s="21"/>
      <c r="FCD39" s="21"/>
      <c r="FCE39" s="21"/>
      <c r="FCF39" s="21"/>
      <c r="FCG39" s="21"/>
      <c r="FCH39" s="21"/>
      <c r="FCI39" s="21"/>
      <c r="FCJ39" s="21"/>
      <c r="FCK39" s="21"/>
      <c r="FCL39" s="21"/>
      <c r="FCM39" s="21"/>
      <c r="FCN39" s="21"/>
      <c r="FCO39" s="21"/>
      <c r="FCP39" s="21"/>
      <c r="FCQ39" s="21"/>
      <c r="FCR39" s="21"/>
      <c r="FCS39" s="21"/>
      <c r="FCT39" s="21"/>
      <c r="FCU39" s="21"/>
      <c r="FCV39" s="21"/>
      <c r="FCW39" s="21"/>
      <c r="FCX39" s="21"/>
      <c r="FCY39" s="21"/>
      <c r="FCZ39" s="21"/>
      <c r="FDA39" s="21"/>
      <c r="FDB39" s="21"/>
      <c r="FDC39" s="21"/>
      <c r="FDD39" s="21"/>
      <c r="FDE39" s="21"/>
      <c r="FDF39" s="21"/>
      <c r="FDG39" s="21"/>
      <c r="FDH39" s="21"/>
      <c r="FDI39" s="21"/>
      <c r="FDJ39" s="21"/>
      <c r="FDK39" s="21"/>
      <c r="FDL39" s="21"/>
      <c r="FDM39" s="21"/>
      <c r="FDN39" s="21"/>
      <c r="FDO39" s="21"/>
      <c r="FDP39" s="21"/>
      <c r="FDQ39" s="21"/>
      <c r="FDR39" s="21"/>
      <c r="FDS39" s="21"/>
      <c r="FDT39" s="21"/>
      <c r="FDU39" s="21"/>
      <c r="FDV39" s="21"/>
      <c r="FDW39" s="21"/>
      <c r="FDX39" s="21"/>
      <c r="FDY39" s="21"/>
      <c r="FDZ39" s="21"/>
      <c r="FEA39" s="21"/>
      <c r="FEB39" s="21"/>
      <c r="FEC39" s="21"/>
      <c r="FED39" s="21"/>
      <c r="FEE39" s="21"/>
      <c r="FEF39" s="21"/>
      <c r="FEG39" s="21"/>
      <c r="FEH39" s="21"/>
      <c r="FEI39" s="21"/>
      <c r="FEJ39" s="21"/>
      <c r="FEK39" s="21"/>
      <c r="FEL39" s="21"/>
      <c r="FEM39" s="21"/>
      <c r="FEN39" s="21"/>
      <c r="FEO39" s="21"/>
      <c r="FEP39" s="21"/>
      <c r="FEQ39" s="21"/>
      <c r="FER39" s="21"/>
      <c r="FES39" s="21"/>
      <c r="FET39" s="21"/>
      <c r="FEU39" s="21"/>
      <c r="FEV39" s="21"/>
      <c r="FEW39" s="21"/>
      <c r="FEX39" s="21"/>
      <c r="FEY39" s="21"/>
      <c r="FEZ39" s="21"/>
      <c r="FFA39" s="21"/>
      <c r="FFB39" s="21"/>
      <c r="FFC39" s="21"/>
      <c r="FFD39" s="21"/>
      <c r="FFE39" s="21"/>
      <c r="FFF39" s="21"/>
      <c r="FFG39" s="21"/>
      <c r="FFH39" s="21"/>
      <c r="FFI39" s="21"/>
      <c r="FFJ39" s="21"/>
      <c r="FFK39" s="21"/>
      <c r="FFL39" s="21"/>
      <c r="FFM39" s="21"/>
      <c r="FFN39" s="21"/>
      <c r="FFO39" s="21"/>
      <c r="FFP39" s="21"/>
      <c r="FFQ39" s="21"/>
      <c r="FFR39" s="21"/>
      <c r="FFS39" s="21"/>
      <c r="FFT39" s="21"/>
      <c r="FFU39" s="21"/>
      <c r="FFV39" s="21"/>
      <c r="FFW39" s="21"/>
      <c r="FFX39" s="21"/>
      <c r="FFY39" s="21"/>
      <c r="FFZ39" s="21"/>
      <c r="FGA39" s="21"/>
      <c r="FGB39" s="21"/>
      <c r="FGC39" s="21"/>
      <c r="FGD39" s="21"/>
      <c r="FGE39" s="21"/>
      <c r="FGF39" s="21"/>
      <c r="FGG39" s="21"/>
      <c r="FGH39" s="21"/>
      <c r="FGI39" s="21"/>
      <c r="FGJ39" s="21"/>
      <c r="FGK39" s="21"/>
      <c r="FGL39" s="21"/>
      <c r="FGM39" s="21"/>
      <c r="FGN39" s="21"/>
      <c r="FGO39" s="21"/>
      <c r="FGP39" s="21"/>
      <c r="FGQ39" s="21"/>
      <c r="FGR39" s="21"/>
      <c r="FGS39" s="21"/>
      <c r="FGT39" s="21"/>
      <c r="FGU39" s="21"/>
      <c r="FGV39" s="21"/>
      <c r="FGW39" s="21"/>
      <c r="FGX39" s="21"/>
      <c r="FGY39" s="21"/>
      <c r="FGZ39" s="21"/>
      <c r="FHA39" s="21"/>
      <c r="FHB39" s="21"/>
      <c r="FHC39" s="21"/>
      <c r="FHD39" s="21"/>
      <c r="FHE39" s="21"/>
      <c r="FHF39" s="21"/>
      <c r="FHG39" s="21"/>
      <c r="FHH39" s="21"/>
      <c r="FHI39" s="21"/>
      <c r="FHJ39" s="21"/>
      <c r="FHK39" s="21"/>
      <c r="FHL39" s="21"/>
      <c r="FHM39" s="21"/>
      <c r="FHN39" s="21"/>
      <c r="FHO39" s="21"/>
      <c r="FHP39" s="21"/>
      <c r="FHQ39" s="21"/>
      <c r="FHR39" s="21"/>
      <c r="FHS39" s="21"/>
      <c r="FHT39" s="21"/>
      <c r="FHU39" s="21"/>
      <c r="FHV39" s="21"/>
      <c r="FHW39" s="21"/>
      <c r="FHX39" s="21"/>
      <c r="FHY39" s="21"/>
      <c r="FHZ39" s="21"/>
      <c r="FIA39" s="21"/>
      <c r="FIB39" s="21"/>
      <c r="FIC39" s="21"/>
      <c r="FID39" s="21"/>
      <c r="FIE39" s="21"/>
      <c r="FIF39" s="21"/>
      <c r="FIG39" s="21"/>
      <c r="FIH39" s="21"/>
      <c r="FII39" s="21"/>
      <c r="FIJ39" s="21"/>
      <c r="FIK39" s="21"/>
      <c r="FIL39" s="21"/>
      <c r="FIM39" s="21"/>
      <c r="FIN39" s="21"/>
      <c r="FIO39" s="21"/>
      <c r="FIP39" s="21"/>
      <c r="FIQ39" s="21"/>
      <c r="FIR39" s="21"/>
      <c r="FIS39" s="21"/>
      <c r="FIT39" s="21"/>
      <c r="FIU39" s="21"/>
      <c r="FIV39" s="21"/>
      <c r="FIW39" s="21"/>
      <c r="FIX39" s="21"/>
      <c r="FIY39" s="21"/>
      <c r="FIZ39" s="21"/>
      <c r="FJA39" s="21"/>
      <c r="FJB39" s="21"/>
      <c r="FJC39" s="21"/>
      <c r="FJD39" s="21"/>
      <c r="FJE39" s="21"/>
      <c r="FJF39" s="21"/>
      <c r="FJG39" s="21"/>
      <c r="FJH39" s="21"/>
      <c r="FJI39" s="21"/>
      <c r="FJJ39" s="21"/>
      <c r="FJK39" s="21"/>
      <c r="FJL39" s="21"/>
      <c r="FJM39" s="21"/>
      <c r="FJN39" s="21"/>
      <c r="FJO39" s="21"/>
      <c r="FJP39" s="21"/>
      <c r="FJQ39" s="21"/>
      <c r="FJR39" s="21"/>
      <c r="FJS39" s="21"/>
      <c r="FJT39" s="21"/>
      <c r="FJU39" s="21"/>
      <c r="FJV39" s="21"/>
      <c r="FJW39" s="21"/>
      <c r="FJX39" s="21"/>
      <c r="FJY39" s="21"/>
      <c r="FJZ39" s="21"/>
      <c r="FKA39" s="21"/>
      <c r="FKB39" s="21"/>
      <c r="FKC39" s="21"/>
      <c r="FKD39" s="21"/>
      <c r="FKE39" s="21"/>
      <c r="FKF39" s="21"/>
      <c r="FKG39" s="21"/>
      <c r="FKH39" s="21"/>
      <c r="FKI39" s="21"/>
      <c r="FKJ39" s="21"/>
      <c r="FKK39" s="21"/>
      <c r="FKL39" s="21"/>
      <c r="FKM39" s="21"/>
      <c r="FKN39" s="21"/>
      <c r="FKO39" s="21"/>
      <c r="FKP39" s="21"/>
      <c r="FKQ39" s="21"/>
      <c r="FKR39" s="21"/>
      <c r="FKS39" s="21"/>
      <c r="FKT39" s="21"/>
      <c r="FKU39" s="21"/>
      <c r="FKV39" s="21"/>
      <c r="FKW39" s="21"/>
      <c r="FKX39" s="21"/>
      <c r="FKY39" s="21"/>
      <c r="FKZ39" s="21"/>
      <c r="FLA39" s="21"/>
      <c r="FLB39" s="21"/>
      <c r="FLC39" s="21"/>
      <c r="FLD39" s="21"/>
      <c r="FLE39" s="21"/>
      <c r="FLF39" s="21"/>
      <c r="FLG39" s="21"/>
      <c r="FLH39" s="21"/>
      <c r="FLI39" s="21"/>
      <c r="FLJ39" s="21"/>
      <c r="FLK39" s="21"/>
      <c r="FLL39" s="21"/>
      <c r="FLM39" s="21"/>
      <c r="FLN39" s="21"/>
      <c r="FLO39" s="21"/>
      <c r="FLP39" s="21"/>
      <c r="FLQ39" s="21"/>
      <c r="FLR39" s="21"/>
      <c r="FLS39" s="21"/>
      <c r="FLT39" s="21"/>
      <c r="FLU39" s="21"/>
      <c r="FLV39" s="21"/>
      <c r="FLW39" s="21"/>
      <c r="FLX39" s="21"/>
      <c r="FLY39" s="21"/>
      <c r="FLZ39" s="21"/>
      <c r="FMA39" s="21"/>
      <c r="FMB39" s="21"/>
      <c r="FMC39" s="21"/>
      <c r="FMD39" s="21"/>
      <c r="FME39" s="21"/>
      <c r="FMF39" s="21"/>
      <c r="FMG39" s="21"/>
      <c r="FMH39" s="21"/>
      <c r="FMI39" s="21"/>
      <c r="FMJ39" s="21"/>
      <c r="FMK39" s="21"/>
      <c r="FML39" s="21"/>
      <c r="FMM39" s="21"/>
      <c r="FMN39" s="21"/>
      <c r="FMO39" s="21"/>
      <c r="FMP39" s="21"/>
      <c r="FMQ39" s="21"/>
      <c r="FMR39" s="21"/>
      <c r="FMS39" s="21"/>
      <c r="FMT39" s="21"/>
      <c r="FMU39" s="21"/>
      <c r="FMV39" s="21"/>
      <c r="FMW39" s="21"/>
      <c r="FMX39" s="21"/>
      <c r="FMY39" s="21"/>
      <c r="FMZ39" s="21"/>
      <c r="FNA39" s="21"/>
      <c r="FNB39" s="21"/>
      <c r="FNC39" s="21"/>
      <c r="FND39" s="21"/>
      <c r="FNE39" s="21"/>
      <c r="FNF39" s="21"/>
      <c r="FNG39" s="21"/>
      <c r="FNH39" s="21"/>
      <c r="FNI39" s="21"/>
      <c r="FNJ39" s="21"/>
      <c r="FNK39" s="21"/>
      <c r="FNL39" s="21"/>
      <c r="FNM39" s="21"/>
      <c r="FNN39" s="21"/>
      <c r="FNO39" s="21"/>
      <c r="FNP39" s="21"/>
      <c r="FNQ39" s="21"/>
      <c r="FNR39" s="21"/>
      <c r="FNS39" s="21"/>
      <c r="FNT39" s="21"/>
      <c r="FNU39" s="21"/>
      <c r="FNV39" s="21"/>
      <c r="FNW39" s="21"/>
      <c r="FNX39" s="21"/>
      <c r="FNY39" s="21"/>
      <c r="FNZ39" s="21"/>
      <c r="FOA39" s="21"/>
      <c r="FOB39" s="21"/>
      <c r="FOC39" s="21"/>
      <c r="FOD39" s="21"/>
      <c r="FOE39" s="21"/>
      <c r="FOF39" s="21"/>
      <c r="FOG39" s="21"/>
      <c r="FOH39" s="21"/>
      <c r="FOI39" s="21"/>
      <c r="FOJ39" s="21"/>
      <c r="FOK39" s="21"/>
      <c r="FOL39" s="21"/>
      <c r="FOM39" s="21"/>
      <c r="FON39" s="21"/>
      <c r="FOO39" s="21"/>
      <c r="FOP39" s="21"/>
      <c r="FOQ39" s="21"/>
      <c r="FOR39" s="21"/>
      <c r="FOS39" s="21"/>
      <c r="FOT39" s="21"/>
      <c r="FOU39" s="21"/>
      <c r="FOV39" s="21"/>
      <c r="FOW39" s="21"/>
      <c r="FOX39" s="21"/>
      <c r="FOY39" s="21"/>
      <c r="FOZ39" s="21"/>
      <c r="FPA39" s="21"/>
      <c r="FPB39" s="21"/>
      <c r="FPC39" s="21"/>
      <c r="FPD39" s="21"/>
      <c r="FPE39" s="21"/>
      <c r="FPF39" s="21"/>
      <c r="FPG39" s="21"/>
      <c r="FPH39" s="21"/>
      <c r="FPI39" s="21"/>
      <c r="FPJ39" s="21"/>
      <c r="FPK39" s="21"/>
      <c r="FPL39" s="21"/>
      <c r="FPM39" s="21"/>
      <c r="FPN39" s="21"/>
      <c r="FPO39" s="21"/>
      <c r="FPP39" s="21"/>
      <c r="FPQ39" s="21"/>
      <c r="FPR39" s="21"/>
      <c r="FPS39" s="21"/>
      <c r="FPT39" s="21"/>
      <c r="FPU39" s="21"/>
      <c r="FPV39" s="21"/>
      <c r="FPW39" s="21"/>
      <c r="FPX39" s="21"/>
      <c r="FPY39" s="21"/>
      <c r="FPZ39" s="21"/>
      <c r="FQA39" s="21"/>
      <c r="FQB39" s="21"/>
      <c r="FQC39" s="21"/>
      <c r="FQD39" s="21"/>
      <c r="FQE39" s="21"/>
      <c r="FQF39" s="21"/>
      <c r="FQG39" s="21"/>
      <c r="FQH39" s="21"/>
      <c r="FQI39" s="21"/>
      <c r="FQJ39" s="21"/>
      <c r="FQK39" s="21"/>
      <c r="FQL39" s="21"/>
      <c r="FQM39" s="21"/>
      <c r="FQN39" s="21"/>
      <c r="FQO39" s="21"/>
      <c r="FQP39" s="21"/>
      <c r="FQQ39" s="21"/>
      <c r="FQR39" s="21"/>
      <c r="FQS39" s="21"/>
      <c r="FQT39" s="21"/>
      <c r="FQU39" s="21"/>
      <c r="FQV39" s="21"/>
      <c r="FQW39" s="21"/>
      <c r="FQX39" s="21"/>
      <c r="FQY39" s="21"/>
      <c r="FQZ39" s="21"/>
      <c r="FRA39" s="21"/>
      <c r="FRB39" s="21"/>
      <c r="FRC39" s="21"/>
      <c r="FRD39" s="21"/>
      <c r="FRE39" s="21"/>
      <c r="FRF39" s="21"/>
      <c r="FRG39" s="21"/>
      <c r="FRH39" s="21"/>
      <c r="FRI39" s="21"/>
      <c r="FRJ39" s="21"/>
      <c r="FRK39" s="21"/>
      <c r="FRL39" s="21"/>
      <c r="FRM39" s="21"/>
      <c r="FRN39" s="21"/>
      <c r="FRO39" s="21"/>
      <c r="FRP39" s="21"/>
      <c r="FRQ39" s="21"/>
      <c r="FRR39" s="21"/>
      <c r="FRS39" s="21"/>
      <c r="FRT39" s="21"/>
      <c r="FRU39" s="21"/>
      <c r="FRV39" s="21"/>
      <c r="FRW39" s="21"/>
      <c r="FRX39" s="21"/>
      <c r="FRY39" s="21"/>
      <c r="FRZ39" s="21"/>
      <c r="FSA39" s="21"/>
      <c r="FSB39" s="21"/>
      <c r="FSC39" s="21"/>
      <c r="FSD39" s="21"/>
      <c r="FSE39" s="21"/>
      <c r="FSF39" s="21"/>
      <c r="FSG39" s="21"/>
      <c r="FSH39" s="21"/>
      <c r="FSI39" s="21"/>
      <c r="FSJ39" s="21"/>
      <c r="FSK39" s="21"/>
      <c r="FSL39" s="21"/>
      <c r="FSM39" s="21"/>
      <c r="FSN39" s="21"/>
      <c r="FSO39" s="21"/>
      <c r="FSP39" s="21"/>
      <c r="FSQ39" s="21"/>
      <c r="FSR39" s="21"/>
      <c r="FSS39" s="21"/>
      <c r="FST39" s="21"/>
      <c r="FSU39" s="21"/>
      <c r="FSV39" s="21"/>
      <c r="FSW39" s="21"/>
      <c r="FSX39" s="21"/>
      <c r="FSY39" s="21"/>
      <c r="FSZ39" s="21"/>
      <c r="FTA39" s="21"/>
      <c r="FTB39" s="21"/>
      <c r="FTC39" s="21"/>
      <c r="FTD39" s="21"/>
      <c r="FTE39" s="21"/>
      <c r="FTF39" s="21"/>
      <c r="FTG39" s="21"/>
      <c r="FTH39" s="21"/>
      <c r="FTI39" s="21"/>
      <c r="FTJ39" s="21"/>
      <c r="FTK39" s="21"/>
      <c r="FTL39" s="21"/>
      <c r="FTM39" s="21"/>
      <c r="FTN39" s="21"/>
      <c r="FTO39" s="21"/>
      <c r="FTP39" s="21"/>
      <c r="FTQ39" s="21"/>
      <c r="FTR39" s="21"/>
      <c r="FTS39" s="21"/>
      <c r="FTT39" s="21"/>
      <c r="FTU39" s="21"/>
      <c r="FTV39" s="21"/>
      <c r="FTW39" s="21"/>
      <c r="FTX39" s="21"/>
      <c r="FTY39" s="21"/>
      <c r="FTZ39" s="21"/>
      <c r="FUA39" s="21"/>
      <c r="FUB39" s="21"/>
      <c r="FUC39" s="21"/>
      <c r="FUD39" s="21"/>
      <c r="FUE39" s="21"/>
      <c r="FUF39" s="21"/>
      <c r="FUG39" s="21"/>
      <c r="FUH39" s="21"/>
      <c r="FUI39" s="21"/>
      <c r="FUJ39" s="21"/>
      <c r="FUK39" s="21"/>
      <c r="FUL39" s="21"/>
      <c r="FUM39" s="21"/>
      <c r="FUN39" s="21"/>
      <c r="FUO39" s="21"/>
      <c r="FUP39" s="21"/>
      <c r="FUQ39" s="21"/>
      <c r="FUR39" s="21"/>
      <c r="FUS39" s="21"/>
      <c r="FUT39" s="21"/>
      <c r="FUU39" s="21"/>
      <c r="FUV39" s="21"/>
      <c r="FUW39" s="21"/>
      <c r="FUX39" s="21"/>
      <c r="FUY39" s="21"/>
      <c r="FUZ39" s="21"/>
      <c r="FVA39" s="21"/>
      <c r="FVB39" s="21"/>
      <c r="FVC39" s="21"/>
      <c r="FVD39" s="21"/>
      <c r="FVE39" s="21"/>
      <c r="FVF39" s="21"/>
      <c r="FVG39" s="21"/>
      <c r="FVH39" s="21"/>
      <c r="FVI39" s="21"/>
      <c r="FVJ39" s="21"/>
      <c r="FVK39" s="21"/>
      <c r="FVL39" s="21"/>
      <c r="FVM39" s="21"/>
      <c r="FVN39" s="21"/>
      <c r="FVO39" s="21"/>
      <c r="FVP39" s="21"/>
      <c r="FVQ39" s="21"/>
      <c r="FVR39" s="21"/>
      <c r="FVS39" s="21"/>
      <c r="FVT39" s="21"/>
      <c r="FVU39" s="21"/>
      <c r="FVV39" s="21"/>
      <c r="FVW39" s="21"/>
      <c r="FVX39" s="21"/>
      <c r="FVY39" s="21"/>
      <c r="FVZ39" s="21"/>
      <c r="FWA39" s="21"/>
      <c r="FWB39" s="21"/>
      <c r="FWC39" s="21"/>
      <c r="FWD39" s="21"/>
      <c r="FWE39" s="21"/>
      <c r="FWF39" s="21"/>
      <c r="FWG39" s="21"/>
      <c r="FWH39" s="21"/>
      <c r="FWI39" s="21"/>
      <c r="FWJ39" s="21"/>
      <c r="FWK39" s="21"/>
      <c r="FWL39" s="21"/>
      <c r="FWM39" s="21"/>
      <c r="FWN39" s="21"/>
      <c r="FWO39" s="21"/>
      <c r="FWP39" s="21"/>
      <c r="FWQ39" s="21"/>
      <c r="FWR39" s="21"/>
      <c r="FWS39" s="21"/>
      <c r="FWT39" s="21"/>
      <c r="FWU39" s="21"/>
      <c r="FWV39" s="21"/>
      <c r="FWW39" s="21"/>
      <c r="FWX39" s="21"/>
      <c r="FWY39" s="21"/>
      <c r="FWZ39" s="21"/>
      <c r="FXA39" s="21"/>
      <c r="FXB39" s="21"/>
      <c r="FXC39" s="21"/>
      <c r="FXD39" s="21"/>
      <c r="FXE39" s="21"/>
      <c r="FXF39" s="21"/>
      <c r="FXG39" s="21"/>
      <c r="FXH39" s="21"/>
      <c r="FXI39" s="21"/>
      <c r="FXJ39" s="21"/>
      <c r="FXK39" s="21"/>
      <c r="FXL39" s="21"/>
      <c r="FXM39" s="21"/>
      <c r="FXN39" s="21"/>
      <c r="FXO39" s="21"/>
      <c r="FXP39" s="21"/>
      <c r="FXQ39" s="21"/>
      <c r="FXR39" s="21"/>
      <c r="FXS39" s="21"/>
      <c r="FXT39" s="21"/>
      <c r="FXU39" s="21"/>
      <c r="FXV39" s="21"/>
      <c r="FXW39" s="21"/>
      <c r="FXX39" s="21"/>
      <c r="FXY39" s="21"/>
      <c r="FXZ39" s="21"/>
      <c r="FYA39" s="21"/>
      <c r="FYB39" s="21"/>
      <c r="FYC39" s="21"/>
      <c r="FYD39" s="21"/>
      <c r="FYE39" s="21"/>
      <c r="FYF39" s="21"/>
      <c r="FYG39" s="21"/>
      <c r="FYH39" s="21"/>
      <c r="FYI39" s="21"/>
      <c r="FYJ39" s="21"/>
      <c r="FYK39" s="21"/>
      <c r="FYL39" s="21"/>
      <c r="FYM39" s="21"/>
      <c r="FYN39" s="21"/>
      <c r="FYO39" s="21"/>
      <c r="FYP39" s="21"/>
      <c r="FYQ39" s="21"/>
      <c r="FYR39" s="21"/>
      <c r="FYS39" s="21"/>
      <c r="FYT39" s="21"/>
      <c r="FYU39" s="21"/>
      <c r="FYV39" s="21"/>
      <c r="FYW39" s="21"/>
      <c r="FYX39" s="21"/>
      <c r="FYY39" s="21"/>
      <c r="FYZ39" s="21"/>
      <c r="FZA39" s="21"/>
      <c r="FZB39" s="21"/>
      <c r="FZC39" s="21"/>
      <c r="FZD39" s="21"/>
      <c r="FZE39" s="21"/>
      <c r="FZF39" s="21"/>
      <c r="FZG39" s="21"/>
      <c r="FZH39" s="21"/>
      <c r="FZI39" s="21"/>
      <c r="FZJ39" s="21"/>
      <c r="FZK39" s="21"/>
      <c r="FZL39" s="21"/>
      <c r="FZM39" s="21"/>
      <c r="FZN39" s="21"/>
      <c r="FZO39" s="21"/>
      <c r="FZP39" s="21"/>
      <c r="FZQ39" s="21"/>
      <c r="FZR39" s="21"/>
      <c r="FZS39" s="21"/>
      <c r="FZT39" s="21"/>
      <c r="FZU39" s="21"/>
      <c r="FZV39" s="21"/>
      <c r="FZW39" s="21"/>
      <c r="FZX39" s="21"/>
      <c r="FZY39" s="21"/>
      <c r="FZZ39" s="21"/>
      <c r="GAA39" s="21"/>
      <c r="GAB39" s="21"/>
      <c r="GAC39" s="21"/>
      <c r="GAD39" s="21"/>
      <c r="GAE39" s="21"/>
      <c r="GAF39" s="21"/>
      <c r="GAG39" s="21"/>
      <c r="GAH39" s="21"/>
      <c r="GAI39" s="21"/>
      <c r="GAJ39" s="21"/>
      <c r="GAK39" s="21"/>
      <c r="GAL39" s="21"/>
      <c r="GAM39" s="21"/>
      <c r="GAN39" s="21"/>
      <c r="GAO39" s="21"/>
      <c r="GAP39" s="21"/>
      <c r="GAQ39" s="21"/>
      <c r="GAR39" s="21"/>
      <c r="GAS39" s="21"/>
      <c r="GAT39" s="21"/>
      <c r="GAU39" s="21"/>
      <c r="GAV39" s="21"/>
      <c r="GAW39" s="21"/>
      <c r="GAX39" s="21"/>
      <c r="GAY39" s="21"/>
      <c r="GAZ39" s="21"/>
      <c r="GBA39" s="21"/>
      <c r="GBB39" s="21"/>
      <c r="GBC39" s="21"/>
      <c r="GBD39" s="21"/>
      <c r="GBE39" s="21"/>
      <c r="GBF39" s="21"/>
      <c r="GBG39" s="21"/>
      <c r="GBH39" s="21"/>
      <c r="GBI39" s="21"/>
      <c r="GBJ39" s="21"/>
      <c r="GBK39" s="21"/>
      <c r="GBL39" s="21"/>
      <c r="GBM39" s="21"/>
      <c r="GBN39" s="21"/>
      <c r="GBO39" s="21"/>
      <c r="GBP39" s="21"/>
      <c r="GBQ39" s="21"/>
      <c r="GBR39" s="21"/>
      <c r="GBS39" s="21"/>
      <c r="GBT39" s="21"/>
      <c r="GBU39" s="21"/>
      <c r="GBV39" s="21"/>
      <c r="GBW39" s="21"/>
      <c r="GBX39" s="21"/>
      <c r="GBY39" s="21"/>
      <c r="GBZ39" s="21"/>
      <c r="GCA39" s="21"/>
      <c r="GCB39" s="21"/>
      <c r="GCC39" s="21"/>
      <c r="GCD39" s="21"/>
      <c r="GCE39" s="21"/>
      <c r="GCF39" s="21"/>
      <c r="GCG39" s="21"/>
      <c r="GCH39" s="21"/>
      <c r="GCI39" s="21"/>
      <c r="GCJ39" s="21"/>
      <c r="GCK39" s="21"/>
      <c r="GCL39" s="21"/>
      <c r="GCM39" s="21"/>
      <c r="GCN39" s="21"/>
      <c r="GCO39" s="21"/>
      <c r="GCP39" s="21"/>
      <c r="GCQ39" s="21"/>
      <c r="GCR39" s="21"/>
      <c r="GCS39" s="21"/>
      <c r="GCT39" s="21"/>
      <c r="GCU39" s="21"/>
      <c r="GCV39" s="21"/>
      <c r="GCW39" s="21"/>
      <c r="GCX39" s="21"/>
      <c r="GCY39" s="21"/>
      <c r="GCZ39" s="21"/>
      <c r="GDA39" s="21"/>
      <c r="GDB39" s="21"/>
      <c r="GDC39" s="21"/>
      <c r="GDD39" s="21"/>
      <c r="GDE39" s="21"/>
      <c r="GDF39" s="21"/>
      <c r="GDG39" s="21"/>
      <c r="GDH39" s="21"/>
      <c r="GDI39" s="21"/>
      <c r="GDJ39" s="21"/>
      <c r="GDK39" s="21"/>
      <c r="GDL39" s="21"/>
      <c r="GDM39" s="21"/>
      <c r="GDN39" s="21"/>
      <c r="GDO39" s="21"/>
      <c r="GDP39" s="21"/>
      <c r="GDQ39" s="21"/>
      <c r="GDR39" s="21"/>
      <c r="GDS39" s="21"/>
      <c r="GDT39" s="21"/>
      <c r="GDU39" s="21"/>
      <c r="GDV39" s="21"/>
      <c r="GDW39" s="21"/>
      <c r="GDX39" s="21"/>
      <c r="GDY39" s="21"/>
      <c r="GDZ39" s="21"/>
      <c r="GEA39" s="21"/>
      <c r="GEB39" s="21"/>
      <c r="GEC39" s="21"/>
      <c r="GED39" s="21"/>
      <c r="GEE39" s="21"/>
      <c r="GEF39" s="21"/>
      <c r="GEG39" s="21"/>
      <c r="GEH39" s="21"/>
      <c r="GEI39" s="21"/>
      <c r="GEJ39" s="21"/>
      <c r="GEK39" s="21"/>
      <c r="GEL39" s="21"/>
      <c r="GEM39" s="21"/>
      <c r="GEN39" s="21"/>
      <c r="GEO39" s="21"/>
      <c r="GEP39" s="21"/>
      <c r="GEQ39" s="21"/>
      <c r="GER39" s="21"/>
      <c r="GES39" s="21"/>
      <c r="GET39" s="21"/>
      <c r="GEU39" s="21"/>
      <c r="GEV39" s="21"/>
      <c r="GEW39" s="21"/>
      <c r="GEX39" s="21"/>
      <c r="GEY39" s="21"/>
      <c r="GEZ39" s="21"/>
      <c r="GFA39" s="21"/>
      <c r="GFB39" s="21"/>
      <c r="GFC39" s="21"/>
      <c r="GFD39" s="21"/>
      <c r="GFE39" s="21"/>
      <c r="GFF39" s="21"/>
      <c r="GFG39" s="21"/>
      <c r="GFH39" s="21"/>
      <c r="GFI39" s="21"/>
      <c r="GFJ39" s="21"/>
      <c r="GFK39" s="21"/>
      <c r="GFL39" s="21"/>
      <c r="GFM39" s="21"/>
      <c r="GFN39" s="21"/>
      <c r="GFO39" s="21"/>
      <c r="GFP39" s="21"/>
      <c r="GFQ39" s="21"/>
      <c r="GFR39" s="21"/>
      <c r="GFS39" s="21"/>
      <c r="GFT39" s="21"/>
      <c r="GFU39" s="21"/>
      <c r="GFV39" s="21"/>
      <c r="GFW39" s="21"/>
      <c r="GFX39" s="21"/>
      <c r="GFY39" s="21"/>
      <c r="GFZ39" s="21"/>
      <c r="GGA39" s="21"/>
      <c r="GGB39" s="21"/>
      <c r="GGC39" s="21"/>
      <c r="GGD39" s="21"/>
      <c r="GGE39" s="21"/>
      <c r="GGF39" s="21"/>
      <c r="GGG39" s="21"/>
      <c r="GGH39" s="21"/>
      <c r="GGI39" s="21"/>
      <c r="GGJ39" s="21"/>
      <c r="GGK39" s="21"/>
      <c r="GGL39" s="21"/>
      <c r="GGM39" s="21"/>
      <c r="GGN39" s="21"/>
      <c r="GGO39" s="21"/>
      <c r="GGP39" s="21"/>
      <c r="GGQ39" s="21"/>
      <c r="GGR39" s="21"/>
      <c r="GGS39" s="21"/>
      <c r="GGT39" s="21"/>
      <c r="GGU39" s="21"/>
      <c r="GGV39" s="21"/>
      <c r="GGW39" s="21"/>
      <c r="GGX39" s="21"/>
      <c r="GGY39" s="21"/>
      <c r="GGZ39" s="21"/>
      <c r="GHA39" s="21"/>
      <c r="GHB39" s="21"/>
      <c r="GHC39" s="21"/>
      <c r="GHD39" s="21"/>
      <c r="GHE39" s="21"/>
      <c r="GHF39" s="21"/>
      <c r="GHG39" s="21"/>
      <c r="GHH39" s="21"/>
      <c r="GHI39" s="21"/>
      <c r="GHJ39" s="21"/>
      <c r="GHK39" s="21"/>
      <c r="GHL39" s="21"/>
      <c r="GHM39" s="21"/>
      <c r="GHN39" s="21"/>
      <c r="GHO39" s="21"/>
      <c r="GHP39" s="21"/>
      <c r="GHQ39" s="21"/>
      <c r="GHR39" s="21"/>
      <c r="GHS39" s="21"/>
      <c r="GHT39" s="21"/>
      <c r="GHU39" s="21"/>
      <c r="GHV39" s="21"/>
      <c r="GHW39" s="21"/>
      <c r="GHX39" s="21"/>
      <c r="GHY39" s="21"/>
      <c r="GHZ39" s="21"/>
      <c r="GIA39" s="21"/>
      <c r="GIB39" s="21"/>
      <c r="GIC39" s="21"/>
      <c r="GID39" s="21"/>
      <c r="GIE39" s="21"/>
      <c r="GIF39" s="21"/>
      <c r="GIG39" s="21"/>
      <c r="GIH39" s="21"/>
      <c r="GII39" s="21"/>
      <c r="GIJ39" s="21"/>
      <c r="GIK39" s="21"/>
      <c r="GIL39" s="21"/>
      <c r="GIM39" s="21"/>
      <c r="GIN39" s="21"/>
      <c r="GIO39" s="21"/>
      <c r="GIP39" s="21"/>
      <c r="GIQ39" s="21"/>
      <c r="GIR39" s="21"/>
      <c r="GIS39" s="21"/>
      <c r="GIT39" s="21"/>
      <c r="GIU39" s="21"/>
      <c r="GIV39" s="21"/>
      <c r="GIW39" s="21"/>
      <c r="GIX39" s="21"/>
      <c r="GIY39" s="21"/>
      <c r="GIZ39" s="21"/>
      <c r="GJA39" s="21"/>
      <c r="GJB39" s="21"/>
      <c r="GJC39" s="21"/>
      <c r="GJD39" s="21"/>
      <c r="GJE39" s="21"/>
      <c r="GJF39" s="21"/>
      <c r="GJG39" s="21"/>
      <c r="GJH39" s="21"/>
      <c r="GJI39" s="21"/>
      <c r="GJJ39" s="21"/>
      <c r="GJK39" s="21"/>
      <c r="GJL39" s="21"/>
      <c r="GJM39" s="21"/>
      <c r="GJN39" s="21"/>
      <c r="GJO39" s="21"/>
      <c r="GJP39" s="21"/>
      <c r="GJQ39" s="21"/>
      <c r="GJR39" s="21"/>
      <c r="GJS39" s="21"/>
      <c r="GJT39" s="21"/>
      <c r="GJU39" s="21"/>
      <c r="GJV39" s="21"/>
      <c r="GJW39" s="21"/>
      <c r="GJX39" s="21"/>
      <c r="GJY39" s="21"/>
      <c r="GJZ39" s="21"/>
      <c r="GKA39" s="21"/>
      <c r="GKB39" s="21"/>
      <c r="GKC39" s="21"/>
      <c r="GKD39" s="21"/>
      <c r="GKE39" s="21"/>
      <c r="GKF39" s="21"/>
      <c r="GKG39" s="21"/>
      <c r="GKH39" s="21"/>
      <c r="GKI39" s="21"/>
      <c r="GKJ39" s="21"/>
      <c r="GKK39" s="21"/>
      <c r="GKL39" s="21"/>
      <c r="GKM39" s="21"/>
      <c r="GKN39" s="21"/>
      <c r="GKO39" s="21"/>
      <c r="GKP39" s="21"/>
      <c r="GKQ39" s="21"/>
      <c r="GKR39" s="21"/>
      <c r="GKS39" s="21"/>
      <c r="GKT39" s="21"/>
      <c r="GKU39" s="21"/>
      <c r="GKV39" s="21"/>
      <c r="GKW39" s="21"/>
      <c r="GKX39" s="21"/>
      <c r="GKY39" s="21"/>
      <c r="GKZ39" s="21"/>
      <c r="GLA39" s="21"/>
      <c r="GLB39" s="21"/>
      <c r="GLC39" s="21"/>
      <c r="GLD39" s="21"/>
      <c r="GLE39" s="21"/>
      <c r="GLF39" s="21"/>
      <c r="GLG39" s="21"/>
      <c r="GLH39" s="21"/>
      <c r="GLI39" s="21"/>
      <c r="GLJ39" s="21"/>
      <c r="GLK39" s="21"/>
      <c r="GLL39" s="21"/>
      <c r="GLM39" s="21"/>
      <c r="GLN39" s="21"/>
      <c r="GLO39" s="21"/>
      <c r="GLP39" s="21"/>
      <c r="GLQ39" s="21"/>
      <c r="GLR39" s="21"/>
      <c r="GLS39" s="21"/>
      <c r="GLT39" s="21"/>
      <c r="GLU39" s="21"/>
      <c r="GLV39" s="21"/>
      <c r="GLW39" s="21"/>
      <c r="GLX39" s="21"/>
      <c r="GLY39" s="21"/>
      <c r="GLZ39" s="21"/>
      <c r="GMA39" s="21"/>
      <c r="GMB39" s="21"/>
      <c r="GMC39" s="21"/>
      <c r="GMD39" s="21"/>
      <c r="GME39" s="21"/>
      <c r="GMF39" s="21"/>
      <c r="GMG39" s="21"/>
      <c r="GMH39" s="21"/>
      <c r="GMI39" s="21"/>
      <c r="GMJ39" s="21"/>
      <c r="GMK39" s="21"/>
      <c r="GML39" s="21"/>
      <c r="GMM39" s="21"/>
      <c r="GMN39" s="21"/>
      <c r="GMO39" s="21"/>
      <c r="GMP39" s="21"/>
      <c r="GMQ39" s="21"/>
      <c r="GMR39" s="21"/>
      <c r="GMS39" s="21"/>
      <c r="GMT39" s="21"/>
      <c r="GMU39" s="21"/>
      <c r="GMV39" s="21"/>
      <c r="GMW39" s="21"/>
      <c r="GMX39" s="21"/>
      <c r="GMY39" s="21"/>
      <c r="GMZ39" s="21"/>
      <c r="GNA39" s="21"/>
      <c r="GNB39" s="21"/>
      <c r="GNC39" s="21"/>
      <c r="GND39" s="21"/>
      <c r="GNE39" s="21"/>
      <c r="GNF39" s="21"/>
      <c r="GNG39" s="21"/>
      <c r="GNH39" s="21"/>
      <c r="GNI39" s="21"/>
      <c r="GNJ39" s="21"/>
      <c r="GNK39" s="21"/>
      <c r="GNL39" s="21"/>
      <c r="GNM39" s="21"/>
      <c r="GNN39" s="21"/>
      <c r="GNO39" s="21"/>
      <c r="GNP39" s="21"/>
      <c r="GNQ39" s="21"/>
      <c r="GNR39" s="21"/>
      <c r="GNS39" s="21"/>
      <c r="GNT39" s="21"/>
      <c r="GNU39" s="21"/>
      <c r="GNV39" s="21"/>
      <c r="GNW39" s="21"/>
      <c r="GNX39" s="21"/>
      <c r="GNY39" s="21"/>
      <c r="GNZ39" s="21"/>
      <c r="GOA39" s="21"/>
      <c r="GOB39" s="21"/>
      <c r="GOC39" s="21"/>
      <c r="GOD39" s="21"/>
      <c r="GOE39" s="21"/>
      <c r="GOF39" s="21"/>
      <c r="GOG39" s="21"/>
      <c r="GOH39" s="21"/>
      <c r="GOI39" s="21"/>
      <c r="GOJ39" s="21"/>
      <c r="GOK39" s="21"/>
      <c r="GOL39" s="21"/>
      <c r="GOM39" s="21"/>
      <c r="GON39" s="21"/>
      <c r="GOO39" s="21"/>
      <c r="GOP39" s="21"/>
      <c r="GOQ39" s="21"/>
      <c r="GOR39" s="21"/>
      <c r="GOS39" s="21"/>
      <c r="GOT39" s="21"/>
      <c r="GOU39" s="21"/>
      <c r="GOV39" s="21"/>
      <c r="GOW39" s="21"/>
      <c r="GOX39" s="21"/>
      <c r="GOY39" s="21"/>
      <c r="GOZ39" s="21"/>
      <c r="GPA39" s="21"/>
      <c r="GPB39" s="21"/>
      <c r="GPC39" s="21"/>
      <c r="GPD39" s="21"/>
      <c r="GPE39" s="21"/>
      <c r="GPF39" s="21"/>
      <c r="GPG39" s="21"/>
      <c r="GPH39" s="21"/>
      <c r="GPI39" s="21"/>
      <c r="GPJ39" s="21"/>
      <c r="GPK39" s="21"/>
      <c r="GPL39" s="21"/>
      <c r="GPM39" s="21"/>
      <c r="GPN39" s="21"/>
      <c r="GPO39" s="21"/>
      <c r="GPP39" s="21"/>
      <c r="GPQ39" s="21"/>
      <c r="GPR39" s="21"/>
      <c r="GPS39" s="21"/>
      <c r="GPT39" s="21"/>
      <c r="GPU39" s="21"/>
      <c r="GPV39" s="21"/>
      <c r="GPW39" s="21"/>
      <c r="GPX39" s="21"/>
      <c r="GPY39" s="21"/>
      <c r="GPZ39" s="21"/>
      <c r="GQA39" s="21"/>
      <c r="GQB39" s="21"/>
      <c r="GQC39" s="21"/>
      <c r="GQD39" s="21"/>
      <c r="GQE39" s="21"/>
      <c r="GQF39" s="21"/>
      <c r="GQG39" s="21"/>
      <c r="GQH39" s="21"/>
      <c r="GQI39" s="21"/>
      <c r="GQJ39" s="21"/>
      <c r="GQK39" s="21"/>
      <c r="GQL39" s="21"/>
      <c r="GQM39" s="21"/>
      <c r="GQN39" s="21"/>
      <c r="GQO39" s="21"/>
      <c r="GQP39" s="21"/>
      <c r="GQQ39" s="21"/>
      <c r="GQR39" s="21"/>
      <c r="GQS39" s="21"/>
      <c r="GQT39" s="21"/>
      <c r="GQU39" s="21"/>
      <c r="GQV39" s="21"/>
      <c r="GQW39" s="21"/>
      <c r="GQX39" s="21"/>
      <c r="GQY39" s="21"/>
      <c r="GQZ39" s="21"/>
      <c r="GRA39" s="21"/>
      <c r="GRB39" s="21"/>
      <c r="GRC39" s="21"/>
      <c r="GRD39" s="21"/>
      <c r="GRE39" s="21"/>
      <c r="GRF39" s="21"/>
      <c r="GRG39" s="21"/>
      <c r="GRH39" s="21"/>
      <c r="GRI39" s="21"/>
      <c r="GRJ39" s="21"/>
      <c r="GRK39" s="21"/>
      <c r="GRL39" s="21"/>
      <c r="GRM39" s="21"/>
      <c r="GRN39" s="21"/>
      <c r="GRO39" s="21"/>
      <c r="GRP39" s="21"/>
      <c r="GRQ39" s="21"/>
      <c r="GRR39" s="21"/>
      <c r="GRS39" s="21"/>
      <c r="GRT39" s="21"/>
      <c r="GRU39" s="21"/>
      <c r="GRV39" s="21"/>
      <c r="GRW39" s="21"/>
      <c r="GRX39" s="21"/>
      <c r="GRY39" s="21"/>
      <c r="GRZ39" s="21"/>
      <c r="GSA39" s="21"/>
      <c r="GSB39" s="21"/>
      <c r="GSC39" s="21"/>
      <c r="GSD39" s="21"/>
      <c r="GSE39" s="21"/>
      <c r="GSF39" s="21"/>
      <c r="GSG39" s="21"/>
      <c r="GSH39" s="21"/>
      <c r="GSI39" s="21"/>
      <c r="GSJ39" s="21"/>
      <c r="GSK39" s="21"/>
      <c r="GSL39" s="21"/>
      <c r="GSM39" s="21"/>
      <c r="GSN39" s="21"/>
      <c r="GSO39" s="21"/>
      <c r="GSP39" s="21"/>
      <c r="GSQ39" s="21"/>
      <c r="GSR39" s="21"/>
      <c r="GSS39" s="21"/>
      <c r="GST39" s="21"/>
      <c r="GSU39" s="21"/>
      <c r="GSV39" s="21"/>
      <c r="GSW39" s="21"/>
      <c r="GSX39" s="21"/>
      <c r="GSY39" s="21"/>
      <c r="GSZ39" s="21"/>
      <c r="GTA39" s="21"/>
      <c r="GTB39" s="21"/>
      <c r="GTC39" s="21"/>
      <c r="GTD39" s="21"/>
      <c r="GTE39" s="21"/>
      <c r="GTF39" s="21"/>
      <c r="GTG39" s="21"/>
      <c r="GTH39" s="21"/>
      <c r="GTI39" s="21"/>
      <c r="GTJ39" s="21"/>
      <c r="GTK39" s="21"/>
      <c r="GTL39" s="21"/>
      <c r="GTM39" s="21"/>
      <c r="GTN39" s="21"/>
      <c r="GTO39" s="21"/>
      <c r="GTP39" s="21"/>
      <c r="GTQ39" s="21"/>
      <c r="GTR39" s="21"/>
      <c r="GTS39" s="21"/>
      <c r="GTT39" s="21"/>
      <c r="GTU39" s="21"/>
      <c r="GTV39" s="21"/>
      <c r="GTW39" s="21"/>
      <c r="GTX39" s="21"/>
      <c r="GTY39" s="21"/>
      <c r="GTZ39" s="21"/>
      <c r="GUA39" s="21"/>
      <c r="GUB39" s="21"/>
      <c r="GUC39" s="21"/>
      <c r="GUD39" s="21"/>
      <c r="GUE39" s="21"/>
      <c r="GUF39" s="21"/>
      <c r="GUG39" s="21"/>
      <c r="GUH39" s="21"/>
      <c r="GUI39" s="21"/>
      <c r="GUJ39" s="21"/>
      <c r="GUK39" s="21"/>
      <c r="GUL39" s="21"/>
      <c r="GUM39" s="21"/>
      <c r="GUN39" s="21"/>
      <c r="GUO39" s="21"/>
      <c r="GUP39" s="21"/>
      <c r="GUQ39" s="21"/>
      <c r="GUR39" s="21"/>
      <c r="GUS39" s="21"/>
      <c r="GUT39" s="21"/>
      <c r="GUU39" s="21"/>
      <c r="GUV39" s="21"/>
      <c r="GUW39" s="21"/>
      <c r="GUX39" s="21"/>
      <c r="GUY39" s="21"/>
      <c r="GUZ39" s="21"/>
      <c r="GVA39" s="21"/>
      <c r="GVB39" s="21"/>
      <c r="GVC39" s="21"/>
      <c r="GVD39" s="21"/>
      <c r="GVE39" s="21"/>
      <c r="GVF39" s="21"/>
      <c r="GVG39" s="21"/>
      <c r="GVH39" s="21"/>
      <c r="GVI39" s="21"/>
      <c r="GVJ39" s="21"/>
      <c r="GVK39" s="21"/>
      <c r="GVL39" s="21"/>
      <c r="GVM39" s="21"/>
      <c r="GVN39" s="21"/>
      <c r="GVO39" s="21"/>
      <c r="GVP39" s="21"/>
      <c r="GVQ39" s="21"/>
      <c r="GVR39" s="21"/>
      <c r="GVS39" s="21"/>
      <c r="GVT39" s="21"/>
      <c r="GVU39" s="21"/>
      <c r="GVV39" s="21"/>
      <c r="GVW39" s="21"/>
      <c r="GVX39" s="21"/>
      <c r="GVY39" s="21"/>
      <c r="GVZ39" s="21"/>
      <c r="GWA39" s="21"/>
      <c r="GWB39" s="21"/>
      <c r="GWC39" s="21"/>
      <c r="GWD39" s="21"/>
      <c r="GWE39" s="21"/>
      <c r="GWF39" s="21"/>
      <c r="GWG39" s="21"/>
      <c r="GWH39" s="21"/>
      <c r="GWI39" s="21"/>
      <c r="GWJ39" s="21"/>
      <c r="GWK39" s="21"/>
      <c r="GWL39" s="21"/>
      <c r="GWM39" s="21"/>
      <c r="GWN39" s="21"/>
      <c r="GWO39" s="21"/>
      <c r="GWP39" s="21"/>
      <c r="GWQ39" s="21"/>
      <c r="GWR39" s="21"/>
      <c r="GWS39" s="21"/>
      <c r="GWT39" s="21"/>
      <c r="GWU39" s="21"/>
      <c r="GWV39" s="21"/>
      <c r="GWW39" s="21"/>
      <c r="GWX39" s="21"/>
      <c r="GWY39" s="21"/>
      <c r="GWZ39" s="21"/>
      <c r="GXA39" s="21"/>
      <c r="GXB39" s="21"/>
      <c r="GXC39" s="21"/>
      <c r="GXD39" s="21"/>
      <c r="GXE39" s="21"/>
      <c r="GXF39" s="21"/>
      <c r="GXG39" s="21"/>
      <c r="GXH39" s="21"/>
      <c r="GXI39" s="21"/>
      <c r="GXJ39" s="21"/>
      <c r="GXK39" s="21"/>
      <c r="GXL39" s="21"/>
      <c r="GXM39" s="21"/>
      <c r="GXN39" s="21"/>
      <c r="GXO39" s="21"/>
      <c r="GXP39" s="21"/>
      <c r="GXQ39" s="21"/>
      <c r="GXR39" s="21"/>
      <c r="GXS39" s="21"/>
      <c r="GXT39" s="21"/>
      <c r="GXU39" s="21"/>
      <c r="GXV39" s="21"/>
      <c r="GXW39" s="21"/>
      <c r="GXX39" s="21"/>
      <c r="GXY39" s="21"/>
      <c r="GXZ39" s="21"/>
      <c r="GYA39" s="21"/>
      <c r="GYB39" s="21"/>
      <c r="GYC39" s="21"/>
      <c r="GYD39" s="21"/>
      <c r="GYE39" s="21"/>
      <c r="GYF39" s="21"/>
      <c r="GYG39" s="21"/>
      <c r="GYH39" s="21"/>
      <c r="GYI39" s="21"/>
      <c r="GYJ39" s="21"/>
      <c r="GYK39" s="21"/>
      <c r="GYL39" s="21"/>
      <c r="GYM39" s="21"/>
      <c r="GYN39" s="21"/>
      <c r="GYO39" s="21"/>
      <c r="GYP39" s="21"/>
      <c r="GYQ39" s="21"/>
      <c r="GYR39" s="21"/>
      <c r="GYS39" s="21"/>
      <c r="GYT39" s="21"/>
      <c r="GYU39" s="21"/>
      <c r="GYV39" s="21"/>
      <c r="GYW39" s="21"/>
      <c r="GYX39" s="21"/>
      <c r="GYY39" s="21"/>
      <c r="GYZ39" s="21"/>
      <c r="GZA39" s="21"/>
      <c r="GZB39" s="21"/>
      <c r="GZC39" s="21"/>
      <c r="GZD39" s="21"/>
      <c r="GZE39" s="21"/>
      <c r="GZF39" s="21"/>
      <c r="GZG39" s="21"/>
      <c r="GZH39" s="21"/>
      <c r="GZI39" s="21"/>
      <c r="GZJ39" s="21"/>
      <c r="GZK39" s="21"/>
      <c r="GZL39" s="21"/>
      <c r="GZM39" s="21"/>
      <c r="GZN39" s="21"/>
      <c r="GZO39" s="21"/>
      <c r="GZP39" s="21"/>
      <c r="GZQ39" s="21"/>
      <c r="GZR39" s="21"/>
      <c r="GZS39" s="21"/>
      <c r="GZT39" s="21"/>
      <c r="GZU39" s="21"/>
      <c r="GZV39" s="21"/>
      <c r="GZW39" s="21"/>
      <c r="GZX39" s="21"/>
      <c r="GZY39" s="21"/>
      <c r="GZZ39" s="21"/>
      <c r="HAA39" s="21"/>
      <c r="HAB39" s="21"/>
      <c r="HAC39" s="21"/>
      <c r="HAD39" s="21"/>
      <c r="HAE39" s="21"/>
      <c r="HAF39" s="21"/>
      <c r="HAG39" s="21"/>
      <c r="HAH39" s="21"/>
      <c r="HAI39" s="21"/>
      <c r="HAJ39" s="21"/>
      <c r="HAK39" s="21"/>
      <c r="HAL39" s="21"/>
      <c r="HAM39" s="21"/>
      <c r="HAN39" s="21"/>
      <c r="HAO39" s="21"/>
      <c r="HAP39" s="21"/>
      <c r="HAQ39" s="21"/>
      <c r="HAR39" s="21"/>
      <c r="HAS39" s="21"/>
      <c r="HAT39" s="21"/>
      <c r="HAU39" s="21"/>
      <c r="HAV39" s="21"/>
      <c r="HAW39" s="21"/>
      <c r="HAX39" s="21"/>
      <c r="HAY39" s="21"/>
      <c r="HAZ39" s="21"/>
      <c r="HBA39" s="21"/>
      <c r="HBB39" s="21"/>
      <c r="HBC39" s="21"/>
      <c r="HBD39" s="21"/>
      <c r="HBE39" s="21"/>
      <c r="HBF39" s="21"/>
      <c r="HBG39" s="21"/>
      <c r="HBH39" s="21"/>
      <c r="HBI39" s="21"/>
      <c r="HBJ39" s="21"/>
      <c r="HBK39" s="21"/>
      <c r="HBL39" s="21"/>
      <c r="HBM39" s="21"/>
      <c r="HBN39" s="21"/>
      <c r="HBO39" s="21"/>
      <c r="HBP39" s="21"/>
      <c r="HBQ39" s="21"/>
      <c r="HBR39" s="21"/>
      <c r="HBS39" s="21"/>
      <c r="HBT39" s="21"/>
      <c r="HBU39" s="21"/>
      <c r="HBV39" s="21"/>
      <c r="HBW39" s="21"/>
      <c r="HBX39" s="21"/>
      <c r="HBY39" s="21"/>
      <c r="HBZ39" s="21"/>
      <c r="HCA39" s="21"/>
      <c r="HCB39" s="21"/>
      <c r="HCC39" s="21"/>
      <c r="HCD39" s="21"/>
      <c r="HCE39" s="21"/>
      <c r="HCF39" s="21"/>
      <c r="HCG39" s="21"/>
      <c r="HCH39" s="21"/>
      <c r="HCI39" s="21"/>
      <c r="HCJ39" s="21"/>
      <c r="HCK39" s="21"/>
      <c r="HCL39" s="21"/>
      <c r="HCM39" s="21"/>
      <c r="HCN39" s="21"/>
      <c r="HCO39" s="21"/>
      <c r="HCP39" s="21"/>
      <c r="HCQ39" s="21"/>
      <c r="HCR39" s="21"/>
      <c r="HCS39" s="21"/>
      <c r="HCT39" s="21"/>
      <c r="HCU39" s="21"/>
      <c r="HCV39" s="21"/>
      <c r="HCW39" s="21"/>
      <c r="HCX39" s="21"/>
      <c r="HCY39" s="21"/>
      <c r="HCZ39" s="21"/>
      <c r="HDA39" s="21"/>
      <c r="HDB39" s="21"/>
      <c r="HDC39" s="21"/>
      <c r="HDD39" s="21"/>
      <c r="HDE39" s="21"/>
      <c r="HDF39" s="21"/>
      <c r="HDG39" s="21"/>
      <c r="HDH39" s="21"/>
      <c r="HDI39" s="21"/>
      <c r="HDJ39" s="21"/>
      <c r="HDK39" s="21"/>
      <c r="HDL39" s="21"/>
      <c r="HDM39" s="21"/>
      <c r="HDN39" s="21"/>
      <c r="HDO39" s="21"/>
      <c r="HDP39" s="21"/>
      <c r="HDQ39" s="21"/>
      <c r="HDR39" s="21"/>
      <c r="HDS39" s="21"/>
      <c r="HDT39" s="21"/>
      <c r="HDU39" s="21"/>
      <c r="HDV39" s="21"/>
      <c r="HDW39" s="21"/>
      <c r="HDX39" s="21"/>
      <c r="HDY39" s="21"/>
      <c r="HDZ39" s="21"/>
      <c r="HEA39" s="21"/>
      <c r="HEB39" s="21"/>
      <c r="HEC39" s="21"/>
      <c r="HED39" s="21"/>
      <c r="HEE39" s="21"/>
      <c r="HEF39" s="21"/>
      <c r="HEG39" s="21"/>
      <c r="HEH39" s="21"/>
      <c r="HEI39" s="21"/>
      <c r="HEJ39" s="21"/>
      <c r="HEK39" s="21"/>
      <c r="HEL39" s="21"/>
      <c r="HEM39" s="21"/>
      <c r="HEN39" s="21"/>
      <c r="HEO39" s="21"/>
      <c r="HEP39" s="21"/>
      <c r="HEQ39" s="21"/>
      <c r="HER39" s="21"/>
      <c r="HES39" s="21"/>
      <c r="HET39" s="21"/>
      <c r="HEU39" s="21"/>
      <c r="HEV39" s="21"/>
      <c r="HEW39" s="21"/>
      <c r="HEX39" s="21"/>
      <c r="HEY39" s="21"/>
      <c r="HEZ39" s="21"/>
      <c r="HFA39" s="21"/>
      <c r="HFB39" s="21"/>
      <c r="HFC39" s="21"/>
      <c r="HFD39" s="21"/>
      <c r="HFE39" s="21"/>
      <c r="HFF39" s="21"/>
      <c r="HFG39" s="21"/>
      <c r="HFH39" s="21"/>
      <c r="HFI39" s="21"/>
      <c r="HFJ39" s="21"/>
      <c r="HFK39" s="21"/>
      <c r="HFL39" s="21"/>
      <c r="HFM39" s="21"/>
      <c r="HFN39" s="21"/>
      <c r="HFO39" s="21"/>
      <c r="HFP39" s="21"/>
      <c r="HFQ39" s="21"/>
      <c r="HFR39" s="21"/>
      <c r="HFS39" s="21"/>
      <c r="HFT39" s="21"/>
      <c r="HFU39" s="21"/>
      <c r="HFV39" s="21"/>
      <c r="HFW39" s="21"/>
      <c r="HFX39" s="21"/>
      <c r="HFY39" s="21"/>
      <c r="HFZ39" s="21"/>
      <c r="HGA39" s="21"/>
      <c r="HGB39" s="21"/>
      <c r="HGC39" s="21"/>
      <c r="HGD39" s="21"/>
      <c r="HGE39" s="21"/>
      <c r="HGF39" s="21"/>
      <c r="HGG39" s="21"/>
      <c r="HGH39" s="21"/>
      <c r="HGI39" s="21"/>
      <c r="HGJ39" s="21"/>
      <c r="HGK39" s="21"/>
      <c r="HGL39" s="21"/>
      <c r="HGM39" s="21"/>
      <c r="HGN39" s="21"/>
      <c r="HGO39" s="21"/>
      <c r="HGP39" s="21"/>
      <c r="HGQ39" s="21"/>
      <c r="HGR39" s="21"/>
      <c r="HGS39" s="21"/>
      <c r="HGT39" s="21"/>
      <c r="HGU39" s="21"/>
      <c r="HGV39" s="21"/>
      <c r="HGW39" s="21"/>
      <c r="HGX39" s="21"/>
      <c r="HGY39" s="21"/>
      <c r="HGZ39" s="21"/>
      <c r="HHA39" s="21"/>
      <c r="HHB39" s="21"/>
      <c r="HHC39" s="21"/>
      <c r="HHD39" s="21"/>
      <c r="HHE39" s="21"/>
      <c r="HHF39" s="21"/>
      <c r="HHG39" s="21"/>
      <c r="HHH39" s="21"/>
      <c r="HHI39" s="21"/>
      <c r="HHJ39" s="21"/>
      <c r="HHK39" s="21"/>
      <c r="HHL39" s="21"/>
      <c r="HHM39" s="21"/>
      <c r="HHN39" s="21"/>
      <c r="HHO39" s="21"/>
      <c r="HHP39" s="21"/>
      <c r="HHQ39" s="21"/>
      <c r="HHR39" s="21"/>
      <c r="HHS39" s="21"/>
      <c r="HHT39" s="21"/>
      <c r="HHU39" s="21"/>
      <c r="HHV39" s="21"/>
      <c r="HHW39" s="21"/>
      <c r="HHX39" s="21"/>
      <c r="HHY39" s="21"/>
      <c r="HHZ39" s="21"/>
      <c r="HIA39" s="21"/>
      <c r="HIB39" s="21"/>
      <c r="HIC39" s="21"/>
      <c r="HID39" s="21"/>
      <c r="HIE39" s="21"/>
      <c r="HIF39" s="21"/>
      <c r="HIG39" s="21"/>
      <c r="HIH39" s="21"/>
      <c r="HII39" s="21"/>
      <c r="HIJ39" s="21"/>
      <c r="HIK39" s="21"/>
      <c r="HIL39" s="21"/>
      <c r="HIM39" s="21"/>
      <c r="HIN39" s="21"/>
      <c r="HIO39" s="21"/>
      <c r="HIP39" s="21"/>
      <c r="HIQ39" s="21"/>
      <c r="HIR39" s="21"/>
      <c r="HIS39" s="21"/>
      <c r="HIT39" s="21"/>
      <c r="HIU39" s="21"/>
      <c r="HIV39" s="21"/>
      <c r="HIW39" s="21"/>
      <c r="HIX39" s="21"/>
      <c r="HIY39" s="21"/>
      <c r="HIZ39" s="21"/>
      <c r="HJA39" s="21"/>
      <c r="HJB39" s="21"/>
      <c r="HJC39" s="21"/>
      <c r="HJD39" s="21"/>
      <c r="HJE39" s="21"/>
      <c r="HJF39" s="21"/>
      <c r="HJG39" s="21"/>
      <c r="HJH39" s="21"/>
      <c r="HJI39" s="21"/>
      <c r="HJJ39" s="21"/>
      <c r="HJK39" s="21"/>
      <c r="HJL39" s="21"/>
      <c r="HJM39" s="21"/>
      <c r="HJN39" s="21"/>
      <c r="HJO39" s="21"/>
      <c r="HJP39" s="21"/>
      <c r="HJQ39" s="21"/>
      <c r="HJR39" s="21"/>
      <c r="HJS39" s="21"/>
      <c r="HJT39" s="21"/>
      <c r="HJU39" s="21"/>
      <c r="HJV39" s="21"/>
      <c r="HJW39" s="21"/>
      <c r="HJX39" s="21"/>
      <c r="HJY39" s="21"/>
      <c r="HJZ39" s="21"/>
      <c r="HKA39" s="21"/>
      <c r="HKB39" s="21"/>
      <c r="HKC39" s="21"/>
      <c r="HKD39" s="21"/>
      <c r="HKE39" s="21"/>
      <c r="HKF39" s="21"/>
      <c r="HKG39" s="21"/>
      <c r="HKH39" s="21"/>
      <c r="HKI39" s="21"/>
      <c r="HKJ39" s="21"/>
      <c r="HKK39" s="21"/>
      <c r="HKL39" s="21"/>
      <c r="HKM39" s="21"/>
      <c r="HKN39" s="21"/>
      <c r="HKO39" s="21"/>
      <c r="HKP39" s="21"/>
      <c r="HKQ39" s="21"/>
      <c r="HKR39" s="21"/>
      <c r="HKS39" s="21"/>
      <c r="HKT39" s="21"/>
      <c r="HKU39" s="21"/>
      <c r="HKV39" s="21"/>
      <c r="HKW39" s="21"/>
      <c r="HKX39" s="21"/>
      <c r="HKY39" s="21"/>
      <c r="HKZ39" s="21"/>
      <c r="HLA39" s="21"/>
      <c r="HLB39" s="21"/>
      <c r="HLC39" s="21"/>
      <c r="HLD39" s="21"/>
      <c r="HLE39" s="21"/>
      <c r="HLF39" s="21"/>
      <c r="HLG39" s="21"/>
      <c r="HLH39" s="21"/>
      <c r="HLI39" s="21"/>
      <c r="HLJ39" s="21"/>
      <c r="HLK39" s="21"/>
      <c r="HLL39" s="21"/>
      <c r="HLM39" s="21"/>
      <c r="HLN39" s="21"/>
      <c r="HLO39" s="21"/>
      <c r="HLP39" s="21"/>
      <c r="HLQ39" s="21"/>
      <c r="HLR39" s="21"/>
      <c r="HLS39" s="21"/>
      <c r="HLT39" s="21"/>
      <c r="HLU39" s="21"/>
      <c r="HLV39" s="21"/>
      <c r="HLW39" s="21"/>
      <c r="HLX39" s="21"/>
      <c r="HLY39" s="21"/>
      <c r="HLZ39" s="21"/>
      <c r="HMA39" s="21"/>
      <c r="HMB39" s="21"/>
      <c r="HMC39" s="21"/>
      <c r="HMD39" s="21"/>
      <c r="HME39" s="21"/>
      <c r="HMF39" s="21"/>
      <c r="HMG39" s="21"/>
      <c r="HMH39" s="21"/>
      <c r="HMI39" s="21"/>
      <c r="HMJ39" s="21"/>
      <c r="HMK39" s="21"/>
      <c r="HML39" s="21"/>
      <c r="HMM39" s="21"/>
      <c r="HMN39" s="21"/>
      <c r="HMO39" s="21"/>
      <c r="HMP39" s="21"/>
      <c r="HMQ39" s="21"/>
      <c r="HMR39" s="21"/>
      <c r="HMS39" s="21"/>
      <c r="HMT39" s="21"/>
      <c r="HMU39" s="21"/>
      <c r="HMV39" s="21"/>
      <c r="HMW39" s="21"/>
      <c r="HMX39" s="21"/>
      <c r="HMY39" s="21"/>
      <c r="HMZ39" s="21"/>
      <c r="HNA39" s="21"/>
      <c r="HNB39" s="21"/>
      <c r="HNC39" s="21"/>
      <c r="HND39" s="21"/>
      <c r="HNE39" s="21"/>
      <c r="HNF39" s="21"/>
      <c r="HNG39" s="21"/>
      <c r="HNH39" s="21"/>
      <c r="HNI39" s="21"/>
      <c r="HNJ39" s="21"/>
      <c r="HNK39" s="21"/>
      <c r="HNL39" s="21"/>
      <c r="HNM39" s="21"/>
      <c r="HNN39" s="21"/>
      <c r="HNO39" s="21"/>
      <c r="HNP39" s="21"/>
      <c r="HNQ39" s="21"/>
      <c r="HNR39" s="21"/>
      <c r="HNS39" s="21"/>
      <c r="HNT39" s="21"/>
      <c r="HNU39" s="21"/>
      <c r="HNV39" s="21"/>
      <c r="HNW39" s="21"/>
      <c r="HNX39" s="21"/>
      <c r="HNY39" s="21"/>
      <c r="HNZ39" s="21"/>
      <c r="HOA39" s="21"/>
      <c r="HOB39" s="21"/>
      <c r="HOC39" s="21"/>
      <c r="HOD39" s="21"/>
      <c r="HOE39" s="21"/>
      <c r="HOF39" s="21"/>
      <c r="HOG39" s="21"/>
      <c r="HOH39" s="21"/>
      <c r="HOI39" s="21"/>
      <c r="HOJ39" s="21"/>
      <c r="HOK39" s="21"/>
      <c r="HOL39" s="21"/>
      <c r="HOM39" s="21"/>
      <c r="HON39" s="21"/>
      <c r="HOO39" s="21"/>
      <c r="HOP39" s="21"/>
      <c r="HOQ39" s="21"/>
      <c r="HOR39" s="21"/>
      <c r="HOS39" s="21"/>
      <c r="HOT39" s="21"/>
      <c r="HOU39" s="21"/>
      <c r="HOV39" s="21"/>
      <c r="HOW39" s="21"/>
      <c r="HOX39" s="21"/>
      <c r="HOY39" s="21"/>
      <c r="HOZ39" s="21"/>
      <c r="HPA39" s="21"/>
      <c r="HPB39" s="21"/>
      <c r="HPC39" s="21"/>
      <c r="HPD39" s="21"/>
      <c r="HPE39" s="21"/>
      <c r="HPF39" s="21"/>
      <c r="HPG39" s="21"/>
      <c r="HPH39" s="21"/>
      <c r="HPI39" s="21"/>
      <c r="HPJ39" s="21"/>
      <c r="HPK39" s="21"/>
      <c r="HPL39" s="21"/>
      <c r="HPM39" s="21"/>
      <c r="HPN39" s="21"/>
      <c r="HPO39" s="21"/>
      <c r="HPP39" s="21"/>
      <c r="HPQ39" s="21"/>
      <c r="HPR39" s="21"/>
      <c r="HPS39" s="21"/>
      <c r="HPT39" s="21"/>
      <c r="HPU39" s="21"/>
      <c r="HPV39" s="21"/>
      <c r="HPW39" s="21"/>
      <c r="HPX39" s="21"/>
      <c r="HPY39" s="21"/>
      <c r="HPZ39" s="21"/>
      <c r="HQA39" s="21"/>
      <c r="HQB39" s="21"/>
      <c r="HQC39" s="21"/>
      <c r="HQD39" s="21"/>
      <c r="HQE39" s="21"/>
      <c r="HQF39" s="21"/>
      <c r="HQG39" s="21"/>
      <c r="HQH39" s="21"/>
      <c r="HQI39" s="21"/>
      <c r="HQJ39" s="21"/>
      <c r="HQK39" s="21"/>
      <c r="HQL39" s="21"/>
      <c r="HQM39" s="21"/>
      <c r="HQN39" s="21"/>
      <c r="HQO39" s="21"/>
      <c r="HQP39" s="21"/>
      <c r="HQQ39" s="21"/>
      <c r="HQR39" s="21"/>
      <c r="HQS39" s="21"/>
      <c r="HQT39" s="21"/>
      <c r="HQU39" s="21"/>
      <c r="HQV39" s="21"/>
      <c r="HQW39" s="21"/>
      <c r="HQX39" s="21"/>
      <c r="HQY39" s="21"/>
      <c r="HQZ39" s="21"/>
      <c r="HRA39" s="21"/>
      <c r="HRB39" s="21"/>
      <c r="HRC39" s="21"/>
      <c r="HRD39" s="21"/>
      <c r="HRE39" s="21"/>
      <c r="HRF39" s="21"/>
      <c r="HRG39" s="21"/>
      <c r="HRH39" s="21"/>
      <c r="HRI39" s="21"/>
      <c r="HRJ39" s="21"/>
      <c r="HRK39" s="21"/>
      <c r="HRL39" s="21"/>
      <c r="HRM39" s="21"/>
      <c r="HRN39" s="21"/>
      <c r="HRO39" s="21"/>
      <c r="HRP39" s="21"/>
      <c r="HRQ39" s="21"/>
      <c r="HRR39" s="21"/>
      <c r="HRS39" s="21"/>
      <c r="HRT39" s="21"/>
      <c r="HRU39" s="21"/>
      <c r="HRV39" s="21"/>
      <c r="HRW39" s="21"/>
      <c r="HRX39" s="21"/>
      <c r="HRY39" s="21"/>
      <c r="HRZ39" s="21"/>
      <c r="HSA39" s="21"/>
      <c r="HSB39" s="21"/>
      <c r="HSC39" s="21"/>
      <c r="HSD39" s="21"/>
      <c r="HSE39" s="21"/>
      <c r="HSF39" s="21"/>
      <c r="HSG39" s="21"/>
      <c r="HSH39" s="21"/>
      <c r="HSI39" s="21"/>
      <c r="HSJ39" s="21"/>
      <c r="HSK39" s="21"/>
      <c r="HSL39" s="21"/>
      <c r="HSM39" s="21"/>
      <c r="HSN39" s="21"/>
      <c r="HSO39" s="21"/>
      <c r="HSP39" s="21"/>
      <c r="HSQ39" s="21"/>
      <c r="HSR39" s="21"/>
      <c r="HSS39" s="21"/>
      <c r="HST39" s="21"/>
      <c r="HSU39" s="21"/>
      <c r="HSV39" s="21"/>
      <c r="HSW39" s="21"/>
      <c r="HSX39" s="21"/>
      <c r="HSY39" s="21"/>
      <c r="HSZ39" s="21"/>
      <c r="HTA39" s="21"/>
      <c r="HTB39" s="21"/>
      <c r="HTC39" s="21"/>
      <c r="HTD39" s="21"/>
      <c r="HTE39" s="21"/>
      <c r="HTF39" s="21"/>
      <c r="HTG39" s="21"/>
      <c r="HTH39" s="21"/>
      <c r="HTI39" s="21"/>
      <c r="HTJ39" s="21"/>
      <c r="HTK39" s="21"/>
      <c r="HTL39" s="21"/>
      <c r="HTM39" s="21"/>
      <c r="HTN39" s="21"/>
      <c r="HTO39" s="21"/>
      <c r="HTP39" s="21"/>
      <c r="HTQ39" s="21"/>
      <c r="HTR39" s="21"/>
      <c r="HTS39" s="21"/>
      <c r="HTT39" s="21"/>
      <c r="HTU39" s="21"/>
      <c r="HTV39" s="21"/>
      <c r="HTW39" s="21"/>
      <c r="HTX39" s="21"/>
      <c r="HTY39" s="21"/>
      <c r="HTZ39" s="21"/>
      <c r="HUA39" s="21"/>
      <c r="HUB39" s="21"/>
      <c r="HUC39" s="21"/>
      <c r="HUD39" s="21"/>
      <c r="HUE39" s="21"/>
      <c r="HUF39" s="21"/>
      <c r="HUG39" s="21"/>
      <c r="HUH39" s="21"/>
      <c r="HUI39" s="21"/>
      <c r="HUJ39" s="21"/>
      <c r="HUK39" s="21"/>
      <c r="HUL39" s="21"/>
      <c r="HUM39" s="21"/>
      <c r="HUN39" s="21"/>
      <c r="HUO39" s="21"/>
      <c r="HUP39" s="21"/>
      <c r="HUQ39" s="21"/>
      <c r="HUR39" s="21"/>
      <c r="HUS39" s="21"/>
      <c r="HUT39" s="21"/>
      <c r="HUU39" s="21"/>
      <c r="HUV39" s="21"/>
      <c r="HUW39" s="21"/>
      <c r="HUX39" s="21"/>
      <c r="HUY39" s="21"/>
      <c r="HUZ39" s="21"/>
      <c r="HVA39" s="21"/>
      <c r="HVB39" s="21"/>
      <c r="HVC39" s="21"/>
      <c r="HVD39" s="21"/>
      <c r="HVE39" s="21"/>
      <c r="HVF39" s="21"/>
      <c r="HVG39" s="21"/>
      <c r="HVH39" s="21"/>
      <c r="HVI39" s="21"/>
      <c r="HVJ39" s="21"/>
      <c r="HVK39" s="21"/>
      <c r="HVL39" s="21"/>
      <c r="HVM39" s="21"/>
      <c r="HVN39" s="21"/>
      <c r="HVO39" s="21"/>
      <c r="HVP39" s="21"/>
      <c r="HVQ39" s="21"/>
      <c r="HVR39" s="21"/>
      <c r="HVS39" s="21"/>
      <c r="HVT39" s="21"/>
      <c r="HVU39" s="21"/>
      <c r="HVV39" s="21"/>
      <c r="HVW39" s="21"/>
      <c r="HVX39" s="21"/>
      <c r="HVY39" s="21"/>
      <c r="HVZ39" s="21"/>
      <c r="HWA39" s="21"/>
      <c r="HWB39" s="21"/>
      <c r="HWC39" s="21"/>
      <c r="HWD39" s="21"/>
      <c r="HWE39" s="21"/>
      <c r="HWF39" s="21"/>
      <c r="HWG39" s="21"/>
      <c r="HWH39" s="21"/>
      <c r="HWI39" s="21"/>
      <c r="HWJ39" s="21"/>
      <c r="HWK39" s="21"/>
      <c r="HWL39" s="21"/>
      <c r="HWM39" s="21"/>
      <c r="HWN39" s="21"/>
      <c r="HWO39" s="21"/>
      <c r="HWP39" s="21"/>
      <c r="HWQ39" s="21"/>
      <c r="HWR39" s="21"/>
      <c r="HWS39" s="21"/>
      <c r="HWT39" s="21"/>
      <c r="HWU39" s="21"/>
      <c r="HWV39" s="21"/>
      <c r="HWW39" s="21"/>
      <c r="HWX39" s="21"/>
      <c r="HWY39" s="21"/>
      <c r="HWZ39" s="21"/>
      <c r="HXA39" s="21"/>
      <c r="HXB39" s="21"/>
      <c r="HXC39" s="21"/>
      <c r="HXD39" s="21"/>
      <c r="HXE39" s="21"/>
      <c r="HXF39" s="21"/>
      <c r="HXG39" s="21"/>
      <c r="HXH39" s="21"/>
      <c r="HXI39" s="21"/>
      <c r="HXJ39" s="21"/>
      <c r="HXK39" s="21"/>
      <c r="HXL39" s="21"/>
      <c r="HXM39" s="21"/>
      <c r="HXN39" s="21"/>
      <c r="HXO39" s="21"/>
      <c r="HXP39" s="21"/>
      <c r="HXQ39" s="21"/>
      <c r="HXR39" s="21"/>
      <c r="HXS39" s="21"/>
      <c r="HXT39" s="21"/>
      <c r="HXU39" s="21"/>
      <c r="HXV39" s="21"/>
      <c r="HXW39" s="21"/>
      <c r="HXX39" s="21"/>
      <c r="HXY39" s="21"/>
      <c r="HXZ39" s="21"/>
      <c r="HYA39" s="21"/>
      <c r="HYB39" s="21"/>
      <c r="HYC39" s="21"/>
      <c r="HYD39" s="21"/>
      <c r="HYE39" s="21"/>
      <c r="HYF39" s="21"/>
      <c r="HYG39" s="21"/>
      <c r="HYH39" s="21"/>
      <c r="HYI39" s="21"/>
      <c r="HYJ39" s="21"/>
      <c r="HYK39" s="21"/>
      <c r="HYL39" s="21"/>
      <c r="HYM39" s="21"/>
      <c r="HYN39" s="21"/>
      <c r="HYO39" s="21"/>
      <c r="HYP39" s="21"/>
      <c r="HYQ39" s="21"/>
      <c r="HYR39" s="21"/>
      <c r="HYS39" s="21"/>
      <c r="HYT39" s="21"/>
      <c r="HYU39" s="21"/>
      <c r="HYV39" s="21"/>
      <c r="HYW39" s="21"/>
      <c r="HYX39" s="21"/>
      <c r="HYY39" s="21"/>
      <c r="HYZ39" s="21"/>
      <c r="HZA39" s="21"/>
      <c r="HZB39" s="21"/>
      <c r="HZC39" s="21"/>
      <c r="HZD39" s="21"/>
      <c r="HZE39" s="21"/>
      <c r="HZF39" s="21"/>
      <c r="HZG39" s="21"/>
      <c r="HZH39" s="21"/>
      <c r="HZI39" s="21"/>
      <c r="HZJ39" s="21"/>
      <c r="HZK39" s="21"/>
      <c r="HZL39" s="21"/>
      <c r="HZM39" s="21"/>
      <c r="HZN39" s="21"/>
      <c r="HZO39" s="21"/>
      <c r="HZP39" s="21"/>
      <c r="HZQ39" s="21"/>
      <c r="HZR39" s="21"/>
      <c r="HZS39" s="21"/>
      <c r="HZT39" s="21"/>
      <c r="HZU39" s="21"/>
      <c r="HZV39" s="21"/>
      <c r="HZW39" s="21"/>
      <c r="HZX39" s="21"/>
      <c r="HZY39" s="21"/>
      <c r="HZZ39" s="21"/>
      <c r="IAA39" s="21"/>
      <c r="IAB39" s="21"/>
      <c r="IAC39" s="21"/>
      <c r="IAD39" s="21"/>
      <c r="IAE39" s="21"/>
      <c r="IAF39" s="21"/>
      <c r="IAG39" s="21"/>
      <c r="IAH39" s="21"/>
      <c r="IAI39" s="21"/>
      <c r="IAJ39" s="21"/>
      <c r="IAK39" s="21"/>
      <c r="IAL39" s="21"/>
      <c r="IAM39" s="21"/>
      <c r="IAN39" s="21"/>
      <c r="IAO39" s="21"/>
      <c r="IAP39" s="21"/>
      <c r="IAQ39" s="21"/>
      <c r="IAR39" s="21"/>
      <c r="IAS39" s="21"/>
      <c r="IAT39" s="21"/>
      <c r="IAU39" s="21"/>
      <c r="IAV39" s="21"/>
      <c r="IAW39" s="21"/>
      <c r="IAX39" s="21"/>
      <c r="IAY39" s="21"/>
      <c r="IAZ39" s="21"/>
      <c r="IBA39" s="21"/>
      <c r="IBB39" s="21"/>
      <c r="IBC39" s="21"/>
      <c r="IBD39" s="21"/>
      <c r="IBE39" s="21"/>
      <c r="IBF39" s="21"/>
      <c r="IBG39" s="21"/>
      <c r="IBH39" s="21"/>
      <c r="IBI39" s="21"/>
      <c r="IBJ39" s="21"/>
      <c r="IBK39" s="21"/>
      <c r="IBL39" s="21"/>
      <c r="IBM39" s="21"/>
      <c r="IBN39" s="21"/>
      <c r="IBO39" s="21"/>
      <c r="IBP39" s="21"/>
      <c r="IBQ39" s="21"/>
      <c r="IBR39" s="21"/>
      <c r="IBS39" s="21"/>
      <c r="IBT39" s="21"/>
      <c r="IBU39" s="21"/>
      <c r="IBV39" s="21"/>
      <c r="IBW39" s="21"/>
      <c r="IBX39" s="21"/>
      <c r="IBY39" s="21"/>
      <c r="IBZ39" s="21"/>
      <c r="ICA39" s="21"/>
      <c r="ICB39" s="21"/>
      <c r="ICC39" s="21"/>
      <c r="ICD39" s="21"/>
      <c r="ICE39" s="21"/>
      <c r="ICF39" s="21"/>
      <c r="ICG39" s="21"/>
      <c r="ICH39" s="21"/>
      <c r="ICI39" s="21"/>
      <c r="ICJ39" s="21"/>
      <c r="ICK39" s="21"/>
      <c r="ICL39" s="21"/>
      <c r="ICM39" s="21"/>
      <c r="ICN39" s="21"/>
      <c r="ICO39" s="21"/>
      <c r="ICP39" s="21"/>
      <c r="ICQ39" s="21"/>
      <c r="ICR39" s="21"/>
      <c r="ICS39" s="21"/>
      <c r="ICT39" s="21"/>
      <c r="ICU39" s="21"/>
      <c r="ICV39" s="21"/>
      <c r="ICW39" s="21"/>
      <c r="ICX39" s="21"/>
      <c r="ICY39" s="21"/>
      <c r="ICZ39" s="21"/>
      <c r="IDA39" s="21"/>
      <c r="IDB39" s="21"/>
      <c r="IDC39" s="21"/>
      <c r="IDD39" s="21"/>
      <c r="IDE39" s="21"/>
      <c r="IDF39" s="21"/>
      <c r="IDG39" s="21"/>
      <c r="IDH39" s="21"/>
      <c r="IDI39" s="21"/>
      <c r="IDJ39" s="21"/>
      <c r="IDK39" s="21"/>
      <c r="IDL39" s="21"/>
      <c r="IDM39" s="21"/>
      <c r="IDN39" s="21"/>
      <c r="IDO39" s="21"/>
      <c r="IDP39" s="21"/>
      <c r="IDQ39" s="21"/>
      <c r="IDR39" s="21"/>
      <c r="IDS39" s="21"/>
      <c r="IDT39" s="21"/>
      <c r="IDU39" s="21"/>
      <c r="IDV39" s="21"/>
      <c r="IDW39" s="21"/>
      <c r="IDX39" s="21"/>
      <c r="IDY39" s="21"/>
      <c r="IDZ39" s="21"/>
      <c r="IEA39" s="21"/>
      <c r="IEB39" s="21"/>
      <c r="IEC39" s="21"/>
      <c r="IED39" s="21"/>
      <c r="IEE39" s="21"/>
      <c r="IEF39" s="21"/>
      <c r="IEG39" s="21"/>
      <c r="IEH39" s="21"/>
      <c r="IEI39" s="21"/>
      <c r="IEJ39" s="21"/>
      <c r="IEK39" s="21"/>
      <c r="IEL39" s="21"/>
      <c r="IEM39" s="21"/>
      <c r="IEN39" s="21"/>
      <c r="IEO39" s="21"/>
      <c r="IEP39" s="21"/>
      <c r="IEQ39" s="21"/>
      <c r="IER39" s="21"/>
      <c r="IES39" s="21"/>
      <c r="IET39" s="21"/>
      <c r="IEU39" s="21"/>
      <c r="IEV39" s="21"/>
      <c r="IEW39" s="21"/>
      <c r="IEX39" s="21"/>
      <c r="IEY39" s="21"/>
      <c r="IEZ39" s="21"/>
      <c r="IFA39" s="21"/>
      <c r="IFB39" s="21"/>
      <c r="IFC39" s="21"/>
      <c r="IFD39" s="21"/>
      <c r="IFE39" s="21"/>
      <c r="IFF39" s="21"/>
      <c r="IFG39" s="21"/>
      <c r="IFH39" s="21"/>
      <c r="IFI39" s="21"/>
      <c r="IFJ39" s="21"/>
      <c r="IFK39" s="21"/>
      <c r="IFL39" s="21"/>
      <c r="IFM39" s="21"/>
      <c r="IFN39" s="21"/>
      <c r="IFO39" s="21"/>
      <c r="IFP39" s="21"/>
      <c r="IFQ39" s="21"/>
      <c r="IFR39" s="21"/>
      <c r="IFS39" s="21"/>
      <c r="IFT39" s="21"/>
      <c r="IFU39" s="21"/>
      <c r="IFV39" s="21"/>
      <c r="IFW39" s="21"/>
      <c r="IFX39" s="21"/>
      <c r="IFY39" s="21"/>
      <c r="IFZ39" s="21"/>
      <c r="IGA39" s="21"/>
      <c r="IGB39" s="21"/>
      <c r="IGC39" s="21"/>
      <c r="IGD39" s="21"/>
      <c r="IGE39" s="21"/>
      <c r="IGF39" s="21"/>
      <c r="IGG39" s="21"/>
      <c r="IGH39" s="21"/>
      <c r="IGI39" s="21"/>
      <c r="IGJ39" s="21"/>
      <c r="IGK39" s="21"/>
      <c r="IGL39" s="21"/>
      <c r="IGM39" s="21"/>
      <c r="IGN39" s="21"/>
      <c r="IGO39" s="21"/>
      <c r="IGP39" s="21"/>
      <c r="IGQ39" s="21"/>
      <c r="IGR39" s="21"/>
      <c r="IGS39" s="21"/>
      <c r="IGT39" s="21"/>
      <c r="IGU39" s="21"/>
      <c r="IGV39" s="21"/>
      <c r="IGW39" s="21"/>
      <c r="IGX39" s="21"/>
      <c r="IGY39" s="21"/>
      <c r="IGZ39" s="21"/>
      <c r="IHA39" s="21"/>
      <c r="IHB39" s="21"/>
      <c r="IHC39" s="21"/>
      <c r="IHD39" s="21"/>
      <c r="IHE39" s="21"/>
      <c r="IHF39" s="21"/>
      <c r="IHG39" s="21"/>
      <c r="IHH39" s="21"/>
      <c r="IHI39" s="21"/>
      <c r="IHJ39" s="21"/>
      <c r="IHK39" s="21"/>
      <c r="IHL39" s="21"/>
      <c r="IHM39" s="21"/>
      <c r="IHN39" s="21"/>
      <c r="IHO39" s="21"/>
      <c r="IHP39" s="21"/>
      <c r="IHQ39" s="21"/>
      <c r="IHR39" s="21"/>
      <c r="IHS39" s="21"/>
      <c r="IHT39" s="21"/>
      <c r="IHU39" s="21"/>
      <c r="IHV39" s="21"/>
      <c r="IHW39" s="21"/>
      <c r="IHX39" s="21"/>
      <c r="IHY39" s="21"/>
      <c r="IHZ39" s="21"/>
      <c r="IIA39" s="21"/>
      <c r="IIB39" s="21"/>
      <c r="IIC39" s="21"/>
      <c r="IID39" s="21"/>
      <c r="IIE39" s="21"/>
      <c r="IIF39" s="21"/>
      <c r="IIG39" s="21"/>
      <c r="IIH39" s="21"/>
      <c r="III39" s="21"/>
      <c r="IIJ39" s="21"/>
      <c r="IIK39" s="21"/>
      <c r="IIL39" s="21"/>
      <c r="IIM39" s="21"/>
      <c r="IIN39" s="21"/>
      <c r="IIO39" s="21"/>
      <c r="IIP39" s="21"/>
      <c r="IIQ39" s="21"/>
      <c r="IIR39" s="21"/>
      <c r="IIS39" s="21"/>
      <c r="IIT39" s="21"/>
      <c r="IIU39" s="21"/>
      <c r="IIV39" s="21"/>
      <c r="IIW39" s="21"/>
      <c r="IIX39" s="21"/>
      <c r="IIY39" s="21"/>
      <c r="IIZ39" s="21"/>
      <c r="IJA39" s="21"/>
      <c r="IJB39" s="21"/>
      <c r="IJC39" s="21"/>
      <c r="IJD39" s="21"/>
      <c r="IJE39" s="21"/>
      <c r="IJF39" s="21"/>
      <c r="IJG39" s="21"/>
      <c r="IJH39" s="21"/>
      <c r="IJI39" s="21"/>
      <c r="IJJ39" s="21"/>
      <c r="IJK39" s="21"/>
      <c r="IJL39" s="21"/>
      <c r="IJM39" s="21"/>
      <c r="IJN39" s="21"/>
      <c r="IJO39" s="21"/>
      <c r="IJP39" s="21"/>
      <c r="IJQ39" s="21"/>
      <c r="IJR39" s="21"/>
      <c r="IJS39" s="21"/>
      <c r="IJT39" s="21"/>
      <c r="IJU39" s="21"/>
      <c r="IJV39" s="21"/>
      <c r="IJW39" s="21"/>
      <c r="IJX39" s="21"/>
      <c r="IJY39" s="21"/>
      <c r="IJZ39" s="21"/>
      <c r="IKA39" s="21"/>
      <c r="IKB39" s="21"/>
      <c r="IKC39" s="21"/>
      <c r="IKD39" s="21"/>
      <c r="IKE39" s="21"/>
      <c r="IKF39" s="21"/>
      <c r="IKG39" s="21"/>
      <c r="IKH39" s="21"/>
      <c r="IKI39" s="21"/>
      <c r="IKJ39" s="21"/>
      <c r="IKK39" s="21"/>
      <c r="IKL39" s="21"/>
      <c r="IKM39" s="21"/>
      <c r="IKN39" s="21"/>
      <c r="IKO39" s="21"/>
      <c r="IKP39" s="21"/>
      <c r="IKQ39" s="21"/>
      <c r="IKR39" s="21"/>
      <c r="IKS39" s="21"/>
      <c r="IKT39" s="21"/>
      <c r="IKU39" s="21"/>
      <c r="IKV39" s="21"/>
      <c r="IKW39" s="21"/>
      <c r="IKX39" s="21"/>
      <c r="IKY39" s="21"/>
      <c r="IKZ39" s="21"/>
      <c r="ILA39" s="21"/>
      <c r="ILB39" s="21"/>
      <c r="ILC39" s="21"/>
      <c r="ILD39" s="21"/>
      <c r="ILE39" s="21"/>
      <c r="ILF39" s="21"/>
      <c r="ILG39" s="21"/>
      <c r="ILH39" s="21"/>
      <c r="ILI39" s="21"/>
      <c r="ILJ39" s="21"/>
      <c r="ILK39" s="21"/>
      <c r="ILL39" s="21"/>
      <c r="ILM39" s="21"/>
      <c r="ILN39" s="21"/>
      <c r="ILO39" s="21"/>
      <c r="ILP39" s="21"/>
      <c r="ILQ39" s="21"/>
      <c r="ILR39" s="21"/>
      <c r="ILS39" s="21"/>
      <c r="ILT39" s="21"/>
      <c r="ILU39" s="21"/>
      <c r="ILV39" s="21"/>
      <c r="ILW39" s="21"/>
      <c r="ILX39" s="21"/>
      <c r="ILY39" s="21"/>
      <c r="ILZ39" s="21"/>
      <c r="IMA39" s="21"/>
      <c r="IMB39" s="21"/>
      <c r="IMC39" s="21"/>
      <c r="IMD39" s="21"/>
      <c r="IME39" s="21"/>
      <c r="IMF39" s="21"/>
      <c r="IMG39" s="21"/>
      <c r="IMH39" s="21"/>
      <c r="IMI39" s="21"/>
      <c r="IMJ39" s="21"/>
      <c r="IMK39" s="21"/>
      <c r="IML39" s="21"/>
      <c r="IMM39" s="21"/>
      <c r="IMN39" s="21"/>
      <c r="IMO39" s="21"/>
      <c r="IMP39" s="21"/>
      <c r="IMQ39" s="21"/>
      <c r="IMR39" s="21"/>
      <c r="IMS39" s="21"/>
      <c r="IMT39" s="21"/>
      <c r="IMU39" s="21"/>
      <c r="IMV39" s="21"/>
      <c r="IMW39" s="21"/>
      <c r="IMX39" s="21"/>
      <c r="IMY39" s="21"/>
      <c r="IMZ39" s="21"/>
      <c r="INA39" s="21"/>
      <c r="INB39" s="21"/>
      <c r="INC39" s="21"/>
      <c r="IND39" s="21"/>
      <c r="INE39" s="21"/>
      <c r="INF39" s="21"/>
      <c r="ING39" s="21"/>
      <c r="INH39" s="21"/>
      <c r="INI39" s="21"/>
      <c r="INJ39" s="21"/>
      <c r="INK39" s="21"/>
      <c r="INL39" s="21"/>
      <c r="INM39" s="21"/>
      <c r="INN39" s="21"/>
      <c r="INO39" s="21"/>
      <c r="INP39" s="21"/>
      <c r="INQ39" s="21"/>
      <c r="INR39" s="21"/>
      <c r="INS39" s="21"/>
      <c r="INT39" s="21"/>
      <c r="INU39" s="21"/>
      <c r="INV39" s="21"/>
      <c r="INW39" s="21"/>
      <c r="INX39" s="21"/>
      <c r="INY39" s="21"/>
      <c r="INZ39" s="21"/>
      <c r="IOA39" s="21"/>
      <c r="IOB39" s="21"/>
      <c r="IOC39" s="21"/>
      <c r="IOD39" s="21"/>
      <c r="IOE39" s="21"/>
      <c r="IOF39" s="21"/>
      <c r="IOG39" s="21"/>
      <c r="IOH39" s="21"/>
      <c r="IOI39" s="21"/>
      <c r="IOJ39" s="21"/>
      <c r="IOK39" s="21"/>
      <c r="IOL39" s="21"/>
      <c r="IOM39" s="21"/>
      <c r="ION39" s="21"/>
      <c r="IOO39" s="21"/>
      <c r="IOP39" s="21"/>
      <c r="IOQ39" s="21"/>
      <c r="IOR39" s="21"/>
      <c r="IOS39" s="21"/>
      <c r="IOT39" s="21"/>
      <c r="IOU39" s="21"/>
      <c r="IOV39" s="21"/>
      <c r="IOW39" s="21"/>
      <c r="IOX39" s="21"/>
      <c r="IOY39" s="21"/>
      <c r="IOZ39" s="21"/>
      <c r="IPA39" s="21"/>
      <c r="IPB39" s="21"/>
      <c r="IPC39" s="21"/>
      <c r="IPD39" s="21"/>
      <c r="IPE39" s="21"/>
      <c r="IPF39" s="21"/>
      <c r="IPG39" s="21"/>
      <c r="IPH39" s="21"/>
      <c r="IPI39" s="21"/>
      <c r="IPJ39" s="21"/>
      <c r="IPK39" s="21"/>
      <c r="IPL39" s="21"/>
      <c r="IPM39" s="21"/>
      <c r="IPN39" s="21"/>
      <c r="IPO39" s="21"/>
      <c r="IPP39" s="21"/>
      <c r="IPQ39" s="21"/>
      <c r="IPR39" s="21"/>
      <c r="IPS39" s="21"/>
      <c r="IPT39" s="21"/>
      <c r="IPU39" s="21"/>
      <c r="IPV39" s="21"/>
      <c r="IPW39" s="21"/>
      <c r="IPX39" s="21"/>
      <c r="IPY39" s="21"/>
      <c r="IPZ39" s="21"/>
      <c r="IQA39" s="21"/>
      <c r="IQB39" s="21"/>
      <c r="IQC39" s="21"/>
      <c r="IQD39" s="21"/>
      <c r="IQE39" s="21"/>
      <c r="IQF39" s="21"/>
      <c r="IQG39" s="21"/>
      <c r="IQH39" s="21"/>
      <c r="IQI39" s="21"/>
      <c r="IQJ39" s="21"/>
      <c r="IQK39" s="21"/>
      <c r="IQL39" s="21"/>
      <c r="IQM39" s="21"/>
      <c r="IQN39" s="21"/>
      <c r="IQO39" s="21"/>
      <c r="IQP39" s="21"/>
      <c r="IQQ39" s="21"/>
      <c r="IQR39" s="21"/>
      <c r="IQS39" s="21"/>
      <c r="IQT39" s="21"/>
      <c r="IQU39" s="21"/>
      <c r="IQV39" s="21"/>
      <c r="IQW39" s="21"/>
      <c r="IQX39" s="21"/>
      <c r="IQY39" s="21"/>
      <c r="IQZ39" s="21"/>
      <c r="IRA39" s="21"/>
      <c r="IRB39" s="21"/>
      <c r="IRC39" s="21"/>
      <c r="IRD39" s="21"/>
      <c r="IRE39" s="21"/>
      <c r="IRF39" s="21"/>
      <c r="IRG39" s="21"/>
      <c r="IRH39" s="21"/>
      <c r="IRI39" s="21"/>
      <c r="IRJ39" s="21"/>
      <c r="IRK39" s="21"/>
      <c r="IRL39" s="21"/>
      <c r="IRM39" s="21"/>
      <c r="IRN39" s="21"/>
      <c r="IRO39" s="21"/>
      <c r="IRP39" s="21"/>
      <c r="IRQ39" s="21"/>
      <c r="IRR39" s="21"/>
      <c r="IRS39" s="21"/>
      <c r="IRT39" s="21"/>
      <c r="IRU39" s="21"/>
      <c r="IRV39" s="21"/>
      <c r="IRW39" s="21"/>
      <c r="IRX39" s="21"/>
      <c r="IRY39" s="21"/>
      <c r="IRZ39" s="21"/>
      <c r="ISA39" s="21"/>
      <c r="ISB39" s="21"/>
      <c r="ISC39" s="21"/>
      <c r="ISD39" s="21"/>
      <c r="ISE39" s="21"/>
      <c r="ISF39" s="21"/>
      <c r="ISG39" s="21"/>
      <c r="ISH39" s="21"/>
      <c r="ISI39" s="21"/>
      <c r="ISJ39" s="21"/>
      <c r="ISK39" s="21"/>
      <c r="ISL39" s="21"/>
      <c r="ISM39" s="21"/>
      <c r="ISN39" s="21"/>
      <c r="ISO39" s="21"/>
      <c r="ISP39" s="21"/>
      <c r="ISQ39" s="21"/>
      <c r="ISR39" s="21"/>
      <c r="ISS39" s="21"/>
      <c r="IST39" s="21"/>
      <c r="ISU39" s="21"/>
      <c r="ISV39" s="21"/>
      <c r="ISW39" s="21"/>
      <c r="ISX39" s="21"/>
      <c r="ISY39" s="21"/>
      <c r="ISZ39" s="21"/>
      <c r="ITA39" s="21"/>
      <c r="ITB39" s="21"/>
      <c r="ITC39" s="21"/>
      <c r="ITD39" s="21"/>
      <c r="ITE39" s="21"/>
      <c r="ITF39" s="21"/>
      <c r="ITG39" s="21"/>
      <c r="ITH39" s="21"/>
      <c r="ITI39" s="21"/>
      <c r="ITJ39" s="21"/>
      <c r="ITK39" s="21"/>
      <c r="ITL39" s="21"/>
      <c r="ITM39" s="21"/>
      <c r="ITN39" s="21"/>
      <c r="ITO39" s="21"/>
      <c r="ITP39" s="21"/>
      <c r="ITQ39" s="21"/>
      <c r="ITR39" s="21"/>
      <c r="ITS39" s="21"/>
      <c r="ITT39" s="21"/>
      <c r="ITU39" s="21"/>
      <c r="ITV39" s="21"/>
      <c r="ITW39" s="21"/>
      <c r="ITX39" s="21"/>
      <c r="ITY39" s="21"/>
      <c r="ITZ39" s="21"/>
      <c r="IUA39" s="21"/>
      <c r="IUB39" s="21"/>
      <c r="IUC39" s="21"/>
      <c r="IUD39" s="21"/>
      <c r="IUE39" s="21"/>
      <c r="IUF39" s="21"/>
      <c r="IUG39" s="21"/>
      <c r="IUH39" s="21"/>
      <c r="IUI39" s="21"/>
      <c r="IUJ39" s="21"/>
      <c r="IUK39" s="21"/>
      <c r="IUL39" s="21"/>
      <c r="IUM39" s="21"/>
      <c r="IUN39" s="21"/>
      <c r="IUO39" s="21"/>
      <c r="IUP39" s="21"/>
      <c r="IUQ39" s="21"/>
      <c r="IUR39" s="21"/>
      <c r="IUS39" s="21"/>
      <c r="IUT39" s="21"/>
      <c r="IUU39" s="21"/>
      <c r="IUV39" s="21"/>
      <c r="IUW39" s="21"/>
      <c r="IUX39" s="21"/>
      <c r="IUY39" s="21"/>
      <c r="IUZ39" s="21"/>
      <c r="IVA39" s="21"/>
      <c r="IVB39" s="21"/>
      <c r="IVC39" s="21"/>
      <c r="IVD39" s="21"/>
      <c r="IVE39" s="21"/>
      <c r="IVF39" s="21"/>
      <c r="IVG39" s="21"/>
      <c r="IVH39" s="21"/>
      <c r="IVI39" s="21"/>
      <c r="IVJ39" s="21"/>
      <c r="IVK39" s="21"/>
      <c r="IVL39" s="21"/>
      <c r="IVM39" s="21"/>
      <c r="IVN39" s="21"/>
      <c r="IVO39" s="21"/>
      <c r="IVP39" s="21"/>
      <c r="IVQ39" s="21"/>
      <c r="IVR39" s="21"/>
      <c r="IVS39" s="21"/>
      <c r="IVT39" s="21"/>
      <c r="IVU39" s="21"/>
      <c r="IVV39" s="21"/>
      <c r="IVW39" s="21"/>
      <c r="IVX39" s="21"/>
      <c r="IVY39" s="21"/>
      <c r="IVZ39" s="21"/>
      <c r="IWA39" s="21"/>
      <c r="IWB39" s="21"/>
      <c r="IWC39" s="21"/>
      <c r="IWD39" s="21"/>
      <c r="IWE39" s="21"/>
      <c r="IWF39" s="21"/>
      <c r="IWG39" s="21"/>
      <c r="IWH39" s="21"/>
      <c r="IWI39" s="21"/>
      <c r="IWJ39" s="21"/>
      <c r="IWK39" s="21"/>
      <c r="IWL39" s="21"/>
      <c r="IWM39" s="21"/>
      <c r="IWN39" s="21"/>
      <c r="IWO39" s="21"/>
      <c r="IWP39" s="21"/>
      <c r="IWQ39" s="21"/>
      <c r="IWR39" s="21"/>
      <c r="IWS39" s="21"/>
      <c r="IWT39" s="21"/>
      <c r="IWU39" s="21"/>
      <c r="IWV39" s="21"/>
      <c r="IWW39" s="21"/>
      <c r="IWX39" s="21"/>
      <c r="IWY39" s="21"/>
      <c r="IWZ39" s="21"/>
      <c r="IXA39" s="21"/>
      <c r="IXB39" s="21"/>
      <c r="IXC39" s="21"/>
      <c r="IXD39" s="21"/>
      <c r="IXE39" s="21"/>
      <c r="IXF39" s="21"/>
      <c r="IXG39" s="21"/>
      <c r="IXH39" s="21"/>
      <c r="IXI39" s="21"/>
      <c r="IXJ39" s="21"/>
      <c r="IXK39" s="21"/>
      <c r="IXL39" s="21"/>
      <c r="IXM39" s="21"/>
      <c r="IXN39" s="21"/>
      <c r="IXO39" s="21"/>
      <c r="IXP39" s="21"/>
      <c r="IXQ39" s="21"/>
      <c r="IXR39" s="21"/>
      <c r="IXS39" s="21"/>
      <c r="IXT39" s="21"/>
      <c r="IXU39" s="21"/>
      <c r="IXV39" s="21"/>
      <c r="IXW39" s="21"/>
      <c r="IXX39" s="21"/>
      <c r="IXY39" s="21"/>
      <c r="IXZ39" s="21"/>
      <c r="IYA39" s="21"/>
      <c r="IYB39" s="21"/>
      <c r="IYC39" s="21"/>
      <c r="IYD39" s="21"/>
      <c r="IYE39" s="21"/>
      <c r="IYF39" s="21"/>
      <c r="IYG39" s="21"/>
      <c r="IYH39" s="21"/>
      <c r="IYI39" s="21"/>
      <c r="IYJ39" s="21"/>
      <c r="IYK39" s="21"/>
      <c r="IYL39" s="21"/>
      <c r="IYM39" s="21"/>
      <c r="IYN39" s="21"/>
      <c r="IYO39" s="21"/>
      <c r="IYP39" s="21"/>
      <c r="IYQ39" s="21"/>
      <c r="IYR39" s="21"/>
      <c r="IYS39" s="21"/>
      <c r="IYT39" s="21"/>
      <c r="IYU39" s="21"/>
      <c r="IYV39" s="21"/>
      <c r="IYW39" s="21"/>
      <c r="IYX39" s="21"/>
      <c r="IYY39" s="21"/>
      <c r="IYZ39" s="21"/>
      <c r="IZA39" s="21"/>
      <c r="IZB39" s="21"/>
      <c r="IZC39" s="21"/>
      <c r="IZD39" s="21"/>
      <c r="IZE39" s="21"/>
      <c r="IZF39" s="21"/>
      <c r="IZG39" s="21"/>
      <c r="IZH39" s="21"/>
      <c r="IZI39" s="21"/>
      <c r="IZJ39" s="21"/>
      <c r="IZK39" s="21"/>
      <c r="IZL39" s="21"/>
      <c r="IZM39" s="21"/>
      <c r="IZN39" s="21"/>
      <c r="IZO39" s="21"/>
      <c r="IZP39" s="21"/>
      <c r="IZQ39" s="21"/>
      <c r="IZR39" s="21"/>
      <c r="IZS39" s="21"/>
      <c r="IZT39" s="21"/>
      <c r="IZU39" s="21"/>
      <c r="IZV39" s="21"/>
      <c r="IZW39" s="21"/>
      <c r="IZX39" s="21"/>
      <c r="IZY39" s="21"/>
      <c r="IZZ39" s="21"/>
      <c r="JAA39" s="21"/>
      <c r="JAB39" s="21"/>
      <c r="JAC39" s="21"/>
      <c r="JAD39" s="21"/>
      <c r="JAE39" s="21"/>
      <c r="JAF39" s="21"/>
      <c r="JAG39" s="21"/>
      <c r="JAH39" s="21"/>
      <c r="JAI39" s="21"/>
      <c r="JAJ39" s="21"/>
      <c r="JAK39" s="21"/>
      <c r="JAL39" s="21"/>
      <c r="JAM39" s="21"/>
      <c r="JAN39" s="21"/>
      <c r="JAO39" s="21"/>
      <c r="JAP39" s="21"/>
      <c r="JAQ39" s="21"/>
      <c r="JAR39" s="21"/>
      <c r="JAS39" s="21"/>
      <c r="JAT39" s="21"/>
      <c r="JAU39" s="21"/>
      <c r="JAV39" s="21"/>
      <c r="JAW39" s="21"/>
      <c r="JAX39" s="21"/>
      <c r="JAY39" s="21"/>
      <c r="JAZ39" s="21"/>
      <c r="JBA39" s="21"/>
      <c r="JBB39" s="21"/>
      <c r="JBC39" s="21"/>
      <c r="JBD39" s="21"/>
      <c r="JBE39" s="21"/>
      <c r="JBF39" s="21"/>
      <c r="JBG39" s="21"/>
      <c r="JBH39" s="21"/>
      <c r="JBI39" s="21"/>
      <c r="JBJ39" s="21"/>
      <c r="JBK39" s="21"/>
      <c r="JBL39" s="21"/>
      <c r="JBM39" s="21"/>
      <c r="JBN39" s="21"/>
      <c r="JBO39" s="21"/>
      <c r="JBP39" s="21"/>
      <c r="JBQ39" s="21"/>
      <c r="JBR39" s="21"/>
      <c r="JBS39" s="21"/>
      <c r="JBT39" s="21"/>
      <c r="JBU39" s="21"/>
      <c r="JBV39" s="21"/>
      <c r="JBW39" s="21"/>
      <c r="JBX39" s="21"/>
      <c r="JBY39" s="21"/>
      <c r="JBZ39" s="21"/>
      <c r="JCA39" s="21"/>
      <c r="JCB39" s="21"/>
      <c r="JCC39" s="21"/>
      <c r="JCD39" s="21"/>
      <c r="JCE39" s="21"/>
      <c r="JCF39" s="21"/>
      <c r="JCG39" s="21"/>
      <c r="JCH39" s="21"/>
      <c r="JCI39" s="21"/>
      <c r="JCJ39" s="21"/>
      <c r="JCK39" s="21"/>
      <c r="JCL39" s="21"/>
      <c r="JCM39" s="21"/>
      <c r="JCN39" s="21"/>
      <c r="JCO39" s="21"/>
      <c r="JCP39" s="21"/>
      <c r="JCQ39" s="21"/>
      <c r="JCR39" s="21"/>
      <c r="JCS39" s="21"/>
      <c r="JCT39" s="21"/>
      <c r="JCU39" s="21"/>
      <c r="JCV39" s="21"/>
      <c r="JCW39" s="21"/>
      <c r="JCX39" s="21"/>
      <c r="JCY39" s="21"/>
      <c r="JCZ39" s="21"/>
      <c r="JDA39" s="21"/>
      <c r="JDB39" s="21"/>
      <c r="JDC39" s="21"/>
      <c r="JDD39" s="21"/>
      <c r="JDE39" s="21"/>
      <c r="JDF39" s="21"/>
      <c r="JDG39" s="21"/>
      <c r="JDH39" s="21"/>
      <c r="JDI39" s="21"/>
      <c r="JDJ39" s="21"/>
      <c r="JDK39" s="21"/>
      <c r="JDL39" s="21"/>
      <c r="JDM39" s="21"/>
      <c r="JDN39" s="21"/>
      <c r="JDO39" s="21"/>
      <c r="JDP39" s="21"/>
      <c r="JDQ39" s="21"/>
      <c r="JDR39" s="21"/>
      <c r="JDS39" s="21"/>
      <c r="JDT39" s="21"/>
      <c r="JDU39" s="21"/>
      <c r="JDV39" s="21"/>
      <c r="JDW39" s="21"/>
      <c r="JDX39" s="21"/>
      <c r="JDY39" s="21"/>
      <c r="JDZ39" s="21"/>
      <c r="JEA39" s="21"/>
      <c r="JEB39" s="21"/>
      <c r="JEC39" s="21"/>
      <c r="JED39" s="21"/>
      <c r="JEE39" s="21"/>
      <c r="JEF39" s="21"/>
      <c r="JEG39" s="21"/>
      <c r="JEH39" s="21"/>
      <c r="JEI39" s="21"/>
      <c r="JEJ39" s="21"/>
      <c r="JEK39" s="21"/>
      <c r="JEL39" s="21"/>
      <c r="JEM39" s="21"/>
      <c r="JEN39" s="21"/>
      <c r="JEO39" s="21"/>
      <c r="JEP39" s="21"/>
      <c r="JEQ39" s="21"/>
      <c r="JER39" s="21"/>
      <c r="JES39" s="21"/>
      <c r="JET39" s="21"/>
      <c r="JEU39" s="21"/>
      <c r="JEV39" s="21"/>
      <c r="JEW39" s="21"/>
      <c r="JEX39" s="21"/>
      <c r="JEY39" s="21"/>
      <c r="JEZ39" s="21"/>
      <c r="JFA39" s="21"/>
      <c r="JFB39" s="21"/>
      <c r="JFC39" s="21"/>
      <c r="JFD39" s="21"/>
      <c r="JFE39" s="21"/>
      <c r="JFF39" s="21"/>
      <c r="JFG39" s="21"/>
      <c r="JFH39" s="21"/>
      <c r="JFI39" s="21"/>
      <c r="JFJ39" s="21"/>
      <c r="JFK39" s="21"/>
      <c r="JFL39" s="21"/>
      <c r="JFM39" s="21"/>
      <c r="JFN39" s="21"/>
      <c r="JFO39" s="21"/>
      <c r="JFP39" s="21"/>
      <c r="JFQ39" s="21"/>
      <c r="JFR39" s="21"/>
      <c r="JFS39" s="21"/>
      <c r="JFT39" s="21"/>
      <c r="JFU39" s="21"/>
      <c r="JFV39" s="21"/>
      <c r="JFW39" s="21"/>
      <c r="JFX39" s="21"/>
      <c r="JFY39" s="21"/>
      <c r="JFZ39" s="21"/>
      <c r="JGA39" s="21"/>
      <c r="JGB39" s="21"/>
      <c r="JGC39" s="21"/>
      <c r="JGD39" s="21"/>
      <c r="JGE39" s="21"/>
      <c r="JGF39" s="21"/>
      <c r="JGG39" s="21"/>
      <c r="JGH39" s="21"/>
      <c r="JGI39" s="21"/>
      <c r="JGJ39" s="21"/>
      <c r="JGK39" s="21"/>
      <c r="JGL39" s="21"/>
      <c r="JGM39" s="21"/>
      <c r="JGN39" s="21"/>
      <c r="JGO39" s="21"/>
      <c r="JGP39" s="21"/>
      <c r="JGQ39" s="21"/>
      <c r="JGR39" s="21"/>
      <c r="JGS39" s="21"/>
      <c r="JGT39" s="21"/>
      <c r="JGU39" s="21"/>
      <c r="JGV39" s="21"/>
      <c r="JGW39" s="21"/>
      <c r="JGX39" s="21"/>
      <c r="JGY39" s="21"/>
      <c r="JGZ39" s="21"/>
      <c r="JHA39" s="21"/>
      <c r="JHB39" s="21"/>
      <c r="JHC39" s="21"/>
      <c r="JHD39" s="21"/>
      <c r="JHE39" s="21"/>
      <c r="JHF39" s="21"/>
      <c r="JHG39" s="21"/>
      <c r="JHH39" s="21"/>
      <c r="JHI39" s="21"/>
      <c r="JHJ39" s="21"/>
      <c r="JHK39" s="21"/>
      <c r="JHL39" s="21"/>
      <c r="JHM39" s="21"/>
      <c r="JHN39" s="21"/>
      <c r="JHO39" s="21"/>
      <c r="JHP39" s="21"/>
      <c r="JHQ39" s="21"/>
      <c r="JHR39" s="21"/>
      <c r="JHS39" s="21"/>
      <c r="JHT39" s="21"/>
      <c r="JHU39" s="21"/>
      <c r="JHV39" s="21"/>
      <c r="JHW39" s="21"/>
      <c r="JHX39" s="21"/>
      <c r="JHY39" s="21"/>
      <c r="JHZ39" s="21"/>
      <c r="JIA39" s="21"/>
      <c r="JIB39" s="21"/>
      <c r="JIC39" s="21"/>
      <c r="JID39" s="21"/>
      <c r="JIE39" s="21"/>
      <c r="JIF39" s="21"/>
      <c r="JIG39" s="21"/>
      <c r="JIH39" s="21"/>
      <c r="JII39" s="21"/>
      <c r="JIJ39" s="21"/>
      <c r="JIK39" s="21"/>
      <c r="JIL39" s="21"/>
      <c r="JIM39" s="21"/>
      <c r="JIN39" s="21"/>
      <c r="JIO39" s="21"/>
      <c r="JIP39" s="21"/>
      <c r="JIQ39" s="21"/>
      <c r="JIR39" s="21"/>
      <c r="JIS39" s="21"/>
      <c r="JIT39" s="21"/>
      <c r="JIU39" s="21"/>
      <c r="JIV39" s="21"/>
      <c r="JIW39" s="21"/>
      <c r="JIX39" s="21"/>
      <c r="JIY39" s="21"/>
      <c r="JIZ39" s="21"/>
      <c r="JJA39" s="21"/>
      <c r="JJB39" s="21"/>
      <c r="JJC39" s="21"/>
      <c r="JJD39" s="21"/>
      <c r="JJE39" s="21"/>
      <c r="JJF39" s="21"/>
      <c r="JJG39" s="21"/>
      <c r="JJH39" s="21"/>
      <c r="JJI39" s="21"/>
      <c r="JJJ39" s="21"/>
      <c r="JJK39" s="21"/>
      <c r="JJL39" s="21"/>
      <c r="JJM39" s="21"/>
      <c r="JJN39" s="21"/>
      <c r="JJO39" s="21"/>
      <c r="JJP39" s="21"/>
      <c r="JJQ39" s="21"/>
      <c r="JJR39" s="21"/>
      <c r="JJS39" s="21"/>
      <c r="JJT39" s="21"/>
      <c r="JJU39" s="21"/>
      <c r="JJV39" s="21"/>
      <c r="JJW39" s="21"/>
      <c r="JJX39" s="21"/>
      <c r="JJY39" s="21"/>
      <c r="JJZ39" s="21"/>
      <c r="JKA39" s="21"/>
      <c r="JKB39" s="21"/>
      <c r="JKC39" s="21"/>
      <c r="JKD39" s="21"/>
      <c r="JKE39" s="21"/>
      <c r="JKF39" s="21"/>
      <c r="JKG39" s="21"/>
      <c r="JKH39" s="21"/>
      <c r="JKI39" s="21"/>
      <c r="JKJ39" s="21"/>
      <c r="JKK39" s="21"/>
      <c r="JKL39" s="21"/>
      <c r="JKM39" s="21"/>
      <c r="JKN39" s="21"/>
      <c r="JKO39" s="21"/>
      <c r="JKP39" s="21"/>
      <c r="JKQ39" s="21"/>
      <c r="JKR39" s="21"/>
      <c r="JKS39" s="21"/>
      <c r="JKT39" s="21"/>
      <c r="JKU39" s="21"/>
      <c r="JKV39" s="21"/>
      <c r="JKW39" s="21"/>
      <c r="JKX39" s="21"/>
      <c r="JKY39" s="21"/>
      <c r="JKZ39" s="21"/>
      <c r="JLA39" s="21"/>
      <c r="JLB39" s="21"/>
      <c r="JLC39" s="21"/>
      <c r="JLD39" s="21"/>
      <c r="JLE39" s="21"/>
      <c r="JLF39" s="21"/>
      <c r="JLG39" s="21"/>
      <c r="JLH39" s="21"/>
      <c r="JLI39" s="21"/>
      <c r="JLJ39" s="21"/>
      <c r="JLK39" s="21"/>
      <c r="JLL39" s="21"/>
      <c r="JLM39" s="21"/>
      <c r="JLN39" s="21"/>
      <c r="JLO39" s="21"/>
      <c r="JLP39" s="21"/>
      <c r="JLQ39" s="21"/>
      <c r="JLR39" s="21"/>
      <c r="JLS39" s="21"/>
      <c r="JLT39" s="21"/>
      <c r="JLU39" s="21"/>
      <c r="JLV39" s="21"/>
      <c r="JLW39" s="21"/>
      <c r="JLX39" s="21"/>
      <c r="JLY39" s="21"/>
      <c r="JLZ39" s="21"/>
      <c r="JMA39" s="21"/>
      <c r="JMB39" s="21"/>
      <c r="JMC39" s="21"/>
      <c r="JMD39" s="21"/>
      <c r="JME39" s="21"/>
      <c r="JMF39" s="21"/>
      <c r="JMG39" s="21"/>
      <c r="JMH39" s="21"/>
      <c r="JMI39" s="21"/>
      <c r="JMJ39" s="21"/>
      <c r="JMK39" s="21"/>
      <c r="JML39" s="21"/>
      <c r="JMM39" s="21"/>
      <c r="JMN39" s="21"/>
      <c r="JMO39" s="21"/>
      <c r="JMP39" s="21"/>
      <c r="JMQ39" s="21"/>
      <c r="JMR39" s="21"/>
      <c r="JMS39" s="21"/>
      <c r="JMT39" s="21"/>
      <c r="JMU39" s="21"/>
      <c r="JMV39" s="21"/>
      <c r="JMW39" s="21"/>
      <c r="JMX39" s="21"/>
      <c r="JMY39" s="21"/>
      <c r="JMZ39" s="21"/>
      <c r="JNA39" s="21"/>
      <c r="JNB39" s="21"/>
      <c r="JNC39" s="21"/>
      <c r="JND39" s="21"/>
      <c r="JNE39" s="21"/>
      <c r="JNF39" s="21"/>
      <c r="JNG39" s="21"/>
      <c r="JNH39" s="21"/>
      <c r="JNI39" s="21"/>
      <c r="JNJ39" s="21"/>
      <c r="JNK39" s="21"/>
      <c r="JNL39" s="21"/>
      <c r="JNM39" s="21"/>
      <c r="JNN39" s="21"/>
      <c r="JNO39" s="21"/>
      <c r="JNP39" s="21"/>
      <c r="JNQ39" s="21"/>
      <c r="JNR39" s="21"/>
      <c r="JNS39" s="21"/>
      <c r="JNT39" s="21"/>
      <c r="JNU39" s="21"/>
      <c r="JNV39" s="21"/>
      <c r="JNW39" s="21"/>
      <c r="JNX39" s="21"/>
      <c r="JNY39" s="21"/>
      <c r="JNZ39" s="21"/>
      <c r="JOA39" s="21"/>
      <c r="JOB39" s="21"/>
      <c r="JOC39" s="21"/>
      <c r="JOD39" s="21"/>
      <c r="JOE39" s="21"/>
      <c r="JOF39" s="21"/>
      <c r="JOG39" s="21"/>
      <c r="JOH39" s="21"/>
      <c r="JOI39" s="21"/>
      <c r="JOJ39" s="21"/>
      <c r="JOK39" s="21"/>
      <c r="JOL39" s="21"/>
      <c r="JOM39" s="21"/>
      <c r="JON39" s="21"/>
      <c r="JOO39" s="21"/>
      <c r="JOP39" s="21"/>
      <c r="JOQ39" s="21"/>
      <c r="JOR39" s="21"/>
      <c r="JOS39" s="21"/>
      <c r="JOT39" s="21"/>
      <c r="JOU39" s="21"/>
      <c r="JOV39" s="21"/>
      <c r="JOW39" s="21"/>
      <c r="JOX39" s="21"/>
      <c r="JOY39" s="21"/>
      <c r="JOZ39" s="21"/>
      <c r="JPA39" s="21"/>
      <c r="JPB39" s="21"/>
      <c r="JPC39" s="21"/>
      <c r="JPD39" s="21"/>
      <c r="JPE39" s="21"/>
      <c r="JPF39" s="21"/>
      <c r="JPG39" s="21"/>
      <c r="JPH39" s="21"/>
      <c r="JPI39" s="21"/>
      <c r="JPJ39" s="21"/>
      <c r="JPK39" s="21"/>
      <c r="JPL39" s="21"/>
      <c r="JPM39" s="21"/>
      <c r="JPN39" s="21"/>
      <c r="JPO39" s="21"/>
      <c r="JPP39" s="21"/>
      <c r="JPQ39" s="21"/>
      <c r="JPR39" s="21"/>
      <c r="JPS39" s="21"/>
      <c r="JPT39" s="21"/>
      <c r="JPU39" s="21"/>
      <c r="JPV39" s="21"/>
      <c r="JPW39" s="21"/>
      <c r="JPX39" s="21"/>
      <c r="JPY39" s="21"/>
      <c r="JPZ39" s="21"/>
      <c r="JQA39" s="21"/>
      <c r="JQB39" s="21"/>
      <c r="JQC39" s="21"/>
      <c r="JQD39" s="21"/>
      <c r="JQE39" s="21"/>
      <c r="JQF39" s="21"/>
      <c r="JQG39" s="21"/>
      <c r="JQH39" s="21"/>
      <c r="JQI39" s="21"/>
      <c r="JQJ39" s="21"/>
      <c r="JQK39" s="21"/>
      <c r="JQL39" s="21"/>
      <c r="JQM39" s="21"/>
      <c r="JQN39" s="21"/>
      <c r="JQO39" s="21"/>
      <c r="JQP39" s="21"/>
      <c r="JQQ39" s="21"/>
      <c r="JQR39" s="21"/>
      <c r="JQS39" s="21"/>
      <c r="JQT39" s="21"/>
      <c r="JQU39" s="21"/>
      <c r="JQV39" s="21"/>
      <c r="JQW39" s="21"/>
      <c r="JQX39" s="21"/>
      <c r="JQY39" s="21"/>
      <c r="JQZ39" s="21"/>
      <c r="JRA39" s="21"/>
      <c r="JRB39" s="21"/>
      <c r="JRC39" s="21"/>
      <c r="JRD39" s="21"/>
      <c r="JRE39" s="21"/>
      <c r="JRF39" s="21"/>
      <c r="JRG39" s="21"/>
      <c r="JRH39" s="21"/>
      <c r="JRI39" s="21"/>
      <c r="JRJ39" s="21"/>
      <c r="JRK39" s="21"/>
      <c r="JRL39" s="21"/>
      <c r="JRM39" s="21"/>
      <c r="JRN39" s="21"/>
      <c r="JRO39" s="21"/>
      <c r="JRP39" s="21"/>
      <c r="JRQ39" s="21"/>
      <c r="JRR39" s="21"/>
      <c r="JRS39" s="21"/>
      <c r="JRT39" s="21"/>
      <c r="JRU39" s="21"/>
      <c r="JRV39" s="21"/>
      <c r="JRW39" s="21"/>
      <c r="JRX39" s="21"/>
      <c r="JRY39" s="21"/>
      <c r="JRZ39" s="21"/>
      <c r="JSA39" s="21"/>
      <c r="JSB39" s="21"/>
      <c r="JSC39" s="21"/>
      <c r="JSD39" s="21"/>
      <c r="JSE39" s="21"/>
      <c r="JSF39" s="21"/>
      <c r="JSG39" s="21"/>
      <c r="JSH39" s="21"/>
      <c r="JSI39" s="21"/>
      <c r="JSJ39" s="21"/>
      <c r="JSK39" s="21"/>
      <c r="JSL39" s="21"/>
      <c r="JSM39" s="21"/>
      <c r="JSN39" s="21"/>
      <c r="JSO39" s="21"/>
      <c r="JSP39" s="21"/>
      <c r="JSQ39" s="21"/>
      <c r="JSR39" s="21"/>
      <c r="JSS39" s="21"/>
      <c r="JST39" s="21"/>
      <c r="JSU39" s="21"/>
      <c r="JSV39" s="21"/>
      <c r="JSW39" s="21"/>
      <c r="JSX39" s="21"/>
      <c r="JSY39" s="21"/>
      <c r="JSZ39" s="21"/>
      <c r="JTA39" s="21"/>
      <c r="JTB39" s="21"/>
      <c r="JTC39" s="21"/>
      <c r="JTD39" s="21"/>
      <c r="JTE39" s="21"/>
      <c r="JTF39" s="21"/>
      <c r="JTG39" s="21"/>
      <c r="JTH39" s="21"/>
      <c r="JTI39" s="21"/>
      <c r="JTJ39" s="21"/>
      <c r="JTK39" s="21"/>
      <c r="JTL39" s="21"/>
      <c r="JTM39" s="21"/>
      <c r="JTN39" s="21"/>
      <c r="JTO39" s="21"/>
      <c r="JTP39" s="21"/>
      <c r="JTQ39" s="21"/>
      <c r="JTR39" s="21"/>
      <c r="JTS39" s="21"/>
      <c r="JTT39" s="21"/>
      <c r="JTU39" s="21"/>
      <c r="JTV39" s="21"/>
      <c r="JTW39" s="21"/>
      <c r="JTX39" s="21"/>
      <c r="JTY39" s="21"/>
      <c r="JTZ39" s="21"/>
      <c r="JUA39" s="21"/>
      <c r="JUB39" s="21"/>
      <c r="JUC39" s="21"/>
      <c r="JUD39" s="21"/>
      <c r="JUE39" s="21"/>
      <c r="JUF39" s="21"/>
      <c r="JUG39" s="21"/>
      <c r="JUH39" s="21"/>
      <c r="JUI39" s="21"/>
      <c r="JUJ39" s="21"/>
      <c r="JUK39" s="21"/>
      <c r="JUL39" s="21"/>
      <c r="JUM39" s="21"/>
      <c r="JUN39" s="21"/>
      <c r="JUO39" s="21"/>
      <c r="JUP39" s="21"/>
      <c r="JUQ39" s="21"/>
      <c r="JUR39" s="21"/>
      <c r="JUS39" s="21"/>
      <c r="JUT39" s="21"/>
      <c r="JUU39" s="21"/>
      <c r="JUV39" s="21"/>
      <c r="JUW39" s="21"/>
      <c r="JUX39" s="21"/>
      <c r="JUY39" s="21"/>
      <c r="JUZ39" s="21"/>
      <c r="JVA39" s="21"/>
      <c r="JVB39" s="21"/>
      <c r="JVC39" s="21"/>
      <c r="JVD39" s="21"/>
      <c r="JVE39" s="21"/>
      <c r="JVF39" s="21"/>
      <c r="JVG39" s="21"/>
      <c r="JVH39" s="21"/>
      <c r="JVI39" s="21"/>
      <c r="JVJ39" s="21"/>
      <c r="JVK39" s="21"/>
      <c r="JVL39" s="21"/>
      <c r="JVM39" s="21"/>
      <c r="JVN39" s="21"/>
      <c r="JVO39" s="21"/>
      <c r="JVP39" s="21"/>
      <c r="JVQ39" s="21"/>
      <c r="JVR39" s="21"/>
      <c r="JVS39" s="21"/>
      <c r="JVT39" s="21"/>
      <c r="JVU39" s="21"/>
      <c r="JVV39" s="21"/>
      <c r="JVW39" s="21"/>
      <c r="JVX39" s="21"/>
      <c r="JVY39" s="21"/>
      <c r="JVZ39" s="21"/>
      <c r="JWA39" s="21"/>
      <c r="JWB39" s="21"/>
      <c r="JWC39" s="21"/>
      <c r="JWD39" s="21"/>
      <c r="JWE39" s="21"/>
      <c r="JWF39" s="21"/>
      <c r="JWG39" s="21"/>
      <c r="JWH39" s="21"/>
      <c r="JWI39" s="21"/>
      <c r="JWJ39" s="21"/>
      <c r="JWK39" s="21"/>
      <c r="JWL39" s="21"/>
      <c r="JWM39" s="21"/>
      <c r="JWN39" s="21"/>
      <c r="JWO39" s="21"/>
      <c r="JWP39" s="21"/>
      <c r="JWQ39" s="21"/>
      <c r="JWR39" s="21"/>
      <c r="JWS39" s="21"/>
      <c r="JWT39" s="21"/>
      <c r="JWU39" s="21"/>
      <c r="JWV39" s="21"/>
      <c r="JWW39" s="21"/>
      <c r="JWX39" s="21"/>
      <c r="JWY39" s="21"/>
      <c r="JWZ39" s="21"/>
      <c r="JXA39" s="21"/>
      <c r="JXB39" s="21"/>
      <c r="JXC39" s="21"/>
      <c r="JXD39" s="21"/>
      <c r="JXE39" s="21"/>
      <c r="JXF39" s="21"/>
      <c r="JXG39" s="21"/>
      <c r="JXH39" s="21"/>
      <c r="JXI39" s="21"/>
      <c r="JXJ39" s="21"/>
      <c r="JXK39" s="21"/>
      <c r="JXL39" s="21"/>
      <c r="JXM39" s="21"/>
      <c r="JXN39" s="21"/>
      <c r="JXO39" s="21"/>
      <c r="JXP39" s="21"/>
      <c r="JXQ39" s="21"/>
      <c r="JXR39" s="21"/>
      <c r="JXS39" s="21"/>
      <c r="JXT39" s="21"/>
      <c r="JXU39" s="21"/>
      <c r="JXV39" s="21"/>
      <c r="JXW39" s="21"/>
      <c r="JXX39" s="21"/>
      <c r="JXY39" s="21"/>
      <c r="JXZ39" s="21"/>
      <c r="JYA39" s="21"/>
      <c r="JYB39" s="21"/>
      <c r="JYC39" s="21"/>
      <c r="JYD39" s="21"/>
      <c r="JYE39" s="21"/>
      <c r="JYF39" s="21"/>
      <c r="JYG39" s="21"/>
      <c r="JYH39" s="21"/>
      <c r="JYI39" s="21"/>
      <c r="JYJ39" s="21"/>
      <c r="JYK39" s="21"/>
      <c r="JYL39" s="21"/>
      <c r="JYM39" s="21"/>
      <c r="JYN39" s="21"/>
      <c r="JYO39" s="21"/>
      <c r="JYP39" s="21"/>
      <c r="JYQ39" s="21"/>
      <c r="JYR39" s="21"/>
      <c r="JYS39" s="21"/>
      <c r="JYT39" s="21"/>
      <c r="JYU39" s="21"/>
      <c r="JYV39" s="21"/>
      <c r="JYW39" s="21"/>
      <c r="JYX39" s="21"/>
      <c r="JYY39" s="21"/>
      <c r="JYZ39" s="21"/>
      <c r="JZA39" s="21"/>
      <c r="JZB39" s="21"/>
      <c r="JZC39" s="21"/>
      <c r="JZD39" s="21"/>
      <c r="JZE39" s="21"/>
      <c r="JZF39" s="21"/>
      <c r="JZG39" s="21"/>
      <c r="JZH39" s="21"/>
      <c r="JZI39" s="21"/>
      <c r="JZJ39" s="21"/>
      <c r="JZK39" s="21"/>
      <c r="JZL39" s="21"/>
      <c r="JZM39" s="21"/>
      <c r="JZN39" s="21"/>
      <c r="JZO39" s="21"/>
      <c r="JZP39" s="21"/>
      <c r="JZQ39" s="21"/>
      <c r="JZR39" s="21"/>
      <c r="JZS39" s="21"/>
      <c r="JZT39" s="21"/>
      <c r="JZU39" s="21"/>
      <c r="JZV39" s="21"/>
      <c r="JZW39" s="21"/>
      <c r="JZX39" s="21"/>
      <c r="JZY39" s="21"/>
      <c r="JZZ39" s="21"/>
      <c r="KAA39" s="21"/>
      <c r="KAB39" s="21"/>
      <c r="KAC39" s="21"/>
      <c r="KAD39" s="21"/>
      <c r="KAE39" s="21"/>
      <c r="KAF39" s="21"/>
      <c r="KAG39" s="21"/>
      <c r="KAH39" s="21"/>
      <c r="KAI39" s="21"/>
      <c r="KAJ39" s="21"/>
      <c r="KAK39" s="21"/>
      <c r="KAL39" s="21"/>
      <c r="KAM39" s="21"/>
      <c r="KAN39" s="21"/>
      <c r="KAO39" s="21"/>
      <c r="KAP39" s="21"/>
      <c r="KAQ39" s="21"/>
      <c r="KAR39" s="21"/>
      <c r="KAS39" s="21"/>
      <c r="KAT39" s="21"/>
      <c r="KAU39" s="21"/>
      <c r="KAV39" s="21"/>
      <c r="KAW39" s="21"/>
      <c r="KAX39" s="21"/>
      <c r="KAY39" s="21"/>
      <c r="KAZ39" s="21"/>
      <c r="KBA39" s="21"/>
      <c r="KBB39" s="21"/>
      <c r="KBC39" s="21"/>
      <c r="KBD39" s="21"/>
      <c r="KBE39" s="21"/>
      <c r="KBF39" s="21"/>
      <c r="KBG39" s="21"/>
      <c r="KBH39" s="21"/>
      <c r="KBI39" s="21"/>
      <c r="KBJ39" s="21"/>
      <c r="KBK39" s="21"/>
      <c r="KBL39" s="21"/>
      <c r="KBM39" s="21"/>
      <c r="KBN39" s="21"/>
      <c r="KBO39" s="21"/>
      <c r="KBP39" s="21"/>
      <c r="KBQ39" s="21"/>
      <c r="KBR39" s="21"/>
      <c r="KBS39" s="21"/>
      <c r="KBT39" s="21"/>
      <c r="KBU39" s="21"/>
      <c r="KBV39" s="21"/>
      <c r="KBW39" s="21"/>
      <c r="KBX39" s="21"/>
      <c r="KBY39" s="21"/>
      <c r="KBZ39" s="21"/>
      <c r="KCA39" s="21"/>
      <c r="KCB39" s="21"/>
      <c r="KCC39" s="21"/>
      <c r="KCD39" s="21"/>
      <c r="KCE39" s="21"/>
      <c r="KCF39" s="21"/>
      <c r="KCG39" s="21"/>
      <c r="KCH39" s="21"/>
      <c r="KCI39" s="21"/>
      <c r="KCJ39" s="21"/>
      <c r="KCK39" s="21"/>
      <c r="KCL39" s="21"/>
      <c r="KCM39" s="21"/>
      <c r="KCN39" s="21"/>
      <c r="KCO39" s="21"/>
      <c r="KCP39" s="21"/>
      <c r="KCQ39" s="21"/>
      <c r="KCR39" s="21"/>
      <c r="KCS39" s="21"/>
      <c r="KCT39" s="21"/>
      <c r="KCU39" s="21"/>
      <c r="KCV39" s="21"/>
      <c r="KCW39" s="21"/>
      <c r="KCX39" s="21"/>
      <c r="KCY39" s="21"/>
      <c r="KCZ39" s="21"/>
      <c r="KDA39" s="21"/>
      <c r="KDB39" s="21"/>
      <c r="KDC39" s="21"/>
      <c r="KDD39" s="21"/>
      <c r="KDE39" s="21"/>
      <c r="KDF39" s="21"/>
      <c r="KDG39" s="21"/>
      <c r="KDH39" s="21"/>
      <c r="KDI39" s="21"/>
      <c r="KDJ39" s="21"/>
      <c r="KDK39" s="21"/>
      <c r="KDL39" s="21"/>
      <c r="KDM39" s="21"/>
      <c r="KDN39" s="21"/>
      <c r="KDO39" s="21"/>
      <c r="KDP39" s="21"/>
      <c r="KDQ39" s="21"/>
      <c r="KDR39" s="21"/>
      <c r="KDS39" s="21"/>
      <c r="KDT39" s="21"/>
      <c r="KDU39" s="21"/>
      <c r="KDV39" s="21"/>
      <c r="KDW39" s="21"/>
      <c r="KDX39" s="21"/>
      <c r="KDY39" s="21"/>
      <c r="KDZ39" s="21"/>
      <c r="KEA39" s="21"/>
      <c r="KEB39" s="21"/>
      <c r="KEC39" s="21"/>
      <c r="KED39" s="21"/>
      <c r="KEE39" s="21"/>
      <c r="KEF39" s="21"/>
      <c r="KEG39" s="21"/>
      <c r="KEH39" s="21"/>
      <c r="KEI39" s="21"/>
      <c r="KEJ39" s="21"/>
      <c r="KEK39" s="21"/>
      <c r="KEL39" s="21"/>
      <c r="KEM39" s="21"/>
      <c r="KEN39" s="21"/>
      <c r="KEO39" s="21"/>
      <c r="KEP39" s="21"/>
      <c r="KEQ39" s="21"/>
      <c r="KER39" s="21"/>
      <c r="KES39" s="21"/>
      <c r="KET39" s="21"/>
      <c r="KEU39" s="21"/>
      <c r="KEV39" s="21"/>
      <c r="KEW39" s="21"/>
      <c r="KEX39" s="21"/>
      <c r="KEY39" s="21"/>
      <c r="KEZ39" s="21"/>
      <c r="KFA39" s="21"/>
      <c r="KFB39" s="21"/>
      <c r="KFC39" s="21"/>
      <c r="KFD39" s="21"/>
      <c r="KFE39" s="21"/>
      <c r="KFF39" s="21"/>
      <c r="KFG39" s="21"/>
      <c r="KFH39" s="21"/>
      <c r="KFI39" s="21"/>
      <c r="KFJ39" s="21"/>
      <c r="KFK39" s="21"/>
      <c r="KFL39" s="21"/>
      <c r="KFM39" s="21"/>
      <c r="KFN39" s="21"/>
      <c r="KFO39" s="21"/>
      <c r="KFP39" s="21"/>
      <c r="KFQ39" s="21"/>
      <c r="KFR39" s="21"/>
      <c r="KFS39" s="21"/>
      <c r="KFT39" s="21"/>
      <c r="KFU39" s="21"/>
      <c r="KFV39" s="21"/>
      <c r="KFW39" s="21"/>
      <c r="KFX39" s="21"/>
      <c r="KFY39" s="21"/>
      <c r="KFZ39" s="21"/>
      <c r="KGA39" s="21"/>
      <c r="KGB39" s="21"/>
      <c r="KGC39" s="21"/>
      <c r="KGD39" s="21"/>
      <c r="KGE39" s="21"/>
      <c r="KGF39" s="21"/>
      <c r="KGG39" s="21"/>
      <c r="KGH39" s="21"/>
      <c r="KGI39" s="21"/>
      <c r="KGJ39" s="21"/>
      <c r="KGK39" s="21"/>
      <c r="KGL39" s="21"/>
      <c r="KGM39" s="21"/>
      <c r="KGN39" s="21"/>
      <c r="KGO39" s="21"/>
      <c r="KGP39" s="21"/>
      <c r="KGQ39" s="21"/>
      <c r="KGR39" s="21"/>
      <c r="KGS39" s="21"/>
      <c r="KGT39" s="21"/>
      <c r="KGU39" s="21"/>
      <c r="KGV39" s="21"/>
      <c r="KGW39" s="21"/>
      <c r="KGX39" s="21"/>
      <c r="KGY39" s="21"/>
      <c r="KGZ39" s="21"/>
      <c r="KHA39" s="21"/>
      <c r="KHB39" s="21"/>
      <c r="KHC39" s="21"/>
      <c r="KHD39" s="21"/>
      <c r="KHE39" s="21"/>
      <c r="KHF39" s="21"/>
      <c r="KHG39" s="21"/>
      <c r="KHH39" s="21"/>
      <c r="KHI39" s="21"/>
      <c r="KHJ39" s="21"/>
      <c r="KHK39" s="21"/>
      <c r="KHL39" s="21"/>
      <c r="KHM39" s="21"/>
      <c r="KHN39" s="21"/>
      <c r="KHO39" s="21"/>
      <c r="KHP39" s="21"/>
      <c r="KHQ39" s="21"/>
      <c r="KHR39" s="21"/>
      <c r="KHS39" s="21"/>
      <c r="KHT39" s="21"/>
      <c r="KHU39" s="21"/>
      <c r="KHV39" s="21"/>
      <c r="KHW39" s="21"/>
      <c r="KHX39" s="21"/>
      <c r="KHY39" s="21"/>
      <c r="KHZ39" s="21"/>
      <c r="KIA39" s="21"/>
      <c r="KIB39" s="21"/>
      <c r="KIC39" s="21"/>
      <c r="KID39" s="21"/>
      <c r="KIE39" s="21"/>
      <c r="KIF39" s="21"/>
      <c r="KIG39" s="21"/>
      <c r="KIH39" s="21"/>
      <c r="KII39" s="21"/>
      <c r="KIJ39" s="21"/>
      <c r="KIK39" s="21"/>
      <c r="KIL39" s="21"/>
      <c r="KIM39" s="21"/>
      <c r="KIN39" s="21"/>
      <c r="KIO39" s="21"/>
      <c r="KIP39" s="21"/>
      <c r="KIQ39" s="21"/>
      <c r="KIR39" s="21"/>
      <c r="KIS39" s="21"/>
      <c r="KIT39" s="21"/>
      <c r="KIU39" s="21"/>
      <c r="KIV39" s="21"/>
      <c r="KIW39" s="21"/>
      <c r="KIX39" s="21"/>
      <c r="KIY39" s="21"/>
      <c r="KIZ39" s="21"/>
      <c r="KJA39" s="21"/>
      <c r="KJB39" s="21"/>
      <c r="KJC39" s="21"/>
      <c r="KJD39" s="21"/>
      <c r="KJE39" s="21"/>
      <c r="KJF39" s="21"/>
      <c r="KJG39" s="21"/>
      <c r="KJH39" s="21"/>
      <c r="KJI39" s="21"/>
      <c r="KJJ39" s="21"/>
      <c r="KJK39" s="21"/>
      <c r="KJL39" s="21"/>
      <c r="KJM39" s="21"/>
      <c r="KJN39" s="21"/>
      <c r="KJO39" s="21"/>
      <c r="KJP39" s="21"/>
      <c r="KJQ39" s="21"/>
      <c r="KJR39" s="21"/>
      <c r="KJS39" s="21"/>
      <c r="KJT39" s="21"/>
      <c r="KJU39" s="21"/>
      <c r="KJV39" s="21"/>
      <c r="KJW39" s="21"/>
      <c r="KJX39" s="21"/>
      <c r="KJY39" s="21"/>
      <c r="KJZ39" s="21"/>
      <c r="KKA39" s="21"/>
      <c r="KKB39" s="21"/>
      <c r="KKC39" s="21"/>
      <c r="KKD39" s="21"/>
      <c r="KKE39" s="21"/>
      <c r="KKF39" s="21"/>
      <c r="KKG39" s="21"/>
      <c r="KKH39" s="21"/>
      <c r="KKI39" s="21"/>
      <c r="KKJ39" s="21"/>
      <c r="KKK39" s="21"/>
      <c r="KKL39" s="21"/>
      <c r="KKM39" s="21"/>
      <c r="KKN39" s="21"/>
      <c r="KKO39" s="21"/>
      <c r="KKP39" s="21"/>
      <c r="KKQ39" s="21"/>
      <c r="KKR39" s="21"/>
      <c r="KKS39" s="21"/>
      <c r="KKT39" s="21"/>
      <c r="KKU39" s="21"/>
      <c r="KKV39" s="21"/>
      <c r="KKW39" s="21"/>
      <c r="KKX39" s="21"/>
      <c r="KKY39" s="21"/>
      <c r="KKZ39" s="21"/>
      <c r="KLA39" s="21"/>
      <c r="KLB39" s="21"/>
      <c r="KLC39" s="21"/>
      <c r="KLD39" s="21"/>
      <c r="KLE39" s="21"/>
      <c r="KLF39" s="21"/>
      <c r="KLG39" s="21"/>
      <c r="KLH39" s="21"/>
      <c r="KLI39" s="21"/>
      <c r="KLJ39" s="21"/>
      <c r="KLK39" s="21"/>
      <c r="KLL39" s="21"/>
      <c r="KLM39" s="21"/>
      <c r="KLN39" s="21"/>
      <c r="KLO39" s="21"/>
      <c r="KLP39" s="21"/>
      <c r="KLQ39" s="21"/>
      <c r="KLR39" s="21"/>
      <c r="KLS39" s="21"/>
      <c r="KLT39" s="21"/>
      <c r="KLU39" s="21"/>
      <c r="KLV39" s="21"/>
      <c r="KLW39" s="21"/>
      <c r="KLX39" s="21"/>
      <c r="KLY39" s="21"/>
      <c r="KLZ39" s="21"/>
      <c r="KMA39" s="21"/>
      <c r="KMB39" s="21"/>
      <c r="KMC39" s="21"/>
      <c r="KMD39" s="21"/>
      <c r="KME39" s="21"/>
      <c r="KMF39" s="21"/>
      <c r="KMG39" s="21"/>
      <c r="KMH39" s="21"/>
      <c r="KMI39" s="21"/>
      <c r="KMJ39" s="21"/>
      <c r="KMK39" s="21"/>
      <c r="KML39" s="21"/>
      <c r="KMM39" s="21"/>
      <c r="KMN39" s="21"/>
      <c r="KMO39" s="21"/>
      <c r="KMP39" s="21"/>
      <c r="KMQ39" s="21"/>
      <c r="KMR39" s="21"/>
      <c r="KMS39" s="21"/>
      <c r="KMT39" s="21"/>
      <c r="KMU39" s="21"/>
      <c r="KMV39" s="21"/>
      <c r="KMW39" s="21"/>
      <c r="KMX39" s="21"/>
      <c r="KMY39" s="21"/>
      <c r="KMZ39" s="21"/>
      <c r="KNA39" s="21"/>
      <c r="KNB39" s="21"/>
      <c r="KNC39" s="21"/>
      <c r="KND39" s="21"/>
      <c r="KNE39" s="21"/>
      <c r="KNF39" s="21"/>
      <c r="KNG39" s="21"/>
      <c r="KNH39" s="21"/>
      <c r="KNI39" s="21"/>
      <c r="KNJ39" s="21"/>
      <c r="KNK39" s="21"/>
      <c r="KNL39" s="21"/>
      <c r="KNM39" s="21"/>
      <c r="KNN39" s="21"/>
      <c r="KNO39" s="21"/>
      <c r="KNP39" s="21"/>
      <c r="KNQ39" s="21"/>
      <c r="KNR39" s="21"/>
      <c r="KNS39" s="21"/>
      <c r="KNT39" s="21"/>
      <c r="KNU39" s="21"/>
      <c r="KNV39" s="21"/>
      <c r="KNW39" s="21"/>
      <c r="KNX39" s="21"/>
      <c r="KNY39" s="21"/>
      <c r="KNZ39" s="21"/>
      <c r="KOA39" s="21"/>
      <c r="KOB39" s="21"/>
      <c r="KOC39" s="21"/>
      <c r="KOD39" s="21"/>
      <c r="KOE39" s="21"/>
      <c r="KOF39" s="21"/>
      <c r="KOG39" s="21"/>
      <c r="KOH39" s="21"/>
      <c r="KOI39" s="21"/>
      <c r="KOJ39" s="21"/>
      <c r="KOK39" s="21"/>
      <c r="KOL39" s="21"/>
      <c r="KOM39" s="21"/>
      <c r="KON39" s="21"/>
      <c r="KOO39" s="21"/>
      <c r="KOP39" s="21"/>
      <c r="KOQ39" s="21"/>
      <c r="KOR39" s="21"/>
      <c r="KOS39" s="21"/>
      <c r="KOT39" s="21"/>
      <c r="KOU39" s="21"/>
      <c r="KOV39" s="21"/>
      <c r="KOW39" s="21"/>
      <c r="KOX39" s="21"/>
      <c r="KOY39" s="21"/>
      <c r="KOZ39" s="21"/>
      <c r="KPA39" s="21"/>
      <c r="KPB39" s="21"/>
      <c r="KPC39" s="21"/>
      <c r="KPD39" s="21"/>
      <c r="KPE39" s="21"/>
      <c r="KPF39" s="21"/>
      <c r="KPG39" s="21"/>
      <c r="KPH39" s="21"/>
      <c r="KPI39" s="21"/>
      <c r="KPJ39" s="21"/>
      <c r="KPK39" s="21"/>
      <c r="KPL39" s="21"/>
      <c r="KPM39" s="21"/>
      <c r="KPN39" s="21"/>
      <c r="KPO39" s="21"/>
      <c r="KPP39" s="21"/>
      <c r="KPQ39" s="21"/>
      <c r="KPR39" s="21"/>
      <c r="KPS39" s="21"/>
      <c r="KPT39" s="21"/>
      <c r="KPU39" s="21"/>
      <c r="KPV39" s="21"/>
      <c r="KPW39" s="21"/>
      <c r="KPX39" s="21"/>
      <c r="KPY39" s="21"/>
      <c r="KPZ39" s="21"/>
      <c r="KQA39" s="21"/>
      <c r="KQB39" s="21"/>
      <c r="KQC39" s="21"/>
      <c r="KQD39" s="21"/>
      <c r="KQE39" s="21"/>
      <c r="KQF39" s="21"/>
      <c r="KQG39" s="21"/>
      <c r="KQH39" s="21"/>
      <c r="KQI39" s="21"/>
      <c r="KQJ39" s="21"/>
      <c r="KQK39" s="21"/>
      <c r="KQL39" s="21"/>
      <c r="KQM39" s="21"/>
      <c r="KQN39" s="21"/>
      <c r="KQO39" s="21"/>
      <c r="KQP39" s="21"/>
      <c r="KQQ39" s="21"/>
      <c r="KQR39" s="21"/>
      <c r="KQS39" s="21"/>
      <c r="KQT39" s="21"/>
      <c r="KQU39" s="21"/>
      <c r="KQV39" s="21"/>
      <c r="KQW39" s="21"/>
      <c r="KQX39" s="21"/>
      <c r="KQY39" s="21"/>
      <c r="KQZ39" s="21"/>
      <c r="KRA39" s="21"/>
      <c r="KRB39" s="21"/>
      <c r="KRC39" s="21"/>
      <c r="KRD39" s="21"/>
      <c r="KRE39" s="21"/>
      <c r="KRF39" s="21"/>
      <c r="KRG39" s="21"/>
      <c r="KRH39" s="21"/>
      <c r="KRI39" s="21"/>
      <c r="KRJ39" s="21"/>
      <c r="KRK39" s="21"/>
      <c r="KRL39" s="21"/>
      <c r="KRM39" s="21"/>
      <c r="KRN39" s="21"/>
      <c r="KRO39" s="21"/>
      <c r="KRP39" s="21"/>
      <c r="KRQ39" s="21"/>
      <c r="KRR39" s="21"/>
      <c r="KRS39" s="21"/>
      <c r="KRT39" s="21"/>
      <c r="KRU39" s="21"/>
      <c r="KRV39" s="21"/>
      <c r="KRW39" s="21"/>
      <c r="KRX39" s="21"/>
      <c r="KRY39" s="21"/>
      <c r="KRZ39" s="21"/>
      <c r="KSA39" s="21"/>
      <c r="KSB39" s="21"/>
      <c r="KSC39" s="21"/>
      <c r="KSD39" s="21"/>
      <c r="KSE39" s="21"/>
      <c r="KSF39" s="21"/>
      <c r="KSG39" s="21"/>
      <c r="KSH39" s="21"/>
      <c r="KSI39" s="21"/>
      <c r="KSJ39" s="21"/>
      <c r="KSK39" s="21"/>
      <c r="KSL39" s="21"/>
      <c r="KSM39" s="21"/>
      <c r="KSN39" s="21"/>
      <c r="KSO39" s="21"/>
      <c r="KSP39" s="21"/>
      <c r="KSQ39" s="21"/>
      <c r="KSR39" s="21"/>
      <c r="KSS39" s="21"/>
      <c r="KST39" s="21"/>
      <c r="KSU39" s="21"/>
      <c r="KSV39" s="21"/>
      <c r="KSW39" s="21"/>
      <c r="KSX39" s="21"/>
      <c r="KSY39" s="21"/>
      <c r="KSZ39" s="21"/>
      <c r="KTA39" s="21"/>
      <c r="KTB39" s="21"/>
      <c r="KTC39" s="21"/>
      <c r="KTD39" s="21"/>
      <c r="KTE39" s="21"/>
      <c r="KTF39" s="21"/>
      <c r="KTG39" s="21"/>
      <c r="KTH39" s="21"/>
      <c r="KTI39" s="21"/>
      <c r="KTJ39" s="21"/>
      <c r="KTK39" s="21"/>
      <c r="KTL39" s="21"/>
      <c r="KTM39" s="21"/>
      <c r="KTN39" s="21"/>
      <c r="KTO39" s="21"/>
      <c r="KTP39" s="21"/>
      <c r="KTQ39" s="21"/>
      <c r="KTR39" s="21"/>
      <c r="KTS39" s="21"/>
      <c r="KTT39" s="21"/>
      <c r="KTU39" s="21"/>
      <c r="KTV39" s="21"/>
      <c r="KTW39" s="21"/>
      <c r="KTX39" s="21"/>
      <c r="KTY39" s="21"/>
      <c r="KTZ39" s="21"/>
      <c r="KUA39" s="21"/>
      <c r="KUB39" s="21"/>
      <c r="KUC39" s="21"/>
      <c r="KUD39" s="21"/>
      <c r="KUE39" s="21"/>
      <c r="KUF39" s="21"/>
      <c r="KUG39" s="21"/>
      <c r="KUH39" s="21"/>
      <c r="KUI39" s="21"/>
      <c r="KUJ39" s="21"/>
      <c r="KUK39" s="21"/>
      <c r="KUL39" s="21"/>
      <c r="KUM39" s="21"/>
      <c r="KUN39" s="21"/>
      <c r="KUO39" s="21"/>
      <c r="KUP39" s="21"/>
      <c r="KUQ39" s="21"/>
      <c r="KUR39" s="21"/>
      <c r="KUS39" s="21"/>
      <c r="KUT39" s="21"/>
      <c r="KUU39" s="21"/>
      <c r="KUV39" s="21"/>
      <c r="KUW39" s="21"/>
      <c r="KUX39" s="21"/>
      <c r="KUY39" s="21"/>
      <c r="KUZ39" s="21"/>
      <c r="KVA39" s="21"/>
      <c r="KVB39" s="21"/>
      <c r="KVC39" s="21"/>
      <c r="KVD39" s="21"/>
      <c r="KVE39" s="21"/>
      <c r="KVF39" s="21"/>
      <c r="KVG39" s="21"/>
      <c r="KVH39" s="21"/>
      <c r="KVI39" s="21"/>
      <c r="KVJ39" s="21"/>
      <c r="KVK39" s="21"/>
      <c r="KVL39" s="21"/>
      <c r="KVM39" s="21"/>
      <c r="KVN39" s="21"/>
      <c r="KVO39" s="21"/>
      <c r="KVP39" s="21"/>
      <c r="KVQ39" s="21"/>
      <c r="KVR39" s="21"/>
      <c r="KVS39" s="21"/>
      <c r="KVT39" s="21"/>
      <c r="KVU39" s="21"/>
      <c r="KVV39" s="21"/>
      <c r="KVW39" s="21"/>
      <c r="KVX39" s="21"/>
      <c r="KVY39" s="21"/>
      <c r="KVZ39" s="21"/>
      <c r="KWA39" s="21"/>
      <c r="KWB39" s="21"/>
      <c r="KWC39" s="21"/>
      <c r="KWD39" s="21"/>
      <c r="KWE39" s="21"/>
      <c r="KWF39" s="21"/>
      <c r="KWG39" s="21"/>
      <c r="KWH39" s="21"/>
      <c r="KWI39" s="21"/>
      <c r="KWJ39" s="21"/>
      <c r="KWK39" s="21"/>
      <c r="KWL39" s="21"/>
      <c r="KWM39" s="21"/>
      <c r="KWN39" s="21"/>
      <c r="KWO39" s="21"/>
      <c r="KWP39" s="21"/>
      <c r="KWQ39" s="21"/>
      <c r="KWR39" s="21"/>
      <c r="KWS39" s="21"/>
      <c r="KWT39" s="21"/>
      <c r="KWU39" s="21"/>
      <c r="KWV39" s="21"/>
      <c r="KWW39" s="21"/>
      <c r="KWX39" s="21"/>
      <c r="KWY39" s="21"/>
      <c r="KWZ39" s="21"/>
      <c r="KXA39" s="21"/>
      <c r="KXB39" s="21"/>
      <c r="KXC39" s="21"/>
      <c r="KXD39" s="21"/>
      <c r="KXE39" s="21"/>
      <c r="KXF39" s="21"/>
      <c r="KXG39" s="21"/>
      <c r="KXH39" s="21"/>
      <c r="KXI39" s="21"/>
      <c r="KXJ39" s="21"/>
      <c r="KXK39" s="21"/>
      <c r="KXL39" s="21"/>
      <c r="KXM39" s="21"/>
      <c r="KXN39" s="21"/>
      <c r="KXO39" s="21"/>
      <c r="KXP39" s="21"/>
      <c r="KXQ39" s="21"/>
      <c r="KXR39" s="21"/>
      <c r="KXS39" s="21"/>
      <c r="KXT39" s="21"/>
      <c r="KXU39" s="21"/>
      <c r="KXV39" s="21"/>
      <c r="KXW39" s="21"/>
      <c r="KXX39" s="21"/>
      <c r="KXY39" s="21"/>
      <c r="KXZ39" s="21"/>
      <c r="KYA39" s="21"/>
      <c r="KYB39" s="21"/>
      <c r="KYC39" s="21"/>
      <c r="KYD39" s="21"/>
      <c r="KYE39" s="21"/>
      <c r="KYF39" s="21"/>
      <c r="KYG39" s="21"/>
      <c r="KYH39" s="21"/>
      <c r="KYI39" s="21"/>
      <c r="KYJ39" s="21"/>
      <c r="KYK39" s="21"/>
      <c r="KYL39" s="21"/>
      <c r="KYM39" s="21"/>
      <c r="KYN39" s="21"/>
      <c r="KYO39" s="21"/>
      <c r="KYP39" s="21"/>
      <c r="KYQ39" s="21"/>
      <c r="KYR39" s="21"/>
      <c r="KYS39" s="21"/>
      <c r="KYT39" s="21"/>
      <c r="KYU39" s="21"/>
      <c r="KYV39" s="21"/>
      <c r="KYW39" s="21"/>
      <c r="KYX39" s="21"/>
      <c r="KYY39" s="21"/>
      <c r="KYZ39" s="21"/>
      <c r="KZA39" s="21"/>
      <c r="KZB39" s="21"/>
      <c r="KZC39" s="21"/>
      <c r="KZD39" s="21"/>
      <c r="KZE39" s="21"/>
      <c r="KZF39" s="21"/>
      <c r="KZG39" s="21"/>
      <c r="KZH39" s="21"/>
      <c r="KZI39" s="21"/>
      <c r="KZJ39" s="21"/>
      <c r="KZK39" s="21"/>
      <c r="KZL39" s="21"/>
      <c r="KZM39" s="21"/>
      <c r="KZN39" s="21"/>
      <c r="KZO39" s="21"/>
      <c r="KZP39" s="21"/>
      <c r="KZQ39" s="21"/>
      <c r="KZR39" s="21"/>
      <c r="KZS39" s="21"/>
      <c r="KZT39" s="21"/>
      <c r="KZU39" s="21"/>
      <c r="KZV39" s="21"/>
      <c r="KZW39" s="21"/>
      <c r="KZX39" s="21"/>
      <c r="KZY39" s="21"/>
      <c r="KZZ39" s="21"/>
      <c r="LAA39" s="21"/>
      <c r="LAB39" s="21"/>
      <c r="LAC39" s="21"/>
      <c r="LAD39" s="21"/>
      <c r="LAE39" s="21"/>
      <c r="LAF39" s="21"/>
      <c r="LAG39" s="21"/>
      <c r="LAH39" s="21"/>
      <c r="LAI39" s="21"/>
      <c r="LAJ39" s="21"/>
      <c r="LAK39" s="21"/>
      <c r="LAL39" s="21"/>
      <c r="LAM39" s="21"/>
      <c r="LAN39" s="21"/>
      <c r="LAO39" s="21"/>
      <c r="LAP39" s="21"/>
      <c r="LAQ39" s="21"/>
      <c r="LAR39" s="21"/>
      <c r="LAS39" s="21"/>
      <c r="LAT39" s="21"/>
      <c r="LAU39" s="21"/>
      <c r="LAV39" s="21"/>
      <c r="LAW39" s="21"/>
      <c r="LAX39" s="21"/>
      <c r="LAY39" s="21"/>
      <c r="LAZ39" s="21"/>
      <c r="LBA39" s="21"/>
      <c r="LBB39" s="21"/>
      <c r="LBC39" s="21"/>
      <c r="LBD39" s="21"/>
      <c r="LBE39" s="21"/>
      <c r="LBF39" s="21"/>
      <c r="LBG39" s="21"/>
      <c r="LBH39" s="21"/>
      <c r="LBI39" s="21"/>
      <c r="LBJ39" s="21"/>
      <c r="LBK39" s="21"/>
      <c r="LBL39" s="21"/>
      <c r="LBM39" s="21"/>
      <c r="LBN39" s="21"/>
      <c r="LBO39" s="21"/>
      <c r="LBP39" s="21"/>
      <c r="LBQ39" s="21"/>
      <c r="LBR39" s="21"/>
      <c r="LBS39" s="21"/>
      <c r="LBT39" s="21"/>
      <c r="LBU39" s="21"/>
      <c r="LBV39" s="21"/>
      <c r="LBW39" s="21"/>
      <c r="LBX39" s="21"/>
      <c r="LBY39" s="21"/>
      <c r="LBZ39" s="21"/>
      <c r="LCA39" s="21"/>
      <c r="LCB39" s="21"/>
      <c r="LCC39" s="21"/>
      <c r="LCD39" s="21"/>
      <c r="LCE39" s="21"/>
      <c r="LCF39" s="21"/>
      <c r="LCG39" s="21"/>
      <c r="LCH39" s="21"/>
      <c r="LCI39" s="21"/>
      <c r="LCJ39" s="21"/>
      <c r="LCK39" s="21"/>
      <c r="LCL39" s="21"/>
      <c r="LCM39" s="21"/>
      <c r="LCN39" s="21"/>
      <c r="LCO39" s="21"/>
      <c r="LCP39" s="21"/>
      <c r="LCQ39" s="21"/>
      <c r="LCR39" s="21"/>
      <c r="LCS39" s="21"/>
      <c r="LCT39" s="21"/>
      <c r="LCU39" s="21"/>
      <c r="LCV39" s="21"/>
      <c r="LCW39" s="21"/>
      <c r="LCX39" s="21"/>
      <c r="LCY39" s="21"/>
      <c r="LCZ39" s="21"/>
      <c r="LDA39" s="21"/>
      <c r="LDB39" s="21"/>
      <c r="LDC39" s="21"/>
      <c r="LDD39" s="21"/>
      <c r="LDE39" s="21"/>
      <c r="LDF39" s="21"/>
      <c r="LDG39" s="21"/>
      <c r="LDH39" s="21"/>
      <c r="LDI39" s="21"/>
      <c r="LDJ39" s="21"/>
      <c r="LDK39" s="21"/>
      <c r="LDL39" s="21"/>
      <c r="LDM39" s="21"/>
      <c r="LDN39" s="21"/>
      <c r="LDO39" s="21"/>
      <c r="LDP39" s="21"/>
      <c r="LDQ39" s="21"/>
      <c r="LDR39" s="21"/>
      <c r="LDS39" s="21"/>
      <c r="LDT39" s="21"/>
      <c r="LDU39" s="21"/>
      <c r="LDV39" s="21"/>
      <c r="LDW39" s="21"/>
      <c r="LDX39" s="21"/>
      <c r="LDY39" s="21"/>
      <c r="LDZ39" s="21"/>
      <c r="LEA39" s="21"/>
      <c r="LEB39" s="21"/>
      <c r="LEC39" s="21"/>
      <c r="LED39" s="21"/>
      <c r="LEE39" s="21"/>
      <c r="LEF39" s="21"/>
      <c r="LEG39" s="21"/>
      <c r="LEH39" s="21"/>
      <c r="LEI39" s="21"/>
      <c r="LEJ39" s="21"/>
      <c r="LEK39" s="21"/>
      <c r="LEL39" s="21"/>
      <c r="LEM39" s="21"/>
      <c r="LEN39" s="21"/>
      <c r="LEO39" s="21"/>
      <c r="LEP39" s="21"/>
      <c r="LEQ39" s="21"/>
      <c r="LER39" s="21"/>
      <c r="LES39" s="21"/>
      <c r="LET39" s="21"/>
      <c r="LEU39" s="21"/>
      <c r="LEV39" s="21"/>
      <c r="LEW39" s="21"/>
      <c r="LEX39" s="21"/>
      <c r="LEY39" s="21"/>
      <c r="LEZ39" s="21"/>
      <c r="LFA39" s="21"/>
      <c r="LFB39" s="21"/>
      <c r="LFC39" s="21"/>
      <c r="LFD39" s="21"/>
      <c r="LFE39" s="21"/>
      <c r="LFF39" s="21"/>
      <c r="LFG39" s="21"/>
      <c r="LFH39" s="21"/>
      <c r="LFI39" s="21"/>
      <c r="LFJ39" s="21"/>
      <c r="LFK39" s="21"/>
      <c r="LFL39" s="21"/>
      <c r="LFM39" s="21"/>
      <c r="LFN39" s="21"/>
      <c r="LFO39" s="21"/>
      <c r="LFP39" s="21"/>
      <c r="LFQ39" s="21"/>
      <c r="LFR39" s="21"/>
      <c r="LFS39" s="21"/>
      <c r="LFT39" s="21"/>
      <c r="LFU39" s="21"/>
      <c r="LFV39" s="21"/>
      <c r="LFW39" s="21"/>
      <c r="LFX39" s="21"/>
      <c r="LFY39" s="21"/>
      <c r="LFZ39" s="21"/>
      <c r="LGA39" s="21"/>
      <c r="LGB39" s="21"/>
      <c r="LGC39" s="21"/>
      <c r="LGD39" s="21"/>
      <c r="LGE39" s="21"/>
      <c r="LGF39" s="21"/>
      <c r="LGG39" s="21"/>
      <c r="LGH39" s="21"/>
      <c r="LGI39" s="21"/>
      <c r="LGJ39" s="21"/>
      <c r="LGK39" s="21"/>
      <c r="LGL39" s="21"/>
      <c r="LGM39" s="21"/>
      <c r="LGN39" s="21"/>
      <c r="LGO39" s="21"/>
      <c r="LGP39" s="21"/>
      <c r="LGQ39" s="21"/>
      <c r="LGR39" s="21"/>
      <c r="LGS39" s="21"/>
      <c r="LGT39" s="21"/>
      <c r="LGU39" s="21"/>
      <c r="LGV39" s="21"/>
      <c r="LGW39" s="21"/>
      <c r="LGX39" s="21"/>
      <c r="LGY39" s="21"/>
      <c r="LGZ39" s="21"/>
      <c r="LHA39" s="21"/>
      <c r="LHB39" s="21"/>
      <c r="LHC39" s="21"/>
      <c r="LHD39" s="21"/>
      <c r="LHE39" s="21"/>
      <c r="LHF39" s="21"/>
      <c r="LHG39" s="21"/>
      <c r="LHH39" s="21"/>
      <c r="LHI39" s="21"/>
      <c r="LHJ39" s="21"/>
      <c r="LHK39" s="21"/>
      <c r="LHL39" s="21"/>
      <c r="LHM39" s="21"/>
      <c r="LHN39" s="21"/>
      <c r="LHO39" s="21"/>
      <c r="LHP39" s="21"/>
      <c r="LHQ39" s="21"/>
      <c r="LHR39" s="21"/>
      <c r="LHS39" s="21"/>
      <c r="LHT39" s="21"/>
      <c r="LHU39" s="21"/>
      <c r="LHV39" s="21"/>
      <c r="LHW39" s="21"/>
      <c r="LHX39" s="21"/>
      <c r="LHY39" s="21"/>
      <c r="LHZ39" s="21"/>
      <c r="LIA39" s="21"/>
      <c r="LIB39" s="21"/>
      <c r="LIC39" s="21"/>
      <c r="LID39" s="21"/>
      <c r="LIE39" s="21"/>
      <c r="LIF39" s="21"/>
      <c r="LIG39" s="21"/>
      <c r="LIH39" s="21"/>
      <c r="LII39" s="21"/>
      <c r="LIJ39" s="21"/>
      <c r="LIK39" s="21"/>
      <c r="LIL39" s="21"/>
      <c r="LIM39" s="21"/>
      <c r="LIN39" s="21"/>
      <c r="LIO39" s="21"/>
      <c r="LIP39" s="21"/>
      <c r="LIQ39" s="21"/>
      <c r="LIR39" s="21"/>
      <c r="LIS39" s="21"/>
      <c r="LIT39" s="21"/>
      <c r="LIU39" s="21"/>
      <c r="LIV39" s="21"/>
      <c r="LIW39" s="21"/>
      <c r="LIX39" s="21"/>
      <c r="LIY39" s="21"/>
      <c r="LIZ39" s="21"/>
      <c r="LJA39" s="21"/>
      <c r="LJB39" s="21"/>
      <c r="LJC39" s="21"/>
      <c r="LJD39" s="21"/>
      <c r="LJE39" s="21"/>
      <c r="LJF39" s="21"/>
      <c r="LJG39" s="21"/>
      <c r="LJH39" s="21"/>
      <c r="LJI39" s="21"/>
      <c r="LJJ39" s="21"/>
      <c r="LJK39" s="21"/>
      <c r="LJL39" s="21"/>
      <c r="LJM39" s="21"/>
      <c r="LJN39" s="21"/>
      <c r="LJO39" s="21"/>
      <c r="LJP39" s="21"/>
      <c r="LJQ39" s="21"/>
      <c r="LJR39" s="21"/>
      <c r="LJS39" s="21"/>
      <c r="LJT39" s="21"/>
      <c r="LJU39" s="21"/>
      <c r="LJV39" s="21"/>
      <c r="LJW39" s="21"/>
      <c r="LJX39" s="21"/>
      <c r="LJY39" s="21"/>
      <c r="LJZ39" s="21"/>
      <c r="LKA39" s="21"/>
      <c r="LKB39" s="21"/>
      <c r="LKC39" s="21"/>
      <c r="LKD39" s="21"/>
      <c r="LKE39" s="21"/>
      <c r="LKF39" s="21"/>
      <c r="LKG39" s="21"/>
      <c r="LKH39" s="21"/>
      <c r="LKI39" s="21"/>
      <c r="LKJ39" s="21"/>
      <c r="LKK39" s="21"/>
      <c r="LKL39" s="21"/>
      <c r="LKM39" s="21"/>
      <c r="LKN39" s="21"/>
      <c r="LKO39" s="21"/>
      <c r="LKP39" s="21"/>
      <c r="LKQ39" s="21"/>
      <c r="LKR39" s="21"/>
      <c r="LKS39" s="21"/>
      <c r="LKT39" s="21"/>
      <c r="LKU39" s="21"/>
      <c r="LKV39" s="21"/>
      <c r="LKW39" s="21"/>
      <c r="LKX39" s="21"/>
      <c r="LKY39" s="21"/>
      <c r="LKZ39" s="21"/>
      <c r="LLA39" s="21"/>
      <c r="LLB39" s="21"/>
      <c r="LLC39" s="21"/>
      <c r="LLD39" s="21"/>
      <c r="LLE39" s="21"/>
      <c r="LLF39" s="21"/>
      <c r="LLG39" s="21"/>
      <c r="LLH39" s="21"/>
      <c r="LLI39" s="21"/>
      <c r="LLJ39" s="21"/>
      <c r="LLK39" s="21"/>
      <c r="LLL39" s="21"/>
      <c r="LLM39" s="21"/>
      <c r="LLN39" s="21"/>
      <c r="LLO39" s="21"/>
      <c r="LLP39" s="21"/>
      <c r="LLQ39" s="21"/>
      <c r="LLR39" s="21"/>
      <c r="LLS39" s="21"/>
      <c r="LLT39" s="21"/>
      <c r="LLU39" s="21"/>
      <c r="LLV39" s="21"/>
      <c r="LLW39" s="21"/>
      <c r="LLX39" s="21"/>
      <c r="LLY39" s="21"/>
      <c r="LLZ39" s="21"/>
      <c r="LMA39" s="21"/>
      <c r="LMB39" s="21"/>
      <c r="LMC39" s="21"/>
      <c r="LMD39" s="21"/>
      <c r="LME39" s="21"/>
      <c r="LMF39" s="21"/>
      <c r="LMG39" s="21"/>
      <c r="LMH39" s="21"/>
      <c r="LMI39" s="21"/>
      <c r="LMJ39" s="21"/>
      <c r="LMK39" s="21"/>
      <c r="LML39" s="21"/>
      <c r="LMM39" s="21"/>
      <c r="LMN39" s="21"/>
      <c r="LMO39" s="21"/>
      <c r="LMP39" s="21"/>
      <c r="LMQ39" s="21"/>
      <c r="LMR39" s="21"/>
      <c r="LMS39" s="21"/>
      <c r="LMT39" s="21"/>
      <c r="LMU39" s="21"/>
      <c r="LMV39" s="21"/>
      <c r="LMW39" s="21"/>
      <c r="LMX39" s="21"/>
      <c r="LMY39" s="21"/>
      <c r="LMZ39" s="21"/>
      <c r="LNA39" s="21"/>
      <c r="LNB39" s="21"/>
      <c r="LNC39" s="21"/>
      <c r="LND39" s="21"/>
      <c r="LNE39" s="21"/>
      <c r="LNF39" s="21"/>
      <c r="LNG39" s="21"/>
      <c r="LNH39" s="21"/>
      <c r="LNI39" s="21"/>
      <c r="LNJ39" s="21"/>
      <c r="LNK39" s="21"/>
      <c r="LNL39" s="21"/>
      <c r="LNM39" s="21"/>
      <c r="LNN39" s="21"/>
      <c r="LNO39" s="21"/>
      <c r="LNP39" s="21"/>
      <c r="LNQ39" s="21"/>
      <c r="LNR39" s="21"/>
      <c r="LNS39" s="21"/>
      <c r="LNT39" s="21"/>
      <c r="LNU39" s="21"/>
      <c r="LNV39" s="21"/>
      <c r="LNW39" s="21"/>
      <c r="LNX39" s="21"/>
      <c r="LNY39" s="21"/>
      <c r="LNZ39" s="21"/>
      <c r="LOA39" s="21"/>
      <c r="LOB39" s="21"/>
      <c r="LOC39" s="21"/>
      <c r="LOD39" s="21"/>
      <c r="LOE39" s="21"/>
      <c r="LOF39" s="21"/>
      <c r="LOG39" s="21"/>
      <c r="LOH39" s="21"/>
      <c r="LOI39" s="21"/>
      <c r="LOJ39" s="21"/>
      <c r="LOK39" s="21"/>
      <c r="LOL39" s="21"/>
      <c r="LOM39" s="21"/>
      <c r="LON39" s="21"/>
      <c r="LOO39" s="21"/>
      <c r="LOP39" s="21"/>
      <c r="LOQ39" s="21"/>
      <c r="LOR39" s="21"/>
      <c r="LOS39" s="21"/>
      <c r="LOT39" s="21"/>
      <c r="LOU39" s="21"/>
      <c r="LOV39" s="21"/>
      <c r="LOW39" s="21"/>
      <c r="LOX39" s="21"/>
      <c r="LOY39" s="21"/>
      <c r="LOZ39" s="21"/>
      <c r="LPA39" s="21"/>
      <c r="LPB39" s="21"/>
      <c r="LPC39" s="21"/>
      <c r="LPD39" s="21"/>
      <c r="LPE39" s="21"/>
      <c r="LPF39" s="21"/>
      <c r="LPG39" s="21"/>
      <c r="LPH39" s="21"/>
      <c r="LPI39" s="21"/>
      <c r="LPJ39" s="21"/>
      <c r="LPK39" s="21"/>
      <c r="LPL39" s="21"/>
      <c r="LPM39" s="21"/>
      <c r="LPN39" s="21"/>
      <c r="LPO39" s="21"/>
      <c r="LPP39" s="21"/>
      <c r="LPQ39" s="21"/>
      <c r="LPR39" s="21"/>
      <c r="LPS39" s="21"/>
      <c r="LPT39" s="21"/>
      <c r="LPU39" s="21"/>
      <c r="LPV39" s="21"/>
      <c r="LPW39" s="21"/>
      <c r="LPX39" s="21"/>
      <c r="LPY39" s="21"/>
      <c r="LPZ39" s="21"/>
      <c r="LQA39" s="21"/>
      <c r="LQB39" s="21"/>
      <c r="LQC39" s="21"/>
      <c r="LQD39" s="21"/>
      <c r="LQE39" s="21"/>
      <c r="LQF39" s="21"/>
      <c r="LQG39" s="21"/>
      <c r="LQH39" s="21"/>
      <c r="LQI39" s="21"/>
      <c r="LQJ39" s="21"/>
      <c r="LQK39" s="21"/>
      <c r="LQL39" s="21"/>
      <c r="LQM39" s="21"/>
      <c r="LQN39" s="21"/>
      <c r="LQO39" s="21"/>
      <c r="LQP39" s="21"/>
      <c r="LQQ39" s="21"/>
      <c r="LQR39" s="21"/>
      <c r="LQS39" s="21"/>
      <c r="LQT39" s="21"/>
      <c r="LQU39" s="21"/>
      <c r="LQV39" s="21"/>
      <c r="LQW39" s="21"/>
      <c r="LQX39" s="21"/>
      <c r="LQY39" s="21"/>
      <c r="LQZ39" s="21"/>
      <c r="LRA39" s="21"/>
      <c r="LRB39" s="21"/>
      <c r="LRC39" s="21"/>
      <c r="LRD39" s="21"/>
      <c r="LRE39" s="21"/>
      <c r="LRF39" s="21"/>
      <c r="LRG39" s="21"/>
      <c r="LRH39" s="21"/>
      <c r="LRI39" s="21"/>
      <c r="LRJ39" s="21"/>
      <c r="LRK39" s="21"/>
      <c r="LRL39" s="21"/>
      <c r="LRM39" s="21"/>
      <c r="LRN39" s="21"/>
      <c r="LRO39" s="21"/>
      <c r="LRP39" s="21"/>
      <c r="LRQ39" s="21"/>
      <c r="LRR39" s="21"/>
      <c r="LRS39" s="21"/>
      <c r="LRT39" s="21"/>
      <c r="LRU39" s="21"/>
      <c r="LRV39" s="21"/>
      <c r="LRW39" s="21"/>
      <c r="LRX39" s="21"/>
      <c r="LRY39" s="21"/>
      <c r="LRZ39" s="21"/>
      <c r="LSA39" s="21"/>
      <c r="LSB39" s="21"/>
      <c r="LSC39" s="21"/>
      <c r="LSD39" s="21"/>
      <c r="LSE39" s="21"/>
      <c r="LSF39" s="21"/>
      <c r="LSG39" s="21"/>
      <c r="LSH39" s="21"/>
      <c r="LSI39" s="21"/>
      <c r="LSJ39" s="21"/>
      <c r="LSK39" s="21"/>
      <c r="LSL39" s="21"/>
      <c r="LSM39" s="21"/>
      <c r="LSN39" s="21"/>
      <c r="LSO39" s="21"/>
      <c r="LSP39" s="21"/>
      <c r="LSQ39" s="21"/>
      <c r="LSR39" s="21"/>
      <c r="LSS39" s="21"/>
      <c r="LST39" s="21"/>
      <c r="LSU39" s="21"/>
      <c r="LSV39" s="21"/>
      <c r="LSW39" s="21"/>
      <c r="LSX39" s="21"/>
      <c r="LSY39" s="21"/>
      <c r="LSZ39" s="21"/>
      <c r="LTA39" s="21"/>
      <c r="LTB39" s="21"/>
      <c r="LTC39" s="21"/>
      <c r="LTD39" s="21"/>
      <c r="LTE39" s="21"/>
      <c r="LTF39" s="21"/>
      <c r="LTG39" s="21"/>
      <c r="LTH39" s="21"/>
      <c r="LTI39" s="21"/>
      <c r="LTJ39" s="21"/>
      <c r="LTK39" s="21"/>
      <c r="LTL39" s="21"/>
      <c r="LTM39" s="21"/>
      <c r="LTN39" s="21"/>
      <c r="LTO39" s="21"/>
      <c r="LTP39" s="21"/>
      <c r="LTQ39" s="21"/>
      <c r="LTR39" s="21"/>
      <c r="LTS39" s="21"/>
      <c r="LTT39" s="21"/>
      <c r="LTU39" s="21"/>
      <c r="LTV39" s="21"/>
      <c r="LTW39" s="21"/>
      <c r="LTX39" s="21"/>
      <c r="LTY39" s="21"/>
      <c r="LTZ39" s="21"/>
      <c r="LUA39" s="21"/>
      <c r="LUB39" s="21"/>
      <c r="LUC39" s="21"/>
      <c r="LUD39" s="21"/>
      <c r="LUE39" s="21"/>
      <c r="LUF39" s="21"/>
      <c r="LUG39" s="21"/>
      <c r="LUH39" s="21"/>
      <c r="LUI39" s="21"/>
      <c r="LUJ39" s="21"/>
      <c r="LUK39" s="21"/>
      <c r="LUL39" s="21"/>
      <c r="LUM39" s="21"/>
      <c r="LUN39" s="21"/>
      <c r="LUO39" s="21"/>
      <c r="LUP39" s="21"/>
      <c r="LUQ39" s="21"/>
      <c r="LUR39" s="21"/>
      <c r="LUS39" s="21"/>
      <c r="LUT39" s="21"/>
      <c r="LUU39" s="21"/>
      <c r="LUV39" s="21"/>
      <c r="LUW39" s="21"/>
      <c r="LUX39" s="21"/>
      <c r="LUY39" s="21"/>
      <c r="LUZ39" s="21"/>
      <c r="LVA39" s="21"/>
      <c r="LVB39" s="21"/>
      <c r="LVC39" s="21"/>
      <c r="LVD39" s="21"/>
      <c r="LVE39" s="21"/>
      <c r="LVF39" s="21"/>
      <c r="LVG39" s="21"/>
      <c r="LVH39" s="21"/>
      <c r="LVI39" s="21"/>
      <c r="LVJ39" s="21"/>
      <c r="LVK39" s="21"/>
      <c r="LVL39" s="21"/>
      <c r="LVM39" s="21"/>
      <c r="LVN39" s="21"/>
      <c r="LVO39" s="21"/>
      <c r="LVP39" s="21"/>
      <c r="LVQ39" s="21"/>
      <c r="LVR39" s="21"/>
      <c r="LVS39" s="21"/>
      <c r="LVT39" s="21"/>
      <c r="LVU39" s="21"/>
      <c r="LVV39" s="21"/>
      <c r="LVW39" s="21"/>
      <c r="LVX39" s="21"/>
      <c r="LVY39" s="21"/>
      <c r="LVZ39" s="21"/>
      <c r="LWA39" s="21"/>
      <c r="LWB39" s="21"/>
      <c r="LWC39" s="21"/>
      <c r="LWD39" s="21"/>
      <c r="LWE39" s="21"/>
      <c r="LWF39" s="21"/>
      <c r="LWG39" s="21"/>
      <c r="LWH39" s="21"/>
      <c r="LWI39" s="21"/>
      <c r="LWJ39" s="21"/>
      <c r="LWK39" s="21"/>
      <c r="LWL39" s="21"/>
      <c r="LWM39" s="21"/>
      <c r="LWN39" s="21"/>
      <c r="LWO39" s="21"/>
      <c r="LWP39" s="21"/>
      <c r="LWQ39" s="21"/>
      <c r="LWR39" s="21"/>
      <c r="LWS39" s="21"/>
      <c r="LWT39" s="21"/>
      <c r="LWU39" s="21"/>
      <c r="LWV39" s="21"/>
      <c r="LWW39" s="21"/>
      <c r="LWX39" s="21"/>
      <c r="LWY39" s="21"/>
      <c r="LWZ39" s="21"/>
      <c r="LXA39" s="21"/>
      <c r="LXB39" s="21"/>
      <c r="LXC39" s="21"/>
      <c r="LXD39" s="21"/>
      <c r="LXE39" s="21"/>
      <c r="LXF39" s="21"/>
      <c r="LXG39" s="21"/>
      <c r="LXH39" s="21"/>
      <c r="LXI39" s="21"/>
      <c r="LXJ39" s="21"/>
      <c r="LXK39" s="21"/>
      <c r="LXL39" s="21"/>
      <c r="LXM39" s="21"/>
      <c r="LXN39" s="21"/>
      <c r="LXO39" s="21"/>
      <c r="LXP39" s="21"/>
      <c r="LXQ39" s="21"/>
      <c r="LXR39" s="21"/>
      <c r="LXS39" s="21"/>
      <c r="LXT39" s="21"/>
      <c r="LXU39" s="21"/>
      <c r="LXV39" s="21"/>
      <c r="LXW39" s="21"/>
      <c r="LXX39" s="21"/>
      <c r="LXY39" s="21"/>
      <c r="LXZ39" s="21"/>
      <c r="LYA39" s="21"/>
      <c r="LYB39" s="21"/>
      <c r="LYC39" s="21"/>
      <c r="LYD39" s="21"/>
      <c r="LYE39" s="21"/>
      <c r="LYF39" s="21"/>
      <c r="LYG39" s="21"/>
      <c r="LYH39" s="21"/>
      <c r="LYI39" s="21"/>
      <c r="LYJ39" s="21"/>
      <c r="LYK39" s="21"/>
      <c r="LYL39" s="21"/>
      <c r="LYM39" s="21"/>
      <c r="LYN39" s="21"/>
      <c r="LYO39" s="21"/>
      <c r="LYP39" s="21"/>
      <c r="LYQ39" s="21"/>
      <c r="LYR39" s="21"/>
      <c r="LYS39" s="21"/>
      <c r="LYT39" s="21"/>
      <c r="LYU39" s="21"/>
      <c r="LYV39" s="21"/>
      <c r="LYW39" s="21"/>
      <c r="LYX39" s="21"/>
      <c r="LYY39" s="21"/>
      <c r="LYZ39" s="21"/>
      <c r="LZA39" s="21"/>
      <c r="LZB39" s="21"/>
      <c r="LZC39" s="21"/>
      <c r="LZD39" s="21"/>
      <c r="LZE39" s="21"/>
      <c r="LZF39" s="21"/>
      <c r="LZG39" s="21"/>
      <c r="LZH39" s="21"/>
      <c r="LZI39" s="21"/>
      <c r="LZJ39" s="21"/>
      <c r="LZK39" s="21"/>
      <c r="LZL39" s="21"/>
      <c r="LZM39" s="21"/>
      <c r="LZN39" s="21"/>
      <c r="LZO39" s="21"/>
      <c r="LZP39" s="21"/>
      <c r="LZQ39" s="21"/>
      <c r="LZR39" s="21"/>
      <c r="LZS39" s="21"/>
      <c r="LZT39" s="21"/>
      <c r="LZU39" s="21"/>
      <c r="LZV39" s="21"/>
      <c r="LZW39" s="21"/>
      <c r="LZX39" s="21"/>
      <c r="LZY39" s="21"/>
      <c r="LZZ39" s="21"/>
      <c r="MAA39" s="21"/>
      <c r="MAB39" s="21"/>
      <c r="MAC39" s="21"/>
      <c r="MAD39" s="21"/>
      <c r="MAE39" s="21"/>
      <c r="MAF39" s="21"/>
      <c r="MAG39" s="21"/>
      <c r="MAH39" s="21"/>
      <c r="MAI39" s="21"/>
      <c r="MAJ39" s="21"/>
      <c r="MAK39" s="21"/>
      <c r="MAL39" s="21"/>
      <c r="MAM39" s="21"/>
      <c r="MAN39" s="21"/>
      <c r="MAO39" s="21"/>
      <c r="MAP39" s="21"/>
      <c r="MAQ39" s="21"/>
      <c r="MAR39" s="21"/>
      <c r="MAS39" s="21"/>
      <c r="MAT39" s="21"/>
      <c r="MAU39" s="21"/>
      <c r="MAV39" s="21"/>
      <c r="MAW39" s="21"/>
      <c r="MAX39" s="21"/>
      <c r="MAY39" s="21"/>
      <c r="MAZ39" s="21"/>
      <c r="MBA39" s="21"/>
      <c r="MBB39" s="21"/>
      <c r="MBC39" s="21"/>
      <c r="MBD39" s="21"/>
      <c r="MBE39" s="21"/>
      <c r="MBF39" s="21"/>
      <c r="MBG39" s="21"/>
      <c r="MBH39" s="21"/>
      <c r="MBI39" s="21"/>
      <c r="MBJ39" s="21"/>
      <c r="MBK39" s="21"/>
      <c r="MBL39" s="21"/>
      <c r="MBM39" s="21"/>
      <c r="MBN39" s="21"/>
      <c r="MBO39" s="21"/>
      <c r="MBP39" s="21"/>
      <c r="MBQ39" s="21"/>
      <c r="MBR39" s="21"/>
      <c r="MBS39" s="21"/>
      <c r="MBT39" s="21"/>
      <c r="MBU39" s="21"/>
      <c r="MBV39" s="21"/>
      <c r="MBW39" s="21"/>
      <c r="MBX39" s="21"/>
      <c r="MBY39" s="21"/>
      <c r="MBZ39" s="21"/>
      <c r="MCA39" s="21"/>
      <c r="MCB39" s="21"/>
      <c r="MCC39" s="21"/>
      <c r="MCD39" s="21"/>
      <c r="MCE39" s="21"/>
      <c r="MCF39" s="21"/>
      <c r="MCG39" s="21"/>
      <c r="MCH39" s="21"/>
      <c r="MCI39" s="21"/>
      <c r="MCJ39" s="21"/>
      <c r="MCK39" s="21"/>
      <c r="MCL39" s="21"/>
      <c r="MCM39" s="21"/>
      <c r="MCN39" s="21"/>
      <c r="MCO39" s="21"/>
      <c r="MCP39" s="21"/>
      <c r="MCQ39" s="21"/>
      <c r="MCR39" s="21"/>
      <c r="MCS39" s="21"/>
      <c r="MCT39" s="21"/>
      <c r="MCU39" s="21"/>
      <c r="MCV39" s="21"/>
      <c r="MCW39" s="21"/>
      <c r="MCX39" s="21"/>
      <c r="MCY39" s="21"/>
      <c r="MCZ39" s="21"/>
      <c r="MDA39" s="21"/>
      <c r="MDB39" s="21"/>
      <c r="MDC39" s="21"/>
      <c r="MDD39" s="21"/>
      <c r="MDE39" s="21"/>
      <c r="MDF39" s="21"/>
      <c r="MDG39" s="21"/>
      <c r="MDH39" s="21"/>
      <c r="MDI39" s="21"/>
      <c r="MDJ39" s="21"/>
      <c r="MDK39" s="21"/>
      <c r="MDL39" s="21"/>
      <c r="MDM39" s="21"/>
      <c r="MDN39" s="21"/>
      <c r="MDO39" s="21"/>
      <c r="MDP39" s="21"/>
      <c r="MDQ39" s="21"/>
      <c r="MDR39" s="21"/>
      <c r="MDS39" s="21"/>
      <c r="MDT39" s="21"/>
      <c r="MDU39" s="21"/>
      <c r="MDV39" s="21"/>
      <c r="MDW39" s="21"/>
      <c r="MDX39" s="21"/>
      <c r="MDY39" s="21"/>
      <c r="MDZ39" s="21"/>
      <c r="MEA39" s="21"/>
      <c r="MEB39" s="21"/>
      <c r="MEC39" s="21"/>
      <c r="MED39" s="21"/>
      <c r="MEE39" s="21"/>
      <c r="MEF39" s="21"/>
      <c r="MEG39" s="21"/>
      <c r="MEH39" s="21"/>
      <c r="MEI39" s="21"/>
      <c r="MEJ39" s="21"/>
      <c r="MEK39" s="21"/>
      <c r="MEL39" s="21"/>
      <c r="MEM39" s="21"/>
      <c r="MEN39" s="21"/>
      <c r="MEO39" s="21"/>
      <c r="MEP39" s="21"/>
      <c r="MEQ39" s="21"/>
      <c r="MER39" s="21"/>
      <c r="MES39" s="21"/>
      <c r="MET39" s="21"/>
      <c r="MEU39" s="21"/>
      <c r="MEV39" s="21"/>
      <c r="MEW39" s="21"/>
      <c r="MEX39" s="21"/>
      <c r="MEY39" s="21"/>
      <c r="MEZ39" s="21"/>
      <c r="MFA39" s="21"/>
      <c r="MFB39" s="21"/>
      <c r="MFC39" s="21"/>
      <c r="MFD39" s="21"/>
      <c r="MFE39" s="21"/>
      <c r="MFF39" s="21"/>
      <c r="MFG39" s="21"/>
      <c r="MFH39" s="21"/>
      <c r="MFI39" s="21"/>
      <c r="MFJ39" s="21"/>
      <c r="MFK39" s="21"/>
      <c r="MFL39" s="21"/>
      <c r="MFM39" s="21"/>
      <c r="MFN39" s="21"/>
      <c r="MFO39" s="21"/>
      <c r="MFP39" s="21"/>
      <c r="MFQ39" s="21"/>
      <c r="MFR39" s="21"/>
      <c r="MFS39" s="21"/>
      <c r="MFT39" s="21"/>
      <c r="MFU39" s="21"/>
      <c r="MFV39" s="21"/>
      <c r="MFW39" s="21"/>
      <c r="MFX39" s="21"/>
      <c r="MFY39" s="21"/>
      <c r="MFZ39" s="21"/>
      <c r="MGA39" s="21"/>
      <c r="MGB39" s="21"/>
      <c r="MGC39" s="21"/>
      <c r="MGD39" s="21"/>
      <c r="MGE39" s="21"/>
      <c r="MGF39" s="21"/>
      <c r="MGG39" s="21"/>
      <c r="MGH39" s="21"/>
      <c r="MGI39" s="21"/>
      <c r="MGJ39" s="21"/>
      <c r="MGK39" s="21"/>
      <c r="MGL39" s="21"/>
      <c r="MGM39" s="21"/>
      <c r="MGN39" s="21"/>
      <c r="MGO39" s="21"/>
      <c r="MGP39" s="21"/>
      <c r="MGQ39" s="21"/>
      <c r="MGR39" s="21"/>
      <c r="MGS39" s="21"/>
      <c r="MGT39" s="21"/>
      <c r="MGU39" s="21"/>
      <c r="MGV39" s="21"/>
      <c r="MGW39" s="21"/>
      <c r="MGX39" s="21"/>
      <c r="MGY39" s="21"/>
      <c r="MGZ39" s="21"/>
      <c r="MHA39" s="21"/>
      <c r="MHB39" s="21"/>
      <c r="MHC39" s="21"/>
      <c r="MHD39" s="21"/>
      <c r="MHE39" s="21"/>
      <c r="MHF39" s="21"/>
      <c r="MHG39" s="21"/>
      <c r="MHH39" s="21"/>
      <c r="MHI39" s="21"/>
      <c r="MHJ39" s="21"/>
      <c r="MHK39" s="21"/>
      <c r="MHL39" s="21"/>
      <c r="MHM39" s="21"/>
      <c r="MHN39" s="21"/>
      <c r="MHO39" s="21"/>
      <c r="MHP39" s="21"/>
      <c r="MHQ39" s="21"/>
      <c r="MHR39" s="21"/>
      <c r="MHS39" s="21"/>
      <c r="MHT39" s="21"/>
      <c r="MHU39" s="21"/>
      <c r="MHV39" s="21"/>
      <c r="MHW39" s="21"/>
      <c r="MHX39" s="21"/>
      <c r="MHY39" s="21"/>
      <c r="MHZ39" s="21"/>
      <c r="MIA39" s="21"/>
      <c r="MIB39" s="21"/>
      <c r="MIC39" s="21"/>
      <c r="MID39" s="21"/>
      <c r="MIE39" s="21"/>
      <c r="MIF39" s="21"/>
      <c r="MIG39" s="21"/>
      <c r="MIH39" s="21"/>
      <c r="MII39" s="21"/>
      <c r="MIJ39" s="21"/>
      <c r="MIK39" s="21"/>
      <c r="MIL39" s="21"/>
      <c r="MIM39" s="21"/>
      <c r="MIN39" s="21"/>
      <c r="MIO39" s="21"/>
      <c r="MIP39" s="21"/>
      <c r="MIQ39" s="21"/>
      <c r="MIR39" s="21"/>
      <c r="MIS39" s="21"/>
      <c r="MIT39" s="21"/>
      <c r="MIU39" s="21"/>
      <c r="MIV39" s="21"/>
      <c r="MIW39" s="21"/>
      <c r="MIX39" s="21"/>
      <c r="MIY39" s="21"/>
      <c r="MIZ39" s="21"/>
      <c r="MJA39" s="21"/>
      <c r="MJB39" s="21"/>
      <c r="MJC39" s="21"/>
      <c r="MJD39" s="21"/>
      <c r="MJE39" s="21"/>
      <c r="MJF39" s="21"/>
      <c r="MJG39" s="21"/>
      <c r="MJH39" s="21"/>
      <c r="MJI39" s="21"/>
      <c r="MJJ39" s="21"/>
      <c r="MJK39" s="21"/>
      <c r="MJL39" s="21"/>
      <c r="MJM39" s="21"/>
      <c r="MJN39" s="21"/>
      <c r="MJO39" s="21"/>
      <c r="MJP39" s="21"/>
      <c r="MJQ39" s="21"/>
      <c r="MJR39" s="21"/>
      <c r="MJS39" s="21"/>
      <c r="MJT39" s="21"/>
      <c r="MJU39" s="21"/>
      <c r="MJV39" s="21"/>
      <c r="MJW39" s="21"/>
      <c r="MJX39" s="21"/>
      <c r="MJY39" s="21"/>
      <c r="MJZ39" s="21"/>
      <c r="MKA39" s="21"/>
      <c r="MKB39" s="21"/>
      <c r="MKC39" s="21"/>
      <c r="MKD39" s="21"/>
      <c r="MKE39" s="21"/>
      <c r="MKF39" s="21"/>
      <c r="MKG39" s="21"/>
      <c r="MKH39" s="21"/>
      <c r="MKI39" s="21"/>
      <c r="MKJ39" s="21"/>
      <c r="MKK39" s="21"/>
      <c r="MKL39" s="21"/>
      <c r="MKM39" s="21"/>
      <c r="MKN39" s="21"/>
      <c r="MKO39" s="21"/>
      <c r="MKP39" s="21"/>
      <c r="MKQ39" s="21"/>
      <c r="MKR39" s="21"/>
      <c r="MKS39" s="21"/>
      <c r="MKT39" s="21"/>
      <c r="MKU39" s="21"/>
      <c r="MKV39" s="21"/>
      <c r="MKW39" s="21"/>
      <c r="MKX39" s="21"/>
      <c r="MKY39" s="21"/>
      <c r="MKZ39" s="21"/>
      <c r="MLA39" s="21"/>
      <c r="MLB39" s="21"/>
      <c r="MLC39" s="21"/>
      <c r="MLD39" s="21"/>
      <c r="MLE39" s="21"/>
      <c r="MLF39" s="21"/>
      <c r="MLG39" s="21"/>
      <c r="MLH39" s="21"/>
      <c r="MLI39" s="21"/>
      <c r="MLJ39" s="21"/>
      <c r="MLK39" s="21"/>
      <c r="MLL39" s="21"/>
      <c r="MLM39" s="21"/>
      <c r="MLN39" s="21"/>
      <c r="MLO39" s="21"/>
      <c r="MLP39" s="21"/>
      <c r="MLQ39" s="21"/>
      <c r="MLR39" s="21"/>
      <c r="MLS39" s="21"/>
      <c r="MLT39" s="21"/>
      <c r="MLU39" s="21"/>
      <c r="MLV39" s="21"/>
      <c r="MLW39" s="21"/>
      <c r="MLX39" s="21"/>
      <c r="MLY39" s="21"/>
      <c r="MLZ39" s="21"/>
      <c r="MMA39" s="21"/>
      <c r="MMB39" s="21"/>
      <c r="MMC39" s="21"/>
      <c r="MMD39" s="21"/>
      <c r="MME39" s="21"/>
      <c r="MMF39" s="21"/>
      <c r="MMG39" s="21"/>
      <c r="MMH39" s="21"/>
      <c r="MMI39" s="21"/>
      <c r="MMJ39" s="21"/>
      <c r="MMK39" s="21"/>
      <c r="MML39" s="21"/>
      <c r="MMM39" s="21"/>
      <c r="MMN39" s="21"/>
      <c r="MMO39" s="21"/>
      <c r="MMP39" s="21"/>
      <c r="MMQ39" s="21"/>
      <c r="MMR39" s="21"/>
      <c r="MMS39" s="21"/>
      <c r="MMT39" s="21"/>
      <c r="MMU39" s="21"/>
      <c r="MMV39" s="21"/>
      <c r="MMW39" s="21"/>
      <c r="MMX39" s="21"/>
      <c r="MMY39" s="21"/>
      <c r="MMZ39" s="21"/>
      <c r="MNA39" s="21"/>
      <c r="MNB39" s="21"/>
      <c r="MNC39" s="21"/>
      <c r="MND39" s="21"/>
      <c r="MNE39" s="21"/>
      <c r="MNF39" s="21"/>
      <c r="MNG39" s="21"/>
      <c r="MNH39" s="21"/>
      <c r="MNI39" s="21"/>
      <c r="MNJ39" s="21"/>
      <c r="MNK39" s="21"/>
      <c r="MNL39" s="21"/>
      <c r="MNM39" s="21"/>
      <c r="MNN39" s="21"/>
      <c r="MNO39" s="21"/>
      <c r="MNP39" s="21"/>
      <c r="MNQ39" s="21"/>
      <c r="MNR39" s="21"/>
      <c r="MNS39" s="21"/>
      <c r="MNT39" s="21"/>
      <c r="MNU39" s="21"/>
      <c r="MNV39" s="21"/>
      <c r="MNW39" s="21"/>
      <c r="MNX39" s="21"/>
      <c r="MNY39" s="21"/>
      <c r="MNZ39" s="21"/>
      <c r="MOA39" s="21"/>
      <c r="MOB39" s="21"/>
      <c r="MOC39" s="21"/>
      <c r="MOD39" s="21"/>
      <c r="MOE39" s="21"/>
      <c r="MOF39" s="21"/>
      <c r="MOG39" s="21"/>
      <c r="MOH39" s="21"/>
      <c r="MOI39" s="21"/>
      <c r="MOJ39" s="21"/>
      <c r="MOK39" s="21"/>
      <c r="MOL39" s="21"/>
      <c r="MOM39" s="21"/>
      <c r="MON39" s="21"/>
      <c r="MOO39" s="21"/>
      <c r="MOP39" s="21"/>
      <c r="MOQ39" s="21"/>
      <c r="MOR39" s="21"/>
      <c r="MOS39" s="21"/>
      <c r="MOT39" s="21"/>
      <c r="MOU39" s="21"/>
      <c r="MOV39" s="21"/>
      <c r="MOW39" s="21"/>
      <c r="MOX39" s="21"/>
      <c r="MOY39" s="21"/>
      <c r="MOZ39" s="21"/>
      <c r="MPA39" s="21"/>
      <c r="MPB39" s="21"/>
      <c r="MPC39" s="21"/>
      <c r="MPD39" s="21"/>
      <c r="MPE39" s="21"/>
      <c r="MPF39" s="21"/>
      <c r="MPG39" s="21"/>
      <c r="MPH39" s="21"/>
      <c r="MPI39" s="21"/>
      <c r="MPJ39" s="21"/>
      <c r="MPK39" s="21"/>
      <c r="MPL39" s="21"/>
      <c r="MPM39" s="21"/>
      <c r="MPN39" s="21"/>
      <c r="MPO39" s="21"/>
      <c r="MPP39" s="21"/>
      <c r="MPQ39" s="21"/>
      <c r="MPR39" s="21"/>
      <c r="MPS39" s="21"/>
      <c r="MPT39" s="21"/>
      <c r="MPU39" s="21"/>
      <c r="MPV39" s="21"/>
      <c r="MPW39" s="21"/>
      <c r="MPX39" s="21"/>
      <c r="MPY39" s="21"/>
      <c r="MPZ39" s="21"/>
      <c r="MQA39" s="21"/>
      <c r="MQB39" s="21"/>
      <c r="MQC39" s="21"/>
      <c r="MQD39" s="21"/>
      <c r="MQE39" s="21"/>
      <c r="MQF39" s="21"/>
      <c r="MQG39" s="21"/>
      <c r="MQH39" s="21"/>
      <c r="MQI39" s="21"/>
      <c r="MQJ39" s="21"/>
      <c r="MQK39" s="21"/>
      <c r="MQL39" s="21"/>
      <c r="MQM39" s="21"/>
      <c r="MQN39" s="21"/>
      <c r="MQO39" s="21"/>
      <c r="MQP39" s="21"/>
      <c r="MQQ39" s="21"/>
      <c r="MQR39" s="21"/>
      <c r="MQS39" s="21"/>
      <c r="MQT39" s="21"/>
      <c r="MQU39" s="21"/>
      <c r="MQV39" s="21"/>
      <c r="MQW39" s="21"/>
      <c r="MQX39" s="21"/>
      <c r="MQY39" s="21"/>
      <c r="MQZ39" s="21"/>
      <c r="MRA39" s="21"/>
      <c r="MRB39" s="21"/>
      <c r="MRC39" s="21"/>
      <c r="MRD39" s="21"/>
      <c r="MRE39" s="21"/>
      <c r="MRF39" s="21"/>
      <c r="MRG39" s="21"/>
      <c r="MRH39" s="21"/>
      <c r="MRI39" s="21"/>
      <c r="MRJ39" s="21"/>
      <c r="MRK39" s="21"/>
      <c r="MRL39" s="21"/>
      <c r="MRM39" s="21"/>
      <c r="MRN39" s="21"/>
      <c r="MRO39" s="21"/>
      <c r="MRP39" s="21"/>
      <c r="MRQ39" s="21"/>
      <c r="MRR39" s="21"/>
      <c r="MRS39" s="21"/>
      <c r="MRT39" s="21"/>
      <c r="MRU39" s="21"/>
      <c r="MRV39" s="21"/>
      <c r="MRW39" s="21"/>
      <c r="MRX39" s="21"/>
      <c r="MRY39" s="21"/>
      <c r="MRZ39" s="21"/>
      <c r="MSA39" s="21"/>
      <c r="MSB39" s="21"/>
      <c r="MSC39" s="21"/>
      <c r="MSD39" s="21"/>
      <c r="MSE39" s="21"/>
      <c r="MSF39" s="21"/>
      <c r="MSG39" s="21"/>
      <c r="MSH39" s="21"/>
      <c r="MSI39" s="21"/>
      <c r="MSJ39" s="21"/>
      <c r="MSK39" s="21"/>
      <c r="MSL39" s="21"/>
      <c r="MSM39" s="21"/>
      <c r="MSN39" s="21"/>
      <c r="MSO39" s="21"/>
      <c r="MSP39" s="21"/>
      <c r="MSQ39" s="21"/>
      <c r="MSR39" s="21"/>
      <c r="MSS39" s="21"/>
      <c r="MST39" s="21"/>
      <c r="MSU39" s="21"/>
      <c r="MSV39" s="21"/>
      <c r="MSW39" s="21"/>
      <c r="MSX39" s="21"/>
      <c r="MSY39" s="21"/>
      <c r="MSZ39" s="21"/>
      <c r="MTA39" s="21"/>
      <c r="MTB39" s="21"/>
      <c r="MTC39" s="21"/>
      <c r="MTD39" s="21"/>
      <c r="MTE39" s="21"/>
      <c r="MTF39" s="21"/>
      <c r="MTG39" s="21"/>
      <c r="MTH39" s="21"/>
      <c r="MTI39" s="21"/>
      <c r="MTJ39" s="21"/>
      <c r="MTK39" s="21"/>
      <c r="MTL39" s="21"/>
      <c r="MTM39" s="21"/>
      <c r="MTN39" s="21"/>
      <c r="MTO39" s="21"/>
      <c r="MTP39" s="21"/>
      <c r="MTQ39" s="21"/>
      <c r="MTR39" s="21"/>
      <c r="MTS39" s="21"/>
      <c r="MTT39" s="21"/>
      <c r="MTU39" s="21"/>
      <c r="MTV39" s="21"/>
      <c r="MTW39" s="21"/>
      <c r="MTX39" s="21"/>
      <c r="MTY39" s="21"/>
      <c r="MTZ39" s="21"/>
      <c r="MUA39" s="21"/>
      <c r="MUB39" s="21"/>
      <c r="MUC39" s="21"/>
      <c r="MUD39" s="21"/>
      <c r="MUE39" s="21"/>
      <c r="MUF39" s="21"/>
      <c r="MUG39" s="21"/>
      <c r="MUH39" s="21"/>
      <c r="MUI39" s="21"/>
      <c r="MUJ39" s="21"/>
      <c r="MUK39" s="21"/>
      <c r="MUL39" s="21"/>
      <c r="MUM39" s="21"/>
      <c r="MUN39" s="21"/>
      <c r="MUO39" s="21"/>
      <c r="MUP39" s="21"/>
      <c r="MUQ39" s="21"/>
      <c r="MUR39" s="21"/>
      <c r="MUS39" s="21"/>
      <c r="MUT39" s="21"/>
      <c r="MUU39" s="21"/>
      <c r="MUV39" s="21"/>
      <c r="MUW39" s="21"/>
      <c r="MUX39" s="21"/>
      <c r="MUY39" s="21"/>
      <c r="MUZ39" s="21"/>
      <c r="MVA39" s="21"/>
      <c r="MVB39" s="21"/>
      <c r="MVC39" s="21"/>
      <c r="MVD39" s="21"/>
      <c r="MVE39" s="21"/>
      <c r="MVF39" s="21"/>
      <c r="MVG39" s="21"/>
      <c r="MVH39" s="21"/>
      <c r="MVI39" s="21"/>
      <c r="MVJ39" s="21"/>
      <c r="MVK39" s="21"/>
      <c r="MVL39" s="21"/>
      <c r="MVM39" s="21"/>
      <c r="MVN39" s="21"/>
      <c r="MVO39" s="21"/>
      <c r="MVP39" s="21"/>
      <c r="MVQ39" s="21"/>
      <c r="MVR39" s="21"/>
      <c r="MVS39" s="21"/>
      <c r="MVT39" s="21"/>
      <c r="MVU39" s="21"/>
      <c r="MVV39" s="21"/>
      <c r="MVW39" s="21"/>
      <c r="MVX39" s="21"/>
      <c r="MVY39" s="21"/>
      <c r="MVZ39" s="21"/>
      <c r="MWA39" s="21"/>
      <c r="MWB39" s="21"/>
      <c r="MWC39" s="21"/>
      <c r="MWD39" s="21"/>
      <c r="MWE39" s="21"/>
      <c r="MWF39" s="21"/>
      <c r="MWG39" s="21"/>
      <c r="MWH39" s="21"/>
      <c r="MWI39" s="21"/>
      <c r="MWJ39" s="21"/>
      <c r="MWK39" s="21"/>
      <c r="MWL39" s="21"/>
      <c r="MWM39" s="21"/>
      <c r="MWN39" s="21"/>
      <c r="MWO39" s="21"/>
      <c r="MWP39" s="21"/>
      <c r="MWQ39" s="21"/>
      <c r="MWR39" s="21"/>
      <c r="MWS39" s="21"/>
      <c r="MWT39" s="21"/>
      <c r="MWU39" s="21"/>
      <c r="MWV39" s="21"/>
      <c r="MWW39" s="21"/>
      <c r="MWX39" s="21"/>
      <c r="MWY39" s="21"/>
      <c r="MWZ39" s="21"/>
      <c r="MXA39" s="21"/>
      <c r="MXB39" s="21"/>
      <c r="MXC39" s="21"/>
      <c r="MXD39" s="21"/>
      <c r="MXE39" s="21"/>
      <c r="MXF39" s="21"/>
      <c r="MXG39" s="21"/>
      <c r="MXH39" s="21"/>
      <c r="MXI39" s="21"/>
      <c r="MXJ39" s="21"/>
      <c r="MXK39" s="21"/>
      <c r="MXL39" s="21"/>
      <c r="MXM39" s="21"/>
      <c r="MXN39" s="21"/>
      <c r="MXO39" s="21"/>
      <c r="MXP39" s="21"/>
      <c r="MXQ39" s="21"/>
      <c r="MXR39" s="21"/>
      <c r="MXS39" s="21"/>
      <c r="MXT39" s="21"/>
      <c r="MXU39" s="21"/>
      <c r="MXV39" s="21"/>
      <c r="MXW39" s="21"/>
      <c r="MXX39" s="21"/>
      <c r="MXY39" s="21"/>
      <c r="MXZ39" s="21"/>
      <c r="MYA39" s="21"/>
      <c r="MYB39" s="21"/>
      <c r="MYC39" s="21"/>
      <c r="MYD39" s="21"/>
      <c r="MYE39" s="21"/>
      <c r="MYF39" s="21"/>
      <c r="MYG39" s="21"/>
      <c r="MYH39" s="21"/>
      <c r="MYI39" s="21"/>
      <c r="MYJ39" s="21"/>
      <c r="MYK39" s="21"/>
      <c r="MYL39" s="21"/>
      <c r="MYM39" s="21"/>
      <c r="MYN39" s="21"/>
      <c r="MYO39" s="21"/>
      <c r="MYP39" s="21"/>
      <c r="MYQ39" s="21"/>
      <c r="MYR39" s="21"/>
      <c r="MYS39" s="21"/>
      <c r="MYT39" s="21"/>
      <c r="MYU39" s="21"/>
      <c r="MYV39" s="21"/>
      <c r="MYW39" s="21"/>
      <c r="MYX39" s="21"/>
      <c r="MYY39" s="21"/>
      <c r="MYZ39" s="21"/>
      <c r="MZA39" s="21"/>
      <c r="MZB39" s="21"/>
      <c r="MZC39" s="21"/>
      <c r="MZD39" s="21"/>
      <c r="MZE39" s="21"/>
      <c r="MZF39" s="21"/>
      <c r="MZG39" s="21"/>
      <c r="MZH39" s="21"/>
      <c r="MZI39" s="21"/>
      <c r="MZJ39" s="21"/>
      <c r="MZK39" s="21"/>
      <c r="MZL39" s="21"/>
      <c r="MZM39" s="21"/>
      <c r="MZN39" s="21"/>
      <c r="MZO39" s="21"/>
      <c r="MZP39" s="21"/>
      <c r="MZQ39" s="21"/>
      <c r="MZR39" s="21"/>
      <c r="MZS39" s="21"/>
      <c r="MZT39" s="21"/>
      <c r="MZU39" s="21"/>
      <c r="MZV39" s="21"/>
      <c r="MZW39" s="21"/>
      <c r="MZX39" s="21"/>
      <c r="MZY39" s="21"/>
      <c r="MZZ39" s="21"/>
      <c r="NAA39" s="21"/>
      <c r="NAB39" s="21"/>
      <c r="NAC39" s="21"/>
      <c r="NAD39" s="21"/>
      <c r="NAE39" s="21"/>
      <c r="NAF39" s="21"/>
      <c r="NAG39" s="21"/>
      <c r="NAH39" s="21"/>
      <c r="NAI39" s="21"/>
      <c r="NAJ39" s="21"/>
      <c r="NAK39" s="21"/>
      <c r="NAL39" s="21"/>
      <c r="NAM39" s="21"/>
      <c r="NAN39" s="21"/>
      <c r="NAO39" s="21"/>
      <c r="NAP39" s="21"/>
      <c r="NAQ39" s="21"/>
      <c r="NAR39" s="21"/>
      <c r="NAS39" s="21"/>
      <c r="NAT39" s="21"/>
      <c r="NAU39" s="21"/>
      <c r="NAV39" s="21"/>
      <c r="NAW39" s="21"/>
      <c r="NAX39" s="21"/>
      <c r="NAY39" s="21"/>
      <c r="NAZ39" s="21"/>
      <c r="NBA39" s="21"/>
      <c r="NBB39" s="21"/>
      <c r="NBC39" s="21"/>
      <c r="NBD39" s="21"/>
      <c r="NBE39" s="21"/>
      <c r="NBF39" s="21"/>
      <c r="NBG39" s="21"/>
      <c r="NBH39" s="21"/>
      <c r="NBI39" s="21"/>
      <c r="NBJ39" s="21"/>
      <c r="NBK39" s="21"/>
      <c r="NBL39" s="21"/>
      <c r="NBM39" s="21"/>
      <c r="NBN39" s="21"/>
      <c r="NBO39" s="21"/>
      <c r="NBP39" s="21"/>
      <c r="NBQ39" s="21"/>
      <c r="NBR39" s="21"/>
      <c r="NBS39" s="21"/>
      <c r="NBT39" s="21"/>
      <c r="NBU39" s="21"/>
      <c r="NBV39" s="21"/>
      <c r="NBW39" s="21"/>
      <c r="NBX39" s="21"/>
      <c r="NBY39" s="21"/>
      <c r="NBZ39" s="21"/>
      <c r="NCA39" s="21"/>
      <c r="NCB39" s="21"/>
      <c r="NCC39" s="21"/>
      <c r="NCD39" s="21"/>
      <c r="NCE39" s="21"/>
      <c r="NCF39" s="21"/>
      <c r="NCG39" s="21"/>
      <c r="NCH39" s="21"/>
      <c r="NCI39" s="21"/>
      <c r="NCJ39" s="21"/>
      <c r="NCK39" s="21"/>
      <c r="NCL39" s="21"/>
      <c r="NCM39" s="21"/>
      <c r="NCN39" s="21"/>
      <c r="NCO39" s="21"/>
      <c r="NCP39" s="21"/>
      <c r="NCQ39" s="21"/>
      <c r="NCR39" s="21"/>
      <c r="NCS39" s="21"/>
      <c r="NCT39" s="21"/>
      <c r="NCU39" s="21"/>
      <c r="NCV39" s="21"/>
      <c r="NCW39" s="21"/>
      <c r="NCX39" s="21"/>
      <c r="NCY39" s="21"/>
      <c r="NCZ39" s="21"/>
      <c r="NDA39" s="21"/>
      <c r="NDB39" s="21"/>
      <c r="NDC39" s="21"/>
      <c r="NDD39" s="21"/>
      <c r="NDE39" s="21"/>
      <c r="NDF39" s="21"/>
      <c r="NDG39" s="21"/>
      <c r="NDH39" s="21"/>
      <c r="NDI39" s="21"/>
      <c r="NDJ39" s="21"/>
      <c r="NDK39" s="21"/>
      <c r="NDL39" s="21"/>
      <c r="NDM39" s="21"/>
      <c r="NDN39" s="21"/>
      <c r="NDO39" s="21"/>
      <c r="NDP39" s="21"/>
      <c r="NDQ39" s="21"/>
      <c r="NDR39" s="21"/>
      <c r="NDS39" s="21"/>
      <c r="NDT39" s="21"/>
      <c r="NDU39" s="21"/>
      <c r="NDV39" s="21"/>
      <c r="NDW39" s="21"/>
      <c r="NDX39" s="21"/>
      <c r="NDY39" s="21"/>
      <c r="NDZ39" s="21"/>
      <c r="NEA39" s="21"/>
      <c r="NEB39" s="21"/>
      <c r="NEC39" s="21"/>
      <c r="NED39" s="21"/>
      <c r="NEE39" s="21"/>
      <c r="NEF39" s="21"/>
      <c r="NEG39" s="21"/>
      <c r="NEH39" s="21"/>
      <c r="NEI39" s="21"/>
      <c r="NEJ39" s="21"/>
      <c r="NEK39" s="21"/>
      <c r="NEL39" s="21"/>
      <c r="NEM39" s="21"/>
      <c r="NEN39" s="21"/>
      <c r="NEO39" s="21"/>
      <c r="NEP39" s="21"/>
      <c r="NEQ39" s="21"/>
      <c r="NER39" s="21"/>
      <c r="NES39" s="21"/>
      <c r="NET39" s="21"/>
      <c r="NEU39" s="21"/>
      <c r="NEV39" s="21"/>
      <c r="NEW39" s="21"/>
      <c r="NEX39" s="21"/>
      <c r="NEY39" s="21"/>
      <c r="NEZ39" s="21"/>
      <c r="NFA39" s="21"/>
      <c r="NFB39" s="21"/>
      <c r="NFC39" s="21"/>
      <c r="NFD39" s="21"/>
      <c r="NFE39" s="21"/>
      <c r="NFF39" s="21"/>
      <c r="NFG39" s="21"/>
      <c r="NFH39" s="21"/>
      <c r="NFI39" s="21"/>
      <c r="NFJ39" s="21"/>
      <c r="NFK39" s="21"/>
      <c r="NFL39" s="21"/>
      <c r="NFM39" s="21"/>
      <c r="NFN39" s="21"/>
      <c r="NFO39" s="21"/>
      <c r="NFP39" s="21"/>
      <c r="NFQ39" s="21"/>
      <c r="NFR39" s="21"/>
      <c r="NFS39" s="21"/>
      <c r="NFT39" s="21"/>
      <c r="NFU39" s="21"/>
      <c r="NFV39" s="21"/>
      <c r="NFW39" s="21"/>
      <c r="NFX39" s="21"/>
      <c r="NFY39" s="21"/>
      <c r="NFZ39" s="21"/>
      <c r="NGA39" s="21"/>
      <c r="NGB39" s="21"/>
      <c r="NGC39" s="21"/>
      <c r="NGD39" s="21"/>
      <c r="NGE39" s="21"/>
      <c r="NGF39" s="21"/>
      <c r="NGG39" s="21"/>
      <c r="NGH39" s="21"/>
      <c r="NGI39" s="21"/>
      <c r="NGJ39" s="21"/>
      <c r="NGK39" s="21"/>
      <c r="NGL39" s="21"/>
      <c r="NGM39" s="21"/>
      <c r="NGN39" s="21"/>
      <c r="NGO39" s="21"/>
      <c r="NGP39" s="21"/>
      <c r="NGQ39" s="21"/>
      <c r="NGR39" s="21"/>
      <c r="NGS39" s="21"/>
      <c r="NGT39" s="21"/>
      <c r="NGU39" s="21"/>
      <c r="NGV39" s="21"/>
      <c r="NGW39" s="21"/>
      <c r="NGX39" s="21"/>
      <c r="NGY39" s="21"/>
      <c r="NGZ39" s="21"/>
      <c r="NHA39" s="21"/>
      <c r="NHB39" s="21"/>
      <c r="NHC39" s="21"/>
      <c r="NHD39" s="21"/>
      <c r="NHE39" s="21"/>
      <c r="NHF39" s="21"/>
      <c r="NHG39" s="21"/>
      <c r="NHH39" s="21"/>
      <c r="NHI39" s="21"/>
      <c r="NHJ39" s="21"/>
      <c r="NHK39" s="21"/>
      <c r="NHL39" s="21"/>
      <c r="NHM39" s="21"/>
      <c r="NHN39" s="21"/>
      <c r="NHO39" s="21"/>
      <c r="NHP39" s="21"/>
      <c r="NHQ39" s="21"/>
      <c r="NHR39" s="21"/>
      <c r="NHS39" s="21"/>
      <c r="NHT39" s="21"/>
      <c r="NHU39" s="21"/>
      <c r="NHV39" s="21"/>
      <c r="NHW39" s="21"/>
      <c r="NHX39" s="21"/>
      <c r="NHY39" s="21"/>
      <c r="NHZ39" s="21"/>
      <c r="NIA39" s="21"/>
      <c r="NIB39" s="21"/>
      <c r="NIC39" s="21"/>
      <c r="NID39" s="21"/>
      <c r="NIE39" s="21"/>
      <c r="NIF39" s="21"/>
      <c r="NIG39" s="21"/>
      <c r="NIH39" s="21"/>
      <c r="NII39" s="21"/>
      <c r="NIJ39" s="21"/>
      <c r="NIK39" s="21"/>
      <c r="NIL39" s="21"/>
      <c r="NIM39" s="21"/>
      <c r="NIN39" s="21"/>
      <c r="NIO39" s="21"/>
      <c r="NIP39" s="21"/>
      <c r="NIQ39" s="21"/>
      <c r="NIR39" s="21"/>
      <c r="NIS39" s="21"/>
      <c r="NIT39" s="21"/>
      <c r="NIU39" s="21"/>
      <c r="NIV39" s="21"/>
      <c r="NIW39" s="21"/>
      <c r="NIX39" s="21"/>
      <c r="NIY39" s="21"/>
      <c r="NIZ39" s="21"/>
      <c r="NJA39" s="21"/>
      <c r="NJB39" s="21"/>
      <c r="NJC39" s="21"/>
      <c r="NJD39" s="21"/>
      <c r="NJE39" s="21"/>
      <c r="NJF39" s="21"/>
      <c r="NJG39" s="21"/>
      <c r="NJH39" s="21"/>
      <c r="NJI39" s="21"/>
      <c r="NJJ39" s="21"/>
      <c r="NJK39" s="21"/>
      <c r="NJL39" s="21"/>
      <c r="NJM39" s="21"/>
      <c r="NJN39" s="21"/>
      <c r="NJO39" s="21"/>
      <c r="NJP39" s="21"/>
      <c r="NJQ39" s="21"/>
      <c r="NJR39" s="21"/>
      <c r="NJS39" s="21"/>
      <c r="NJT39" s="21"/>
      <c r="NJU39" s="21"/>
      <c r="NJV39" s="21"/>
      <c r="NJW39" s="21"/>
      <c r="NJX39" s="21"/>
      <c r="NJY39" s="21"/>
      <c r="NJZ39" s="21"/>
      <c r="NKA39" s="21"/>
      <c r="NKB39" s="21"/>
      <c r="NKC39" s="21"/>
      <c r="NKD39" s="21"/>
      <c r="NKE39" s="21"/>
      <c r="NKF39" s="21"/>
      <c r="NKG39" s="21"/>
      <c r="NKH39" s="21"/>
      <c r="NKI39" s="21"/>
      <c r="NKJ39" s="21"/>
      <c r="NKK39" s="21"/>
      <c r="NKL39" s="21"/>
      <c r="NKM39" s="21"/>
      <c r="NKN39" s="21"/>
      <c r="NKO39" s="21"/>
      <c r="NKP39" s="21"/>
      <c r="NKQ39" s="21"/>
      <c r="NKR39" s="21"/>
      <c r="NKS39" s="21"/>
      <c r="NKT39" s="21"/>
      <c r="NKU39" s="21"/>
      <c r="NKV39" s="21"/>
      <c r="NKW39" s="21"/>
      <c r="NKX39" s="21"/>
      <c r="NKY39" s="21"/>
      <c r="NKZ39" s="21"/>
      <c r="NLA39" s="21"/>
      <c r="NLB39" s="21"/>
      <c r="NLC39" s="21"/>
      <c r="NLD39" s="21"/>
      <c r="NLE39" s="21"/>
      <c r="NLF39" s="21"/>
      <c r="NLG39" s="21"/>
      <c r="NLH39" s="21"/>
      <c r="NLI39" s="21"/>
      <c r="NLJ39" s="21"/>
      <c r="NLK39" s="21"/>
      <c r="NLL39" s="21"/>
      <c r="NLM39" s="21"/>
      <c r="NLN39" s="21"/>
      <c r="NLO39" s="21"/>
      <c r="NLP39" s="21"/>
      <c r="NLQ39" s="21"/>
      <c r="NLR39" s="21"/>
      <c r="NLS39" s="21"/>
      <c r="NLT39" s="21"/>
      <c r="NLU39" s="21"/>
      <c r="NLV39" s="21"/>
      <c r="NLW39" s="21"/>
      <c r="NLX39" s="21"/>
      <c r="NLY39" s="21"/>
      <c r="NLZ39" s="21"/>
      <c r="NMA39" s="21"/>
      <c r="NMB39" s="21"/>
      <c r="NMC39" s="21"/>
      <c r="NMD39" s="21"/>
      <c r="NME39" s="21"/>
      <c r="NMF39" s="21"/>
      <c r="NMG39" s="21"/>
      <c r="NMH39" s="21"/>
      <c r="NMI39" s="21"/>
      <c r="NMJ39" s="21"/>
      <c r="NMK39" s="21"/>
      <c r="NML39" s="21"/>
      <c r="NMM39" s="21"/>
      <c r="NMN39" s="21"/>
      <c r="NMO39" s="21"/>
      <c r="NMP39" s="21"/>
      <c r="NMQ39" s="21"/>
      <c r="NMR39" s="21"/>
      <c r="NMS39" s="21"/>
      <c r="NMT39" s="21"/>
      <c r="NMU39" s="21"/>
      <c r="NMV39" s="21"/>
      <c r="NMW39" s="21"/>
      <c r="NMX39" s="21"/>
      <c r="NMY39" s="21"/>
      <c r="NMZ39" s="21"/>
      <c r="NNA39" s="21"/>
      <c r="NNB39" s="21"/>
      <c r="NNC39" s="21"/>
      <c r="NND39" s="21"/>
      <c r="NNE39" s="21"/>
      <c r="NNF39" s="21"/>
      <c r="NNG39" s="21"/>
      <c r="NNH39" s="21"/>
      <c r="NNI39" s="21"/>
      <c r="NNJ39" s="21"/>
      <c r="NNK39" s="21"/>
      <c r="NNL39" s="21"/>
      <c r="NNM39" s="21"/>
      <c r="NNN39" s="21"/>
      <c r="NNO39" s="21"/>
      <c r="NNP39" s="21"/>
      <c r="NNQ39" s="21"/>
      <c r="NNR39" s="21"/>
      <c r="NNS39" s="21"/>
      <c r="NNT39" s="21"/>
      <c r="NNU39" s="21"/>
      <c r="NNV39" s="21"/>
      <c r="NNW39" s="21"/>
      <c r="NNX39" s="21"/>
      <c r="NNY39" s="21"/>
      <c r="NNZ39" s="21"/>
      <c r="NOA39" s="21"/>
      <c r="NOB39" s="21"/>
      <c r="NOC39" s="21"/>
      <c r="NOD39" s="21"/>
      <c r="NOE39" s="21"/>
      <c r="NOF39" s="21"/>
      <c r="NOG39" s="21"/>
      <c r="NOH39" s="21"/>
      <c r="NOI39" s="21"/>
      <c r="NOJ39" s="21"/>
      <c r="NOK39" s="21"/>
      <c r="NOL39" s="21"/>
      <c r="NOM39" s="21"/>
      <c r="NON39" s="21"/>
      <c r="NOO39" s="21"/>
      <c r="NOP39" s="21"/>
      <c r="NOQ39" s="21"/>
      <c r="NOR39" s="21"/>
      <c r="NOS39" s="21"/>
      <c r="NOT39" s="21"/>
      <c r="NOU39" s="21"/>
      <c r="NOV39" s="21"/>
      <c r="NOW39" s="21"/>
      <c r="NOX39" s="21"/>
      <c r="NOY39" s="21"/>
      <c r="NOZ39" s="21"/>
      <c r="NPA39" s="21"/>
      <c r="NPB39" s="21"/>
      <c r="NPC39" s="21"/>
      <c r="NPD39" s="21"/>
      <c r="NPE39" s="21"/>
      <c r="NPF39" s="21"/>
      <c r="NPG39" s="21"/>
      <c r="NPH39" s="21"/>
      <c r="NPI39" s="21"/>
      <c r="NPJ39" s="21"/>
      <c r="NPK39" s="21"/>
      <c r="NPL39" s="21"/>
      <c r="NPM39" s="21"/>
      <c r="NPN39" s="21"/>
      <c r="NPO39" s="21"/>
      <c r="NPP39" s="21"/>
      <c r="NPQ39" s="21"/>
      <c r="NPR39" s="21"/>
      <c r="NPS39" s="21"/>
      <c r="NPT39" s="21"/>
      <c r="NPU39" s="21"/>
      <c r="NPV39" s="21"/>
      <c r="NPW39" s="21"/>
      <c r="NPX39" s="21"/>
      <c r="NPY39" s="21"/>
      <c r="NPZ39" s="21"/>
      <c r="NQA39" s="21"/>
      <c r="NQB39" s="21"/>
      <c r="NQC39" s="21"/>
      <c r="NQD39" s="21"/>
      <c r="NQE39" s="21"/>
      <c r="NQF39" s="21"/>
      <c r="NQG39" s="21"/>
      <c r="NQH39" s="21"/>
      <c r="NQI39" s="21"/>
      <c r="NQJ39" s="21"/>
      <c r="NQK39" s="21"/>
      <c r="NQL39" s="21"/>
      <c r="NQM39" s="21"/>
      <c r="NQN39" s="21"/>
      <c r="NQO39" s="21"/>
      <c r="NQP39" s="21"/>
      <c r="NQQ39" s="21"/>
      <c r="NQR39" s="21"/>
      <c r="NQS39" s="21"/>
      <c r="NQT39" s="21"/>
      <c r="NQU39" s="21"/>
      <c r="NQV39" s="21"/>
      <c r="NQW39" s="21"/>
      <c r="NQX39" s="21"/>
      <c r="NQY39" s="21"/>
      <c r="NQZ39" s="21"/>
      <c r="NRA39" s="21"/>
      <c r="NRB39" s="21"/>
      <c r="NRC39" s="21"/>
      <c r="NRD39" s="21"/>
      <c r="NRE39" s="21"/>
      <c r="NRF39" s="21"/>
      <c r="NRG39" s="21"/>
      <c r="NRH39" s="21"/>
      <c r="NRI39" s="21"/>
      <c r="NRJ39" s="21"/>
      <c r="NRK39" s="21"/>
      <c r="NRL39" s="21"/>
      <c r="NRM39" s="21"/>
      <c r="NRN39" s="21"/>
      <c r="NRO39" s="21"/>
      <c r="NRP39" s="21"/>
      <c r="NRQ39" s="21"/>
      <c r="NRR39" s="21"/>
      <c r="NRS39" s="21"/>
      <c r="NRT39" s="21"/>
      <c r="NRU39" s="21"/>
      <c r="NRV39" s="21"/>
      <c r="NRW39" s="21"/>
      <c r="NRX39" s="21"/>
      <c r="NRY39" s="21"/>
      <c r="NRZ39" s="21"/>
      <c r="NSA39" s="21"/>
      <c r="NSB39" s="21"/>
      <c r="NSC39" s="21"/>
      <c r="NSD39" s="21"/>
      <c r="NSE39" s="21"/>
      <c r="NSF39" s="21"/>
      <c r="NSG39" s="21"/>
      <c r="NSH39" s="21"/>
      <c r="NSI39" s="21"/>
      <c r="NSJ39" s="21"/>
      <c r="NSK39" s="21"/>
      <c r="NSL39" s="21"/>
      <c r="NSM39" s="21"/>
      <c r="NSN39" s="21"/>
      <c r="NSO39" s="21"/>
      <c r="NSP39" s="21"/>
      <c r="NSQ39" s="21"/>
      <c r="NSR39" s="21"/>
      <c r="NSS39" s="21"/>
      <c r="NST39" s="21"/>
      <c r="NSU39" s="21"/>
      <c r="NSV39" s="21"/>
      <c r="NSW39" s="21"/>
      <c r="NSX39" s="21"/>
      <c r="NSY39" s="21"/>
      <c r="NSZ39" s="21"/>
      <c r="NTA39" s="21"/>
      <c r="NTB39" s="21"/>
      <c r="NTC39" s="21"/>
      <c r="NTD39" s="21"/>
      <c r="NTE39" s="21"/>
      <c r="NTF39" s="21"/>
      <c r="NTG39" s="21"/>
      <c r="NTH39" s="21"/>
      <c r="NTI39" s="21"/>
      <c r="NTJ39" s="21"/>
      <c r="NTK39" s="21"/>
      <c r="NTL39" s="21"/>
      <c r="NTM39" s="21"/>
      <c r="NTN39" s="21"/>
      <c r="NTO39" s="21"/>
      <c r="NTP39" s="21"/>
      <c r="NTQ39" s="21"/>
      <c r="NTR39" s="21"/>
      <c r="NTS39" s="21"/>
      <c r="NTT39" s="21"/>
      <c r="NTU39" s="21"/>
      <c r="NTV39" s="21"/>
      <c r="NTW39" s="21"/>
      <c r="NTX39" s="21"/>
      <c r="NTY39" s="21"/>
      <c r="NTZ39" s="21"/>
      <c r="NUA39" s="21"/>
      <c r="NUB39" s="21"/>
      <c r="NUC39" s="21"/>
      <c r="NUD39" s="21"/>
      <c r="NUE39" s="21"/>
      <c r="NUF39" s="21"/>
      <c r="NUG39" s="21"/>
      <c r="NUH39" s="21"/>
      <c r="NUI39" s="21"/>
      <c r="NUJ39" s="21"/>
      <c r="NUK39" s="21"/>
      <c r="NUL39" s="21"/>
      <c r="NUM39" s="21"/>
      <c r="NUN39" s="21"/>
      <c r="NUO39" s="21"/>
      <c r="NUP39" s="21"/>
      <c r="NUQ39" s="21"/>
      <c r="NUR39" s="21"/>
      <c r="NUS39" s="21"/>
      <c r="NUT39" s="21"/>
      <c r="NUU39" s="21"/>
      <c r="NUV39" s="21"/>
      <c r="NUW39" s="21"/>
      <c r="NUX39" s="21"/>
      <c r="NUY39" s="21"/>
      <c r="NUZ39" s="21"/>
      <c r="NVA39" s="21"/>
      <c r="NVB39" s="21"/>
      <c r="NVC39" s="21"/>
      <c r="NVD39" s="21"/>
      <c r="NVE39" s="21"/>
      <c r="NVF39" s="21"/>
      <c r="NVG39" s="21"/>
      <c r="NVH39" s="21"/>
      <c r="NVI39" s="21"/>
      <c r="NVJ39" s="21"/>
      <c r="NVK39" s="21"/>
      <c r="NVL39" s="21"/>
      <c r="NVM39" s="21"/>
      <c r="NVN39" s="21"/>
      <c r="NVO39" s="21"/>
      <c r="NVP39" s="21"/>
      <c r="NVQ39" s="21"/>
      <c r="NVR39" s="21"/>
      <c r="NVS39" s="21"/>
      <c r="NVT39" s="21"/>
      <c r="NVU39" s="21"/>
      <c r="NVV39" s="21"/>
      <c r="NVW39" s="21"/>
      <c r="NVX39" s="21"/>
      <c r="NVY39" s="21"/>
      <c r="NVZ39" s="21"/>
      <c r="NWA39" s="21"/>
      <c r="NWB39" s="21"/>
      <c r="NWC39" s="21"/>
      <c r="NWD39" s="21"/>
      <c r="NWE39" s="21"/>
      <c r="NWF39" s="21"/>
      <c r="NWG39" s="21"/>
      <c r="NWH39" s="21"/>
      <c r="NWI39" s="21"/>
      <c r="NWJ39" s="21"/>
      <c r="NWK39" s="21"/>
      <c r="NWL39" s="21"/>
      <c r="NWM39" s="21"/>
      <c r="NWN39" s="21"/>
      <c r="NWO39" s="21"/>
      <c r="NWP39" s="21"/>
      <c r="NWQ39" s="21"/>
      <c r="NWR39" s="21"/>
      <c r="NWS39" s="21"/>
      <c r="NWT39" s="21"/>
      <c r="NWU39" s="21"/>
      <c r="NWV39" s="21"/>
      <c r="NWW39" s="21"/>
      <c r="NWX39" s="21"/>
      <c r="NWY39" s="21"/>
      <c r="NWZ39" s="21"/>
      <c r="NXA39" s="21"/>
      <c r="NXB39" s="21"/>
      <c r="NXC39" s="21"/>
      <c r="NXD39" s="21"/>
      <c r="NXE39" s="21"/>
      <c r="NXF39" s="21"/>
      <c r="NXG39" s="21"/>
      <c r="NXH39" s="21"/>
      <c r="NXI39" s="21"/>
      <c r="NXJ39" s="21"/>
      <c r="NXK39" s="21"/>
      <c r="NXL39" s="21"/>
      <c r="NXM39" s="21"/>
      <c r="NXN39" s="21"/>
      <c r="NXO39" s="21"/>
      <c r="NXP39" s="21"/>
      <c r="NXQ39" s="21"/>
      <c r="NXR39" s="21"/>
      <c r="NXS39" s="21"/>
      <c r="NXT39" s="21"/>
      <c r="NXU39" s="21"/>
      <c r="NXV39" s="21"/>
      <c r="NXW39" s="21"/>
      <c r="NXX39" s="21"/>
      <c r="NXY39" s="21"/>
      <c r="NXZ39" s="21"/>
      <c r="NYA39" s="21"/>
      <c r="NYB39" s="21"/>
      <c r="NYC39" s="21"/>
      <c r="NYD39" s="21"/>
      <c r="NYE39" s="21"/>
      <c r="NYF39" s="21"/>
      <c r="NYG39" s="21"/>
      <c r="NYH39" s="21"/>
      <c r="NYI39" s="21"/>
      <c r="NYJ39" s="21"/>
      <c r="NYK39" s="21"/>
      <c r="NYL39" s="21"/>
      <c r="NYM39" s="21"/>
      <c r="NYN39" s="21"/>
      <c r="NYO39" s="21"/>
      <c r="NYP39" s="21"/>
      <c r="NYQ39" s="21"/>
      <c r="NYR39" s="21"/>
      <c r="NYS39" s="21"/>
      <c r="NYT39" s="21"/>
      <c r="NYU39" s="21"/>
      <c r="NYV39" s="21"/>
      <c r="NYW39" s="21"/>
      <c r="NYX39" s="21"/>
      <c r="NYY39" s="21"/>
      <c r="NYZ39" s="21"/>
      <c r="NZA39" s="21"/>
      <c r="NZB39" s="21"/>
      <c r="NZC39" s="21"/>
      <c r="NZD39" s="21"/>
      <c r="NZE39" s="21"/>
      <c r="NZF39" s="21"/>
      <c r="NZG39" s="21"/>
      <c r="NZH39" s="21"/>
      <c r="NZI39" s="21"/>
      <c r="NZJ39" s="21"/>
      <c r="NZK39" s="21"/>
      <c r="NZL39" s="21"/>
      <c r="NZM39" s="21"/>
      <c r="NZN39" s="21"/>
      <c r="NZO39" s="21"/>
      <c r="NZP39" s="21"/>
      <c r="NZQ39" s="21"/>
      <c r="NZR39" s="21"/>
      <c r="NZS39" s="21"/>
      <c r="NZT39" s="21"/>
      <c r="NZU39" s="21"/>
      <c r="NZV39" s="21"/>
      <c r="NZW39" s="21"/>
      <c r="NZX39" s="21"/>
      <c r="NZY39" s="21"/>
      <c r="NZZ39" s="21"/>
      <c r="OAA39" s="21"/>
      <c r="OAB39" s="21"/>
      <c r="OAC39" s="21"/>
      <c r="OAD39" s="21"/>
      <c r="OAE39" s="21"/>
      <c r="OAF39" s="21"/>
      <c r="OAG39" s="21"/>
      <c r="OAH39" s="21"/>
      <c r="OAI39" s="21"/>
      <c r="OAJ39" s="21"/>
      <c r="OAK39" s="21"/>
      <c r="OAL39" s="21"/>
      <c r="OAM39" s="21"/>
      <c r="OAN39" s="21"/>
      <c r="OAO39" s="21"/>
      <c r="OAP39" s="21"/>
      <c r="OAQ39" s="21"/>
      <c r="OAR39" s="21"/>
      <c r="OAS39" s="21"/>
      <c r="OAT39" s="21"/>
      <c r="OAU39" s="21"/>
      <c r="OAV39" s="21"/>
      <c r="OAW39" s="21"/>
      <c r="OAX39" s="21"/>
      <c r="OAY39" s="21"/>
      <c r="OAZ39" s="21"/>
      <c r="OBA39" s="21"/>
      <c r="OBB39" s="21"/>
      <c r="OBC39" s="21"/>
      <c r="OBD39" s="21"/>
      <c r="OBE39" s="21"/>
      <c r="OBF39" s="21"/>
      <c r="OBG39" s="21"/>
      <c r="OBH39" s="21"/>
      <c r="OBI39" s="21"/>
      <c r="OBJ39" s="21"/>
      <c r="OBK39" s="21"/>
      <c r="OBL39" s="21"/>
      <c r="OBM39" s="21"/>
      <c r="OBN39" s="21"/>
      <c r="OBO39" s="21"/>
      <c r="OBP39" s="21"/>
      <c r="OBQ39" s="21"/>
      <c r="OBR39" s="21"/>
      <c r="OBS39" s="21"/>
      <c r="OBT39" s="21"/>
      <c r="OBU39" s="21"/>
      <c r="OBV39" s="21"/>
      <c r="OBW39" s="21"/>
      <c r="OBX39" s="21"/>
      <c r="OBY39" s="21"/>
      <c r="OBZ39" s="21"/>
      <c r="OCA39" s="21"/>
      <c r="OCB39" s="21"/>
      <c r="OCC39" s="21"/>
      <c r="OCD39" s="21"/>
      <c r="OCE39" s="21"/>
      <c r="OCF39" s="21"/>
      <c r="OCG39" s="21"/>
      <c r="OCH39" s="21"/>
      <c r="OCI39" s="21"/>
      <c r="OCJ39" s="21"/>
      <c r="OCK39" s="21"/>
      <c r="OCL39" s="21"/>
      <c r="OCM39" s="21"/>
      <c r="OCN39" s="21"/>
      <c r="OCO39" s="21"/>
      <c r="OCP39" s="21"/>
      <c r="OCQ39" s="21"/>
      <c r="OCR39" s="21"/>
      <c r="OCS39" s="21"/>
      <c r="OCT39" s="21"/>
      <c r="OCU39" s="21"/>
      <c r="OCV39" s="21"/>
      <c r="OCW39" s="21"/>
      <c r="OCX39" s="21"/>
      <c r="OCY39" s="21"/>
      <c r="OCZ39" s="21"/>
      <c r="ODA39" s="21"/>
      <c r="ODB39" s="21"/>
      <c r="ODC39" s="21"/>
      <c r="ODD39" s="21"/>
      <c r="ODE39" s="21"/>
      <c r="ODF39" s="21"/>
      <c r="ODG39" s="21"/>
      <c r="ODH39" s="21"/>
      <c r="ODI39" s="21"/>
      <c r="ODJ39" s="21"/>
      <c r="ODK39" s="21"/>
      <c r="ODL39" s="21"/>
      <c r="ODM39" s="21"/>
      <c r="ODN39" s="21"/>
      <c r="ODO39" s="21"/>
      <c r="ODP39" s="21"/>
      <c r="ODQ39" s="21"/>
      <c r="ODR39" s="21"/>
      <c r="ODS39" s="21"/>
      <c r="ODT39" s="21"/>
      <c r="ODU39" s="21"/>
      <c r="ODV39" s="21"/>
      <c r="ODW39" s="21"/>
      <c r="ODX39" s="21"/>
      <c r="ODY39" s="21"/>
      <c r="ODZ39" s="21"/>
      <c r="OEA39" s="21"/>
      <c r="OEB39" s="21"/>
      <c r="OEC39" s="21"/>
      <c r="OED39" s="21"/>
      <c r="OEE39" s="21"/>
      <c r="OEF39" s="21"/>
      <c r="OEG39" s="21"/>
      <c r="OEH39" s="21"/>
      <c r="OEI39" s="21"/>
      <c r="OEJ39" s="21"/>
      <c r="OEK39" s="21"/>
      <c r="OEL39" s="21"/>
      <c r="OEM39" s="21"/>
      <c r="OEN39" s="21"/>
      <c r="OEO39" s="21"/>
      <c r="OEP39" s="21"/>
      <c r="OEQ39" s="21"/>
      <c r="OER39" s="21"/>
      <c r="OES39" s="21"/>
      <c r="OET39" s="21"/>
      <c r="OEU39" s="21"/>
      <c r="OEV39" s="21"/>
      <c r="OEW39" s="21"/>
      <c r="OEX39" s="21"/>
      <c r="OEY39" s="21"/>
      <c r="OEZ39" s="21"/>
      <c r="OFA39" s="21"/>
      <c r="OFB39" s="21"/>
      <c r="OFC39" s="21"/>
      <c r="OFD39" s="21"/>
      <c r="OFE39" s="21"/>
      <c r="OFF39" s="21"/>
      <c r="OFG39" s="21"/>
      <c r="OFH39" s="21"/>
      <c r="OFI39" s="21"/>
      <c r="OFJ39" s="21"/>
      <c r="OFK39" s="21"/>
      <c r="OFL39" s="21"/>
      <c r="OFM39" s="21"/>
      <c r="OFN39" s="21"/>
      <c r="OFO39" s="21"/>
      <c r="OFP39" s="21"/>
      <c r="OFQ39" s="21"/>
      <c r="OFR39" s="21"/>
      <c r="OFS39" s="21"/>
      <c r="OFT39" s="21"/>
      <c r="OFU39" s="21"/>
      <c r="OFV39" s="21"/>
      <c r="OFW39" s="21"/>
      <c r="OFX39" s="21"/>
      <c r="OFY39" s="21"/>
      <c r="OFZ39" s="21"/>
      <c r="OGA39" s="21"/>
      <c r="OGB39" s="21"/>
      <c r="OGC39" s="21"/>
      <c r="OGD39" s="21"/>
      <c r="OGE39" s="21"/>
      <c r="OGF39" s="21"/>
      <c r="OGG39" s="21"/>
      <c r="OGH39" s="21"/>
      <c r="OGI39" s="21"/>
      <c r="OGJ39" s="21"/>
      <c r="OGK39" s="21"/>
      <c r="OGL39" s="21"/>
      <c r="OGM39" s="21"/>
      <c r="OGN39" s="21"/>
      <c r="OGO39" s="21"/>
      <c r="OGP39" s="21"/>
      <c r="OGQ39" s="21"/>
      <c r="OGR39" s="21"/>
      <c r="OGS39" s="21"/>
      <c r="OGT39" s="21"/>
      <c r="OGU39" s="21"/>
      <c r="OGV39" s="21"/>
      <c r="OGW39" s="21"/>
      <c r="OGX39" s="21"/>
      <c r="OGY39" s="21"/>
      <c r="OGZ39" s="21"/>
      <c r="OHA39" s="21"/>
      <c r="OHB39" s="21"/>
      <c r="OHC39" s="21"/>
      <c r="OHD39" s="21"/>
      <c r="OHE39" s="21"/>
      <c r="OHF39" s="21"/>
      <c r="OHG39" s="21"/>
      <c r="OHH39" s="21"/>
      <c r="OHI39" s="21"/>
      <c r="OHJ39" s="21"/>
      <c r="OHK39" s="21"/>
      <c r="OHL39" s="21"/>
      <c r="OHM39" s="21"/>
      <c r="OHN39" s="21"/>
      <c r="OHO39" s="21"/>
      <c r="OHP39" s="21"/>
      <c r="OHQ39" s="21"/>
      <c r="OHR39" s="21"/>
      <c r="OHS39" s="21"/>
      <c r="OHT39" s="21"/>
      <c r="OHU39" s="21"/>
      <c r="OHV39" s="21"/>
      <c r="OHW39" s="21"/>
      <c r="OHX39" s="21"/>
      <c r="OHY39" s="21"/>
      <c r="OHZ39" s="21"/>
      <c r="OIA39" s="21"/>
      <c r="OIB39" s="21"/>
      <c r="OIC39" s="21"/>
      <c r="OID39" s="21"/>
      <c r="OIE39" s="21"/>
      <c r="OIF39" s="21"/>
      <c r="OIG39" s="21"/>
      <c r="OIH39" s="21"/>
      <c r="OII39" s="21"/>
      <c r="OIJ39" s="21"/>
      <c r="OIK39" s="21"/>
      <c r="OIL39" s="21"/>
      <c r="OIM39" s="21"/>
      <c r="OIN39" s="21"/>
      <c r="OIO39" s="21"/>
      <c r="OIP39" s="21"/>
      <c r="OIQ39" s="21"/>
      <c r="OIR39" s="21"/>
      <c r="OIS39" s="21"/>
      <c r="OIT39" s="21"/>
      <c r="OIU39" s="21"/>
      <c r="OIV39" s="21"/>
      <c r="OIW39" s="21"/>
      <c r="OIX39" s="21"/>
      <c r="OIY39" s="21"/>
      <c r="OIZ39" s="21"/>
      <c r="OJA39" s="21"/>
      <c r="OJB39" s="21"/>
      <c r="OJC39" s="21"/>
      <c r="OJD39" s="21"/>
      <c r="OJE39" s="21"/>
      <c r="OJF39" s="21"/>
      <c r="OJG39" s="21"/>
      <c r="OJH39" s="21"/>
      <c r="OJI39" s="21"/>
      <c r="OJJ39" s="21"/>
      <c r="OJK39" s="21"/>
      <c r="OJL39" s="21"/>
      <c r="OJM39" s="21"/>
      <c r="OJN39" s="21"/>
      <c r="OJO39" s="21"/>
      <c r="OJP39" s="21"/>
      <c r="OJQ39" s="21"/>
      <c r="OJR39" s="21"/>
      <c r="OJS39" s="21"/>
      <c r="OJT39" s="21"/>
      <c r="OJU39" s="21"/>
      <c r="OJV39" s="21"/>
      <c r="OJW39" s="21"/>
      <c r="OJX39" s="21"/>
      <c r="OJY39" s="21"/>
      <c r="OJZ39" s="21"/>
      <c r="OKA39" s="21"/>
      <c r="OKB39" s="21"/>
      <c r="OKC39" s="21"/>
      <c r="OKD39" s="21"/>
      <c r="OKE39" s="21"/>
      <c r="OKF39" s="21"/>
      <c r="OKG39" s="21"/>
      <c r="OKH39" s="21"/>
      <c r="OKI39" s="21"/>
      <c r="OKJ39" s="21"/>
      <c r="OKK39" s="21"/>
      <c r="OKL39" s="21"/>
      <c r="OKM39" s="21"/>
      <c r="OKN39" s="21"/>
      <c r="OKO39" s="21"/>
      <c r="OKP39" s="21"/>
      <c r="OKQ39" s="21"/>
      <c r="OKR39" s="21"/>
      <c r="OKS39" s="21"/>
      <c r="OKT39" s="21"/>
      <c r="OKU39" s="21"/>
      <c r="OKV39" s="21"/>
      <c r="OKW39" s="21"/>
      <c r="OKX39" s="21"/>
      <c r="OKY39" s="21"/>
      <c r="OKZ39" s="21"/>
      <c r="OLA39" s="21"/>
      <c r="OLB39" s="21"/>
      <c r="OLC39" s="21"/>
      <c r="OLD39" s="21"/>
      <c r="OLE39" s="21"/>
      <c r="OLF39" s="21"/>
      <c r="OLG39" s="21"/>
      <c r="OLH39" s="21"/>
      <c r="OLI39" s="21"/>
      <c r="OLJ39" s="21"/>
      <c r="OLK39" s="21"/>
      <c r="OLL39" s="21"/>
      <c r="OLM39" s="21"/>
      <c r="OLN39" s="21"/>
      <c r="OLO39" s="21"/>
      <c r="OLP39" s="21"/>
      <c r="OLQ39" s="21"/>
      <c r="OLR39" s="21"/>
      <c r="OLS39" s="21"/>
      <c r="OLT39" s="21"/>
      <c r="OLU39" s="21"/>
      <c r="OLV39" s="21"/>
      <c r="OLW39" s="21"/>
      <c r="OLX39" s="21"/>
      <c r="OLY39" s="21"/>
      <c r="OLZ39" s="21"/>
      <c r="OMA39" s="21"/>
      <c r="OMB39" s="21"/>
      <c r="OMC39" s="21"/>
      <c r="OMD39" s="21"/>
      <c r="OME39" s="21"/>
      <c r="OMF39" s="21"/>
      <c r="OMG39" s="21"/>
      <c r="OMH39" s="21"/>
      <c r="OMI39" s="21"/>
      <c r="OMJ39" s="21"/>
      <c r="OMK39" s="21"/>
      <c r="OML39" s="21"/>
      <c r="OMM39" s="21"/>
      <c r="OMN39" s="21"/>
      <c r="OMO39" s="21"/>
      <c r="OMP39" s="21"/>
      <c r="OMQ39" s="21"/>
      <c r="OMR39" s="21"/>
      <c r="OMS39" s="21"/>
      <c r="OMT39" s="21"/>
      <c r="OMU39" s="21"/>
      <c r="OMV39" s="21"/>
      <c r="OMW39" s="21"/>
      <c r="OMX39" s="21"/>
      <c r="OMY39" s="21"/>
      <c r="OMZ39" s="21"/>
      <c r="ONA39" s="21"/>
      <c r="ONB39" s="21"/>
      <c r="ONC39" s="21"/>
      <c r="OND39" s="21"/>
      <c r="ONE39" s="21"/>
      <c r="ONF39" s="21"/>
      <c r="ONG39" s="21"/>
      <c r="ONH39" s="21"/>
      <c r="ONI39" s="21"/>
      <c r="ONJ39" s="21"/>
      <c r="ONK39" s="21"/>
      <c r="ONL39" s="21"/>
      <c r="ONM39" s="21"/>
      <c r="ONN39" s="21"/>
      <c r="ONO39" s="21"/>
      <c r="ONP39" s="21"/>
      <c r="ONQ39" s="21"/>
      <c r="ONR39" s="21"/>
      <c r="ONS39" s="21"/>
      <c r="ONT39" s="21"/>
      <c r="ONU39" s="21"/>
      <c r="ONV39" s="21"/>
      <c r="ONW39" s="21"/>
      <c r="ONX39" s="21"/>
      <c r="ONY39" s="21"/>
      <c r="ONZ39" s="21"/>
      <c r="OOA39" s="21"/>
      <c r="OOB39" s="21"/>
      <c r="OOC39" s="21"/>
      <c r="OOD39" s="21"/>
      <c r="OOE39" s="21"/>
      <c r="OOF39" s="21"/>
      <c r="OOG39" s="21"/>
      <c r="OOH39" s="21"/>
      <c r="OOI39" s="21"/>
      <c r="OOJ39" s="21"/>
      <c r="OOK39" s="21"/>
      <c r="OOL39" s="21"/>
      <c r="OOM39" s="21"/>
      <c r="OON39" s="21"/>
      <c r="OOO39" s="21"/>
      <c r="OOP39" s="21"/>
      <c r="OOQ39" s="21"/>
      <c r="OOR39" s="21"/>
      <c r="OOS39" s="21"/>
      <c r="OOT39" s="21"/>
      <c r="OOU39" s="21"/>
      <c r="OOV39" s="21"/>
      <c r="OOW39" s="21"/>
      <c r="OOX39" s="21"/>
      <c r="OOY39" s="21"/>
      <c r="OOZ39" s="21"/>
      <c r="OPA39" s="21"/>
      <c r="OPB39" s="21"/>
      <c r="OPC39" s="21"/>
      <c r="OPD39" s="21"/>
      <c r="OPE39" s="21"/>
      <c r="OPF39" s="21"/>
      <c r="OPG39" s="21"/>
      <c r="OPH39" s="21"/>
      <c r="OPI39" s="21"/>
      <c r="OPJ39" s="21"/>
      <c r="OPK39" s="21"/>
      <c r="OPL39" s="21"/>
      <c r="OPM39" s="21"/>
      <c r="OPN39" s="21"/>
      <c r="OPO39" s="21"/>
      <c r="OPP39" s="21"/>
      <c r="OPQ39" s="21"/>
      <c r="OPR39" s="21"/>
      <c r="OPS39" s="21"/>
      <c r="OPT39" s="21"/>
      <c r="OPU39" s="21"/>
      <c r="OPV39" s="21"/>
      <c r="OPW39" s="21"/>
      <c r="OPX39" s="21"/>
      <c r="OPY39" s="21"/>
      <c r="OPZ39" s="21"/>
      <c r="OQA39" s="21"/>
      <c r="OQB39" s="21"/>
      <c r="OQC39" s="21"/>
      <c r="OQD39" s="21"/>
      <c r="OQE39" s="21"/>
      <c r="OQF39" s="21"/>
      <c r="OQG39" s="21"/>
      <c r="OQH39" s="21"/>
      <c r="OQI39" s="21"/>
      <c r="OQJ39" s="21"/>
      <c r="OQK39" s="21"/>
      <c r="OQL39" s="21"/>
      <c r="OQM39" s="21"/>
      <c r="OQN39" s="21"/>
      <c r="OQO39" s="21"/>
      <c r="OQP39" s="21"/>
      <c r="OQQ39" s="21"/>
      <c r="OQR39" s="21"/>
      <c r="OQS39" s="21"/>
      <c r="OQT39" s="21"/>
      <c r="OQU39" s="21"/>
      <c r="OQV39" s="21"/>
      <c r="OQW39" s="21"/>
      <c r="OQX39" s="21"/>
      <c r="OQY39" s="21"/>
      <c r="OQZ39" s="21"/>
      <c r="ORA39" s="21"/>
      <c r="ORB39" s="21"/>
      <c r="ORC39" s="21"/>
      <c r="ORD39" s="21"/>
      <c r="ORE39" s="21"/>
      <c r="ORF39" s="21"/>
      <c r="ORG39" s="21"/>
      <c r="ORH39" s="21"/>
      <c r="ORI39" s="21"/>
      <c r="ORJ39" s="21"/>
      <c r="ORK39" s="21"/>
      <c r="ORL39" s="21"/>
      <c r="ORM39" s="21"/>
      <c r="ORN39" s="21"/>
      <c r="ORO39" s="21"/>
      <c r="ORP39" s="21"/>
      <c r="ORQ39" s="21"/>
      <c r="ORR39" s="21"/>
      <c r="ORS39" s="21"/>
      <c r="ORT39" s="21"/>
      <c r="ORU39" s="21"/>
      <c r="ORV39" s="21"/>
      <c r="ORW39" s="21"/>
      <c r="ORX39" s="21"/>
      <c r="ORY39" s="21"/>
      <c r="ORZ39" s="21"/>
      <c r="OSA39" s="21"/>
      <c r="OSB39" s="21"/>
      <c r="OSC39" s="21"/>
      <c r="OSD39" s="21"/>
      <c r="OSE39" s="21"/>
      <c r="OSF39" s="21"/>
      <c r="OSG39" s="21"/>
      <c r="OSH39" s="21"/>
      <c r="OSI39" s="21"/>
      <c r="OSJ39" s="21"/>
      <c r="OSK39" s="21"/>
      <c r="OSL39" s="21"/>
      <c r="OSM39" s="21"/>
      <c r="OSN39" s="21"/>
      <c r="OSO39" s="21"/>
      <c r="OSP39" s="21"/>
      <c r="OSQ39" s="21"/>
      <c r="OSR39" s="21"/>
      <c r="OSS39" s="21"/>
      <c r="OST39" s="21"/>
      <c r="OSU39" s="21"/>
      <c r="OSV39" s="21"/>
      <c r="OSW39" s="21"/>
      <c r="OSX39" s="21"/>
      <c r="OSY39" s="21"/>
      <c r="OSZ39" s="21"/>
      <c r="OTA39" s="21"/>
      <c r="OTB39" s="21"/>
      <c r="OTC39" s="21"/>
      <c r="OTD39" s="21"/>
      <c r="OTE39" s="21"/>
      <c r="OTF39" s="21"/>
      <c r="OTG39" s="21"/>
      <c r="OTH39" s="21"/>
      <c r="OTI39" s="21"/>
      <c r="OTJ39" s="21"/>
      <c r="OTK39" s="21"/>
      <c r="OTL39" s="21"/>
      <c r="OTM39" s="21"/>
      <c r="OTN39" s="21"/>
      <c r="OTO39" s="21"/>
      <c r="OTP39" s="21"/>
      <c r="OTQ39" s="21"/>
      <c r="OTR39" s="21"/>
      <c r="OTS39" s="21"/>
      <c r="OTT39" s="21"/>
      <c r="OTU39" s="21"/>
      <c r="OTV39" s="21"/>
      <c r="OTW39" s="21"/>
      <c r="OTX39" s="21"/>
      <c r="OTY39" s="21"/>
      <c r="OTZ39" s="21"/>
      <c r="OUA39" s="21"/>
      <c r="OUB39" s="21"/>
      <c r="OUC39" s="21"/>
      <c r="OUD39" s="21"/>
      <c r="OUE39" s="21"/>
      <c r="OUF39" s="21"/>
      <c r="OUG39" s="21"/>
      <c r="OUH39" s="21"/>
      <c r="OUI39" s="21"/>
      <c r="OUJ39" s="21"/>
      <c r="OUK39" s="21"/>
      <c r="OUL39" s="21"/>
      <c r="OUM39" s="21"/>
      <c r="OUN39" s="21"/>
      <c r="OUO39" s="21"/>
      <c r="OUP39" s="21"/>
      <c r="OUQ39" s="21"/>
      <c r="OUR39" s="21"/>
      <c r="OUS39" s="21"/>
      <c r="OUT39" s="21"/>
      <c r="OUU39" s="21"/>
      <c r="OUV39" s="21"/>
      <c r="OUW39" s="21"/>
      <c r="OUX39" s="21"/>
      <c r="OUY39" s="21"/>
      <c r="OUZ39" s="21"/>
      <c r="OVA39" s="21"/>
      <c r="OVB39" s="21"/>
      <c r="OVC39" s="21"/>
      <c r="OVD39" s="21"/>
      <c r="OVE39" s="21"/>
      <c r="OVF39" s="21"/>
      <c r="OVG39" s="21"/>
      <c r="OVH39" s="21"/>
      <c r="OVI39" s="21"/>
      <c r="OVJ39" s="21"/>
      <c r="OVK39" s="21"/>
      <c r="OVL39" s="21"/>
      <c r="OVM39" s="21"/>
      <c r="OVN39" s="21"/>
      <c r="OVO39" s="21"/>
      <c r="OVP39" s="21"/>
      <c r="OVQ39" s="21"/>
      <c r="OVR39" s="21"/>
      <c r="OVS39" s="21"/>
      <c r="OVT39" s="21"/>
      <c r="OVU39" s="21"/>
      <c r="OVV39" s="21"/>
      <c r="OVW39" s="21"/>
      <c r="OVX39" s="21"/>
      <c r="OVY39" s="21"/>
      <c r="OVZ39" s="21"/>
      <c r="OWA39" s="21"/>
      <c r="OWB39" s="21"/>
      <c r="OWC39" s="21"/>
      <c r="OWD39" s="21"/>
      <c r="OWE39" s="21"/>
      <c r="OWF39" s="21"/>
      <c r="OWG39" s="21"/>
      <c r="OWH39" s="21"/>
      <c r="OWI39" s="21"/>
      <c r="OWJ39" s="21"/>
      <c r="OWK39" s="21"/>
      <c r="OWL39" s="21"/>
      <c r="OWM39" s="21"/>
      <c r="OWN39" s="21"/>
      <c r="OWO39" s="21"/>
      <c r="OWP39" s="21"/>
      <c r="OWQ39" s="21"/>
      <c r="OWR39" s="21"/>
      <c r="OWS39" s="21"/>
      <c r="OWT39" s="21"/>
      <c r="OWU39" s="21"/>
      <c r="OWV39" s="21"/>
      <c r="OWW39" s="21"/>
      <c r="OWX39" s="21"/>
      <c r="OWY39" s="21"/>
      <c r="OWZ39" s="21"/>
      <c r="OXA39" s="21"/>
      <c r="OXB39" s="21"/>
      <c r="OXC39" s="21"/>
      <c r="OXD39" s="21"/>
      <c r="OXE39" s="21"/>
      <c r="OXF39" s="21"/>
      <c r="OXG39" s="21"/>
      <c r="OXH39" s="21"/>
      <c r="OXI39" s="21"/>
      <c r="OXJ39" s="21"/>
      <c r="OXK39" s="21"/>
      <c r="OXL39" s="21"/>
      <c r="OXM39" s="21"/>
      <c r="OXN39" s="21"/>
      <c r="OXO39" s="21"/>
      <c r="OXP39" s="21"/>
      <c r="OXQ39" s="21"/>
      <c r="OXR39" s="21"/>
      <c r="OXS39" s="21"/>
      <c r="OXT39" s="21"/>
      <c r="OXU39" s="21"/>
      <c r="OXV39" s="21"/>
      <c r="OXW39" s="21"/>
      <c r="OXX39" s="21"/>
      <c r="OXY39" s="21"/>
      <c r="OXZ39" s="21"/>
      <c r="OYA39" s="21"/>
      <c r="OYB39" s="21"/>
      <c r="OYC39" s="21"/>
      <c r="OYD39" s="21"/>
      <c r="OYE39" s="21"/>
      <c r="OYF39" s="21"/>
      <c r="OYG39" s="21"/>
      <c r="OYH39" s="21"/>
      <c r="OYI39" s="21"/>
      <c r="OYJ39" s="21"/>
      <c r="OYK39" s="21"/>
      <c r="OYL39" s="21"/>
      <c r="OYM39" s="21"/>
      <c r="OYN39" s="21"/>
      <c r="OYO39" s="21"/>
      <c r="OYP39" s="21"/>
      <c r="OYQ39" s="21"/>
      <c r="OYR39" s="21"/>
      <c r="OYS39" s="21"/>
      <c r="OYT39" s="21"/>
      <c r="OYU39" s="21"/>
      <c r="OYV39" s="21"/>
      <c r="OYW39" s="21"/>
      <c r="OYX39" s="21"/>
      <c r="OYY39" s="21"/>
      <c r="OYZ39" s="21"/>
      <c r="OZA39" s="21"/>
      <c r="OZB39" s="21"/>
      <c r="OZC39" s="21"/>
      <c r="OZD39" s="21"/>
      <c r="OZE39" s="21"/>
      <c r="OZF39" s="21"/>
      <c r="OZG39" s="21"/>
      <c r="OZH39" s="21"/>
      <c r="OZI39" s="21"/>
      <c r="OZJ39" s="21"/>
      <c r="OZK39" s="21"/>
      <c r="OZL39" s="21"/>
      <c r="OZM39" s="21"/>
      <c r="OZN39" s="21"/>
      <c r="OZO39" s="21"/>
      <c r="OZP39" s="21"/>
      <c r="OZQ39" s="21"/>
      <c r="OZR39" s="21"/>
      <c r="OZS39" s="21"/>
      <c r="OZT39" s="21"/>
      <c r="OZU39" s="21"/>
      <c r="OZV39" s="21"/>
      <c r="OZW39" s="21"/>
      <c r="OZX39" s="21"/>
      <c r="OZY39" s="21"/>
      <c r="OZZ39" s="21"/>
      <c r="PAA39" s="21"/>
      <c r="PAB39" s="21"/>
      <c r="PAC39" s="21"/>
      <c r="PAD39" s="21"/>
      <c r="PAE39" s="21"/>
      <c r="PAF39" s="21"/>
      <c r="PAG39" s="21"/>
      <c r="PAH39" s="21"/>
      <c r="PAI39" s="21"/>
      <c r="PAJ39" s="21"/>
      <c r="PAK39" s="21"/>
      <c r="PAL39" s="21"/>
      <c r="PAM39" s="21"/>
      <c r="PAN39" s="21"/>
      <c r="PAO39" s="21"/>
      <c r="PAP39" s="21"/>
      <c r="PAQ39" s="21"/>
      <c r="PAR39" s="21"/>
      <c r="PAS39" s="21"/>
      <c r="PAT39" s="21"/>
      <c r="PAU39" s="21"/>
      <c r="PAV39" s="21"/>
      <c r="PAW39" s="21"/>
      <c r="PAX39" s="21"/>
      <c r="PAY39" s="21"/>
      <c r="PAZ39" s="21"/>
      <c r="PBA39" s="21"/>
      <c r="PBB39" s="21"/>
      <c r="PBC39" s="21"/>
      <c r="PBD39" s="21"/>
      <c r="PBE39" s="21"/>
      <c r="PBF39" s="21"/>
      <c r="PBG39" s="21"/>
      <c r="PBH39" s="21"/>
      <c r="PBI39" s="21"/>
      <c r="PBJ39" s="21"/>
      <c r="PBK39" s="21"/>
      <c r="PBL39" s="21"/>
      <c r="PBM39" s="21"/>
      <c r="PBN39" s="21"/>
      <c r="PBO39" s="21"/>
      <c r="PBP39" s="21"/>
      <c r="PBQ39" s="21"/>
      <c r="PBR39" s="21"/>
      <c r="PBS39" s="21"/>
      <c r="PBT39" s="21"/>
      <c r="PBU39" s="21"/>
      <c r="PBV39" s="21"/>
      <c r="PBW39" s="21"/>
      <c r="PBX39" s="21"/>
      <c r="PBY39" s="21"/>
      <c r="PBZ39" s="21"/>
      <c r="PCA39" s="21"/>
      <c r="PCB39" s="21"/>
      <c r="PCC39" s="21"/>
      <c r="PCD39" s="21"/>
      <c r="PCE39" s="21"/>
      <c r="PCF39" s="21"/>
      <c r="PCG39" s="21"/>
      <c r="PCH39" s="21"/>
      <c r="PCI39" s="21"/>
      <c r="PCJ39" s="21"/>
      <c r="PCK39" s="21"/>
      <c r="PCL39" s="21"/>
      <c r="PCM39" s="21"/>
      <c r="PCN39" s="21"/>
      <c r="PCO39" s="21"/>
      <c r="PCP39" s="21"/>
      <c r="PCQ39" s="21"/>
      <c r="PCR39" s="21"/>
      <c r="PCS39" s="21"/>
      <c r="PCT39" s="21"/>
      <c r="PCU39" s="21"/>
      <c r="PCV39" s="21"/>
      <c r="PCW39" s="21"/>
      <c r="PCX39" s="21"/>
      <c r="PCY39" s="21"/>
      <c r="PCZ39" s="21"/>
      <c r="PDA39" s="21"/>
      <c r="PDB39" s="21"/>
      <c r="PDC39" s="21"/>
      <c r="PDD39" s="21"/>
      <c r="PDE39" s="21"/>
      <c r="PDF39" s="21"/>
      <c r="PDG39" s="21"/>
      <c r="PDH39" s="21"/>
      <c r="PDI39" s="21"/>
      <c r="PDJ39" s="21"/>
      <c r="PDK39" s="21"/>
      <c r="PDL39" s="21"/>
      <c r="PDM39" s="21"/>
      <c r="PDN39" s="21"/>
      <c r="PDO39" s="21"/>
      <c r="PDP39" s="21"/>
      <c r="PDQ39" s="21"/>
      <c r="PDR39" s="21"/>
      <c r="PDS39" s="21"/>
      <c r="PDT39" s="21"/>
      <c r="PDU39" s="21"/>
      <c r="PDV39" s="21"/>
      <c r="PDW39" s="21"/>
      <c r="PDX39" s="21"/>
      <c r="PDY39" s="21"/>
      <c r="PDZ39" s="21"/>
      <c r="PEA39" s="21"/>
      <c r="PEB39" s="21"/>
      <c r="PEC39" s="21"/>
      <c r="PED39" s="21"/>
      <c r="PEE39" s="21"/>
      <c r="PEF39" s="21"/>
      <c r="PEG39" s="21"/>
      <c r="PEH39" s="21"/>
      <c r="PEI39" s="21"/>
      <c r="PEJ39" s="21"/>
      <c r="PEK39" s="21"/>
      <c r="PEL39" s="21"/>
      <c r="PEM39" s="21"/>
      <c r="PEN39" s="21"/>
      <c r="PEO39" s="21"/>
      <c r="PEP39" s="21"/>
      <c r="PEQ39" s="21"/>
      <c r="PER39" s="21"/>
      <c r="PES39" s="21"/>
      <c r="PET39" s="21"/>
      <c r="PEU39" s="21"/>
      <c r="PEV39" s="21"/>
      <c r="PEW39" s="21"/>
      <c r="PEX39" s="21"/>
      <c r="PEY39" s="21"/>
      <c r="PEZ39" s="21"/>
      <c r="PFA39" s="21"/>
      <c r="PFB39" s="21"/>
      <c r="PFC39" s="21"/>
      <c r="PFD39" s="21"/>
      <c r="PFE39" s="21"/>
      <c r="PFF39" s="21"/>
      <c r="PFG39" s="21"/>
      <c r="PFH39" s="21"/>
      <c r="PFI39" s="21"/>
      <c r="PFJ39" s="21"/>
      <c r="PFK39" s="21"/>
      <c r="PFL39" s="21"/>
      <c r="PFM39" s="21"/>
      <c r="PFN39" s="21"/>
      <c r="PFO39" s="21"/>
      <c r="PFP39" s="21"/>
      <c r="PFQ39" s="21"/>
      <c r="PFR39" s="21"/>
      <c r="PFS39" s="21"/>
      <c r="PFT39" s="21"/>
      <c r="PFU39" s="21"/>
      <c r="PFV39" s="21"/>
      <c r="PFW39" s="21"/>
      <c r="PFX39" s="21"/>
      <c r="PFY39" s="21"/>
      <c r="PFZ39" s="21"/>
      <c r="PGA39" s="21"/>
      <c r="PGB39" s="21"/>
      <c r="PGC39" s="21"/>
      <c r="PGD39" s="21"/>
      <c r="PGE39" s="21"/>
      <c r="PGF39" s="21"/>
      <c r="PGG39" s="21"/>
      <c r="PGH39" s="21"/>
      <c r="PGI39" s="21"/>
      <c r="PGJ39" s="21"/>
      <c r="PGK39" s="21"/>
      <c r="PGL39" s="21"/>
      <c r="PGM39" s="21"/>
      <c r="PGN39" s="21"/>
      <c r="PGO39" s="21"/>
      <c r="PGP39" s="21"/>
      <c r="PGQ39" s="21"/>
      <c r="PGR39" s="21"/>
      <c r="PGS39" s="21"/>
      <c r="PGT39" s="21"/>
      <c r="PGU39" s="21"/>
      <c r="PGV39" s="21"/>
      <c r="PGW39" s="21"/>
      <c r="PGX39" s="21"/>
      <c r="PGY39" s="21"/>
      <c r="PGZ39" s="21"/>
      <c r="PHA39" s="21"/>
      <c r="PHB39" s="21"/>
      <c r="PHC39" s="21"/>
      <c r="PHD39" s="21"/>
      <c r="PHE39" s="21"/>
      <c r="PHF39" s="21"/>
      <c r="PHG39" s="21"/>
      <c r="PHH39" s="21"/>
      <c r="PHI39" s="21"/>
      <c r="PHJ39" s="21"/>
      <c r="PHK39" s="21"/>
      <c r="PHL39" s="21"/>
      <c r="PHM39" s="21"/>
      <c r="PHN39" s="21"/>
      <c r="PHO39" s="21"/>
      <c r="PHP39" s="21"/>
      <c r="PHQ39" s="21"/>
      <c r="PHR39" s="21"/>
      <c r="PHS39" s="21"/>
      <c r="PHT39" s="21"/>
      <c r="PHU39" s="21"/>
      <c r="PHV39" s="21"/>
      <c r="PHW39" s="21"/>
      <c r="PHX39" s="21"/>
      <c r="PHY39" s="21"/>
      <c r="PHZ39" s="21"/>
      <c r="PIA39" s="21"/>
      <c r="PIB39" s="21"/>
      <c r="PIC39" s="21"/>
      <c r="PID39" s="21"/>
      <c r="PIE39" s="21"/>
      <c r="PIF39" s="21"/>
      <c r="PIG39" s="21"/>
      <c r="PIH39" s="21"/>
      <c r="PII39" s="21"/>
      <c r="PIJ39" s="21"/>
      <c r="PIK39" s="21"/>
      <c r="PIL39" s="21"/>
      <c r="PIM39" s="21"/>
      <c r="PIN39" s="21"/>
      <c r="PIO39" s="21"/>
      <c r="PIP39" s="21"/>
      <c r="PIQ39" s="21"/>
      <c r="PIR39" s="21"/>
      <c r="PIS39" s="21"/>
      <c r="PIT39" s="21"/>
      <c r="PIU39" s="21"/>
      <c r="PIV39" s="21"/>
      <c r="PIW39" s="21"/>
      <c r="PIX39" s="21"/>
      <c r="PIY39" s="21"/>
      <c r="PIZ39" s="21"/>
      <c r="PJA39" s="21"/>
      <c r="PJB39" s="21"/>
      <c r="PJC39" s="21"/>
      <c r="PJD39" s="21"/>
      <c r="PJE39" s="21"/>
      <c r="PJF39" s="21"/>
      <c r="PJG39" s="21"/>
      <c r="PJH39" s="21"/>
      <c r="PJI39" s="21"/>
      <c r="PJJ39" s="21"/>
      <c r="PJK39" s="21"/>
      <c r="PJL39" s="21"/>
      <c r="PJM39" s="21"/>
      <c r="PJN39" s="21"/>
      <c r="PJO39" s="21"/>
      <c r="PJP39" s="21"/>
      <c r="PJQ39" s="21"/>
      <c r="PJR39" s="21"/>
      <c r="PJS39" s="21"/>
      <c r="PJT39" s="21"/>
      <c r="PJU39" s="21"/>
      <c r="PJV39" s="21"/>
      <c r="PJW39" s="21"/>
      <c r="PJX39" s="21"/>
      <c r="PJY39" s="21"/>
      <c r="PJZ39" s="21"/>
      <c r="PKA39" s="21"/>
      <c r="PKB39" s="21"/>
      <c r="PKC39" s="21"/>
      <c r="PKD39" s="21"/>
      <c r="PKE39" s="21"/>
      <c r="PKF39" s="21"/>
      <c r="PKG39" s="21"/>
      <c r="PKH39" s="21"/>
      <c r="PKI39" s="21"/>
      <c r="PKJ39" s="21"/>
      <c r="PKK39" s="21"/>
      <c r="PKL39" s="21"/>
      <c r="PKM39" s="21"/>
      <c r="PKN39" s="21"/>
      <c r="PKO39" s="21"/>
      <c r="PKP39" s="21"/>
      <c r="PKQ39" s="21"/>
      <c r="PKR39" s="21"/>
      <c r="PKS39" s="21"/>
      <c r="PKT39" s="21"/>
      <c r="PKU39" s="21"/>
      <c r="PKV39" s="21"/>
      <c r="PKW39" s="21"/>
      <c r="PKX39" s="21"/>
      <c r="PKY39" s="21"/>
      <c r="PKZ39" s="21"/>
      <c r="PLA39" s="21"/>
      <c r="PLB39" s="21"/>
      <c r="PLC39" s="21"/>
      <c r="PLD39" s="21"/>
      <c r="PLE39" s="21"/>
      <c r="PLF39" s="21"/>
      <c r="PLG39" s="21"/>
      <c r="PLH39" s="21"/>
      <c r="PLI39" s="21"/>
      <c r="PLJ39" s="21"/>
      <c r="PLK39" s="21"/>
      <c r="PLL39" s="21"/>
      <c r="PLM39" s="21"/>
      <c r="PLN39" s="21"/>
      <c r="PLO39" s="21"/>
      <c r="PLP39" s="21"/>
      <c r="PLQ39" s="21"/>
      <c r="PLR39" s="21"/>
      <c r="PLS39" s="21"/>
      <c r="PLT39" s="21"/>
      <c r="PLU39" s="21"/>
      <c r="PLV39" s="21"/>
      <c r="PLW39" s="21"/>
      <c r="PLX39" s="21"/>
      <c r="PLY39" s="21"/>
      <c r="PLZ39" s="21"/>
      <c r="PMA39" s="21"/>
      <c r="PMB39" s="21"/>
      <c r="PMC39" s="21"/>
      <c r="PMD39" s="21"/>
      <c r="PME39" s="21"/>
      <c r="PMF39" s="21"/>
      <c r="PMG39" s="21"/>
      <c r="PMH39" s="21"/>
      <c r="PMI39" s="21"/>
      <c r="PMJ39" s="21"/>
      <c r="PMK39" s="21"/>
      <c r="PML39" s="21"/>
      <c r="PMM39" s="21"/>
      <c r="PMN39" s="21"/>
      <c r="PMO39" s="21"/>
      <c r="PMP39" s="21"/>
      <c r="PMQ39" s="21"/>
      <c r="PMR39" s="21"/>
      <c r="PMS39" s="21"/>
      <c r="PMT39" s="21"/>
      <c r="PMU39" s="21"/>
      <c r="PMV39" s="21"/>
      <c r="PMW39" s="21"/>
      <c r="PMX39" s="21"/>
      <c r="PMY39" s="21"/>
      <c r="PMZ39" s="21"/>
      <c r="PNA39" s="21"/>
      <c r="PNB39" s="21"/>
      <c r="PNC39" s="21"/>
      <c r="PND39" s="21"/>
      <c r="PNE39" s="21"/>
      <c r="PNF39" s="21"/>
      <c r="PNG39" s="21"/>
      <c r="PNH39" s="21"/>
      <c r="PNI39" s="21"/>
      <c r="PNJ39" s="21"/>
      <c r="PNK39" s="21"/>
      <c r="PNL39" s="21"/>
      <c r="PNM39" s="21"/>
      <c r="PNN39" s="21"/>
      <c r="PNO39" s="21"/>
      <c r="PNP39" s="21"/>
      <c r="PNQ39" s="21"/>
      <c r="PNR39" s="21"/>
      <c r="PNS39" s="21"/>
      <c r="PNT39" s="21"/>
      <c r="PNU39" s="21"/>
      <c r="PNV39" s="21"/>
      <c r="PNW39" s="21"/>
      <c r="PNX39" s="21"/>
      <c r="PNY39" s="21"/>
      <c r="PNZ39" s="21"/>
      <c r="POA39" s="21"/>
      <c r="POB39" s="21"/>
      <c r="POC39" s="21"/>
      <c r="POD39" s="21"/>
      <c r="POE39" s="21"/>
      <c r="POF39" s="21"/>
      <c r="POG39" s="21"/>
      <c r="POH39" s="21"/>
      <c r="POI39" s="21"/>
      <c r="POJ39" s="21"/>
      <c r="POK39" s="21"/>
      <c r="POL39" s="21"/>
      <c r="POM39" s="21"/>
      <c r="PON39" s="21"/>
      <c r="POO39" s="21"/>
      <c r="POP39" s="21"/>
      <c r="POQ39" s="21"/>
      <c r="POR39" s="21"/>
      <c r="POS39" s="21"/>
      <c r="POT39" s="21"/>
      <c r="POU39" s="21"/>
      <c r="POV39" s="21"/>
      <c r="POW39" s="21"/>
      <c r="POX39" s="21"/>
      <c r="POY39" s="21"/>
      <c r="POZ39" s="21"/>
      <c r="PPA39" s="21"/>
      <c r="PPB39" s="21"/>
      <c r="PPC39" s="21"/>
      <c r="PPD39" s="21"/>
      <c r="PPE39" s="21"/>
      <c r="PPF39" s="21"/>
      <c r="PPG39" s="21"/>
      <c r="PPH39" s="21"/>
      <c r="PPI39" s="21"/>
      <c r="PPJ39" s="21"/>
      <c r="PPK39" s="21"/>
      <c r="PPL39" s="21"/>
      <c r="PPM39" s="21"/>
      <c r="PPN39" s="21"/>
      <c r="PPO39" s="21"/>
      <c r="PPP39" s="21"/>
      <c r="PPQ39" s="21"/>
      <c r="PPR39" s="21"/>
      <c r="PPS39" s="21"/>
      <c r="PPT39" s="21"/>
      <c r="PPU39" s="21"/>
      <c r="PPV39" s="21"/>
      <c r="PPW39" s="21"/>
      <c r="PPX39" s="21"/>
      <c r="PPY39" s="21"/>
      <c r="PPZ39" s="21"/>
      <c r="PQA39" s="21"/>
      <c r="PQB39" s="21"/>
      <c r="PQC39" s="21"/>
      <c r="PQD39" s="21"/>
      <c r="PQE39" s="21"/>
      <c r="PQF39" s="21"/>
      <c r="PQG39" s="21"/>
      <c r="PQH39" s="21"/>
      <c r="PQI39" s="21"/>
      <c r="PQJ39" s="21"/>
      <c r="PQK39" s="21"/>
      <c r="PQL39" s="21"/>
      <c r="PQM39" s="21"/>
      <c r="PQN39" s="21"/>
      <c r="PQO39" s="21"/>
      <c r="PQP39" s="21"/>
      <c r="PQQ39" s="21"/>
      <c r="PQR39" s="21"/>
      <c r="PQS39" s="21"/>
      <c r="PQT39" s="21"/>
      <c r="PQU39" s="21"/>
      <c r="PQV39" s="21"/>
      <c r="PQW39" s="21"/>
      <c r="PQX39" s="21"/>
      <c r="PQY39" s="21"/>
      <c r="PQZ39" s="21"/>
      <c r="PRA39" s="21"/>
      <c r="PRB39" s="21"/>
      <c r="PRC39" s="21"/>
      <c r="PRD39" s="21"/>
      <c r="PRE39" s="21"/>
      <c r="PRF39" s="21"/>
      <c r="PRG39" s="21"/>
      <c r="PRH39" s="21"/>
      <c r="PRI39" s="21"/>
      <c r="PRJ39" s="21"/>
      <c r="PRK39" s="21"/>
      <c r="PRL39" s="21"/>
      <c r="PRM39" s="21"/>
      <c r="PRN39" s="21"/>
      <c r="PRO39" s="21"/>
      <c r="PRP39" s="21"/>
      <c r="PRQ39" s="21"/>
      <c r="PRR39" s="21"/>
      <c r="PRS39" s="21"/>
      <c r="PRT39" s="21"/>
      <c r="PRU39" s="21"/>
      <c r="PRV39" s="21"/>
      <c r="PRW39" s="21"/>
      <c r="PRX39" s="21"/>
      <c r="PRY39" s="21"/>
      <c r="PRZ39" s="21"/>
      <c r="PSA39" s="21"/>
      <c r="PSB39" s="21"/>
      <c r="PSC39" s="21"/>
      <c r="PSD39" s="21"/>
      <c r="PSE39" s="21"/>
      <c r="PSF39" s="21"/>
      <c r="PSG39" s="21"/>
      <c r="PSH39" s="21"/>
      <c r="PSI39" s="21"/>
      <c r="PSJ39" s="21"/>
      <c r="PSK39" s="21"/>
      <c r="PSL39" s="21"/>
      <c r="PSM39" s="21"/>
      <c r="PSN39" s="21"/>
      <c r="PSO39" s="21"/>
      <c r="PSP39" s="21"/>
      <c r="PSQ39" s="21"/>
      <c r="PSR39" s="21"/>
      <c r="PSS39" s="21"/>
      <c r="PST39" s="21"/>
      <c r="PSU39" s="21"/>
      <c r="PSV39" s="21"/>
      <c r="PSW39" s="21"/>
      <c r="PSX39" s="21"/>
      <c r="PSY39" s="21"/>
      <c r="PSZ39" s="21"/>
      <c r="PTA39" s="21"/>
      <c r="PTB39" s="21"/>
      <c r="PTC39" s="21"/>
      <c r="PTD39" s="21"/>
      <c r="PTE39" s="21"/>
      <c r="PTF39" s="21"/>
      <c r="PTG39" s="21"/>
      <c r="PTH39" s="21"/>
      <c r="PTI39" s="21"/>
      <c r="PTJ39" s="21"/>
      <c r="PTK39" s="21"/>
      <c r="PTL39" s="21"/>
      <c r="PTM39" s="21"/>
      <c r="PTN39" s="21"/>
      <c r="PTO39" s="21"/>
      <c r="PTP39" s="21"/>
      <c r="PTQ39" s="21"/>
      <c r="PTR39" s="21"/>
      <c r="PTS39" s="21"/>
      <c r="PTT39" s="21"/>
      <c r="PTU39" s="21"/>
      <c r="PTV39" s="21"/>
      <c r="PTW39" s="21"/>
      <c r="PTX39" s="21"/>
      <c r="PTY39" s="21"/>
      <c r="PTZ39" s="21"/>
      <c r="PUA39" s="21"/>
      <c r="PUB39" s="21"/>
      <c r="PUC39" s="21"/>
      <c r="PUD39" s="21"/>
      <c r="PUE39" s="21"/>
      <c r="PUF39" s="21"/>
      <c r="PUG39" s="21"/>
      <c r="PUH39" s="21"/>
      <c r="PUI39" s="21"/>
      <c r="PUJ39" s="21"/>
      <c r="PUK39" s="21"/>
      <c r="PUL39" s="21"/>
      <c r="PUM39" s="21"/>
      <c r="PUN39" s="21"/>
      <c r="PUO39" s="21"/>
      <c r="PUP39" s="21"/>
      <c r="PUQ39" s="21"/>
      <c r="PUR39" s="21"/>
      <c r="PUS39" s="21"/>
      <c r="PUT39" s="21"/>
      <c r="PUU39" s="21"/>
      <c r="PUV39" s="21"/>
      <c r="PUW39" s="21"/>
      <c r="PUX39" s="21"/>
      <c r="PUY39" s="21"/>
      <c r="PUZ39" s="21"/>
      <c r="PVA39" s="21"/>
      <c r="PVB39" s="21"/>
      <c r="PVC39" s="21"/>
      <c r="PVD39" s="21"/>
      <c r="PVE39" s="21"/>
      <c r="PVF39" s="21"/>
      <c r="PVG39" s="21"/>
      <c r="PVH39" s="21"/>
      <c r="PVI39" s="21"/>
      <c r="PVJ39" s="21"/>
      <c r="PVK39" s="21"/>
      <c r="PVL39" s="21"/>
      <c r="PVM39" s="21"/>
      <c r="PVN39" s="21"/>
      <c r="PVO39" s="21"/>
      <c r="PVP39" s="21"/>
      <c r="PVQ39" s="21"/>
      <c r="PVR39" s="21"/>
      <c r="PVS39" s="21"/>
      <c r="PVT39" s="21"/>
      <c r="PVU39" s="21"/>
      <c r="PVV39" s="21"/>
      <c r="PVW39" s="21"/>
      <c r="PVX39" s="21"/>
      <c r="PVY39" s="21"/>
      <c r="PVZ39" s="21"/>
      <c r="PWA39" s="21"/>
      <c r="PWB39" s="21"/>
      <c r="PWC39" s="21"/>
      <c r="PWD39" s="21"/>
      <c r="PWE39" s="21"/>
      <c r="PWF39" s="21"/>
      <c r="PWG39" s="21"/>
      <c r="PWH39" s="21"/>
      <c r="PWI39" s="21"/>
      <c r="PWJ39" s="21"/>
      <c r="PWK39" s="21"/>
      <c r="PWL39" s="21"/>
      <c r="PWM39" s="21"/>
      <c r="PWN39" s="21"/>
      <c r="PWO39" s="21"/>
      <c r="PWP39" s="21"/>
      <c r="PWQ39" s="21"/>
      <c r="PWR39" s="21"/>
      <c r="PWS39" s="21"/>
      <c r="PWT39" s="21"/>
      <c r="PWU39" s="21"/>
      <c r="PWV39" s="21"/>
      <c r="PWW39" s="21"/>
      <c r="PWX39" s="21"/>
      <c r="PWY39" s="21"/>
      <c r="PWZ39" s="21"/>
      <c r="PXA39" s="21"/>
      <c r="PXB39" s="21"/>
      <c r="PXC39" s="21"/>
      <c r="PXD39" s="21"/>
      <c r="PXE39" s="21"/>
      <c r="PXF39" s="21"/>
      <c r="PXG39" s="21"/>
      <c r="PXH39" s="21"/>
      <c r="PXI39" s="21"/>
      <c r="PXJ39" s="21"/>
      <c r="PXK39" s="21"/>
      <c r="PXL39" s="21"/>
      <c r="PXM39" s="21"/>
      <c r="PXN39" s="21"/>
      <c r="PXO39" s="21"/>
      <c r="PXP39" s="21"/>
      <c r="PXQ39" s="21"/>
      <c r="PXR39" s="21"/>
      <c r="PXS39" s="21"/>
      <c r="PXT39" s="21"/>
      <c r="PXU39" s="21"/>
      <c r="PXV39" s="21"/>
      <c r="PXW39" s="21"/>
      <c r="PXX39" s="21"/>
      <c r="PXY39" s="21"/>
      <c r="PXZ39" s="21"/>
      <c r="PYA39" s="21"/>
      <c r="PYB39" s="21"/>
      <c r="PYC39" s="21"/>
      <c r="PYD39" s="21"/>
      <c r="PYE39" s="21"/>
      <c r="PYF39" s="21"/>
      <c r="PYG39" s="21"/>
      <c r="PYH39" s="21"/>
      <c r="PYI39" s="21"/>
      <c r="PYJ39" s="21"/>
      <c r="PYK39" s="21"/>
      <c r="PYL39" s="21"/>
      <c r="PYM39" s="21"/>
      <c r="PYN39" s="21"/>
      <c r="PYO39" s="21"/>
      <c r="PYP39" s="21"/>
      <c r="PYQ39" s="21"/>
      <c r="PYR39" s="21"/>
      <c r="PYS39" s="21"/>
      <c r="PYT39" s="21"/>
      <c r="PYU39" s="21"/>
      <c r="PYV39" s="21"/>
      <c r="PYW39" s="21"/>
      <c r="PYX39" s="21"/>
      <c r="PYY39" s="21"/>
      <c r="PYZ39" s="21"/>
      <c r="PZA39" s="21"/>
      <c r="PZB39" s="21"/>
      <c r="PZC39" s="21"/>
      <c r="PZD39" s="21"/>
      <c r="PZE39" s="21"/>
      <c r="PZF39" s="21"/>
      <c r="PZG39" s="21"/>
      <c r="PZH39" s="21"/>
      <c r="PZI39" s="21"/>
      <c r="PZJ39" s="21"/>
      <c r="PZK39" s="21"/>
      <c r="PZL39" s="21"/>
      <c r="PZM39" s="21"/>
      <c r="PZN39" s="21"/>
      <c r="PZO39" s="21"/>
      <c r="PZP39" s="21"/>
      <c r="PZQ39" s="21"/>
      <c r="PZR39" s="21"/>
      <c r="PZS39" s="21"/>
      <c r="PZT39" s="21"/>
      <c r="PZU39" s="21"/>
      <c r="PZV39" s="21"/>
      <c r="PZW39" s="21"/>
      <c r="PZX39" s="21"/>
      <c r="PZY39" s="21"/>
      <c r="PZZ39" s="21"/>
      <c r="QAA39" s="21"/>
      <c r="QAB39" s="21"/>
      <c r="QAC39" s="21"/>
      <c r="QAD39" s="21"/>
      <c r="QAE39" s="21"/>
      <c r="QAF39" s="21"/>
      <c r="QAG39" s="21"/>
      <c r="QAH39" s="21"/>
      <c r="QAI39" s="21"/>
      <c r="QAJ39" s="21"/>
      <c r="QAK39" s="21"/>
      <c r="QAL39" s="21"/>
      <c r="QAM39" s="21"/>
      <c r="QAN39" s="21"/>
      <c r="QAO39" s="21"/>
      <c r="QAP39" s="21"/>
      <c r="QAQ39" s="21"/>
      <c r="QAR39" s="21"/>
      <c r="QAS39" s="21"/>
      <c r="QAT39" s="21"/>
      <c r="QAU39" s="21"/>
      <c r="QAV39" s="21"/>
      <c r="QAW39" s="21"/>
      <c r="QAX39" s="21"/>
      <c r="QAY39" s="21"/>
      <c r="QAZ39" s="21"/>
      <c r="QBA39" s="21"/>
      <c r="QBB39" s="21"/>
      <c r="QBC39" s="21"/>
      <c r="QBD39" s="21"/>
      <c r="QBE39" s="21"/>
      <c r="QBF39" s="21"/>
      <c r="QBG39" s="21"/>
      <c r="QBH39" s="21"/>
      <c r="QBI39" s="21"/>
      <c r="QBJ39" s="21"/>
      <c r="QBK39" s="21"/>
      <c r="QBL39" s="21"/>
      <c r="QBM39" s="21"/>
      <c r="QBN39" s="21"/>
      <c r="QBO39" s="21"/>
      <c r="QBP39" s="21"/>
      <c r="QBQ39" s="21"/>
      <c r="QBR39" s="21"/>
      <c r="QBS39" s="21"/>
      <c r="QBT39" s="21"/>
      <c r="QBU39" s="21"/>
      <c r="QBV39" s="21"/>
      <c r="QBW39" s="21"/>
      <c r="QBX39" s="21"/>
      <c r="QBY39" s="21"/>
      <c r="QBZ39" s="21"/>
      <c r="QCA39" s="21"/>
      <c r="QCB39" s="21"/>
      <c r="QCC39" s="21"/>
      <c r="QCD39" s="21"/>
      <c r="QCE39" s="21"/>
      <c r="QCF39" s="21"/>
      <c r="QCG39" s="21"/>
      <c r="QCH39" s="21"/>
      <c r="QCI39" s="21"/>
      <c r="QCJ39" s="21"/>
      <c r="QCK39" s="21"/>
      <c r="QCL39" s="21"/>
      <c r="QCM39" s="21"/>
      <c r="QCN39" s="21"/>
      <c r="QCO39" s="21"/>
      <c r="QCP39" s="21"/>
      <c r="QCQ39" s="21"/>
      <c r="QCR39" s="21"/>
      <c r="QCS39" s="21"/>
      <c r="QCT39" s="21"/>
      <c r="QCU39" s="21"/>
      <c r="QCV39" s="21"/>
      <c r="QCW39" s="21"/>
      <c r="QCX39" s="21"/>
      <c r="QCY39" s="21"/>
      <c r="QCZ39" s="21"/>
      <c r="QDA39" s="21"/>
      <c r="QDB39" s="21"/>
      <c r="QDC39" s="21"/>
      <c r="QDD39" s="21"/>
      <c r="QDE39" s="21"/>
      <c r="QDF39" s="21"/>
      <c r="QDG39" s="21"/>
      <c r="QDH39" s="21"/>
      <c r="QDI39" s="21"/>
      <c r="QDJ39" s="21"/>
      <c r="QDK39" s="21"/>
      <c r="QDL39" s="21"/>
      <c r="QDM39" s="21"/>
      <c r="QDN39" s="21"/>
      <c r="QDO39" s="21"/>
      <c r="QDP39" s="21"/>
      <c r="QDQ39" s="21"/>
      <c r="QDR39" s="21"/>
      <c r="QDS39" s="21"/>
      <c r="QDT39" s="21"/>
      <c r="QDU39" s="21"/>
      <c r="QDV39" s="21"/>
      <c r="QDW39" s="21"/>
      <c r="QDX39" s="21"/>
      <c r="QDY39" s="21"/>
      <c r="QDZ39" s="21"/>
      <c r="QEA39" s="21"/>
      <c r="QEB39" s="21"/>
      <c r="QEC39" s="21"/>
      <c r="QED39" s="21"/>
      <c r="QEE39" s="21"/>
      <c r="QEF39" s="21"/>
      <c r="QEG39" s="21"/>
      <c r="QEH39" s="21"/>
      <c r="QEI39" s="21"/>
      <c r="QEJ39" s="21"/>
      <c r="QEK39" s="21"/>
      <c r="QEL39" s="21"/>
      <c r="QEM39" s="21"/>
      <c r="QEN39" s="21"/>
      <c r="QEO39" s="21"/>
      <c r="QEP39" s="21"/>
      <c r="QEQ39" s="21"/>
      <c r="QER39" s="21"/>
      <c r="QES39" s="21"/>
      <c r="QET39" s="21"/>
      <c r="QEU39" s="21"/>
      <c r="QEV39" s="21"/>
      <c r="QEW39" s="21"/>
      <c r="QEX39" s="21"/>
      <c r="QEY39" s="21"/>
      <c r="QEZ39" s="21"/>
      <c r="QFA39" s="21"/>
      <c r="QFB39" s="21"/>
      <c r="QFC39" s="21"/>
      <c r="QFD39" s="21"/>
      <c r="QFE39" s="21"/>
      <c r="QFF39" s="21"/>
      <c r="QFG39" s="21"/>
      <c r="QFH39" s="21"/>
      <c r="QFI39" s="21"/>
      <c r="QFJ39" s="21"/>
      <c r="QFK39" s="21"/>
      <c r="QFL39" s="21"/>
      <c r="QFM39" s="21"/>
      <c r="QFN39" s="21"/>
      <c r="QFO39" s="21"/>
      <c r="QFP39" s="21"/>
      <c r="QFQ39" s="21"/>
      <c r="QFR39" s="21"/>
      <c r="QFS39" s="21"/>
      <c r="QFT39" s="21"/>
      <c r="QFU39" s="21"/>
      <c r="QFV39" s="21"/>
      <c r="QFW39" s="21"/>
      <c r="QFX39" s="21"/>
      <c r="QFY39" s="21"/>
      <c r="QFZ39" s="21"/>
      <c r="QGA39" s="21"/>
      <c r="QGB39" s="21"/>
      <c r="QGC39" s="21"/>
      <c r="QGD39" s="21"/>
      <c r="QGE39" s="21"/>
      <c r="QGF39" s="21"/>
      <c r="QGG39" s="21"/>
      <c r="QGH39" s="21"/>
      <c r="QGI39" s="21"/>
      <c r="QGJ39" s="21"/>
      <c r="QGK39" s="21"/>
      <c r="QGL39" s="21"/>
      <c r="QGM39" s="21"/>
      <c r="QGN39" s="21"/>
      <c r="QGO39" s="21"/>
      <c r="QGP39" s="21"/>
      <c r="QGQ39" s="21"/>
      <c r="QGR39" s="21"/>
      <c r="QGS39" s="21"/>
      <c r="QGT39" s="21"/>
      <c r="QGU39" s="21"/>
      <c r="QGV39" s="21"/>
      <c r="QGW39" s="21"/>
      <c r="QGX39" s="21"/>
      <c r="QGY39" s="21"/>
      <c r="QGZ39" s="21"/>
      <c r="QHA39" s="21"/>
      <c r="QHB39" s="21"/>
      <c r="QHC39" s="21"/>
      <c r="QHD39" s="21"/>
      <c r="QHE39" s="21"/>
      <c r="QHF39" s="21"/>
      <c r="QHG39" s="21"/>
      <c r="QHH39" s="21"/>
      <c r="QHI39" s="21"/>
      <c r="QHJ39" s="21"/>
      <c r="QHK39" s="21"/>
      <c r="QHL39" s="21"/>
      <c r="QHM39" s="21"/>
      <c r="QHN39" s="21"/>
      <c r="QHO39" s="21"/>
      <c r="QHP39" s="21"/>
      <c r="QHQ39" s="21"/>
      <c r="QHR39" s="21"/>
      <c r="QHS39" s="21"/>
      <c r="QHT39" s="21"/>
      <c r="QHU39" s="21"/>
      <c r="QHV39" s="21"/>
      <c r="QHW39" s="21"/>
      <c r="QHX39" s="21"/>
      <c r="QHY39" s="21"/>
      <c r="QHZ39" s="21"/>
      <c r="QIA39" s="21"/>
      <c r="QIB39" s="21"/>
      <c r="QIC39" s="21"/>
      <c r="QID39" s="21"/>
      <c r="QIE39" s="21"/>
      <c r="QIF39" s="21"/>
      <c r="QIG39" s="21"/>
      <c r="QIH39" s="21"/>
      <c r="QII39" s="21"/>
      <c r="QIJ39" s="21"/>
      <c r="QIK39" s="21"/>
      <c r="QIL39" s="21"/>
      <c r="QIM39" s="21"/>
      <c r="QIN39" s="21"/>
      <c r="QIO39" s="21"/>
      <c r="QIP39" s="21"/>
      <c r="QIQ39" s="21"/>
      <c r="QIR39" s="21"/>
      <c r="QIS39" s="21"/>
      <c r="QIT39" s="21"/>
      <c r="QIU39" s="21"/>
      <c r="QIV39" s="21"/>
      <c r="QIW39" s="21"/>
      <c r="QIX39" s="21"/>
      <c r="QIY39" s="21"/>
      <c r="QIZ39" s="21"/>
      <c r="QJA39" s="21"/>
      <c r="QJB39" s="21"/>
      <c r="QJC39" s="21"/>
      <c r="QJD39" s="21"/>
      <c r="QJE39" s="21"/>
      <c r="QJF39" s="21"/>
      <c r="QJG39" s="21"/>
      <c r="QJH39" s="21"/>
      <c r="QJI39" s="21"/>
      <c r="QJJ39" s="21"/>
      <c r="QJK39" s="21"/>
      <c r="QJL39" s="21"/>
      <c r="QJM39" s="21"/>
      <c r="QJN39" s="21"/>
      <c r="QJO39" s="21"/>
      <c r="QJP39" s="21"/>
      <c r="QJQ39" s="21"/>
      <c r="QJR39" s="21"/>
      <c r="QJS39" s="21"/>
      <c r="QJT39" s="21"/>
      <c r="QJU39" s="21"/>
      <c r="QJV39" s="21"/>
      <c r="QJW39" s="21"/>
      <c r="QJX39" s="21"/>
      <c r="QJY39" s="21"/>
      <c r="QJZ39" s="21"/>
      <c r="QKA39" s="21"/>
      <c r="QKB39" s="21"/>
      <c r="QKC39" s="21"/>
      <c r="QKD39" s="21"/>
      <c r="QKE39" s="21"/>
      <c r="QKF39" s="21"/>
      <c r="QKG39" s="21"/>
      <c r="QKH39" s="21"/>
      <c r="QKI39" s="21"/>
      <c r="QKJ39" s="21"/>
      <c r="QKK39" s="21"/>
      <c r="QKL39" s="21"/>
      <c r="QKM39" s="21"/>
      <c r="QKN39" s="21"/>
      <c r="QKO39" s="21"/>
      <c r="QKP39" s="21"/>
      <c r="QKQ39" s="21"/>
      <c r="QKR39" s="21"/>
      <c r="QKS39" s="21"/>
      <c r="QKT39" s="21"/>
      <c r="QKU39" s="21"/>
      <c r="QKV39" s="21"/>
      <c r="QKW39" s="21"/>
      <c r="QKX39" s="21"/>
      <c r="QKY39" s="21"/>
      <c r="QKZ39" s="21"/>
      <c r="QLA39" s="21"/>
      <c r="QLB39" s="21"/>
      <c r="QLC39" s="21"/>
      <c r="QLD39" s="21"/>
      <c r="QLE39" s="21"/>
      <c r="QLF39" s="21"/>
      <c r="QLG39" s="21"/>
      <c r="QLH39" s="21"/>
      <c r="QLI39" s="21"/>
      <c r="QLJ39" s="21"/>
      <c r="QLK39" s="21"/>
      <c r="QLL39" s="21"/>
      <c r="QLM39" s="21"/>
      <c r="QLN39" s="21"/>
      <c r="QLO39" s="21"/>
      <c r="QLP39" s="21"/>
      <c r="QLQ39" s="21"/>
      <c r="QLR39" s="21"/>
      <c r="QLS39" s="21"/>
      <c r="QLT39" s="21"/>
      <c r="QLU39" s="21"/>
      <c r="QLV39" s="21"/>
      <c r="QLW39" s="21"/>
      <c r="QLX39" s="21"/>
      <c r="QLY39" s="21"/>
      <c r="QLZ39" s="21"/>
      <c r="QMA39" s="21"/>
      <c r="QMB39" s="21"/>
      <c r="QMC39" s="21"/>
      <c r="QMD39" s="21"/>
      <c r="QME39" s="21"/>
      <c r="QMF39" s="21"/>
      <c r="QMG39" s="21"/>
      <c r="QMH39" s="21"/>
      <c r="QMI39" s="21"/>
      <c r="QMJ39" s="21"/>
      <c r="QMK39" s="21"/>
      <c r="QML39" s="21"/>
      <c r="QMM39" s="21"/>
      <c r="QMN39" s="21"/>
      <c r="QMO39" s="21"/>
      <c r="QMP39" s="21"/>
      <c r="QMQ39" s="21"/>
      <c r="QMR39" s="21"/>
      <c r="QMS39" s="21"/>
      <c r="QMT39" s="21"/>
      <c r="QMU39" s="21"/>
      <c r="QMV39" s="21"/>
      <c r="QMW39" s="21"/>
      <c r="QMX39" s="21"/>
      <c r="QMY39" s="21"/>
      <c r="QMZ39" s="21"/>
      <c r="QNA39" s="21"/>
      <c r="QNB39" s="21"/>
      <c r="QNC39" s="21"/>
      <c r="QND39" s="21"/>
      <c r="QNE39" s="21"/>
      <c r="QNF39" s="21"/>
      <c r="QNG39" s="21"/>
      <c r="QNH39" s="21"/>
      <c r="QNI39" s="21"/>
      <c r="QNJ39" s="21"/>
      <c r="QNK39" s="21"/>
      <c r="QNL39" s="21"/>
      <c r="QNM39" s="21"/>
      <c r="QNN39" s="21"/>
      <c r="QNO39" s="21"/>
      <c r="QNP39" s="21"/>
      <c r="QNQ39" s="21"/>
      <c r="QNR39" s="21"/>
      <c r="QNS39" s="21"/>
      <c r="QNT39" s="21"/>
      <c r="QNU39" s="21"/>
      <c r="QNV39" s="21"/>
      <c r="QNW39" s="21"/>
      <c r="QNX39" s="21"/>
      <c r="QNY39" s="21"/>
      <c r="QNZ39" s="21"/>
      <c r="QOA39" s="21"/>
      <c r="QOB39" s="21"/>
      <c r="QOC39" s="21"/>
      <c r="QOD39" s="21"/>
      <c r="QOE39" s="21"/>
      <c r="QOF39" s="21"/>
      <c r="QOG39" s="21"/>
      <c r="QOH39" s="21"/>
      <c r="QOI39" s="21"/>
      <c r="QOJ39" s="21"/>
      <c r="QOK39" s="21"/>
      <c r="QOL39" s="21"/>
      <c r="QOM39" s="21"/>
      <c r="QON39" s="21"/>
      <c r="QOO39" s="21"/>
      <c r="QOP39" s="21"/>
      <c r="QOQ39" s="21"/>
      <c r="QOR39" s="21"/>
      <c r="QOS39" s="21"/>
      <c r="QOT39" s="21"/>
      <c r="QOU39" s="21"/>
      <c r="QOV39" s="21"/>
      <c r="QOW39" s="21"/>
      <c r="QOX39" s="21"/>
      <c r="QOY39" s="21"/>
      <c r="QOZ39" s="21"/>
      <c r="QPA39" s="21"/>
      <c r="QPB39" s="21"/>
      <c r="QPC39" s="21"/>
      <c r="QPD39" s="21"/>
      <c r="QPE39" s="21"/>
      <c r="QPF39" s="21"/>
      <c r="QPG39" s="21"/>
      <c r="QPH39" s="21"/>
      <c r="QPI39" s="21"/>
      <c r="QPJ39" s="21"/>
      <c r="QPK39" s="21"/>
      <c r="QPL39" s="21"/>
      <c r="QPM39" s="21"/>
      <c r="QPN39" s="21"/>
      <c r="QPO39" s="21"/>
      <c r="QPP39" s="21"/>
      <c r="QPQ39" s="21"/>
      <c r="QPR39" s="21"/>
      <c r="QPS39" s="21"/>
      <c r="QPT39" s="21"/>
      <c r="QPU39" s="21"/>
      <c r="QPV39" s="21"/>
      <c r="QPW39" s="21"/>
      <c r="QPX39" s="21"/>
      <c r="QPY39" s="21"/>
      <c r="QPZ39" s="21"/>
      <c r="QQA39" s="21"/>
      <c r="QQB39" s="21"/>
      <c r="QQC39" s="21"/>
      <c r="QQD39" s="21"/>
      <c r="QQE39" s="21"/>
      <c r="QQF39" s="21"/>
      <c r="QQG39" s="21"/>
      <c r="QQH39" s="21"/>
      <c r="QQI39" s="21"/>
      <c r="QQJ39" s="21"/>
      <c r="QQK39" s="21"/>
      <c r="QQL39" s="21"/>
      <c r="QQM39" s="21"/>
      <c r="QQN39" s="21"/>
      <c r="QQO39" s="21"/>
      <c r="QQP39" s="21"/>
      <c r="QQQ39" s="21"/>
      <c r="QQR39" s="21"/>
      <c r="QQS39" s="21"/>
      <c r="QQT39" s="21"/>
      <c r="QQU39" s="21"/>
      <c r="QQV39" s="21"/>
      <c r="QQW39" s="21"/>
      <c r="QQX39" s="21"/>
      <c r="QQY39" s="21"/>
      <c r="QQZ39" s="21"/>
      <c r="QRA39" s="21"/>
      <c r="QRB39" s="21"/>
      <c r="QRC39" s="21"/>
      <c r="QRD39" s="21"/>
      <c r="QRE39" s="21"/>
      <c r="QRF39" s="21"/>
      <c r="QRG39" s="21"/>
      <c r="QRH39" s="21"/>
      <c r="QRI39" s="21"/>
      <c r="QRJ39" s="21"/>
      <c r="QRK39" s="21"/>
      <c r="QRL39" s="21"/>
      <c r="QRM39" s="21"/>
      <c r="QRN39" s="21"/>
      <c r="QRO39" s="21"/>
      <c r="QRP39" s="21"/>
      <c r="QRQ39" s="21"/>
      <c r="QRR39" s="21"/>
      <c r="QRS39" s="21"/>
      <c r="QRT39" s="21"/>
      <c r="QRU39" s="21"/>
      <c r="QRV39" s="21"/>
      <c r="QRW39" s="21"/>
      <c r="QRX39" s="21"/>
      <c r="QRY39" s="21"/>
      <c r="QRZ39" s="21"/>
      <c r="QSA39" s="21"/>
      <c r="QSB39" s="21"/>
      <c r="QSC39" s="21"/>
      <c r="QSD39" s="21"/>
      <c r="QSE39" s="21"/>
      <c r="QSF39" s="21"/>
      <c r="QSG39" s="21"/>
      <c r="QSH39" s="21"/>
      <c r="QSI39" s="21"/>
      <c r="QSJ39" s="21"/>
      <c r="QSK39" s="21"/>
      <c r="QSL39" s="21"/>
      <c r="QSM39" s="21"/>
      <c r="QSN39" s="21"/>
      <c r="QSO39" s="21"/>
      <c r="QSP39" s="21"/>
      <c r="QSQ39" s="21"/>
      <c r="QSR39" s="21"/>
      <c r="QSS39" s="21"/>
      <c r="QST39" s="21"/>
      <c r="QSU39" s="21"/>
      <c r="QSV39" s="21"/>
      <c r="QSW39" s="21"/>
      <c r="QSX39" s="21"/>
      <c r="QSY39" s="21"/>
      <c r="QSZ39" s="21"/>
      <c r="QTA39" s="21"/>
      <c r="QTB39" s="21"/>
      <c r="QTC39" s="21"/>
      <c r="QTD39" s="21"/>
      <c r="QTE39" s="21"/>
      <c r="QTF39" s="21"/>
      <c r="QTG39" s="21"/>
      <c r="QTH39" s="21"/>
      <c r="QTI39" s="21"/>
      <c r="QTJ39" s="21"/>
      <c r="QTK39" s="21"/>
      <c r="QTL39" s="21"/>
      <c r="QTM39" s="21"/>
      <c r="QTN39" s="21"/>
      <c r="QTO39" s="21"/>
      <c r="QTP39" s="21"/>
      <c r="QTQ39" s="21"/>
      <c r="QTR39" s="21"/>
      <c r="QTS39" s="21"/>
      <c r="QTT39" s="21"/>
      <c r="QTU39" s="21"/>
      <c r="QTV39" s="21"/>
      <c r="QTW39" s="21"/>
      <c r="QTX39" s="21"/>
      <c r="QTY39" s="21"/>
      <c r="QTZ39" s="21"/>
      <c r="QUA39" s="21"/>
      <c r="QUB39" s="21"/>
      <c r="QUC39" s="21"/>
      <c r="QUD39" s="21"/>
      <c r="QUE39" s="21"/>
      <c r="QUF39" s="21"/>
      <c r="QUG39" s="21"/>
      <c r="QUH39" s="21"/>
      <c r="QUI39" s="21"/>
      <c r="QUJ39" s="21"/>
      <c r="QUK39" s="21"/>
      <c r="QUL39" s="21"/>
      <c r="QUM39" s="21"/>
      <c r="QUN39" s="21"/>
      <c r="QUO39" s="21"/>
      <c r="QUP39" s="21"/>
      <c r="QUQ39" s="21"/>
      <c r="QUR39" s="21"/>
      <c r="QUS39" s="21"/>
      <c r="QUT39" s="21"/>
      <c r="QUU39" s="21"/>
      <c r="QUV39" s="21"/>
      <c r="QUW39" s="21"/>
      <c r="QUX39" s="21"/>
      <c r="QUY39" s="21"/>
      <c r="QUZ39" s="21"/>
      <c r="QVA39" s="21"/>
      <c r="QVB39" s="21"/>
      <c r="QVC39" s="21"/>
      <c r="QVD39" s="21"/>
      <c r="QVE39" s="21"/>
      <c r="QVF39" s="21"/>
      <c r="QVG39" s="21"/>
      <c r="QVH39" s="21"/>
      <c r="QVI39" s="21"/>
      <c r="QVJ39" s="21"/>
      <c r="QVK39" s="21"/>
      <c r="QVL39" s="21"/>
      <c r="QVM39" s="21"/>
      <c r="QVN39" s="21"/>
      <c r="QVO39" s="21"/>
      <c r="QVP39" s="21"/>
      <c r="QVQ39" s="21"/>
      <c r="QVR39" s="21"/>
      <c r="QVS39" s="21"/>
      <c r="QVT39" s="21"/>
      <c r="QVU39" s="21"/>
      <c r="QVV39" s="21"/>
      <c r="QVW39" s="21"/>
      <c r="QVX39" s="21"/>
      <c r="QVY39" s="21"/>
      <c r="QVZ39" s="21"/>
      <c r="QWA39" s="21"/>
      <c r="QWB39" s="21"/>
      <c r="QWC39" s="21"/>
      <c r="QWD39" s="21"/>
      <c r="QWE39" s="21"/>
      <c r="QWF39" s="21"/>
      <c r="QWG39" s="21"/>
      <c r="QWH39" s="21"/>
      <c r="QWI39" s="21"/>
      <c r="QWJ39" s="21"/>
      <c r="QWK39" s="21"/>
      <c r="QWL39" s="21"/>
      <c r="QWM39" s="21"/>
      <c r="QWN39" s="21"/>
      <c r="QWO39" s="21"/>
      <c r="QWP39" s="21"/>
      <c r="QWQ39" s="21"/>
      <c r="QWR39" s="21"/>
      <c r="QWS39" s="21"/>
      <c r="QWT39" s="21"/>
      <c r="QWU39" s="21"/>
      <c r="QWV39" s="21"/>
      <c r="QWW39" s="21"/>
      <c r="QWX39" s="21"/>
      <c r="QWY39" s="21"/>
      <c r="QWZ39" s="21"/>
      <c r="QXA39" s="21"/>
      <c r="QXB39" s="21"/>
      <c r="QXC39" s="21"/>
      <c r="QXD39" s="21"/>
      <c r="QXE39" s="21"/>
      <c r="QXF39" s="21"/>
      <c r="QXG39" s="21"/>
      <c r="QXH39" s="21"/>
      <c r="QXI39" s="21"/>
      <c r="QXJ39" s="21"/>
      <c r="QXK39" s="21"/>
      <c r="QXL39" s="21"/>
      <c r="QXM39" s="21"/>
      <c r="QXN39" s="21"/>
      <c r="QXO39" s="21"/>
      <c r="QXP39" s="21"/>
      <c r="QXQ39" s="21"/>
      <c r="QXR39" s="21"/>
      <c r="QXS39" s="21"/>
      <c r="QXT39" s="21"/>
      <c r="QXU39" s="21"/>
      <c r="QXV39" s="21"/>
      <c r="QXW39" s="21"/>
      <c r="QXX39" s="21"/>
      <c r="QXY39" s="21"/>
      <c r="QXZ39" s="21"/>
      <c r="QYA39" s="21"/>
      <c r="QYB39" s="21"/>
      <c r="QYC39" s="21"/>
      <c r="QYD39" s="21"/>
      <c r="QYE39" s="21"/>
      <c r="QYF39" s="21"/>
      <c r="QYG39" s="21"/>
      <c r="QYH39" s="21"/>
      <c r="QYI39" s="21"/>
      <c r="QYJ39" s="21"/>
      <c r="QYK39" s="21"/>
      <c r="QYL39" s="21"/>
      <c r="QYM39" s="21"/>
      <c r="QYN39" s="21"/>
      <c r="QYO39" s="21"/>
      <c r="QYP39" s="21"/>
      <c r="QYQ39" s="21"/>
      <c r="QYR39" s="21"/>
      <c r="QYS39" s="21"/>
      <c r="QYT39" s="21"/>
      <c r="QYU39" s="21"/>
      <c r="QYV39" s="21"/>
      <c r="QYW39" s="21"/>
      <c r="QYX39" s="21"/>
      <c r="QYY39" s="21"/>
      <c r="QYZ39" s="21"/>
      <c r="QZA39" s="21"/>
      <c r="QZB39" s="21"/>
      <c r="QZC39" s="21"/>
      <c r="QZD39" s="21"/>
      <c r="QZE39" s="21"/>
      <c r="QZF39" s="21"/>
      <c r="QZG39" s="21"/>
      <c r="QZH39" s="21"/>
      <c r="QZI39" s="21"/>
      <c r="QZJ39" s="21"/>
      <c r="QZK39" s="21"/>
      <c r="QZL39" s="21"/>
      <c r="QZM39" s="21"/>
      <c r="QZN39" s="21"/>
      <c r="QZO39" s="21"/>
      <c r="QZP39" s="21"/>
      <c r="QZQ39" s="21"/>
      <c r="QZR39" s="21"/>
      <c r="QZS39" s="21"/>
      <c r="QZT39" s="21"/>
      <c r="QZU39" s="21"/>
      <c r="QZV39" s="21"/>
      <c r="QZW39" s="21"/>
      <c r="QZX39" s="21"/>
      <c r="QZY39" s="21"/>
      <c r="QZZ39" s="21"/>
      <c r="RAA39" s="21"/>
      <c r="RAB39" s="21"/>
      <c r="RAC39" s="21"/>
      <c r="RAD39" s="21"/>
      <c r="RAE39" s="21"/>
      <c r="RAF39" s="21"/>
      <c r="RAG39" s="21"/>
      <c r="RAH39" s="21"/>
      <c r="RAI39" s="21"/>
      <c r="RAJ39" s="21"/>
      <c r="RAK39" s="21"/>
      <c r="RAL39" s="21"/>
      <c r="RAM39" s="21"/>
      <c r="RAN39" s="21"/>
      <c r="RAO39" s="21"/>
      <c r="RAP39" s="21"/>
      <c r="RAQ39" s="21"/>
      <c r="RAR39" s="21"/>
      <c r="RAS39" s="21"/>
      <c r="RAT39" s="21"/>
      <c r="RAU39" s="21"/>
      <c r="RAV39" s="21"/>
      <c r="RAW39" s="21"/>
      <c r="RAX39" s="21"/>
      <c r="RAY39" s="21"/>
      <c r="RAZ39" s="21"/>
      <c r="RBA39" s="21"/>
      <c r="RBB39" s="21"/>
      <c r="RBC39" s="21"/>
      <c r="RBD39" s="21"/>
      <c r="RBE39" s="21"/>
      <c r="RBF39" s="21"/>
      <c r="RBG39" s="21"/>
      <c r="RBH39" s="21"/>
      <c r="RBI39" s="21"/>
      <c r="RBJ39" s="21"/>
      <c r="RBK39" s="21"/>
      <c r="RBL39" s="21"/>
      <c r="RBM39" s="21"/>
      <c r="RBN39" s="21"/>
      <c r="RBO39" s="21"/>
      <c r="RBP39" s="21"/>
      <c r="RBQ39" s="21"/>
      <c r="RBR39" s="21"/>
      <c r="RBS39" s="21"/>
      <c r="RBT39" s="21"/>
      <c r="RBU39" s="21"/>
      <c r="RBV39" s="21"/>
      <c r="RBW39" s="21"/>
      <c r="RBX39" s="21"/>
      <c r="RBY39" s="21"/>
      <c r="RBZ39" s="21"/>
      <c r="RCA39" s="21"/>
      <c r="RCB39" s="21"/>
      <c r="RCC39" s="21"/>
      <c r="RCD39" s="21"/>
      <c r="RCE39" s="21"/>
      <c r="RCF39" s="21"/>
      <c r="RCG39" s="21"/>
      <c r="RCH39" s="21"/>
      <c r="RCI39" s="21"/>
      <c r="RCJ39" s="21"/>
      <c r="RCK39" s="21"/>
      <c r="RCL39" s="21"/>
      <c r="RCM39" s="21"/>
      <c r="RCN39" s="21"/>
      <c r="RCO39" s="21"/>
      <c r="RCP39" s="21"/>
      <c r="RCQ39" s="21"/>
      <c r="RCR39" s="21"/>
      <c r="RCS39" s="21"/>
      <c r="RCT39" s="21"/>
      <c r="RCU39" s="21"/>
      <c r="RCV39" s="21"/>
      <c r="RCW39" s="21"/>
      <c r="RCX39" s="21"/>
      <c r="RCY39" s="21"/>
      <c r="RCZ39" s="21"/>
      <c r="RDA39" s="21"/>
      <c r="RDB39" s="21"/>
      <c r="RDC39" s="21"/>
      <c r="RDD39" s="21"/>
      <c r="RDE39" s="21"/>
      <c r="RDF39" s="21"/>
      <c r="RDG39" s="21"/>
      <c r="RDH39" s="21"/>
      <c r="RDI39" s="21"/>
      <c r="RDJ39" s="21"/>
      <c r="RDK39" s="21"/>
      <c r="RDL39" s="21"/>
      <c r="RDM39" s="21"/>
      <c r="RDN39" s="21"/>
      <c r="RDO39" s="21"/>
      <c r="RDP39" s="21"/>
      <c r="RDQ39" s="21"/>
      <c r="RDR39" s="21"/>
      <c r="RDS39" s="21"/>
      <c r="RDT39" s="21"/>
      <c r="RDU39" s="21"/>
      <c r="RDV39" s="21"/>
      <c r="RDW39" s="21"/>
      <c r="RDX39" s="21"/>
      <c r="RDY39" s="21"/>
      <c r="RDZ39" s="21"/>
      <c r="REA39" s="21"/>
      <c r="REB39" s="21"/>
      <c r="REC39" s="21"/>
      <c r="RED39" s="21"/>
      <c r="REE39" s="21"/>
      <c r="REF39" s="21"/>
      <c r="REG39" s="21"/>
      <c r="REH39" s="21"/>
      <c r="REI39" s="21"/>
      <c r="REJ39" s="21"/>
      <c r="REK39" s="21"/>
      <c r="REL39" s="21"/>
      <c r="REM39" s="21"/>
      <c r="REN39" s="21"/>
      <c r="REO39" s="21"/>
      <c r="REP39" s="21"/>
      <c r="REQ39" s="21"/>
      <c r="RER39" s="21"/>
      <c r="RES39" s="21"/>
      <c r="RET39" s="21"/>
      <c r="REU39" s="21"/>
      <c r="REV39" s="21"/>
      <c r="REW39" s="21"/>
      <c r="REX39" s="21"/>
      <c r="REY39" s="21"/>
      <c r="REZ39" s="21"/>
      <c r="RFA39" s="21"/>
      <c r="RFB39" s="21"/>
      <c r="RFC39" s="21"/>
      <c r="RFD39" s="21"/>
      <c r="RFE39" s="21"/>
      <c r="RFF39" s="21"/>
      <c r="RFG39" s="21"/>
      <c r="RFH39" s="21"/>
      <c r="RFI39" s="21"/>
      <c r="RFJ39" s="21"/>
      <c r="RFK39" s="21"/>
      <c r="RFL39" s="21"/>
      <c r="RFM39" s="21"/>
      <c r="RFN39" s="21"/>
      <c r="RFO39" s="21"/>
      <c r="RFP39" s="21"/>
      <c r="RFQ39" s="21"/>
      <c r="RFR39" s="21"/>
      <c r="RFS39" s="21"/>
      <c r="RFT39" s="21"/>
      <c r="RFU39" s="21"/>
      <c r="RFV39" s="21"/>
      <c r="RFW39" s="21"/>
      <c r="RFX39" s="21"/>
      <c r="RFY39" s="21"/>
      <c r="RFZ39" s="21"/>
      <c r="RGA39" s="21"/>
      <c r="RGB39" s="21"/>
      <c r="RGC39" s="21"/>
      <c r="RGD39" s="21"/>
      <c r="RGE39" s="21"/>
      <c r="RGF39" s="21"/>
      <c r="RGG39" s="21"/>
      <c r="RGH39" s="21"/>
      <c r="RGI39" s="21"/>
      <c r="RGJ39" s="21"/>
      <c r="RGK39" s="21"/>
      <c r="RGL39" s="21"/>
      <c r="RGM39" s="21"/>
      <c r="RGN39" s="21"/>
      <c r="RGO39" s="21"/>
      <c r="RGP39" s="21"/>
      <c r="RGQ39" s="21"/>
      <c r="RGR39" s="21"/>
      <c r="RGS39" s="21"/>
      <c r="RGT39" s="21"/>
      <c r="RGU39" s="21"/>
      <c r="RGV39" s="21"/>
      <c r="RGW39" s="21"/>
      <c r="RGX39" s="21"/>
      <c r="RGY39" s="21"/>
      <c r="RGZ39" s="21"/>
      <c r="RHA39" s="21"/>
      <c r="RHB39" s="21"/>
      <c r="RHC39" s="21"/>
      <c r="RHD39" s="21"/>
      <c r="RHE39" s="21"/>
      <c r="RHF39" s="21"/>
      <c r="RHG39" s="21"/>
      <c r="RHH39" s="21"/>
      <c r="RHI39" s="21"/>
      <c r="RHJ39" s="21"/>
      <c r="RHK39" s="21"/>
      <c r="RHL39" s="21"/>
      <c r="RHM39" s="21"/>
      <c r="RHN39" s="21"/>
      <c r="RHO39" s="21"/>
      <c r="RHP39" s="21"/>
      <c r="RHQ39" s="21"/>
      <c r="RHR39" s="21"/>
      <c r="RHS39" s="21"/>
      <c r="RHT39" s="21"/>
      <c r="RHU39" s="21"/>
      <c r="RHV39" s="21"/>
      <c r="RHW39" s="21"/>
      <c r="RHX39" s="21"/>
      <c r="RHY39" s="21"/>
      <c r="RHZ39" s="21"/>
      <c r="RIA39" s="21"/>
      <c r="RIB39" s="21"/>
      <c r="RIC39" s="21"/>
      <c r="RID39" s="21"/>
      <c r="RIE39" s="21"/>
      <c r="RIF39" s="21"/>
      <c r="RIG39" s="21"/>
      <c r="RIH39" s="21"/>
      <c r="RII39" s="21"/>
      <c r="RIJ39" s="21"/>
      <c r="RIK39" s="21"/>
      <c r="RIL39" s="21"/>
      <c r="RIM39" s="21"/>
      <c r="RIN39" s="21"/>
      <c r="RIO39" s="21"/>
      <c r="RIP39" s="21"/>
      <c r="RIQ39" s="21"/>
      <c r="RIR39" s="21"/>
      <c r="RIS39" s="21"/>
      <c r="RIT39" s="21"/>
      <c r="RIU39" s="21"/>
      <c r="RIV39" s="21"/>
      <c r="RIW39" s="21"/>
      <c r="RIX39" s="21"/>
      <c r="RIY39" s="21"/>
      <c r="RIZ39" s="21"/>
      <c r="RJA39" s="21"/>
      <c r="RJB39" s="21"/>
      <c r="RJC39" s="21"/>
      <c r="RJD39" s="21"/>
      <c r="RJE39" s="21"/>
      <c r="RJF39" s="21"/>
      <c r="RJG39" s="21"/>
      <c r="RJH39" s="21"/>
      <c r="RJI39" s="21"/>
      <c r="RJJ39" s="21"/>
      <c r="RJK39" s="21"/>
      <c r="RJL39" s="21"/>
      <c r="RJM39" s="21"/>
      <c r="RJN39" s="21"/>
      <c r="RJO39" s="21"/>
      <c r="RJP39" s="21"/>
      <c r="RJQ39" s="21"/>
      <c r="RJR39" s="21"/>
      <c r="RJS39" s="21"/>
      <c r="RJT39" s="21"/>
      <c r="RJU39" s="21"/>
      <c r="RJV39" s="21"/>
      <c r="RJW39" s="21"/>
      <c r="RJX39" s="21"/>
      <c r="RJY39" s="21"/>
      <c r="RJZ39" s="21"/>
      <c r="RKA39" s="21"/>
      <c r="RKB39" s="21"/>
      <c r="RKC39" s="21"/>
      <c r="RKD39" s="21"/>
      <c r="RKE39" s="21"/>
      <c r="RKF39" s="21"/>
      <c r="RKG39" s="21"/>
      <c r="RKH39" s="21"/>
      <c r="RKI39" s="21"/>
      <c r="RKJ39" s="21"/>
      <c r="RKK39" s="21"/>
      <c r="RKL39" s="21"/>
      <c r="RKM39" s="21"/>
      <c r="RKN39" s="21"/>
      <c r="RKO39" s="21"/>
      <c r="RKP39" s="21"/>
      <c r="RKQ39" s="21"/>
      <c r="RKR39" s="21"/>
      <c r="RKS39" s="21"/>
      <c r="RKT39" s="21"/>
      <c r="RKU39" s="21"/>
      <c r="RKV39" s="21"/>
      <c r="RKW39" s="21"/>
      <c r="RKX39" s="21"/>
      <c r="RKY39" s="21"/>
      <c r="RKZ39" s="21"/>
      <c r="RLA39" s="21"/>
      <c r="RLB39" s="21"/>
      <c r="RLC39" s="21"/>
      <c r="RLD39" s="21"/>
      <c r="RLE39" s="21"/>
      <c r="RLF39" s="21"/>
      <c r="RLG39" s="21"/>
      <c r="RLH39" s="21"/>
      <c r="RLI39" s="21"/>
      <c r="RLJ39" s="21"/>
      <c r="RLK39" s="21"/>
      <c r="RLL39" s="21"/>
      <c r="RLM39" s="21"/>
      <c r="RLN39" s="21"/>
      <c r="RLO39" s="21"/>
      <c r="RLP39" s="21"/>
      <c r="RLQ39" s="21"/>
      <c r="RLR39" s="21"/>
      <c r="RLS39" s="21"/>
      <c r="RLT39" s="21"/>
      <c r="RLU39" s="21"/>
      <c r="RLV39" s="21"/>
      <c r="RLW39" s="21"/>
      <c r="RLX39" s="21"/>
      <c r="RLY39" s="21"/>
      <c r="RLZ39" s="21"/>
      <c r="RMA39" s="21"/>
      <c r="RMB39" s="21"/>
      <c r="RMC39" s="21"/>
      <c r="RMD39" s="21"/>
      <c r="RME39" s="21"/>
      <c r="RMF39" s="21"/>
      <c r="RMG39" s="21"/>
      <c r="RMH39" s="21"/>
      <c r="RMI39" s="21"/>
      <c r="RMJ39" s="21"/>
      <c r="RMK39" s="21"/>
      <c r="RML39" s="21"/>
      <c r="RMM39" s="21"/>
      <c r="RMN39" s="21"/>
      <c r="RMO39" s="21"/>
      <c r="RMP39" s="21"/>
      <c r="RMQ39" s="21"/>
      <c r="RMR39" s="21"/>
      <c r="RMS39" s="21"/>
      <c r="RMT39" s="21"/>
      <c r="RMU39" s="21"/>
      <c r="RMV39" s="21"/>
      <c r="RMW39" s="21"/>
      <c r="RMX39" s="21"/>
      <c r="RMY39" s="21"/>
      <c r="RMZ39" s="21"/>
      <c r="RNA39" s="21"/>
      <c r="RNB39" s="21"/>
      <c r="RNC39" s="21"/>
      <c r="RND39" s="21"/>
      <c r="RNE39" s="21"/>
      <c r="RNF39" s="21"/>
      <c r="RNG39" s="21"/>
      <c r="RNH39" s="21"/>
      <c r="RNI39" s="21"/>
      <c r="RNJ39" s="21"/>
      <c r="RNK39" s="21"/>
      <c r="RNL39" s="21"/>
      <c r="RNM39" s="21"/>
      <c r="RNN39" s="21"/>
      <c r="RNO39" s="21"/>
      <c r="RNP39" s="21"/>
      <c r="RNQ39" s="21"/>
      <c r="RNR39" s="21"/>
      <c r="RNS39" s="21"/>
      <c r="RNT39" s="21"/>
      <c r="RNU39" s="21"/>
      <c r="RNV39" s="21"/>
      <c r="RNW39" s="21"/>
      <c r="RNX39" s="21"/>
      <c r="RNY39" s="21"/>
      <c r="RNZ39" s="21"/>
      <c r="ROA39" s="21"/>
      <c r="ROB39" s="21"/>
      <c r="ROC39" s="21"/>
      <c r="ROD39" s="21"/>
      <c r="ROE39" s="21"/>
      <c r="ROF39" s="21"/>
      <c r="ROG39" s="21"/>
      <c r="ROH39" s="21"/>
      <c r="ROI39" s="21"/>
      <c r="ROJ39" s="21"/>
      <c r="ROK39" s="21"/>
      <c r="ROL39" s="21"/>
      <c r="ROM39" s="21"/>
      <c r="RON39" s="21"/>
      <c r="ROO39" s="21"/>
      <c r="ROP39" s="21"/>
      <c r="ROQ39" s="21"/>
      <c r="ROR39" s="21"/>
      <c r="ROS39" s="21"/>
      <c r="ROT39" s="21"/>
      <c r="ROU39" s="21"/>
      <c r="ROV39" s="21"/>
      <c r="ROW39" s="21"/>
      <c r="ROX39" s="21"/>
      <c r="ROY39" s="21"/>
      <c r="ROZ39" s="21"/>
      <c r="RPA39" s="21"/>
      <c r="RPB39" s="21"/>
      <c r="RPC39" s="21"/>
      <c r="RPD39" s="21"/>
      <c r="RPE39" s="21"/>
      <c r="RPF39" s="21"/>
      <c r="RPG39" s="21"/>
      <c r="RPH39" s="21"/>
      <c r="RPI39" s="21"/>
      <c r="RPJ39" s="21"/>
      <c r="RPK39" s="21"/>
      <c r="RPL39" s="21"/>
      <c r="RPM39" s="21"/>
      <c r="RPN39" s="21"/>
      <c r="RPO39" s="21"/>
      <c r="RPP39" s="21"/>
      <c r="RPQ39" s="21"/>
      <c r="RPR39" s="21"/>
      <c r="RPS39" s="21"/>
      <c r="RPT39" s="21"/>
      <c r="RPU39" s="21"/>
      <c r="RPV39" s="21"/>
      <c r="RPW39" s="21"/>
      <c r="RPX39" s="21"/>
      <c r="RPY39" s="21"/>
      <c r="RPZ39" s="21"/>
      <c r="RQA39" s="21"/>
      <c r="RQB39" s="21"/>
      <c r="RQC39" s="21"/>
      <c r="RQD39" s="21"/>
      <c r="RQE39" s="21"/>
      <c r="RQF39" s="21"/>
      <c r="RQG39" s="21"/>
      <c r="RQH39" s="21"/>
      <c r="RQI39" s="21"/>
      <c r="RQJ39" s="21"/>
      <c r="RQK39" s="21"/>
      <c r="RQL39" s="21"/>
      <c r="RQM39" s="21"/>
      <c r="RQN39" s="21"/>
      <c r="RQO39" s="21"/>
      <c r="RQP39" s="21"/>
      <c r="RQQ39" s="21"/>
      <c r="RQR39" s="21"/>
      <c r="RQS39" s="21"/>
      <c r="RQT39" s="21"/>
      <c r="RQU39" s="21"/>
      <c r="RQV39" s="21"/>
      <c r="RQW39" s="21"/>
      <c r="RQX39" s="21"/>
      <c r="RQY39" s="21"/>
      <c r="RQZ39" s="21"/>
      <c r="RRA39" s="21"/>
      <c r="RRB39" s="21"/>
      <c r="RRC39" s="21"/>
      <c r="RRD39" s="21"/>
      <c r="RRE39" s="21"/>
      <c r="RRF39" s="21"/>
      <c r="RRG39" s="21"/>
      <c r="RRH39" s="21"/>
      <c r="RRI39" s="21"/>
      <c r="RRJ39" s="21"/>
      <c r="RRK39" s="21"/>
      <c r="RRL39" s="21"/>
      <c r="RRM39" s="21"/>
      <c r="RRN39" s="21"/>
      <c r="RRO39" s="21"/>
      <c r="RRP39" s="21"/>
      <c r="RRQ39" s="21"/>
      <c r="RRR39" s="21"/>
      <c r="RRS39" s="21"/>
      <c r="RRT39" s="21"/>
      <c r="RRU39" s="21"/>
      <c r="RRV39" s="21"/>
      <c r="RRW39" s="21"/>
      <c r="RRX39" s="21"/>
      <c r="RRY39" s="21"/>
      <c r="RRZ39" s="21"/>
      <c r="RSA39" s="21"/>
      <c r="RSB39" s="21"/>
      <c r="RSC39" s="21"/>
      <c r="RSD39" s="21"/>
      <c r="RSE39" s="21"/>
      <c r="RSF39" s="21"/>
      <c r="RSG39" s="21"/>
      <c r="RSH39" s="21"/>
      <c r="RSI39" s="21"/>
      <c r="RSJ39" s="21"/>
      <c r="RSK39" s="21"/>
      <c r="RSL39" s="21"/>
      <c r="RSM39" s="21"/>
      <c r="RSN39" s="21"/>
      <c r="RSO39" s="21"/>
      <c r="RSP39" s="21"/>
      <c r="RSQ39" s="21"/>
      <c r="RSR39" s="21"/>
      <c r="RSS39" s="21"/>
      <c r="RST39" s="21"/>
      <c r="RSU39" s="21"/>
      <c r="RSV39" s="21"/>
      <c r="RSW39" s="21"/>
      <c r="RSX39" s="21"/>
      <c r="RSY39" s="21"/>
      <c r="RSZ39" s="21"/>
      <c r="RTA39" s="21"/>
      <c r="RTB39" s="21"/>
      <c r="RTC39" s="21"/>
      <c r="RTD39" s="21"/>
      <c r="RTE39" s="21"/>
      <c r="RTF39" s="21"/>
      <c r="RTG39" s="21"/>
      <c r="RTH39" s="21"/>
      <c r="RTI39" s="21"/>
      <c r="RTJ39" s="21"/>
      <c r="RTK39" s="21"/>
      <c r="RTL39" s="21"/>
      <c r="RTM39" s="21"/>
      <c r="RTN39" s="21"/>
      <c r="RTO39" s="21"/>
      <c r="RTP39" s="21"/>
      <c r="RTQ39" s="21"/>
      <c r="RTR39" s="21"/>
      <c r="RTS39" s="21"/>
      <c r="RTT39" s="21"/>
      <c r="RTU39" s="21"/>
      <c r="RTV39" s="21"/>
      <c r="RTW39" s="21"/>
      <c r="RTX39" s="21"/>
      <c r="RTY39" s="21"/>
      <c r="RTZ39" s="21"/>
      <c r="RUA39" s="21"/>
      <c r="RUB39" s="21"/>
      <c r="RUC39" s="21"/>
      <c r="RUD39" s="21"/>
      <c r="RUE39" s="21"/>
      <c r="RUF39" s="21"/>
      <c r="RUG39" s="21"/>
      <c r="RUH39" s="21"/>
      <c r="RUI39" s="21"/>
      <c r="RUJ39" s="21"/>
      <c r="RUK39" s="21"/>
      <c r="RUL39" s="21"/>
      <c r="RUM39" s="21"/>
      <c r="RUN39" s="21"/>
      <c r="RUO39" s="21"/>
      <c r="RUP39" s="21"/>
      <c r="RUQ39" s="21"/>
      <c r="RUR39" s="21"/>
      <c r="RUS39" s="21"/>
      <c r="RUT39" s="21"/>
      <c r="RUU39" s="21"/>
      <c r="RUV39" s="21"/>
      <c r="RUW39" s="21"/>
      <c r="RUX39" s="21"/>
      <c r="RUY39" s="21"/>
      <c r="RUZ39" s="21"/>
      <c r="RVA39" s="21"/>
      <c r="RVB39" s="21"/>
      <c r="RVC39" s="21"/>
      <c r="RVD39" s="21"/>
      <c r="RVE39" s="21"/>
      <c r="RVF39" s="21"/>
      <c r="RVG39" s="21"/>
      <c r="RVH39" s="21"/>
      <c r="RVI39" s="21"/>
      <c r="RVJ39" s="21"/>
      <c r="RVK39" s="21"/>
      <c r="RVL39" s="21"/>
      <c r="RVM39" s="21"/>
      <c r="RVN39" s="21"/>
      <c r="RVO39" s="21"/>
      <c r="RVP39" s="21"/>
      <c r="RVQ39" s="21"/>
      <c r="RVR39" s="21"/>
      <c r="RVS39" s="21"/>
      <c r="RVT39" s="21"/>
      <c r="RVU39" s="21"/>
      <c r="RVV39" s="21"/>
      <c r="RVW39" s="21"/>
      <c r="RVX39" s="21"/>
      <c r="RVY39" s="21"/>
      <c r="RVZ39" s="21"/>
      <c r="RWA39" s="21"/>
      <c r="RWB39" s="21"/>
      <c r="RWC39" s="21"/>
      <c r="RWD39" s="21"/>
      <c r="RWE39" s="21"/>
      <c r="RWF39" s="21"/>
      <c r="RWG39" s="21"/>
      <c r="RWH39" s="21"/>
      <c r="RWI39" s="21"/>
      <c r="RWJ39" s="21"/>
      <c r="RWK39" s="21"/>
      <c r="RWL39" s="21"/>
      <c r="RWM39" s="21"/>
      <c r="RWN39" s="21"/>
      <c r="RWO39" s="21"/>
      <c r="RWP39" s="21"/>
      <c r="RWQ39" s="21"/>
      <c r="RWR39" s="21"/>
      <c r="RWS39" s="21"/>
      <c r="RWT39" s="21"/>
      <c r="RWU39" s="21"/>
      <c r="RWV39" s="21"/>
      <c r="RWW39" s="21"/>
      <c r="RWX39" s="21"/>
      <c r="RWY39" s="21"/>
      <c r="RWZ39" s="21"/>
      <c r="RXA39" s="21"/>
      <c r="RXB39" s="21"/>
      <c r="RXC39" s="21"/>
      <c r="RXD39" s="21"/>
      <c r="RXE39" s="21"/>
      <c r="RXF39" s="21"/>
      <c r="RXG39" s="21"/>
      <c r="RXH39" s="21"/>
      <c r="RXI39" s="21"/>
      <c r="RXJ39" s="21"/>
      <c r="RXK39" s="21"/>
      <c r="RXL39" s="21"/>
      <c r="RXM39" s="21"/>
      <c r="RXN39" s="21"/>
      <c r="RXO39" s="21"/>
      <c r="RXP39" s="21"/>
      <c r="RXQ39" s="21"/>
      <c r="RXR39" s="21"/>
      <c r="RXS39" s="21"/>
      <c r="RXT39" s="21"/>
      <c r="RXU39" s="21"/>
      <c r="RXV39" s="21"/>
      <c r="RXW39" s="21"/>
      <c r="RXX39" s="21"/>
      <c r="RXY39" s="21"/>
      <c r="RXZ39" s="21"/>
      <c r="RYA39" s="21"/>
      <c r="RYB39" s="21"/>
      <c r="RYC39" s="21"/>
      <c r="RYD39" s="21"/>
      <c r="RYE39" s="21"/>
      <c r="RYF39" s="21"/>
      <c r="RYG39" s="21"/>
      <c r="RYH39" s="21"/>
      <c r="RYI39" s="21"/>
      <c r="RYJ39" s="21"/>
      <c r="RYK39" s="21"/>
      <c r="RYL39" s="21"/>
      <c r="RYM39" s="21"/>
      <c r="RYN39" s="21"/>
      <c r="RYO39" s="21"/>
      <c r="RYP39" s="21"/>
      <c r="RYQ39" s="21"/>
      <c r="RYR39" s="21"/>
      <c r="RYS39" s="21"/>
      <c r="RYT39" s="21"/>
      <c r="RYU39" s="21"/>
      <c r="RYV39" s="21"/>
      <c r="RYW39" s="21"/>
      <c r="RYX39" s="21"/>
      <c r="RYY39" s="21"/>
      <c r="RYZ39" s="21"/>
      <c r="RZA39" s="21"/>
      <c r="RZB39" s="21"/>
      <c r="RZC39" s="21"/>
      <c r="RZD39" s="21"/>
      <c r="RZE39" s="21"/>
      <c r="RZF39" s="21"/>
      <c r="RZG39" s="21"/>
      <c r="RZH39" s="21"/>
      <c r="RZI39" s="21"/>
      <c r="RZJ39" s="21"/>
      <c r="RZK39" s="21"/>
      <c r="RZL39" s="21"/>
      <c r="RZM39" s="21"/>
      <c r="RZN39" s="21"/>
      <c r="RZO39" s="21"/>
      <c r="RZP39" s="21"/>
      <c r="RZQ39" s="21"/>
      <c r="RZR39" s="21"/>
      <c r="RZS39" s="21"/>
      <c r="RZT39" s="21"/>
      <c r="RZU39" s="21"/>
      <c r="RZV39" s="21"/>
      <c r="RZW39" s="21"/>
      <c r="RZX39" s="21"/>
      <c r="RZY39" s="21"/>
      <c r="RZZ39" s="21"/>
      <c r="SAA39" s="21"/>
      <c r="SAB39" s="21"/>
      <c r="SAC39" s="21"/>
      <c r="SAD39" s="21"/>
      <c r="SAE39" s="21"/>
      <c r="SAF39" s="21"/>
      <c r="SAG39" s="21"/>
      <c r="SAH39" s="21"/>
      <c r="SAI39" s="21"/>
      <c r="SAJ39" s="21"/>
      <c r="SAK39" s="21"/>
      <c r="SAL39" s="21"/>
      <c r="SAM39" s="21"/>
      <c r="SAN39" s="21"/>
      <c r="SAO39" s="21"/>
      <c r="SAP39" s="21"/>
      <c r="SAQ39" s="21"/>
      <c r="SAR39" s="21"/>
      <c r="SAS39" s="21"/>
      <c r="SAT39" s="21"/>
      <c r="SAU39" s="21"/>
      <c r="SAV39" s="21"/>
      <c r="SAW39" s="21"/>
      <c r="SAX39" s="21"/>
      <c r="SAY39" s="21"/>
      <c r="SAZ39" s="21"/>
      <c r="SBA39" s="21"/>
      <c r="SBB39" s="21"/>
      <c r="SBC39" s="21"/>
      <c r="SBD39" s="21"/>
      <c r="SBE39" s="21"/>
      <c r="SBF39" s="21"/>
      <c r="SBG39" s="21"/>
      <c r="SBH39" s="21"/>
      <c r="SBI39" s="21"/>
      <c r="SBJ39" s="21"/>
      <c r="SBK39" s="21"/>
      <c r="SBL39" s="21"/>
      <c r="SBM39" s="21"/>
      <c r="SBN39" s="21"/>
      <c r="SBO39" s="21"/>
      <c r="SBP39" s="21"/>
      <c r="SBQ39" s="21"/>
      <c r="SBR39" s="21"/>
      <c r="SBS39" s="21"/>
      <c r="SBT39" s="21"/>
      <c r="SBU39" s="21"/>
      <c r="SBV39" s="21"/>
      <c r="SBW39" s="21"/>
      <c r="SBX39" s="21"/>
      <c r="SBY39" s="21"/>
      <c r="SBZ39" s="21"/>
      <c r="SCA39" s="21"/>
      <c r="SCB39" s="21"/>
      <c r="SCC39" s="21"/>
      <c r="SCD39" s="21"/>
      <c r="SCE39" s="21"/>
      <c r="SCF39" s="21"/>
      <c r="SCG39" s="21"/>
      <c r="SCH39" s="21"/>
      <c r="SCI39" s="21"/>
      <c r="SCJ39" s="21"/>
      <c r="SCK39" s="21"/>
      <c r="SCL39" s="21"/>
      <c r="SCM39" s="21"/>
      <c r="SCN39" s="21"/>
      <c r="SCO39" s="21"/>
      <c r="SCP39" s="21"/>
      <c r="SCQ39" s="21"/>
      <c r="SCR39" s="21"/>
      <c r="SCS39" s="21"/>
      <c r="SCT39" s="21"/>
      <c r="SCU39" s="21"/>
      <c r="SCV39" s="21"/>
      <c r="SCW39" s="21"/>
      <c r="SCX39" s="21"/>
      <c r="SCY39" s="21"/>
      <c r="SCZ39" s="21"/>
      <c r="SDA39" s="21"/>
      <c r="SDB39" s="21"/>
      <c r="SDC39" s="21"/>
      <c r="SDD39" s="21"/>
      <c r="SDE39" s="21"/>
      <c r="SDF39" s="21"/>
      <c r="SDG39" s="21"/>
      <c r="SDH39" s="21"/>
      <c r="SDI39" s="21"/>
      <c r="SDJ39" s="21"/>
      <c r="SDK39" s="21"/>
      <c r="SDL39" s="21"/>
      <c r="SDM39" s="21"/>
      <c r="SDN39" s="21"/>
      <c r="SDO39" s="21"/>
      <c r="SDP39" s="21"/>
      <c r="SDQ39" s="21"/>
      <c r="SDR39" s="21"/>
      <c r="SDS39" s="21"/>
      <c r="SDT39" s="21"/>
      <c r="SDU39" s="21"/>
      <c r="SDV39" s="21"/>
      <c r="SDW39" s="21"/>
      <c r="SDX39" s="21"/>
      <c r="SDY39" s="21"/>
      <c r="SDZ39" s="21"/>
      <c r="SEA39" s="21"/>
      <c r="SEB39" s="21"/>
      <c r="SEC39" s="21"/>
      <c r="SED39" s="21"/>
      <c r="SEE39" s="21"/>
      <c r="SEF39" s="21"/>
      <c r="SEG39" s="21"/>
      <c r="SEH39" s="21"/>
      <c r="SEI39" s="21"/>
      <c r="SEJ39" s="21"/>
      <c r="SEK39" s="21"/>
      <c r="SEL39" s="21"/>
      <c r="SEM39" s="21"/>
      <c r="SEN39" s="21"/>
      <c r="SEO39" s="21"/>
      <c r="SEP39" s="21"/>
      <c r="SEQ39" s="21"/>
      <c r="SER39" s="21"/>
      <c r="SES39" s="21"/>
      <c r="SET39" s="21"/>
      <c r="SEU39" s="21"/>
      <c r="SEV39" s="21"/>
      <c r="SEW39" s="21"/>
      <c r="SEX39" s="21"/>
      <c r="SEY39" s="21"/>
      <c r="SEZ39" s="21"/>
      <c r="SFA39" s="21"/>
      <c r="SFB39" s="21"/>
      <c r="SFC39" s="21"/>
      <c r="SFD39" s="21"/>
      <c r="SFE39" s="21"/>
      <c r="SFF39" s="21"/>
      <c r="SFG39" s="21"/>
      <c r="SFH39" s="21"/>
      <c r="SFI39" s="21"/>
      <c r="SFJ39" s="21"/>
      <c r="SFK39" s="21"/>
      <c r="SFL39" s="21"/>
      <c r="SFM39" s="21"/>
      <c r="SFN39" s="21"/>
      <c r="SFO39" s="21"/>
      <c r="SFP39" s="21"/>
      <c r="SFQ39" s="21"/>
      <c r="SFR39" s="21"/>
      <c r="SFS39" s="21"/>
      <c r="SFT39" s="21"/>
      <c r="SFU39" s="21"/>
      <c r="SFV39" s="21"/>
      <c r="SFW39" s="21"/>
      <c r="SFX39" s="21"/>
      <c r="SFY39" s="21"/>
      <c r="SFZ39" s="21"/>
      <c r="SGA39" s="21"/>
      <c r="SGB39" s="21"/>
      <c r="SGC39" s="21"/>
      <c r="SGD39" s="21"/>
      <c r="SGE39" s="21"/>
      <c r="SGF39" s="21"/>
      <c r="SGG39" s="21"/>
      <c r="SGH39" s="21"/>
      <c r="SGI39" s="21"/>
      <c r="SGJ39" s="21"/>
      <c r="SGK39" s="21"/>
      <c r="SGL39" s="21"/>
      <c r="SGM39" s="21"/>
      <c r="SGN39" s="21"/>
      <c r="SGO39" s="21"/>
      <c r="SGP39" s="21"/>
      <c r="SGQ39" s="21"/>
      <c r="SGR39" s="21"/>
      <c r="SGS39" s="21"/>
      <c r="SGT39" s="21"/>
      <c r="SGU39" s="21"/>
      <c r="SGV39" s="21"/>
      <c r="SGW39" s="21"/>
      <c r="SGX39" s="21"/>
      <c r="SGY39" s="21"/>
      <c r="SGZ39" s="21"/>
      <c r="SHA39" s="21"/>
      <c r="SHB39" s="21"/>
      <c r="SHC39" s="21"/>
      <c r="SHD39" s="21"/>
      <c r="SHE39" s="21"/>
      <c r="SHF39" s="21"/>
      <c r="SHG39" s="21"/>
      <c r="SHH39" s="21"/>
      <c r="SHI39" s="21"/>
      <c r="SHJ39" s="21"/>
      <c r="SHK39" s="21"/>
      <c r="SHL39" s="21"/>
      <c r="SHM39" s="21"/>
      <c r="SHN39" s="21"/>
      <c r="SHO39" s="21"/>
      <c r="SHP39" s="21"/>
      <c r="SHQ39" s="21"/>
      <c r="SHR39" s="21"/>
      <c r="SHS39" s="21"/>
      <c r="SHT39" s="21"/>
      <c r="SHU39" s="21"/>
      <c r="SHV39" s="21"/>
      <c r="SHW39" s="21"/>
      <c r="SHX39" s="21"/>
      <c r="SHY39" s="21"/>
      <c r="SHZ39" s="21"/>
      <c r="SIA39" s="21"/>
      <c r="SIB39" s="21"/>
      <c r="SIC39" s="21"/>
      <c r="SID39" s="21"/>
      <c r="SIE39" s="21"/>
      <c r="SIF39" s="21"/>
      <c r="SIG39" s="21"/>
      <c r="SIH39" s="21"/>
      <c r="SII39" s="21"/>
      <c r="SIJ39" s="21"/>
      <c r="SIK39" s="21"/>
      <c r="SIL39" s="21"/>
      <c r="SIM39" s="21"/>
      <c r="SIN39" s="21"/>
      <c r="SIO39" s="21"/>
      <c r="SIP39" s="21"/>
      <c r="SIQ39" s="21"/>
      <c r="SIR39" s="21"/>
      <c r="SIS39" s="21"/>
      <c r="SIT39" s="21"/>
      <c r="SIU39" s="21"/>
      <c r="SIV39" s="21"/>
      <c r="SIW39" s="21"/>
      <c r="SIX39" s="21"/>
      <c r="SIY39" s="21"/>
      <c r="SIZ39" s="21"/>
      <c r="SJA39" s="21"/>
      <c r="SJB39" s="21"/>
      <c r="SJC39" s="21"/>
      <c r="SJD39" s="21"/>
      <c r="SJE39" s="21"/>
      <c r="SJF39" s="21"/>
      <c r="SJG39" s="21"/>
      <c r="SJH39" s="21"/>
      <c r="SJI39" s="21"/>
      <c r="SJJ39" s="21"/>
      <c r="SJK39" s="21"/>
      <c r="SJL39" s="21"/>
      <c r="SJM39" s="21"/>
      <c r="SJN39" s="21"/>
      <c r="SJO39" s="21"/>
      <c r="SJP39" s="21"/>
      <c r="SJQ39" s="21"/>
      <c r="SJR39" s="21"/>
      <c r="SJS39" s="21"/>
      <c r="SJT39" s="21"/>
      <c r="SJU39" s="21"/>
      <c r="SJV39" s="21"/>
      <c r="SJW39" s="21"/>
      <c r="SJX39" s="21"/>
      <c r="SJY39" s="21"/>
      <c r="SJZ39" s="21"/>
      <c r="SKA39" s="21"/>
      <c r="SKB39" s="21"/>
      <c r="SKC39" s="21"/>
      <c r="SKD39" s="21"/>
      <c r="SKE39" s="21"/>
      <c r="SKF39" s="21"/>
      <c r="SKG39" s="21"/>
      <c r="SKH39" s="21"/>
      <c r="SKI39" s="21"/>
      <c r="SKJ39" s="21"/>
      <c r="SKK39" s="21"/>
      <c r="SKL39" s="21"/>
      <c r="SKM39" s="21"/>
      <c r="SKN39" s="21"/>
      <c r="SKO39" s="21"/>
      <c r="SKP39" s="21"/>
      <c r="SKQ39" s="21"/>
      <c r="SKR39" s="21"/>
      <c r="SKS39" s="21"/>
      <c r="SKT39" s="21"/>
      <c r="SKU39" s="21"/>
      <c r="SKV39" s="21"/>
      <c r="SKW39" s="21"/>
      <c r="SKX39" s="21"/>
      <c r="SKY39" s="21"/>
      <c r="SKZ39" s="21"/>
      <c r="SLA39" s="21"/>
      <c r="SLB39" s="21"/>
      <c r="SLC39" s="21"/>
      <c r="SLD39" s="21"/>
      <c r="SLE39" s="21"/>
      <c r="SLF39" s="21"/>
      <c r="SLG39" s="21"/>
      <c r="SLH39" s="21"/>
      <c r="SLI39" s="21"/>
      <c r="SLJ39" s="21"/>
      <c r="SLK39" s="21"/>
      <c r="SLL39" s="21"/>
      <c r="SLM39" s="21"/>
      <c r="SLN39" s="21"/>
      <c r="SLO39" s="21"/>
      <c r="SLP39" s="21"/>
      <c r="SLQ39" s="21"/>
      <c r="SLR39" s="21"/>
      <c r="SLS39" s="21"/>
      <c r="SLT39" s="21"/>
      <c r="SLU39" s="21"/>
      <c r="SLV39" s="21"/>
      <c r="SLW39" s="21"/>
      <c r="SLX39" s="21"/>
      <c r="SLY39" s="21"/>
      <c r="SLZ39" s="21"/>
      <c r="SMA39" s="21"/>
      <c r="SMB39" s="21"/>
      <c r="SMC39" s="21"/>
      <c r="SMD39" s="21"/>
      <c r="SME39" s="21"/>
      <c r="SMF39" s="21"/>
      <c r="SMG39" s="21"/>
      <c r="SMH39" s="21"/>
      <c r="SMI39" s="21"/>
      <c r="SMJ39" s="21"/>
      <c r="SMK39" s="21"/>
      <c r="SML39" s="21"/>
      <c r="SMM39" s="21"/>
      <c r="SMN39" s="21"/>
      <c r="SMO39" s="21"/>
      <c r="SMP39" s="21"/>
      <c r="SMQ39" s="21"/>
      <c r="SMR39" s="21"/>
      <c r="SMS39" s="21"/>
      <c r="SMT39" s="21"/>
      <c r="SMU39" s="21"/>
      <c r="SMV39" s="21"/>
      <c r="SMW39" s="21"/>
      <c r="SMX39" s="21"/>
      <c r="SMY39" s="21"/>
      <c r="SMZ39" s="21"/>
      <c r="SNA39" s="21"/>
      <c r="SNB39" s="21"/>
      <c r="SNC39" s="21"/>
      <c r="SND39" s="21"/>
      <c r="SNE39" s="21"/>
      <c r="SNF39" s="21"/>
      <c r="SNG39" s="21"/>
      <c r="SNH39" s="21"/>
      <c r="SNI39" s="21"/>
      <c r="SNJ39" s="21"/>
      <c r="SNK39" s="21"/>
      <c r="SNL39" s="21"/>
      <c r="SNM39" s="21"/>
      <c r="SNN39" s="21"/>
      <c r="SNO39" s="21"/>
      <c r="SNP39" s="21"/>
      <c r="SNQ39" s="21"/>
      <c r="SNR39" s="21"/>
      <c r="SNS39" s="21"/>
      <c r="SNT39" s="21"/>
      <c r="SNU39" s="21"/>
      <c r="SNV39" s="21"/>
      <c r="SNW39" s="21"/>
      <c r="SNX39" s="21"/>
      <c r="SNY39" s="21"/>
      <c r="SNZ39" s="21"/>
      <c r="SOA39" s="21"/>
      <c r="SOB39" s="21"/>
      <c r="SOC39" s="21"/>
      <c r="SOD39" s="21"/>
      <c r="SOE39" s="21"/>
      <c r="SOF39" s="21"/>
      <c r="SOG39" s="21"/>
      <c r="SOH39" s="21"/>
      <c r="SOI39" s="21"/>
      <c r="SOJ39" s="21"/>
      <c r="SOK39" s="21"/>
      <c r="SOL39" s="21"/>
      <c r="SOM39" s="21"/>
      <c r="SON39" s="21"/>
      <c r="SOO39" s="21"/>
      <c r="SOP39" s="21"/>
      <c r="SOQ39" s="21"/>
      <c r="SOR39" s="21"/>
      <c r="SOS39" s="21"/>
      <c r="SOT39" s="21"/>
      <c r="SOU39" s="21"/>
      <c r="SOV39" s="21"/>
      <c r="SOW39" s="21"/>
      <c r="SOX39" s="21"/>
      <c r="SOY39" s="21"/>
      <c r="SOZ39" s="21"/>
      <c r="SPA39" s="21"/>
      <c r="SPB39" s="21"/>
      <c r="SPC39" s="21"/>
      <c r="SPD39" s="21"/>
      <c r="SPE39" s="21"/>
      <c r="SPF39" s="21"/>
      <c r="SPG39" s="21"/>
      <c r="SPH39" s="21"/>
      <c r="SPI39" s="21"/>
      <c r="SPJ39" s="21"/>
      <c r="SPK39" s="21"/>
      <c r="SPL39" s="21"/>
      <c r="SPM39" s="21"/>
      <c r="SPN39" s="21"/>
      <c r="SPO39" s="21"/>
      <c r="SPP39" s="21"/>
      <c r="SPQ39" s="21"/>
      <c r="SPR39" s="21"/>
      <c r="SPS39" s="21"/>
      <c r="SPT39" s="21"/>
      <c r="SPU39" s="21"/>
      <c r="SPV39" s="21"/>
      <c r="SPW39" s="21"/>
      <c r="SPX39" s="21"/>
      <c r="SPY39" s="21"/>
      <c r="SPZ39" s="21"/>
      <c r="SQA39" s="21"/>
      <c r="SQB39" s="21"/>
      <c r="SQC39" s="21"/>
      <c r="SQD39" s="21"/>
      <c r="SQE39" s="21"/>
      <c r="SQF39" s="21"/>
      <c r="SQG39" s="21"/>
      <c r="SQH39" s="21"/>
      <c r="SQI39" s="21"/>
      <c r="SQJ39" s="21"/>
      <c r="SQK39" s="21"/>
      <c r="SQL39" s="21"/>
      <c r="SQM39" s="21"/>
      <c r="SQN39" s="21"/>
      <c r="SQO39" s="21"/>
      <c r="SQP39" s="21"/>
      <c r="SQQ39" s="21"/>
      <c r="SQR39" s="21"/>
      <c r="SQS39" s="21"/>
      <c r="SQT39" s="21"/>
      <c r="SQU39" s="21"/>
      <c r="SQV39" s="21"/>
      <c r="SQW39" s="21"/>
      <c r="SQX39" s="21"/>
      <c r="SQY39" s="21"/>
      <c r="SQZ39" s="21"/>
      <c r="SRA39" s="21"/>
      <c r="SRB39" s="21"/>
      <c r="SRC39" s="21"/>
      <c r="SRD39" s="21"/>
      <c r="SRE39" s="21"/>
      <c r="SRF39" s="21"/>
      <c r="SRG39" s="21"/>
      <c r="SRH39" s="21"/>
      <c r="SRI39" s="21"/>
      <c r="SRJ39" s="21"/>
      <c r="SRK39" s="21"/>
      <c r="SRL39" s="21"/>
      <c r="SRM39" s="21"/>
      <c r="SRN39" s="21"/>
      <c r="SRO39" s="21"/>
      <c r="SRP39" s="21"/>
      <c r="SRQ39" s="21"/>
      <c r="SRR39" s="21"/>
      <c r="SRS39" s="21"/>
      <c r="SRT39" s="21"/>
      <c r="SRU39" s="21"/>
      <c r="SRV39" s="21"/>
      <c r="SRW39" s="21"/>
      <c r="SRX39" s="21"/>
      <c r="SRY39" s="21"/>
      <c r="SRZ39" s="21"/>
      <c r="SSA39" s="21"/>
      <c r="SSB39" s="21"/>
      <c r="SSC39" s="21"/>
      <c r="SSD39" s="21"/>
      <c r="SSE39" s="21"/>
      <c r="SSF39" s="21"/>
      <c r="SSG39" s="21"/>
      <c r="SSH39" s="21"/>
      <c r="SSI39" s="21"/>
      <c r="SSJ39" s="21"/>
      <c r="SSK39" s="21"/>
      <c r="SSL39" s="21"/>
      <c r="SSM39" s="21"/>
      <c r="SSN39" s="21"/>
      <c r="SSO39" s="21"/>
      <c r="SSP39" s="21"/>
      <c r="SSQ39" s="21"/>
      <c r="SSR39" s="21"/>
      <c r="SSS39" s="21"/>
      <c r="SST39" s="21"/>
      <c r="SSU39" s="21"/>
      <c r="SSV39" s="21"/>
      <c r="SSW39" s="21"/>
      <c r="SSX39" s="21"/>
      <c r="SSY39" s="21"/>
      <c r="SSZ39" s="21"/>
      <c r="STA39" s="21"/>
      <c r="STB39" s="21"/>
      <c r="STC39" s="21"/>
      <c r="STD39" s="21"/>
      <c r="STE39" s="21"/>
      <c r="STF39" s="21"/>
      <c r="STG39" s="21"/>
      <c r="STH39" s="21"/>
      <c r="STI39" s="21"/>
      <c r="STJ39" s="21"/>
      <c r="STK39" s="21"/>
      <c r="STL39" s="21"/>
      <c r="STM39" s="21"/>
      <c r="STN39" s="21"/>
      <c r="STO39" s="21"/>
      <c r="STP39" s="21"/>
      <c r="STQ39" s="21"/>
      <c r="STR39" s="21"/>
      <c r="STS39" s="21"/>
      <c r="STT39" s="21"/>
      <c r="STU39" s="21"/>
      <c r="STV39" s="21"/>
      <c r="STW39" s="21"/>
      <c r="STX39" s="21"/>
      <c r="STY39" s="21"/>
      <c r="STZ39" s="21"/>
      <c r="SUA39" s="21"/>
      <c r="SUB39" s="21"/>
      <c r="SUC39" s="21"/>
      <c r="SUD39" s="21"/>
      <c r="SUE39" s="21"/>
      <c r="SUF39" s="21"/>
      <c r="SUG39" s="21"/>
      <c r="SUH39" s="21"/>
      <c r="SUI39" s="21"/>
      <c r="SUJ39" s="21"/>
      <c r="SUK39" s="21"/>
      <c r="SUL39" s="21"/>
      <c r="SUM39" s="21"/>
      <c r="SUN39" s="21"/>
      <c r="SUO39" s="21"/>
      <c r="SUP39" s="21"/>
      <c r="SUQ39" s="21"/>
      <c r="SUR39" s="21"/>
      <c r="SUS39" s="21"/>
      <c r="SUT39" s="21"/>
      <c r="SUU39" s="21"/>
      <c r="SUV39" s="21"/>
      <c r="SUW39" s="21"/>
      <c r="SUX39" s="21"/>
      <c r="SUY39" s="21"/>
      <c r="SUZ39" s="21"/>
      <c r="SVA39" s="21"/>
      <c r="SVB39" s="21"/>
      <c r="SVC39" s="21"/>
      <c r="SVD39" s="21"/>
      <c r="SVE39" s="21"/>
      <c r="SVF39" s="21"/>
      <c r="SVG39" s="21"/>
      <c r="SVH39" s="21"/>
      <c r="SVI39" s="21"/>
      <c r="SVJ39" s="21"/>
      <c r="SVK39" s="21"/>
      <c r="SVL39" s="21"/>
      <c r="SVM39" s="21"/>
      <c r="SVN39" s="21"/>
      <c r="SVO39" s="21"/>
      <c r="SVP39" s="21"/>
      <c r="SVQ39" s="21"/>
      <c r="SVR39" s="21"/>
      <c r="SVS39" s="21"/>
      <c r="SVT39" s="21"/>
      <c r="SVU39" s="21"/>
      <c r="SVV39" s="21"/>
      <c r="SVW39" s="21"/>
      <c r="SVX39" s="21"/>
      <c r="SVY39" s="21"/>
      <c r="SVZ39" s="21"/>
      <c r="SWA39" s="21"/>
      <c r="SWB39" s="21"/>
      <c r="SWC39" s="21"/>
      <c r="SWD39" s="21"/>
      <c r="SWE39" s="21"/>
      <c r="SWF39" s="21"/>
      <c r="SWG39" s="21"/>
      <c r="SWH39" s="21"/>
      <c r="SWI39" s="21"/>
      <c r="SWJ39" s="21"/>
      <c r="SWK39" s="21"/>
      <c r="SWL39" s="21"/>
      <c r="SWM39" s="21"/>
      <c r="SWN39" s="21"/>
      <c r="SWO39" s="21"/>
      <c r="SWP39" s="21"/>
      <c r="SWQ39" s="21"/>
      <c r="SWR39" s="21"/>
      <c r="SWS39" s="21"/>
      <c r="SWT39" s="21"/>
      <c r="SWU39" s="21"/>
      <c r="SWV39" s="21"/>
      <c r="SWW39" s="21"/>
      <c r="SWX39" s="21"/>
      <c r="SWY39" s="21"/>
      <c r="SWZ39" s="21"/>
      <c r="SXA39" s="21"/>
      <c r="SXB39" s="21"/>
      <c r="SXC39" s="21"/>
      <c r="SXD39" s="21"/>
      <c r="SXE39" s="21"/>
      <c r="SXF39" s="21"/>
      <c r="SXG39" s="21"/>
      <c r="SXH39" s="21"/>
      <c r="SXI39" s="21"/>
      <c r="SXJ39" s="21"/>
      <c r="SXK39" s="21"/>
      <c r="SXL39" s="21"/>
      <c r="SXM39" s="21"/>
      <c r="SXN39" s="21"/>
      <c r="SXO39" s="21"/>
      <c r="SXP39" s="21"/>
      <c r="SXQ39" s="21"/>
      <c r="SXR39" s="21"/>
      <c r="SXS39" s="21"/>
      <c r="SXT39" s="21"/>
      <c r="SXU39" s="21"/>
      <c r="SXV39" s="21"/>
      <c r="SXW39" s="21"/>
      <c r="SXX39" s="21"/>
      <c r="SXY39" s="21"/>
      <c r="SXZ39" s="21"/>
      <c r="SYA39" s="21"/>
      <c r="SYB39" s="21"/>
      <c r="SYC39" s="21"/>
      <c r="SYD39" s="21"/>
      <c r="SYE39" s="21"/>
      <c r="SYF39" s="21"/>
      <c r="SYG39" s="21"/>
      <c r="SYH39" s="21"/>
      <c r="SYI39" s="21"/>
      <c r="SYJ39" s="21"/>
      <c r="SYK39" s="21"/>
      <c r="SYL39" s="21"/>
      <c r="SYM39" s="21"/>
      <c r="SYN39" s="21"/>
      <c r="SYO39" s="21"/>
      <c r="SYP39" s="21"/>
      <c r="SYQ39" s="21"/>
      <c r="SYR39" s="21"/>
      <c r="SYS39" s="21"/>
      <c r="SYT39" s="21"/>
      <c r="SYU39" s="21"/>
      <c r="SYV39" s="21"/>
      <c r="SYW39" s="21"/>
      <c r="SYX39" s="21"/>
      <c r="SYY39" s="21"/>
      <c r="SYZ39" s="21"/>
      <c r="SZA39" s="21"/>
      <c r="SZB39" s="21"/>
      <c r="SZC39" s="21"/>
      <c r="SZD39" s="21"/>
      <c r="SZE39" s="21"/>
      <c r="SZF39" s="21"/>
      <c r="SZG39" s="21"/>
      <c r="SZH39" s="21"/>
      <c r="SZI39" s="21"/>
      <c r="SZJ39" s="21"/>
      <c r="SZK39" s="21"/>
      <c r="SZL39" s="21"/>
      <c r="SZM39" s="21"/>
      <c r="SZN39" s="21"/>
      <c r="SZO39" s="21"/>
      <c r="SZP39" s="21"/>
      <c r="SZQ39" s="21"/>
      <c r="SZR39" s="21"/>
      <c r="SZS39" s="21"/>
      <c r="SZT39" s="21"/>
      <c r="SZU39" s="21"/>
      <c r="SZV39" s="21"/>
      <c r="SZW39" s="21"/>
      <c r="SZX39" s="21"/>
      <c r="SZY39" s="21"/>
      <c r="SZZ39" s="21"/>
      <c r="TAA39" s="21"/>
      <c r="TAB39" s="21"/>
      <c r="TAC39" s="21"/>
      <c r="TAD39" s="21"/>
      <c r="TAE39" s="21"/>
      <c r="TAF39" s="21"/>
      <c r="TAG39" s="21"/>
      <c r="TAH39" s="21"/>
      <c r="TAI39" s="21"/>
      <c r="TAJ39" s="21"/>
      <c r="TAK39" s="21"/>
      <c r="TAL39" s="21"/>
      <c r="TAM39" s="21"/>
      <c r="TAN39" s="21"/>
      <c r="TAO39" s="21"/>
      <c r="TAP39" s="21"/>
      <c r="TAQ39" s="21"/>
      <c r="TAR39" s="21"/>
      <c r="TAS39" s="21"/>
      <c r="TAT39" s="21"/>
      <c r="TAU39" s="21"/>
      <c r="TAV39" s="21"/>
      <c r="TAW39" s="21"/>
      <c r="TAX39" s="21"/>
      <c r="TAY39" s="21"/>
      <c r="TAZ39" s="21"/>
      <c r="TBA39" s="21"/>
      <c r="TBB39" s="21"/>
      <c r="TBC39" s="21"/>
      <c r="TBD39" s="21"/>
      <c r="TBE39" s="21"/>
      <c r="TBF39" s="21"/>
      <c r="TBG39" s="21"/>
      <c r="TBH39" s="21"/>
      <c r="TBI39" s="21"/>
      <c r="TBJ39" s="21"/>
      <c r="TBK39" s="21"/>
      <c r="TBL39" s="21"/>
      <c r="TBM39" s="21"/>
      <c r="TBN39" s="21"/>
      <c r="TBO39" s="21"/>
      <c r="TBP39" s="21"/>
      <c r="TBQ39" s="21"/>
      <c r="TBR39" s="21"/>
      <c r="TBS39" s="21"/>
      <c r="TBT39" s="21"/>
      <c r="TBU39" s="21"/>
      <c r="TBV39" s="21"/>
      <c r="TBW39" s="21"/>
      <c r="TBX39" s="21"/>
      <c r="TBY39" s="21"/>
      <c r="TBZ39" s="21"/>
      <c r="TCA39" s="21"/>
      <c r="TCB39" s="21"/>
      <c r="TCC39" s="21"/>
      <c r="TCD39" s="21"/>
      <c r="TCE39" s="21"/>
      <c r="TCF39" s="21"/>
      <c r="TCG39" s="21"/>
      <c r="TCH39" s="21"/>
      <c r="TCI39" s="21"/>
      <c r="TCJ39" s="21"/>
      <c r="TCK39" s="21"/>
      <c r="TCL39" s="21"/>
      <c r="TCM39" s="21"/>
      <c r="TCN39" s="21"/>
      <c r="TCO39" s="21"/>
      <c r="TCP39" s="21"/>
      <c r="TCQ39" s="21"/>
      <c r="TCR39" s="21"/>
      <c r="TCS39" s="21"/>
      <c r="TCT39" s="21"/>
      <c r="TCU39" s="21"/>
      <c r="TCV39" s="21"/>
      <c r="TCW39" s="21"/>
      <c r="TCX39" s="21"/>
      <c r="TCY39" s="21"/>
      <c r="TCZ39" s="21"/>
      <c r="TDA39" s="21"/>
      <c r="TDB39" s="21"/>
      <c r="TDC39" s="21"/>
      <c r="TDD39" s="21"/>
      <c r="TDE39" s="21"/>
      <c r="TDF39" s="21"/>
      <c r="TDG39" s="21"/>
      <c r="TDH39" s="21"/>
      <c r="TDI39" s="21"/>
      <c r="TDJ39" s="21"/>
      <c r="TDK39" s="21"/>
      <c r="TDL39" s="21"/>
      <c r="TDM39" s="21"/>
      <c r="TDN39" s="21"/>
      <c r="TDO39" s="21"/>
      <c r="TDP39" s="21"/>
      <c r="TDQ39" s="21"/>
      <c r="TDR39" s="21"/>
      <c r="TDS39" s="21"/>
      <c r="TDT39" s="21"/>
      <c r="TDU39" s="21"/>
      <c r="TDV39" s="21"/>
      <c r="TDW39" s="21"/>
      <c r="TDX39" s="21"/>
      <c r="TDY39" s="21"/>
      <c r="TDZ39" s="21"/>
      <c r="TEA39" s="21"/>
      <c r="TEB39" s="21"/>
      <c r="TEC39" s="21"/>
      <c r="TED39" s="21"/>
      <c r="TEE39" s="21"/>
      <c r="TEF39" s="21"/>
      <c r="TEG39" s="21"/>
      <c r="TEH39" s="21"/>
      <c r="TEI39" s="21"/>
      <c r="TEJ39" s="21"/>
      <c r="TEK39" s="21"/>
      <c r="TEL39" s="21"/>
      <c r="TEM39" s="21"/>
      <c r="TEN39" s="21"/>
      <c r="TEO39" s="21"/>
      <c r="TEP39" s="21"/>
      <c r="TEQ39" s="21"/>
      <c r="TER39" s="21"/>
      <c r="TES39" s="21"/>
      <c r="TET39" s="21"/>
      <c r="TEU39" s="21"/>
      <c r="TEV39" s="21"/>
      <c r="TEW39" s="21"/>
      <c r="TEX39" s="21"/>
      <c r="TEY39" s="21"/>
      <c r="TEZ39" s="21"/>
      <c r="TFA39" s="21"/>
      <c r="TFB39" s="21"/>
      <c r="TFC39" s="21"/>
      <c r="TFD39" s="21"/>
      <c r="TFE39" s="21"/>
      <c r="TFF39" s="21"/>
      <c r="TFG39" s="21"/>
      <c r="TFH39" s="21"/>
      <c r="TFI39" s="21"/>
      <c r="TFJ39" s="21"/>
      <c r="TFK39" s="21"/>
      <c r="TFL39" s="21"/>
      <c r="TFM39" s="21"/>
      <c r="TFN39" s="21"/>
      <c r="TFO39" s="21"/>
      <c r="TFP39" s="21"/>
      <c r="TFQ39" s="21"/>
      <c r="TFR39" s="21"/>
      <c r="TFS39" s="21"/>
      <c r="TFT39" s="21"/>
      <c r="TFU39" s="21"/>
      <c r="TFV39" s="21"/>
      <c r="TFW39" s="21"/>
      <c r="TFX39" s="21"/>
      <c r="TFY39" s="21"/>
      <c r="TFZ39" s="21"/>
      <c r="TGA39" s="21"/>
      <c r="TGB39" s="21"/>
      <c r="TGC39" s="21"/>
      <c r="TGD39" s="21"/>
      <c r="TGE39" s="21"/>
      <c r="TGF39" s="21"/>
      <c r="TGG39" s="21"/>
      <c r="TGH39" s="21"/>
      <c r="TGI39" s="21"/>
      <c r="TGJ39" s="21"/>
      <c r="TGK39" s="21"/>
      <c r="TGL39" s="21"/>
      <c r="TGM39" s="21"/>
      <c r="TGN39" s="21"/>
      <c r="TGO39" s="21"/>
      <c r="TGP39" s="21"/>
      <c r="TGQ39" s="21"/>
      <c r="TGR39" s="21"/>
      <c r="TGS39" s="21"/>
      <c r="TGT39" s="21"/>
      <c r="TGU39" s="21"/>
      <c r="TGV39" s="21"/>
      <c r="TGW39" s="21"/>
      <c r="TGX39" s="21"/>
      <c r="TGY39" s="21"/>
      <c r="TGZ39" s="21"/>
      <c r="THA39" s="21"/>
      <c r="THB39" s="21"/>
      <c r="THC39" s="21"/>
      <c r="THD39" s="21"/>
      <c r="THE39" s="21"/>
      <c r="THF39" s="21"/>
      <c r="THG39" s="21"/>
      <c r="THH39" s="21"/>
      <c r="THI39" s="21"/>
      <c r="THJ39" s="21"/>
      <c r="THK39" s="21"/>
      <c r="THL39" s="21"/>
      <c r="THM39" s="21"/>
      <c r="THN39" s="21"/>
      <c r="THO39" s="21"/>
      <c r="THP39" s="21"/>
      <c r="THQ39" s="21"/>
      <c r="THR39" s="21"/>
      <c r="THS39" s="21"/>
      <c r="THT39" s="21"/>
      <c r="THU39" s="21"/>
      <c r="THV39" s="21"/>
      <c r="THW39" s="21"/>
      <c r="THX39" s="21"/>
      <c r="THY39" s="21"/>
      <c r="THZ39" s="21"/>
      <c r="TIA39" s="21"/>
      <c r="TIB39" s="21"/>
      <c r="TIC39" s="21"/>
      <c r="TID39" s="21"/>
      <c r="TIE39" s="21"/>
      <c r="TIF39" s="21"/>
      <c r="TIG39" s="21"/>
      <c r="TIH39" s="21"/>
      <c r="TII39" s="21"/>
      <c r="TIJ39" s="21"/>
      <c r="TIK39" s="21"/>
      <c r="TIL39" s="21"/>
      <c r="TIM39" s="21"/>
      <c r="TIN39" s="21"/>
      <c r="TIO39" s="21"/>
      <c r="TIP39" s="21"/>
      <c r="TIQ39" s="21"/>
      <c r="TIR39" s="21"/>
      <c r="TIS39" s="21"/>
      <c r="TIT39" s="21"/>
      <c r="TIU39" s="21"/>
      <c r="TIV39" s="21"/>
      <c r="TIW39" s="21"/>
      <c r="TIX39" s="21"/>
      <c r="TIY39" s="21"/>
      <c r="TIZ39" s="21"/>
      <c r="TJA39" s="21"/>
      <c r="TJB39" s="21"/>
      <c r="TJC39" s="21"/>
      <c r="TJD39" s="21"/>
      <c r="TJE39" s="21"/>
      <c r="TJF39" s="21"/>
      <c r="TJG39" s="21"/>
      <c r="TJH39" s="21"/>
      <c r="TJI39" s="21"/>
      <c r="TJJ39" s="21"/>
      <c r="TJK39" s="21"/>
      <c r="TJL39" s="21"/>
      <c r="TJM39" s="21"/>
      <c r="TJN39" s="21"/>
      <c r="TJO39" s="21"/>
      <c r="TJP39" s="21"/>
      <c r="TJQ39" s="21"/>
      <c r="TJR39" s="21"/>
      <c r="TJS39" s="21"/>
      <c r="TJT39" s="21"/>
      <c r="TJU39" s="21"/>
      <c r="TJV39" s="21"/>
      <c r="TJW39" s="21"/>
      <c r="TJX39" s="21"/>
      <c r="TJY39" s="21"/>
      <c r="TJZ39" s="21"/>
      <c r="TKA39" s="21"/>
      <c r="TKB39" s="21"/>
      <c r="TKC39" s="21"/>
      <c r="TKD39" s="21"/>
      <c r="TKE39" s="21"/>
      <c r="TKF39" s="21"/>
      <c r="TKG39" s="21"/>
      <c r="TKH39" s="21"/>
      <c r="TKI39" s="21"/>
      <c r="TKJ39" s="21"/>
      <c r="TKK39" s="21"/>
      <c r="TKL39" s="21"/>
      <c r="TKM39" s="21"/>
      <c r="TKN39" s="21"/>
      <c r="TKO39" s="21"/>
      <c r="TKP39" s="21"/>
      <c r="TKQ39" s="21"/>
      <c r="TKR39" s="21"/>
      <c r="TKS39" s="21"/>
      <c r="TKT39" s="21"/>
      <c r="TKU39" s="21"/>
      <c r="TKV39" s="21"/>
      <c r="TKW39" s="21"/>
      <c r="TKX39" s="21"/>
      <c r="TKY39" s="21"/>
      <c r="TKZ39" s="21"/>
      <c r="TLA39" s="21"/>
      <c r="TLB39" s="21"/>
      <c r="TLC39" s="21"/>
      <c r="TLD39" s="21"/>
      <c r="TLE39" s="21"/>
      <c r="TLF39" s="21"/>
      <c r="TLG39" s="21"/>
      <c r="TLH39" s="21"/>
      <c r="TLI39" s="21"/>
      <c r="TLJ39" s="21"/>
      <c r="TLK39" s="21"/>
      <c r="TLL39" s="21"/>
      <c r="TLM39" s="21"/>
      <c r="TLN39" s="21"/>
      <c r="TLO39" s="21"/>
      <c r="TLP39" s="21"/>
      <c r="TLQ39" s="21"/>
      <c r="TLR39" s="21"/>
      <c r="TLS39" s="21"/>
      <c r="TLT39" s="21"/>
      <c r="TLU39" s="21"/>
      <c r="TLV39" s="21"/>
      <c r="TLW39" s="21"/>
      <c r="TLX39" s="21"/>
      <c r="TLY39" s="21"/>
      <c r="TLZ39" s="21"/>
      <c r="TMA39" s="21"/>
      <c r="TMB39" s="21"/>
      <c r="TMC39" s="21"/>
      <c r="TMD39" s="21"/>
      <c r="TME39" s="21"/>
      <c r="TMF39" s="21"/>
      <c r="TMG39" s="21"/>
      <c r="TMH39" s="21"/>
      <c r="TMI39" s="21"/>
      <c r="TMJ39" s="21"/>
      <c r="TMK39" s="21"/>
      <c r="TML39" s="21"/>
      <c r="TMM39" s="21"/>
      <c r="TMN39" s="21"/>
      <c r="TMO39" s="21"/>
      <c r="TMP39" s="21"/>
      <c r="TMQ39" s="21"/>
      <c r="TMR39" s="21"/>
      <c r="TMS39" s="21"/>
      <c r="TMT39" s="21"/>
      <c r="TMU39" s="21"/>
      <c r="TMV39" s="21"/>
      <c r="TMW39" s="21"/>
      <c r="TMX39" s="21"/>
      <c r="TMY39" s="21"/>
      <c r="TMZ39" s="21"/>
      <c r="TNA39" s="21"/>
      <c r="TNB39" s="21"/>
      <c r="TNC39" s="21"/>
      <c r="TND39" s="21"/>
      <c r="TNE39" s="21"/>
      <c r="TNF39" s="21"/>
      <c r="TNG39" s="21"/>
      <c r="TNH39" s="21"/>
      <c r="TNI39" s="21"/>
      <c r="TNJ39" s="21"/>
      <c r="TNK39" s="21"/>
      <c r="TNL39" s="21"/>
      <c r="TNM39" s="21"/>
      <c r="TNN39" s="21"/>
      <c r="TNO39" s="21"/>
      <c r="TNP39" s="21"/>
      <c r="TNQ39" s="21"/>
      <c r="TNR39" s="21"/>
      <c r="TNS39" s="21"/>
      <c r="TNT39" s="21"/>
      <c r="TNU39" s="21"/>
      <c r="TNV39" s="21"/>
      <c r="TNW39" s="21"/>
      <c r="TNX39" s="21"/>
      <c r="TNY39" s="21"/>
      <c r="TNZ39" s="21"/>
      <c r="TOA39" s="21"/>
      <c r="TOB39" s="21"/>
      <c r="TOC39" s="21"/>
      <c r="TOD39" s="21"/>
      <c r="TOE39" s="21"/>
      <c r="TOF39" s="21"/>
      <c r="TOG39" s="21"/>
      <c r="TOH39" s="21"/>
      <c r="TOI39" s="21"/>
      <c r="TOJ39" s="21"/>
      <c r="TOK39" s="21"/>
      <c r="TOL39" s="21"/>
      <c r="TOM39" s="21"/>
      <c r="TON39" s="21"/>
      <c r="TOO39" s="21"/>
      <c r="TOP39" s="21"/>
      <c r="TOQ39" s="21"/>
      <c r="TOR39" s="21"/>
      <c r="TOS39" s="21"/>
      <c r="TOT39" s="21"/>
      <c r="TOU39" s="21"/>
      <c r="TOV39" s="21"/>
      <c r="TOW39" s="21"/>
      <c r="TOX39" s="21"/>
      <c r="TOY39" s="21"/>
      <c r="TOZ39" s="21"/>
      <c r="TPA39" s="21"/>
      <c r="TPB39" s="21"/>
      <c r="TPC39" s="21"/>
      <c r="TPD39" s="21"/>
      <c r="TPE39" s="21"/>
      <c r="TPF39" s="21"/>
      <c r="TPG39" s="21"/>
      <c r="TPH39" s="21"/>
      <c r="TPI39" s="21"/>
      <c r="TPJ39" s="21"/>
      <c r="TPK39" s="21"/>
      <c r="TPL39" s="21"/>
      <c r="TPM39" s="21"/>
      <c r="TPN39" s="21"/>
      <c r="TPO39" s="21"/>
      <c r="TPP39" s="21"/>
      <c r="TPQ39" s="21"/>
      <c r="TPR39" s="21"/>
      <c r="TPS39" s="21"/>
      <c r="TPT39" s="21"/>
      <c r="TPU39" s="21"/>
      <c r="TPV39" s="21"/>
      <c r="TPW39" s="21"/>
      <c r="TPX39" s="21"/>
      <c r="TPY39" s="21"/>
      <c r="TPZ39" s="21"/>
      <c r="TQA39" s="21"/>
      <c r="TQB39" s="21"/>
      <c r="TQC39" s="21"/>
      <c r="TQD39" s="21"/>
      <c r="TQE39" s="21"/>
      <c r="TQF39" s="21"/>
      <c r="TQG39" s="21"/>
      <c r="TQH39" s="21"/>
      <c r="TQI39" s="21"/>
      <c r="TQJ39" s="21"/>
      <c r="TQK39" s="21"/>
      <c r="TQL39" s="21"/>
      <c r="TQM39" s="21"/>
      <c r="TQN39" s="21"/>
      <c r="TQO39" s="21"/>
      <c r="TQP39" s="21"/>
      <c r="TQQ39" s="21"/>
      <c r="TQR39" s="21"/>
      <c r="TQS39" s="21"/>
      <c r="TQT39" s="21"/>
      <c r="TQU39" s="21"/>
      <c r="TQV39" s="21"/>
      <c r="TQW39" s="21"/>
      <c r="TQX39" s="21"/>
      <c r="TQY39" s="21"/>
      <c r="TQZ39" s="21"/>
      <c r="TRA39" s="21"/>
      <c r="TRB39" s="21"/>
      <c r="TRC39" s="21"/>
      <c r="TRD39" s="21"/>
      <c r="TRE39" s="21"/>
      <c r="TRF39" s="21"/>
      <c r="TRG39" s="21"/>
      <c r="TRH39" s="21"/>
      <c r="TRI39" s="21"/>
      <c r="TRJ39" s="21"/>
      <c r="TRK39" s="21"/>
      <c r="TRL39" s="21"/>
      <c r="TRM39" s="21"/>
      <c r="TRN39" s="21"/>
      <c r="TRO39" s="21"/>
      <c r="TRP39" s="21"/>
      <c r="TRQ39" s="21"/>
      <c r="TRR39" s="21"/>
      <c r="TRS39" s="21"/>
      <c r="TRT39" s="21"/>
      <c r="TRU39" s="21"/>
      <c r="TRV39" s="21"/>
      <c r="TRW39" s="21"/>
      <c r="TRX39" s="21"/>
      <c r="TRY39" s="21"/>
      <c r="TRZ39" s="21"/>
      <c r="TSA39" s="21"/>
      <c r="TSB39" s="21"/>
      <c r="TSC39" s="21"/>
      <c r="TSD39" s="21"/>
      <c r="TSE39" s="21"/>
      <c r="TSF39" s="21"/>
      <c r="TSG39" s="21"/>
      <c r="TSH39" s="21"/>
      <c r="TSI39" s="21"/>
      <c r="TSJ39" s="21"/>
      <c r="TSK39" s="21"/>
      <c r="TSL39" s="21"/>
      <c r="TSM39" s="21"/>
      <c r="TSN39" s="21"/>
      <c r="TSO39" s="21"/>
      <c r="TSP39" s="21"/>
      <c r="TSQ39" s="21"/>
      <c r="TSR39" s="21"/>
      <c r="TSS39" s="21"/>
      <c r="TST39" s="21"/>
      <c r="TSU39" s="21"/>
      <c r="TSV39" s="21"/>
      <c r="TSW39" s="21"/>
      <c r="TSX39" s="21"/>
      <c r="TSY39" s="21"/>
      <c r="TSZ39" s="21"/>
      <c r="TTA39" s="21"/>
      <c r="TTB39" s="21"/>
      <c r="TTC39" s="21"/>
      <c r="TTD39" s="21"/>
      <c r="TTE39" s="21"/>
      <c r="TTF39" s="21"/>
      <c r="TTG39" s="21"/>
      <c r="TTH39" s="21"/>
      <c r="TTI39" s="21"/>
      <c r="TTJ39" s="21"/>
      <c r="TTK39" s="21"/>
      <c r="TTL39" s="21"/>
      <c r="TTM39" s="21"/>
      <c r="TTN39" s="21"/>
      <c r="TTO39" s="21"/>
      <c r="TTP39" s="21"/>
      <c r="TTQ39" s="21"/>
      <c r="TTR39" s="21"/>
      <c r="TTS39" s="21"/>
      <c r="TTT39" s="21"/>
      <c r="TTU39" s="21"/>
      <c r="TTV39" s="21"/>
      <c r="TTW39" s="21"/>
      <c r="TTX39" s="21"/>
      <c r="TTY39" s="21"/>
      <c r="TTZ39" s="21"/>
      <c r="TUA39" s="21"/>
      <c r="TUB39" s="21"/>
      <c r="TUC39" s="21"/>
      <c r="TUD39" s="21"/>
      <c r="TUE39" s="21"/>
      <c r="TUF39" s="21"/>
      <c r="TUG39" s="21"/>
      <c r="TUH39" s="21"/>
      <c r="TUI39" s="21"/>
      <c r="TUJ39" s="21"/>
      <c r="TUK39" s="21"/>
      <c r="TUL39" s="21"/>
      <c r="TUM39" s="21"/>
      <c r="TUN39" s="21"/>
      <c r="TUO39" s="21"/>
      <c r="TUP39" s="21"/>
      <c r="TUQ39" s="21"/>
      <c r="TUR39" s="21"/>
      <c r="TUS39" s="21"/>
      <c r="TUT39" s="21"/>
      <c r="TUU39" s="21"/>
      <c r="TUV39" s="21"/>
      <c r="TUW39" s="21"/>
      <c r="TUX39" s="21"/>
      <c r="TUY39" s="21"/>
      <c r="TUZ39" s="21"/>
      <c r="TVA39" s="21"/>
      <c r="TVB39" s="21"/>
      <c r="TVC39" s="21"/>
      <c r="TVD39" s="21"/>
      <c r="TVE39" s="21"/>
      <c r="TVF39" s="21"/>
      <c r="TVG39" s="21"/>
      <c r="TVH39" s="21"/>
      <c r="TVI39" s="21"/>
      <c r="TVJ39" s="21"/>
      <c r="TVK39" s="21"/>
      <c r="TVL39" s="21"/>
      <c r="TVM39" s="21"/>
      <c r="TVN39" s="21"/>
      <c r="TVO39" s="21"/>
      <c r="TVP39" s="21"/>
      <c r="TVQ39" s="21"/>
      <c r="TVR39" s="21"/>
      <c r="TVS39" s="21"/>
      <c r="TVT39" s="21"/>
      <c r="TVU39" s="21"/>
      <c r="TVV39" s="21"/>
      <c r="TVW39" s="21"/>
      <c r="TVX39" s="21"/>
      <c r="TVY39" s="21"/>
      <c r="TVZ39" s="21"/>
      <c r="TWA39" s="21"/>
      <c r="TWB39" s="21"/>
      <c r="TWC39" s="21"/>
      <c r="TWD39" s="21"/>
      <c r="TWE39" s="21"/>
      <c r="TWF39" s="21"/>
      <c r="TWG39" s="21"/>
      <c r="TWH39" s="21"/>
      <c r="TWI39" s="21"/>
      <c r="TWJ39" s="21"/>
      <c r="TWK39" s="21"/>
      <c r="TWL39" s="21"/>
      <c r="TWM39" s="21"/>
      <c r="TWN39" s="21"/>
      <c r="TWO39" s="21"/>
      <c r="TWP39" s="21"/>
      <c r="TWQ39" s="21"/>
      <c r="TWR39" s="21"/>
      <c r="TWS39" s="21"/>
      <c r="TWT39" s="21"/>
      <c r="TWU39" s="21"/>
      <c r="TWV39" s="21"/>
      <c r="TWW39" s="21"/>
      <c r="TWX39" s="21"/>
      <c r="TWY39" s="21"/>
      <c r="TWZ39" s="21"/>
      <c r="TXA39" s="21"/>
      <c r="TXB39" s="21"/>
      <c r="TXC39" s="21"/>
      <c r="TXD39" s="21"/>
      <c r="TXE39" s="21"/>
      <c r="TXF39" s="21"/>
      <c r="TXG39" s="21"/>
      <c r="TXH39" s="21"/>
      <c r="TXI39" s="21"/>
      <c r="TXJ39" s="21"/>
      <c r="TXK39" s="21"/>
      <c r="TXL39" s="21"/>
      <c r="TXM39" s="21"/>
      <c r="TXN39" s="21"/>
      <c r="TXO39" s="21"/>
      <c r="TXP39" s="21"/>
      <c r="TXQ39" s="21"/>
      <c r="TXR39" s="21"/>
      <c r="TXS39" s="21"/>
      <c r="TXT39" s="21"/>
      <c r="TXU39" s="21"/>
      <c r="TXV39" s="21"/>
      <c r="TXW39" s="21"/>
      <c r="TXX39" s="21"/>
      <c r="TXY39" s="21"/>
      <c r="TXZ39" s="21"/>
      <c r="TYA39" s="21"/>
      <c r="TYB39" s="21"/>
      <c r="TYC39" s="21"/>
      <c r="TYD39" s="21"/>
      <c r="TYE39" s="21"/>
      <c r="TYF39" s="21"/>
      <c r="TYG39" s="21"/>
      <c r="TYH39" s="21"/>
      <c r="TYI39" s="21"/>
      <c r="TYJ39" s="21"/>
      <c r="TYK39" s="21"/>
      <c r="TYL39" s="21"/>
      <c r="TYM39" s="21"/>
      <c r="TYN39" s="21"/>
      <c r="TYO39" s="21"/>
      <c r="TYP39" s="21"/>
      <c r="TYQ39" s="21"/>
      <c r="TYR39" s="21"/>
      <c r="TYS39" s="21"/>
      <c r="TYT39" s="21"/>
      <c r="TYU39" s="21"/>
      <c r="TYV39" s="21"/>
      <c r="TYW39" s="21"/>
      <c r="TYX39" s="21"/>
      <c r="TYY39" s="21"/>
      <c r="TYZ39" s="21"/>
      <c r="TZA39" s="21"/>
      <c r="TZB39" s="21"/>
      <c r="TZC39" s="21"/>
      <c r="TZD39" s="21"/>
      <c r="TZE39" s="21"/>
      <c r="TZF39" s="21"/>
      <c r="TZG39" s="21"/>
      <c r="TZH39" s="21"/>
      <c r="TZI39" s="21"/>
      <c r="TZJ39" s="21"/>
      <c r="TZK39" s="21"/>
      <c r="TZL39" s="21"/>
      <c r="TZM39" s="21"/>
      <c r="TZN39" s="21"/>
      <c r="TZO39" s="21"/>
      <c r="TZP39" s="21"/>
      <c r="TZQ39" s="21"/>
      <c r="TZR39" s="21"/>
      <c r="TZS39" s="21"/>
      <c r="TZT39" s="21"/>
      <c r="TZU39" s="21"/>
      <c r="TZV39" s="21"/>
      <c r="TZW39" s="21"/>
      <c r="TZX39" s="21"/>
      <c r="TZY39" s="21"/>
      <c r="TZZ39" s="21"/>
      <c r="UAA39" s="21"/>
      <c r="UAB39" s="21"/>
      <c r="UAC39" s="21"/>
      <c r="UAD39" s="21"/>
      <c r="UAE39" s="21"/>
      <c r="UAF39" s="21"/>
      <c r="UAG39" s="21"/>
      <c r="UAH39" s="21"/>
      <c r="UAI39" s="21"/>
      <c r="UAJ39" s="21"/>
      <c r="UAK39" s="21"/>
      <c r="UAL39" s="21"/>
      <c r="UAM39" s="21"/>
      <c r="UAN39" s="21"/>
      <c r="UAO39" s="21"/>
      <c r="UAP39" s="21"/>
      <c r="UAQ39" s="21"/>
      <c r="UAR39" s="21"/>
      <c r="UAS39" s="21"/>
      <c r="UAT39" s="21"/>
      <c r="UAU39" s="21"/>
      <c r="UAV39" s="21"/>
      <c r="UAW39" s="21"/>
      <c r="UAX39" s="21"/>
      <c r="UAY39" s="21"/>
      <c r="UAZ39" s="21"/>
      <c r="UBA39" s="21"/>
      <c r="UBB39" s="21"/>
      <c r="UBC39" s="21"/>
      <c r="UBD39" s="21"/>
      <c r="UBE39" s="21"/>
      <c r="UBF39" s="21"/>
      <c r="UBG39" s="21"/>
      <c r="UBH39" s="21"/>
      <c r="UBI39" s="21"/>
      <c r="UBJ39" s="21"/>
      <c r="UBK39" s="21"/>
      <c r="UBL39" s="21"/>
      <c r="UBM39" s="21"/>
      <c r="UBN39" s="21"/>
      <c r="UBO39" s="21"/>
      <c r="UBP39" s="21"/>
      <c r="UBQ39" s="21"/>
      <c r="UBR39" s="21"/>
      <c r="UBS39" s="21"/>
      <c r="UBT39" s="21"/>
      <c r="UBU39" s="21"/>
      <c r="UBV39" s="21"/>
      <c r="UBW39" s="21"/>
      <c r="UBX39" s="21"/>
      <c r="UBY39" s="21"/>
      <c r="UBZ39" s="21"/>
      <c r="UCA39" s="21"/>
      <c r="UCB39" s="21"/>
      <c r="UCC39" s="21"/>
      <c r="UCD39" s="21"/>
      <c r="UCE39" s="21"/>
      <c r="UCF39" s="21"/>
      <c r="UCG39" s="21"/>
      <c r="UCH39" s="21"/>
      <c r="UCI39" s="21"/>
      <c r="UCJ39" s="21"/>
      <c r="UCK39" s="21"/>
      <c r="UCL39" s="21"/>
      <c r="UCM39" s="21"/>
      <c r="UCN39" s="21"/>
      <c r="UCO39" s="21"/>
      <c r="UCP39" s="21"/>
      <c r="UCQ39" s="21"/>
      <c r="UCR39" s="21"/>
      <c r="UCS39" s="21"/>
      <c r="UCT39" s="21"/>
      <c r="UCU39" s="21"/>
      <c r="UCV39" s="21"/>
      <c r="UCW39" s="21"/>
      <c r="UCX39" s="21"/>
      <c r="UCY39" s="21"/>
      <c r="UCZ39" s="21"/>
      <c r="UDA39" s="21"/>
      <c r="UDB39" s="21"/>
      <c r="UDC39" s="21"/>
      <c r="UDD39" s="21"/>
      <c r="UDE39" s="21"/>
      <c r="UDF39" s="21"/>
      <c r="UDG39" s="21"/>
      <c r="UDH39" s="21"/>
      <c r="UDI39" s="21"/>
      <c r="UDJ39" s="21"/>
      <c r="UDK39" s="21"/>
      <c r="UDL39" s="21"/>
      <c r="UDM39" s="21"/>
      <c r="UDN39" s="21"/>
      <c r="UDO39" s="21"/>
      <c r="UDP39" s="21"/>
      <c r="UDQ39" s="21"/>
      <c r="UDR39" s="21"/>
      <c r="UDS39" s="21"/>
      <c r="UDT39" s="21"/>
      <c r="UDU39" s="21"/>
      <c r="UDV39" s="21"/>
      <c r="UDW39" s="21"/>
      <c r="UDX39" s="21"/>
      <c r="UDY39" s="21"/>
      <c r="UDZ39" s="21"/>
      <c r="UEA39" s="21"/>
      <c r="UEB39" s="21"/>
      <c r="UEC39" s="21"/>
      <c r="UED39" s="21"/>
      <c r="UEE39" s="21"/>
      <c r="UEF39" s="21"/>
      <c r="UEG39" s="21"/>
      <c r="UEH39" s="21"/>
      <c r="UEI39" s="21"/>
      <c r="UEJ39" s="21"/>
      <c r="UEK39" s="21"/>
      <c r="UEL39" s="21"/>
      <c r="UEM39" s="21"/>
      <c r="UEN39" s="21"/>
      <c r="UEO39" s="21"/>
      <c r="UEP39" s="21"/>
      <c r="UEQ39" s="21"/>
      <c r="UER39" s="21"/>
      <c r="UES39" s="21"/>
      <c r="UET39" s="21"/>
      <c r="UEU39" s="21"/>
      <c r="UEV39" s="21"/>
      <c r="UEW39" s="21"/>
      <c r="UEX39" s="21"/>
      <c r="UEY39" s="21"/>
      <c r="UEZ39" s="21"/>
      <c r="UFA39" s="21"/>
      <c r="UFB39" s="21"/>
      <c r="UFC39" s="21"/>
      <c r="UFD39" s="21"/>
      <c r="UFE39" s="21"/>
      <c r="UFF39" s="21"/>
      <c r="UFG39" s="21"/>
      <c r="UFH39" s="21"/>
      <c r="UFI39" s="21"/>
      <c r="UFJ39" s="21"/>
      <c r="UFK39" s="21"/>
      <c r="UFL39" s="21"/>
      <c r="UFM39" s="21"/>
      <c r="UFN39" s="21"/>
      <c r="UFO39" s="21"/>
      <c r="UFP39" s="21"/>
      <c r="UFQ39" s="21"/>
      <c r="UFR39" s="21"/>
      <c r="UFS39" s="21"/>
      <c r="UFT39" s="21"/>
      <c r="UFU39" s="21"/>
      <c r="UFV39" s="21"/>
      <c r="UFW39" s="21"/>
      <c r="UFX39" s="21"/>
      <c r="UFY39" s="21"/>
      <c r="UFZ39" s="21"/>
      <c r="UGA39" s="21"/>
      <c r="UGB39" s="21"/>
      <c r="UGC39" s="21"/>
      <c r="UGD39" s="21"/>
      <c r="UGE39" s="21"/>
      <c r="UGF39" s="21"/>
      <c r="UGG39" s="21"/>
      <c r="UGH39" s="21"/>
      <c r="UGI39" s="21"/>
      <c r="UGJ39" s="21"/>
      <c r="UGK39" s="21"/>
      <c r="UGL39" s="21"/>
      <c r="UGM39" s="21"/>
      <c r="UGN39" s="21"/>
      <c r="UGO39" s="21"/>
      <c r="UGP39" s="21"/>
      <c r="UGQ39" s="21"/>
      <c r="UGR39" s="21"/>
      <c r="UGS39" s="21"/>
      <c r="UGT39" s="21"/>
      <c r="UGU39" s="21"/>
      <c r="UGV39" s="21"/>
      <c r="UGW39" s="21"/>
      <c r="UGX39" s="21"/>
      <c r="UGY39" s="21"/>
      <c r="UGZ39" s="21"/>
      <c r="UHA39" s="21"/>
      <c r="UHB39" s="21"/>
      <c r="UHC39" s="21"/>
      <c r="UHD39" s="21"/>
      <c r="UHE39" s="21"/>
      <c r="UHF39" s="21"/>
      <c r="UHG39" s="21"/>
      <c r="UHH39" s="21"/>
      <c r="UHI39" s="21"/>
      <c r="UHJ39" s="21"/>
      <c r="UHK39" s="21"/>
      <c r="UHL39" s="21"/>
      <c r="UHM39" s="21"/>
      <c r="UHN39" s="21"/>
      <c r="UHO39" s="21"/>
      <c r="UHP39" s="21"/>
      <c r="UHQ39" s="21"/>
      <c r="UHR39" s="21"/>
      <c r="UHS39" s="21"/>
      <c r="UHT39" s="21"/>
      <c r="UHU39" s="21"/>
      <c r="UHV39" s="21"/>
      <c r="UHW39" s="21"/>
      <c r="UHX39" s="21"/>
      <c r="UHY39" s="21"/>
      <c r="UHZ39" s="21"/>
      <c r="UIA39" s="21"/>
      <c r="UIB39" s="21"/>
      <c r="UIC39" s="21"/>
      <c r="UID39" s="21"/>
      <c r="UIE39" s="21"/>
      <c r="UIF39" s="21"/>
      <c r="UIG39" s="21"/>
      <c r="UIH39" s="21"/>
      <c r="UII39" s="21"/>
      <c r="UIJ39" s="21"/>
      <c r="UIK39" s="21"/>
      <c r="UIL39" s="21"/>
      <c r="UIM39" s="21"/>
      <c r="UIN39" s="21"/>
      <c r="UIO39" s="21"/>
      <c r="UIP39" s="21"/>
      <c r="UIQ39" s="21"/>
      <c r="UIR39" s="21"/>
      <c r="UIS39" s="21"/>
      <c r="UIT39" s="21"/>
      <c r="UIU39" s="21"/>
      <c r="UIV39" s="21"/>
      <c r="UIW39" s="21"/>
      <c r="UIX39" s="21"/>
      <c r="UIY39" s="21"/>
      <c r="UIZ39" s="21"/>
      <c r="UJA39" s="21"/>
      <c r="UJB39" s="21"/>
      <c r="UJC39" s="21"/>
      <c r="UJD39" s="21"/>
      <c r="UJE39" s="21"/>
      <c r="UJF39" s="21"/>
      <c r="UJG39" s="21"/>
      <c r="UJH39" s="21"/>
      <c r="UJI39" s="21"/>
      <c r="UJJ39" s="21"/>
      <c r="UJK39" s="21"/>
      <c r="UJL39" s="21"/>
      <c r="UJM39" s="21"/>
      <c r="UJN39" s="21"/>
      <c r="UJO39" s="21"/>
      <c r="UJP39" s="21"/>
      <c r="UJQ39" s="21"/>
      <c r="UJR39" s="21"/>
      <c r="UJS39" s="21"/>
      <c r="UJT39" s="21"/>
      <c r="UJU39" s="21"/>
      <c r="UJV39" s="21"/>
      <c r="UJW39" s="21"/>
      <c r="UJX39" s="21"/>
      <c r="UJY39" s="21"/>
      <c r="UJZ39" s="21"/>
      <c r="UKA39" s="21"/>
      <c r="UKB39" s="21"/>
      <c r="UKC39" s="21"/>
      <c r="UKD39" s="21"/>
      <c r="UKE39" s="21"/>
      <c r="UKF39" s="21"/>
      <c r="UKG39" s="21"/>
      <c r="UKH39" s="21"/>
      <c r="UKI39" s="21"/>
      <c r="UKJ39" s="21"/>
      <c r="UKK39" s="21"/>
      <c r="UKL39" s="21"/>
      <c r="UKM39" s="21"/>
      <c r="UKN39" s="21"/>
      <c r="UKO39" s="21"/>
      <c r="UKP39" s="21"/>
      <c r="UKQ39" s="21"/>
      <c r="UKR39" s="21"/>
      <c r="UKS39" s="21"/>
      <c r="UKT39" s="21"/>
      <c r="UKU39" s="21"/>
      <c r="UKV39" s="21"/>
      <c r="UKW39" s="21"/>
      <c r="UKX39" s="21"/>
      <c r="UKY39" s="21"/>
      <c r="UKZ39" s="21"/>
      <c r="ULA39" s="21"/>
      <c r="ULB39" s="21"/>
      <c r="ULC39" s="21"/>
      <c r="ULD39" s="21"/>
      <c r="ULE39" s="21"/>
      <c r="ULF39" s="21"/>
      <c r="ULG39" s="21"/>
      <c r="ULH39" s="21"/>
      <c r="ULI39" s="21"/>
      <c r="ULJ39" s="21"/>
      <c r="ULK39" s="21"/>
      <c r="ULL39" s="21"/>
      <c r="ULM39" s="21"/>
      <c r="ULN39" s="21"/>
      <c r="ULO39" s="21"/>
      <c r="ULP39" s="21"/>
      <c r="ULQ39" s="21"/>
      <c r="ULR39" s="21"/>
      <c r="ULS39" s="21"/>
      <c r="ULT39" s="21"/>
      <c r="ULU39" s="21"/>
      <c r="ULV39" s="21"/>
      <c r="ULW39" s="21"/>
      <c r="ULX39" s="21"/>
      <c r="ULY39" s="21"/>
      <c r="ULZ39" s="21"/>
      <c r="UMA39" s="21"/>
      <c r="UMB39" s="21"/>
      <c r="UMC39" s="21"/>
      <c r="UMD39" s="21"/>
      <c r="UME39" s="21"/>
      <c r="UMF39" s="21"/>
      <c r="UMG39" s="21"/>
      <c r="UMH39" s="21"/>
      <c r="UMI39" s="21"/>
      <c r="UMJ39" s="21"/>
      <c r="UMK39" s="21"/>
      <c r="UML39" s="21"/>
      <c r="UMM39" s="21"/>
      <c r="UMN39" s="21"/>
      <c r="UMO39" s="21"/>
      <c r="UMP39" s="21"/>
      <c r="UMQ39" s="21"/>
      <c r="UMR39" s="21"/>
      <c r="UMS39" s="21"/>
      <c r="UMT39" s="21"/>
      <c r="UMU39" s="21"/>
      <c r="UMV39" s="21"/>
      <c r="UMW39" s="21"/>
      <c r="UMX39" s="21"/>
      <c r="UMY39" s="21"/>
      <c r="UMZ39" s="21"/>
      <c r="UNA39" s="21"/>
      <c r="UNB39" s="21"/>
      <c r="UNC39" s="21"/>
      <c r="UND39" s="21"/>
      <c r="UNE39" s="21"/>
      <c r="UNF39" s="21"/>
      <c r="UNG39" s="21"/>
      <c r="UNH39" s="21"/>
      <c r="UNI39" s="21"/>
      <c r="UNJ39" s="21"/>
      <c r="UNK39" s="21"/>
      <c r="UNL39" s="21"/>
      <c r="UNM39" s="21"/>
      <c r="UNN39" s="21"/>
      <c r="UNO39" s="21"/>
      <c r="UNP39" s="21"/>
      <c r="UNQ39" s="21"/>
      <c r="UNR39" s="21"/>
      <c r="UNS39" s="21"/>
      <c r="UNT39" s="21"/>
      <c r="UNU39" s="21"/>
      <c r="UNV39" s="21"/>
      <c r="UNW39" s="21"/>
      <c r="UNX39" s="21"/>
      <c r="UNY39" s="21"/>
      <c r="UNZ39" s="21"/>
      <c r="UOA39" s="21"/>
      <c r="UOB39" s="21"/>
      <c r="UOC39" s="21"/>
      <c r="UOD39" s="21"/>
      <c r="UOE39" s="21"/>
      <c r="UOF39" s="21"/>
      <c r="UOG39" s="21"/>
      <c r="UOH39" s="21"/>
      <c r="UOI39" s="21"/>
      <c r="UOJ39" s="21"/>
      <c r="UOK39" s="21"/>
      <c r="UOL39" s="21"/>
      <c r="UOM39" s="21"/>
      <c r="UON39" s="21"/>
      <c r="UOO39" s="21"/>
      <c r="UOP39" s="21"/>
      <c r="UOQ39" s="21"/>
      <c r="UOR39" s="21"/>
      <c r="UOS39" s="21"/>
      <c r="UOT39" s="21"/>
      <c r="UOU39" s="21"/>
      <c r="UOV39" s="21"/>
      <c r="UOW39" s="21"/>
      <c r="UOX39" s="21"/>
      <c r="UOY39" s="21"/>
      <c r="UOZ39" s="21"/>
      <c r="UPA39" s="21"/>
      <c r="UPB39" s="21"/>
      <c r="UPC39" s="21"/>
      <c r="UPD39" s="21"/>
      <c r="UPE39" s="21"/>
      <c r="UPF39" s="21"/>
      <c r="UPG39" s="21"/>
      <c r="UPH39" s="21"/>
      <c r="UPI39" s="21"/>
      <c r="UPJ39" s="21"/>
      <c r="UPK39" s="21"/>
      <c r="UPL39" s="21"/>
      <c r="UPM39" s="21"/>
      <c r="UPN39" s="21"/>
      <c r="UPO39" s="21"/>
      <c r="UPP39" s="21"/>
      <c r="UPQ39" s="21"/>
      <c r="UPR39" s="21"/>
      <c r="UPS39" s="21"/>
      <c r="UPT39" s="21"/>
      <c r="UPU39" s="21"/>
      <c r="UPV39" s="21"/>
      <c r="UPW39" s="21"/>
      <c r="UPX39" s="21"/>
      <c r="UPY39" s="21"/>
      <c r="UPZ39" s="21"/>
      <c r="UQA39" s="21"/>
      <c r="UQB39" s="21"/>
      <c r="UQC39" s="21"/>
      <c r="UQD39" s="21"/>
      <c r="UQE39" s="21"/>
      <c r="UQF39" s="21"/>
      <c r="UQG39" s="21"/>
      <c r="UQH39" s="21"/>
      <c r="UQI39" s="21"/>
      <c r="UQJ39" s="21"/>
      <c r="UQK39" s="21"/>
      <c r="UQL39" s="21"/>
      <c r="UQM39" s="21"/>
      <c r="UQN39" s="21"/>
      <c r="UQO39" s="21"/>
      <c r="UQP39" s="21"/>
      <c r="UQQ39" s="21"/>
      <c r="UQR39" s="21"/>
      <c r="UQS39" s="21"/>
      <c r="UQT39" s="21"/>
      <c r="UQU39" s="21"/>
      <c r="UQV39" s="21"/>
      <c r="UQW39" s="21"/>
      <c r="UQX39" s="21"/>
      <c r="UQY39" s="21"/>
      <c r="UQZ39" s="21"/>
      <c r="URA39" s="21"/>
      <c r="URB39" s="21"/>
      <c r="URC39" s="21"/>
      <c r="URD39" s="21"/>
      <c r="URE39" s="21"/>
      <c r="URF39" s="21"/>
      <c r="URG39" s="21"/>
      <c r="URH39" s="21"/>
      <c r="URI39" s="21"/>
      <c r="URJ39" s="21"/>
      <c r="URK39" s="21"/>
      <c r="URL39" s="21"/>
      <c r="URM39" s="21"/>
      <c r="URN39" s="21"/>
      <c r="URO39" s="21"/>
      <c r="URP39" s="21"/>
      <c r="URQ39" s="21"/>
      <c r="URR39" s="21"/>
      <c r="URS39" s="21"/>
      <c r="URT39" s="21"/>
      <c r="URU39" s="21"/>
      <c r="URV39" s="21"/>
      <c r="URW39" s="21"/>
      <c r="URX39" s="21"/>
      <c r="URY39" s="21"/>
      <c r="URZ39" s="21"/>
      <c r="USA39" s="21"/>
      <c r="USB39" s="21"/>
      <c r="USC39" s="21"/>
      <c r="USD39" s="21"/>
      <c r="USE39" s="21"/>
      <c r="USF39" s="21"/>
      <c r="USG39" s="21"/>
      <c r="USH39" s="21"/>
      <c r="USI39" s="21"/>
      <c r="USJ39" s="21"/>
      <c r="USK39" s="21"/>
      <c r="USL39" s="21"/>
      <c r="USM39" s="21"/>
      <c r="USN39" s="21"/>
      <c r="USO39" s="21"/>
      <c r="USP39" s="21"/>
      <c r="USQ39" s="21"/>
      <c r="USR39" s="21"/>
      <c r="USS39" s="21"/>
      <c r="UST39" s="21"/>
      <c r="USU39" s="21"/>
      <c r="USV39" s="21"/>
      <c r="USW39" s="21"/>
      <c r="USX39" s="21"/>
      <c r="USY39" s="21"/>
      <c r="USZ39" s="21"/>
      <c r="UTA39" s="21"/>
      <c r="UTB39" s="21"/>
      <c r="UTC39" s="21"/>
      <c r="UTD39" s="21"/>
      <c r="UTE39" s="21"/>
      <c r="UTF39" s="21"/>
      <c r="UTG39" s="21"/>
      <c r="UTH39" s="21"/>
      <c r="UTI39" s="21"/>
      <c r="UTJ39" s="21"/>
      <c r="UTK39" s="21"/>
      <c r="UTL39" s="21"/>
      <c r="UTM39" s="21"/>
      <c r="UTN39" s="21"/>
      <c r="UTO39" s="21"/>
      <c r="UTP39" s="21"/>
      <c r="UTQ39" s="21"/>
      <c r="UTR39" s="21"/>
      <c r="UTS39" s="21"/>
      <c r="UTT39" s="21"/>
      <c r="UTU39" s="21"/>
      <c r="UTV39" s="21"/>
      <c r="UTW39" s="21"/>
      <c r="UTX39" s="21"/>
      <c r="UTY39" s="21"/>
      <c r="UTZ39" s="21"/>
      <c r="UUA39" s="21"/>
      <c r="UUB39" s="21"/>
      <c r="UUC39" s="21"/>
      <c r="UUD39" s="21"/>
      <c r="UUE39" s="21"/>
      <c r="UUF39" s="21"/>
      <c r="UUG39" s="21"/>
      <c r="UUH39" s="21"/>
      <c r="UUI39" s="21"/>
      <c r="UUJ39" s="21"/>
      <c r="UUK39" s="21"/>
      <c r="UUL39" s="21"/>
      <c r="UUM39" s="21"/>
      <c r="UUN39" s="21"/>
      <c r="UUO39" s="21"/>
      <c r="UUP39" s="21"/>
      <c r="UUQ39" s="21"/>
      <c r="UUR39" s="21"/>
      <c r="UUS39" s="21"/>
      <c r="UUT39" s="21"/>
      <c r="UUU39" s="21"/>
      <c r="UUV39" s="21"/>
      <c r="UUW39" s="21"/>
      <c r="UUX39" s="21"/>
      <c r="UUY39" s="21"/>
      <c r="UUZ39" s="21"/>
      <c r="UVA39" s="21"/>
      <c r="UVB39" s="21"/>
      <c r="UVC39" s="21"/>
      <c r="UVD39" s="21"/>
      <c r="UVE39" s="21"/>
      <c r="UVF39" s="21"/>
      <c r="UVG39" s="21"/>
      <c r="UVH39" s="21"/>
      <c r="UVI39" s="21"/>
      <c r="UVJ39" s="21"/>
      <c r="UVK39" s="21"/>
      <c r="UVL39" s="21"/>
      <c r="UVM39" s="21"/>
      <c r="UVN39" s="21"/>
      <c r="UVO39" s="21"/>
      <c r="UVP39" s="21"/>
      <c r="UVQ39" s="21"/>
      <c r="UVR39" s="21"/>
      <c r="UVS39" s="21"/>
      <c r="UVT39" s="21"/>
      <c r="UVU39" s="21"/>
      <c r="UVV39" s="21"/>
      <c r="UVW39" s="21"/>
      <c r="UVX39" s="21"/>
      <c r="UVY39" s="21"/>
      <c r="UVZ39" s="21"/>
      <c r="UWA39" s="21"/>
      <c r="UWB39" s="21"/>
      <c r="UWC39" s="21"/>
      <c r="UWD39" s="21"/>
      <c r="UWE39" s="21"/>
      <c r="UWF39" s="21"/>
      <c r="UWG39" s="21"/>
      <c r="UWH39" s="21"/>
      <c r="UWI39" s="21"/>
      <c r="UWJ39" s="21"/>
      <c r="UWK39" s="21"/>
      <c r="UWL39" s="21"/>
      <c r="UWM39" s="21"/>
      <c r="UWN39" s="21"/>
      <c r="UWO39" s="21"/>
      <c r="UWP39" s="21"/>
      <c r="UWQ39" s="21"/>
      <c r="UWR39" s="21"/>
      <c r="UWS39" s="21"/>
      <c r="UWT39" s="21"/>
      <c r="UWU39" s="21"/>
      <c r="UWV39" s="21"/>
      <c r="UWW39" s="21"/>
      <c r="UWX39" s="21"/>
      <c r="UWY39" s="21"/>
      <c r="UWZ39" s="21"/>
      <c r="UXA39" s="21"/>
      <c r="UXB39" s="21"/>
      <c r="UXC39" s="21"/>
      <c r="UXD39" s="21"/>
      <c r="UXE39" s="21"/>
      <c r="UXF39" s="21"/>
      <c r="UXG39" s="21"/>
      <c r="UXH39" s="21"/>
      <c r="UXI39" s="21"/>
      <c r="UXJ39" s="21"/>
      <c r="UXK39" s="21"/>
      <c r="UXL39" s="21"/>
      <c r="UXM39" s="21"/>
      <c r="UXN39" s="21"/>
      <c r="UXO39" s="21"/>
      <c r="UXP39" s="21"/>
      <c r="UXQ39" s="21"/>
      <c r="UXR39" s="21"/>
      <c r="UXS39" s="21"/>
      <c r="UXT39" s="21"/>
      <c r="UXU39" s="21"/>
      <c r="UXV39" s="21"/>
      <c r="UXW39" s="21"/>
      <c r="UXX39" s="21"/>
      <c r="UXY39" s="21"/>
      <c r="UXZ39" s="21"/>
      <c r="UYA39" s="21"/>
      <c r="UYB39" s="21"/>
      <c r="UYC39" s="21"/>
      <c r="UYD39" s="21"/>
      <c r="UYE39" s="21"/>
      <c r="UYF39" s="21"/>
      <c r="UYG39" s="21"/>
      <c r="UYH39" s="21"/>
      <c r="UYI39" s="21"/>
      <c r="UYJ39" s="21"/>
      <c r="UYK39" s="21"/>
      <c r="UYL39" s="21"/>
      <c r="UYM39" s="21"/>
      <c r="UYN39" s="21"/>
      <c r="UYO39" s="21"/>
      <c r="UYP39" s="21"/>
      <c r="UYQ39" s="21"/>
      <c r="UYR39" s="21"/>
      <c r="UYS39" s="21"/>
      <c r="UYT39" s="21"/>
      <c r="UYU39" s="21"/>
      <c r="UYV39" s="21"/>
      <c r="UYW39" s="21"/>
      <c r="UYX39" s="21"/>
      <c r="UYY39" s="21"/>
      <c r="UYZ39" s="21"/>
      <c r="UZA39" s="21"/>
      <c r="UZB39" s="21"/>
      <c r="UZC39" s="21"/>
      <c r="UZD39" s="21"/>
      <c r="UZE39" s="21"/>
      <c r="UZF39" s="21"/>
      <c r="UZG39" s="21"/>
      <c r="UZH39" s="21"/>
      <c r="UZI39" s="21"/>
      <c r="UZJ39" s="21"/>
      <c r="UZK39" s="21"/>
      <c r="UZL39" s="21"/>
      <c r="UZM39" s="21"/>
      <c r="UZN39" s="21"/>
      <c r="UZO39" s="21"/>
      <c r="UZP39" s="21"/>
      <c r="UZQ39" s="21"/>
      <c r="UZR39" s="21"/>
      <c r="UZS39" s="21"/>
      <c r="UZT39" s="21"/>
      <c r="UZU39" s="21"/>
      <c r="UZV39" s="21"/>
      <c r="UZW39" s="21"/>
      <c r="UZX39" s="21"/>
      <c r="UZY39" s="21"/>
      <c r="UZZ39" s="21"/>
      <c r="VAA39" s="21"/>
      <c r="VAB39" s="21"/>
      <c r="VAC39" s="21"/>
      <c r="VAD39" s="21"/>
      <c r="VAE39" s="21"/>
      <c r="VAF39" s="21"/>
      <c r="VAG39" s="21"/>
      <c r="VAH39" s="21"/>
      <c r="VAI39" s="21"/>
      <c r="VAJ39" s="21"/>
      <c r="VAK39" s="21"/>
      <c r="VAL39" s="21"/>
      <c r="VAM39" s="21"/>
      <c r="VAN39" s="21"/>
      <c r="VAO39" s="21"/>
      <c r="VAP39" s="21"/>
      <c r="VAQ39" s="21"/>
      <c r="VAR39" s="21"/>
      <c r="VAS39" s="21"/>
      <c r="VAT39" s="21"/>
      <c r="VAU39" s="21"/>
      <c r="VAV39" s="21"/>
      <c r="VAW39" s="21"/>
      <c r="VAX39" s="21"/>
      <c r="VAY39" s="21"/>
      <c r="VAZ39" s="21"/>
      <c r="VBA39" s="21"/>
      <c r="VBB39" s="21"/>
      <c r="VBC39" s="21"/>
      <c r="VBD39" s="21"/>
      <c r="VBE39" s="21"/>
      <c r="VBF39" s="21"/>
      <c r="VBG39" s="21"/>
      <c r="VBH39" s="21"/>
      <c r="VBI39" s="21"/>
      <c r="VBJ39" s="21"/>
      <c r="VBK39" s="21"/>
      <c r="VBL39" s="21"/>
      <c r="VBM39" s="21"/>
      <c r="VBN39" s="21"/>
      <c r="VBO39" s="21"/>
      <c r="VBP39" s="21"/>
      <c r="VBQ39" s="21"/>
      <c r="VBR39" s="21"/>
      <c r="VBS39" s="21"/>
      <c r="VBT39" s="21"/>
      <c r="VBU39" s="21"/>
      <c r="VBV39" s="21"/>
      <c r="VBW39" s="21"/>
      <c r="VBX39" s="21"/>
      <c r="VBY39" s="21"/>
      <c r="VBZ39" s="21"/>
      <c r="VCA39" s="21"/>
      <c r="VCB39" s="21"/>
      <c r="VCC39" s="21"/>
      <c r="VCD39" s="21"/>
      <c r="VCE39" s="21"/>
      <c r="VCF39" s="21"/>
      <c r="VCG39" s="21"/>
      <c r="VCH39" s="21"/>
      <c r="VCI39" s="21"/>
      <c r="VCJ39" s="21"/>
      <c r="VCK39" s="21"/>
      <c r="VCL39" s="21"/>
      <c r="VCM39" s="21"/>
      <c r="VCN39" s="21"/>
      <c r="VCO39" s="21"/>
      <c r="VCP39" s="21"/>
      <c r="VCQ39" s="21"/>
      <c r="VCR39" s="21"/>
      <c r="VCS39" s="21"/>
      <c r="VCT39" s="21"/>
      <c r="VCU39" s="21"/>
      <c r="VCV39" s="21"/>
      <c r="VCW39" s="21"/>
      <c r="VCX39" s="21"/>
      <c r="VCY39" s="21"/>
      <c r="VCZ39" s="21"/>
      <c r="VDA39" s="21"/>
      <c r="VDB39" s="21"/>
      <c r="VDC39" s="21"/>
      <c r="VDD39" s="21"/>
      <c r="VDE39" s="21"/>
      <c r="VDF39" s="21"/>
      <c r="VDG39" s="21"/>
      <c r="VDH39" s="21"/>
      <c r="VDI39" s="21"/>
      <c r="VDJ39" s="21"/>
      <c r="VDK39" s="21"/>
      <c r="VDL39" s="21"/>
      <c r="VDM39" s="21"/>
      <c r="VDN39" s="21"/>
      <c r="VDO39" s="21"/>
      <c r="VDP39" s="21"/>
      <c r="VDQ39" s="21"/>
      <c r="VDR39" s="21"/>
      <c r="VDS39" s="21"/>
      <c r="VDT39" s="21"/>
      <c r="VDU39" s="21"/>
      <c r="VDV39" s="21"/>
      <c r="VDW39" s="21"/>
      <c r="VDX39" s="21"/>
      <c r="VDY39" s="21"/>
      <c r="VDZ39" s="21"/>
      <c r="VEA39" s="21"/>
      <c r="VEB39" s="21"/>
      <c r="VEC39" s="21"/>
      <c r="VED39" s="21"/>
      <c r="VEE39" s="21"/>
      <c r="VEF39" s="21"/>
      <c r="VEG39" s="21"/>
      <c r="VEH39" s="21"/>
      <c r="VEI39" s="21"/>
      <c r="VEJ39" s="21"/>
      <c r="VEK39" s="21"/>
      <c r="VEL39" s="21"/>
      <c r="VEM39" s="21"/>
      <c r="VEN39" s="21"/>
      <c r="VEO39" s="21"/>
      <c r="VEP39" s="21"/>
      <c r="VEQ39" s="21"/>
      <c r="VER39" s="21"/>
      <c r="VES39" s="21"/>
      <c r="VET39" s="21"/>
      <c r="VEU39" s="21"/>
      <c r="VEV39" s="21"/>
      <c r="VEW39" s="21"/>
      <c r="VEX39" s="21"/>
      <c r="VEY39" s="21"/>
      <c r="VEZ39" s="21"/>
      <c r="VFA39" s="21"/>
      <c r="VFB39" s="21"/>
      <c r="VFC39" s="21"/>
      <c r="VFD39" s="21"/>
      <c r="VFE39" s="21"/>
      <c r="VFF39" s="21"/>
      <c r="VFG39" s="21"/>
      <c r="VFH39" s="21"/>
      <c r="VFI39" s="21"/>
      <c r="VFJ39" s="21"/>
      <c r="VFK39" s="21"/>
      <c r="VFL39" s="21"/>
      <c r="VFM39" s="21"/>
      <c r="VFN39" s="21"/>
      <c r="VFO39" s="21"/>
      <c r="VFP39" s="21"/>
      <c r="VFQ39" s="21"/>
      <c r="VFR39" s="21"/>
      <c r="VFS39" s="21"/>
      <c r="VFT39" s="21"/>
      <c r="VFU39" s="21"/>
      <c r="VFV39" s="21"/>
      <c r="VFW39" s="21"/>
      <c r="VFX39" s="21"/>
      <c r="VFY39" s="21"/>
      <c r="VFZ39" s="21"/>
      <c r="VGA39" s="21"/>
      <c r="VGB39" s="21"/>
      <c r="VGC39" s="21"/>
      <c r="VGD39" s="21"/>
      <c r="VGE39" s="21"/>
      <c r="VGF39" s="21"/>
      <c r="VGG39" s="21"/>
      <c r="VGH39" s="21"/>
      <c r="VGI39" s="21"/>
      <c r="VGJ39" s="21"/>
      <c r="VGK39" s="21"/>
      <c r="VGL39" s="21"/>
      <c r="VGM39" s="21"/>
      <c r="VGN39" s="21"/>
      <c r="VGO39" s="21"/>
      <c r="VGP39" s="21"/>
      <c r="VGQ39" s="21"/>
      <c r="VGR39" s="21"/>
      <c r="VGS39" s="21"/>
      <c r="VGT39" s="21"/>
      <c r="VGU39" s="21"/>
      <c r="VGV39" s="21"/>
      <c r="VGW39" s="21"/>
      <c r="VGX39" s="21"/>
      <c r="VGY39" s="21"/>
      <c r="VGZ39" s="21"/>
      <c r="VHA39" s="21"/>
      <c r="VHB39" s="21"/>
      <c r="VHC39" s="21"/>
      <c r="VHD39" s="21"/>
      <c r="VHE39" s="21"/>
      <c r="VHF39" s="21"/>
      <c r="VHG39" s="21"/>
      <c r="VHH39" s="21"/>
      <c r="VHI39" s="21"/>
      <c r="VHJ39" s="21"/>
      <c r="VHK39" s="21"/>
      <c r="VHL39" s="21"/>
      <c r="VHM39" s="21"/>
      <c r="VHN39" s="21"/>
      <c r="VHO39" s="21"/>
      <c r="VHP39" s="21"/>
      <c r="VHQ39" s="21"/>
      <c r="VHR39" s="21"/>
      <c r="VHS39" s="21"/>
      <c r="VHT39" s="21"/>
      <c r="VHU39" s="21"/>
      <c r="VHV39" s="21"/>
      <c r="VHW39" s="21"/>
      <c r="VHX39" s="21"/>
      <c r="VHY39" s="21"/>
      <c r="VHZ39" s="21"/>
      <c r="VIA39" s="21"/>
      <c r="VIB39" s="21"/>
      <c r="VIC39" s="21"/>
      <c r="VID39" s="21"/>
      <c r="VIE39" s="21"/>
      <c r="VIF39" s="21"/>
      <c r="VIG39" s="21"/>
      <c r="VIH39" s="21"/>
      <c r="VII39" s="21"/>
      <c r="VIJ39" s="21"/>
      <c r="VIK39" s="21"/>
      <c r="VIL39" s="21"/>
      <c r="VIM39" s="21"/>
      <c r="VIN39" s="21"/>
      <c r="VIO39" s="21"/>
      <c r="VIP39" s="21"/>
      <c r="VIQ39" s="21"/>
      <c r="VIR39" s="21"/>
      <c r="VIS39" s="21"/>
      <c r="VIT39" s="21"/>
      <c r="VIU39" s="21"/>
      <c r="VIV39" s="21"/>
      <c r="VIW39" s="21"/>
      <c r="VIX39" s="21"/>
      <c r="VIY39" s="21"/>
      <c r="VIZ39" s="21"/>
      <c r="VJA39" s="21"/>
      <c r="VJB39" s="21"/>
      <c r="VJC39" s="21"/>
      <c r="VJD39" s="21"/>
      <c r="VJE39" s="21"/>
      <c r="VJF39" s="21"/>
      <c r="VJG39" s="21"/>
      <c r="VJH39" s="21"/>
      <c r="VJI39" s="21"/>
      <c r="VJJ39" s="21"/>
      <c r="VJK39" s="21"/>
      <c r="VJL39" s="21"/>
      <c r="VJM39" s="21"/>
      <c r="VJN39" s="21"/>
      <c r="VJO39" s="21"/>
      <c r="VJP39" s="21"/>
      <c r="VJQ39" s="21"/>
      <c r="VJR39" s="21"/>
      <c r="VJS39" s="21"/>
      <c r="VJT39" s="21"/>
      <c r="VJU39" s="21"/>
      <c r="VJV39" s="21"/>
      <c r="VJW39" s="21"/>
      <c r="VJX39" s="21"/>
      <c r="VJY39" s="21"/>
      <c r="VJZ39" s="21"/>
      <c r="VKA39" s="21"/>
      <c r="VKB39" s="21"/>
      <c r="VKC39" s="21"/>
      <c r="VKD39" s="21"/>
      <c r="VKE39" s="21"/>
      <c r="VKF39" s="21"/>
      <c r="VKG39" s="21"/>
      <c r="VKH39" s="21"/>
      <c r="VKI39" s="21"/>
      <c r="VKJ39" s="21"/>
      <c r="VKK39" s="21"/>
      <c r="VKL39" s="21"/>
      <c r="VKM39" s="21"/>
      <c r="VKN39" s="21"/>
      <c r="VKO39" s="21"/>
      <c r="VKP39" s="21"/>
      <c r="VKQ39" s="21"/>
      <c r="VKR39" s="21"/>
      <c r="VKS39" s="21"/>
      <c r="VKT39" s="21"/>
      <c r="VKU39" s="21"/>
      <c r="VKV39" s="21"/>
      <c r="VKW39" s="21"/>
      <c r="VKX39" s="21"/>
      <c r="VKY39" s="21"/>
      <c r="VKZ39" s="21"/>
      <c r="VLA39" s="21"/>
      <c r="VLB39" s="21"/>
      <c r="VLC39" s="21"/>
      <c r="VLD39" s="21"/>
      <c r="VLE39" s="21"/>
      <c r="VLF39" s="21"/>
      <c r="VLG39" s="21"/>
      <c r="VLH39" s="21"/>
      <c r="VLI39" s="21"/>
      <c r="VLJ39" s="21"/>
      <c r="VLK39" s="21"/>
      <c r="VLL39" s="21"/>
      <c r="VLM39" s="21"/>
      <c r="VLN39" s="21"/>
      <c r="VLO39" s="21"/>
      <c r="VLP39" s="21"/>
      <c r="VLQ39" s="21"/>
      <c r="VLR39" s="21"/>
      <c r="VLS39" s="21"/>
      <c r="VLT39" s="21"/>
      <c r="VLU39" s="21"/>
      <c r="VLV39" s="21"/>
      <c r="VLW39" s="21"/>
      <c r="VLX39" s="21"/>
      <c r="VLY39" s="21"/>
      <c r="VLZ39" s="21"/>
      <c r="VMA39" s="21"/>
      <c r="VMB39" s="21"/>
      <c r="VMC39" s="21"/>
      <c r="VMD39" s="21"/>
      <c r="VME39" s="21"/>
      <c r="VMF39" s="21"/>
      <c r="VMG39" s="21"/>
      <c r="VMH39" s="21"/>
      <c r="VMI39" s="21"/>
      <c r="VMJ39" s="21"/>
      <c r="VMK39" s="21"/>
      <c r="VML39" s="21"/>
      <c r="VMM39" s="21"/>
      <c r="VMN39" s="21"/>
      <c r="VMO39" s="21"/>
      <c r="VMP39" s="21"/>
      <c r="VMQ39" s="21"/>
      <c r="VMR39" s="21"/>
      <c r="VMS39" s="21"/>
      <c r="VMT39" s="21"/>
      <c r="VMU39" s="21"/>
      <c r="VMV39" s="21"/>
      <c r="VMW39" s="21"/>
      <c r="VMX39" s="21"/>
      <c r="VMY39" s="21"/>
      <c r="VMZ39" s="21"/>
      <c r="VNA39" s="21"/>
      <c r="VNB39" s="21"/>
      <c r="VNC39" s="21"/>
      <c r="VND39" s="21"/>
      <c r="VNE39" s="21"/>
      <c r="VNF39" s="21"/>
      <c r="VNG39" s="21"/>
      <c r="VNH39" s="21"/>
      <c r="VNI39" s="21"/>
      <c r="VNJ39" s="21"/>
      <c r="VNK39" s="21"/>
      <c r="VNL39" s="21"/>
      <c r="VNM39" s="21"/>
      <c r="VNN39" s="21"/>
      <c r="VNO39" s="21"/>
      <c r="VNP39" s="21"/>
      <c r="VNQ39" s="21"/>
      <c r="VNR39" s="21"/>
      <c r="VNS39" s="21"/>
      <c r="VNT39" s="21"/>
      <c r="VNU39" s="21"/>
      <c r="VNV39" s="21"/>
      <c r="VNW39" s="21"/>
      <c r="VNX39" s="21"/>
      <c r="VNY39" s="21"/>
      <c r="VNZ39" s="21"/>
      <c r="VOA39" s="21"/>
      <c r="VOB39" s="21"/>
      <c r="VOC39" s="21"/>
      <c r="VOD39" s="21"/>
      <c r="VOE39" s="21"/>
      <c r="VOF39" s="21"/>
      <c r="VOG39" s="21"/>
      <c r="VOH39" s="21"/>
      <c r="VOI39" s="21"/>
      <c r="VOJ39" s="21"/>
      <c r="VOK39" s="21"/>
      <c r="VOL39" s="21"/>
      <c r="VOM39" s="21"/>
      <c r="VON39" s="21"/>
      <c r="VOO39" s="21"/>
      <c r="VOP39" s="21"/>
      <c r="VOQ39" s="21"/>
      <c r="VOR39" s="21"/>
      <c r="VOS39" s="21"/>
      <c r="VOT39" s="21"/>
      <c r="VOU39" s="21"/>
      <c r="VOV39" s="21"/>
      <c r="VOW39" s="21"/>
      <c r="VOX39" s="21"/>
      <c r="VOY39" s="21"/>
      <c r="VOZ39" s="21"/>
      <c r="VPA39" s="21"/>
      <c r="VPB39" s="21"/>
      <c r="VPC39" s="21"/>
      <c r="VPD39" s="21"/>
      <c r="VPE39" s="21"/>
      <c r="VPF39" s="21"/>
      <c r="VPG39" s="21"/>
      <c r="VPH39" s="21"/>
      <c r="VPI39" s="21"/>
      <c r="VPJ39" s="21"/>
      <c r="VPK39" s="21"/>
      <c r="VPL39" s="21"/>
      <c r="VPM39" s="21"/>
      <c r="VPN39" s="21"/>
      <c r="VPO39" s="21"/>
      <c r="VPP39" s="21"/>
      <c r="VPQ39" s="21"/>
      <c r="VPR39" s="21"/>
      <c r="VPS39" s="21"/>
      <c r="VPT39" s="21"/>
      <c r="VPU39" s="21"/>
      <c r="VPV39" s="21"/>
      <c r="VPW39" s="21"/>
      <c r="VPX39" s="21"/>
      <c r="VPY39" s="21"/>
      <c r="VPZ39" s="21"/>
      <c r="VQA39" s="21"/>
      <c r="VQB39" s="21"/>
      <c r="VQC39" s="21"/>
      <c r="VQD39" s="21"/>
      <c r="VQE39" s="21"/>
      <c r="VQF39" s="21"/>
      <c r="VQG39" s="21"/>
      <c r="VQH39" s="21"/>
      <c r="VQI39" s="21"/>
      <c r="VQJ39" s="21"/>
      <c r="VQK39" s="21"/>
      <c r="VQL39" s="21"/>
      <c r="VQM39" s="21"/>
      <c r="VQN39" s="21"/>
      <c r="VQO39" s="21"/>
      <c r="VQP39" s="21"/>
      <c r="VQQ39" s="21"/>
      <c r="VQR39" s="21"/>
      <c r="VQS39" s="21"/>
      <c r="VQT39" s="21"/>
      <c r="VQU39" s="21"/>
      <c r="VQV39" s="21"/>
      <c r="VQW39" s="21"/>
      <c r="VQX39" s="21"/>
      <c r="VQY39" s="21"/>
      <c r="VQZ39" s="21"/>
      <c r="VRA39" s="21"/>
      <c r="VRB39" s="21"/>
      <c r="VRC39" s="21"/>
      <c r="VRD39" s="21"/>
      <c r="VRE39" s="21"/>
      <c r="VRF39" s="21"/>
      <c r="VRG39" s="21"/>
      <c r="VRH39" s="21"/>
      <c r="VRI39" s="21"/>
      <c r="VRJ39" s="21"/>
      <c r="VRK39" s="21"/>
      <c r="VRL39" s="21"/>
      <c r="VRM39" s="21"/>
      <c r="VRN39" s="21"/>
      <c r="VRO39" s="21"/>
      <c r="VRP39" s="21"/>
      <c r="VRQ39" s="21"/>
      <c r="VRR39" s="21"/>
      <c r="VRS39" s="21"/>
      <c r="VRT39" s="21"/>
      <c r="VRU39" s="21"/>
      <c r="VRV39" s="21"/>
      <c r="VRW39" s="21"/>
      <c r="VRX39" s="21"/>
      <c r="VRY39" s="21"/>
      <c r="VRZ39" s="21"/>
      <c r="VSA39" s="21"/>
      <c r="VSB39" s="21"/>
      <c r="VSC39" s="21"/>
      <c r="VSD39" s="21"/>
      <c r="VSE39" s="21"/>
      <c r="VSF39" s="21"/>
      <c r="VSG39" s="21"/>
      <c r="VSH39" s="21"/>
      <c r="VSI39" s="21"/>
      <c r="VSJ39" s="21"/>
      <c r="VSK39" s="21"/>
      <c r="VSL39" s="21"/>
      <c r="VSM39" s="21"/>
      <c r="VSN39" s="21"/>
      <c r="VSO39" s="21"/>
      <c r="VSP39" s="21"/>
      <c r="VSQ39" s="21"/>
      <c r="VSR39" s="21"/>
      <c r="VSS39" s="21"/>
      <c r="VST39" s="21"/>
      <c r="VSU39" s="21"/>
      <c r="VSV39" s="21"/>
      <c r="VSW39" s="21"/>
      <c r="VSX39" s="21"/>
      <c r="VSY39" s="21"/>
      <c r="VSZ39" s="21"/>
      <c r="VTA39" s="21"/>
      <c r="VTB39" s="21"/>
      <c r="VTC39" s="21"/>
      <c r="VTD39" s="21"/>
      <c r="VTE39" s="21"/>
      <c r="VTF39" s="21"/>
      <c r="VTG39" s="21"/>
      <c r="VTH39" s="21"/>
      <c r="VTI39" s="21"/>
      <c r="VTJ39" s="21"/>
      <c r="VTK39" s="21"/>
      <c r="VTL39" s="21"/>
      <c r="VTM39" s="21"/>
      <c r="VTN39" s="21"/>
      <c r="VTO39" s="21"/>
      <c r="VTP39" s="21"/>
      <c r="VTQ39" s="21"/>
      <c r="VTR39" s="21"/>
      <c r="VTS39" s="21"/>
      <c r="VTT39" s="21"/>
      <c r="VTU39" s="21"/>
      <c r="VTV39" s="21"/>
      <c r="VTW39" s="21"/>
      <c r="VTX39" s="21"/>
      <c r="VTY39" s="21"/>
      <c r="VTZ39" s="21"/>
      <c r="VUA39" s="21"/>
      <c r="VUB39" s="21"/>
      <c r="VUC39" s="21"/>
      <c r="VUD39" s="21"/>
      <c r="VUE39" s="21"/>
      <c r="VUF39" s="21"/>
      <c r="VUG39" s="21"/>
      <c r="VUH39" s="21"/>
      <c r="VUI39" s="21"/>
      <c r="VUJ39" s="21"/>
      <c r="VUK39" s="21"/>
      <c r="VUL39" s="21"/>
      <c r="VUM39" s="21"/>
      <c r="VUN39" s="21"/>
      <c r="VUO39" s="21"/>
      <c r="VUP39" s="21"/>
      <c r="VUQ39" s="21"/>
      <c r="VUR39" s="21"/>
      <c r="VUS39" s="21"/>
      <c r="VUT39" s="21"/>
      <c r="VUU39" s="21"/>
      <c r="VUV39" s="21"/>
      <c r="VUW39" s="21"/>
      <c r="VUX39" s="21"/>
      <c r="VUY39" s="21"/>
      <c r="VUZ39" s="21"/>
      <c r="VVA39" s="21"/>
      <c r="VVB39" s="21"/>
      <c r="VVC39" s="21"/>
      <c r="VVD39" s="21"/>
      <c r="VVE39" s="21"/>
      <c r="VVF39" s="21"/>
      <c r="VVG39" s="21"/>
      <c r="VVH39" s="21"/>
      <c r="VVI39" s="21"/>
      <c r="VVJ39" s="21"/>
      <c r="VVK39" s="21"/>
      <c r="VVL39" s="21"/>
      <c r="VVM39" s="21"/>
      <c r="VVN39" s="21"/>
      <c r="VVO39" s="21"/>
      <c r="VVP39" s="21"/>
      <c r="VVQ39" s="21"/>
      <c r="VVR39" s="21"/>
      <c r="VVS39" s="21"/>
      <c r="VVT39" s="21"/>
      <c r="VVU39" s="21"/>
      <c r="VVV39" s="21"/>
      <c r="VVW39" s="21"/>
      <c r="VVX39" s="21"/>
      <c r="VVY39" s="21"/>
      <c r="VVZ39" s="21"/>
      <c r="VWA39" s="21"/>
      <c r="VWB39" s="21"/>
      <c r="VWC39" s="21"/>
      <c r="VWD39" s="21"/>
      <c r="VWE39" s="21"/>
      <c r="VWF39" s="21"/>
      <c r="VWG39" s="21"/>
      <c r="VWH39" s="21"/>
      <c r="VWI39" s="21"/>
      <c r="VWJ39" s="21"/>
      <c r="VWK39" s="21"/>
      <c r="VWL39" s="21"/>
      <c r="VWM39" s="21"/>
      <c r="VWN39" s="21"/>
      <c r="VWO39" s="21"/>
      <c r="VWP39" s="21"/>
      <c r="VWQ39" s="21"/>
      <c r="VWR39" s="21"/>
      <c r="VWS39" s="21"/>
      <c r="VWT39" s="21"/>
      <c r="VWU39" s="21"/>
      <c r="VWV39" s="21"/>
      <c r="VWW39" s="21"/>
      <c r="VWX39" s="21"/>
      <c r="VWY39" s="21"/>
      <c r="VWZ39" s="21"/>
      <c r="VXA39" s="21"/>
      <c r="VXB39" s="21"/>
      <c r="VXC39" s="21"/>
      <c r="VXD39" s="21"/>
      <c r="VXE39" s="21"/>
      <c r="VXF39" s="21"/>
      <c r="VXG39" s="21"/>
      <c r="VXH39" s="21"/>
      <c r="VXI39" s="21"/>
      <c r="VXJ39" s="21"/>
      <c r="VXK39" s="21"/>
      <c r="VXL39" s="21"/>
      <c r="VXM39" s="21"/>
      <c r="VXN39" s="21"/>
      <c r="VXO39" s="21"/>
      <c r="VXP39" s="21"/>
      <c r="VXQ39" s="21"/>
      <c r="VXR39" s="21"/>
      <c r="VXS39" s="21"/>
      <c r="VXT39" s="21"/>
      <c r="VXU39" s="21"/>
      <c r="VXV39" s="21"/>
      <c r="VXW39" s="21"/>
      <c r="VXX39" s="21"/>
      <c r="VXY39" s="21"/>
      <c r="VXZ39" s="21"/>
      <c r="VYA39" s="21"/>
      <c r="VYB39" s="21"/>
      <c r="VYC39" s="21"/>
      <c r="VYD39" s="21"/>
      <c r="VYE39" s="21"/>
      <c r="VYF39" s="21"/>
      <c r="VYG39" s="21"/>
      <c r="VYH39" s="21"/>
      <c r="VYI39" s="21"/>
      <c r="VYJ39" s="21"/>
      <c r="VYK39" s="21"/>
      <c r="VYL39" s="21"/>
      <c r="VYM39" s="21"/>
      <c r="VYN39" s="21"/>
      <c r="VYO39" s="21"/>
      <c r="VYP39" s="21"/>
      <c r="VYQ39" s="21"/>
      <c r="VYR39" s="21"/>
      <c r="VYS39" s="21"/>
      <c r="VYT39" s="21"/>
      <c r="VYU39" s="21"/>
      <c r="VYV39" s="21"/>
      <c r="VYW39" s="21"/>
      <c r="VYX39" s="21"/>
      <c r="VYY39" s="21"/>
      <c r="VYZ39" s="21"/>
      <c r="VZA39" s="21"/>
      <c r="VZB39" s="21"/>
      <c r="VZC39" s="21"/>
      <c r="VZD39" s="21"/>
      <c r="VZE39" s="21"/>
      <c r="VZF39" s="21"/>
      <c r="VZG39" s="21"/>
      <c r="VZH39" s="21"/>
      <c r="VZI39" s="21"/>
      <c r="VZJ39" s="21"/>
      <c r="VZK39" s="21"/>
      <c r="VZL39" s="21"/>
      <c r="VZM39" s="21"/>
      <c r="VZN39" s="21"/>
      <c r="VZO39" s="21"/>
      <c r="VZP39" s="21"/>
      <c r="VZQ39" s="21"/>
      <c r="VZR39" s="21"/>
      <c r="VZS39" s="21"/>
      <c r="VZT39" s="21"/>
      <c r="VZU39" s="21"/>
      <c r="VZV39" s="21"/>
      <c r="VZW39" s="21"/>
      <c r="VZX39" s="21"/>
      <c r="VZY39" s="21"/>
      <c r="VZZ39" s="21"/>
      <c r="WAA39" s="21"/>
      <c r="WAB39" s="21"/>
      <c r="WAC39" s="21"/>
      <c r="WAD39" s="21"/>
      <c r="WAE39" s="21"/>
      <c r="WAF39" s="21"/>
      <c r="WAG39" s="21"/>
      <c r="WAH39" s="21"/>
      <c r="WAI39" s="21"/>
      <c r="WAJ39" s="21"/>
      <c r="WAK39" s="21"/>
      <c r="WAL39" s="21"/>
      <c r="WAM39" s="21"/>
      <c r="WAN39" s="21"/>
      <c r="WAO39" s="21"/>
      <c r="WAP39" s="21"/>
      <c r="WAQ39" s="21"/>
      <c r="WAR39" s="21"/>
      <c r="WAS39" s="21"/>
      <c r="WAT39" s="21"/>
      <c r="WAU39" s="21"/>
      <c r="WAV39" s="21"/>
      <c r="WAW39" s="21"/>
      <c r="WAX39" s="21"/>
      <c r="WAY39" s="21"/>
      <c r="WAZ39" s="21"/>
      <c r="WBA39" s="21"/>
      <c r="WBB39" s="21"/>
      <c r="WBC39" s="21"/>
      <c r="WBD39" s="21"/>
      <c r="WBE39" s="21"/>
      <c r="WBF39" s="21"/>
      <c r="WBG39" s="21"/>
      <c r="WBH39" s="21"/>
      <c r="WBI39" s="21"/>
      <c r="WBJ39" s="21"/>
      <c r="WBK39" s="21"/>
      <c r="WBL39" s="21"/>
      <c r="WBM39" s="21"/>
      <c r="WBN39" s="21"/>
      <c r="WBO39" s="21"/>
      <c r="WBP39" s="21"/>
      <c r="WBQ39" s="21"/>
      <c r="WBR39" s="21"/>
      <c r="WBS39" s="21"/>
      <c r="WBT39" s="21"/>
      <c r="WBU39" s="21"/>
      <c r="WBV39" s="21"/>
      <c r="WBW39" s="21"/>
      <c r="WBX39" s="21"/>
      <c r="WBY39" s="21"/>
      <c r="WBZ39" s="21"/>
      <c r="WCA39" s="21"/>
      <c r="WCB39" s="21"/>
      <c r="WCC39" s="21"/>
      <c r="WCD39" s="21"/>
      <c r="WCE39" s="21"/>
      <c r="WCF39" s="21"/>
      <c r="WCG39" s="21"/>
      <c r="WCH39" s="21"/>
      <c r="WCI39" s="21"/>
      <c r="WCJ39" s="21"/>
      <c r="WCK39" s="21"/>
      <c r="WCL39" s="21"/>
      <c r="WCM39" s="21"/>
      <c r="WCN39" s="21"/>
      <c r="WCO39" s="21"/>
      <c r="WCP39" s="21"/>
      <c r="WCQ39" s="21"/>
      <c r="WCR39" s="21"/>
      <c r="WCS39" s="21"/>
      <c r="WCT39" s="21"/>
      <c r="WCU39" s="21"/>
      <c r="WCV39" s="21"/>
      <c r="WCW39" s="21"/>
      <c r="WCX39" s="21"/>
      <c r="WCY39" s="21"/>
      <c r="WCZ39" s="21"/>
      <c r="WDA39" s="21"/>
      <c r="WDB39" s="21"/>
      <c r="WDC39" s="21"/>
      <c r="WDD39" s="21"/>
      <c r="WDE39" s="21"/>
      <c r="WDF39" s="21"/>
      <c r="WDG39" s="21"/>
      <c r="WDH39" s="21"/>
      <c r="WDI39" s="21"/>
      <c r="WDJ39" s="21"/>
      <c r="WDK39" s="21"/>
      <c r="WDL39" s="21"/>
      <c r="WDM39" s="21"/>
      <c r="WDN39" s="21"/>
      <c r="WDO39" s="21"/>
      <c r="WDP39" s="21"/>
      <c r="WDQ39" s="21"/>
      <c r="WDR39" s="21"/>
      <c r="WDS39" s="21"/>
      <c r="WDT39" s="21"/>
      <c r="WDU39" s="21"/>
      <c r="WDV39" s="21"/>
      <c r="WDW39" s="21"/>
      <c r="WDX39" s="21"/>
      <c r="WDY39" s="21"/>
      <c r="WDZ39" s="21"/>
      <c r="WEA39" s="21"/>
      <c r="WEB39" s="21"/>
      <c r="WEC39" s="21"/>
      <c r="WED39" s="21"/>
      <c r="WEE39" s="21"/>
      <c r="WEF39" s="21"/>
      <c r="WEG39" s="21"/>
      <c r="WEH39" s="21"/>
      <c r="WEI39" s="21"/>
      <c r="WEJ39" s="21"/>
      <c r="WEK39" s="21"/>
      <c r="WEL39" s="21"/>
      <c r="WEM39" s="21"/>
      <c r="WEN39" s="21"/>
      <c r="WEO39" s="21"/>
      <c r="WEP39" s="21"/>
      <c r="WEQ39" s="21"/>
      <c r="WER39" s="21"/>
      <c r="WES39" s="21"/>
      <c r="WET39" s="21"/>
      <c r="WEU39" s="21"/>
      <c r="WEV39" s="21"/>
      <c r="WEW39" s="21"/>
      <c r="WEX39" s="21"/>
      <c r="WEY39" s="21"/>
      <c r="WEZ39" s="21"/>
      <c r="WFA39" s="21"/>
      <c r="WFB39" s="21"/>
      <c r="WFC39" s="21"/>
      <c r="WFD39" s="21"/>
      <c r="WFE39" s="21"/>
      <c r="WFF39" s="21"/>
      <c r="WFG39" s="21"/>
      <c r="WFH39" s="21"/>
      <c r="WFI39" s="21"/>
      <c r="WFJ39" s="21"/>
      <c r="WFK39" s="21"/>
      <c r="WFL39" s="21"/>
      <c r="WFM39" s="21"/>
      <c r="WFN39" s="21"/>
      <c r="WFO39" s="21"/>
      <c r="WFP39" s="21"/>
      <c r="WFQ39" s="21"/>
      <c r="WFR39" s="21"/>
      <c r="WFS39" s="21"/>
      <c r="WFT39" s="21"/>
      <c r="WFU39" s="21"/>
      <c r="WFV39" s="21"/>
      <c r="WFW39" s="21"/>
      <c r="WFX39" s="21"/>
      <c r="WFY39" s="21"/>
      <c r="WFZ39" s="21"/>
      <c r="WGA39" s="21"/>
      <c r="WGB39" s="21"/>
      <c r="WGC39" s="21"/>
      <c r="WGD39" s="21"/>
      <c r="WGE39" s="21"/>
      <c r="WGF39" s="21"/>
      <c r="WGG39" s="21"/>
      <c r="WGH39" s="21"/>
      <c r="WGI39" s="21"/>
      <c r="WGJ39" s="21"/>
      <c r="WGK39" s="21"/>
      <c r="WGL39" s="21"/>
      <c r="WGM39" s="21"/>
      <c r="WGN39" s="21"/>
      <c r="WGO39" s="21"/>
      <c r="WGP39" s="21"/>
      <c r="WGQ39" s="21"/>
      <c r="WGR39" s="21"/>
      <c r="WGS39" s="21"/>
      <c r="WGT39" s="21"/>
      <c r="WGU39" s="21"/>
      <c r="WGV39" s="21"/>
      <c r="WGW39" s="21"/>
      <c r="WGX39" s="21"/>
      <c r="WGY39" s="21"/>
      <c r="WGZ39" s="21"/>
      <c r="WHA39" s="21"/>
      <c r="WHB39" s="21"/>
      <c r="WHC39" s="21"/>
      <c r="WHD39" s="21"/>
      <c r="WHE39" s="21"/>
      <c r="WHF39" s="21"/>
      <c r="WHG39" s="21"/>
      <c r="WHH39" s="21"/>
      <c r="WHI39" s="21"/>
      <c r="WHJ39" s="21"/>
      <c r="WHK39" s="21"/>
      <c r="WHL39" s="21"/>
      <c r="WHM39" s="21"/>
      <c r="WHN39" s="21"/>
      <c r="WHO39" s="21"/>
      <c r="WHP39" s="21"/>
      <c r="WHQ39" s="21"/>
      <c r="WHR39" s="21"/>
      <c r="WHS39" s="21"/>
      <c r="WHT39" s="21"/>
      <c r="WHU39" s="21"/>
      <c r="WHV39" s="21"/>
      <c r="WHW39" s="21"/>
      <c r="WHX39" s="21"/>
      <c r="WHY39" s="21"/>
      <c r="WHZ39" s="21"/>
      <c r="WIA39" s="21"/>
      <c r="WIB39" s="21"/>
      <c r="WIC39" s="21"/>
      <c r="WID39" s="21"/>
      <c r="WIE39" s="21"/>
      <c r="WIF39" s="21"/>
      <c r="WIG39" s="21"/>
      <c r="WIH39" s="21"/>
      <c r="WII39" s="21"/>
      <c r="WIJ39" s="21"/>
      <c r="WIK39" s="21"/>
      <c r="WIL39" s="21"/>
      <c r="WIM39" s="21"/>
      <c r="WIN39" s="21"/>
      <c r="WIO39" s="21"/>
      <c r="WIP39" s="21"/>
      <c r="WIQ39" s="21"/>
      <c r="WIR39" s="21"/>
      <c r="WIS39" s="21"/>
      <c r="WIT39" s="21"/>
      <c r="WIU39" s="21"/>
      <c r="WIV39" s="21"/>
      <c r="WIW39" s="21"/>
      <c r="WIX39" s="21"/>
      <c r="WIY39" s="21"/>
      <c r="WIZ39" s="21"/>
      <c r="WJA39" s="21"/>
      <c r="WJB39" s="21"/>
      <c r="WJC39" s="21"/>
      <c r="WJD39" s="21"/>
      <c r="WJE39" s="21"/>
      <c r="WJF39" s="21"/>
      <c r="WJG39" s="21"/>
      <c r="WJH39" s="21"/>
      <c r="WJI39" s="21"/>
      <c r="WJJ39" s="21"/>
      <c r="WJK39" s="21"/>
      <c r="WJL39" s="21"/>
      <c r="WJM39" s="21"/>
      <c r="WJN39" s="21"/>
      <c r="WJO39" s="21"/>
      <c r="WJP39" s="21"/>
      <c r="WJQ39" s="21"/>
      <c r="WJR39" s="21"/>
      <c r="WJS39" s="21"/>
      <c r="WJT39" s="21"/>
      <c r="WJU39" s="21"/>
      <c r="WJV39" s="21"/>
      <c r="WJW39" s="21"/>
      <c r="WJX39" s="21"/>
      <c r="WJY39" s="21"/>
      <c r="WJZ39" s="21"/>
      <c r="WKA39" s="21"/>
      <c r="WKB39" s="21"/>
      <c r="WKC39" s="21"/>
      <c r="WKD39" s="21"/>
      <c r="WKE39" s="21"/>
      <c r="WKF39" s="21"/>
      <c r="WKG39" s="21"/>
      <c r="WKH39" s="21"/>
      <c r="WKI39" s="21"/>
      <c r="WKJ39" s="21"/>
      <c r="WKK39" s="21"/>
      <c r="WKL39" s="21"/>
      <c r="WKM39" s="21"/>
      <c r="WKN39" s="21"/>
      <c r="WKO39" s="21"/>
      <c r="WKP39" s="21"/>
      <c r="WKQ39" s="21"/>
      <c r="WKR39" s="21"/>
      <c r="WKS39" s="21"/>
      <c r="WKT39" s="21"/>
      <c r="WKU39" s="21"/>
      <c r="WKV39" s="21"/>
      <c r="WKW39" s="21"/>
      <c r="WKX39" s="21"/>
      <c r="WKY39" s="21"/>
      <c r="WKZ39" s="21"/>
      <c r="WLA39" s="21"/>
      <c r="WLB39" s="21"/>
      <c r="WLC39" s="21"/>
      <c r="WLD39" s="21"/>
      <c r="WLE39" s="21"/>
      <c r="WLF39" s="21"/>
      <c r="WLG39" s="21"/>
      <c r="WLH39" s="21"/>
      <c r="WLI39" s="21"/>
      <c r="WLJ39" s="21"/>
      <c r="WLK39" s="21"/>
      <c r="WLL39" s="21"/>
      <c r="WLM39" s="21"/>
      <c r="WLN39" s="21"/>
      <c r="WLO39" s="21"/>
      <c r="WLP39" s="21"/>
      <c r="WLQ39" s="21"/>
      <c r="WLR39" s="21"/>
      <c r="WLS39" s="21"/>
      <c r="WLT39" s="21"/>
      <c r="WLU39" s="21"/>
      <c r="WLV39" s="21"/>
      <c r="WLW39" s="21"/>
      <c r="WLX39" s="21"/>
      <c r="WLY39" s="21"/>
      <c r="WLZ39" s="21"/>
      <c r="WMA39" s="21"/>
      <c r="WMB39" s="21"/>
      <c r="WMC39" s="21"/>
      <c r="WMD39" s="21"/>
      <c r="WME39" s="21"/>
      <c r="WMF39" s="21"/>
      <c r="WMG39" s="21"/>
      <c r="WMH39" s="21"/>
      <c r="WMI39" s="21"/>
      <c r="WMJ39" s="21"/>
      <c r="WMK39" s="21"/>
      <c r="WML39" s="21"/>
      <c r="WMM39" s="21"/>
      <c r="WMN39" s="21"/>
      <c r="WMO39" s="21"/>
      <c r="WMP39" s="21"/>
      <c r="WMQ39" s="21"/>
      <c r="WMR39" s="21"/>
      <c r="WMS39" s="21"/>
      <c r="WMT39" s="21"/>
      <c r="WMU39" s="21"/>
      <c r="WMV39" s="21"/>
      <c r="WMW39" s="21"/>
      <c r="WMX39" s="21"/>
      <c r="WMY39" s="21"/>
      <c r="WMZ39" s="21"/>
      <c r="WNA39" s="21"/>
      <c r="WNB39" s="21"/>
      <c r="WNC39" s="21"/>
      <c r="WND39" s="21"/>
      <c r="WNE39" s="21"/>
      <c r="WNF39" s="21"/>
      <c r="WNG39" s="21"/>
      <c r="WNH39" s="21"/>
      <c r="WNI39" s="21"/>
      <c r="WNJ39" s="21"/>
      <c r="WNK39" s="21"/>
      <c r="WNL39" s="21"/>
      <c r="WNM39" s="21"/>
      <c r="WNN39" s="21"/>
      <c r="WNO39" s="21"/>
      <c r="WNP39" s="21"/>
      <c r="WNQ39" s="21"/>
      <c r="WNR39" s="21"/>
      <c r="WNS39" s="21"/>
      <c r="WNT39" s="21"/>
      <c r="WNU39" s="21"/>
      <c r="WNV39" s="21"/>
      <c r="WNW39" s="21"/>
      <c r="WNX39" s="21"/>
      <c r="WNY39" s="21"/>
      <c r="WNZ39" s="21"/>
      <c r="WOA39" s="21"/>
      <c r="WOB39" s="21"/>
      <c r="WOC39" s="21"/>
      <c r="WOD39" s="21"/>
      <c r="WOE39" s="21"/>
      <c r="WOF39" s="21"/>
      <c r="WOG39" s="21"/>
      <c r="WOH39" s="21"/>
      <c r="WOI39" s="21"/>
      <c r="WOJ39" s="21"/>
      <c r="WOK39" s="21"/>
      <c r="WOL39" s="21"/>
      <c r="WOM39" s="21"/>
      <c r="WON39" s="21"/>
      <c r="WOO39" s="21"/>
      <c r="WOP39" s="21"/>
      <c r="WOQ39" s="21"/>
      <c r="WOR39" s="21"/>
      <c r="WOS39" s="21"/>
      <c r="WOT39" s="21"/>
      <c r="WOU39" s="21"/>
      <c r="WOV39" s="21"/>
      <c r="WOW39" s="21"/>
      <c r="WOX39" s="21"/>
      <c r="WOY39" s="21"/>
      <c r="WOZ39" s="21"/>
      <c r="WPA39" s="21"/>
      <c r="WPB39" s="21"/>
      <c r="WPC39" s="21"/>
      <c r="WPD39" s="21"/>
      <c r="WPE39" s="21"/>
      <c r="WPF39" s="21"/>
      <c r="WPG39" s="21"/>
      <c r="WPH39" s="21"/>
      <c r="WPI39" s="21"/>
      <c r="WPJ39" s="21"/>
      <c r="WPK39" s="21"/>
      <c r="WPL39" s="21"/>
      <c r="WPM39" s="21"/>
      <c r="WPN39" s="21"/>
      <c r="WPO39" s="21"/>
      <c r="WPP39" s="21"/>
      <c r="WPQ39" s="21"/>
      <c r="WPR39" s="21"/>
      <c r="WPS39" s="21"/>
      <c r="WPT39" s="21"/>
      <c r="WPU39" s="21"/>
      <c r="WPV39" s="21"/>
      <c r="WPW39" s="21"/>
      <c r="WPX39" s="21"/>
      <c r="WPY39" s="21"/>
      <c r="WPZ39" s="21"/>
      <c r="WQA39" s="21"/>
      <c r="WQB39" s="21"/>
      <c r="WQC39" s="21"/>
      <c r="WQD39" s="21"/>
      <c r="WQE39" s="21"/>
      <c r="WQF39" s="21"/>
      <c r="WQG39" s="21"/>
      <c r="WQH39" s="21"/>
      <c r="WQI39" s="21"/>
      <c r="WQJ39" s="21"/>
      <c r="WQK39" s="21"/>
      <c r="WQL39" s="21"/>
      <c r="WQM39" s="21"/>
      <c r="WQN39" s="21"/>
      <c r="WQO39" s="21"/>
      <c r="WQP39" s="21"/>
      <c r="WQQ39" s="21"/>
      <c r="WQR39" s="21"/>
      <c r="WQS39" s="21"/>
      <c r="WQT39" s="21"/>
      <c r="WQU39" s="21"/>
      <c r="WQV39" s="21"/>
      <c r="WQW39" s="21"/>
      <c r="WQX39" s="21"/>
      <c r="WQY39" s="21"/>
      <c r="WQZ39" s="21"/>
      <c r="WRA39" s="21"/>
      <c r="WRB39" s="21"/>
      <c r="WRC39" s="21"/>
      <c r="WRD39" s="21"/>
      <c r="WRE39" s="21"/>
      <c r="WRF39" s="21"/>
      <c r="WRG39" s="21"/>
      <c r="WRH39" s="21"/>
      <c r="WRI39" s="21"/>
      <c r="WRJ39" s="21"/>
      <c r="WRK39" s="21"/>
      <c r="WRL39" s="21"/>
      <c r="WRM39" s="21"/>
      <c r="WRN39" s="21"/>
      <c r="WRO39" s="21"/>
      <c r="WRP39" s="21"/>
      <c r="WRQ39" s="21"/>
      <c r="WRR39" s="21"/>
      <c r="WRS39" s="21"/>
      <c r="WRT39" s="21"/>
      <c r="WRU39" s="21"/>
      <c r="WRV39" s="21"/>
      <c r="WRW39" s="21"/>
      <c r="WRX39" s="21"/>
      <c r="WRY39" s="21"/>
      <c r="WRZ39" s="21"/>
      <c r="WSA39" s="21"/>
      <c r="WSB39" s="21"/>
      <c r="WSC39" s="21"/>
      <c r="WSD39" s="21"/>
      <c r="WSE39" s="21"/>
      <c r="WSF39" s="21"/>
      <c r="WSG39" s="21"/>
      <c r="WSH39" s="21"/>
      <c r="WSI39" s="21"/>
      <c r="WSJ39" s="21"/>
      <c r="WSK39" s="21"/>
      <c r="WSL39" s="21"/>
      <c r="WSM39" s="21"/>
      <c r="WSN39" s="21"/>
      <c r="WSO39" s="21"/>
      <c r="WSP39" s="21"/>
      <c r="WSQ39" s="21"/>
      <c r="WSR39" s="21"/>
      <c r="WSS39" s="21"/>
      <c r="WST39" s="21"/>
      <c r="WSU39" s="21"/>
      <c r="WSV39" s="21"/>
      <c r="WSW39" s="21"/>
      <c r="WSX39" s="21"/>
      <c r="WSY39" s="21"/>
      <c r="WSZ39" s="21"/>
      <c r="WTA39" s="21"/>
      <c r="WTB39" s="21"/>
      <c r="WTC39" s="21"/>
      <c r="WTD39" s="21"/>
      <c r="WTE39" s="21"/>
      <c r="WTF39" s="21"/>
      <c r="WTG39" s="21"/>
      <c r="WTH39" s="21"/>
      <c r="WTI39" s="21"/>
      <c r="WTJ39" s="21"/>
      <c r="WTK39" s="21"/>
      <c r="WTL39" s="21"/>
      <c r="WTM39" s="21"/>
      <c r="WTN39" s="21"/>
      <c r="WTO39" s="21"/>
      <c r="WTP39" s="21"/>
      <c r="WTQ39" s="21"/>
      <c r="WTR39" s="21"/>
      <c r="WTS39" s="21"/>
      <c r="WTT39" s="21"/>
      <c r="WTU39" s="21"/>
      <c r="WTV39" s="21"/>
      <c r="WTW39" s="21"/>
      <c r="WTX39" s="21"/>
      <c r="WTY39" s="21"/>
      <c r="WTZ39" s="21"/>
      <c r="WUA39" s="21"/>
      <c r="WUB39" s="21"/>
      <c r="WUC39" s="21"/>
      <c r="WUD39" s="21"/>
      <c r="WUE39" s="21"/>
      <c r="WUF39" s="21"/>
      <c r="WUG39" s="21"/>
      <c r="WUH39" s="21"/>
      <c r="WUI39" s="21"/>
      <c r="WUJ39" s="21"/>
      <c r="WUK39" s="21"/>
      <c r="WUL39" s="21"/>
      <c r="WUM39" s="21"/>
      <c r="WUN39" s="21"/>
      <c r="WUO39" s="21"/>
      <c r="WUP39" s="21"/>
      <c r="WUQ39" s="21"/>
      <c r="WUR39" s="21"/>
      <c r="WUS39" s="21"/>
      <c r="WUT39" s="21"/>
      <c r="WUU39" s="21"/>
      <c r="WUV39" s="21"/>
      <c r="WUW39" s="21"/>
      <c r="WUX39" s="21"/>
      <c r="WUY39" s="21"/>
      <c r="WUZ39" s="21"/>
      <c r="WVA39" s="21"/>
      <c r="WVB39" s="21"/>
      <c r="WVC39" s="21"/>
      <c r="WVD39" s="21"/>
      <c r="WVE39" s="21"/>
      <c r="WVF39" s="21"/>
      <c r="WVG39" s="21"/>
      <c r="WVH39" s="21"/>
      <c r="WVI39" s="21"/>
      <c r="WVJ39" s="21"/>
      <c r="WVK39" s="21"/>
      <c r="WVL39" s="21"/>
      <c r="WVM39" s="21"/>
      <c r="WVN39" s="21"/>
      <c r="WVO39" s="21"/>
      <c r="WVP39" s="21"/>
      <c r="WVQ39" s="21"/>
      <c r="WVR39" s="21"/>
      <c r="WVS39" s="21"/>
      <c r="WVT39" s="21"/>
      <c r="WVU39" s="21"/>
      <c r="WVV39" s="21"/>
      <c r="WVW39" s="21"/>
      <c r="WVX39" s="21"/>
      <c r="WVY39" s="21"/>
      <c r="WVZ39" s="21"/>
      <c r="WWA39" s="21"/>
      <c r="WWB39" s="21"/>
      <c r="WWC39" s="21"/>
      <c r="WWD39" s="21"/>
      <c r="WWE39" s="21"/>
      <c r="WWF39" s="21"/>
      <c r="WWG39" s="21"/>
      <c r="WWH39" s="21"/>
      <c r="WWI39" s="21"/>
      <c r="WWJ39" s="21"/>
      <c r="WWK39" s="21"/>
      <c r="WWL39" s="21"/>
      <c r="WWM39" s="21"/>
      <c r="WWN39" s="21"/>
      <c r="WWO39" s="21"/>
      <c r="WWP39" s="21"/>
      <c r="WWQ39" s="21"/>
      <c r="WWR39" s="21"/>
      <c r="WWS39" s="21"/>
      <c r="WWT39" s="21"/>
      <c r="WWU39" s="21"/>
      <c r="WWV39" s="21"/>
      <c r="WWW39" s="21"/>
      <c r="WWX39" s="21"/>
      <c r="WWY39" s="21"/>
      <c r="WWZ39" s="21"/>
      <c r="WXA39" s="21"/>
      <c r="WXB39" s="21"/>
      <c r="WXC39" s="21"/>
      <c r="WXD39" s="21"/>
      <c r="WXE39" s="21"/>
      <c r="WXF39" s="21"/>
      <c r="WXG39" s="21"/>
      <c r="WXH39" s="21"/>
      <c r="WXI39" s="21"/>
      <c r="WXJ39" s="21"/>
      <c r="WXK39" s="21"/>
      <c r="WXL39" s="21"/>
      <c r="WXM39" s="21"/>
      <c r="WXN39" s="21"/>
      <c r="WXO39" s="21"/>
      <c r="WXP39" s="21"/>
      <c r="WXQ39" s="21"/>
      <c r="WXR39" s="21"/>
      <c r="WXS39" s="21"/>
      <c r="WXT39" s="21"/>
      <c r="WXU39" s="21"/>
      <c r="WXV39" s="21"/>
      <c r="WXW39" s="21"/>
      <c r="WXX39" s="21"/>
      <c r="WXY39" s="21"/>
      <c r="WXZ39" s="21"/>
      <c r="WYA39" s="21"/>
      <c r="WYB39" s="21"/>
      <c r="WYC39" s="21"/>
      <c r="WYD39" s="21"/>
      <c r="WYE39" s="21"/>
      <c r="WYF39" s="21"/>
      <c r="WYG39" s="21"/>
      <c r="WYH39" s="21"/>
      <c r="WYI39" s="21"/>
      <c r="WYJ39" s="21"/>
      <c r="WYK39" s="21"/>
      <c r="WYL39" s="21"/>
      <c r="WYM39" s="21"/>
      <c r="WYN39" s="21"/>
      <c r="WYO39" s="21"/>
      <c r="WYP39" s="21"/>
      <c r="WYQ39" s="21"/>
      <c r="WYR39" s="21"/>
      <c r="WYS39" s="21"/>
      <c r="WYT39" s="21"/>
      <c r="WYU39" s="21"/>
      <c r="WYV39" s="21"/>
      <c r="WYW39" s="21"/>
      <c r="WYX39" s="21"/>
      <c r="WYY39" s="21"/>
      <c r="WYZ39" s="21"/>
      <c r="WZA39" s="21"/>
      <c r="WZB39" s="21"/>
      <c r="WZC39" s="21"/>
      <c r="WZD39" s="21"/>
      <c r="WZE39" s="21"/>
      <c r="WZF39" s="21"/>
      <c r="WZG39" s="21"/>
      <c r="WZH39" s="21"/>
      <c r="WZI39" s="21"/>
      <c r="WZJ39" s="21"/>
      <c r="WZK39" s="21"/>
      <c r="WZL39" s="21"/>
      <c r="WZM39" s="21"/>
      <c r="WZN39" s="21"/>
      <c r="WZO39" s="21"/>
      <c r="WZP39" s="21"/>
      <c r="WZQ39" s="21"/>
      <c r="WZR39" s="21"/>
      <c r="WZS39" s="21"/>
      <c r="WZT39" s="21"/>
      <c r="WZU39" s="21"/>
      <c r="WZV39" s="21"/>
      <c r="WZW39" s="21"/>
      <c r="WZX39" s="21"/>
      <c r="WZY39" s="21"/>
      <c r="WZZ39" s="21"/>
      <c r="XAA39" s="21"/>
      <c r="XAB39" s="21"/>
      <c r="XAC39" s="21"/>
      <c r="XAD39" s="21"/>
      <c r="XAE39" s="21"/>
      <c r="XAF39" s="21"/>
      <c r="XAG39" s="21"/>
      <c r="XAH39" s="21"/>
      <c r="XAI39" s="21"/>
      <c r="XAJ39" s="21"/>
      <c r="XAK39" s="21"/>
      <c r="XAL39" s="21"/>
      <c r="XAM39" s="21"/>
      <c r="XAN39" s="21"/>
      <c r="XAO39" s="21"/>
      <c r="XAP39" s="21"/>
      <c r="XAQ39" s="21"/>
      <c r="XAR39" s="21"/>
      <c r="XAS39" s="21"/>
      <c r="XAT39" s="21"/>
      <c r="XAU39" s="21"/>
      <c r="XAV39" s="21"/>
      <c r="XAW39" s="21"/>
      <c r="XAX39" s="21"/>
      <c r="XAY39" s="21"/>
      <c r="XAZ39" s="21"/>
      <c r="XBA39" s="21"/>
      <c r="XBB39" s="21"/>
      <c r="XBC39" s="21"/>
      <c r="XBD39" s="21"/>
      <c r="XBE39" s="21"/>
      <c r="XBF39" s="21"/>
      <c r="XBG39" s="21"/>
      <c r="XBH39" s="21"/>
      <c r="XBI39" s="21"/>
      <c r="XBJ39" s="21"/>
      <c r="XBK39" s="21"/>
      <c r="XBL39" s="21"/>
      <c r="XBM39" s="21"/>
      <c r="XBN39" s="21"/>
      <c r="XBO39" s="21"/>
      <c r="XBP39" s="21"/>
      <c r="XBQ39" s="21"/>
      <c r="XBR39" s="21"/>
      <c r="XBS39" s="21"/>
      <c r="XBT39" s="21"/>
      <c r="XBU39" s="21"/>
      <c r="XBV39" s="21"/>
      <c r="XBW39" s="21"/>
      <c r="XBX39" s="21"/>
      <c r="XBY39" s="21"/>
      <c r="XBZ39" s="21"/>
      <c r="XCA39" s="21"/>
      <c r="XCB39" s="21"/>
      <c r="XCC39" s="21"/>
      <c r="XCD39" s="21"/>
      <c r="XCE39" s="21"/>
      <c r="XCF39" s="21"/>
      <c r="XCG39" s="21"/>
      <c r="XCH39" s="21"/>
      <c r="XCI39" s="21"/>
      <c r="XCJ39" s="21"/>
      <c r="XCK39" s="21"/>
      <c r="XCL39" s="21"/>
      <c r="XCM39" s="21"/>
      <c r="XCN39" s="21"/>
      <c r="XCO39" s="21"/>
      <c r="XCP39" s="21"/>
      <c r="XCQ39" s="21"/>
      <c r="XCR39" s="21"/>
      <c r="XCS39" s="21"/>
      <c r="XCT39" s="21"/>
      <c r="XCU39" s="21"/>
      <c r="XCV39" s="21"/>
      <c r="XCW39" s="21"/>
      <c r="XCX39" s="21"/>
      <c r="XCY39" s="21"/>
      <c r="XCZ39" s="21"/>
      <c r="XDA39" s="21"/>
      <c r="XDB39" s="21"/>
      <c r="XDC39" s="21"/>
      <c r="XDD39" s="21"/>
      <c r="XDE39" s="21"/>
      <c r="XDF39" s="21"/>
      <c r="XDG39" s="21"/>
      <c r="XDH39" s="21"/>
      <c r="XDI39" s="21"/>
      <c r="XDJ39" s="21"/>
      <c r="XDK39" s="21"/>
      <c r="XDL39" s="21"/>
      <c r="XDM39" s="21"/>
      <c r="XDN39" s="21"/>
      <c r="XDO39" s="21"/>
      <c r="XDP39" s="21"/>
      <c r="XDQ39" s="21"/>
      <c r="XDR39" s="21"/>
      <c r="XDS39" s="21"/>
      <c r="XDT39" s="21"/>
      <c r="XDU39" s="21"/>
      <c r="XDV39" s="21"/>
      <c r="XDW39" s="21"/>
      <c r="XDX39" s="21"/>
      <c r="XDY39" s="21"/>
      <c r="XDZ39" s="21"/>
      <c r="XEA39" s="21"/>
      <c r="XEB39" s="21"/>
      <c r="XEC39" s="21"/>
      <c r="XED39" s="21"/>
      <c r="XEE39" s="21"/>
      <c r="XEF39" s="21"/>
      <c r="XEG39" s="21"/>
      <c r="XEH39" s="21"/>
      <c r="XEI39" s="21"/>
      <c r="XEJ39" s="21"/>
      <c r="XEK39" s="21"/>
      <c r="XEL39" s="21"/>
      <c r="XEM39" s="21"/>
      <c r="XEN39" s="21"/>
      <c r="XEO39" s="21"/>
      <c r="XEP39" s="21"/>
      <c r="XEQ39" s="21"/>
      <c r="XER39" s="21"/>
      <c r="XES39" s="21"/>
      <c r="XET39" s="21"/>
      <c r="XEU39" s="21"/>
      <c r="XEV39" s="21"/>
      <c r="XEW39" s="21"/>
      <c r="XEX39" s="21"/>
      <c r="XEY39" s="21"/>
      <c r="XEZ39" s="21"/>
      <c r="XFA39" s="21"/>
      <c r="XFB39" s="21"/>
      <c r="XFC39" s="21"/>
      <c r="XFD39" s="21"/>
    </row>
    <row r="40" spans="1:16384" ht="17" thickTop="1">
      <c r="XEJ40" s="19"/>
    </row>
    <row r="41" spans="1:16384">
      <c r="B41" s="171" t="s">
        <v>137</v>
      </c>
      <c r="C41" s="171"/>
      <c r="D41" s="171"/>
      <c r="E41" s="171"/>
      <c r="F41" s="171"/>
    </row>
    <row r="42" spans="1:16384">
      <c r="B42" s="25"/>
      <c r="C42" s="25"/>
      <c r="D42" s="25"/>
      <c r="E42" s="25"/>
      <c r="F42" s="25"/>
    </row>
    <row r="43" spans="1:16384" ht="19">
      <c r="B43" s="25" t="s">
        <v>157</v>
      </c>
      <c r="C43" s="25"/>
      <c r="D43" s="25"/>
      <c r="E43" s="172">
        <f>Riskfree_Return</f>
        <v>0.04</v>
      </c>
      <c r="F43" s="173">
        <v>1</v>
      </c>
    </row>
    <row r="44" spans="1:16384" ht="18">
      <c r="B44" s="25" t="s">
        <v>138</v>
      </c>
      <c r="C44" s="25"/>
      <c r="D44" s="25"/>
      <c r="E44" s="174">
        <f>Beta_Equity</f>
        <v>1</v>
      </c>
      <c r="F44" s="173">
        <v>2</v>
      </c>
    </row>
    <row r="45" spans="1:16384" ht="19">
      <c r="B45" s="25" t="s">
        <v>158</v>
      </c>
      <c r="C45" s="25"/>
      <c r="D45" s="25"/>
      <c r="E45" s="172">
        <f>Risk_Premium</f>
        <v>3.0000000000000006E-2</v>
      </c>
      <c r="F45" s="173">
        <v>3</v>
      </c>
    </row>
    <row r="46" spans="1:16384" ht="17" customHeight="1">
      <c r="B46" s="175" t="s">
        <v>159</v>
      </c>
      <c r="C46" s="176"/>
      <c r="D46" s="177"/>
      <c r="E46" s="178">
        <f>E43+E44*E45</f>
        <v>7.0000000000000007E-2</v>
      </c>
      <c r="F46" s="179"/>
    </row>
    <row r="47" spans="1:16384" ht="17" customHeight="1">
      <c r="B47" s="25"/>
      <c r="C47" s="25"/>
      <c r="D47" s="25"/>
      <c r="E47" s="25"/>
      <c r="F47" s="173"/>
    </row>
    <row r="48" spans="1:16384" ht="18">
      <c r="B48" s="25" t="s">
        <v>139</v>
      </c>
      <c r="C48" s="25"/>
      <c r="D48" s="25"/>
      <c r="E48" s="180">
        <f>Interest_Rate</f>
        <v>2.7139874739039668E-2</v>
      </c>
      <c r="F48" s="173">
        <v>4</v>
      </c>
    </row>
    <row r="49" spans="2:15" ht="18">
      <c r="B49" s="25" t="s">
        <v>140</v>
      </c>
      <c r="C49" s="25"/>
      <c r="D49" s="25"/>
      <c r="E49" s="172">
        <f>Tax_Rate</f>
        <v>0.3</v>
      </c>
      <c r="F49" s="181"/>
    </row>
    <row r="50" spans="2:15" ht="19">
      <c r="B50" s="175" t="s">
        <v>160</v>
      </c>
      <c r="C50" s="176"/>
      <c r="D50" s="176"/>
      <c r="E50" s="178">
        <f>(1-E49)*E48</f>
        <v>1.8997912317327767E-2</v>
      </c>
      <c r="F50" s="179"/>
    </row>
    <row r="51" spans="2:15" ht="17" customHeight="1">
      <c r="B51" s="25"/>
      <c r="C51" s="25"/>
      <c r="D51" s="25"/>
      <c r="E51" s="25"/>
      <c r="F51" s="173"/>
    </row>
    <row r="52" spans="2:15" ht="17" customHeight="1">
      <c r="B52" s="182" t="s">
        <v>141</v>
      </c>
      <c r="C52" s="25"/>
      <c r="D52" s="25"/>
      <c r="E52" s="25"/>
      <c r="F52" s="173"/>
    </row>
    <row r="53" spans="2:15" ht="18">
      <c r="B53" s="183" t="s">
        <v>142</v>
      </c>
      <c r="C53" s="25"/>
      <c r="D53" s="184">
        <f>'Balance Sheet Historic'!C62</f>
        <v>9573</v>
      </c>
      <c r="E53" s="185">
        <f>D53/D55</f>
        <v>0.13257717395820351</v>
      </c>
      <c r="F53" s="173"/>
    </row>
    <row r="54" spans="2:15" ht="18">
      <c r="B54" s="183" t="s">
        <v>143</v>
      </c>
      <c r="C54" s="25"/>
      <c r="D54" s="184">
        <f>'Balance Sheet Historic'!C64</f>
        <v>62634</v>
      </c>
      <c r="E54" s="185">
        <f>D54/D55</f>
        <v>0.86742282604179655</v>
      </c>
      <c r="F54" s="173"/>
    </row>
    <row r="55" spans="2:15" ht="18">
      <c r="B55" s="186" t="s">
        <v>144</v>
      </c>
      <c r="C55" s="176"/>
      <c r="D55" s="187">
        <f>SUM(D53:D54)</f>
        <v>72207</v>
      </c>
      <c r="E55" s="188">
        <v>1</v>
      </c>
      <c r="F55" s="189"/>
    </row>
    <row r="56" spans="2:15" ht="18">
      <c r="B56" s="25"/>
      <c r="C56" s="25"/>
      <c r="D56" s="25"/>
      <c r="E56" s="25"/>
      <c r="F56" s="190"/>
    </row>
    <row r="57" spans="2:15" ht="17" thickBot="1">
      <c r="B57" s="191" t="s">
        <v>137</v>
      </c>
      <c r="C57" s="191"/>
      <c r="D57" s="191"/>
      <c r="E57" s="192">
        <f>E46*E54+E53*E50</f>
        <v>6.3238287349062824E-2</v>
      </c>
      <c r="F57" s="191"/>
    </row>
    <row r="58" spans="2:15" ht="17" thickTop="1">
      <c r="B58" s="17" t="s">
        <v>145</v>
      </c>
      <c r="C58" s="9"/>
      <c r="D58" s="9"/>
      <c r="E58" s="9"/>
      <c r="F58" s="9"/>
    </row>
    <row r="59" spans="2:15">
      <c r="B59" s="17" t="s">
        <v>146</v>
      </c>
      <c r="C59" s="9"/>
      <c r="D59" s="9"/>
      <c r="E59" s="9"/>
      <c r="F59" s="9"/>
    </row>
    <row r="60" spans="2:15">
      <c r="B60" s="17" t="s">
        <v>147</v>
      </c>
      <c r="C60" s="9"/>
      <c r="D60" s="9"/>
      <c r="E60" s="9"/>
      <c r="F60" s="9"/>
    </row>
    <row r="61" spans="2:15">
      <c r="B61" s="17" t="s">
        <v>173</v>
      </c>
      <c r="C61" s="9"/>
      <c r="D61" s="9"/>
      <c r="E61" s="9"/>
      <c r="F61" s="9"/>
    </row>
    <row r="63" spans="2:15" ht="16" customHeight="1">
      <c r="B63" s="193" t="s">
        <v>148</v>
      </c>
      <c r="C63" s="193"/>
      <c r="D63" s="194"/>
      <c r="E63" s="195"/>
      <c r="F63" s="323" t="s">
        <v>149</v>
      </c>
      <c r="G63" s="323"/>
      <c r="H63" s="323"/>
      <c r="I63" s="323"/>
      <c r="J63" s="323"/>
      <c r="K63" s="323"/>
      <c r="L63" s="323"/>
      <c r="M63" s="323"/>
      <c r="N63" s="323"/>
      <c r="O63" s="323"/>
    </row>
    <row r="64" spans="2:15">
      <c r="B64" s="148" t="s">
        <v>150</v>
      </c>
      <c r="C64" s="148" t="s">
        <v>151</v>
      </c>
      <c r="D64" s="196">
        <f>E64-1</f>
        <v>2022</v>
      </c>
      <c r="E64" s="197">
        <f>Start_Year</f>
        <v>2023</v>
      </c>
      <c r="F64" s="198">
        <f t="shared" ref="F64:O64" si="21">IF(COLUMN()-COLUMN($E$64)&lt;=Years_Forecasted, E64+1, "")</f>
        <v>2024</v>
      </c>
      <c r="G64" s="198">
        <f t="shared" si="21"/>
        <v>2025</v>
      </c>
      <c r="H64" s="198">
        <f t="shared" si="21"/>
        <v>2026</v>
      </c>
      <c r="I64" s="198" t="str">
        <f t="shared" si="21"/>
        <v/>
      </c>
      <c r="J64" s="198" t="str">
        <f t="shared" si="21"/>
        <v/>
      </c>
      <c r="K64" s="198" t="str">
        <f t="shared" si="21"/>
        <v/>
      </c>
      <c r="L64" s="198" t="str">
        <f t="shared" si="21"/>
        <v/>
      </c>
      <c r="M64" s="198" t="str">
        <f t="shared" si="21"/>
        <v/>
      </c>
      <c r="N64" s="198" t="str">
        <f t="shared" si="21"/>
        <v/>
      </c>
      <c r="O64" s="198" t="str">
        <f t="shared" si="21"/>
        <v/>
      </c>
    </row>
    <row r="65" spans="2:16 16368:16368">
      <c r="B65" s="25"/>
      <c r="C65" s="25"/>
      <c r="D65" s="25"/>
      <c r="E65" s="34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6 16368:16368">
      <c r="B66" s="25" t="s">
        <v>1</v>
      </c>
      <c r="C66" s="148" t="s">
        <v>153</v>
      </c>
      <c r="D66" s="199">
        <f>IF('Income Statement Historic'!D14&lt;&gt;"",'Income Statement Historic'!D14, "")</f>
        <v>13910</v>
      </c>
      <c r="E66" s="200">
        <f>IF('Income Statement Historic'!C14&lt;&gt;"",'Income Statement Historic'!C14, "")</f>
        <v>10129</v>
      </c>
      <c r="F66" s="199">
        <f ca="1">IF(F64="","",F18)</f>
        <v>15774.84272516545</v>
      </c>
      <c r="G66" s="199">
        <f t="shared" ref="G66:O66" ca="1" si="22">IF(G64="","",G18)</f>
        <v>16819.682302256882</v>
      </c>
      <c r="H66" s="199">
        <f t="shared" ca="1" si="22"/>
        <v>18036.629671444698</v>
      </c>
      <c r="I66" s="199" t="str">
        <f t="shared" si="22"/>
        <v/>
      </c>
      <c r="J66" s="199" t="str">
        <f t="shared" si="22"/>
        <v/>
      </c>
      <c r="K66" s="199" t="str">
        <f t="shared" si="22"/>
        <v/>
      </c>
      <c r="L66" s="199" t="str">
        <f t="shared" si="22"/>
        <v/>
      </c>
      <c r="M66" s="199" t="str">
        <f t="shared" si="22"/>
        <v/>
      </c>
      <c r="N66" s="199" t="str">
        <f t="shared" si="22"/>
        <v/>
      </c>
      <c r="O66" s="199" t="str">
        <f t="shared" si="22"/>
        <v/>
      </c>
    </row>
    <row r="67" spans="2:16 16368:16368">
      <c r="B67" s="25" t="str">
        <f>"Taxes @ "&amp;TEXT(Tax_Rate,"0.0%")</f>
        <v>Taxes @ 30%</v>
      </c>
      <c r="C67" s="148" t="s">
        <v>153</v>
      </c>
      <c r="D67" s="199">
        <f>IF(D64="","",-D66*Tax_Rate)</f>
        <v>-4173</v>
      </c>
      <c r="E67" s="200">
        <f>IF(E64="","",-E66*Tax_Rate)</f>
        <v>-3038.7</v>
      </c>
      <c r="F67" s="199">
        <f ca="1">IF(F64="","",-F66*F34)</f>
        <v>-4732.4528175496353</v>
      </c>
      <c r="G67" s="199">
        <f t="shared" ref="G67:O67" ca="1" si="23">IF(G64="","",-G66*G34)</f>
        <v>-5045.9046906770645</v>
      </c>
      <c r="H67" s="199">
        <f t="shared" ca="1" si="23"/>
        <v>-5410.9889014334094</v>
      </c>
      <c r="I67" s="199" t="str">
        <f t="shared" si="23"/>
        <v/>
      </c>
      <c r="J67" s="199" t="str">
        <f t="shared" si="23"/>
        <v/>
      </c>
      <c r="K67" s="199" t="str">
        <f t="shared" si="23"/>
        <v/>
      </c>
      <c r="L67" s="199" t="str">
        <f t="shared" si="23"/>
        <v/>
      </c>
      <c r="M67" s="199" t="str">
        <f t="shared" si="23"/>
        <v/>
      </c>
      <c r="N67" s="199" t="str">
        <f t="shared" si="23"/>
        <v/>
      </c>
      <c r="O67" s="199" t="str">
        <f t="shared" si="23"/>
        <v/>
      </c>
    </row>
    <row r="68" spans="2:16 16368:16368">
      <c r="B68" s="201" t="s">
        <v>2</v>
      </c>
      <c r="C68" s="202" t="s">
        <v>153</v>
      </c>
      <c r="D68" s="203">
        <f>IF(SUM(D66:D67)=0,"",SUM(D66:D67))</f>
        <v>9737</v>
      </c>
      <c r="E68" s="204">
        <f>IF(SUM(E66:E67)=0,"",SUM(E66:E67))</f>
        <v>7090.3</v>
      </c>
      <c r="F68" s="203">
        <f ca="1">IF(SUM(F66:F67)=0,"",SUM(F66:F67))</f>
        <v>11042.389907615816</v>
      </c>
      <c r="G68" s="203">
        <f ca="1">IF(SUM(G66:G67)=0,"",SUM(G66:G67))</f>
        <v>11773.777611579819</v>
      </c>
      <c r="H68" s="203">
        <f ca="1">IF(SUM(H66:H67)=0,"",SUM(H66:H67))</f>
        <v>12625.640770011289</v>
      </c>
      <c r="I68" s="203" t="str">
        <f t="shared" ref="I68:P68" si="24">IF(SUM(I66:I67)=0,"",SUM(I66:I67))</f>
        <v/>
      </c>
      <c r="J68" s="203" t="str">
        <f t="shared" si="24"/>
        <v/>
      </c>
      <c r="K68" s="203" t="str">
        <f t="shared" si="24"/>
        <v/>
      </c>
      <c r="L68" s="203" t="str">
        <f t="shared" si="24"/>
        <v/>
      </c>
      <c r="M68" s="203" t="str">
        <f t="shared" si="24"/>
        <v/>
      </c>
      <c r="N68" s="203" t="str">
        <f t="shared" si="24"/>
        <v/>
      </c>
      <c r="O68" s="203" t="str">
        <f t="shared" si="24"/>
        <v/>
      </c>
      <c r="P68" s="2" t="str">
        <f t="shared" si="24"/>
        <v/>
      </c>
    </row>
    <row r="69" spans="2:16 16368:16368">
      <c r="B69" s="25"/>
      <c r="C69" s="148"/>
      <c r="D69" s="199"/>
      <c r="E69" s="200"/>
      <c r="F69" s="199"/>
      <c r="G69" s="199"/>
      <c r="H69" s="199"/>
      <c r="I69" s="199"/>
      <c r="J69" s="199"/>
      <c r="K69" s="199"/>
      <c r="L69" s="199"/>
      <c r="M69" s="199"/>
      <c r="N69" s="199"/>
      <c r="O69" s="199"/>
    </row>
    <row r="70" spans="2:16 16368:16368">
      <c r="B70" s="25" t="s">
        <v>3</v>
      </c>
      <c r="C70" s="148" t="s">
        <v>153</v>
      </c>
      <c r="D70" s="199">
        <f ca="1">D83</f>
        <v>-7163</v>
      </c>
      <c r="E70" s="200">
        <f t="shared" ref="E70:O70" ca="1" si="25">E83</f>
        <v>-8899</v>
      </c>
      <c r="F70" s="199">
        <f t="shared" ca="1" si="25"/>
        <v>-9165.9699999999993</v>
      </c>
      <c r="G70" s="199">
        <f t="shared" ca="1" si="25"/>
        <v>-9440.9490999999998</v>
      </c>
      <c r="H70" s="199">
        <f t="shared" ca="1" si="25"/>
        <v>-9724.1775730000008</v>
      </c>
      <c r="I70" s="199" t="str">
        <f t="shared" ca="1" si="25"/>
        <v/>
      </c>
      <c r="J70" s="199" t="str">
        <f t="shared" ca="1" si="25"/>
        <v/>
      </c>
      <c r="K70" s="199" t="str">
        <f t="shared" ca="1" si="25"/>
        <v/>
      </c>
      <c r="L70" s="199" t="str">
        <f t="shared" ca="1" si="25"/>
        <v/>
      </c>
      <c r="M70" s="199" t="str">
        <f t="shared" ca="1" si="25"/>
        <v/>
      </c>
      <c r="N70" s="199" t="str">
        <f t="shared" ca="1" si="25"/>
        <v/>
      </c>
      <c r="O70" s="199" t="str">
        <f t="shared" ca="1" si="25"/>
        <v/>
      </c>
    </row>
    <row r="71" spans="2:16 16368:16368">
      <c r="B71" s="25" t="s">
        <v>4</v>
      </c>
      <c r="C71" s="148" t="s">
        <v>153</v>
      </c>
      <c r="D71" s="199">
        <f ca="1">D32</f>
        <v>3747</v>
      </c>
      <c r="E71" s="200">
        <f t="shared" ref="E71:O71" ca="1" si="26">E32</f>
        <v>4667</v>
      </c>
      <c r="F71" s="199">
        <f t="shared" ca="1" si="26"/>
        <v>5632.9396725001388</v>
      </c>
      <c r="G71" s="199">
        <f t="shared" ca="1" si="26"/>
        <v>6627.8575351752816</v>
      </c>
      <c r="H71" s="199">
        <f t="shared" ca="1" si="26"/>
        <v>7652.6229337306795</v>
      </c>
      <c r="I71" s="199" t="str">
        <f t="shared" si="26"/>
        <v/>
      </c>
      <c r="J71" s="199" t="str">
        <f t="shared" si="26"/>
        <v/>
      </c>
      <c r="K71" s="199" t="str">
        <f t="shared" si="26"/>
        <v/>
      </c>
      <c r="L71" s="199" t="str">
        <f t="shared" si="26"/>
        <v/>
      </c>
      <c r="M71" s="199" t="str">
        <f t="shared" si="26"/>
        <v/>
      </c>
      <c r="N71" s="199" t="str">
        <f t="shared" si="26"/>
        <v/>
      </c>
      <c r="O71" s="199" t="str">
        <f t="shared" si="26"/>
        <v/>
      </c>
    </row>
    <row r="72" spans="2:16 16368:16368">
      <c r="B72" s="25" t="s">
        <v>152</v>
      </c>
      <c r="C72" s="148" t="s">
        <v>153</v>
      </c>
      <c r="D72" s="199">
        <f>IF(D84&lt;&gt;"",-D84,"")</f>
        <v>-2978</v>
      </c>
      <c r="E72" s="200">
        <f t="shared" ref="E72:O72" si="27">IF(E84&lt;&gt;"",-E84,"")</f>
        <v>-2190</v>
      </c>
      <c r="F72" s="199">
        <f t="shared" si="27"/>
        <v>-2233.8000000000002</v>
      </c>
      <c r="G72" s="199">
        <f t="shared" si="27"/>
        <v>-2278.4760000000001</v>
      </c>
      <c r="H72" s="199">
        <f t="shared" si="27"/>
        <v>-2324.0455200000001</v>
      </c>
      <c r="I72" s="199" t="str">
        <f t="shared" si="27"/>
        <v/>
      </c>
      <c r="J72" s="199" t="str">
        <f t="shared" si="27"/>
        <v/>
      </c>
      <c r="K72" s="199" t="str">
        <f t="shared" si="27"/>
        <v/>
      </c>
      <c r="L72" s="199" t="str">
        <f t="shared" si="27"/>
        <v/>
      </c>
      <c r="M72" s="199" t="str">
        <f t="shared" si="27"/>
        <v/>
      </c>
      <c r="N72" s="199" t="str">
        <f t="shared" si="27"/>
        <v/>
      </c>
      <c r="O72" s="199" t="str">
        <f t="shared" si="27"/>
        <v/>
      </c>
    </row>
    <row r="73" spans="2:16 16368:16368">
      <c r="B73" s="25"/>
      <c r="C73" s="148"/>
      <c r="D73" s="199"/>
      <c r="E73" s="200"/>
      <c r="F73" s="199"/>
      <c r="G73" s="205"/>
      <c r="H73" s="199"/>
      <c r="I73" s="199"/>
      <c r="J73" s="199"/>
      <c r="K73" s="199"/>
      <c r="L73" s="199"/>
      <c r="M73" s="199"/>
      <c r="N73" s="199"/>
      <c r="O73" s="199"/>
    </row>
    <row r="74" spans="2:16 16368:16368" ht="17" thickBot="1">
      <c r="B74" s="206" t="s">
        <v>5</v>
      </c>
      <c r="C74" s="207" t="s">
        <v>153</v>
      </c>
      <c r="D74" s="208">
        <f ca="1">IF(SUM(D68:D72)=0,"",SUM(D68:D72))</f>
        <v>3343</v>
      </c>
      <c r="E74" s="209">
        <f t="shared" ref="E74:O74" ca="1" si="28">IF(SUM(E68:E72)=0,"",SUM(E68:E72))</f>
        <v>668.30000000000018</v>
      </c>
      <c r="F74" s="208">
        <f t="shared" ca="1" si="28"/>
        <v>5275.5595801159552</v>
      </c>
      <c r="G74" s="210">
        <f t="shared" ca="1" si="28"/>
        <v>6682.2100467551008</v>
      </c>
      <c r="H74" s="208">
        <f ca="1">IF(SUM(H68:H72)=0,"",SUM(H68:H72))</f>
        <v>8230.0406107419676</v>
      </c>
      <c r="I74" s="208" t="str">
        <f t="shared" ca="1" si="28"/>
        <v/>
      </c>
      <c r="J74" s="208" t="str">
        <f t="shared" ca="1" si="28"/>
        <v/>
      </c>
      <c r="K74" s="208" t="str">
        <f t="shared" ca="1" si="28"/>
        <v/>
      </c>
      <c r="L74" s="208" t="str">
        <f t="shared" ca="1" si="28"/>
        <v/>
      </c>
      <c r="M74" s="208" t="str">
        <f t="shared" ca="1" si="28"/>
        <v/>
      </c>
      <c r="N74" s="208" t="str">
        <f t="shared" ca="1" si="28"/>
        <v/>
      </c>
      <c r="O74" s="208" t="str">
        <f t="shared" ca="1" si="28"/>
        <v/>
      </c>
    </row>
    <row r="75" spans="2:16 16368:16368" ht="17" thickTop="1">
      <c r="B75" s="25"/>
      <c r="C75" s="148"/>
      <c r="D75" s="199"/>
      <c r="E75" s="200"/>
      <c r="F75" s="199"/>
      <c r="G75" s="199"/>
      <c r="H75" s="199"/>
      <c r="I75" s="199"/>
      <c r="J75" s="199"/>
      <c r="K75" s="199"/>
      <c r="L75" s="199"/>
      <c r="M75" s="199"/>
      <c r="N75" s="199"/>
      <c r="O75" s="199"/>
    </row>
    <row r="76" spans="2:16 16368:16368">
      <c r="B76" s="25" t="s">
        <v>6</v>
      </c>
      <c r="C76" s="148" t="s">
        <v>154</v>
      </c>
      <c r="D76" s="199"/>
      <c r="E76" s="200"/>
      <c r="F76" s="199">
        <f t="shared" ref="F76:O76" ca="1" si="29">IF(F74&lt;&gt;"",E76+1, "")</f>
        <v>1</v>
      </c>
      <c r="G76" s="199">
        <f t="shared" ca="1" si="29"/>
        <v>2</v>
      </c>
      <c r="H76" s="199">
        <f ca="1">IF(H74&lt;&gt;"",G76+1, "")</f>
        <v>3</v>
      </c>
      <c r="I76" s="199" t="str">
        <f t="shared" ca="1" si="29"/>
        <v/>
      </c>
      <c r="J76" s="199" t="str">
        <f t="shared" ca="1" si="29"/>
        <v/>
      </c>
      <c r="K76" s="199" t="str">
        <f t="shared" ca="1" si="29"/>
        <v/>
      </c>
      <c r="L76" s="199" t="str">
        <f t="shared" ca="1" si="29"/>
        <v/>
      </c>
      <c r="M76" s="199" t="str">
        <f t="shared" ca="1" si="29"/>
        <v/>
      </c>
      <c r="N76" s="199" t="str">
        <f t="shared" ca="1" si="29"/>
        <v/>
      </c>
      <c r="O76" s="199" t="str">
        <f t="shared" ca="1" si="29"/>
        <v/>
      </c>
      <c r="XEN76" s="20"/>
    </row>
    <row r="77" spans="2:16 16368:16368">
      <c r="B77" s="25" t="s">
        <v>7</v>
      </c>
      <c r="C77" s="148" t="s">
        <v>155</v>
      </c>
      <c r="D77" s="199"/>
      <c r="E77" s="200"/>
      <c r="F77" s="211">
        <f>IF(F64&lt;&gt;"",WACC,"")</f>
        <v>6.3238287349062824E-2</v>
      </c>
      <c r="G77" s="211">
        <f t="shared" ref="G77:O77" si="30">IF(G64&lt;&gt;"",WACC,"")</f>
        <v>6.3238287349062824E-2</v>
      </c>
      <c r="H77" s="211">
        <f t="shared" si="30"/>
        <v>6.3238287349062824E-2</v>
      </c>
      <c r="I77" s="211" t="str">
        <f t="shared" si="30"/>
        <v/>
      </c>
      <c r="J77" s="211" t="str">
        <f t="shared" si="30"/>
        <v/>
      </c>
      <c r="K77" s="211" t="str">
        <f t="shared" si="30"/>
        <v/>
      </c>
      <c r="L77" s="211" t="str">
        <f t="shared" si="30"/>
        <v/>
      </c>
      <c r="M77" s="211" t="str">
        <f t="shared" si="30"/>
        <v/>
      </c>
      <c r="N77" s="211" t="str">
        <f t="shared" si="30"/>
        <v/>
      </c>
      <c r="O77" s="211" t="str">
        <f t="shared" si="30"/>
        <v/>
      </c>
    </row>
    <row r="78" spans="2:16 16368:16368">
      <c r="B78" s="25"/>
      <c r="C78" s="148"/>
      <c r="D78" s="199"/>
      <c r="E78" s="200"/>
      <c r="F78" s="199"/>
      <c r="G78" s="199"/>
      <c r="H78" s="199"/>
      <c r="I78" s="199"/>
      <c r="J78" s="199"/>
      <c r="K78" s="199"/>
      <c r="L78" s="199"/>
      <c r="M78" s="199"/>
      <c r="N78" s="199"/>
      <c r="O78" s="199"/>
    </row>
    <row r="79" spans="2:16 16368:16368" ht="17" thickBot="1">
      <c r="B79" s="212" t="s">
        <v>8</v>
      </c>
      <c r="C79" s="213" t="s">
        <v>153</v>
      </c>
      <c r="D79" s="214"/>
      <c r="E79" s="215"/>
      <c r="F79" s="214">
        <f ca="1">IF(F64&lt;&gt;"",F74/(1+F77)^F76,"")</f>
        <v>4961.7848067429313</v>
      </c>
      <c r="G79" s="214">
        <f t="shared" ref="G79:O79" ca="1" si="31">IF(G64&lt;&gt;"",G74/(1+G77)^G76,"")</f>
        <v>5910.9720878564794</v>
      </c>
      <c r="H79" s="214">
        <f t="shared" ca="1" si="31"/>
        <v>6847.1549591427893</v>
      </c>
      <c r="I79" s="214" t="str">
        <f t="shared" si="31"/>
        <v/>
      </c>
      <c r="J79" s="214" t="str">
        <f t="shared" si="31"/>
        <v/>
      </c>
      <c r="K79" s="214" t="str">
        <f t="shared" si="31"/>
        <v/>
      </c>
      <c r="L79" s="214" t="str">
        <f t="shared" si="31"/>
        <v/>
      </c>
      <c r="M79" s="214" t="str">
        <f t="shared" si="31"/>
        <v/>
      </c>
      <c r="N79" s="214" t="str">
        <f t="shared" si="31"/>
        <v/>
      </c>
      <c r="O79" s="214" t="str">
        <f t="shared" si="31"/>
        <v/>
      </c>
    </row>
    <row r="80" spans="2:16 16368:16368" ht="17" thickTop="1">
      <c r="E80" s="35"/>
    </row>
    <row r="81" spans="2:16384">
      <c r="E81" s="35"/>
    </row>
    <row r="82" spans="2:16384">
      <c r="B82" s="75" t="s">
        <v>161</v>
      </c>
      <c r="C82" s="28" t="s">
        <v>151</v>
      </c>
      <c r="D82" s="29"/>
      <c r="E82" s="36"/>
      <c r="F82" s="25"/>
      <c r="G82" s="25"/>
      <c r="H82" s="25"/>
      <c r="I82" s="25"/>
      <c r="J82" s="25"/>
      <c r="K82" s="25"/>
      <c r="L82" s="25"/>
    </row>
    <row r="83" spans="2:16384">
      <c r="B83" s="43" t="s">
        <v>72</v>
      </c>
      <c r="C83" s="44" t="s">
        <v>154</v>
      </c>
      <c r="D83" s="45">
        <f ca="1">IF(D64&lt;&gt;"",-OFFSET('PPE &amp; Depreciation Schedule'!D7,COLUMN()-COLUMN($D$83),0), "")</f>
        <v>-7163</v>
      </c>
      <c r="E83" s="46">
        <f ca="1">IF(E64&lt;&gt;"",-OFFSET('PPE &amp; Depreciation Schedule'!E7,COLUMN()-COLUMN($D$83),0), "")</f>
        <v>-8899</v>
      </c>
      <c r="F83" s="45">
        <f ca="1">IF(F64&lt;&gt;"",-OFFSET('PPE &amp; Depreciation Schedule'!F7,COLUMN()-COLUMN($D$83),0), "")</f>
        <v>-9165.9699999999993</v>
      </c>
      <c r="G83" s="45">
        <f ca="1">IF(G64&lt;&gt;"",-OFFSET('PPE &amp; Depreciation Schedule'!G7,COLUMN()-COLUMN($D$83),0), "")</f>
        <v>-9440.9490999999998</v>
      </c>
      <c r="H83" s="45">
        <f ca="1">IF(H64&lt;&gt;"",-OFFSET('PPE &amp; Depreciation Schedule'!H7,COLUMN()-COLUMN($D$83),0), "")</f>
        <v>-9724.1775730000008</v>
      </c>
      <c r="I83" s="45" t="str">
        <f ca="1">IF(I64&lt;&gt;"",-OFFSET('PPE &amp; Depreciation Schedule'!I7,COLUMN()-COLUMN($D$83),0), "")</f>
        <v/>
      </c>
      <c r="J83" s="45" t="str">
        <f ca="1">IF(J64&lt;&gt;"",-OFFSET('PPE &amp; Depreciation Schedule'!J7,COLUMN()-COLUMN($D$83),0), "")</f>
        <v/>
      </c>
      <c r="K83" s="45" t="str">
        <f ca="1">IF(K64&lt;&gt;"",-OFFSET('PPE &amp; Depreciation Schedule'!K7,COLUMN()-COLUMN($D$83),0), "")</f>
        <v/>
      </c>
      <c r="L83" s="45" t="str">
        <f ca="1">IF(L64&lt;&gt;"",-OFFSET('PPE &amp; Depreciation Schedule'!L7,COLUMN()-COLUMN($D$83),0), "")</f>
        <v/>
      </c>
      <c r="M83" s="45" t="str">
        <f ca="1">IF(M64&lt;&gt;"",-OFFSET('PPE &amp; Depreciation Schedule'!M7,COLUMN()-COLUMN($D$83),0), "")</f>
        <v/>
      </c>
      <c r="N83" s="45" t="str">
        <f ca="1">IF(N64&lt;&gt;"",-OFFSET('PPE &amp; Depreciation Schedule'!N7,COLUMN()-COLUMN($D$83),0), "")</f>
        <v/>
      </c>
      <c r="O83" s="45" t="str">
        <f ca="1">IF(O64&lt;&gt;"",-OFFSET('PPE &amp; Depreciation Schedule'!O7,COLUMN()-COLUMN($D$83),0), "")</f>
        <v/>
      </c>
    </row>
    <row r="84" spans="2:16384">
      <c r="B84" s="43" t="s">
        <v>171</v>
      </c>
      <c r="C84" s="44" t="s">
        <v>153</v>
      </c>
      <c r="D84" s="47">
        <f>IF('Balance Sheet Historic'!D44&lt;&gt;"",'Balance Sheet Historic'!D44, "")</f>
        <v>2978</v>
      </c>
      <c r="E84" s="48">
        <f>IF('Balance Sheet Historic'!C44&lt;&gt;"",'Balance Sheet Historic'!C44,"""")</f>
        <v>2190</v>
      </c>
      <c r="F84" s="267">
        <f>IF(F64&lt;&gt;"",E84*(1+F85),"")</f>
        <v>2233.8000000000002</v>
      </c>
      <c r="G84" s="267">
        <f t="shared" ref="G84:O84" si="32">IF(G64&lt;&gt;"",F84*(1+G85),"")</f>
        <v>2278.4760000000001</v>
      </c>
      <c r="H84" s="267">
        <f t="shared" si="32"/>
        <v>2324.0455200000001</v>
      </c>
      <c r="I84" s="267" t="str">
        <f t="shared" si="32"/>
        <v/>
      </c>
      <c r="J84" s="267" t="str">
        <f t="shared" si="32"/>
        <v/>
      </c>
      <c r="K84" s="267" t="str">
        <f t="shared" si="32"/>
        <v/>
      </c>
      <c r="L84" s="267" t="str">
        <f t="shared" si="32"/>
        <v/>
      </c>
      <c r="M84" s="267" t="str">
        <f t="shared" si="32"/>
        <v/>
      </c>
      <c r="N84" s="267" t="str">
        <f t="shared" si="32"/>
        <v/>
      </c>
      <c r="O84" s="267" t="str">
        <f t="shared" si="32"/>
        <v/>
      </c>
    </row>
    <row r="85" spans="2:16384">
      <c r="B85" s="43" t="s">
        <v>119</v>
      </c>
      <c r="C85" s="44" t="s">
        <v>155</v>
      </c>
      <c r="D85" s="49"/>
      <c r="E85" s="50"/>
      <c r="F85" s="51">
        <f t="shared" ref="F85:O85" si="33">IF(F64&lt;&gt;"",Growth_RATE_ONWC,"")</f>
        <v>0.02</v>
      </c>
      <c r="G85" s="51">
        <f t="shared" si="33"/>
        <v>0.02</v>
      </c>
      <c r="H85" s="51">
        <f t="shared" si="33"/>
        <v>0.02</v>
      </c>
      <c r="I85" s="51" t="str">
        <f t="shared" si="33"/>
        <v/>
      </c>
      <c r="J85" s="51" t="str">
        <f t="shared" si="33"/>
        <v/>
      </c>
      <c r="K85" s="51" t="str">
        <f t="shared" si="33"/>
        <v/>
      </c>
      <c r="L85" s="51" t="str">
        <f t="shared" si="33"/>
        <v/>
      </c>
      <c r="M85" s="51" t="str">
        <f t="shared" si="33"/>
        <v/>
      </c>
      <c r="N85" s="51" t="str">
        <f t="shared" si="33"/>
        <v/>
      </c>
      <c r="O85" s="51" t="str">
        <f t="shared" si="33"/>
        <v/>
      </c>
    </row>
    <row r="86" spans="2:16384">
      <c r="B86" s="30"/>
      <c r="C86" s="28"/>
      <c r="D86" s="29"/>
      <c r="E86" s="29"/>
      <c r="F86" s="32"/>
      <c r="G86" s="32"/>
      <c r="H86" s="32"/>
      <c r="I86" s="32"/>
      <c r="J86" s="32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89" spans="2:16384" ht="21" thickBot="1">
      <c r="B89" s="22" t="s">
        <v>257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  <c r="ADY89" s="21"/>
      <c r="ADZ89" s="21"/>
      <c r="AEA89" s="21"/>
      <c r="AEB89" s="21"/>
      <c r="AEC89" s="21"/>
      <c r="AED89" s="21"/>
      <c r="AEE89" s="21"/>
      <c r="AEF89" s="21"/>
      <c r="AEG89" s="21"/>
      <c r="AEH89" s="21"/>
      <c r="AEI89" s="21"/>
      <c r="AEJ89" s="21"/>
      <c r="AEK89" s="21"/>
      <c r="AEL89" s="21"/>
      <c r="AEM89" s="21"/>
      <c r="AEN89" s="21"/>
      <c r="AEO89" s="21"/>
      <c r="AEP89" s="21"/>
      <c r="AEQ89" s="21"/>
      <c r="AER89" s="21"/>
      <c r="AES89" s="21"/>
      <c r="AET89" s="21"/>
      <c r="AEU89" s="21"/>
      <c r="AEV89" s="21"/>
      <c r="AEW89" s="21"/>
      <c r="AEX89" s="21"/>
      <c r="AEY89" s="21"/>
      <c r="AEZ89" s="21"/>
      <c r="AFA89" s="21"/>
      <c r="AFB89" s="21"/>
      <c r="AFC89" s="21"/>
      <c r="AFD89" s="21"/>
      <c r="AFE89" s="21"/>
      <c r="AFF89" s="21"/>
      <c r="AFG89" s="21"/>
      <c r="AFH89" s="21"/>
      <c r="AFI89" s="21"/>
      <c r="AFJ89" s="21"/>
      <c r="AFK89" s="21"/>
      <c r="AFL89" s="21"/>
      <c r="AFM89" s="21"/>
      <c r="AFN89" s="21"/>
      <c r="AFO89" s="21"/>
      <c r="AFP89" s="21"/>
      <c r="AFQ89" s="21"/>
      <c r="AFR89" s="21"/>
      <c r="AFS89" s="21"/>
      <c r="AFT89" s="21"/>
      <c r="AFU89" s="21"/>
      <c r="AFV89" s="21"/>
      <c r="AFW89" s="21"/>
      <c r="AFX89" s="21"/>
      <c r="AFY89" s="21"/>
      <c r="AFZ89" s="21"/>
      <c r="AGA89" s="21"/>
      <c r="AGB89" s="21"/>
      <c r="AGC89" s="21"/>
      <c r="AGD89" s="21"/>
      <c r="AGE89" s="21"/>
      <c r="AGF89" s="21"/>
      <c r="AGG89" s="21"/>
      <c r="AGH89" s="21"/>
      <c r="AGI89" s="21"/>
      <c r="AGJ89" s="21"/>
      <c r="AGK89" s="21"/>
      <c r="AGL89" s="21"/>
      <c r="AGM89" s="21"/>
      <c r="AGN89" s="21"/>
      <c r="AGO89" s="21"/>
      <c r="AGP89" s="21"/>
      <c r="AGQ89" s="21"/>
      <c r="AGR89" s="21"/>
      <c r="AGS89" s="21"/>
      <c r="AGT89" s="21"/>
      <c r="AGU89" s="21"/>
      <c r="AGV89" s="21"/>
      <c r="AGW89" s="21"/>
      <c r="AGX89" s="21"/>
      <c r="AGY89" s="21"/>
      <c r="AGZ89" s="21"/>
      <c r="AHA89" s="21"/>
      <c r="AHB89" s="21"/>
      <c r="AHC89" s="21"/>
      <c r="AHD89" s="21"/>
      <c r="AHE89" s="21"/>
      <c r="AHF89" s="21"/>
      <c r="AHG89" s="21"/>
      <c r="AHH89" s="21"/>
      <c r="AHI89" s="21"/>
      <c r="AHJ89" s="21"/>
      <c r="AHK89" s="21"/>
      <c r="AHL89" s="21"/>
      <c r="AHM89" s="21"/>
      <c r="AHN89" s="21"/>
      <c r="AHO89" s="21"/>
      <c r="AHP89" s="21"/>
      <c r="AHQ89" s="21"/>
      <c r="AHR89" s="21"/>
      <c r="AHS89" s="21"/>
      <c r="AHT89" s="21"/>
      <c r="AHU89" s="21"/>
      <c r="AHV89" s="21"/>
      <c r="AHW89" s="21"/>
      <c r="AHX89" s="21"/>
      <c r="AHY89" s="21"/>
      <c r="AHZ89" s="21"/>
      <c r="AIA89" s="21"/>
      <c r="AIB89" s="21"/>
      <c r="AIC89" s="21"/>
      <c r="AID89" s="21"/>
      <c r="AIE89" s="21"/>
      <c r="AIF89" s="21"/>
      <c r="AIG89" s="21"/>
      <c r="AIH89" s="21"/>
      <c r="AII89" s="21"/>
      <c r="AIJ89" s="21"/>
      <c r="AIK89" s="21"/>
      <c r="AIL89" s="21"/>
      <c r="AIM89" s="21"/>
      <c r="AIN89" s="21"/>
      <c r="AIO89" s="21"/>
      <c r="AIP89" s="21"/>
      <c r="AIQ89" s="21"/>
      <c r="AIR89" s="21"/>
      <c r="AIS89" s="21"/>
      <c r="AIT89" s="21"/>
      <c r="AIU89" s="21"/>
      <c r="AIV89" s="21"/>
      <c r="AIW89" s="21"/>
      <c r="AIX89" s="21"/>
      <c r="AIY89" s="21"/>
      <c r="AIZ89" s="21"/>
      <c r="AJA89" s="21"/>
      <c r="AJB89" s="21"/>
      <c r="AJC89" s="21"/>
      <c r="AJD89" s="21"/>
      <c r="AJE89" s="21"/>
      <c r="AJF89" s="21"/>
      <c r="AJG89" s="21"/>
      <c r="AJH89" s="21"/>
      <c r="AJI89" s="21"/>
      <c r="AJJ89" s="21"/>
      <c r="AJK89" s="21"/>
      <c r="AJL89" s="21"/>
      <c r="AJM89" s="21"/>
      <c r="AJN89" s="21"/>
      <c r="AJO89" s="21"/>
      <c r="AJP89" s="21"/>
      <c r="AJQ89" s="21"/>
      <c r="AJR89" s="21"/>
      <c r="AJS89" s="21"/>
      <c r="AJT89" s="21"/>
      <c r="AJU89" s="21"/>
      <c r="AJV89" s="21"/>
      <c r="AJW89" s="21"/>
      <c r="AJX89" s="21"/>
      <c r="AJY89" s="21"/>
      <c r="AJZ89" s="21"/>
      <c r="AKA89" s="21"/>
      <c r="AKB89" s="21"/>
      <c r="AKC89" s="21"/>
      <c r="AKD89" s="21"/>
      <c r="AKE89" s="21"/>
      <c r="AKF89" s="21"/>
      <c r="AKG89" s="21"/>
      <c r="AKH89" s="21"/>
      <c r="AKI89" s="21"/>
      <c r="AKJ89" s="21"/>
      <c r="AKK89" s="21"/>
      <c r="AKL89" s="21"/>
      <c r="AKM89" s="21"/>
      <c r="AKN89" s="21"/>
      <c r="AKO89" s="21"/>
      <c r="AKP89" s="21"/>
      <c r="AKQ89" s="21"/>
      <c r="AKR89" s="21"/>
      <c r="AKS89" s="21"/>
      <c r="AKT89" s="21"/>
      <c r="AKU89" s="21"/>
      <c r="AKV89" s="21"/>
      <c r="AKW89" s="21"/>
      <c r="AKX89" s="21"/>
      <c r="AKY89" s="21"/>
      <c r="AKZ89" s="21"/>
      <c r="ALA89" s="21"/>
      <c r="ALB89" s="21"/>
      <c r="ALC89" s="21"/>
      <c r="ALD89" s="21"/>
      <c r="ALE89" s="21"/>
      <c r="ALF89" s="21"/>
      <c r="ALG89" s="21"/>
      <c r="ALH89" s="21"/>
      <c r="ALI89" s="21"/>
      <c r="ALJ89" s="21"/>
      <c r="ALK89" s="21"/>
      <c r="ALL89" s="21"/>
      <c r="ALM89" s="21"/>
      <c r="ALN89" s="21"/>
      <c r="ALO89" s="21"/>
      <c r="ALP89" s="21"/>
      <c r="ALQ89" s="21"/>
      <c r="ALR89" s="21"/>
      <c r="ALS89" s="21"/>
      <c r="ALT89" s="21"/>
      <c r="ALU89" s="21"/>
      <c r="ALV89" s="21"/>
      <c r="ALW89" s="21"/>
      <c r="ALX89" s="21"/>
      <c r="ALY89" s="21"/>
      <c r="ALZ89" s="21"/>
      <c r="AMA89" s="21"/>
      <c r="AMB89" s="21"/>
      <c r="AMC89" s="21"/>
      <c r="AMD89" s="21"/>
      <c r="AME89" s="21"/>
      <c r="AMF89" s="21"/>
      <c r="AMG89" s="21"/>
      <c r="AMH89" s="21"/>
      <c r="AMI89" s="21"/>
      <c r="AMJ89" s="21"/>
      <c r="AMK89" s="21"/>
      <c r="AML89" s="21"/>
      <c r="AMM89" s="21"/>
      <c r="AMN89" s="21"/>
      <c r="AMO89" s="21"/>
      <c r="AMP89" s="21"/>
      <c r="AMQ89" s="21"/>
      <c r="AMR89" s="21"/>
      <c r="AMS89" s="21"/>
      <c r="AMT89" s="21"/>
      <c r="AMU89" s="21"/>
      <c r="AMV89" s="21"/>
      <c r="AMW89" s="21"/>
      <c r="AMX89" s="21"/>
      <c r="AMY89" s="21"/>
      <c r="AMZ89" s="21"/>
      <c r="ANA89" s="21"/>
      <c r="ANB89" s="21"/>
      <c r="ANC89" s="21"/>
      <c r="AND89" s="21"/>
      <c r="ANE89" s="21"/>
      <c r="ANF89" s="21"/>
      <c r="ANG89" s="21"/>
      <c r="ANH89" s="21"/>
      <c r="ANI89" s="21"/>
      <c r="ANJ89" s="21"/>
      <c r="ANK89" s="21"/>
      <c r="ANL89" s="21"/>
      <c r="ANM89" s="21"/>
      <c r="ANN89" s="21"/>
      <c r="ANO89" s="21"/>
      <c r="ANP89" s="21"/>
      <c r="ANQ89" s="21"/>
      <c r="ANR89" s="21"/>
      <c r="ANS89" s="21"/>
      <c r="ANT89" s="21"/>
      <c r="ANU89" s="21"/>
      <c r="ANV89" s="21"/>
      <c r="ANW89" s="21"/>
      <c r="ANX89" s="21"/>
      <c r="ANY89" s="21"/>
      <c r="ANZ89" s="21"/>
      <c r="AOA89" s="21"/>
      <c r="AOB89" s="21"/>
      <c r="AOC89" s="21"/>
      <c r="AOD89" s="21"/>
      <c r="AOE89" s="21"/>
      <c r="AOF89" s="21"/>
      <c r="AOG89" s="21"/>
      <c r="AOH89" s="21"/>
      <c r="AOI89" s="21"/>
      <c r="AOJ89" s="21"/>
      <c r="AOK89" s="21"/>
      <c r="AOL89" s="21"/>
      <c r="AOM89" s="21"/>
      <c r="AON89" s="21"/>
      <c r="AOO89" s="21"/>
      <c r="AOP89" s="21"/>
      <c r="AOQ89" s="21"/>
      <c r="AOR89" s="21"/>
      <c r="AOS89" s="21"/>
      <c r="AOT89" s="21"/>
      <c r="AOU89" s="21"/>
      <c r="AOV89" s="21"/>
      <c r="AOW89" s="21"/>
      <c r="AOX89" s="21"/>
      <c r="AOY89" s="21"/>
      <c r="AOZ89" s="21"/>
      <c r="APA89" s="21"/>
      <c r="APB89" s="21"/>
      <c r="APC89" s="21"/>
      <c r="APD89" s="21"/>
      <c r="APE89" s="21"/>
      <c r="APF89" s="21"/>
      <c r="APG89" s="21"/>
      <c r="APH89" s="21"/>
      <c r="API89" s="21"/>
      <c r="APJ89" s="21"/>
      <c r="APK89" s="21"/>
      <c r="APL89" s="21"/>
      <c r="APM89" s="21"/>
      <c r="APN89" s="21"/>
      <c r="APO89" s="21"/>
      <c r="APP89" s="21"/>
      <c r="APQ89" s="21"/>
      <c r="APR89" s="21"/>
      <c r="APS89" s="21"/>
      <c r="APT89" s="21"/>
      <c r="APU89" s="21"/>
      <c r="APV89" s="21"/>
      <c r="APW89" s="21"/>
      <c r="APX89" s="21"/>
      <c r="APY89" s="21"/>
      <c r="APZ89" s="21"/>
      <c r="AQA89" s="21"/>
      <c r="AQB89" s="21"/>
      <c r="AQC89" s="21"/>
      <c r="AQD89" s="21"/>
      <c r="AQE89" s="21"/>
      <c r="AQF89" s="21"/>
      <c r="AQG89" s="21"/>
      <c r="AQH89" s="21"/>
      <c r="AQI89" s="21"/>
      <c r="AQJ89" s="21"/>
      <c r="AQK89" s="21"/>
      <c r="AQL89" s="21"/>
      <c r="AQM89" s="21"/>
      <c r="AQN89" s="21"/>
      <c r="AQO89" s="21"/>
      <c r="AQP89" s="21"/>
      <c r="AQQ89" s="21"/>
      <c r="AQR89" s="21"/>
      <c r="AQS89" s="21"/>
      <c r="AQT89" s="21"/>
      <c r="AQU89" s="21"/>
      <c r="AQV89" s="21"/>
      <c r="AQW89" s="21"/>
      <c r="AQX89" s="21"/>
      <c r="AQY89" s="21"/>
      <c r="AQZ89" s="21"/>
      <c r="ARA89" s="21"/>
      <c r="ARB89" s="21"/>
      <c r="ARC89" s="21"/>
      <c r="ARD89" s="21"/>
      <c r="ARE89" s="21"/>
      <c r="ARF89" s="21"/>
      <c r="ARG89" s="21"/>
      <c r="ARH89" s="21"/>
      <c r="ARI89" s="21"/>
      <c r="ARJ89" s="21"/>
      <c r="ARK89" s="21"/>
      <c r="ARL89" s="21"/>
      <c r="ARM89" s="21"/>
      <c r="ARN89" s="21"/>
      <c r="ARO89" s="21"/>
      <c r="ARP89" s="21"/>
      <c r="ARQ89" s="21"/>
      <c r="ARR89" s="21"/>
      <c r="ARS89" s="21"/>
      <c r="ART89" s="21"/>
      <c r="ARU89" s="21"/>
      <c r="ARV89" s="21"/>
      <c r="ARW89" s="21"/>
      <c r="ARX89" s="21"/>
      <c r="ARY89" s="21"/>
      <c r="ARZ89" s="21"/>
      <c r="ASA89" s="21"/>
      <c r="ASB89" s="21"/>
      <c r="ASC89" s="21"/>
      <c r="ASD89" s="21"/>
      <c r="ASE89" s="21"/>
      <c r="ASF89" s="21"/>
      <c r="ASG89" s="21"/>
      <c r="ASH89" s="21"/>
      <c r="ASI89" s="21"/>
      <c r="ASJ89" s="21"/>
      <c r="ASK89" s="21"/>
      <c r="ASL89" s="21"/>
      <c r="ASM89" s="21"/>
      <c r="ASN89" s="21"/>
      <c r="ASO89" s="21"/>
      <c r="ASP89" s="21"/>
      <c r="ASQ89" s="21"/>
      <c r="ASR89" s="21"/>
      <c r="ASS89" s="21"/>
      <c r="AST89" s="21"/>
      <c r="ASU89" s="21"/>
      <c r="ASV89" s="21"/>
      <c r="ASW89" s="21"/>
      <c r="ASX89" s="21"/>
      <c r="ASY89" s="21"/>
      <c r="ASZ89" s="21"/>
      <c r="ATA89" s="21"/>
      <c r="ATB89" s="21"/>
      <c r="ATC89" s="21"/>
      <c r="ATD89" s="21"/>
      <c r="ATE89" s="21"/>
      <c r="ATF89" s="21"/>
      <c r="ATG89" s="21"/>
      <c r="ATH89" s="21"/>
      <c r="ATI89" s="21"/>
      <c r="ATJ89" s="21"/>
      <c r="ATK89" s="21"/>
      <c r="ATL89" s="21"/>
      <c r="ATM89" s="21"/>
      <c r="ATN89" s="21"/>
      <c r="ATO89" s="21"/>
      <c r="ATP89" s="21"/>
      <c r="ATQ89" s="21"/>
      <c r="ATR89" s="21"/>
      <c r="ATS89" s="21"/>
      <c r="ATT89" s="21"/>
      <c r="ATU89" s="21"/>
      <c r="ATV89" s="21"/>
      <c r="ATW89" s="21"/>
      <c r="ATX89" s="21"/>
      <c r="ATY89" s="21"/>
      <c r="ATZ89" s="21"/>
      <c r="AUA89" s="21"/>
      <c r="AUB89" s="21"/>
      <c r="AUC89" s="21"/>
      <c r="AUD89" s="21"/>
      <c r="AUE89" s="21"/>
      <c r="AUF89" s="21"/>
      <c r="AUG89" s="21"/>
      <c r="AUH89" s="21"/>
      <c r="AUI89" s="21"/>
      <c r="AUJ89" s="21"/>
      <c r="AUK89" s="21"/>
      <c r="AUL89" s="21"/>
      <c r="AUM89" s="21"/>
      <c r="AUN89" s="21"/>
      <c r="AUO89" s="21"/>
      <c r="AUP89" s="21"/>
      <c r="AUQ89" s="21"/>
      <c r="AUR89" s="21"/>
      <c r="AUS89" s="21"/>
      <c r="AUT89" s="21"/>
      <c r="AUU89" s="21"/>
      <c r="AUV89" s="21"/>
      <c r="AUW89" s="21"/>
      <c r="AUX89" s="21"/>
      <c r="AUY89" s="21"/>
      <c r="AUZ89" s="21"/>
      <c r="AVA89" s="21"/>
      <c r="AVB89" s="21"/>
      <c r="AVC89" s="21"/>
      <c r="AVD89" s="21"/>
      <c r="AVE89" s="21"/>
      <c r="AVF89" s="21"/>
      <c r="AVG89" s="21"/>
      <c r="AVH89" s="21"/>
      <c r="AVI89" s="21"/>
      <c r="AVJ89" s="21"/>
      <c r="AVK89" s="21"/>
      <c r="AVL89" s="21"/>
      <c r="AVM89" s="21"/>
      <c r="AVN89" s="21"/>
      <c r="AVO89" s="21"/>
      <c r="AVP89" s="21"/>
      <c r="AVQ89" s="21"/>
      <c r="AVR89" s="21"/>
      <c r="AVS89" s="21"/>
      <c r="AVT89" s="21"/>
      <c r="AVU89" s="21"/>
      <c r="AVV89" s="21"/>
      <c r="AVW89" s="21"/>
      <c r="AVX89" s="21"/>
      <c r="AVY89" s="21"/>
      <c r="AVZ89" s="21"/>
      <c r="AWA89" s="21"/>
      <c r="AWB89" s="21"/>
      <c r="AWC89" s="21"/>
      <c r="AWD89" s="21"/>
      <c r="AWE89" s="21"/>
      <c r="AWF89" s="21"/>
      <c r="AWG89" s="21"/>
      <c r="AWH89" s="21"/>
      <c r="AWI89" s="21"/>
      <c r="AWJ89" s="21"/>
      <c r="AWK89" s="21"/>
      <c r="AWL89" s="21"/>
      <c r="AWM89" s="21"/>
      <c r="AWN89" s="21"/>
      <c r="AWO89" s="21"/>
      <c r="AWP89" s="21"/>
      <c r="AWQ89" s="21"/>
      <c r="AWR89" s="21"/>
      <c r="AWS89" s="21"/>
      <c r="AWT89" s="21"/>
      <c r="AWU89" s="21"/>
      <c r="AWV89" s="21"/>
      <c r="AWW89" s="21"/>
      <c r="AWX89" s="21"/>
      <c r="AWY89" s="21"/>
      <c r="AWZ89" s="21"/>
      <c r="AXA89" s="21"/>
      <c r="AXB89" s="21"/>
      <c r="AXC89" s="21"/>
      <c r="AXD89" s="21"/>
      <c r="AXE89" s="21"/>
      <c r="AXF89" s="21"/>
      <c r="AXG89" s="21"/>
      <c r="AXH89" s="21"/>
      <c r="AXI89" s="21"/>
      <c r="AXJ89" s="21"/>
      <c r="AXK89" s="21"/>
      <c r="AXL89" s="21"/>
      <c r="AXM89" s="21"/>
      <c r="AXN89" s="21"/>
      <c r="AXO89" s="21"/>
      <c r="AXP89" s="21"/>
      <c r="AXQ89" s="21"/>
      <c r="AXR89" s="21"/>
      <c r="AXS89" s="21"/>
      <c r="AXT89" s="21"/>
      <c r="AXU89" s="21"/>
      <c r="AXV89" s="21"/>
      <c r="AXW89" s="21"/>
      <c r="AXX89" s="21"/>
      <c r="AXY89" s="21"/>
      <c r="AXZ89" s="21"/>
      <c r="AYA89" s="21"/>
      <c r="AYB89" s="21"/>
      <c r="AYC89" s="21"/>
      <c r="AYD89" s="21"/>
      <c r="AYE89" s="21"/>
      <c r="AYF89" s="21"/>
      <c r="AYG89" s="21"/>
      <c r="AYH89" s="21"/>
      <c r="AYI89" s="21"/>
      <c r="AYJ89" s="21"/>
      <c r="AYK89" s="21"/>
      <c r="AYL89" s="21"/>
      <c r="AYM89" s="21"/>
      <c r="AYN89" s="21"/>
      <c r="AYO89" s="21"/>
      <c r="AYP89" s="21"/>
      <c r="AYQ89" s="21"/>
      <c r="AYR89" s="21"/>
      <c r="AYS89" s="21"/>
      <c r="AYT89" s="21"/>
      <c r="AYU89" s="21"/>
      <c r="AYV89" s="21"/>
      <c r="AYW89" s="21"/>
      <c r="AYX89" s="21"/>
      <c r="AYY89" s="21"/>
      <c r="AYZ89" s="21"/>
      <c r="AZA89" s="21"/>
      <c r="AZB89" s="21"/>
      <c r="AZC89" s="21"/>
      <c r="AZD89" s="21"/>
      <c r="AZE89" s="21"/>
      <c r="AZF89" s="21"/>
      <c r="AZG89" s="21"/>
      <c r="AZH89" s="21"/>
      <c r="AZI89" s="21"/>
      <c r="AZJ89" s="21"/>
      <c r="AZK89" s="21"/>
      <c r="AZL89" s="21"/>
      <c r="AZM89" s="21"/>
      <c r="AZN89" s="21"/>
      <c r="AZO89" s="21"/>
      <c r="AZP89" s="21"/>
      <c r="AZQ89" s="21"/>
      <c r="AZR89" s="21"/>
      <c r="AZS89" s="21"/>
      <c r="AZT89" s="21"/>
      <c r="AZU89" s="21"/>
      <c r="AZV89" s="21"/>
      <c r="AZW89" s="21"/>
      <c r="AZX89" s="21"/>
      <c r="AZY89" s="21"/>
      <c r="AZZ89" s="21"/>
      <c r="BAA89" s="21"/>
      <c r="BAB89" s="21"/>
      <c r="BAC89" s="21"/>
      <c r="BAD89" s="21"/>
      <c r="BAE89" s="21"/>
      <c r="BAF89" s="21"/>
      <c r="BAG89" s="21"/>
      <c r="BAH89" s="21"/>
      <c r="BAI89" s="21"/>
      <c r="BAJ89" s="21"/>
      <c r="BAK89" s="21"/>
      <c r="BAL89" s="21"/>
      <c r="BAM89" s="21"/>
      <c r="BAN89" s="21"/>
      <c r="BAO89" s="21"/>
      <c r="BAP89" s="21"/>
      <c r="BAQ89" s="21"/>
      <c r="BAR89" s="21"/>
      <c r="BAS89" s="21"/>
      <c r="BAT89" s="21"/>
      <c r="BAU89" s="21"/>
      <c r="BAV89" s="21"/>
      <c r="BAW89" s="21"/>
      <c r="BAX89" s="21"/>
      <c r="BAY89" s="21"/>
      <c r="BAZ89" s="21"/>
      <c r="BBA89" s="21"/>
      <c r="BBB89" s="21"/>
      <c r="BBC89" s="21"/>
      <c r="BBD89" s="21"/>
      <c r="BBE89" s="21"/>
      <c r="BBF89" s="21"/>
      <c r="BBG89" s="21"/>
      <c r="BBH89" s="21"/>
      <c r="BBI89" s="21"/>
      <c r="BBJ89" s="21"/>
      <c r="BBK89" s="21"/>
      <c r="BBL89" s="21"/>
      <c r="BBM89" s="21"/>
      <c r="BBN89" s="21"/>
      <c r="BBO89" s="21"/>
      <c r="BBP89" s="21"/>
      <c r="BBQ89" s="21"/>
      <c r="BBR89" s="21"/>
      <c r="BBS89" s="21"/>
      <c r="BBT89" s="21"/>
      <c r="BBU89" s="21"/>
      <c r="BBV89" s="21"/>
      <c r="BBW89" s="21"/>
      <c r="BBX89" s="21"/>
      <c r="BBY89" s="21"/>
      <c r="BBZ89" s="21"/>
      <c r="BCA89" s="21"/>
      <c r="BCB89" s="21"/>
      <c r="BCC89" s="21"/>
      <c r="BCD89" s="21"/>
      <c r="BCE89" s="21"/>
      <c r="BCF89" s="21"/>
      <c r="BCG89" s="21"/>
      <c r="BCH89" s="21"/>
      <c r="BCI89" s="21"/>
      <c r="BCJ89" s="21"/>
      <c r="BCK89" s="21"/>
      <c r="BCL89" s="21"/>
      <c r="BCM89" s="21"/>
      <c r="BCN89" s="21"/>
      <c r="BCO89" s="21"/>
      <c r="BCP89" s="21"/>
      <c r="BCQ89" s="21"/>
      <c r="BCR89" s="21"/>
      <c r="BCS89" s="21"/>
      <c r="BCT89" s="21"/>
      <c r="BCU89" s="21"/>
      <c r="BCV89" s="21"/>
      <c r="BCW89" s="21"/>
      <c r="BCX89" s="21"/>
      <c r="BCY89" s="21"/>
      <c r="BCZ89" s="21"/>
      <c r="BDA89" s="21"/>
      <c r="BDB89" s="21"/>
      <c r="BDC89" s="21"/>
      <c r="BDD89" s="21"/>
      <c r="BDE89" s="21"/>
      <c r="BDF89" s="21"/>
      <c r="BDG89" s="21"/>
      <c r="BDH89" s="21"/>
      <c r="BDI89" s="21"/>
      <c r="BDJ89" s="21"/>
      <c r="BDK89" s="21"/>
      <c r="BDL89" s="21"/>
      <c r="BDM89" s="21"/>
      <c r="BDN89" s="21"/>
      <c r="BDO89" s="21"/>
      <c r="BDP89" s="21"/>
      <c r="BDQ89" s="21"/>
      <c r="BDR89" s="21"/>
      <c r="BDS89" s="21"/>
      <c r="BDT89" s="21"/>
      <c r="BDU89" s="21"/>
      <c r="BDV89" s="21"/>
      <c r="BDW89" s="21"/>
      <c r="BDX89" s="21"/>
      <c r="BDY89" s="21"/>
      <c r="BDZ89" s="21"/>
      <c r="BEA89" s="21"/>
      <c r="BEB89" s="21"/>
      <c r="BEC89" s="21"/>
      <c r="BED89" s="21"/>
      <c r="BEE89" s="21"/>
      <c r="BEF89" s="21"/>
      <c r="BEG89" s="21"/>
      <c r="BEH89" s="21"/>
      <c r="BEI89" s="21"/>
      <c r="BEJ89" s="21"/>
      <c r="BEK89" s="21"/>
      <c r="BEL89" s="21"/>
      <c r="BEM89" s="21"/>
      <c r="BEN89" s="21"/>
      <c r="BEO89" s="21"/>
      <c r="BEP89" s="21"/>
      <c r="BEQ89" s="21"/>
      <c r="BER89" s="21"/>
      <c r="BES89" s="21"/>
      <c r="BET89" s="21"/>
      <c r="BEU89" s="21"/>
      <c r="BEV89" s="21"/>
      <c r="BEW89" s="21"/>
      <c r="BEX89" s="21"/>
      <c r="BEY89" s="21"/>
      <c r="BEZ89" s="21"/>
      <c r="BFA89" s="21"/>
      <c r="BFB89" s="21"/>
      <c r="BFC89" s="21"/>
      <c r="BFD89" s="21"/>
      <c r="BFE89" s="21"/>
      <c r="BFF89" s="21"/>
      <c r="BFG89" s="21"/>
      <c r="BFH89" s="21"/>
      <c r="BFI89" s="21"/>
      <c r="BFJ89" s="21"/>
      <c r="BFK89" s="21"/>
      <c r="BFL89" s="21"/>
      <c r="BFM89" s="21"/>
      <c r="BFN89" s="21"/>
      <c r="BFO89" s="21"/>
      <c r="BFP89" s="21"/>
      <c r="BFQ89" s="21"/>
      <c r="BFR89" s="21"/>
      <c r="BFS89" s="21"/>
      <c r="BFT89" s="21"/>
      <c r="BFU89" s="21"/>
      <c r="BFV89" s="21"/>
      <c r="BFW89" s="21"/>
      <c r="BFX89" s="21"/>
      <c r="BFY89" s="21"/>
      <c r="BFZ89" s="21"/>
      <c r="BGA89" s="21"/>
      <c r="BGB89" s="21"/>
      <c r="BGC89" s="21"/>
      <c r="BGD89" s="21"/>
      <c r="BGE89" s="21"/>
      <c r="BGF89" s="21"/>
      <c r="BGG89" s="21"/>
      <c r="BGH89" s="21"/>
      <c r="BGI89" s="21"/>
      <c r="BGJ89" s="21"/>
      <c r="BGK89" s="21"/>
      <c r="BGL89" s="21"/>
      <c r="BGM89" s="21"/>
      <c r="BGN89" s="21"/>
      <c r="BGO89" s="21"/>
      <c r="BGP89" s="21"/>
      <c r="BGQ89" s="21"/>
      <c r="BGR89" s="21"/>
      <c r="BGS89" s="21"/>
      <c r="BGT89" s="21"/>
      <c r="BGU89" s="21"/>
      <c r="BGV89" s="21"/>
      <c r="BGW89" s="21"/>
      <c r="BGX89" s="21"/>
      <c r="BGY89" s="21"/>
      <c r="BGZ89" s="21"/>
      <c r="BHA89" s="21"/>
      <c r="BHB89" s="21"/>
      <c r="BHC89" s="21"/>
      <c r="BHD89" s="21"/>
      <c r="BHE89" s="21"/>
      <c r="BHF89" s="21"/>
      <c r="BHG89" s="21"/>
      <c r="BHH89" s="21"/>
      <c r="BHI89" s="21"/>
      <c r="BHJ89" s="21"/>
      <c r="BHK89" s="21"/>
      <c r="BHL89" s="21"/>
      <c r="BHM89" s="21"/>
      <c r="BHN89" s="21"/>
      <c r="BHO89" s="21"/>
      <c r="BHP89" s="21"/>
      <c r="BHQ89" s="21"/>
      <c r="BHR89" s="21"/>
      <c r="BHS89" s="21"/>
      <c r="BHT89" s="21"/>
      <c r="BHU89" s="21"/>
      <c r="BHV89" s="21"/>
      <c r="BHW89" s="21"/>
      <c r="BHX89" s="21"/>
      <c r="BHY89" s="21"/>
      <c r="BHZ89" s="21"/>
      <c r="BIA89" s="21"/>
      <c r="BIB89" s="21"/>
      <c r="BIC89" s="21"/>
      <c r="BID89" s="21"/>
      <c r="BIE89" s="21"/>
      <c r="BIF89" s="21"/>
      <c r="BIG89" s="21"/>
      <c r="BIH89" s="21"/>
      <c r="BII89" s="21"/>
      <c r="BIJ89" s="21"/>
      <c r="BIK89" s="21"/>
      <c r="BIL89" s="21"/>
      <c r="BIM89" s="21"/>
      <c r="BIN89" s="21"/>
      <c r="BIO89" s="21"/>
      <c r="BIP89" s="21"/>
      <c r="BIQ89" s="21"/>
      <c r="BIR89" s="21"/>
      <c r="BIS89" s="21"/>
      <c r="BIT89" s="21"/>
      <c r="BIU89" s="21"/>
      <c r="BIV89" s="21"/>
      <c r="BIW89" s="21"/>
      <c r="BIX89" s="21"/>
      <c r="BIY89" s="21"/>
      <c r="BIZ89" s="21"/>
      <c r="BJA89" s="21"/>
      <c r="BJB89" s="21"/>
      <c r="BJC89" s="21"/>
      <c r="BJD89" s="21"/>
      <c r="BJE89" s="21"/>
      <c r="BJF89" s="21"/>
      <c r="BJG89" s="21"/>
      <c r="BJH89" s="21"/>
      <c r="BJI89" s="21"/>
      <c r="BJJ89" s="21"/>
      <c r="BJK89" s="21"/>
      <c r="BJL89" s="21"/>
      <c r="BJM89" s="21"/>
      <c r="BJN89" s="21"/>
      <c r="BJO89" s="21"/>
      <c r="BJP89" s="21"/>
      <c r="BJQ89" s="21"/>
      <c r="BJR89" s="21"/>
      <c r="BJS89" s="21"/>
      <c r="BJT89" s="21"/>
      <c r="BJU89" s="21"/>
      <c r="BJV89" s="21"/>
      <c r="BJW89" s="21"/>
      <c r="BJX89" s="21"/>
      <c r="BJY89" s="21"/>
      <c r="BJZ89" s="21"/>
      <c r="BKA89" s="21"/>
      <c r="BKB89" s="21"/>
      <c r="BKC89" s="21"/>
      <c r="BKD89" s="21"/>
      <c r="BKE89" s="21"/>
      <c r="BKF89" s="21"/>
      <c r="BKG89" s="21"/>
      <c r="BKH89" s="21"/>
      <c r="BKI89" s="21"/>
      <c r="BKJ89" s="21"/>
      <c r="BKK89" s="21"/>
      <c r="BKL89" s="21"/>
      <c r="BKM89" s="21"/>
      <c r="BKN89" s="21"/>
      <c r="BKO89" s="21"/>
      <c r="BKP89" s="21"/>
      <c r="BKQ89" s="21"/>
      <c r="BKR89" s="21"/>
      <c r="BKS89" s="21"/>
      <c r="BKT89" s="21"/>
      <c r="BKU89" s="21"/>
      <c r="BKV89" s="21"/>
      <c r="BKW89" s="21"/>
      <c r="BKX89" s="21"/>
      <c r="BKY89" s="21"/>
      <c r="BKZ89" s="21"/>
      <c r="BLA89" s="21"/>
      <c r="BLB89" s="21"/>
      <c r="BLC89" s="21"/>
      <c r="BLD89" s="21"/>
      <c r="BLE89" s="21"/>
      <c r="BLF89" s="21"/>
      <c r="BLG89" s="21"/>
      <c r="BLH89" s="21"/>
      <c r="BLI89" s="21"/>
      <c r="BLJ89" s="21"/>
      <c r="BLK89" s="21"/>
      <c r="BLL89" s="21"/>
      <c r="BLM89" s="21"/>
      <c r="BLN89" s="21"/>
      <c r="BLO89" s="21"/>
      <c r="BLP89" s="21"/>
      <c r="BLQ89" s="21"/>
      <c r="BLR89" s="21"/>
      <c r="BLS89" s="21"/>
      <c r="BLT89" s="21"/>
      <c r="BLU89" s="21"/>
      <c r="BLV89" s="21"/>
      <c r="BLW89" s="21"/>
      <c r="BLX89" s="21"/>
      <c r="BLY89" s="21"/>
      <c r="BLZ89" s="21"/>
      <c r="BMA89" s="21"/>
      <c r="BMB89" s="21"/>
      <c r="BMC89" s="21"/>
      <c r="BMD89" s="21"/>
      <c r="BME89" s="21"/>
      <c r="BMF89" s="21"/>
      <c r="BMG89" s="21"/>
      <c r="BMH89" s="21"/>
      <c r="BMI89" s="21"/>
      <c r="BMJ89" s="21"/>
      <c r="BMK89" s="21"/>
      <c r="BML89" s="21"/>
      <c r="BMM89" s="21"/>
      <c r="BMN89" s="21"/>
      <c r="BMO89" s="21"/>
      <c r="BMP89" s="21"/>
      <c r="BMQ89" s="21"/>
      <c r="BMR89" s="21"/>
      <c r="BMS89" s="21"/>
      <c r="BMT89" s="21"/>
      <c r="BMU89" s="21"/>
      <c r="BMV89" s="21"/>
      <c r="BMW89" s="21"/>
      <c r="BMX89" s="21"/>
      <c r="BMY89" s="21"/>
      <c r="BMZ89" s="21"/>
      <c r="BNA89" s="21"/>
      <c r="BNB89" s="21"/>
      <c r="BNC89" s="21"/>
      <c r="BND89" s="21"/>
      <c r="BNE89" s="21"/>
      <c r="BNF89" s="21"/>
      <c r="BNG89" s="21"/>
      <c r="BNH89" s="21"/>
      <c r="BNI89" s="21"/>
      <c r="BNJ89" s="21"/>
      <c r="BNK89" s="21"/>
      <c r="BNL89" s="21"/>
      <c r="BNM89" s="21"/>
      <c r="BNN89" s="21"/>
      <c r="BNO89" s="21"/>
      <c r="BNP89" s="21"/>
      <c r="BNQ89" s="21"/>
      <c r="BNR89" s="21"/>
      <c r="BNS89" s="21"/>
      <c r="BNT89" s="21"/>
      <c r="BNU89" s="21"/>
      <c r="BNV89" s="21"/>
      <c r="BNW89" s="21"/>
      <c r="BNX89" s="21"/>
      <c r="BNY89" s="21"/>
      <c r="BNZ89" s="21"/>
      <c r="BOA89" s="21"/>
      <c r="BOB89" s="21"/>
      <c r="BOC89" s="21"/>
      <c r="BOD89" s="21"/>
      <c r="BOE89" s="21"/>
      <c r="BOF89" s="21"/>
      <c r="BOG89" s="21"/>
      <c r="BOH89" s="21"/>
      <c r="BOI89" s="21"/>
      <c r="BOJ89" s="21"/>
      <c r="BOK89" s="21"/>
      <c r="BOL89" s="21"/>
      <c r="BOM89" s="21"/>
      <c r="BON89" s="21"/>
      <c r="BOO89" s="21"/>
      <c r="BOP89" s="21"/>
      <c r="BOQ89" s="21"/>
      <c r="BOR89" s="21"/>
      <c r="BOS89" s="21"/>
      <c r="BOT89" s="21"/>
      <c r="BOU89" s="21"/>
      <c r="BOV89" s="21"/>
      <c r="BOW89" s="21"/>
      <c r="BOX89" s="21"/>
      <c r="BOY89" s="21"/>
      <c r="BOZ89" s="21"/>
      <c r="BPA89" s="21"/>
      <c r="BPB89" s="21"/>
      <c r="BPC89" s="21"/>
      <c r="BPD89" s="21"/>
      <c r="BPE89" s="21"/>
      <c r="BPF89" s="21"/>
      <c r="BPG89" s="21"/>
      <c r="BPH89" s="21"/>
      <c r="BPI89" s="21"/>
      <c r="BPJ89" s="21"/>
      <c r="BPK89" s="21"/>
      <c r="BPL89" s="21"/>
      <c r="BPM89" s="21"/>
      <c r="BPN89" s="21"/>
      <c r="BPO89" s="21"/>
      <c r="BPP89" s="21"/>
      <c r="BPQ89" s="21"/>
      <c r="BPR89" s="21"/>
      <c r="BPS89" s="21"/>
      <c r="BPT89" s="21"/>
      <c r="BPU89" s="21"/>
      <c r="BPV89" s="21"/>
      <c r="BPW89" s="21"/>
      <c r="BPX89" s="21"/>
      <c r="BPY89" s="21"/>
      <c r="BPZ89" s="21"/>
      <c r="BQA89" s="21"/>
      <c r="BQB89" s="21"/>
      <c r="BQC89" s="21"/>
      <c r="BQD89" s="21"/>
      <c r="BQE89" s="21"/>
      <c r="BQF89" s="21"/>
      <c r="BQG89" s="21"/>
      <c r="BQH89" s="21"/>
      <c r="BQI89" s="21"/>
      <c r="BQJ89" s="21"/>
      <c r="BQK89" s="21"/>
      <c r="BQL89" s="21"/>
      <c r="BQM89" s="21"/>
      <c r="BQN89" s="21"/>
      <c r="BQO89" s="21"/>
      <c r="BQP89" s="21"/>
      <c r="BQQ89" s="21"/>
      <c r="BQR89" s="21"/>
      <c r="BQS89" s="21"/>
      <c r="BQT89" s="21"/>
      <c r="BQU89" s="21"/>
      <c r="BQV89" s="21"/>
      <c r="BQW89" s="21"/>
      <c r="BQX89" s="21"/>
      <c r="BQY89" s="21"/>
      <c r="BQZ89" s="21"/>
      <c r="BRA89" s="21"/>
      <c r="BRB89" s="21"/>
      <c r="BRC89" s="21"/>
      <c r="BRD89" s="21"/>
      <c r="BRE89" s="21"/>
      <c r="BRF89" s="21"/>
      <c r="BRG89" s="21"/>
      <c r="BRH89" s="21"/>
      <c r="BRI89" s="21"/>
      <c r="BRJ89" s="21"/>
      <c r="BRK89" s="21"/>
      <c r="BRL89" s="21"/>
      <c r="BRM89" s="21"/>
      <c r="BRN89" s="21"/>
      <c r="BRO89" s="21"/>
      <c r="BRP89" s="21"/>
      <c r="BRQ89" s="21"/>
      <c r="BRR89" s="21"/>
      <c r="BRS89" s="21"/>
      <c r="BRT89" s="21"/>
      <c r="BRU89" s="21"/>
      <c r="BRV89" s="21"/>
      <c r="BRW89" s="21"/>
      <c r="BRX89" s="21"/>
      <c r="BRY89" s="21"/>
      <c r="BRZ89" s="21"/>
      <c r="BSA89" s="21"/>
      <c r="BSB89" s="21"/>
      <c r="BSC89" s="21"/>
      <c r="BSD89" s="21"/>
      <c r="BSE89" s="21"/>
      <c r="BSF89" s="21"/>
      <c r="BSG89" s="21"/>
      <c r="BSH89" s="21"/>
      <c r="BSI89" s="21"/>
      <c r="BSJ89" s="21"/>
      <c r="BSK89" s="21"/>
      <c r="BSL89" s="21"/>
      <c r="BSM89" s="21"/>
      <c r="BSN89" s="21"/>
      <c r="BSO89" s="21"/>
      <c r="BSP89" s="21"/>
      <c r="BSQ89" s="21"/>
      <c r="BSR89" s="21"/>
      <c r="BSS89" s="21"/>
      <c r="BST89" s="21"/>
      <c r="BSU89" s="21"/>
      <c r="BSV89" s="21"/>
      <c r="BSW89" s="21"/>
      <c r="BSX89" s="21"/>
      <c r="BSY89" s="21"/>
      <c r="BSZ89" s="21"/>
      <c r="BTA89" s="21"/>
      <c r="BTB89" s="21"/>
      <c r="BTC89" s="21"/>
      <c r="BTD89" s="21"/>
      <c r="BTE89" s="21"/>
      <c r="BTF89" s="21"/>
      <c r="BTG89" s="21"/>
      <c r="BTH89" s="21"/>
      <c r="BTI89" s="21"/>
      <c r="BTJ89" s="21"/>
      <c r="BTK89" s="21"/>
      <c r="BTL89" s="21"/>
      <c r="BTM89" s="21"/>
      <c r="BTN89" s="21"/>
      <c r="BTO89" s="21"/>
      <c r="BTP89" s="21"/>
      <c r="BTQ89" s="21"/>
      <c r="BTR89" s="21"/>
      <c r="BTS89" s="21"/>
      <c r="BTT89" s="21"/>
      <c r="BTU89" s="21"/>
      <c r="BTV89" s="21"/>
      <c r="BTW89" s="21"/>
      <c r="BTX89" s="21"/>
      <c r="BTY89" s="21"/>
      <c r="BTZ89" s="21"/>
      <c r="BUA89" s="21"/>
      <c r="BUB89" s="21"/>
      <c r="BUC89" s="21"/>
      <c r="BUD89" s="21"/>
      <c r="BUE89" s="21"/>
      <c r="BUF89" s="21"/>
      <c r="BUG89" s="21"/>
      <c r="BUH89" s="21"/>
      <c r="BUI89" s="21"/>
      <c r="BUJ89" s="21"/>
      <c r="BUK89" s="21"/>
      <c r="BUL89" s="21"/>
      <c r="BUM89" s="21"/>
      <c r="BUN89" s="21"/>
      <c r="BUO89" s="21"/>
      <c r="BUP89" s="21"/>
      <c r="BUQ89" s="21"/>
      <c r="BUR89" s="21"/>
      <c r="BUS89" s="21"/>
      <c r="BUT89" s="21"/>
      <c r="BUU89" s="21"/>
      <c r="BUV89" s="21"/>
      <c r="BUW89" s="21"/>
      <c r="BUX89" s="21"/>
      <c r="BUY89" s="21"/>
      <c r="BUZ89" s="21"/>
      <c r="BVA89" s="21"/>
      <c r="BVB89" s="21"/>
      <c r="BVC89" s="21"/>
      <c r="BVD89" s="21"/>
      <c r="BVE89" s="21"/>
      <c r="BVF89" s="21"/>
      <c r="BVG89" s="21"/>
      <c r="BVH89" s="21"/>
      <c r="BVI89" s="21"/>
      <c r="BVJ89" s="21"/>
      <c r="BVK89" s="21"/>
      <c r="BVL89" s="21"/>
      <c r="BVM89" s="21"/>
      <c r="BVN89" s="21"/>
      <c r="BVO89" s="21"/>
      <c r="BVP89" s="21"/>
      <c r="BVQ89" s="21"/>
      <c r="BVR89" s="21"/>
      <c r="BVS89" s="21"/>
      <c r="BVT89" s="21"/>
      <c r="BVU89" s="21"/>
      <c r="BVV89" s="21"/>
      <c r="BVW89" s="21"/>
      <c r="BVX89" s="21"/>
      <c r="BVY89" s="21"/>
      <c r="BVZ89" s="21"/>
      <c r="BWA89" s="21"/>
      <c r="BWB89" s="21"/>
      <c r="BWC89" s="21"/>
      <c r="BWD89" s="21"/>
      <c r="BWE89" s="21"/>
      <c r="BWF89" s="21"/>
      <c r="BWG89" s="21"/>
      <c r="BWH89" s="21"/>
      <c r="BWI89" s="21"/>
      <c r="BWJ89" s="21"/>
      <c r="BWK89" s="21"/>
      <c r="BWL89" s="21"/>
      <c r="BWM89" s="21"/>
      <c r="BWN89" s="21"/>
      <c r="BWO89" s="21"/>
      <c r="BWP89" s="21"/>
      <c r="BWQ89" s="21"/>
      <c r="BWR89" s="21"/>
      <c r="BWS89" s="21"/>
      <c r="BWT89" s="21"/>
      <c r="BWU89" s="21"/>
      <c r="BWV89" s="21"/>
      <c r="BWW89" s="21"/>
      <c r="BWX89" s="21"/>
      <c r="BWY89" s="21"/>
      <c r="BWZ89" s="21"/>
      <c r="BXA89" s="21"/>
      <c r="BXB89" s="21"/>
      <c r="BXC89" s="21"/>
      <c r="BXD89" s="21"/>
      <c r="BXE89" s="21"/>
      <c r="BXF89" s="21"/>
      <c r="BXG89" s="21"/>
      <c r="BXH89" s="21"/>
      <c r="BXI89" s="21"/>
      <c r="BXJ89" s="21"/>
      <c r="BXK89" s="21"/>
      <c r="BXL89" s="21"/>
      <c r="BXM89" s="21"/>
      <c r="BXN89" s="21"/>
      <c r="BXO89" s="21"/>
      <c r="BXP89" s="21"/>
      <c r="BXQ89" s="21"/>
      <c r="BXR89" s="21"/>
      <c r="BXS89" s="21"/>
      <c r="BXT89" s="21"/>
      <c r="BXU89" s="21"/>
      <c r="BXV89" s="21"/>
      <c r="BXW89" s="21"/>
      <c r="BXX89" s="21"/>
      <c r="BXY89" s="21"/>
      <c r="BXZ89" s="21"/>
      <c r="BYA89" s="21"/>
      <c r="BYB89" s="21"/>
      <c r="BYC89" s="21"/>
      <c r="BYD89" s="21"/>
      <c r="BYE89" s="21"/>
      <c r="BYF89" s="21"/>
      <c r="BYG89" s="21"/>
      <c r="BYH89" s="21"/>
      <c r="BYI89" s="21"/>
      <c r="BYJ89" s="21"/>
      <c r="BYK89" s="21"/>
      <c r="BYL89" s="21"/>
      <c r="BYM89" s="21"/>
      <c r="BYN89" s="21"/>
      <c r="BYO89" s="21"/>
      <c r="BYP89" s="21"/>
      <c r="BYQ89" s="21"/>
      <c r="BYR89" s="21"/>
      <c r="BYS89" s="21"/>
      <c r="BYT89" s="21"/>
      <c r="BYU89" s="21"/>
      <c r="BYV89" s="21"/>
      <c r="BYW89" s="21"/>
      <c r="BYX89" s="21"/>
      <c r="BYY89" s="21"/>
      <c r="BYZ89" s="21"/>
      <c r="BZA89" s="21"/>
      <c r="BZB89" s="21"/>
      <c r="BZC89" s="21"/>
      <c r="BZD89" s="21"/>
      <c r="BZE89" s="21"/>
      <c r="BZF89" s="21"/>
      <c r="BZG89" s="21"/>
      <c r="BZH89" s="21"/>
      <c r="BZI89" s="21"/>
      <c r="BZJ89" s="21"/>
      <c r="BZK89" s="21"/>
      <c r="BZL89" s="21"/>
      <c r="BZM89" s="21"/>
      <c r="BZN89" s="21"/>
      <c r="BZO89" s="21"/>
      <c r="BZP89" s="21"/>
      <c r="BZQ89" s="21"/>
      <c r="BZR89" s="21"/>
      <c r="BZS89" s="21"/>
      <c r="BZT89" s="21"/>
      <c r="BZU89" s="21"/>
      <c r="BZV89" s="21"/>
      <c r="BZW89" s="21"/>
      <c r="BZX89" s="21"/>
      <c r="BZY89" s="21"/>
      <c r="BZZ89" s="21"/>
      <c r="CAA89" s="21"/>
      <c r="CAB89" s="21"/>
      <c r="CAC89" s="21"/>
      <c r="CAD89" s="21"/>
      <c r="CAE89" s="21"/>
      <c r="CAF89" s="21"/>
      <c r="CAG89" s="21"/>
      <c r="CAH89" s="21"/>
      <c r="CAI89" s="21"/>
      <c r="CAJ89" s="21"/>
      <c r="CAK89" s="21"/>
      <c r="CAL89" s="21"/>
      <c r="CAM89" s="21"/>
      <c r="CAN89" s="21"/>
      <c r="CAO89" s="21"/>
      <c r="CAP89" s="21"/>
      <c r="CAQ89" s="21"/>
      <c r="CAR89" s="21"/>
      <c r="CAS89" s="21"/>
      <c r="CAT89" s="21"/>
      <c r="CAU89" s="21"/>
      <c r="CAV89" s="21"/>
      <c r="CAW89" s="21"/>
      <c r="CAX89" s="21"/>
      <c r="CAY89" s="21"/>
      <c r="CAZ89" s="21"/>
      <c r="CBA89" s="21"/>
      <c r="CBB89" s="21"/>
      <c r="CBC89" s="21"/>
      <c r="CBD89" s="21"/>
      <c r="CBE89" s="21"/>
      <c r="CBF89" s="21"/>
      <c r="CBG89" s="21"/>
      <c r="CBH89" s="21"/>
      <c r="CBI89" s="21"/>
      <c r="CBJ89" s="21"/>
      <c r="CBK89" s="21"/>
      <c r="CBL89" s="21"/>
      <c r="CBM89" s="21"/>
      <c r="CBN89" s="21"/>
      <c r="CBO89" s="21"/>
      <c r="CBP89" s="21"/>
      <c r="CBQ89" s="21"/>
      <c r="CBR89" s="21"/>
      <c r="CBS89" s="21"/>
      <c r="CBT89" s="21"/>
      <c r="CBU89" s="21"/>
      <c r="CBV89" s="21"/>
      <c r="CBW89" s="21"/>
      <c r="CBX89" s="21"/>
      <c r="CBY89" s="21"/>
      <c r="CBZ89" s="21"/>
      <c r="CCA89" s="21"/>
      <c r="CCB89" s="21"/>
      <c r="CCC89" s="21"/>
      <c r="CCD89" s="21"/>
      <c r="CCE89" s="21"/>
      <c r="CCF89" s="21"/>
      <c r="CCG89" s="21"/>
      <c r="CCH89" s="21"/>
      <c r="CCI89" s="21"/>
      <c r="CCJ89" s="21"/>
      <c r="CCK89" s="21"/>
      <c r="CCL89" s="21"/>
      <c r="CCM89" s="21"/>
      <c r="CCN89" s="21"/>
      <c r="CCO89" s="21"/>
      <c r="CCP89" s="21"/>
      <c r="CCQ89" s="21"/>
      <c r="CCR89" s="21"/>
      <c r="CCS89" s="21"/>
      <c r="CCT89" s="21"/>
      <c r="CCU89" s="21"/>
      <c r="CCV89" s="21"/>
      <c r="CCW89" s="21"/>
      <c r="CCX89" s="21"/>
      <c r="CCY89" s="21"/>
      <c r="CCZ89" s="21"/>
      <c r="CDA89" s="21"/>
      <c r="CDB89" s="21"/>
      <c r="CDC89" s="21"/>
      <c r="CDD89" s="21"/>
      <c r="CDE89" s="21"/>
      <c r="CDF89" s="21"/>
      <c r="CDG89" s="21"/>
      <c r="CDH89" s="21"/>
      <c r="CDI89" s="21"/>
      <c r="CDJ89" s="21"/>
      <c r="CDK89" s="21"/>
      <c r="CDL89" s="21"/>
      <c r="CDM89" s="21"/>
      <c r="CDN89" s="21"/>
      <c r="CDO89" s="21"/>
      <c r="CDP89" s="21"/>
      <c r="CDQ89" s="21"/>
      <c r="CDR89" s="21"/>
      <c r="CDS89" s="21"/>
      <c r="CDT89" s="21"/>
      <c r="CDU89" s="21"/>
      <c r="CDV89" s="21"/>
      <c r="CDW89" s="21"/>
      <c r="CDX89" s="21"/>
      <c r="CDY89" s="21"/>
      <c r="CDZ89" s="21"/>
      <c r="CEA89" s="21"/>
      <c r="CEB89" s="21"/>
      <c r="CEC89" s="21"/>
      <c r="CED89" s="21"/>
      <c r="CEE89" s="21"/>
      <c r="CEF89" s="21"/>
      <c r="CEG89" s="21"/>
      <c r="CEH89" s="21"/>
      <c r="CEI89" s="21"/>
      <c r="CEJ89" s="21"/>
      <c r="CEK89" s="21"/>
      <c r="CEL89" s="21"/>
      <c r="CEM89" s="21"/>
      <c r="CEN89" s="21"/>
      <c r="CEO89" s="21"/>
      <c r="CEP89" s="21"/>
      <c r="CEQ89" s="21"/>
      <c r="CER89" s="21"/>
      <c r="CES89" s="21"/>
      <c r="CET89" s="21"/>
      <c r="CEU89" s="21"/>
      <c r="CEV89" s="21"/>
      <c r="CEW89" s="21"/>
      <c r="CEX89" s="21"/>
      <c r="CEY89" s="21"/>
      <c r="CEZ89" s="21"/>
      <c r="CFA89" s="21"/>
      <c r="CFB89" s="21"/>
      <c r="CFC89" s="21"/>
      <c r="CFD89" s="21"/>
      <c r="CFE89" s="21"/>
      <c r="CFF89" s="21"/>
      <c r="CFG89" s="21"/>
      <c r="CFH89" s="21"/>
      <c r="CFI89" s="21"/>
      <c r="CFJ89" s="21"/>
      <c r="CFK89" s="21"/>
      <c r="CFL89" s="21"/>
      <c r="CFM89" s="21"/>
      <c r="CFN89" s="21"/>
      <c r="CFO89" s="21"/>
      <c r="CFP89" s="21"/>
      <c r="CFQ89" s="21"/>
      <c r="CFR89" s="21"/>
      <c r="CFS89" s="21"/>
      <c r="CFT89" s="21"/>
      <c r="CFU89" s="21"/>
      <c r="CFV89" s="21"/>
      <c r="CFW89" s="21"/>
      <c r="CFX89" s="21"/>
      <c r="CFY89" s="21"/>
      <c r="CFZ89" s="21"/>
      <c r="CGA89" s="21"/>
      <c r="CGB89" s="21"/>
      <c r="CGC89" s="21"/>
      <c r="CGD89" s="21"/>
      <c r="CGE89" s="21"/>
      <c r="CGF89" s="21"/>
      <c r="CGG89" s="21"/>
      <c r="CGH89" s="21"/>
      <c r="CGI89" s="21"/>
      <c r="CGJ89" s="21"/>
      <c r="CGK89" s="21"/>
      <c r="CGL89" s="21"/>
      <c r="CGM89" s="21"/>
      <c r="CGN89" s="21"/>
      <c r="CGO89" s="21"/>
      <c r="CGP89" s="21"/>
      <c r="CGQ89" s="21"/>
      <c r="CGR89" s="21"/>
      <c r="CGS89" s="21"/>
      <c r="CGT89" s="21"/>
      <c r="CGU89" s="21"/>
      <c r="CGV89" s="21"/>
      <c r="CGW89" s="21"/>
      <c r="CGX89" s="21"/>
      <c r="CGY89" s="21"/>
      <c r="CGZ89" s="21"/>
      <c r="CHA89" s="21"/>
      <c r="CHB89" s="21"/>
      <c r="CHC89" s="21"/>
      <c r="CHD89" s="21"/>
      <c r="CHE89" s="21"/>
      <c r="CHF89" s="21"/>
      <c r="CHG89" s="21"/>
      <c r="CHH89" s="21"/>
      <c r="CHI89" s="21"/>
      <c r="CHJ89" s="21"/>
      <c r="CHK89" s="21"/>
      <c r="CHL89" s="21"/>
      <c r="CHM89" s="21"/>
      <c r="CHN89" s="21"/>
      <c r="CHO89" s="21"/>
      <c r="CHP89" s="21"/>
      <c r="CHQ89" s="21"/>
      <c r="CHR89" s="21"/>
      <c r="CHS89" s="21"/>
      <c r="CHT89" s="21"/>
      <c r="CHU89" s="21"/>
      <c r="CHV89" s="21"/>
      <c r="CHW89" s="21"/>
      <c r="CHX89" s="21"/>
      <c r="CHY89" s="21"/>
      <c r="CHZ89" s="21"/>
      <c r="CIA89" s="21"/>
      <c r="CIB89" s="21"/>
      <c r="CIC89" s="21"/>
      <c r="CID89" s="21"/>
      <c r="CIE89" s="21"/>
      <c r="CIF89" s="21"/>
      <c r="CIG89" s="21"/>
      <c r="CIH89" s="21"/>
      <c r="CII89" s="21"/>
      <c r="CIJ89" s="21"/>
      <c r="CIK89" s="21"/>
      <c r="CIL89" s="21"/>
      <c r="CIM89" s="21"/>
      <c r="CIN89" s="21"/>
      <c r="CIO89" s="21"/>
      <c r="CIP89" s="21"/>
      <c r="CIQ89" s="21"/>
      <c r="CIR89" s="21"/>
      <c r="CIS89" s="21"/>
      <c r="CIT89" s="21"/>
      <c r="CIU89" s="21"/>
      <c r="CIV89" s="21"/>
      <c r="CIW89" s="21"/>
      <c r="CIX89" s="21"/>
      <c r="CIY89" s="21"/>
      <c r="CIZ89" s="21"/>
      <c r="CJA89" s="21"/>
      <c r="CJB89" s="21"/>
      <c r="CJC89" s="21"/>
      <c r="CJD89" s="21"/>
      <c r="CJE89" s="21"/>
      <c r="CJF89" s="21"/>
      <c r="CJG89" s="21"/>
      <c r="CJH89" s="21"/>
      <c r="CJI89" s="21"/>
      <c r="CJJ89" s="21"/>
      <c r="CJK89" s="21"/>
      <c r="CJL89" s="21"/>
      <c r="CJM89" s="21"/>
      <c r="CJN89" s="21"/>
      <c r="CJO89" s="21"/>
      <c r="CJP89" s="21"/>
      <c r="CJQ89" s="21"/>
      <c r="CJR89" s="21"/>
      <c r="CJS89" s="21"/>
      <c r="CJT89" s="21"/>
      <c r="CJU89" s="21"/>
      <c r="CJV89" s="21"/>
      <c r="CJW89" s="21"/>
      <c r="CJX89" s="21"/>
      <c r="CJY89" s="21"/>
      <c r="CJZ89" s="21"/>
      <c r="CKA89" s="21"/>
      <c r="CKB89" s="21"/>
      <c r="CKC89" s="21"/>
      <c r="CKD89" s="21"/>
      <c r="CKE89" s="21"/>
      <c r="CKF89" s="21"/>
      <c r="CKG89" s="21"/>
      <c r="CKH89" s="21"/>
      <c r="CKI89" s="21"/>
      <c r="CKJ89" s="21"/>
      <c r="CKK89" s="21"/>
      <c r="CKL89" s="21"/>
      <c r="CKM89" s="21"/>
      <c r="CKN89" s="21"/>
      <c r="CKO89" s="21"/>
      <c r="CKP89" s="21"/>
      <c r="CKQ89" s="21"/>
      <c r="CKR89" s="21"/>
      <c r="CKS89" s="21"/>
      <c r="CKT89" s="21"/>
      <c r="CKU89" s="21"/>
      <c r="CKV89" s="21"/>
      <c r="CKW89" s="21"/>
      <c r="CKX89" s="21"/>
      <c r="CKY89" s="21"/>
      <c r="CKZ89" s="21"/>
      <c r="CLA89" s="21"/>
      <c r="CLB89" s="21"/>
      <c r="CLC89" s="21"/>
      <c r="CLD89" s="21"/>
      <c r="CLE89" s="21"/>
      <c r="CLF89" s="21"/>
      <c r="CLG89" s="21"/>
      <c r="CLH89" s="21"/>
      <c r="CLI89" s="21"/>
      <c r="CLJ89" s="21"/>
      <c r="CLK89" s="21"/>
      <c r="CLL89" s="21"/>
      <c r="CLM89" s="21"/>
      <c r="CLN89" s="21"/>
      <c r="CLO89" s="21"/>
      <c r="CLP89" s="21"/>
      <c r="CLQ89" s="21"/>
      <c r="CLR89" s="21"/>
      <c r="CLS89" s="21"/>
      <c r="CLT89" s="21"/>
      <c r="CLU89" s="21"/>
      <c r="CLV89" s="21"/>
      <c r="CLW89" s="21"/>
      <c r="CLX89" s="21"/>
      <c r="CLY89" s="21"/>
      <c r="CLZ89" s="21"/>
      <c r="CMA89" s="21"/>
      <c r="CMB89" s="21"/>
      <c r="CMC89" s="21"/>
      <c r="CMD89" s="21"/>
      <c r="CME89" s="21"/>
      <c r="CMF89" s="21"/>
      <c r="CMG89" s="21"/>
      <c r="CMH89" s="21"/>
      <c r="CMI89" s="21"/>
      <c r="CMJ89" s="21"/>
      <c r="CMK89" s="21"/>
      <c r="CML89" s="21"/>
      <c r="CMM89" s="21"/>
      <c r="CMN89" s="21"/>
      <c r="CMO89" s="21"/>
      <c r="CMP89" s="21"/>
      <c r="CMQ89" s="21"/>
      <c r="CMR89" s="21"/>
      <c r="CMS89" s="21"/>
      <c r="CMT89" s="21"/>
      <c r="CMU89" s="21"/>
      <c r="CMV89" s="21"/>
      <c r="CMW89" s="21"/>
      <c r="CMX89" s="21"/>
      <c r="CMY89" s="21"/>
      <c r="CMZ89" s="21"/>
      <c r="CNA89" s="21"/>
      <c r="CNB89" s="21"/>
      <c r="CNC89" s="21"/>
      <c r="CND89" s="21"/>
      <c r="CNE89" s="21"/>
      <c r="CNF89" s="21"/>
      <c r="CNG89" s="21"/>
      <c r="CNH89" s="21"/>
      <c r="CNI89" s="21"/>
      <c r="CNJ89" s="21"/>
      <c r="CNK89" s="21"/>
      <c r="CNL89" s="21"/>
      <c r="CNM89" s="21"/>
      <c r="CNN89" s="21"/>
      <c r="CNO89" s="21"/>
      <c r="CNP89" s="21"/>
      <c r="CNQ89" s="21"/>
      <c r="CNR89" s="21"/>
      <c r="CNS89" s="21"/>
      <c r="CNT89" s="21"/>
      <c r="CNU89" s="21"/>
      <c r="CNV89" s="21"/>
      <c r="CNW89" s="21"/>
      <c r="CNX89" s="21"/>
      <c r="CNY89" s="21"/>
      <c r="CNZ89" s="21"/>
      <c r="COA89" s="21"/>
      <c r="COB89" s="21"/>
      <c r="COC89" s="21"/>
      <c r="COD89" s="21"/>
      <c r="COE89" s="21"/>
      <c r="COF89" s="21"/>
      <c r="COG89" s="21"/>
      <c r="COH89" s="21"/>
      <c r="COI89" s="21"/>
      <c r="COJ89" s="21"/>
      <c r="COK89" s="21"/>
      <c r="COL89" s="21"/>
      <c r="COM89" s="21"/>
      <c r="CON89" s="21"/>
      <c r="COO89" s="21"/>
      <c r="COP89" s="21"/>
      <c r="COQ89" s="21"/>
      <c r="COR89" s="21"/>
      <c r="COS89" s="21"/>
      <c r="COT89" s="21"/>
      <c r="COU89" s="21"/>
      <c r="COV89" s="21"/>
      <c r="COW89" s="21"/>
      <c r="COX89" s="21"/>
      <c r="COY89" s="21"/>
      <c r="COZ89" s="21"/>
      <c r="CPA89" s="21"/>
      <c r="CPB89" s="21"/>
      <c r="CPC89" s="21"/>
      <c r="CPD89" s="21"/>
      <c r="CPE89" s="21"/>
      <c r="CPF89" s="21"/>
      <c r="CPG89" s="21"/>
      <c r="CPH89" s="21"/>
      <c r="CPI89" s="21"/>
      <c r="CPJ89" s="21"/>
      <c r="CPK89" s="21"/>
      <c r="CPL89" s="21"/>
      <c r="CPM89" s="21"/>
      <c r="CPN89" s="21"/>
      <c r="CPO89" s="21"/>
      <c r="CPP89" s="21"/>
      <c r="CPQ89" s="21"/>
      <c r="CPR89" s="21"/>
      <c r="CPS89" s="21"/>
      <c r="CPT89" s="21"/>
      <c r="CPU89" s="21"/>
      <c r="CPV89" s="21"/>
      <c r="CPW89" s="21"/>
      <c r="CPX89" s="21"/>
      <c r="CPY89" s="21"/>
      <c r="CPZ89" s="21"/>
      <c r="CQA89" s="21"/>
      <c r="CQB89" s="21"/>
      <c r="CQC89" s="21"/>
      <c r="CQD89" s="21"/>
      <c r="CQE89" s="21"/>
      <c r="CQF89" s="21"/>
      <c r="CQG89" s="21"/>
      <c r="CQH89" s="21"/>
      <c r="CQI89" s="21"/>
      <c r="CQJ89" s="21"/>
      <c r="CQK89" s="21"/>
      <c r="CQL89" s="21"/>
      <c r="CQM89" s="21"/>
      <c r="CQN89" s="21"/>
      <c r="CQO89" s="21"/>
      <c r="CQP89" s="21"/>
      <c r="CQQ89" s="21"/>
      <c r="CQR89" s="21"/>
      <c r="CQS89" s="21"/>
      <c r="CQT89" s="21"/>
      <c r="CQU89" s="21"/>
      <c r="CQV89" s="21"/>
      <c r="CQW89" s="21"/>
      <c r="CQX89" s="21"/>
      <c r="CQY89" s="21"/>
      <c r="CQZ89" s="21"/>
      <c r="CRA89" s="21"/>
      <c r="CRB89" s="21"/>
      <c r="CRC89" s="21"/>
      <c r="CRD89" s="21"/>
      <c r="CRE89" s="21"/>
      <c r="CRF89" s="21"/>
      <c r="CRG89" s="21"/>
      <c r="CRH89" s="21"/>
      <c r="CRI89" s="21"/>
      <c r="CRJ89" s="21"/>
      <c r="CRK89" s="21"/>
      <c r="CRL89" s="21"/>
      <c r="CRM89" s="21"/>
      <c r="CRN89" s="21"/>
      <c r="CRO89" s="21"/>
      <c r="CRP89" s="21"/>
      <c r="CRQ89" s="21"/>
      <c r="CRR89" s="21"/>
      <c r="CRS89" s="21"/>
      <c r="CRT89" s="21"/>
      <c r="CRU89" s="21"/>
      <c r="CRV89" s="21"/>
      <c r="CRW89" s="21"/>
      <c r="CRX89" s="21"/>
      <c r="CRY89" s="21"/>
      <c r="CRZ89" s="21"/>
      <c r="CSA89" s="21"/>
      <c r="CSB89" s="21"/>
      <c r="CSC89" s="21"/>
      <c r="CSD89" s="21"/>
      <c r="CSE89" s="21"/>
      <c r="CSF89" s="21"/>
      <c r="CSG89" s="21"/>
      <c r="CSH89" s="21"/>
      <c r="CSI89" s="21"/>
      <c r="CSJ89" s="21"/>
      <c r="CSK89" s="21"/>
      <c r="CSL89" s="21"/>
      <c r="CSM89" s="21"/>
      <c r="CSN89" s="21"/>
      <c r="CSO89" s="21"/>
      <c r="CSP89" s="21"/>
      <c r="CSQ89" s="21"/>
      <c r="CSR89" s="21"/>
      <c r="CSS89" s="21"/>
      <c r="CST89" s="21"/>
      <c r="CSU89" s="21"/>
      <c r="CSV89" s="21"/>
      <c r="CSW89" s="21"/>
      <c r="CSX89" s="21"/>
      <c r="CSY89" s="21"/>
      <c r="CSZ89" s="21"/>
      <c r="CTA89" s="21"/>
      <c r="CTB89" s="21"/>
      <c r="CTC89" s="21"/>
      <c r="CTD89" s="21"/>
      <c r="CTE89" s="21"/>
      <c r="CTF89" s="21"/>
      <c r="CTG89" s="21"/>
      <c r="CTH89" s="21"/>
      <c r="CTI89" s="21"/>
      <c r="CTJ89" s="21"/>
      <c r="CTK89" s="21"/>
      <c r="CTL89" s="21"/>
      <c r="CTM89" s="21"/>
      <c r="CTN89" s="21"/>
      <c r="CTO89" s="21"/>
      <c r="CTP89" s="21"/>
      <c r="CTQ89" s="21"/>
      <c r="CTR89" s="21"/>
      <c r="CTS89" s="21"/>
      <c r="CTT89" s="21"/>
      <c r="CTU89" s="21"/>
      <c r="CTV89" s="21"/>
      <c r="CTW89" s="21"/>
      <c r="CTX89" s="21"/>
      <c r="CTY89" s="21"/>
      <c r="CTZ89" s="21"/>
      <c r="CUA89" s="21"/>
      <c r="CUB89" s="21"/>
      <c r="CUC89" s="21"/>
      <c r="CUD89" s="21"/>
      <c r="CUE89" s="21"/>
      <c r="CUF89" s="21"/>
      <c r="CUG89" s="21"/>
      <c r="CUH89" s="21"/>
      <c r="CUI89" s="21"/>
      <c r="CUJ89" s="21"/>
      <c r="CUK89" s="21"/>
      <c r="CUL89" s="21"/>
      <c r="CUM89" s="21"/>
      <c r="CUN89" s="21"/>
      <c r="CUO89" s="21"/>
      <c r="CUP89" s="21"/>
      <c r="CUQ89" s="21"/>
      <c r="CUR89" s="21"/>
      <c r="CUS89" s="21"/>
      <c r="CUT89" s="21"/>
      <c r="CUU89" s="21"/>
      <c r="CUV89" s="21"/>
      <c r="CUW89" s="21"/>
      <c r="CUX89" s="21"/>
      <c r="CUY89" s="21"/>
      <c r="CUZ89" s="21"/>
      <c r="CVA89" s="21"/>
      <c r="CVB89" s="21"/>
      <c r="CVC89" s="21"/>
      <c r="CVD89" s="21"/>
      <c r="CVE89" s="21"/>
      <c r="CVF89" s="21"/>
      <c r="CVG89" s="21"/>
      <c r="CVH89" s="21"/>
      <c r="CVI89" s="21"/>
      <c r="CVJ89" s="21"/>
      <c r="CVK89" s="21"/>
      <c r="CVL89" s="21"/>
      <c r="CVM89" s="21"/>
      <c r="CVN89" s="21"/>
      <c r="CVO89" s="21"/>
      <c r="CVP89" s="21"/>
      <c r="CVQ89" s="21"/>
      <c r="CVR89" s="21"/>
      <c r="CVS89" s="21"/>
      <c r="CVT89" s="21"/>
      <c r="CVU89" s="21"/>
      <c r="CVV89" s="21"/>
      <c r="CVW89" s="21"/>
      <c r="CVX89" s="21"/>
      <c r="CVY89" s="21"/>
      <c r="CVZ89" s="21"/>
      <c r="CWA89" s="21"/>
      <c r="CWB89" s="21"/>
      <c r="CWC89" s="21"/>
      <c r="CWD89" s="21"/>
      <c r="CWE89" s="21"/>
      <c r="CWF89" s="21"/>
      <c r="CWG89" s="21"/>
      <c r="CWH89" s="21"/>
      <c r="CWI89" s="21"/>
      <c r="CWJ89" s="21"/>
      <c r="CWK89" s="21"/>
      <c r="CWL89" s="21"/>
      <c r="CWM89" s="21"/>
      <c r="CWN89" s="21"/>
      <c r="CWO89" s="21"/>
      <c r="CWP89" s="21"/>
      <c r="CWQ89" s="21"/>
      <c r="CWR89" s="21"/>
      <c r="CWS89" s="21"/>
      <c r="CWT89" s="21"/>
      <c r="CWU89" s="21"/>
      <c r="CWV89" s="21"/>
      <c r="CWW89" s="21"/>
      <c r="CWX89" s="21"/>
      <c r="CWY89" s="21"/>
      <c r="CWZ89" s="21"/>
      <c r="CXA89" s="21"/>
      <c r="CXB89" s="21"/>
      <c r="CXC89" s="21"/>
      <c r="CXD89" s="21"/>
      <c r="CXE89" s="21"/>
      <c r="CXF89" s="21"/>
      <c r="CXG89" s="21"/>
      <c r="CXH89" s="21"/>
      <c r="CXI89" s="21"/>
      <c r="CXJ89" s="21"/>
      <c r="CXK89" s="21"/>
      <c r="CXL89" s="21"/>
      <c r="CXM89" s="21"/>
      <c r="CXN89" s="21"/>
      <c r="CXO89" s="21"/>
      <c r="CXP89" s="21"/>
      <c r="CXQ89" s="21"/>
      <c r="CXR89" s="21"/>
      <c r="CXS89" s="21"/>
      <c r="CXT89" s="21"/>
      <c r="CXU89" s="21"/>
      <c r="CXV89" s="21"/>
      <c r="CXW89" s="21"/>
      <c r="CXX89" s="21"/>
      <c r="CXY89" s="21"/>
      <c r="CXZ89" s="21"/>
      <c r="CYA89" s="21"/>
      <c r="CYB89" s="21"/>
      <c r="CYC89" s="21"/>
      <c r="CYD89" s="21"/>
      <c r="CYE89" s="21"/>
      <c r="CYF89" s="21"/>
      <c r="CYG89" s="21"/>
      <c r="CYH89" s="21"/>
      <c r="CYI89" s="21"/>
      <c r="CYJ89" s="21"/>
      <c r="CYK89" s="21"/>
      <c r="CYL89" s="21"/>
      <c r="CYM89" s="21"/>
      <c r="CYN89" s="21"/>
      <c r="CYO89" s="21"/>
      <c r="CYP89" s="21"/>
      <c r="CYQ89" s="21"/>
      <c r="CYR89" s="21"/>
      <c r="CYS89" s="21"/>
      <c r="CYT89" s="21"/>
      <c r="CYU89" s="21"/>
      <c r="CYV89" s="21"/>
      <c r="CYW89" s="21"/>
      <c r="CYX89" s="21"/>
      <c r="CYY89" s="21"/>
      <c r="CYZ89" s="21"/>
      <c r="CZA89" s="21"/>
      <c r="CZB89" s="21"/>
      <c r="CZC89" s="21"/>
      <c r="CZD89" s="21"/>
      <c r="CZE89" s="21"/>
      <c r="CZF89" s="21"/>
      <c r="CZG89" s="21"/>
      <c r="CZH89" s="21"/>
      <c r="CZI89" s="21"/>
      <c r="CZJ89" s="21"/>
      <c r="CZK89" s="21"/>
      <c r="CZL89" s="21"/>
      <c r="CZM89" s="21"/>
      <c r="CZN89" s="21"/>
      <c r="CZO89" s="21"/>
      <c r="CZP89" s="21"/>
      <c r="CZQ89" s="21"/>
      <c r="CZR89" s="21"/>
      <c r="CZS89" s="21"/>
      <c r="CZT89" s="21"/>
      <c r="CZU89" s="21"/>
      <c r="CZV89" s="21"/>
      <c r="CZW89" s="21"/>
      <c r="CZX89" s="21"/>
      <c r="CZY89" s="21"/>
      <c r="CZZ89" s="21"/>
      <c r="DAA89" s="21"/>
      <c r="DAB89" s="21"/>
      <c r="DAC89" s="21"/>
      <c r="DAD89" s="21"/>
      <c r="DAE89" s="21"/>
      <c r="DAF89" s="21"/>
      <c r="DAG89" s="21"/>
      <c r="DAH89" s="21"/>
      <c r="DAI89" s="21"/>
      <c r="DAJ89" s="21"/>
      <c r="DAK89" s="21"/>
      <c r="DAL89" s="21"/>
      <c r="DAM89" s="21"/>
      <c r="DAN89" s="21"/>
      <c r="DAO89" s="21"/>
      <c r="DAP89" s="21"/>
      <c r="DAQ89" s="21"/>
      <c r="DAR89" s="21"/>
      <c r="DAS89" s="21"/>
      <c r="DAT89" s="21"/>
      <c r="DAU89" s="21"/>
      <c r="DAV89" s="21"/>
      <c r="DAW89" s="21"/>
      <c r="DAX89" s="21"/>
      <c r="DAY89" s="21"/>
      <c r="DAZ89" s="21"/>
      <c r="DBA89" s="21"/>
      <c r="DBB89" s="21"/>
      <c r="DBC89" s="21"/>
      <c r="DBD89" s="21"/>
      <c r="DBE89" s="21"/>
      <c r="DBF89" s="21"/>
      <c r="DBG89" s="21"/>
      <c r="DBH89" s="21"/>
      <c r="DBI89" s="21"/>
      <c r="DBJ89" s="21"/>
      <c r="DBK89" s="21"/>
      <c r="DBL89" s="21"/>
      <c r="DBM89" s="21"/>
      <c r="DBN89" s="21"/>
      <c r="DBO89" s="21"/>
      <c r="DBP89" s="21"/>
      <c r="DBQ89" s="21"/>
      <c r="DBR89" s="21"/>
      <c r="DBS89" s="21"/>
      <c r="DBT89" s="21"/>
      <c r="DBU89" s="21"/>
      <c r="DBV89" s="21"/>
      <c r="DBW89" s="21"/>
      <c r="DBX89" s="21"/>
      <c r="DBY89" s="21"/>
      <c r="DBZ89" s="21"/>
      <c r="DCA89" s="21"/>
      <c r="DCB89" s="21"/>
      <c r="DCC89" s="21"/>
      <c r="DCD89" s="21"/>
      <c r="DCE89" s="21"/>
      <c r="DCF89" s="21"/>
      <c r="DCG89" s="21"/>
      <c r="DCH89" s="21"/>
      <c r="DCI89" s="21"/>
      <c r="DCJ89" s="21"/>
      <c r="DCK89" s="21"/>
      <c r="DCL89" s="21"/>
      <c r="DCM89" s="21"/>
      <c r="DCN89" s="21"/>
      <c r="DCO89" s="21"/>
      <c r="DCP89" s="21"/>
      <c r="DCQ89" s="21"/>
      <c r="DCR89" s="21"/>
      <c r="DCS89" s="21"/>
      <c r="DCT89" s="21"/>
      <c r="DCU89" s="21"/>
      <c r="DCV89" s="21"/>
      <c r="DCW89" s="21"/>
      <c r="DCX89" s="21"/>
      <c r="DCY89" s="21"/>
      <c r="DCZ89" s="21"/>
      <c r="DDA89" s="21"/>
      <c r="DDB89" s="21"/>
      <c r="DDC89" s="21"/>
      <c r="DDD89" s="21"/>
      <c r="DDE89" s="21"/>
      <c r="DDF89" s="21"/>
      <c r="DDG89" s="21"/>
      <c r="DDH89" s="21"/>
      <c r="DDI89" s="21"/>
      <c r="DDJ89" s="21"/>
      <c r="DDK89" s="21"/>
      <c r="DDL89" s="21"/>
      <c r="DDM89" s="21"/>
      <c r="DDN89" s="21"/>
      <c r="DDO89" s="21"/>
      <c r="DDP89" s="21"/>
      <c r="DDQ89" s="21"/>
      <c r="DDR89" s="21"/>
      <c r="DDS89" s="21"/>
      <c r="DDT89" s="21"/>
      <c r="DDU89" s="21"/>
      <c r="DDV89" s="21"/>
      <c r="DDW89" s="21"/>
      <c r="DDX89" s="21"/>
      <c r="DDY89" s="21"/>
      <c r="DDZ89" s="21"/>
      <c r="DEA89" s="21"/>
      <c r="DEB89" s="21"/>
      <c r="DEC89" s="21"/>
      <c r="DED89" s="21"/>
      <c r="DEE89" s="21"/>
      <c r="DEF89" s="21"/>
      <c r="DEG89" s="21"/>
      <c r="DEH89" s="21"/>
      <c r="DEI89" s="21"/>
      <c r="DEJ89" s="21"/>
      <c r="DEK89" s="21"/>
      <c r="DEL89" s="21"/>
      <c r="DEM89" s="21"/>
      <c r="DEN89" s="21"/>
      <c r="DEO89" s="21"/>
      <c r="DEP89" s="21"/>
      <c r="DEQ89" s="21"/>
      <c r="DER89" s="21"/>
      <c r="DES89" s="21"/>
      <c r="DET89" s="21"/>
      <c r="DEU89" s="21"/>
      <c r="DEV89" s="21"/>
      <c r="DEW89" s="21"/>
      <c r="DEX89" s="21"/>
      <c r="DEY89" s="21"/>
      <c r="DEZ89" s="21"/>
      <c r="DFA89" s="21"/>
      <c r="DFB89" s="21"/>
      <c r="DFC89" s="21"/>
      <c r="DFD89" s="21"/>
      <c r="DFE89" s="21"/>
      <c r="DFF89" s="21"/>
      <c r="DFG89" s="21"/>
      <c r="DFH89" s="21"/>
      <c r="DFI89" s="21"/>
      <c r="DFJ89" s="21"/>
      <c r="DFK89" s="21"/>
      <c r="DFL89" s="21"/>
      <c r="DFM89" s="21"/>
      <c r="DFN89" s="21"/>
      <c r="DFO89" s="21"/>
      <c r="DFP89" s="21"/>
      <c r="DFQ89" s="21"/>
      <c r="DFR89" s="21"/>
      <c r="DFS89" s="21"/>
      <c r="DFT89" s="21"/>
      <c r="DFU89" s="21"/>
      <c r="DFV89" s="21"/>
      <c r="DFW89" s="21"/>
      <c r="DFX89" s="21"/>
      <c r="DFY89" s="21"/>
      <c r="DFZ89" s="21"/>
      <c r="DGA89" s="21"/>
      <c r="DGB89" s="21"/>
      <c r="DGC89" s="21"/>
      <c r="DGD89" s="21"/>
      <c r="DGE89" s="21"/>
      <c r="DGF89" s="21"/>
      <c r="DGG89" s="21"/>
      <c r="DGH89" s="21"/>
      <c r="DGI89" s="21"/>
      <c r="DGJ89" s="21"/>
      <c r="DGK89" s="21"/>
      <c r="DGL89" s="21"/>
      <c r="DGM89" s="21"/>
      <c r="DGN89" s="21"/>
      <c r="DGO89" s="21"/>
      <c r="DGP89" s="21"/>
      <c r="DGQ89" s="21"/>
      <c r="DGR89" s="21"/>
      <c r="DGS89" s="21"/>
      <c r="DGT89" s="21"/>
      <c r="DGU89" s="21"/>
      <c r="DGV89" s="21"/>
      <c r="DGW89" s="21"/>
      <c r="DGX89" s="21"/>
      <c r="DGY89" s="21"/>
      <c r="DGZ89" s="21"/>
      <c r="DHA89" s="21"/>
      <c r="DHB89" s="21"/>
      <c r="DHC89" s="21"/>
      <c r="DHD89" s="21"/>
      <c r="DHE89" s="21"/>
      <c r="DHF89" s="21"/>
      <c r="DHG89" s="21"/>
      <c r="DHH89" s="21"/>
      <c r="DHI89" s="21"/>
      <c r="DHJ89" s="21"/>
      <c r="DHK89" s="21"/>
      <c r="DHL89" s="21"/>
      <c r="DHM89" s="21"/>
      <c r="DHN89" s="21"/>
      <c r="DHO89" s="21"/>
      <c r="DHP89" s="21"/>
      <c r="DHQ89" s="21"/>
      <c r="DHR89" s="21"/>
      <c r="DHS89" s="21"/>
      <c r="DHT89" s="21"/>
      <c r="DHU89" s="21"/>
      <c r="DHV89" s="21"/>
      <c r="DHW89" s="21"/>
      <c r="DHX89" s="21"/>
      <c r="DHY89" s="21"/>
      <c r="DHZ89" s="21"/>
      <c r="DIA89" s="21"/>
      <c r="DIB89" s="21"/>
      <c r="DIC89" s="21"/>
      <c r="DID89" s="21"/>
      <c r="DIE89" s="21"/>
      <c r="DIF89" s="21"/>
      <c r="DIG89" s="21"/>
      <c r="DIH89" s="21"/>
      <c r="DII89" s="21"/>
      <c r="DIJ89" s="21"/>
      <c r="DIK89" s="21"/>
      <c r="DIL89" s="21"/>
      <c r="DIM89" s="21"/>
      <c r="DIN89" s="21"/>
      <c r="DIO89" s="21"/>
      <c r="DIP89" s="21"/>
      <c r="DIQ89" s="21"/>
      <c r="DIR89" s="21"/>
      <c r="DIS89" s="21"/>
      <c r="DIT89" s="21"/>
      <c r="DIU89" s="21"/>
      <c r="DIV89" s="21"/>
      <c r="DIW89" s="21"/>
      <c r="DIX89" s="21"/>
      <c r="DIY89" s="21"/>
      <c r="DIZ89" s="21"/>
      <c r="DJA89" s="21"/>
      <c r="DJB89" s="21"/>
      <c r="DJC89" s="21"/>
      <c r="DJD89" s="21"/>
      <c r="DJE89" s="21"/>
      <c r="DJF89" s="21"/>
      <c r="DJG89" s="21"/>
      <c r="DJH89" s="21"/>
      <c r="DJI89" s="21"/>
      <c r="DJJ89" s="21"/>
      <c r="DJK89" s="21"/>
      <c r="DJL89" s="21"/>
      <c r="DJM89" s="21"/>
      <c r="DJN89" s="21"/>
      <c r="DJO89" s="21"/>
      <c r="DJP89" s="21"/>
      <c r="DJQ89" s="21"/>
      <c r="DJR89" s="21"/>
      <c r="DJS89" s="21"/>
      <c r="DJT89" s="21"/>
      <c r="DJU89" s="21"/>
      <c r="DJV89" s="21"/>
      <c r="DJW89" s="21"/>
      <c r="DJX89" s="21"/>
      <c r="DJY89" s="21"/>
      <c r="DJZ89" s="21"/>
      <c r="DKA89" s="21"/>
      <c r="DKB89" s="21"/>
      <c r="DKC89" s="21"/>
      <c r="DKD89" s="21"/>
      <c r="DKE89" s="21"/>
      <c r="DKF89" s="21"/>
      <c r="DKG89" s="21"/>
      <c r="DKH89" s="21"/>
      <c r="DKI89" s="21"/>
      <c r="DKJ89" s="21"/>
      <c r="DKK89" s="21"/>
      <c r="DKL89" s="21"/>
      <c r="DKM89" s="21"/>
      <c r="DKN89" s="21"/>
      <c r="DKO89" s="21"/>
      <c r="DKP89" s="21"/>
      <c r="DKQ89" s="21"/>
      <c r="DKR89" s="21"/>
      <c r="DKS89" s="21"/>
      <c r="DKT89" s="21"/>
      <c r="DKU89" s="21"/>
      <c r="DKV89" s="21"/>
      <c r="DKW89" s="21"/>
      <c r="DKX89" s="21"/>
      <c r="DKY89" s="21"/>
      <c r="DKZ89" s="21"/>
      <c r="DLA89" s="21"/>
      <c r="DLB89" s="21"/>
      <c r="DLC89" s="21"/>
      <c r="DLD89" s="21"/>
      <c r="DLE89" s="21"/>
      <c r="DLF89" s="21"/>
      <c r="DLG89" s="21"/>
      <c r="DLH89" s="21"/>
      <c r="DLI89" s="21"/>
      <c r="DLJ89" s="21"/>
      <c r="DLK89" s="21"/>
      <c r="DLL89" s="21"/>
      <c r="DLM89" s="21"/>
      <c r="DLN89" s="21"/>
      <c r="DLO89" s="21"/>
      <c r="DLP89" s="21"/>
      <c r="DLQ89" s="21"/>
      <c r="DLR89" s="21"/>
      <c r="DLS89" s="21"/>
      <c r="DLT89" s="21"/>
      <c r="DLU89" s="21"/>
      <c r="DLV89" s="21"/>
      <c r="DLW89" s="21"/>
      <c r="DLX89" s="21"/>
      <c r="DLY89" s="21"/>
      <c r="DLZ89" s="21"/>
      <c r="DMA89" s="21"/>
      <c r="DMB89" s="21"/>
      <c r="DMC89" s="21"/>
      <c r="DMD89" s="21"/>
      <c r="DME89" s="21"/>
      <c r="DMF89" s="21"/>
      <c r="DMG89" s="21"/>
      <c r="DMH89" s="21"/>
      <c r="DMI89" s="21"/>
      <c r="DMJ89" s="21"/>
      <c r="DMK89" s="21"/>
      <c r="DML89" s="21"/>
      <c r="DMM89" s="21"/>
      <c r="DMN89" s="21"/>
      <c r="DMO89" s="21"/>
      <c r="DMP89" s="21"/>
      <c r="DMQ89" s="21"/>
      <c r="DMR89" s="21"/>
      <c r="DMS89" s="21"/>
      <c r="DMT89" s="21"/>
      <c r="DMU89" s="21"/>
      <c r="DMV89" s="21"/>
      <c r="DMW89" s="21"/>
      <c r="DMX89" s="21"/>
      <c r="DMY89" s="21"/>
      <c r="DMZ89" s="21"/>
      <c r="DNA89" s="21"/>
      <c r="DNB89" s="21"/>
      <c r="DNC89" s="21"/>
      <c r="DND89" s="21"/>
      <c r="DNE89" s="21"/>
      <c r="DNF89" s="21"/>
      <c r="DNG89" s="21"/>
      <c r="DNH89" s="21"/>
      <c r="DNI89" s="21"/>
      <c r="DNJ89" s="21"/>
      <c r="DNK89" s="21"/>
      <c r="DNL89" s="21"/>
      <c r="DNM89" s="21"/>
      <c r="DNN89" s="21"/>
      <c r="DNO89" s="21"/>
      <c r="DNP89" s="21"/>
      <c r="DNQ89" s="21"/>
      <c r="DNR89" s="21"/>
      <c r="DNS89" s="21"/>
      <c r="DNT89" s="21"/>
      <c r="DNU89" s="21"/>
      <c r="DNV89" s="21"/>
      <c r="DNW89" s="21"/>
      <c r="DNX89" s="21"/>
      <c r="DNY89" s="21"/>
      <c r="DNZ89" s="21"/>
      <c r="DOA89" s="21"/>
      <c r="DOB89" s="21"/>
      <c r="DOC89" s="21"/>
      <c r="DOD89" s="21"/>
      <c r="DOE89" s="21"/>
      <c r="DOF89" s="21"/>
      <c r="DOG89" s="21"/>
      <c r="DOH89" s="21"/>
      <c r="DOI89" s="21"/>
      <c r="DOJ89" s="21"/>
      <c r="DOK89" s="21"/>
      <c r="DOL89" s="21"/>
      <c r="DOM89" s="21"/>
      <c r="DON89" s="21"/>
      <c r="DOO89" s="21"/>
      <c r="DOP89" s="21"/>
      <c r="DOQ89" s="21"/>
      <c r="DOR89" s="21"/>
      <c r="DOS89" s="21"/>
      <c r="DOT89" s="21"/>
      <c r="DOU89" s="21"/>
      <c r="DOV89" s="21"/>
      <c r="DOW89" s="21"/>
      <c r="DOX89" s="21"/>
      <c r="DOY89" s="21"/>
      <c r="DOZ89" s="21"/>
      <c r="DPA89" s="21"/>
      <c r="DPB89" s="21"/>
      <c r="DPC89" s="21"/>
      <c r="DPD89" s="21"/>
      <c r="DPE89" s="21"/>
      <c r="DPF89" s="21"/>
      <c r="DPG89" s="21"/>
      <c r="DPH89" s="21"/>
      <c r="DPI89" s="21"/>
      <c r="DPJ89" s="21"/>
      <c r="DPK89" s="21"/>
      <c r="DPL89" s="21"/>
      <c r="DPM89" s="21"/>
      <c r="DPN89" s="21"/>
      <c r="DPO89" s="21"/>
      <c r="DPP89" s="21"/>
      <c r="DPQ89" s="21"/>
      <c r="DPR89" s="21"/>
      <c r="DPS89" s="21"/>
      <c r="DPT89" s="21"/>
      <c r="DPU89" s="21"/>
      <c r="DPV89" s="21"/>
      <c r="DPW89" s="21"/>
      <c r="DPX89" s="21"/>
      <c r="DPY89" s="21"/>
      <c r="DPZ89" s="21"/>
      <c r="DQA89" s="21"/>
      <c r="DQB89" s="21"/>
      <c r="DQC89" s="21"/>
      <c r="DQD89" s="21"/>
      <c r="DQE89" s="21"/>
      <c r="DQF89" s="21"/>
      <c r="DQG89" s="21"/>
      <c r="DQH89" s="21"/>
      <c r="DQI89" s="21"/>
      <c r="DQJ89" s="21"/>
      <c r="DQK89" s="21"/>
      <c r="DQL89" s="21"/>
      <c r="DQM89" s="21"/>
      <c r="DQN89" s="21"/>
      <c r="DQO89" s="21"/>
      <c r="DQP89" s="21"/>
      <c r="DQQ89" s="21"/>
      <c r="DQR89" s="21"/>
      <c r="DQS89" s="21"/>
      <c r="DQT89" s="21"/>
      <c r="DQU89" s="21"/>
      <c r="DQV89" s="21"/>
      <c r="DQW89" s="21"/>
      <c r="DQX89" s="21"/>
      <c r="DQY89" s="21"/>
      <c r="DQZ89" s="21"/>
      <c r="DRA89" s="21"/>
      <c r="DRB89" s="21"/>
      <c r="DRC89" s="21"/>
      <c r="DRD89" s="21"/>
      <c r="DRE89" s="21"/>
      <c r="DRF89" s="21"/>
      <c r="DRG89" s="21"/>
      <c r="DRH89" s="21"/>
      <c r="DRI89" s="21"/>
      <c r="DRJ89" s="21"/>
      <c r="DRK89" s="21"/>
      <c r="DRL89" s="21"/>
      <c r="DRM89" s="21"/>
      <c r="DRN89" s="21"/>
      <c r="DRO89" s="21"/>
      <c r="DRP89" s="21"/>
      <c r="DRQ89" s="21"/>
      <c r="DRR89" s="21"/>
      <c r="DRS89" s="21"/>
      <c r="DRT89" s="21"/>
      <c r="DRU89" s="21"/>
      <c r="DRV89" s="21"/>
      <c r="DRW89" s="21"/>
      <c r="DRX89" s="21"/>
      <c r="DRY89" s="21"/>
      <c r="DRZ89" s="21"/>
      <c r="DSA89" s="21"/>
      <c r="DSB89" s="21"/>
      <c r="DSC89" s="21"/>
      <c r="DSD89" s="21"/>
      <c r="DSE89" s="21"/>
      <c r="DSF89" s="21"/>
      <c r="DSG89" s="21"/>
      <c r="DSH89" s="21"/>
      <c r="DSI89" s="21"/>
      <c r="DSJ89" s="21"/>
      <c r="DSK89" s="21"/>
      <c r="DSL89" s="21"/>
      <c r="DSM89" s="21"/>
      <c r="DSN89" s="21"/>
      <c r="DSO89" s="21"/>
      <c r="DSP89" s="21"/>
      <c r="DSQ89" s="21"/>
      <c r="DSR89" s="21"/>
      <c r="DSS89" s="21"/>
      <c r="DST89" s="21"/>
      <c r="DSU89" s="21"/>
      <c r="DSV89" s="21"/>
      <c r="DSW89" s="21"/>
      <c r="DSX89" s="21"/>
      <c r="DSY89" s="21"/>
      <c r="DSZ89" s="21"/>
      <c r="DTA89" s="21"/>
      <c r="DTB89" s="21"/>
      <c r="DTC89" s="21"/>
      <c r="DTD89" s="21"/>
      <c r="DTE89" s="21"/>
      <c r="DTF89" s="21"/>
      <c r="DTG89" s="21"/>
      <c r="DTH89" s="21"/>
      <c r="DTI89" s="21"/>
      <c r="DTJ89" s="21"/>
      <c r="DTK89" s="21"/>
      <c r="DTL89" s="21"/>
      <c r="DTM89" s="21"/>
      <c r="DTN89" s="21"/>
      <c r="DTO89" s="21"/>
      <c r="DTP89" s="21"/>
      <c r="DTQ89" s="21"/>
      <c r="DTR89" s="21"/>
      <c r="DTS89" s="21"/>
      <c r="DTT89" s="21"/>
      <c r="DTU89" s="21"/>
      <c r="DTV89" s="21"/>
      <c r="DTW89" s="21"/>
      <c r="DTX89" s="21"/>
      <c r="DTY89" s="21"/>
      <c r="DTZ89" s="21"/>
      <c r="DUA89" s="21"/>
      <c r="DUB89" s="21"/>
      <c r="DUC89" s="21"/>
      <c r="DUD89" s="21"/>
      <c r="DUE89" s="21"/>
      <c r="DUF89" s="21"/>
      <c r="DUG89" s="21"/>
      <c r="DUH89" s="21"/>
      <c r="DUI89" s="21"/>
      <c r="DUJ89" s="21"/>
      <c r="DUK89" s="21"/>
      <c r="DUL89" s="21"/>
      <c r="DUM89" s="21"/>
      <c r="DUN89" s="21"/>
      <c r="DUO89" s="21"/>
      <c r="DUP89" s="21"/>
      <c r="DUQ89" s="21"/>
      <c r="DUR89" s="21"/>
      <c r="DUS89" s="21"/>
      <c r="DUT89" s="21"/>
      <c r="DUU89" s="21"/>
      <c r="DUV89" s="21"/>
      <c r="DUW89" s="21"/>
      <c r="DUX89" s="21"/>
      <c r="DUY89" s="21"/>
      <c r="DUZ89" s="21"/>
      <c r="DVA89" s="21"/>
      <c r="DVB89" s="21"/>
      <c r="DVC89" s="21"/>
      <c r="DVD89" s="21"/>
      <c r="DVE89" s="21"/>
      <c r="DVF89" s="21"/>
      <c r="DVG89" s="21"/>
      <c r="DVH89" s="21"/>
      <c r="DVI89" s="21"/>
      <c r="DVJ89" s="21"/>
      <c r="DVK89" s="21"/>
      <c r="DVL89" s="21"/>
      <c r="DVM89" s="21"/>
      <c r="DVN89" s="21"/>
      <c r="DVO89" s="21"/>
      <c r="DVP89" s="21"/>
      <c r="DVQ89" s="21"/>
      <c r="DVR89" s="21"/>
      <c r="DVS89" s="21"/>
      <c r="DVT89" s="21"/>
      <c r="DVU89" s="21"/>
      <c r="DVV89" s="21"/>
      <c r="DVW89" s="21"/>
      <c r="DVX89" s="21"/>
      <c r="DVY89" s="21"/>
      <c r="DVZ89" s="21"/>
      <c r="DWA89" s="21"/>
      <c r="DWB89" s="21"/>
      <c r="DWC89" s="21"/>
      <c r="DWD89" s="21"/>
      <c r="DWE89" s="21"/>
      <c r="DWF89" s="21"/>
      <c r="DWG89" s="21"/>
      <c r="DWH89" s="21"/>
      <c r="DWI89" s="21"/>
      <c r="DWJ89" s="21"/>
      <c r="DWK89" s="21"/>
      <c r="DWL89" s="21"/>
      <c r="DWM89" s="21"/>
      <c r="DWN89" s="21"/>
      <c r="DWO89" s="21"/>
      <c r="DWP89" s="21"/>
      <c r="DWQ89" s="21"/>
      <c r="DWR89" s="21"/>
      <c r="DWS89" s="21"/>
      <c r="DWT89" s="21"/>
      <c r="DWU89" s="21"/>
      <c r="DWV89" s="21"/>
      <c r="DWW89" s="21"/>
      <c r="DWX89" s="21"/>
      <c r="DWY89" s="21"/>
      <c r="DWZ89" s="21"/>
      <c r="DXA89" s="21"/>
      <c r="DXB89" s="21"/>
      <c r="DXC89" s="21"/>
      <c r="DXD89" s="21"/>
      <c r="DXE89" s="21"/>
      <c r="DXF89" s="21"/>
      <c r="DXG89" s="21"/>
      <c r="DXH89" s="21"/>
      <c r="DXI89" s="21"/>
      <c r="DXJ89" s="21"/>
      <c r="DXK89" s="21"/>
      <c r="DXL89" s="21"/>
      <c r="DXM89" s="21"/>
      <c r="DXN89" s="21"/>
      <c r="DXO89" s="21"/>
      <c r="DXP89" s="21"/>
      <c r="DXQ89" s="21"/>
      <c r="DXR89" s="21"/>
      <c r="DXS89" s="21"/>
      <c r="DXT89" s="21"/>
      <c r="DXU89" s="21"/>
      <c r="DXV89" s="21"/>
      <c r="DXW89" s="21"/>
      <c r="DXX89" s="21"/>
      <c r="DXY89" s="21"/>
      <c r="DXZ89" s="21"/>
      <c r="DYA89" s="21"/>
      <c r="DYB89" s="21"/>
      <c r="DYC89" s="21"/>
      <c r="DYD89" s="21"/>
      <c r="DYE89" s="21"/>
      <c r="DYF89" s="21"/>
      <c r="DYG89" s="21"/>
      <c r="DYH89" s="21"/>
      <c r="DYI89" s="21"/>
      <c r="DYJ89" s="21"/>
      <c r="DYK89" s="21"/>
      <c r="DYL89" s="21"/>
      <c r="DYM89" s="21"/>
      <c r="DYN89" s="21"/>
      <c r="DYO89" s="21"/>
      <c r="DYP89" s="21"/>
      <c r="DYQ89" s="21"/>
      <c r="DYR89" s="21"/>
      <c r="DYS89" s="21"/>
      <c r="DYT89" s="21"/>
      <c r="DYU89" s="21"/>
      <c r="DYV89" s="21"/>
      <c r="DYW89" s="21"/>
      <c r="DYX89" s="21"/>
      <c r="DYY89" s="21"/>
      <c r="DYZ89" s="21"/>
      <c r="DZA89" s="21"/>
      <c r="DZB89" s="21"/>
      <c r="DZC89" s="21"/>
      <c r="DZD89" s="21"/>
      <c r="DZE89" s="21"/>
      <c r="DZF89" s="21"/>
      <c r="DZG89" s="21"/>
      <c r="DZH89" s="21"/>
      <c r="DZI89" s="21"/>
      <c r="DZJ89" s="21"/>
      <c r="DZK89" s="21"/>
      <c r="DZL89" s="21"/>
      <c r="DZM89" s="21"/>
      <c r="DZN89" s="21"/>
      <c r="DZO89" s="21"/>
      <c r="DZP89" s="21"/>
      <c r="DZQ89" s="21"/>
      <c r="DZR89" s="21"/>
      <c r="DZS89" s="21"/>
      <c r="DZT89" s="21"/>
      <c r="DZU89" s="21"/>
      <c r="DZV89" s="21"/>
      <c r="DZW89" s="21"/>
      <c r="DZX89" s="21"/>
      <c r="DZY89" s="21"/>
      <c r="DZZ89" s="21"/>
      <c r="EAA89" s="21"/>
      <c r="EAB89" s="21"/>
      <c r="EAC89" s="21"/>
      <c r="EAD89" s="21"/>
      <c r="EAE89" s="21"/>
      <c r="EAF89" s="21"/>
      <c r="EAG89" s="21"/>
      <c r="EAH89" s="21"/>
      <c r="EAI89" s="21"/>
      <c r="EAJ89" s="21"/>
      <c r="EAK89" s="21"/>
      <c r="EAL89" s="21"/>
      <c r="EAM89" s="21"/>
      <c r="EAN89" s="21"/>
      <c r="EAO89" s="21"/>
      <c r="EAP89" s="21"/>
      <c r="EAQ89" s="21"/>
      <c r="EAR89" s="21"/>
      <c r="EAS89" s="21"/>
      <c r="EAT89" s="21"/>
      <c r="EAU89" s="21"/>
      <c r="EAV89" s="21"/>
      <c r="EAW89" s="21"/>
      <c r="EAX89" s="21"/>
      <c r="EAY89" s="21"/>
      <c r="EAZ89" s="21"/>
      <c r="EBA89" s="21"/>
      <c r="EBB89" s="21"/>
      <c r="EBC89" s="21"/>
      <c r="EBD89" s="21"/>
      <c r="EBE89" s="21"/>
      <c r="EBF89" s="21"/>
      <c r="EBG89" s="21"/>
      <c r="EBH89" s="21"/>
      <c r="EBI89" s="21"/>
      <c r="EBJ89" s="21"/>
      <c r="EBK89" s="21"/>
      <c r="EBL89" s="21"/>
      <c r="EBM89" s="21"/>
      <c r="EBN89" s="21"/>
      <c r="EBO89" s="21"/>
      <c r="EBP89" s="21"/>
      <c r="EBQ89" s="21"/>
      <c r="EBR89" s="21"/>
      <c r="EBS89" s="21"/>
      <c r="EBT89" s="21"/>
      <c r="EBU89" s="21"/>
      <c r="EBV89" s="21"/>
      <c r="EBW89" s="21"/>
      <c r="EBX89" s="21"/>
      <c r="EBY89" s="21"/>
      <c r="EBZ89" s="21"/>
      <c r="ECA89" s="21"/>
      <c r="ECB89" s="21"/>
      <c r="ECC89" s="21"/>
      <c r="ECD89" s="21"/>
      <c r="ECE89" s="21"/>
      <c r="ECF89" s="21"/>
      <c r="ECG89" s="21"/>
      <c r="ECH89" s="21"/>
      <c r="ECI89" s="21"/>
      <c r="ECJ89" s="21"/>
      <c r="ECK89" s="21"/>
      <c r="ECL89" s="21"/>
      <c r="ECM89" s="21"/>
      <c r="ECN89" s="21"/>
      <c r="ECO89" s="21"/>
      <c r="ECP89" s="21"/>
      <c r="ECQ89" s="21"/>
      <c r="ECR89" s="21"/>
      <c r="ECS89" s="21"/>
      <c r="ECT89" s="21"/>
      <c r="ECU89" s="21"/>
      <c r="ECV89" s="21"/>
      <c r="ECW89" s="21"/>
      <c r="ECX89" s="21"/>
      <c r="ECY89" s="21"/>
      <c r="ECZ89" s="21"/>
      <c r="EDA89" s="21"/>
      <c r="EDB89" s="21"/>
      <c r="EDC89" s="21"/>
      <c r="EDD89" s="21"/>
      <c r="EDE89" s="21"/>
      <c r="EDF89" s="21"/>
      <c r="EDG89" s="21"/>
      <c r="EDH89" s="21"/>
      <c r="EDI89" s="21"/>
      <c r="EDJ89" s="21"/>
      <c r="EDK89" s="21"/>
      <c r="EDL89" s="21"/>
      <c r="EDM89" s="21"/>
      <c r="EDN89" s="21"/>
      <c r="EDO89" s="21"/>
      <c r="EDP89" s="21"/>
      <c r="EDQ89" s="21"/>
      <c r="EDR89" s="21"/>
      <c r="EDS89" s="21"/>
      <c r="EDT89" s="21"/>
      <c r="EDU89" s="21"/>
      <c r="EDV89" s="21"/>
      <c r="EDW89" s="21"/>
      <c r="EDX89" s="21"/>
      <c r="EDY89" s="21"/>
      <c r="EDZ89" s="21"/>
      <c r="EEA89" s="21"/>
      <c r="EEB89" s="21"/>
      <c r="EEC89" s="21"/>
      <c r="EED89" s="21"/>
      <c r="EEE89" s="21"/>
      <c r="EEF89" s="21"/>
      <c r="EEG89" s="21"/>
      <c r="EEH89" s="21"/>
      <c r="EEI89" s="21"/>
      <c r="EEJ89" s="21"/>
      <c r="EEK89" s="21"/>
      <c r="EEL89" s="21"/>
      <c r="EEM89" s="21"/>
      <c r="EEN89" s="21"/>
      <c r="EEO89" s="21"/>
      <c r="EEP89" s="21"/>
      <c r="EEQ89" s="21"/>
      <c r="EER89" s="21"/>
      <c r="EES89" s="21"/>
      <c r="EET89" s="21"/>
      <c r="EEU89" s="21"/>
      <c r="EEV89" s="21"/>
      <c r="EEW89" s="21"/>
      <c r="EEX89" s="21"/>
      <c r="EEY89" s="21"/>
      <c r="EEZ89" s="21"/>
      <c r="EFA89" s="21"/>
      <c r="EFB89" s="21"/>
      <c r="EFC89" s="21"/>
      <c r="EFD89" s="21"/>
      <c r="EFE89" s="21"/>
      <c r="EFF89" s="21"/>
      <c r="EFG89" s="21"/>
      <c r="EFH89" s="21"/>
      <c r="EFI89" s="21"/>
      <c r="EFJ89" s="21"/>
      <c r="EFK89" s="21"/>
      <c r="EFL89" s="21"/>
      <c r="EFM89" s="21"/>
      <c r="EFN89" s="21"/>
      <c r="EFO89" s="21"/>
      <c r="EFP89" s="21"/>
      <c r="EFQ89" s="21"/>
      <c r="EFR89" s="21"/>
      <c r="EFS89" s="21"/>
      <c r="EFT89" s="21"/>
      <c r="EFU89" s="21"/>
      <c r="EFV89" s="21"/>
      <c r="EFW89" s="21"/>
      <c r="EFX89" s="21"/>
      <c r="EFY89" s="21"/>
      <c r="EFZ89" s="21"/>
      <c r="EGA89" s="21"/>
      <c r="EGB89" s="21"/>
      <c r="EGC89" s="21"/>
      <c r="EGD89" s="21"/>
      <c r="EGE89" s="21"/>
      <c r="EGF89" s="21"/>
      <c r="EGG89" s="21"/>
      <c r="EGH89" s="21"/>
      <c r="EGI89" s="21"/>
      <c r="EGJ89" s="21"/>
      <c r="EGK89" s="21"/>
      <c r="EGL89" s="21"/>
      <c r="EGM89" s="21"/>
      <c r="EGN89" s="21"/>
      <c r="EGO89" s="21"/>
      <c r="EGP89" s="21"/>
      <c r="EGQ89" s="21"/>
      <c r="EGR89" s="21"/>
      <c r="EGS89" s="21"/>
      <c r="EGT89" s="21"/>
      <c r="EGU89" s="21"/>
      <c r="EGV89" s="21"/>
      <c r="EGW89" s="21"/>
      <c r="EGX89" s="21"/>
      <c r="EGY89" s="21"/>
      <c r="EGZ89" s="21"/>
      <c r="EHA89" s="21"/>
      <c r="EHB89" s="21"/>
      <c r="EHC89" s="21"/>
      <c r="EHD89" s="21"/>
      <c r="EHE89" s="21"/>
      <c r="EHF89" s="21"/>
      <c r="EHG89" s="21"/>
      <c r="EHH89" s="21"/>
      <c r="EHI89" s="21"/>
      <c r="EHJ89" s="21"/>
      <c r="EHK89" s="21"/>
      <c r="EHL89" s="21"/>
      <c r="EHM89" s="21"/>
      <c r="EHN89" s="21"/>
      <c r="EHO89" s="21"/>
      <c r="EHP89" s="21"/>
      <c r="EHQ89" s="21"/>
      <c r="EHR89" s="21"/>
      <c r="EHS89" s="21"/>
      <c r="EHT89" s="21"/>
      <c r="EHU89" s="21"/>
      <c r="EHV89" s="21"/>
      <c r="EHW89" s="21"/>
      <c r="EHX89" s="21"/>
      <c r="EHY89" s="21"/>
      <c r="EHZ89" s="21"/>
      <c r="EIA89" s="21"/>
      <c r="EIB89" s="21"/>
      <c r="EIC89" s="21"/>
      <c r="EID89" s="21"/>
      <c r="EIE89" s="21"/>
      <c r="EIF89" s="21"/>
      <c r="EIG89" s="21"/>
      <c r="EIH89" s="21"/>
      <c r="EII89" s="21"/>
      <c r="EIJ89" s="21"/>
      <c r="EIK89" s="21"/>
      <c r="EIL89" s="21"/>
      <c r="EIM89" s="21"/>
      <c r="EIN89" s="21"/>
      <c r="EIO89" s="21"/>
      <c r="EIP89" s="21"/>
      <c r="EIQ89" s="21"/>
      <c r="EIR89" s="21"/>
      <c r="EIS89" s="21"/>
      <c r="EIT89" s="21"/>
      <c r="EIU89" s="21"/>
      <c r="EIV89" s="21"/>
      <c r="EIW89" s="21"/>
      <c r="EIX89" s="21"/>
      <c r="EIY89" s="21"/>
      <c r="EIZ89" s="21"/>
      <c r="EJA89" s="21"/>
      <c r="EJB89" s="21"/>
      <c r="EJC89" s="21"/>
      <c r="EJD89" s="21"/>
      <c r="EJE89" s="21"/>
      <c r="EJF89" s="21"/>
      <c r="EJG89" s="21"/>
      <c r="EJH89" s="21"/>
      <c r="EJI89" s="21"/>
      <c r="EJJ89" s="21"/>
      <c r="EJK89" s="21"/>
      <c r="EJL89" s="21"/>
      <c r="EJM89" s="21"/>
      <c r="EJN89" s="21"/>
      <c r="EJO89" s="21"/>
      <c r="EJP89" s="21"/>
      <c r="EJQ89" s="21"/>
      <c r="EJR89" s="21"/>
      <c r="EJS89" s="21"/>
      <c r="EJT89" s="21"/>
      <c r="EJU89" s="21"/>
      <c r="EJV89" s="21"/>
      <c r="EJW89" s="21"/>
      <c r="EJX89" s="21"/>
      <c r="EJY89" s="21"/>
      <c r="EJZ89" s="21"/>
      <c r="EKA89" s="21"/>
      <c r="EKB89" s="21"/>
      <c r="EKC89" s="21"/>
      <c r="EKD89" s="21"/>
      <c r="EKE89" s="21"/>
      <c r="EKF89" s="21"/>
      <c r="EKG89" s="21"/>
      <c r="EKH89" s="21"/>
      <c r="EKI89" s="21"/>
      <c r="EKJ89" s="21"/>
      <c r="EKK89" s="21"/>
      <c r="EKL89" s="21"/>
      <c r="EKM89" s="21"/>
      <c r="EKN89" s="21"/>
      <c r="EKO89" s="21"/>
      <c r="EKP89" s="21"/>
      <c r="EKQ89" s="21"/>
      <c r="EKR89" s="21"/>
      <c r="EKS89" s="21"/>
      <c r="EKT89" s="21"/>
      <c r="EKU89" s="21"/>
      <c r="EKV89" s="21"/>
      <c r="EKW89" s="21"/>
      <c r="EKX89" s="21"/>
      <c r="EKY89" s="21"/>
      <c r="EKZ89" s="21"/>
      <c r="ELA89" s="21"/>
      <c r="ELB89" s="21"/>
      <c r="ELC89" s="21"/>
      <c r="ELD89" s="21"/>
      <c r="ELE89" s="21"/>
      <c r="ELF89" s="21"/>
      <c r="ELG89" s="21"/>
      <c r="ELH89" s="21"/>
      <c r="ELI89" s="21"/>
      <c r="ELJ89" s="21"/>
      <c r="ELK89" s="21"/>
      <c r="ELL89" s="21"/>
      <c r="ELM89" s="21"/>
      <c r="ELN89" s="21"/>
      <c r="ELO89" s="21"/>
      <c r="ELP89" s="21"/>
      <c r="ELQ89" s="21"/>
      <c r="ELR89" s="21"/>
      <c r="ELS89" s="21"/>
      <c r="ELT89" s="21"/>
      <c r="ELU89" s="21"/>
      <c r="ELV89" s="21"/>
      <c r="ELW89" s="21"/>
      <c r="ELX89" s="21"/>
      <c r="ELY89" s="21"/>
      <c r="ELZ89" s="21"/>
      <c r="EMA89" s="21"/>
      <c r="EMB89" s="21"/>
      <c r="EMC89" s="21"/>
      <c r="EMD89" s="21"/>
      <c r="EME89" s="21"/>
      <c r="EMF89" s="21"/>
      <c r="EMG89" s="21"/>
      <c r="EMH89" s="21"/>
      <c r="EMI89" s="21"/>
      <c r="EMJ89" s="21"/>
      <c r="EMK89" s="21"/>
      <c r="EML89" s="21"/>
      <c r="EMM89" s="21"/>
      <c r="EMN89" s="21"/>
      <c r="EMO89" s="21"/>
      <c r="EMP89" s="21"/>
      <c r="EMQ89" s="21"/>
      <c r="EMR89" s="21"/>
      <c r="EMS89" s="21"/>
      <c r="EMT89" s="21"/>
      <c r="EMU89" s="21"/>
      <c r="EMV89" s="21"/>
      <c r="EMW89" s="21"/>
      <c r="EMX89" s="21"/>
      <c r="EMY89" s="21"/>
      <c r="EMZ89" s="21"/>
      <c r="ENA89" s="21"/>
      <c r="ENB89" s="21"/>
      <c r="ENC89" s="21"/>
      <c r="END89" s="21"/>
      <c r="ENE89" s="21"/>
      <c r="ENF89" s="21"/>
      <c r="ENG89" s="21"/>
      <c r="ENH89" s="21"/>
      <c r="ENI89" s="21"/>
      <c r="ENJ89" s="21"/>
      <c r="ENK89" s="21"/>
      <c r="ENL89" s="21"/>
      <c r="ENM89" s="21"/>
      <c r="ENN89" s="21"/>
      <c r="ENO89" s="21"/>
      <c r="ENP89" s="21"/>
      <c r="ENQ89" s="21"/>
      <c r="ENR89" s="21"/>
      <c r="ENS89" s="21"/>
      <c r="ENT89" s="21"/>
      <c r="ENU89" s="21"/>
      <c r="ENV89" s="21"/>
      <c r="ENW89" s="21"/>
      <c r="ENX89" s="21"/>
      <c r="ENY89" s="21"/>
      <c r="ENZ89" s="21"/>
      <c r="EOA89" s="21"/>
      <c r="EOB89" s="21"/>
      <c r="EOC89" s="21"/>
      <c r="EOD89" s="21"/>
      <c r="EOE89" s="21"/>
      <c r="EOF89" s="21"/>
      <c r="EOG89" s="21"/>
      <c r="EOH89" s="21"/>
      <c r="EOI89" s="21"/>
      <c r="EOJ89" s="21"/>
      <c r="EOK89" s="21"/>
      <c r="EOL89" s="21"/>
      <c r="EOM89" s="21"/>
      <c r="EON89" s="21"/>
      <c r="EOO89" s="21"/>
      <c r="EOP89" s="21"/>
      <c r="EOQ89" s="21"/>
      <c r="EOR89" s="21"/>
      <c r="EOS89" s="21"/>
      <c r="EOT89" s="21"/>
      <c r="EOU89" s="21"/>
      <c r="EOV89" s="21"/>
      <c r="EOW89" s="21"/>
      <c r="EOX89" s="21"/>
      <c r="EOY89" s="21"/>
      <c r="EOZ89" s="21"/>
      <c r="EPA89" s="21"/>
      <c r="EPB89" s="21"/>
      <c r="EPC89" s="21"/>
      <c r="EPD89" s="21"/>
      <c r="EPE89" s="21"/>
      <c r="EPF89" s="21"/>
      <c r="EPG89" s="21"/>
      <c r="EPH89" s="21"/>
      <c r="EPI89" s="21"/>
      <c r="EPJ89" s="21"/>
      <c r="EPK89" s="21"/>
      <c r="EPL89" s="21"/>
      <c r="EPM89" s="21"/>
      <c r="EPN89" s="21"/>
      <c r="EPO89" s="21"/>
      <c r="EPP89" s="21"/>
      <c r="EPQ89" s="21"/>
      <c r="EPR89" s="21"/>
      <c r="EPS89" s="21"/>
      <c r="EPT89" s="21"/>
      <c r="EPU89" s="21"/>
      <c r="EPV89" s="21"/>
      <c r="EPW89" s="21"/>
      <c r="EPX89" s="21"/>
      <c r="EPY89" s="21"/>
      <c r="EPZ89" s="21"/>
      <c r="EQA89" s="21"/>
      <c r="EQB89" s="21"/>
      <c r="EQC89" s="21"/>
      <c r="EQD89" s="21"/>
      <c r="EQE89" s="21"/>
      <c r="EQF89" s="21"/>
      <c r="EQG89" s="21"/>
      <c r="EQH89" s="21"/>
      <c r="EQI89" s="21"/>
      <c r="EQJ89" s="21"/>
      <c r="EQK89" s="21"/>
      <c r="EQL89" s="21"/>
      <c r="EQM89" s="21"/>
      <c r="EQN89" s="21"/>
      <c r="EQO89" s="21"/>
      <c r="EQP89" s="21"/>
      <c r="EQQ89" s="21"/>
      <c r="EQR89" s="21"/>
      <c r="EQS89" s="21"/>
      <c r="EQT89" s="21"/>
      <c r="EQU89" s="21"/>
      <c r="EQV89" s="21"/>
      <c r="EQW89" s="21"/>
      <c r="EQX89" s="21"/>
      <c r="EQY89" s="21"/>
      <c r="EQZ89" s="21"/>
      <c r="ERA89" s="21"/>
      <c r="ERB89" s="21"/>
      <c r="ERC89" s="21"/>
      <c r="ERD89" s="21"/>
      <c r="ERE89" s="21"/>
      <c r="ERF89" s="21"/>
      <c r="ERG89" s="21"/>
      <c r="ERH89" s="21"/>
      <c r="ERI89" s="21"/>
      <c r="ERJ89" s="21"/>
      <c r="ERK89" s="21"/>
      <c r="ERL89" s="21"/>
      <c r="ERM89" s="21"/>
      <c r="ERN89" s="21"/>
      <c r="ERO89" s="21"/>
      <c r="ERP89" s="21"/>
      <c r="ERQ89" s="21"/>
      <c r="ERR89" s="21"/>
      <c r="ERS89" s="21"/>
      <c r="ERT89" s="21"/>
      <c r="ERU89" s="21"/>
      <c r="ERV89" s="21"/>
      <c r="ERW89" s="21"/>
      <c r="ERX89" s="21"/>
      <c r="ERY89" s="21"/>
      <c r="ERZ89" s="21"/>
      <c r="ESA89" s="21"/>
      <c r="ESB89" s="21"/>
      <c r="ESC89" s="21"/>
      <c r="ESD89" s="21"/>
      <c r="ESE89" s="21"/>
      <c r="ESF89" s="21"/>
      <c r="ESG89" s="21"/>
      <c r="ESH89" s="21"/>
      <c r="ESI89" s="21"/>
      <c r="ESJ89" s="21"/>
      <c r="ESK89" s="21"/>
      <c r="ESL89" s="21"/>
      <c r="ESM89" s="21"/>
      <c r="ESN89" s="21"/>
      <c r="ESO89" s="21"/>
      <c r="ESP89" s="21"/>
      <c r="ESQ89" s="21"/>
      <c r="ESR89" s="21"/>
      <c r="ESS89" s="21"/>
      <c r="EST89" s="21"/>
      <c r="ESU89" s="21"/>
      <c r="ESV89" s="21"/>
      <c r="ESW89" s="21"/>
      <c r="ESX89" s="21"/>
      <c r="ESY89" s="21"/>
      <c r="ESZ89" s="21"/>
      <c r="ETA89" s="21"/>
      <c r="ETB89" s="21"/>
      <c r="ETC89" s="21"/>
      <c r="ETD89" s="21"/>
      <c r="ETE89" s="21"/>
      <c r="ETF89" s="21"/>
      <c r="ETG89" s="21"/>
      <c r="ETH89" s="21"/>
      <c r="ETI89" s="21"/>
      <c r="ETJ89" s="21"/>
      <c r="ETK89" s="21"/>
      <c r="ETL89" s="21"/>
      <c r="ETM89" s="21"/>
      <c r="ETN89" s="21"/>
      <c r="ETO89" s="21"/>
      <c r="ETP89" s="21"/>
      <c r="ETQ89" s="21"/>
      <c r="ETR89" s="21"/>
      <c r="ETS89" s="21"/>
      <c r="ETT89" s="21"/>
      <c r="ETU89" s="21"/>
      <c r="ETV89" s="21"/>
      <c r="ETW89" s="21"/>
      <c r="ETX89" s="21"/>
      <c r="ETY89" s="21"/>
      <c r="ETZ89" s="21"/>
      <c r="EUA89" s="21"/>
      <c r="EUB89" s="21"/>
      <c r="EUC89" s="21"/>
      <c r="EUD89" s="21"/>
      <c r="EUE89" s="21"/>
      <c r="EUF89" s="21"/>
      <c r="EUG89" s="21"/>
      <c r="EUH89" s="21"/>
      <c r="EUI89" s="21"/>
      <c r="EUJ89" s="21"/>
      <c r="EUK89" s="21"/>
      <c r="EUL89" s="21"/>
      <c r="EUM89" s="21"/>
      <c r="EUN89" s="21"/>
      <c r="EUO89" s="21"/>
      <c r="EUP89" s="21"/>
      <c r="EUQ89" s="21"/>
      <c r="EUR89" s="21"/>
      <c r="EUS89" s="21"/>
      <c r="EUT89" s="21"/>
      <c r="EUU89" s="21"/>
      <c r="EUV89" s="21"/>
      <c r="EUW89" s="21"/>
      <c r="EUX89" s="21"/>
      <c r="EUY89" s="21"/>
      <c r="EUZ89" s="21"/>
      <c r="EVA89" s="21"/>
      <c r="EVB89" s="21"/>
      <c r="EVC89" s="21"/>
      <c r="EVD89" s="21"/>
      <c r="EVE89" s="21"/>
      <c r="EVF89" s="21"/>
      <c r="EVG89" s="21"/>
      <c r="EVH89" s="21"/>
      <c r="EVI89" s="21"/>
      <c r="EVJ89" s="21"/>
      <c r="EVK89" s="21"/>
      <c r="EVL89" s="21"/>
      <c r="EVM89" s="21"/>
      <c r="EVN89" s="21"/>
      <c r="EVO89" s="21"/>
      <c r="EVP89" s="21"/>
      <c r="EVQ89" s="21"/>
      <c r="EVR89" s="21"/>
      <c r="EVS89" s="21"/>
      <c r="EVT89" s="21"/>
      <c r="EVU89" s="21"/>
      <c r="EVV89" s="21"/>
      <c r="EVW89" s="21"/>
      <c r="EVX89" s="21"/>
      <c r="EVY89" s="21"/>
      <c r="EVZ89" s="21"/>
      <c r="EWA89" s="21"/>
      <c r="EWB89" s="21"/>
      <c r="EWC89" s="21"/>
      <c r="EWD89" s="21"/>
      <c r="EWE89" s="21"/>
      <c r="EWF89" s="21"/>
      <c r="EWG89" s="21"/>
      <c r="EWH89" s="21"/>
      <c r="EWI89" s="21"/>
      <c r="EWJ89" s="21"/>
      <c r="EWK89" s="21"/>
      <c r="EWL89" s="21"/>
      <c r="EWM89" s="21"/>
      <c r="EWN89" s="21"/>
      <c r="EWO89" s="21"/>
      <c r="EWP89" s="21"/>
      <c r="EWQ89" s="21"/>
      <c r="EWR89" s="21"/>
      <c r="EWS89" s="21"/>
      <c r="EWT89" s="21"/>
      <c r="EWU89" s="21"/>
      <c r="EWV89" s="21"/>
      <c r="EWW89" s="21"/>
      <c r="EWX89" s="21"/>
      <c r="EWY89" s="21"/>
      <c r="EWZ89" s="21"/>
      <c r="EXA89" s="21"/>
      <c r="EXB89" s="21"/>
      <c r="EXC89" s="21"/>
      <c r="EXD89" s="21"/>
      <c r="EXE89" s="21"/>
      <c r="EXF89" s="21"/>
      <c r="EXG89" s="21"/>
      <c r="EXH89" s="21"/>
      <c r="EXI89" s="21"/>
      <c r="EXJ89" s="21"/>
      <c r="EXK89" s="21"/>
      <c r="EXL89" s="21"/>
      <c r="EXM89" s="21"/>
      <c r="EXN89" s="21"/>
      <c r="EXO89" s="21"/>
      <c r="EXP89" s="21"/>
      <c r="EXQ89" s="21"/>
      <c r="EXR89" s="21"/>
      <c r="EXS89" s="21"/>
      <c r="EXT89" s="21"/>
      <c r="EXU89" s="21"/>
      <c r="EXV89" s="21"/>
      <c r="EXW89" s="21"/>
      <c r="EXX89" s="21"/>
      <c r="EXY89" s="21"/>
      <c r="EXZ89" s="21"/>
      <c r="EYA89" s="21"/>
      <c r="EYB89" s="21"/>
      <c r="EYC89" s="21"/>
      <c r="EYD89" s="21"/>
      <c r="EYE89" s="21"/>
      <c r="EYF89" s="21"/>
      <c r="EYG89" s="21"/>
      <c r="EYH89" s="21"/>
      <c r="EYI89" s="21"/>
      <c r="EYJ89" s="21"/>
      <c r="EYK89" s="21"/>
      <c r="EYL89" s="21"/>
      <c r="EYM89" s="21"/>
      <c r="EYN89" s="21"/>
      <c r="EYO89" s="21"/>
      <c r="EYP89" s="21"/>
      <c r="EYQ89" s="21"/>
      <c r="EYR89" s="21"/>
      <c r="EYS89" s="21"/>
      <c r="EYT89" s="21"/>
      <c r="EYU89" s="21"/>
      <c r="EYV89" s="21"/>
      <c r="EYW89" s="21"/>
      <c r="EYX89" s="21"/>
      <c r="EYY89" s="21"/>
      <c r="EYZ89" s="21"/>
      <c r="EZA89" s="21"/>
      <c r="EZB89" s="21"/>
      <c r="EZC89" s="21"/>
      <c r="EZD89" s="21"/>
      <c r="EZE89" s="21"/>
      <c r="EZF89" s="21"/>
      <c r="EZG89" s="21"/>
      <c r="EZH89" s="21"/>
      <c r="EZI89" s="21"/>
      <c r="EZJ89" s="21"/>
      <c r="EZK89" s="21"/>
      <c r="EZL89" s="21"/>
      <c r="EZM89" s="21"/>
      <c r="EZN89" s="21"/>
      <c r="EZO89" s="21"/>
      <c r="EZP89" s="21"/>
      <c r="EZQ89" s="21"/>
      <c r="EZR89" s="21"/>
      <c r="EZS89" s="21"/>
      <c r="EZT89" s="21"/>
      <c r="EZU89" s="21"/>
      <c r="EZV89" s="21"/>
      <c r="EZW89" s="21"/>
      <c r="EZX89" s="21"/>
      <c r="EZY89" s="21"/>
      <c r="EZZ89" s="21"/>
      <c r="FAA89" s="21"/>
      <c r="FAB89" s="21"/>
      <c r="FAC89" s="21"/>
      <c r="FAD89" s="21"/>
      <c r="FAE89" s="21"/>
      <c r="FAF89" s="21"/>
      <c r="FAG89" s="21"/>
      <c r="FAH89" s="21"/>
      <c r="FAI89" s="21"/>
      <c r="FAJ89" s="21"/>
      <c r="FAK89" s="21"/>
      <c r="FAL89" s="21"/>
      <c r="FAM89" s="21"/>
      <c r="FAN89" s="21"/>
      <c r="FAO89" s="21"/>
      <c r="FAP89" s="21"/>
      <c r="FAQ89" s="21"/>
      <c r="FAR89" s="21"/>
      <c r="FAS89" s="21"/>
      <c r="FAT89" s="21"/>
      <c r="FAU89" s="21"/>
      <c r="FAV89" s="21"/>
      <c r="FAW89" s="21"/>
      <c r="FAX89" s="21"/>
      <c r="FAY89" s="21"/>
      <c r="FAZ89" s="21"/>
      <c r="FBA89" s="21"/>
      <c r="FBB89" s="21"/>
      <c r="FBC89" s="21"/>
      <c r="FBD89" s="21"/>
      <c r="FBE89" s="21"/>
      <c r="FBF89" s="21"/>
      <c r="FBG89" s="21"/>
      <c r="FBH89" s="21"/>
      <c r="FBI89" s="21"/>
      <c r="FBJ89" s="21"/>
      <c r="FBK89" s="21"/>
      <c r="FBL89" s="21"/>
      <c r="FBM89" s="21"/>
      <c r="FBN89" s="21"/>
      <c r="FBO89" s="21"/>
      <c r="FBP89" s="21"/>
      <c r="FBQ89" s="21"/>
      <c r="FBR89" s="21"/>
      <c r="FBS89" s="21"/>
      <c r="FBT89" s="21"/>
      <c r="FBU89" s="21"/>
      <c r="FBV89" s="21"/>
      <c r="FBW89" s="21"/>
      <c r="FBX89" s="21"/>
      <c r="FBY89" s="21"/>
      <c r="FBZ89" s="21"/>
      <c r="FCA89" s="21"/>
      <c r="FCB89" s="21"/>
      <c r="FCC89" s="21"/>
      <c r="FCD89" s="21"/>
      <c r="FCE89" s="21"/>
      <c r="FCF89" s="21"/>
      <c r="FCG89" s="21"/>
      <c r="FCH89" s="21"/>
      <c r="FCI89" s="21"/>
      <c r="FCJ89" s="21"/>
      <c r="FCK89" s="21"/>
      <c r="FCL89" s="21"/>
      <c r="FCM89" s="21"/>
      <c r="FCN89" s="21"/>
      <c r="FCO89" s="21"/>
      <c r="FCP89" s="21"/>
      <c r="FCQ89" s="21"/>
      <c r="FCR89" s="21"/>
      <c r="FCS89" s="21"/>
      <c r="FCT89" s="21"/>
      <c r="FCU89" s="21"/>
      <c r="FCV89" s="21"/>
      <c r="FCW89" s="21"/>
      <c r="FCX89" s="21"/>
      <c r="FCY89" s="21"/>
      <c r="FCZ89" s="21"/>
      <c r="FDA89" s="21"/>
      <c r="FDB89" s="21"/>
      <c r="FDC89" s="21"/>
      <c r="FDD89" s="21"/>
      <c r="FDE89" s="21"/>
      <c r="FDF89" s="21"/>
      <c r="FDG89" s="21"/>
      <c r="FDH89" s="21"/>
      <c r="FDI89" s="21"/>
      <c r="FDJ89" s="21"/>
      <c r="FDK89" s="21"/>
      <c r="FDL89" s="21"/>
      <c r="FDM89" s="21"/>
      <c r="FDN89" s="21"/>
      <c r="FDO89" s="21"/>
      <c r="FDP89" s="21"/>
      <c r="FDQ89" s="21"/>
      <c r="FDR89" s="21"/>
      <c r="FDS89" s="21"/>
      <c r="FDT89" s="21"/>
      <c r="FDU89" s="21"/>
      <c r="FDV89" s="21"/>
      <c r="FDW89" s="21"/>
      <c r="FDX89" s="21"/>
      <c r="FDY89" s="21"/>
      <c r="FDZ89" s="21"/>
      <c r="FEA89" s="21"/>
      <c r="FEB89" s="21"/>
      <c r="FEC89" s="21"/>
      <c r="FED89" s="21"/>
      <c r="FEE89" s="21"/>
      <c r="FEF89" s="21"/>
      <c r="FEG89" s="21"/>
      <c r="FEH89" s="21"/>
      <c r="FEI89" s="21"/>
      <c r="FEJ89" s="21"/>
      <c r="FEK89" s="21"/>
      <c r="FEL89" s="21"/>
      <c r="FEM89" s="21"/>
      <c r="FEN89" s="21"/>
      <c r="FEO89" s="21"/>
      <c r="FEP89" s="21"/>
      <c r="FEQ89" s="21"/>
      <c r="FER89" s="21"/>
      <c r="FES89" s="21"/>
      <c r="FET89" s="21"/>
      <c r="FEU89" s="21"/>
      <c r="FEV89" s="21"/>
      <c r="FEW89" s="21"/>
      <c r="FEX89" s="21"/>
      <c r="FEY89" s="21"/>
      <c r="FEZ89" s="21"/>
      <c r="FFA89" s="21"/>
      <c r="FFB89" s="21"/>
      <c r="FFC89" s="21"/>
      <c r="FFD89" s="21"/>
      <c r="FFE89" s="21"/>
      <c r="FFF89" s="21"/>
      <c r="FFG89" s="21"/>
      <c r="FFH89" s="21"/>
      <c r="FFI89" s="21"/>
      <c r="FFJ89" s="21"/>
      <c r="FFK89" s="21"/>
      <c r="FFL89" s="21"/>
      <c r="FFM89" s="21"/>
      <c r="FFN89" s="21"/>
      <c r="FFO89" s="21"/>
      <c r="FFP89" s="21"/>
      <c r="FFQ89" s="21"/>
      <c r="FFR89" s="21"/>
      <c r="FFS89" s="21"/>
      <c r="FFT89" s="21"/>
      <c r="FFU89" s="21"/>
      <c r="FFV89" s="21"/>
      <c r="FFW89" s="21"/>
      <c r="FFX89" s="21"/>
      <c r="FFY89" s="21"/>
      <c r="FFZ89" s="21"/>
      <c r="FGA89" s="21"/>
      <c r="FGB89" s="21"/>
      <c r="FGC89" s="21"/>
      <c r="FGD89" s="21"/>
      <c r="FGE89" s="21"/>
      <c r="FGF89" s="21"/>
      <c r="FGG89" s="21"/>
      <c r="FGH89" s="21"/>
      <c r="FGI89" s="21"/>
      <c r="FGJ89" s="21"/>
      <c r="FGK89" s="21"/>
      <c r="FGL89" s="21"/>
      <c r="FGM89" s="21"/>
      <c r="FGN89" s="21"/>
      <c r="FGO89" s="21"/>
      <c r="FGP89" s="21"/>
      <c r="FGQ89" s="21"/>
      <c r="FGR89" s="21"/>
      <c r="FGS89" s="21"/>
      <c r="FGT89" s="21"/>
      <c r="FGU89" s="21"/>
      <c r="FGV89" s="21"/>
      <c r="FGW89" s="21"/>
      <c r="FGX89" s="21"/>
      <c r="FGY89" s="21"/>
      <c r="FGZ89" s="21"/>
      <c r="FHA89" s="21"/>
      <c r="FHB89" s="21"/>
      <c r="FHC89" s="21"/>
      <c r="FHD89" s="21"/>
      <c r="FHE89" s="21"/>
      <c r="FHF89" s="21"/>
      <c r="FHG89" s="21"/>
      <c r="FHH89" s="21"/>
      <c r="FHI89" s="21"/>
      <c r="FHJ89" s="21"/>
      <c r="FHK89" s="21"/>
      <c r="FHL89" s="21"/>
      <c r="FHM89" s="21"/>
      <c r="FHN89" s="21"/>
      <c r="FHO89" s="21"/>
      <c r="FHP89" s="21"/>
      <c r="FHQ89" s="21"/>
      <c r="FHR89" s="21"/>
      <c r="FHS89" s="21"/>
      <c r="FHT89" s="21"/>
      <c r="FHU89" s="21"/>
      <c r="FHV89" s="21"/>
      <c r="FHW89" s="21"/>
      <c r="FHX89" s="21"/>
      <c r="FHY89" s="21"/>
      <c r="FHZ89" s="21"/>
      <c r="FIA89" s="21"/>
      <c r="FIB89" s="21"/>
      <c r="FIC89" s="21"/>
      <c r="FID89" s="21"/>
      <c r="FIE89" s="21"/>
      <c r="FIF89" s="21"/>
      <c r="FIG89" s="21"/>
      <c r="FIH89" s="21"/>
      <c r="FII89" s="21"/>
      <c r="FIJ89" s="21"/>
      <c r="FIK89" s="21"/>
      <c r="FIL89" s="21"/>
      <c r="FIM89" s="21"/>
      <c r="FIN89" s="21"/>
      <c r="FIO89" s="21"/>
      <c r="FIP89" s="21"/>
      <c r="FIQ89" s="21"/>
      <c r="FIR89" s="21"/>
      <c r="FIS89" s="21"/>
      <c r="FIT89" s="21"/>
      <c r="FIU89" s="21"/>
      <c r="FIV89" s="21"/>
      <c r="FIW89" s="21"/>
      <c r="FIX89" s="21"/>
      <c r="FIY89" s="21"/>
      <c r="FIZ89" s="21"/>
      <c r="FJA89" s="21"/>
      <c r="FJB89" s="21"/>
      <c r="FJC89" s="21"/>
      <c r="FJD89" s="21"/>
      <c r="FJE89" s="21"/>
      <c r="FJF89" s="21"/>
      <c r="FJG89" s="21"/>
      <c r="FJH89" s="21"/>
      <c r="FJI89" s="21"/>
      <c r="FJJ89" s="21"/>
      <c r="FJK89" s="21"/>
      <c r="FJL89" s="21"/>
      <c r="FJM89" s="21"/>
      <c r="FJN89" s="21"/>
      <c r="FJO89" s="21"/>
      <c r="FJP89" s="21"/>
      <c r="FJQ89" s="21"/>
      <c r="FJR89" s="21"/>
      <c r="FJS89" s="21"/>
      <c r="FJT89" s="21"/>
      <c r="FJU89" s="21"/>
      <c r="FJV89" s="21"/>
      <c r="FJW89" s="21"/>
      <c r="FJX89" s="21"/>
      <c r="FJY89" s="21"/>
      <c r="FJZ89" s="21"/>
      <c r="FKA89" s="21"/>
      <c r="FKB89" s="21"/>
      <c r="FKC89" s="21"/>
      <c r="FKD89" s="21"/>
      <c r="FKE89" s="21"/>
      <c r="FKF89" s="21"/>
      <c r="FKG89" s="21"/>
      <c r="FKH89" s="21"/>
      <c r="FKI89" s="21"/>
      <c r="FKJ89" s="21"/>
      <c r="FKK89" s="21"/>
      <c r="FKL89" s="21"/>
      <c r="FKM89" s="21"/>
      <c r="FKN89" s="21"/>
      <c r="FKO89" s="21"/>
      <c r="FKP89" s="21"/>
      <c r="FKQ89" s="21"/>
      <c r="FKR89" s="21"/>
      <c r="FKS89" s="21"/>
      <c r="FKT89" s="21"/>
      <c r="FKU89" s="21"/>
      <c r="FKV89" s="21"/>
      <c r="FKW89" s="21"/>
      <c r="FKX89" s="21"/>
      <c r="FKY89" s="21"/>
      <c r="FKZ89" s="21"/>
      <c r="FLA89" s="21"/>
      <c r="FLB89" s="21"/>
      <c r="FLC89" s="21"/>
      <c r="FLD89" s="21"/>
      <c r="FLE89" s="21"/>
      <c r="FLF89" s="21"/>
      <c r="FLG89" s="21"/>
      <c r="FLH89" s="21"/>
      <c r="FLI89" s="21"/>
      <c r="FLJ89" s="21"/>
      <c r="FLK89" s="21"/>
      <c r="FLL89" s="21"/>
      <c r="FLM89" s="21"/>
      <c r="FLN89" s="21"/>
      <c r="FLO89" s="21"/>
      <c r="FLP89" s="21"/>
      <c r="FLQ89" s="21"/>
      <c r="FLR89" s="21"/>
      <c r="FLS89" s="21"/>
      <c r="FLT89" s="21"/>
      <c r="FLU89" s="21"/>
      <c r="FLV89" s="21"/>
      <c r="FLW89" s="21"/>
      <c r="FLX89" s="21"/>
      <c r="FLY89" s="21"/>
      <c r="FLZ89" s="21"/>
      <c r="FMA89" s="21"/>
      <c r="FMB89" s="21"/>
      <c r="FMC89" s="21"/>
      <c r="FMD89" s="21"/>
      <c r="FME89" s="21"/>
      <c r="FMF89" s="21"/>
      <c r="FMG89" s="21"/>
      <c r="FMH89" s="21"/>
      <c r="FMI89" s="21"/>
      <c r="FMJ89" s="21"/>
      <c r="FMK89" s="21"/>
      <c r="FML89" s="21"/>
      <c r="FMM89" s="21"/>
      <c r="FMN89" s="21"/>
      <c r="FMO89" s="21"/>
      <c r="FMP89" s="21"/>
      <c r="FMQ89" s="21"/>
      <c r="FMR89" s="21"/>
      <c r="FMS89" s="21"/>
      <c r="FMT89" s="21"/>
      <c r="FMU89" s="21"/>
      <c r="FMV89" s="21"/>
      <c r="FMW89" s="21"/>
      <c r="FMX89" s="21"/>
      <c r="FMY89" s="21"/>
      <c r="FMZ89" s="21"/>
      <c r="FNA89" s="21"/>
      <c r="FNB89" s="21"/>
      <c r="FNC89" s="21"/>
      <c r="FND89" s="21"/>
      <c r="FNE89" s="21"/>
      <c r="FNF89" s="21"/>
      <c r="FNG89" s="21"/>
      <c r="FNH89" s="21"/>
      <c r="FNI89" s="21"/>
      <c r="FNJ89" s="21"/>
      <c r="FNK89" s="21"/>
      <c r="FNL89" s="21"/>
      <c r="FNM89" s="21"/>
      <c r="FNN89" s="21"/>
      <c r="FNO89" s="21"/>
      <c r="FNP89" s="21"/>
      <c r="FNQ89" s="21"/>
      <c r="FNR89" s="21"/>
      <c r="FNS89" s="21"/>
      <c r="FNT89" s="21"/>
      <c r="FNU89" s="21"/>
      <c r="FNV89" s="21"/>
      <c r="FNW89" s="21"/>
      <c r="FNX89" s="21"/>
      <c r="FNY89" s="21"/>
      <c r="FNZ89" s="21"/>
      <c r="FOA89" s="21"/>
      <c r="FOB89" s="21"/>
      <c r="FOC89" s="21"/>
      <c r="FOD89" s="21"/>
      <c r="FOE89" s="21"/>
      <c r="FOF89" s="21"/>
      <c r="FOG89" s="21"/>
      <c r="FOH89" s="21"/>
      <c r="FOI89" s="21"/>
      <c r="FOJ89" s="21"/>
      <c r="FOK89" s="21"/>
      <c r="FOL89" s="21"/>
      <c r="FOM89" s="21"/>
      <c r="FON89" s="21"/>
      <c r="FOO89" s="21"/>
      <c r="FOP89" s="21"/>
      <c r="FOQ89" s="21"/>
      <c r="FOR89" s="21"/>
      <c r="FOS89" s="21"/>
      <c r="FOT89" s="21"/>
      <c r="FOU89" s="21"/>
      <c r="FOV89" s="21"/>
      <c r="FOW89" s="21"/>
      <c r="FOX89" s="21"/>
      <c r="FOY89" s="21"/>
      <c r="FOZ89" s="21"/>
      <c r="FPA89" s="21"/>
      <c r="FPB89" s="21"/>
      <c r="FPC89" s="21"/>
      <c r="FPD89" s="21"/>
      <c r="FPE89" s="21"/>
      <c r="FPF89" s="21"/>
      <c r="FPG89" s="21"/>
      <c r="FPH89" s="21"/>
      <c r="FPI89" s="21"/>
      <c r="FPJ89" s="21"/>
      <c r="FPK89" s="21"/>
      <c r="FPL89" s="21"/>
      <c r="FPM89" s="21"/>
      <c r="FPN89" s="21"/>
      <c r="FPO89" s="21"/>
      <c r="FPP89" s="21"/>
      <c r="FPQ89" s="21"/>
      <c r="FPR89" s="21"/>
      <c r="FPS89" s="21"/>
      <c r="FPT89" s="21"/>
      <c r="FPU89" s="21"/>
      <c r="FPV89" s="21"/>
      <c r="FPW89" s="21"/>
      <c r="FPX89" s="21"/>
      <c r="FPY89" s="21"/>
      <c r="FPZ89" s="21"/>
      <c r="FQA89" s="21"/>
      <c r="FQB89" s="21"/>
      <c r="FQC89" s="21"/>
      <c r="FQD89" s="21"/>
      <c r="FQE89" s="21"/>
      <c r="FQF89" s="21"/>
      <c r="FQG89" s="21"/>
      <c r="FQH89" s="21"/>
      <c r="FQI89" s="21"/>
      <c r="FQJ89" s="21"/>
      <c r="FQK89" s="21"/>
      <c r="FQL89" s="21"/>
      <c r="FQM89" s="21"/>
      <c r="FQN89" s="21"/>
      <c r="FQO89" s="21"/>
      <c r="FQP89" s="21"/>
      <c r="FQQ89" s="21"/>
      <c r="FQR89" s="21"/>
      <c r="FQS89" s="21"/>
      <c r="FQT89" s="21"/>
      <c r="FQU89" s="21"/>
      <c r="FQV89" s="21"/>
      <c r="FQW89" s="21"/>
      <c r="FQX89" s="21"/>
      <c r="FQY89" s="21"/>
      <c r="FQZ89" s="21"/>
      <c r="FRA89" s="21"/>
      <c r="FRB89" s="21"/>
      <c r="FRC89" s="21"/>
      <c r="FRD89" s="21"/>
      <c r="FRE89" s="21"/>
      <c r="FRF89" s="21"/>
      <c r="FRG89" s="21"/>
      <c r="FRH89" s="21"/>
      <c r="FRI89" s="21"/>
      <c r="FRJ89" s="21"/>
      <c r="FRK89" s="21"/>
      <c r="FRL89" s="21"/>
      <c r="FRM89" s="21"/>
      <c r="FRN89" s="21"/>
      <c r="FRO89" s="21"/>
      <c r="FRP89" s="21"/>
      <c r="FRQ89" s="21"/>
      <c r="FRR89" s="21"/>
      <c r="FRS89" s="21"/>
      <c r="FRT89" s="21"/>
      <c r="FRU89" s="21"/>
      <c r="FRV89" s="21"/>
      <c r="FRW89" s="21"/>
      <c r="FRX89" s="21"/>
      <c r="FRY89" s="21"/>
      <c r="FRZ89" s="21"/>
      <c r="FSA89" s="21"/>
      <c r="FSB89" s="21"/>
      <c r="FSC89" s="21"/>
      <c r="FSD89" s="21"/>
      <c r="FSE89" s="21"/>
      <c r="FSF89" s="21"/>
      <c r="FSG89" s="21"/>
      <c r="FSH89" s="21"/>
      <c r="FSI89" s="21"/>
      <c r="FSJ89" s="21"/>
      <c r="FSK89" s="21"/>
      <c r="FSL89" s="21"/>
      <c r="FSM89" s="21"/>
      <c r="FSN89" s="21"/>
      <c r="FSO89" s="21"/>
      <c r="FSP89" s="21"/>
      <c r="FSQ89" s="21"/>
      <c r="FSR89" s="21"/>
      <c r="FSS89" s="21"/>
      <c r="FST89" s="21"/>
      <c r="FSU89" s="21"/>
      <c r="FSV89" s="21"/>
      <c r="FSW89" s="21"/>
      <c r="FSX89" s="21"/>
      <c r="FSY89" s="21"/>
      <c r="FSZ89" s="21"/>
      <c r="FTA89" s="21"/>
      <c r="FTB89" s="21"/>
      <c r="FTC89" s="21"/>
      <c r="FTD89" s="21"/>
      <c r="FTE89" s="21"/>
      <c r="FTF89" s="21"/>
      <c r="FTG89" s="21"/>
      <c r="FTH89" s="21"/>
      <c r="FTI89" s="21"/>
      <c r="FTJ89" s="21"/>
      <c r="FTK89" s="21"/>
      <c r="FTL89" s="21"/>
      <c r="FTM89" s="21"/>
      <c r="FTN89" s="21"/>
      <c r="FTO89" s="21"/>
      <c r="FTP89" s="21"/>
      <c r="FTQ89" s="21"/>
      <c r="FTR89" s="21"/>
      <c r="FTS89" s="21"/>
      <c r="FTT89" s="21"/>
      <c r="FTU89" s="21"/>
      <c r="FTV89" s="21"/>
      <c r="FTW89" s="21"/>
      <c r="FTX89" s="21"/>
      <c r="FTY89" s="21"/>
      <c r="FTZ89" s="21"/>
      <c r="FUA89" s="21"/>
      <c r="FUB89" s="21"/>
      <c r="FUC89" s="21"/>
      <c r="FUD89" s="21"/>
      <c r="FUE89" s="21"/>
      <c r="FUF89" s="21"/>
      <c r="FUG89" s="21"/>
      <c r="FUH89" s="21"/>
      <c r="FUI89" s="21"/>
      <c r="FUJ89" s="21"/>
      <c r="FUK89" s="21"/>
      <c r="FUL89" s="21"/>
      <c r="FUM89" s="21"/>
      <c r="FUN89" s="21"/>
      <c r="FUO89" s="21"/>
      <c r="FUP89" s="21"/>
      <c r="FUQ89" s="21"/>
      <c r="FUR89" s="21"/>
      <c r="FUS89" s="21"/>
      <c r="FUT89" s="21"/>
      <c r="FUU89" s="21"/>
      <c r="FUV89" s="21"/>
      <c r="FUW89" s="21"/>
      <c r="FUX89" s="21"/>
      <c r="FUY89" s="21"/>
      <c r="FUZ89" s="21"/>
      <c r="FVA89" s="21"/>
      <c r="FVB89" s="21"/>
      <c r="FVC89" s="21"/>
      <c r="FVD89" s="21"/>
      <c r="FVE89" s="21"/>
      <c r="FVF89" s="21"/>
      <c r="FVG89" s="21"/>
      <c r="FVH89" s="21"/>
      <c r="FVI89" s="21"/>
      <c r="FVJ89" s="21"/>
      <c r="FVK89" s="21"/>
      <c r="FVL89" s="21"/>
      <c r="FVM89" s="21"/>
      <c r="FVN89" s="21"/>
      <c r="FVO89" s="21"/>
      <c r="FVP89" s="21"/>
      <c r="FVQ89" s="21"/>
      <c r="FVR89" s="21"/>
      <c r="FVS89" s="21"/>
      <c r="FVT89" s="21"/>
      <c r="FVU89" s="21"/>
      <c r="FVV89" s="21"/>
      <c r="FVW89" s="21"/>
      <c r="FVX89" s="21"/>
      <c r="FVY89" s="21"/>
      <c r="FVZ89" s="21"/>
      <c r="FWA89" s="21"/>
      <c r="FWB89" s="21"/>
      <c r="FWC89" s="21"/>
      <c r="FWD89" s="21"/>
      <c r="FWE89" s="21"/>
      <c r="FWF89" s="21"/>
      <c r="FWG89" s="21"/>
      <c r="FWH89" s="21"/>
      <c r="FWI89" s="21"/>
      <c r="FWJ89" s="21"/>
      <c r="FWK89" s="21"/>
      <c r="FWL89" s="21"/>
      <c r="FWM89" s="21"/>
      <c r="FWN89" s="21"/>
      <c r="FWO89" s="21"/>
      <c r="FWP89" s="21"/>
      <c r="FWQ89" s="21"/>
      <c r="FWR89" s="21"/>
      <c r="FWS89" s="21"/>
      <c r="FWT89" s="21"/>
      <c r="FWU89" s="21"/>
      <c r="FWV89" s="21"/>
      <c r="FWW89" s="21"/>
      <c r="FWX89" s="21"/>
      <c r="FWY89" s="21"/>
      <c r="FWZ89" s="21"/>
      <c r="FXA89" s="21"/>
      <c r="FXB89" s="21"/>
      <c r="FXC89" s="21"/>
      <c r="FXD89" s="21"/>
      <c r="FXE89" s="21"/>
      <c r="FXF89" s="21"/>
      <c r="FXG89" s="21"/>
      <c r="FXH89" s="21"/>
      <c r="FXI89" s="21"/>
      <c r="FXJ89" s="21"/>
      <c r="FXK89" s="21"/>
      <c r="FXL89" s="21"/>
      <c r="FXM89" s="21"/>
      <c r="FXN89" s="21"/>
      <c r="FXO89" s="21"/>
      <c r="FXP89" s="21"/>
      <c r="FXQ89" s="21"/>
      <c r="FXR89" s="21"/>
      <c r="FXS89" s="21"/>
      <c r="FXT89" s="21"/>
      <c r="FXU89" s="21"/>
      <c r="FXV89" s="21"/>
      <c r="FXW89" s="21"/>
      <c r="FXX89" s="21"/>
      <c r="FXY89" s="21"/>
      <c r="FXZ89" s="21"/>
      <c r="FYA89" s="21"/>
      <c r="FYB89" s="21"/>
      <c r="FYC89" s="21"/>
      <c r="FYD89" s="21"/>
      <c r="FYE89" s="21"/>
      <c r="FYF89" s="21"/>
      <c r="FYG89" s="21"/>
      <c r="FYH89" s="21"/>
      <c r="FYI89" s="21"/>
      <c r="FYJ89" s="21"/>
      <c r="FYK89" s="21"/>
      <c r="FYL89" s="21"/>
      <c r="FYM89" s="21"/>
      <c r="FYN89" s="21"/>
      <c r="FYO89" s="21"/>
      <c r="FYP89" s="21"/>
      <c r="FYQ89" s="21"/>
      <c r="FYR89" s="21"/>
      <c r="FYS89" s="21"/>
      <c r="FYT89" s="21"/>
      <c r="FYU89" s="21"/>
      <c r="FYV89" s="21"/>
      <c r="FYW89" s="21"/>
      <c r="FYX89" s="21"/>
      <c r="FYY89" s="21"/>
      <c r="FYZ89" s="21"/>
      <c r="FZA89" s="21"/>
      <c r="FZB89" s="21"/>
      <c r="FZC89" s="21"/>
      <c r="FZD89" s="21"/>
      <c r="FZE89" s="21"/>
      <c r="FZF89" s="21"/>
      <c r="FZG89" s="21"/>
      <c r="FZH89" s="21"/>
      <c r="FZI89" s="21"/>
      <c r="FZJ89" s="21"/>
      <c r="FZK89" s="21"/>
      <c r="FZL89" s="21"/>
      <c r="FZM89" s="21"/>
      <c r="FZN89" s="21"/>
      <c r="FZO89" s="21"/>
      <c r="FZP89" s="21"/>
      <c r="FZQ89" s="21"/>
      <c r="FZR89" s="21"/>
      <c r="FZS89" s="21"/>
      <c r="FZT89" s="21"/>
      <c r="FZU89" s="21"/>
      <c r="FZV89" s="21"/>
      <c r="FZW89" s="21"/>
      <c r="FZX89" s="21"/>
      <c r="FZY89" s="21"/>
      <c r="FZZ89" s="21"/>
      <c r="GAA89" s="21"/>
      <c r="GAB89" s="21"/>
      <c r="GAC89" s="21"/>
      <c r="GAD89" s="21"/>
      <c r="GAE89" s="21"/>
      <c r="GAF89" s="21"/>
      <c r="GAG89" s="21"/>
      <c r="GAH89" s="21"/>
      <c r="GAI89" s="21"/>
      <c r="GAJ89" s="21"/>
      <c r="GAK89" s="21"/>
      <c r="GAL89" s="21"/>
      <c r="GAM89" s="21"/>
      <c r="GAN89" s="21"/>
      <c r="GAO89" s="21"/>
      <c r="GAP89" s="21"/>
      <c r="GAQ89" s="21"/>
      <c r="GAR89" s="21"/>
      <c r="GAS89" s="21"/>
      <c r="GAT89" s="21"/>
      <c r="GAU89" s="21"/>
      <c r="GAV89" s="21"/>
      <c r="GAW89" s="21"/>
      <c r="GAX89" s="21"/>
      <c r="GAY89" s="21"/>
      <c r="GAZ89" s="21"/>
      <c r="GBA89" s="21"/>
      <c r="GBB89" s="21"/>
      <c r="GBC89" s="21"/>
      <c r="GBD89" s="21"/>
      <c r="GBE89" s="21"/>
      <c r="GBF89" s="21"/>
      <c r="GBG89" s="21"/>
      <c r="GBH89" s="21"/>
      <c r="GBI89" s="21"/>
      <c r="GBJ89" s="21"/>
      <c r="GBK89" s="21"/>
      <c r="GBL89" s="21"/>
      <c r="GBM89" s="21"/>
      <c r="GBN89" s="21"/>
      <c r="GBO89" s="21"/>
      <c r="GBP89" s="21"/>
      <c r="GBQ89" s="21"/>
      <c r="GBR89" s="21"/>
      <c r="GBS89" s="21"/>
      <c r="GBT89" s="21"/>
      <c r="GBU89" s="21"/>
      <c r="GBV89" s="21"/>
      <c r="GBW89" s="21"/>
      <c r="GBX89" s="21"/>
      <c r="GBY89" s="21"/>
      <c r="GBZ89" s="21"/>
      <c r="GCA89" s="21"/>
      <c r="GCB89" s="21"/>
      <c r="GCC89" s="21"/>
      <c r="GCD89" s="21"/>
      <c r="GCE89" s="21"/>
      <c r="GCF89" s="21"/>
      <c r="GCG89" s="21"/>
      <c r="GCH89" s="21"/>
      <c r="GCI89" s="21"/>
      <c r="GCJ89" s="21"/>
      <c r="GCK89" s="21"/>
      <c r="GCL89" s="21"/>
      <c r="GCM89" s="21"/>
      <c r="GCN89" s="21"/>
      <c r="GCO89" s="21"/>
      <c r="GCP89" s="21"/>
      <c r="GCQ89" s="21"/>
      <c r="GCR89" s="21"/>
      <c r="GCS89" s="21"/>
      <c r="GCT89" s="21"/>
      <c r="GCU89" s="21"/>
      <c r="GCV89" s="21"/>
      <c r="GCW89" s="21"/>
      <c r="GCX89" s="21"/>
      <c r="GCY89" s="21"/>
      <c r="GCZ89" s="21"/>
      <c r="GDA89" s="21"/>
      <c r="GDB89" s="21"/>
      <c r="GDC89" s="21"/>
      <c r="GDD89" s="21"/>
      <c r="GDE89" s="21"/>
      <c r="GDF89" s="21"/>
      <c r="GDG89" s="21"/>
      <c r="GDH89" s="21"/>
      <c r="GDI89" s="21"/>
      <c r="GDJ89" s="21"/>
      <c r="GDK89" s="21"/>
      <c r="GDL89" s="21"/>
      <c r="GDM89" s="21"/>
      <c r="GDN89" s="21"/>
      <c r="GDO89" s="21"/>
      <c r="GDP89" s="21"/>
      <c r="GDQ89" s="21"/>
      <c r="GDR89" s="21"/>
      <c r="GDS89" s="21"/>
      <c r="GDT89" s="21"/>
      <c r="GDU89" s="21"/>
      <c r="GDV89" s="21"/>
      <c r="GDW89" s="21"/>
      <c r="GDX89" s="21"/>
      <c r="GDY89" s="21"/>
      <c r="GDZ89" s="21"/>
      <c r="GEA89" s="21"/>
      <c r="GEB89" s="21"/>
      <c r="GEC89" s="21"/>
      <c r="GED89" s="21"/>
      <c r="GEE89" s="21"/>
      <c r="GEF89" s="21"/>
      <c r="GEG89" s="21"/>
      <c r="GEH89" s="21"/>
      <c r="GEI89" s="21"/>
      <c r="GEJ89" s="21"/>
      <c r="GEK89" s="21"/>
      <c r="GEL89" s="21"/>
      <c r="GEM89" s="21"/>
      <c r="GEN89" s="21"/>
      <c r="GEO89" s="21"/>
      <c r="GEP89" s="21"/>
      <c r="GEQ89" s="21"/>
      <c r="GER89" s="21"/>
      <c r="GES89" s="21"/>
      <c r="GET89" s="21"/>
      <c r="GEU89" s="21"/>
      <c r="GEV89" s="21"/>
      <c r="GEW89" s="21"/>
      <c r="GEX89" s="21"/>
      <c r="GEY89" s="21"/>
      <c r="GEZ89" s="21"/>
      <c r="GFA89" s="21"/>
      <c r="GFB89" s="21"/>
      <c r="GFC89" s="21"/>
      <c r="GFD89" s="21"/>
      <c r="GFE89" s="21"/>
      <c r="GFF89" s="21"/>
      <c r="GFG89" s="21"/>
      <c r="GFH89" s="21"/>
      <c r="GFI89" s="21"/>
      <c r="GFJ89" s="21"/>
      <c r="GFK89" s="21"/>
      <c r="GFL89" s="21"/>
      <c r="GFM89" s="21"/>
      <c r="GFN89" s="21"/>
      <c r="GFO89" s="21"/>
      <c r="GFP89" s="21"/>
      <c r="GFQ89" s="21"/>
      <c r="GFR89" s="21"/>
      <c r="GFS89" s="21"/>
      <c r="GFT89" s="21"/>
      <c r="GFU89" s="21"/>
      <c r="GFV89" s="21"/>
      <c r="GFW89" s="21"/>
      <c r="GFX89" s="21"/>
      <c r="GFY89" s="21"/>
      <c r="GFZ89" s="21"/>
      <c r="GGA89" s="21"/>
      <c r="GGB89" s="21"/>
      <c r="GGC89" s="21"/>
      <c r="GGD89" s="21"/>
      <c r="GGE89" s="21"/>
      <c r="GGF89" s="21"/>
      <c r="GGG89" s="21"/>
      <c r="GGH89" s="21"/>
      <c r="GGI89" s="21"/>
      <c r="GGJ89" s="21"/>
      <c r="GGK89" s="21"/>
      <c r="GGL89" s="21"/>
      <c r="GGM89" s="21"/>
      <c r="GGN89" s="21"/>
      <c r="GGO89" s="21"/>
      <c r="GGP89" s="21"/>
      <c r="GGQ89" s="21"/>
      <c r="GGR89" s="21"/>
      <c r="GGS89" s="21"/>
      <c r="GGT89" s="21"/>
      <c r="GGU89" s="21"/>
      <c r="GGV89" s="21"/>
      <c r="GGW89" s="21"/>
      <c r="GGX89" s="21"/>
      <c r="GGY89" s="21"/>
      <c r="GGZ89" s="21"/>
      <c r="GHA89" s="21"/>
      <c r="GHB89" s="21"/>
      <c r="GHC89" s="21"/>
      <c r="GHD89" s="21"/>
      <c r="GHE89" s="21"/>
      <c r="GHF89" s="21"/>
      <c r="GHG89" s="21"/>
      <c r="GHH89" s="21"/>
      <c r="GHI89" s="21"/>
      <c r="GHJ89" s="21"/>
      <c r="GHK89" s="21"/>
      <c r="GHL89" s="21"/>
      <c r="GHM89" s="21"/>
      <c r="GHN89" s="21"/>
      <c r="GHO89" s="21"/>
      <c r="GHP89" s="21"/>
      <c r="GHQ89" s="21"/>
      <c r="GHR89" s="21"/>
      <c r="GHS89" s="21"/>
      <c r="GHT89" s="21"/>
      <c r="GHU89" s="21"/>
      <c r="GHV89" s="21"/>
      <c r="GHW89" s="21"/>
      <c r="GHX89" s="21"/>
      <c r="GHY89" s="21"/>
      <c r="GHZ89" s="21"/>
      <c r="GIA89" s="21"/>
      <c r="GIB89" s="21"/>
      <c r="GIC89" s="21"/>
      <c r="GID89" s="21"/>
      <c r="GIE89" s="21"/>
      <c r="GIF89" s="21"/>
      <c r="GIG89" s="21"/>
      <c r="GIH89" s="21"/>
      <c r="GII89" s="21"/>
      <c r="GIJ89" s="21"/>
      <c r="GIK89" s="21"/>
      <c r="GIL89" s="21"/>
      <c r="GIM89" s="21"/>
      <c r="GIN89" s="21"/>
      <c r="GIO89" s="21"/>
      <c r="GIP89" s="21"/>
      <c r="GIQ89" s="21"/>
      <c r="GIR89" s="21"/>
      <c r="GIS89" s="21"/>
      <c r="GIT89" s="21"/>
      <c r="GIU89" s="21"/>
      <c r="GIV89" s="21"/>
      <c r="GIW89" s="21"/>
      <c r="GIX89" s="21"/>
      <c r="GIY89" s="21"/>
      <c r="GIZ89" s="21"/>
      <c r="GJA89" s="21"/>
      <c r="GJB89" s="21"/>
      <c r="GJC89" s="21"/>
      <c r="GJD89" s="21"/>
      <c r="GJE89" s="21"/>
      <c r="GJF89" s="21"/>
      <c r="GJG89" s="21"/>
      <c r="GJH89" s="21"/>
      <c r="GJI89" s="21"/>
      <c r="GJJ89" s="21"/>
      <c r="GJK89" s="21"/>
      <c r="GJL89" s="21"/>
      <c r="GJM89" s="21"/>
      <c r="GJN89" s="21"/>
      <c r="GJO89" s="21"/>
      <c r="GJP89" s="21"/>
      <c r="GJQ89" s="21"/>
      <c r="GJR89" s="21"/>
      <c r="GJS89" s="21"/>
      <c r="GJT89" s="21"/>
      <c r="GJU89" s="21"/>
      <c r="GJV89" s="21"/>
      <c r="GJW89" s="21"/>
      <c r="GJX89" s="21"/>
      <c r="GJY89" s="21"/>
      <c r="GJZ89" s="21"/>
      <c r="GKA89" s="21"/>
      <c r="GKB89" s="21"/>
      <c r="GKC89" s="21"/>
      <c r="GKD89" s="21"/>
      <c r="GKE89" s="21"/>
      <c r="GKF89" s="21"/>
      <c r="GKG89" s="21"/>
      <c r="GKH89" s="21"/>
      <c r="GKI89" s="21"/>
      <c r="GKJ89" s="21"/>
      <c r="GKK89" s="21"/>
      <c r="GKL89" s="21"/>
      <c r="GKM89" s="21"/>
      <c r="GKN89" s="21"/>
      <c r="GKO89" s="21"/>
      <c r="GKP89" s="21"/>
      <c r="GKQ89" s="21"/>
      <c r="GKR89" s="21"/>
      <c r="GKS89" s="21"/>
      <c r="GKT89" s="21"/>
      <c r="GKU89" s="21"/>
      <c r="GKV89" s="21"/>
      <c r="GKW89" s="21"/>
      <c r="GKX89" s="21"/>
      <c r="GKY89" s="21"/>
      <c r="GKZ89" s="21"/>
      <c r="GLA89" s="21"/>
      <c r="GLB89" s="21"/>
      <c r="GLC89" s="21"/>
      <c r="GLD89" s="21"/>
      <c r="GLE89" s="21"/>
      <c r="GLF89" s="21"/>
      <c r="GLG89" s="21"/>
      <c r="GLH89" s="21"/>
      <c r="GLI89" s="21"/>
      <c r="GLJ89" s="21"/>
      <c r="GLK89" s="21"/>
      <c r="GLL89" s="21"/>
      <c r="GLM89" s="21"/>
      <c r="GLN89" s="21"/>
      <c r="GLO89" s="21"/>
      <c r="GLP89" s="21"/>
      <c r="GLQ89" s="21"/>
      <c r="GLR89" s="21"/>
      <c r="GLS89" s="21"/>
      <c r="GLT89" s="21"/>
      <c r="GLU89" s="21"/>
      <c r="GLV89" s="21"/>
      <c r="GLW89" s="21"/>
      <c r="GLX89" s="21"/>
      <c r="GLY89" s="21"/>
      <c r="GLZ89" s="21"/>
      <c r="GMA89" s="21"/>
      <c r="GMB89" s="21"/>
      <c r="GMC89" s="21"/>
      <c r="GMD89" s="21"/>
      <c r="GME89" s="21"/>
      <c r="GMF89" s="21"/>
      <c r="GMG89" s="21"/>
      <c r="GMH89" s="21"/>
      <c r="GMI89" s="21"/>
      <c r="GMJ89" s="21"/>
      <c r="GMK89" s="21"/>
      <c r="GML89" s="21"/>
      <c r="GMM89" s="21"/>
      <c r="GMN89" s="21"/>
      <c r="GMO89" s="21"/>
      <c r="GMP89" s="21"/>
      <c r="GMQ89" s="21"/>
      <c r="GMR89" s="21"/>
      <c r="GMS89" s="21"/>
      <c r="GMT89" s="21"/>
      <c r="GMU89" s="21"/>
      <c r="GMV89" s="21"/>
      <c r="GMW89" s="21"/>
      <c r="GMX89" s="21"/>
      <c r="GMY89" s="21"/>
      <c r="GMZ89" s="21"/>
      <c r="GNA89" s="21"/>
      <c r="GNB89" s="21"/>
      <c r="GNC89" s="21"/>
      <c r="GND89" s="21"/>
      <c r="GNE89" s="21"/>
      <c r="GNF89" s="21"/>
      <c r="GNG89" s="21"/>
      <c r="GNH89" s="21"/>
      <c r="GNI89" s="21"/>
      <c r="GNJ89" s="21"/>
      <c r="GNK89" s="21"/>
      <c r="GNL89" s="21"/>
      <c r="GNM89" s="21"/>
      <c r="GNN89" s="21"/>
      <c r="GNO89" s="21"/>
      <c r="GNP89" s="21"/>
      <c r="GNQ89" s="21"/>
      <c r="GNR89" s="21"/>
      <c r="GNS89" s="21"/>
      <c r="GNT89" s="21"/>
      <c r="GNU89" s="21"/>
      <c r="GNV89" s="21"/>
      <c r="GNW89" s="21"/>
      <c r="GNX89" s="21"/>
      <c r="GNY89" s="21"/>
      <c r="GNZ89" s="21"/>
      <c r="GOA89" s="21"/>
      <c r="GOB89" s="21"/>
      <c r="GOC89" s="21"/>
      <c r="GOD89" s="21"/>
      <c r="GOE89" s="21"/>
      <c r="GOF89" s="21"/>
      <c r="GOG89" s="21"/>
      <c r="GOH89" s="21"/>
      <c r="GOI89" s="21"/>
      <c r="GOJ89" s="21"/>
      <c r="GOK89" s="21"/>
      <c r="GOL89" s="21"/>
      <c r="GOM89" s="21"/>
      <c r="GON89" s="21"/>
      <c r="GOO89" s="21"/>
      <c r="GOP89" s="21"/>
      <c r="GOQ89" s="21"/>
      <c r="GOR89" s="21"/>
      <c r="GOS89" s="21"/>
      <c r="GOT89" s="21"/>
      <c r="GOU89" s="21"/>
      <c r="GOV89" s="21"/>
      <c r="GOW89" s="21"/>
      <c r="GOX89" s="21"/>
      <c r="GOY89" s="21"/>
      <c r="GOZ89" s="21"/>
      <c r="GPA89" s="21"/>
      <c r="GPB89" s="21"/>
      <c r="GPC89" s="21"/>
      <c r="GPD89" s="21"/>
      <c r="GPE89" s="21"/>
      <c r="GPF89" s="21"/>
      <c r="GPG89" s="21"/>
      <c r="GPH89" s="21"/>
      <c r="GPI89" s="21"/>
      <c r="GPJ89" s="21"/>
      <c r="GPK89" s="21"/>
      <c r="GPL89" s="21"/>
      <c r="GPM89" s="21"/>
      <c r="GPN89" s="21"/>
      <c r="GPO89" s="21"/>
      <c r="GPP89" s="21"/>
      <c r="GPQ89" s="21"/>
      <c r="GPR89" s="21"/>
      <c r="GPS89" s="21"/>
      <c r="GPT89" s="21"/>
      <c r="GPU89" s="21"/>
      <c r="GPV89" s="21"/>
      <c r="GPW89" s="21"/>
      <c r="GPX89" s="21"/>
      <c r="GPY89" s="21"/>
      <c r="GPZ89" s="21"/>
      <c r="GQA89" s="21"/>
      <c r="GQB89" s="21"/>
      <c r="GQC89" s="21"/>
      <c r="GQD89" s="21"/>
      <c r="GQE89" s="21"/>
      <c r="GQF89" s="21"/>
      <c r="GQG89" s="21"/>
      <c r="GQH89" s="21"/>
      <c r="GQI89" s="21"/>
      <c r="GQJ89" s="21"/>
      <c r="GQK89" s="21"/>
      <c r="GQL89" s="21"/>
      <c r="GQM89" s="21"/>
      <c r="GQN89" s="21"/>
      <c r="GQO89" s="21"/>
      <c r="GQP89" s="21"/>
      <c r="GQQ89" s="21"/>
      <c r="GQR89" s="21"/>
      <c r="GQS89" s="21"/>
      <c r="GQT89" s="21"/>
      <c r="GQU89" s="21"/>
      <c r="GQV89" s="21"/>
      <c r="GQW89" s="21"/>
      <c r="GQX89" s="21"/>
      <c r="GQY89" s="21"/>
      <c r="GQZ89" s="21"/>
      <c r="GRA89" s="21"/>
      <c r="GRB89" s="21"/>
      <c r="GRC89" s="21"/>
      <c r="GRD89" s="21"/>
      <c r="GRE89" s="21"/>
      <c r="GRF89" s="21"/>
      <c r="GRG89" s="21"/>
      <c r="GRH89" s="21"/>
      <c r="GRI89" s="21"/>
      <c r="GRJ89" s="21"/>
      <c r="GRK89" s="21"/>
      <c r="GRL89" s="21"/>
      <c r="GRM89" s="21"/>
      <c r="GRN89" s="21"/>
      <c r="GRO89" s="21"/>
      <c r="GRP89" s="21"/>
      <c r="GRQ89" s="21"/>
      <c r="GRR89" s="21"/>
      <c r="GRS89" s="21"/>
      <c r="GRT89" s="21"/>
      <c r="GRU89" s="21"/>
      <c r="GRV89" s="21"/>
      <c r="GRW89" s="21"/>
      <c r="GRX89" s="21"/>
      <c r="GRY89" s="21"/>
      <c r="GRZ89" s="21"/>
      <c r="GSA89" s="21"/>
      <c r="GSB89" s="21"/>
      <c r="GSC89" s="21"/>
      <c r="GSD89" s="21"/>
      <c r="GSE89" s="21"/>
      <c r="GSF89" s="21"/>
      <c r="GSG89" s="21"/>
      <c r="GSH89" s="21"/>
      <c r="GSI89" s="21"/>
      <c r="GSJ89" s="21"/>
      <c r="GSK89" s="21"/>
      <c r="GSL89" s="21"/>
      <c r="GSM89" s="21"/>
      <c r="GSN89" s="21"/>
      <c r="GSO89" s="21"/>
      <c r="GSP89" s="21"/>
      <c r="GSQ89" s="21"/>
      <c r="GSR89" s="21"/>
      <c r="GSS89" s="21"/>
      <c r="GST89" s="21"/>
      <c r="GSU89" s="21"/>
      <c r="GSV89" s="21"/>
      <c r="GSW89" s="21"/>
      <c r="GSX89" s="21"/>
      <c r="GSY89" s="21"/>
      <c r="GSZ89" s="21"/>
      <c r="GTA89" s="21"/>
      <c r="GTB89" s="21"/>
      <c r="GTC89" s="21"/>
      <c r="GTD89" s="21"/>
      <c r="GTE89" s="21"/>
      <c r="GTF89" s="21"/>
      <c r="GTG89" s="21"/>
      <c r="GTH89" s="21"/>
      <c r="GTI89" s="21"/>
      <c r="GTJ89" s="21"/>
      <c r="GTK89" s="21"/>
      <c r="GTL89" s="21"/>
      <c r="GTM89" s="21"/>
      <c r="GTN89" s="21"/>
      <c r="GTO89" s="21"/>
      <c r="GTP89" s="21"/>
      <c r="GTQ89" s="21"/>
      <c r="GTR89" s="21"/>
      <c r="GTS89" s="21"/>
      <c r="GTT89" s="21"/>
      <c r="GTU89" s="21"/>
      <c r="GTV89" s="21"/>
      <c r="GTW89" s="21"/>
      <c r="GTX89" s="21"/>
      <c r="GTY89" s="21"/>
      <c r="GTZ89" s="21"/>
      <c r="GUA89" s="21"/>
      <c r="GUB89" s="21"/>
      <c r="GUC89" s="21"/>
      <c r="GUD89" s="21"/>
      <c r="GUE89" s="21"/>
      <c r="GUF89" s="21"/>
      <c r="GUG89" s="21"/>
      <c r="GUH89" s="21"/>
      <c r="GUI89" s="21"/>
      <c r="GUJ89" s="21"/>
      <c r="GUK89" s="21"/>
      <c r="GUL89" s="21"/>
      <c r="GUM89" s="21"/>
      <c r="GUN89" s="21"/>
      <c r="GUO89" s="21"/>
      <c r="GUP89" s="21"/>
      <c r="GUQ89" s="21"/>
      <c r="GUR89" s="21"/>
      <c r="GUS89" s="21"/>
      <c r="GUT89" s="21"/>
      <c r="GUU89" s="21"/>
      <c r="GUV89" s="21"/>
      <c r="GUW89" s="21"/>
      <c r="GUX89" s="21"/>
      <c r="GUY89" s="21"/>
      <c r="GUZ89" s="21"/>
      <c r="GVA89" s="21"/>
      <c r="GVB89" s="21"/>
      <c r="GVC89" s="21"/>
      <c r="GVD89" s="21"/>
      <c r="GVE89" s="21"/>
      <c r="GVF89" s="21"/>
      <c r="GVG89" s="21"/>
      <c r="GVH89" s="21"/>
      <c r="GVI89" s="21"/>
      <c r="GVJ89" s="21"/>
      <c r="GVK89" s="21"/>
      <c r="GVL89" s="21"/>
      <c r="GVM89" s="21"/>
      <c r="GVN89" s="21"/>
      <c r="GVO89" s="21"/>
      <c r="GVP89" s="21"/>
      <c r="GVQ89" s="21"/>
      <c r="GVR89" s="21"/>
      <c r="GVS89" s="21"/>
      <c r="GVT89" s="21"/>
      <c r="GVU89" s="21"/>
      <c r="GVV89" s="21"/>
      <c r="GVW89" s="21"/>
      <c r="GVX89" s="21"/>
      <c r="GVY89" s="21"/>
      <c r="GVZ89" s="21"/>
      <c r="GWA89" s="21"/>
      <c r="GWB89" s="21"/>
      <c r="GWC89" s="21"/>
      <c r="GWD89" s="21"/>
      <c r="GWE89" s="21"/>
      <c r="GWF89" s="21"/>
      <c r="GWG89" s="21"/>
      <c r="GWH89" s="21"/>
      <c r="GWI89" s="21"/>
      <c r="GWJ89" s="21"/>
      <c r="GWK89" s="21"/>
      <c r="GWL89" s="21"/>
      <c r="GWM89" s="21"/>
      <c r="GWN89" s="21"/>
      <c r="GWO89" s="21"/>
      <c r="GWP89" s="21"/>
      <c r="GWQ89" s="21"/>
      <c r="GWR89" s="21"/>
      <c r="GWS89" s="21"/>
      <c r="GWT89" s="21"/>
      <c r="GWU89" s="21"/>
      <c r="GWV89" s="21"/>
      <c r="GWW89" s="21"/>
      <c r="GWX89" s="21"/>
      <c r="GWY89" s="21"/>
      <c r="GWZ89" s="21"/>
      <c r="GXA89" s="21"/>
      <c r="GXB89" s="21"/>
      <c r="GXC89" s="21"/>
      <c r="GXD89" s="21"/>
      <c r="GXE89" s="21"/>
      <c r="GXF89" s="21"/>
      <c r="GXG89" s="21"/>
      <c r="GXH89" s="21"/>
      <c r="GXI89" s="21"/>
      <c r="GXJ89" s="21"/>
      <c r="GXK89" s="21"/>
      <c r="GXL89" s="21"/>
      <c r="GXM89" s="21"/>
      <c r="GXN89" s="21"/>
      <c r="GXO89" s="21"/>
      <c r="GXP89" s="21"/>
      <c r="GXQ89" s="21"/>
      <c r="GXR89" s="21"/>
      <c r="GXS89" s="21"/>
      <c r="GXT89" s="21"/>
      <c r="GXU89" s="21"/>
      <c r="GXV89" s="21"/>
      <c r="GXW89" s="21"/>
      <c r="GXX89" s="21"/>
      <c r="GXY89" s="21"/>
      <c r="GXZ89" s="21"/>
      <c r="GYA89" s="21"/>
      <c r="GYB89" s="21"/>
      <c r="GYC89" s="21"/>
      <c r="GYD89" s="21"/>
      <c r="GYE89" s="21"/>
      <c r="GYF89" s="21"/>
      <c r="GYG89" s="21"/>
      <c r="GYH89" s="21"/>
      <c r="GYI89" s="21"/>
      <c r="GYJ89" s="21"/>
      <c r="GYK89" s="21"/>
      <c r="GYL89" s="21"/>
      <c r="GYM89" s="21"/>
      <c r="GYN89" s="21"/>
      <c r="GYO89" s="21"/>
      <c r="GYP89" s="21"/>
      <c r="GYQ89" s="21"/>
      <c r="GYR89" s="21"/>
      <c r="GYS89" s="21"/>
      <c r="GYT89" s="21"/>
      <c r="GYU89" s="21"/>
      <c r="GYV89" s="21"/>
      <c r="GYW89" s="21"/>
      <c r="GYX89" s="21"/>
      <c r="GYY89" s="21"/>
      <c r="GYZ89" s="21"/>
      <c r="GZA89" s="21"/>
      <c r="GZB89" s="21"/>
      <c r="GZC89" s="21"/>
      <c r="GZD89" s="21"/>
      <c r="GZE89" s="21"/>
      <c r="GZF89" s="21"/>
      <c r="GZG89" s="21"/>
      <c r="GZH89" s="21"/>
      <c r="GZI89" s="21"/>
      <c r="GZJ89" s="21"/>
      <c r="GZK89" s="21"/>
      <c r="GZL89" s="21"/>
      <c r="GZM89" s="21"/>
      <c r="GZN89" s="21"/>
      <c r="GZO89" s="21"/>
      <c r="GZP89" s="21"/>
      <c r="GZQ89" s="21"/>
      <c r="GZR89" s="21"/>
      <c r="GZS89" s="21"/>
      <c r="GZT89" s="21"/>
      <c r="GZU89" s="21"/>
      <c r="GZV89" s="21"/>
      <c r="GZW89" s="21"/>
      <c r="GZX89" s="21"/>
      <c r="GZY89" s="21"/>
      <c r="GZZ89" s="21"/>
      <c r="HAA89" s="21"/>
      <c r="HAB89" s="21"/>
      <c r="HAC89" s="21"/>
      <c r="HAD89" s="21"/>
      <c r="HAE89" s="21"/>
      <c r="HAF89" s="21"/>
      <c r="HAG89" s="21"/>
      <c r="HAH89" s="21"/>
      <c r="HAI89" s="21"/>
      <c r="HAJ89" s="21"/>
      <c r="HAK89" s="21"/>
      <c r="HAL89" s="21"/>
      <c r="HAM89" s="21"/>
      <c r="HAN89" s="21"/>
      <c r="HAO89" s="21"/>
      <c r="HAP89" s="21"/>
      <c r="HAQ89" s="21"/>
      <c r="HAR89" s="21"/>
      <c r="HAS89" s="21"/>
      <c r="HAT89" s="21"/>
      <c r="HAU89" s="21"/>
      <c r="HAV89" s="21"/>
      <c r="HAW89" s="21"/>
      <c r="HAX89" s="21"/>
      <c r="HAY89" s="21"/>
      <c r="HAZ89" s="21"/>
      <c r="HBA89" s="21"/>
      <c r="HBB89" s="21"/>
      <c r="HBC89" s="21"/>
      <c r="HBD89" s="21"/>
      <c r="HBE89" s="21"/>
      <c r="HBF89" s="21"/>
      <c r="HBG89" s="21"/>
      <c r="HBH89" s="21"/>
      <c r="HBI89" s="21"/>
      <c r="HBJ89" s="21"/>
      <c r="HBK89" s="21"/>
      <c r="HBL89" s="21"/>
      <c r="HBM89" s="21"/>
      <c r="HBN89" s="21"/>
      <c r="HBO89" s="21"/>
      <c r="HBP89" s="21"/>
      <c r="HBQ89" s="21"/>
      <c r="HBR89" s="21"/>
      <c r="HBS89" s="21"/>
      <c r="HBT89" s="21"/>
      <c r="HBU89" s="21"/>
      <c r="HBV89" s="21"/>
      <c r="HBW89" s="21"/>
      <c r="HBX89" s="21"/>
      <c r="HBY89" s="21"/>
      <c r="HBZ89" s="21"/>
      <c r="HCA89" s="21"/>
      <c r="HCB89" s="21"/>
      <c r="HCC89" s="21"/>
      <c r="HCD89" s="21"/>
      <c r="HCE89" s="21"/>
      <c r="HCF89" s="21"/>
      <c r="HCG89" s="21"/>
      <c r="HCH89" s="21"/>
      <c r="HCI89" s="21"/>
      <c r="HCJ89" s="21"/>
      <c r="HCK89" s="21"/>
      <c r="HCL89" s="21"/>
      <c r="HCM89" s="21"/>
      <c r="HCN89" s="21"/>
      <c r="HCO89" s="21"/>
      <c r="HCP89" s="21"/>
      <c r="HCQ89" s="21"/>
      <c r="HCR89" s="21"/>
      <c r="HCS89" s="21"/>
      <c r="HCT89" s="21"/>
      <c r="HCU89" s="21"/>
      <c r="HCV89" s="21"/>
      <c r="HCW89" s="21"/>
      <c r="HCX89" s="21"/>
      <c r="HCY89" s="21"/>
      <c r="HCZ89" s="21"/>
      <c r="HDA89" s="21"/>
      <c r="HDB89" s="21"/>
      <c r="HDC89" s="21"/>
      <c r="HDD89" s="21"/>
      <c r="HDE89" s="21"/>
      <c r="HDF89" s="21"/>
      <c r="HDG89" s="21"/>
      <c r="HDH89" s="21"/>
      <c r="HDI89" s="21"/>
      <c r="HDJ89" s="21"/>
      <c r="HDK89" s="21"/>
      <c r="HDL89" s="21"/>
      <c r="HDM89" s="21"/>
      <c r="HDN89" s="21"/>
      <c r="HDO89" s="21"/>
      <c r="HDP89" s="21"/>
      <c r="HDQ89" s="21"/>
      <c r="HDR89" s="21"/>
      <c r="HDS89" s="21"/>
      <c r="HDT89" s="21"/>
      <c r="HDU89" s="21"/>
      <c r="HDV89" s="21"/>
      <c r="HDW89" s="21"/>
      <c r="HDX89" s="21"/>
      <c r="HDY89" s="21"/>
      <c r="HDZ89" s="21"/>
      <c r="HEA89" s="21"/>
      <c r="HEB89" s="21"/>
      <c r="HEC89" s="21"/>
      <c r="HED89" s="21"/>
      <c r="HEE89" s="21"/>
      <c r="HEF89" s="21"/>
      <c r="HEG89" s="21"/>
      <c r="HEH89" s="21"/>
      <c r="HEI89" s="21"/>
      <c r="HEJ89" s="21"/>
      <c r="HEK89" s="21"/>
      <c r="HEL89" s="21"/>
      <c r="HEM89" s="21"/>
      <c r="HEN89" s="21"/>
      <c r="HEO89" s="21"/>
      <c r="HEP89" s="21"/>
      <c r="HEQ89" s="21"/>
      <c r="HER89" s="21"/>
      <c r="HES89" s="21"/>
      <c r="HET89" s="21"/>
      <c r="HEU89" s="21"/>
      <c r="HEV89" s="21"/>
      <c r="HEW89" s="21"/>
      <c r="HEX89" s="21"/>
      <c r="HEY89" s="21"/>
      <c r="HEZ89" s="21"/>
      <c r="HFA89" s="21"/>
      <c r="HFB89" s="21"/>
      <c r="HFC89" s="21"/>
      <c r="HFD89" s="21"/>
      <c r="HFE89" s="21"/>
      <c r="HFF89" s="21"/>
      <c r="HFG89" s="21"/>
      <c r="HFH89" s="21"/>
      <c r="HFI89" s="21"/>
      <c r="HFJ89" s="21"/>
      <c r="HFK89" s="21"/>
      <c r="HFL89" s="21"/>
      <c r="HFM89" s="21"/>
      <c r="HFN89" s="21"/>
      <c r="HFO89" s="21"/>
      <c r="HFP89" s="21"/>
      <c r="HFQ89" s="21"/>
      <c r="HFR89" s="21"/>
      <c r="HFS89" s="21"/>
      <c r="HFT89" s="21"/>
      <c r="HFU89" s="21"/>
      <c r="HFV89" s="21"/>
      <c r="HFW89" s="21"/>
      <c r="HFX89" s="21"/>
      <c r="HFY89" s="21"/>
      <c r="HFZ89" s="21"/>
      <c r="HGA89" s="21"/>
      <c r="HGB89" s="21"/>
      <c r="HGC89" s="21"/>
      <c r="HGD89" s="21"/>
      <c r="HGE89" s="21"/>
      <c r="HGF89" s="21"/>
      <c r="HGG89" s="21"/>
      <c r="HGH89" s="21"/>
      <c r="HGI89" s="21"/>
      <c r="HGJ89" s="21"/>
      <c r="HGK89" s="21"/>
      <c r="HGL89" s="21"/>
      <c r="HGM89" s="21"/>
      <c r="HGN89" s="21"/>
      <c r="HGO89" s="21"/>
      <c r="HGP89" s="21"/>
      <c r="HGQ89" s="21"/>
      <c r="HGR89" s="21"/>
      <c r="HGS89" s="21"/>
      <c r="HGT89" s="21"/>
      <c r="HGU89" s="21"/>
      <c r="HGV89" s="21"/>
      <c r="HGW89" s="21"/>
      <c r="HGX89" s="21"/>
      <c r="HGY89" s="21"/>
      <c r="HGZ89" s="21"/>
      <c r="HHA89" s="21"/>
      <c r="HHB89" s="21"/>
      <c r="HHC89" s="21"/>
      <c r="HHD89" s="21"/>
      <c r="HHE89" s="21"/>
      <c r="HHF89" s="21"/>
      <c r="HHG89" s="21"/>
      <c r="HHH89" s="21"/>
      <c r="HHI89" s="21"/>
      <c r="HHJ89" s="21"/>
      <c r="HHK89" s="21"/>
      <c r="HHL89" s="21"/>
      <c r="HHM89" s="21"/>
      <c r="HHN89" s="21"/>
      <c r="HHO89" s="21"/>
      <c r="HHP89" s="21"/>
      <c r="HHQ89" s="21"/>
      <c r="HHR89" s="21"/>
      <c r="HHS89" s="21"/>
      <c r="HHT89" s="21"/>
      <c r="HHU89" s="21"/>
      <c r="HHV89" s="21"/>
      <c r="HHW89" s="21"/>
      <c r="HHX89" s="21"/>
      <c r="HHY89" s="21"/>
      <c r="HHZ89" s="21"/>
      <c r="HIA89" s="21"/>
      <c r="HIB89" s="21"/>
      <c r="HIC89" s="21"/>
      <c r="HID89" s="21"/>
      <c r="HIE89" s="21"/>
      <c r="HIF89" s="21"/>
      <c r="HIG89" s="21"/>
      <c r="HIH89" s="21"/>
      <c r="HII89" s="21"/>
      <c r="HIJ89" s="21"/>
      <c r="HIK89" s="21"/>
      <c r="HIL89" s="21"/>
      <c r="HIM89" s="21"/>
      <c r="HIN89" s="21"/>
      <c r="HIO89" s="21"/>
      <c r="HIP89" s="21"/>
      <c r="HIQ89" s="21"/>
      <c r="HIR89" s="21"/>
      <c r="HIS89" s="21"/>
      <c r="HIT89" s="21"/>
      <c r="HIU89" s="21"/>
      <c r="HIV89" s="21"/>
      <c r="HIW89" s="21"/>
      <c r="HIX89" s="21"/>
      <c r="HIY89" s="21"/>
      <c r="HIZ89" s="21"/>
      <c r="HJA89" s="21"/>
      <c r="HJB89" s="21"/>
      <c r="HJC89" s="21"/>
      <c r="HJD89" s="21"/>
      <c r="HJE89" s="21"/>
      <c r="HJF89" s="21"/>
      <c r="HJG89" s="21"/>
      <c r="HJH89" s="21"/>
      <c r="HJI89" s="21"/>
      <c r="HJJ89" s="21"/>
      <c r="HJK89" s="21"/>
      <c r="HJL89" s="21"/>
      <c r="HJM89" s="21"/>
      <c r="HJN89" s="21"/>
      <c r="HJO89" s="21"/>
      <c r="HJP89" s="21"/>
      <c r="HJQ89" s="21"/>
      <c r="HJR89" s="21"/>
      <c r="HJS89" s="21"/>
      <c r="HJT89" s="21"/>
      <c r="HJU89" s="21"/>
      <c r="HJV89" s="21"/>
      <c r="HJW89" s="21"/>
      <c r="HJX89" s="21"/>
      <c r="HJY89" s="21"/>
      <c r="HJZ89" s="21"/>
      <c r="HKA89" s="21"/>
      <c r="HKB89" s="21"/>
      <c r="HKC89" s="21"/>
      <c r="HKD89" s="21"/>
      <c r="HKE89" s="21"/>
      <c r="HKF89" s="21"/>
      <c r="HKG89" s="21"/>
      <c r="HKH89" s="21"/>
      <c r="HKI89" s="21"/>
      <c r="HKJ89" s="21"/>
      <c r="HKK89" s="21"/>
      <c r="HKL89" s="21"/>
      <c r="HKM89" s="21"/>
      <c r="HKN89" s="21"/>
      <c r="HKO89" s="21"/>
      <c r="HKP89" s="21"/>
      <c r="HKQ89" s="21"/>
      <c r="HKR89" s="21"/>
      <c r="HKS89" s="21"/>
      <c r="HKT89" s="21"/>
      <c r="HKU89" s="21"/>
      <c r="HKV89" s="21"/>
      <c r="HKW89" s="21"/>
      <c r="HKX89" s="21"/>
      <c r="HKY89" s="21"/>
      <c r="HKZ89" s="21"/>
      <c r="HLA89" s="21"/>
      <c r="HLB89" s="21"/>
      <c r="HLC89" s="21"/>
      <c r="HLD89" s="21"/>
      <c r="HLE89" s="21"/>
      <c r="HLF89" s="21"/>
      <c r="HLG89" s="21"/>
      <c r="HLH89" s="21"/>
      <c r="HLI89" s="21"/>
      <c r="HLJ89" s="21"/>
      <c r="HLK89" s="21"/>
      <c r="HLL89" s="21"/>
      <c r="HLM89" s="21"/>
      <c r="HLN89" s="21"/>
      <c r="HLO89" s="21"/>
      <c r="HLP89" s="21"/>
      <c r="HLQ89" s="21"/>
      <c r="HLR89" s="21"/>
      <c r="HLS89" s="21"/>
      <c r="HLT89" s="21"/>
      <c r="HLU89" s="21"/>
      <c r="HLV89" s="21"/>
      <c r="HLW89" s="21"/>
      <c r="HLX89" s="21"/>
      <c r="HLY89" s="21"/>
      <c r="HLZ89" s="21"/>
      <c r="HMA89" s="21"/>
      <c r="HMB89" s="21"/>
      <c r="HMC89" s="21"/>
      <c r="HMD89" s="21"/>
      <c r="HME89" s="21"/>
      <c r="HMF89" s="21"/>
      <c r="HMG89" s="21"/>
      <c r="HMH89" s="21"/>
      <c r="HMI89" s="21"/>
      <c r="HMJ89" s="21"/>
      <c r="HMK89" s="21"/>
      <c r="HML89" s="21"/>
      <c r="HMM89" s="21"/>
      <c r="HMN89" s="21"/>
      <c r="HMO89" s="21"/>
      <c r="HMP89" s="21"/>
      <c r="HMQ89" s="21"/>
      <c r="HMR89" s="21"/>
      <c r="HMS89" s="21"/>
      <c r="HMT89" s="21"/>
      <c r="HMU89" s="21"/>
      <c r="HMV89" s="21"/>
      <c r="HMW89" s="21"/>
      <c r="HMX89" s="21"/>
      <c r="HMY89" s="21"/>
      <c r="HMZ89" s="21"/>
      <c r="HNA89" s="21"/>
      <c r="HNB89" s="21"/>
      <c r="HNC89" s="21"/>
      <c r="HND89" s="21"/>
      <c r="HNE89" s="21"/>
      <c r="HNF89" s="21"/>
      <c r="HNG89" s="21"/>
      <c r="HNH89" s="21"/>
      <c r="HNI89" s="21"/>
      <c r="HNJ89" s="21"/>
      <c r="HNK89" s="21"/>
      <c r="HNL89" s="21"/>
      <c r="HNM89" s="21"/>
      <c r="HNN89" s="21"/>
      <c r="HNO89" s="21"/>
      <c r="HNP89" s="21"/>
      <c r="HNQ89" s="21"/>
      <c r="HNR89" s="21"/>
      <c r="HNS89" s="21"/>
      <c r="HNT89" s="21"/>
      <c r="HNU89" s="21"/>
      <c r="HNV89" s="21"/>
      <c r="HNW89" s="21"/>
      <c r="HNX89" s="21"/>
      <c r="HNY89" s="21"/>
      <c r="HNZ89" s="21"/>
      <c r="HOA89" s="21"/>
      <c r="HOB89" s="21"/>
      <c r="HOC89" s="21"/>
      <c r="HOD89" s="21"/>
      <c r="HOE89" s="21"/>
      <c r="HOF89" s="21"/>
      <c r="HOG89" s="21"/>
      <c r="HOH89" s="21"/>
      <c r="HOI89" s="21"/>
      <c r="HOJ89" s="21"/>
      <c r="HOK89" s="21"/>
      <c r="HOL89" s="21"/>
      <c r="HOM89" s="21"/>
      <c r="HON89" s="21"/>
      <c r="HOO89" s="21"/>
      <c r="HOP89" s="21"/>
      <c r="HOQ89" s="21"/>
      <c r="HOR89" s="21"/>
      <c r="HOS89" s="21"/>
      <c r="HOT89" s="21"/>
      <c r="HOU89" s="21"/>
      <c r="HOV89" s="21"/>
      <c r="HOW89" s="21"/>
      <c r="HOX89" s="21"/>
      <c r="HOY89" s="21"/>
      <c r="HOZ89" s="21"/>
      <c r="HPA89" s="21"/>
      <c r="HPB89" s="21"/>
      <c r="HPC89" s="21"/>
      <c r="HPD89" s="21"/>
      <c r="HPE89" s="21"/>
      <c r="HPF89" s="21"/>
      <c r="HPG89" s="21"/>
      <c r="HPH89" s="21"/>
      <c r="HPI89" s="21"/>
      <c r="HPJ89" s="21"/>
      <c r="HPK89" s="21"/>
      <c r="HPL89" s="21"/>
      <c r="HPM89" s="21"/>
      <c r="HPN89" s="21"/>
      <c r="HPO89" s="21"/>
      <c r="HPP89" s="21"/>
      <c r="HPQ89" s="21"/>
      <c r="HPR89" s="21"/>
      <c r="HPS89" s="21"/>
      <c r="HPT89" s="21"/>
      <c r="HPU89" s="21"/>
      <c r="HPV89" s="21"/>
      <c r="HPW89" s="21"/>
      <c r="HPX89" s="21"/>
      <c r="HPY89" s="21"/>
      <c r="HPZ89" s="21"/>
      <c r="HQA89" s="21"/>
      <c r="HQB89" s="21"/>
      <c r="HQC89" s="21"/>
      <c r="HQD89" s="21"/>
      <c r="HQE89" s="21"/>
      <c r="HQF89" s="21"/>
      <c r="HQG89" s="21"/>
      <c r="HQH89" s="21"/>
      <c r="HQI89" s="21"/>
      <c r="HQJ89" s="21"/>
      <c r="HQK89" s="21"/>
      <c r="HQL89" s="21"/>
      <c r="HQM89" s="21"/>
      <c r="HQN89" s="21"/>
      <c r="HQO89" s="21"/>
      <c r="HQP89" s="21"/>
      <c r="HQQ89" s="21"/>
      <c r="HQR89" s="21"/>
      <c r="HQS89" s="21"/>
      <c r="HQT89" s="21"/>
      <c r="HQU89" s="21"/>
      <c r="HQV89" s="21"/>
      <c r="HQW89" s="21"/>
      <c r="HQX89" s="21"/>
      <c r="HQY89" s="21"/>
      <c r="HQZ89" s="21"/>
      <c r="HRA89" s="21"/>
      <c r="HRB89" s="21"/>
      <c r="HRC89" s="21"/>
      <c r="HRD89" s="21"/>
      <c r="HRE89" s="21"/>
      <c r="HRF89" s="21"/>
      <c r="HRG89" s="21"/>
      <c r="HRH89" s="21"/>
      <c r="HRI89" s="21"/>
      <c r="HRJ89" s="21"/>
      <c r="HRK89" s="21"/>
      <c r="HRL89" s="21"/>
      <c r="HRM89" s="21"/>
      <c r="HRN89" s="21"/>
      <c r="HRO89" s="21"/>
      <c r="HRP89" s="21"/>
      <c r="HRQ89" s="21"/>
      <c r="HRR89" s="21"/>
      <c r="HRS89" s="21"/>
      <c r="HRT89" s="21"/>
      <c r="HRU89" s="21"/>
      <c r="HRV89" s="21"/>
      <c r="HRW89" s="21"/>
      <c r="HRX89" s="21"/>
      <c r="HRY89" s="21"/>
      <c r="HRZ89" s="21"/>
      <c r="HSA89" s="21"/>
      <c r="HSB89" s="21"/>
      <c r="HSC89" s="21"/>
      <c r="HSD89" s="21"/>
      <c r="HSE89" s="21"/>
      <c r="HSF89" s="21"/>
      <c r="HSG89" s="21"/>
      <c r="HSH89" s="21"/>
      <c r="HSI89" s="21"/>
      <c r="HSJ89" s="21"/>
      <c r="HSK89" s="21"/>
      <c r="HSL89" s="21"/>
      <c r="HSM89" s="21"/>
      <c r="HSN89" s="21"/>
      <c r="HSO89" s="21"/>
      <c r="HSP89" s="21"/>
      <c r="HSQ89" s="21"/>
      <c r="HSR89" s="21"/>
      <c r="HSS89" s="21"/>
      <c r="HST89" s="21"/>
      <c r="HSU89" s="21"/>
      <c r="HSV89" s="21"/>
      <c r="HSW89" s="21"/>
      <c r="HSX89" s="21"/>
      <c r="HSY89" s="21"/>
      <c r="HSZ89" s="21"/>
      <c r="HTA89" s="21"/>
      <c r="HTB89" s="21"/>
      <c r="HTC89" s="21"/>
      <c r="HTD89" s="21"/>
      <c r="HTE89" s="21"/>
      <c r="HTF89" s="21"/>
      <c r="HTG89" s="21"/>
      <c r="HTH89" s="21"/>
      <c r="HTI89" s="21"/>
      <c r="HTJ89" s="21"/>
      <c r="HTK89" s="21"/>
      <c r="HTL89" s="21"/>
      <c r="HTM89" s="21"/>
      <c r="HTN89" s="21"/>
      <c r="HTO89" s="21"/>
      <c r="HTP89" s="21"/>
      <c r="HTQ89" s="21"/>
      <c r="HTR89" s="21"/>
      <c r="HTS89" s="21"/>
      <c r="HTT89" s="21"/>
      <c r="HTU89" s="21"/>
      <c r="HTV89" s="21"/>
      <c r="HTW89" s="21"/>
      <c r="HTX89" s="21"/>
      <c r="HTY89" s="21"/>
      <c r="HTZ89" s="21"/>
      <c r="HUA89" s="21"/>
      <c r="HUB89" s="21"/>
      <c r="HUC89" s="21"/>
      <c r="HUD89" s="21"/>
      <c r="HUE89" s="21"/>
      <c r="HUF89" s="21"/>
      <c r="HUG89" s="21"/>
      <c r="HUH89" s="21"/>
      <c r="HUI89" s="21"/>
      <c r="HUJ89" s="21"/>
      <c r="HUK89" s="21"/>
      <c r="HUL89" s="21"/>
      <c r="HUM89" s="21"/>
      <c r="HUN89" s="21"/>
      <c r="HUO89" s="21"/>
      <c r="HUP89" s="21"/>
      <c r="HUQ89" s="21"/>
      <c r="HUR89" s="21"/>
      <c r="HUS89" s="21"/>
      <c r="HUT89" s="21"/>
      <c r="HUU89" s="21"/>
      <c r="HUV89" s="21"/>
      <c r="HUW89" s="21"/>
      <c r="HUX89" s="21"/>
      <c r="HUY89" s="21"/>
      <c r="HUZ89" s="21"/>
      <c r="HVA89" s="21"/>
      <c r="HVB89" s="21"/>
      <c r="HVC89" s="21"/>
      <c r="HVD89" s="21"/>
      <c r="HVE89" s="21"/>
      <c r="HVF89" s="21"/>
      <c r="HVG89" s="21"/>
      <c r="HVH89" s="21"/>
      <c r="HVI89" s="21"/>
      <c r="HVJ89" s="21"/>
      <c r="HVK89" s="21"/>
      <c r="HVL89" s="21"/>
      <c r="HVM89" s="21"/>
      <c r="HVN89" s="21"/>
      <c r="HVO89" s="21"/>
      <c r="HVP89" s="21"/>
      <c r="HVQ89" s="21"/>
      <c r="HVR89" s="21"/>
      <c r="HVS89" s="21"/>
      <c r="HVT89" s="21"/>
      <c r="HVU89" s="21"/>
      <c r="HVV89" s="21"/>
      <c r="HVW89" s="21"/>
      <c r="HVX89" s="21"/>
      <c r="HVY89" s="21"/>
      <c r="HVZ89" s="21"/>
      <c r="HWA89" s="21"/>
      <c r="HWB89" s="21"/>
      <c r="HWC89" s="21"/>
      <c r="HWD89" s="21"/>
      <c r="HWE89" s="21"/>
      <c r="HWF89" s="21"/>
      <c r="HWG89" s="21"/>
      <c r="HWH89" s="21"/>
      <c r="HWI89" s="21"/>
      <c r="HWJ89" s="21"/>
      <c r="HWK89" s="21"/>
      <c r="HWL89" s="21"/>
      <c r="HWM89" s="21"/>
      <c r="HWN89" s="21"/>
      <c r="HWO89" s="21"/>
      <c r="HWP89" s="21"/>
      <c r="HWQ89" s="21"/>
      <c r="HWR89" s="21"/>
      <c r="HWS89" s="21"/>
      <c r="HWT89" s="21"/>
      <c r="HWU89" s="21"/>
      <c r="HWV89" s="21"/>
      <c r="HWW89" s="21"/>
      <c r="HWX89" s="21"/>
      <c r="HWY89" s="21"/>
      <c r="HWZ89" s="21"/>
      <c r="HXA89" s="21"/>
      <c r="HXB89" s="21"/>
      <c r="HXC89" s="21"/>
      <c r="HXD89" s="21"/>
      <c r="HXE89" s="21"/>
      <c r="HXF89" s="21"/>
      <c r="HXG89" s="21"/>
      <c r="HXH89" s="21"/>
      <c r="HXI89" s="21"/>
      <c r="HXJ89" s="21"/>
      <c r="HXK89" s="21"/>
      <c r="HXL89" s="21"/>
      <c r="HXM89" s="21"/>
      <c r="HXN89" s="21"/>
      <c r="HXO89" s="21"/>
      <c r="HXP89" s="21"/>
      <c r="HXQ89" s="21"/>
      <c r="HXR89" s="21"/>
      <c r="HXS89" s="21"/>
      <c r="HXT89" s="21"/>
      <c r="HXU89" s="21"/>
      <c r="HXV89" s="21"/>
      <c r="HXW89" s="21"/>
      <c r="HXX89" s="21"/>
      <c r="HXY89" s="21"/>
      <c r="HXZ89" s="21"/>
      <c r="HYA89" s="21"/>
      <c r="HYB89" s="21"/>
      <c r="HYC89" s="21"/>
      <c r="HYD89" s="21"/>
      <c r="HYE89" s="21"/>
      <c r="HYF89" s="21"/>
      <c r="HYG89" s="21"/>
      <c r="HYH89" s="21"/>
      <c r="HYI89" s="21"/>
      <c r="HYJ89" s="21"/>
      <c r="HYK89" s="21"/>
      <c r="HYL89" s="21"/>
      <c r="HYM89" s="21"/>
      <c r="HYN89" s="21"/>
      <c r="HYO89" s="21"/>
      <c r="HYP89" s="21"/>
      <c r="HYQ89" s="21"/>
      <c r="HYR89" s="21"/>
      <c r="HYS89" s="21"/>
      <c r="HYT89" s="21"/>
      <c r="HYU89" s="21"/>
      <c r="HYV89" s="21"/>
      <c r="HYW89" s="21"/>
      <c r="HYX89" s="21"/>
      <c r="HYY89" s="21"/>
      <c r="HYZ89" s="21"/>
      <c r="HZA89" s="21"/>
      <c r="HZB89" s="21"/>
      <c r="HZC89" s="21"/>
      <c r="HZD89" s="21"/>
      <c r="HZE89" s="21"/>
      <c r="HZF89" s="21"/>
      <c r="HZG89" s="21"/>
      <c r="HZH89" s="21"/>
      <c r="HZI89" s="21"/>
      <c r="HZJ89" s="21"/>
      <c r="HZK89" s="21"/>
      <c r="HZL89" s="21"/>
      <c r="HZM89" s="21"/>
      <c r="HZN89" s="21"/>
      <c r="HZO89" s="21"/>
      <c r="HZP89" s="21"/>
      <c r="HZQ89" s="21"/>
      <c r="HZR89" s="21"/>
      <c r="HZS89" s="21"/>
      <c r="HZT89" s="21"/>
      <c r="HZU89" s="21"/>
      <c r="HZV89" s="21"/>
      <c r="HZW89" s="21"/>
      <c r="HZX89" s="21"/>
      <c r="HZY89" s="21"/>
      <c r="HZZ89" s="21"/>
      <c r="IAA89" s="21"/>
      <c r="IAB89" s="21"/>
      <c r="IAC89" s="21"/>
      <c r="IAD89" s="21"/>
      <c r="IAE89" s="21"/>
      <c r="IAF89" s="21"/>
      <c r="IAG89" s="21"/>
      <c r="IAH89" s="21"/>
      <c r="IAI89" s="21"/>
      <c r="IAJ89" s="21"/>
      <c r="IAK89" s="21"/>
      <c r="IAL89" s="21"/>
      <c r="IAM89" s="21"/>
      <c r="IAN89" s="21"/>
      <c r="IAO89" s="21"/>
      <c r="IAP89" s="21"/>
      <c r="IAQ89" s="21"/>
      <c r="IAR89" s="21"/>
      <c r="IAS89" s="21"/>
      <c r="IAT89" s="21"/>
      <c r="IAU89" s="21"/>
      <c r="IAV89" s="21"/>
      <c r="IAW89" s="21"/>
      <c r="IAX89" s="21"/>
      <c r="IAY89" s="21"/>
      <c r="IAZ89" s="21"/>
      <c r="IBA89" s="21"/>
      <c r="IBB89" s="21"/>
      <c r="IBC89" s="21"/>
      <c r="IBD89" s="21"/>
      <c r="IBE89" s="21"/>
      <c r="IBF89" s="21"/>
      <c r="IBG89" s="21"/>
      <c r="IBH89" s="21"/>
      <c r="IBI89" s="21"/>
      <c r="IBJ89" s="21"/>
      <c r="IBK89" s="21"/>
      <c r="IBL89" s="21"/>
      <c r="IBM89" s="21"/>
      <c r="IBN89" s="21"/>
      <c r="IBO89" s="21"/>
      <c r="IBP89" s="21"/>
      <c r="IBQ89" s="21"/>
      <c r="IBR89" s="21"/>
      <c r="IBS89" s="21"/>
      <c r="IBT89" s="21"/>
      <c r="IBU89" s="21"/>
      <c r="IBV89" s="21"/>
      <c r="IBW89" s="21"/>
      <c r="IBX89" s="21"/>
      <c r="IBY89" s="21"/>
      <c r="IBZ89" s="21"/>
      <c r="ICA89" s="21"/>
      <c r="ICB89" s="21"/>
      <c r="ICC89" s="21"/>
      <c r="ICD89" s="21"/>
      <c r="ICE89" s="21"/>
      <c r="ICF89" s="21"/>
      <c r="ICG89" s="21"/>
      <c r="ICH89" s="21"/>
      <c r="ICI89" s="21"/>
      <c r="ICJ89" s="21"/>
      <c r="ICK89" s="21"/>
      <c r="ICL89" s="21"/>
      <c r="ICM89" s="21"/>
      <c r="ICN89" s="21"/>
      <c r="ICO89" s="21"/>
      <c r="ICP89" s="21"/>
      <c r="ICQ89" s="21"/>
      <c r="ICR89" s="21"/>
      <c r="ICS89" s="21"/>
      <c r="ICT89" s="21"/>
      <c r="ICU89" s="21"/>
      <c r="ICV89" s="21"/>
      <c r="ICW89" s="21"/>
      <c r="ICX89" s="21"/>
      <c r="ICY89" s="21"/>
      <c r="ICZ89" s="21"/>
      <c r="IDA89" s="21"/>
      <c r="IDB89" s="21"/>
      <c r="IDC89" s="21"/>
      <c r="IDD89" s="21"/>
      <c r="IDE89" s="21"/>
      <c r="IDF89" s="21"/>
      <c r="IDG89" s="21"/>
      <c r="IDH89" s="21"/>
      <c r="IDI89" s="21"/>
      <c r="IDJ89" s="21"/>
      <c r="IDK89" s="21"/>
      <c r="IDL89" s="21"/>
      <c r="IDM89" s="21"/>
      <c r="IDN89" s="21"/>
      <c r="IDO89" s="21"/>
      <c r="IDP89" s="21"/>
      <c r="IDQ89" s="21"/>
      <c r="IDR89" s="21"/>
      <c r="IDS89" s="21"/>
      <c r="IDT89" s="21"/>
      <c r="IDU89" s="21"/>
      <c r="IDV89" s="21"/>
      <c r="IDW89" s="21"/>
      <c r="IDX89" s="21"/>
      <c r="IDY89" s="21"/>
      <c r="IDZ89" s="21"/>
      <c r="IEA89" s="21"/>
      <c r="IEB89" s="21"/>
      <c r="IEC89" s="21"/>
      <c r="IED89" s="21"/>
      <c r="IEE89" s="21"/>
      <c r="IEF89" s="21"/>
      <c r="IEG89" s="21"/>
      <c r="IEH89" s="21"/>
      <c r="IEI89" s="21"/>
      <c r="IEJ89" s="21"/>
      <c r="IEK89" s="21"/>
      <c r="IEL89" s="21"/>
      <c r="IEM89" s="21"/>
      <c r="IEN89" s="21"/>
      <c r="IEO89" s="21"/>
      <c r="IEP89" s="21"/>
      <c r="IEQ89" s="21"/>
      <c r="IER89" s="21"/>
      <c r="IES89" s="21"/>
      <c r="IET89" s="21"/>
      <c r="IEU89" s="21"/>
      <c r="IEV89" s="21"/>
      <c r="IEW89" s="21"/>
      <c r="IEX89" s="21"/>
      <c r="IEY89" s="21"/>
      <c r="IEZ89" s="21"/>
      <c r="IFA89" s="21"/>
      <c r="IFB89" s="21"/>
      <c r="IFC89" s="21"/>
      <c r="IFD89" s="21"/>
      <c r="IFE89" s="21"/>
      <c r="IFF89" s="21"/>
      <c r="IFG89" s="21"/>
      <c r="IFH89" s="21"/>
      <c r="IFI89" s="21"/>
      <c r="IFJ89" s="21"/>
      <c r="IFK89" s="21"/>
      <c r="IFL89" s="21"/>
      <c r="IFM89" s="21"/>
      <c r="IFN89" s="21"/>
      <c r="IFO89" s="21"/>
      <c r="IFP89" s="21"/>
      <c r="IFQ89" s="21"/>
      <c r="IFR89" s="21"/>
      <c r="IFS89" s="21"/>
      <c r="IFT89" s="21"/>
      <c r="IFU89" s="21"/>
      <c r="IFV89" s="21"/>
      <c r="IFW89" s="21"/>
      <c r="IFX89" s="21"/>
      <c r="IFY89" s="21"/>
      <c r="IFZ89" s="21"/>
      <c r="IGA89" s="21"/>
      <c r="IGB89" s="21"/>
      <c r="IGC89" s="21"/>
      <c r="IGD89" s="21"/>
      <c r="IGE89" s="21"/>
      <c r="IGF89" s="21"/>
      <c r="IGG89" s="21"/>
      <c r="IGH89" s="21"/>
      <c r="IGI89" s="21"/>
      <c r="IGJ89" s="21"/>
      <c r="IGK89" s="21"/>
      <c r="IGL89" s="21"/>
      <c r="IGM89" s="21"/>
      <c r="IGN89" s="21"/>
      <c r="IGO89" s="21"/>
      <c r="IGP89" s="21"/>
      <c r="IGQ89" s="21"/>
      <c r="IGR89" s="21"/>
      <c r="IGS89" s="21"/>
      <c r="IGT89" s="21"/>
      <c r="IGU89" s="21"/>
      <c r="IGV89" s="21"/>
      <c r="IGW89" s="21"/>
      <c r="IGX89" s="21"/>
      <c r="IGY89" s="21"/>
      <c r="IGZ89" s="21"/>
      <c r="IHA89" s="21"/>
      <c r="IHB89" s="21"/>
      <c r="IHC89" s="21"/>
      <c r="IHD89" s="21"/>
      <c r="IHE89" s="21"/>
      <c r="IHF89" s="21"/>
      <c r="IHG89" s="21"/>
      <c r="IHH89" s="21"/>
      <c r="IHI89" s="21"/>
      <c r="IHJ89" s="21"/>
      <c r="IHK89" s="21"/>
      <c r="IHL89" s="21"/>
      <c r="IHM89" s="21"/>
      <c r="IHN89" s="21"/>
      <c r="IHO89" s="21"/>
      <c r="IHP89" s="21"/>
      <c r="IHQ89" s="21"/>
      <c r="IHR89" s="21"/>
      <c r="IHS89" s="21"/>
      <c r="IHT89" s="21"/>
      <c r="IHU89" s="21"/>
      <c r="IHV89" s="21"/>
      <c r="IHW89" s="21"/>
      <c r="IHX89" s="21"/>
      <c r="IHY89" s="21"/>
      <c r="IHZ89" s="21"/>
      <c r="IIA89" s="21"/>
      <c r="IIB89" s="21"/>
      <c r="IIC89" s="21"/>
      <c r="IID89" s="21"/>
      <c r="IIE89" s="21"/>
      <c r="IIF89" s="21"/>
      <c r="IIG89" s="21"/>
      <c r="IIH89" s="21"/>
      <c r="III89" s="21"/>
      <c r="IIJ89" s="21"/>
      <c r="IIK89" s="21"/>
      <c r="IIL89" s="21"/>
      <c r="IIM89" s="21"/>
      <c r="IIN89" s="21"/>
      <c r="IIO89" s="21"/>
      <c r="IIP89" s="21"/>
      <c r="IIQ89" s="21"/>
      <c r="IIR89" s="21"/>
      <c r="IIS89" s="21"/>
      <c r="IIT89" s="21"/>
      <c r="IIU89" s="21"/>
      <c r="IIV89" s="21"/>
      <c r="IIW89" s="21"/>
      <c r="IIX89" s="21"/>
      <c r="IIY89" s="21"/>
      <c r="IIZ89" s="21"/>
      <c r="IJA89" s="21"/>
      <c r="IJB89" s="21"/>
      <c r="IJC89" s="21"/>
      <c r="IJD89" s="21"/>
      <c r="IJE89" s="21"/>
      <c r="IJF89" s="21"/>
      <c r="IJG89" s="21"/>
      <c r="IJH89" s="21"/>
      <c r="IJI89" s="21"/>
      <c r="IJJ89" s="21"/>
      <c r="IJK89" s="21"/>
      <c r="IJL89" s="21"/>
      <c r="IJM89" s="21"/>
      <c r="IJN89" s="21"/>
      <c r="IJO89" s="21"/>
      <c r="IJP89" s="21"/>
      <c r="IJQ89" s="21"/>
      <c r="IJR89" s="21"/>
      <c r="IJS89" s="21"/>
      <c r="IJT89" s="21"/>
      <c r="IJU89" s="21"/>
      <c r="IJV89" s="21"/>
      <c r="IJW89" s="21"/>
      <c r="IJX89" s="21"/>
      <c r="IJY89" s="21"/>
      <c r="IJZ89" s="21"/>
      <c r="IKA89" s="21"/>
      <c r="IKB89" s="21"/>
      <c r="IKC89" s="21"/>
      <c r="IKD89" s="21"/>
      <c r="IKE89" s="21"/>
      <c r="IKF89" s="21"/>
      <c r="IKG89" s="21"/>
      <c r="IKH89" s="21"/>
      <c r="IKI89" s="21"/>
      <c r="IKJ89" s="21"/>
      <c r="IKK89" s="21"/>
      <c r="IKL89" s="21"/>
      <c r="IKM89" s="21"/>
      <c r="IKN89" s="21"/>
      <c r="IKO89" s="21"/>
      <c r="IKP89" s="21"/>
      <c r="IKQ89" s="21"/>
      <c r="IKR89" s="21"/>
      <c r="IKS89" s="21"/>
      <c r="IKT89" s="21"/>
      <c r="IKU89" s="21"/>
      <c r="IKV89" s="21"/>
      <c r="IKW89" s="21"/>
      <c r="IKX89" s="21"/>
      <c r="IKY89" s="21"/>
      <c r="IKZ89" s="21"/>
      <c r="ILA89" s="21"/>
      <c r="ILB89" s="21"/>
      <c r="ILC89" s="21"/>
      <c r="ILD89" s="21"/>
      <c r="ILE89" s="21"/>
      <c r="ILF89" s="21"/>
      <c r="ILG89" s="21"/>
      <c r="ILH89" s="21"/>
      <c r="ILI89" s="21"/>
      <c r="ILJ89" s="21"/>
      <c r="ILK89" s="21"/>
      <c r="ILL89" s="21"/>
      <c r="ILM89" s="21"/>
      <c r="ILN89" s="21"/>
      <c r="ILO89" s="21"/>
      <c r="ILP89" s="21"/>
      <c r="ILQ89" s="21"/>
      <c r="ILR89" s="21"/>
      <c r="ILS89" s="21"/>
      <c r="ILT89" s="21"/>
      <c r="ILU89" s="21"/>
      <c r="ILV89" s="21"/>
      <c r="ILW89" s="21"/>
      <c r="ILX89" s="21"/>
      <c r="ILY89" s="21"/>
      <c r="ILZ89" s="21"/>
      <c r="IMA89" s="21"/>
      <c r="IMB89" s="21"/>
      <c r="IMC89" s="21"/>
      <c r="IMD89" s="21"/>
      <c r="IME89" s="21"/>
      <c r="IMF89" s="21"/>
      <c r="IMG89" s="21"/>
      <c r="IMH89" s="21"/>
      <c r="IMI89" s="21"/>
      <c r="IMJ89" s="21"/>
      <c r="IMK89" s="21"/>
      <c r="IML89" s="21"/>
      <c r="IMM89" s="21"/>
      <c r="IMN89" s="21"/>
      <c r="IMO89" s="21"/>
      <c r="IMP89" s="21"/>
      <c r="IMQ89" s="21"/>
      <c r="IMR89" s="21"/>
      <c r="IMS89" s="21"/>
      <c r="IMT89" s="21"/>
      <c r="IMU89" s="21"/>
      <c r="IMV89" s="21"/>
      <c r="IMW89" s="21"/>
      <c r="IMX89" s="21"/>
      <c r="IMY89" s="21"/>
      <c r="IMZ89" s="21"/>
      <c r="INA89" s="21"/>
      <c r="INB89" s="21"/>
      <c r="INC89" s="21"/>
      <c r="IND89" s="21"/>
      <c r="INE89" s="21"/>
      <c r="INF89" s="21"/>
      <c r="ING89" s="21"/>
      <c r="INH89" s="21"/>
      <c r="INI89" s="21"/>
      <c r="INJ89" s="21"/>
      <c r="INK89" s="21"/>
      <c r="INL89" s="21"/>
      <c r="INM89" s="21"/>
      <c r="INN89" s="21"/>
      <c r="INO89" s="21"/>
      <c r="INP89" s="21"/>
      <c r="INQ89" s="21"/>
      <c r="INR89" s="21"/>
      <c r="INS89" s="21"/>
      <c r="INT89" s="21"/>
      <c r="INU89" s="21"/>
      <c r="INV89" s="21"/>
      <c r="INW89" s="21"/>
      <c r="INX89" s="21"/>
      <c r="INY89" s="21"/>
      <c r="INZ89" s="21"/>
      <c r="IOA89" s="21"/>
      <c r="IOB89" s="21"/>
      <c r="IOC89" s="21"/>
      <c r="IOD89" s="21"/>
      <c r="IOE89" s="21"/>
      <c r="IOF89" s="21"/>
      <c r="IOG89" s="21"/>
      <c r="IOH89" s="21"/>
      <c r="IOI89" s="21"/>
      <c r="IOJ89" s="21"/>
      <c r="IOK89" s="21"/>
      <c r="IOL89" s="21"/>
      <c r="IOM89" s="21"/>
      <c r="ION89" s="21"/>
      <c r="IOO89" s="21"/>
      <c r="IOP89" s="21"/>
      <c r="IOQ89" s="21"/>
      <c r="IOR89" s="21"/>
      <c r="IOS89" s="21"/>
      <c r="IOT89" s="21"/>
      <c r="IOU89" s="21"/>
      <c r="IOV89" s="21"/>
      <c r="IOW89" s="21"/>
      <c r="IOX89" s="21"/>
      <c r="IOY89" s="21"/>
      <c r="IOZ89" s="21"/>
      <c r="IPA89" s="21"/>
      <c r="IPB89" s="21"/>
      <c r="IPC89" s="21"/>
      <c r="IPD89" s="21"/>
      <c r="IPE89" s="21"/>
      <c r="IPF89" s="21"/>
      <c r="IPG89" s="21"/>
      <c r="IPH89" s="21"/>
      <c r="IPI89" s="21"/>
      <c r="IPJ89" s="21"/>
      <c r="IPK89" s="21"/>
      <c r="IPL89" s="21"/>
      <c r="IPM89" s="21"/>
      <c r="IPN89" s="21"/>
      <c r="IPO89" s="21"/>
      <c r="IPP89" s="21"/>
      <c r="IPQ89" s="21"/>
      <c r="IPR89" s="21"/>
      <c r="IPS89" s="21"/>
      <c r="IPT89" s="21"/>
      <c r="IPU89" s="21"/>
      <c r="IPV89" s="21"/>
      <c r="IPW89" s="21"/>
      <c r="IPX89" s="21"/>
      <c r="IPY89" s="21"/>
      <c r="IPZ89" s="21"/>
      <c r="IQA89" s="21"/>
      <c r="IQB89" s="21"/>
      <c r="IQC89" s="21"/>
      <c r="IQD89" s="21"/>
      <c r="IQE89" s="21"/>
      <c r="IQF89" s="21"/>
      <c r="IQG89" s="21"/>
      <c r="IQH89" s="21"/>
      <c r="IQI89" s="21"/>
      <c r="IQJ89" s="21"/>
      <c r="IQK89" s="21"/>
      <c r="IQL89" s="21"/>
      <c r="IQM89" s="21"/>
      <c r="IQN89" s="21"/>
      <c r="IQO89" s="21"/>
      <c r="IQP89" s="21"/>
      <c r="IQQ89" s="21"/>
      <c r="IQR89" s="21"/>
      <c r="IQS89" s="21"/>
      <c r="IQT89" s="21"/>
      <c r="IQU89" s="21"/>
      <c r="IQV89" s="21"/>
      <c r="IQW89" s="21"/>
      <c r="IQX89" s="21"/>
      <c r="IQY89" s="21"/>
      <c r="IQZ89" s="21"/>
      <c r="IRA89" s="21"/>
      <c r="IRB89" s="21"/>
      <c r="IRC89" s="21"/>
      <c r="IRD89" s="21"/>
      <c r="IRE89" s="21"/>
      <c r="IRF89" s="21"/>
      <c r="IRG89" s="21"/>
      <c r="IRH89" s="21"/>
      <c r="IRI89" s="21"/>
      <c r="IRJ89" s="21"/>
      <c r="IRK89" s="21"/>
      <c r="IRL89" s="21"/>
      <c r="IRM89" s="21"/>
      <c r="IRN89" s="21"/>
      <c r="IRO89" s="21"/>
      <c r="IRP89" s="21"/>
      <c r="IRQ89" s="21"/>
      <c r="IRR89" s="21"/>
      <c r="IRS89" s="21"/>
      <c r="IRT89" s="21"/>
      <c r="IRU89" s="21"/>
      <c r="IRV89" s="21"/>
      <c r="IRW89" s="21"/>
      <c r="IRX89" s="21"/>
      <c r="IRY89" s="21"/>
      <c r="IRZ89" s="21"/>
      <c r="ISA89" s="21"/>
      <c r="ISB89" s="21"/>
      <c r="ISC89" s="21"/>
      <c r="ISD89" s="21"/>
      <c r="ISE89" s="21"/>
      <c r="ISF89" s="21"/>
      <c r="ISG89" s="21"/>
      <c r="ISH89" s="21"/>
      <c r="ISI89" s="21"/>
      <c r="ISJ89" s="21"/>
      <c r="ISK89" s="21"/>
      <c r="ISL89" s="21"/>
      <c r="ISM89" s="21"/>
      <c r="ISN89" s="21"/>
      <c r="ISO89" s="21"/>
      <c r="ISP89" s="21"/>
      <c r="ISQ89" s="21"/>
      <c r="ISR89" s="21"/>
      <c r="ISS89" s="21"/>
      <c r="IST89" s="21"/>
      <c r="ISU89" s="21"/>
      <c r="ISV89" s="21"/>
      <c r="ISW89" s="21"/>
      <c r="ISX89" s="21"/>
      <c r="ISY89" s="21"/>
      <c r="ISZ89" s="21"/>
      <c r="ITA89" s="21"/>
      <c r="ITB89" s="21"/>
      <c r="ITC89" s="21"/>
      <c r="ITD89" s="21"/>
      <c r="ITE89" s="21"/>
      <c r="ITF89" s="21"/>
      <c r="ITG89" s="21"/>
      <c r="ITH89" s="21"/>
      <c r="ITI89" s="21"/>
      <c r="ITJ89" s="21"/>
      <c r="ITK89" s="21"/>
      <c r="ITL89" s="21"/>
      <c r="ITM89" s="21"/>
      <c r="ITN89" s="21"/>
      <c r="ITO89" s="21"/>
      <c r="ITP89" s="21"/>
      <c r="ITQ89" s="21"/>
      <c r="ITR89" s="21"/>
      <c r="ITS89" s="21"/>
      <c r="ITT89" s="21"/>
      <c r="ITU89" s="21"/>
      <c r="ITV89" s="21"/>
      <c r="ITW89" s="21"/>
      <c r="ITX89" s="21"/>
      <c r="ITY89" s="21"/>
      <c r="ITZ89" s="21"/>
      <c r="IUA89" s="21"/>
      <c r="IUB89" s="21"/>
      <c r="IUC89" s="21"/>
      <c r="IUD89" s="21"/>
      <c r="IUE89" s="21"/>
      <c r="IUF89" s="21"/>
      <c r="IUG89" s="21"/>
      <c r="IUH89" s="21"/>
      <c r="IUI89" s="21"/>
      <c r="IUJ89" s="21"/>
      <c r="IUK89" s="21"/>
      <c r="IUL89" s="21"/>
      <c r="IUM89" s="21"/>
      <c r="IUN89" s="21"/>
      <c r="IUO89" s="21"/>
      <c r="IUP89" s="21"/>
      <c r="IUQ89" s="21"/>
      <c r="IUR89" s="21"/>
      <c r="IUS89" s="21"/>
      <c r="IUT89" s="21"/>
      <c r="IUU89" s="21"/>
      <c r="IUV89" s="21"/>
      <c r="IUW89" s="21"/>
      <c r="IUX89" s="21"/>
      <c r="IUY89" s="21"/>
      <c r="IUZ89" s="21"/>
      <c r="IVA89" s="21"/>
      <c r="IVB89" s="21"/>
      <c r="IVC89" s="21"/>
      <c r="IVD89" s="21"/>
      <c r="IVE89" s="21"/>
      <c r="IVF89" s="21"/>
      <c r="IVG89" s="21"/>
      <c r="IVH89" s="21"/>
      <c r="IVI89" s="21"/>
      <c r="IVJ89" s="21"/>
      <c r="IVK89" s="21"/>
      <c r="IVL89" s="21"/>
      <c r="IVM89" s="21"/>
      <c r="IVN89" s="21"/>
      <c r="IVO89" s="21"/>
      <c r="IVP89" s="21"/>
      <c r="IVQ89" s="21"/>
      <c r="IVR89" s="21"/>
      <c r="IVS89" s="21"/>
      <c r="IVT89" s="21"/>
      <c r="IVU89" s="21"/>
      <c r="IVV89" s="21"/>
      <c r="IVW89" s="21"/>
      <c r="IVX89" s="21"/>
      <c r="IVY89" s="21"/>
      <c r="IVZ89" s="21"/>
      <c r="IWA89" s="21"/>
      <c r="IWB89" s="21"/>
      <c r="IWC89" s="21"/>
      <c r="IWD89" s="21"/>
      <c r="IWE89" s="21"/>
      <c r="IWF89" s="21"/>
      <c r="IWG89" s="21"/>
      <c r="IWH89" s="21"/>
      <c r="IWI89" s="21"/>
      <c r="IWJ89" s="21"/>
      <c r="IWK89" s="21"/>
      <c r="IWL89" s="21"/>
      <c r="IWM89" s="21"/>
      <c r="IWN89" s="21"/>
      <c r="IWO89" s="21"/>
      <c r="IWP89" s="21"/>
      <c r="IWQ89" s="21"/>
      <c r="IWR89" s="21"/>
      <c r="IWS89" s="21"/>
      <c r="IWT89" s="21"/>
      <c r="IWU89" s="21"/>
      <c r="IWV89" s="21"/>
      <c r="IWW89" s="21"/>
      <c r="IWX89" s="21"/>
      <c r="IWY89" s="21"/>
      <c r="IWZ89" s="21"/>
      <c r="IXA89" s="21"/>
      <c r="IXB89" s="21"/>
      <c r="IXC89" s="21"/>
      <c r="IXD89" s="21"/>
      <c r="IXE89" s="21"/>
      <c r="IXF89" s="21"/>
      <c r="IXG89" s="21"/>
      <c r="IXH89" s="21"/>
      <c r="IXI89" s="21"/>
      <c r="IXJ89" s="21"/>
      <c r="IXK89" s="21"/>
      <c r="IXL89" s="21"/>
      <c r="IXM89" s="21"/>
      <c r="IXN89" s="21"/>
      <c r="IXO89" s="21"/>
      <c r="IXP89" s="21"/>
      <c r="IXQ89" s="21"/>
      <c r="IXR89" s="21"/>
      <c r="IXS89" s="21"/>
      <c r="IXT89" s="21"/>
      <c r="IXU89" s="21"/>
      <c r="IXV89" s="21"/>
      <c r="IXW89" s="21"/>
      <c r="IXX89" s="21"/>
      <c r="IXY89" s="21"/>
      <c r="IXZ89" s="21"/>
      <c r="IYA89" s="21"/>
      <c r="IYB89" s="21"/>
      <c r="IYC89" s="21"/>
      <c r="IYD89" s="21"/>
      <c r="IYE89" s="21"/>
      <c r="IYF89" s="21"/>
      <c r="IYG89" s="21"/>
      <c r="IYH89" s="21"/>
      <c r="IYI89" s="21"/>
      <c r="IYJ89" s="21"/>
      <c r="IYK89" s="21"/>
      <c r="IYL89" s="21"/>
      <c r="IYM89" s="21"/>
      <c r="IYN89" s="21"/>
      <c r="IYO89" s="21"/>
      <c r="IYP89" s="21"/>
      <c r="IYQ89" s="21"/>
      <c r="IYR89" s="21"/>
      <c r="IYS89" s="21"/>
      <c r="IYT89" s="21"/>
      <c r="IYU89" s="21"/>
      <c r="IYV89" s="21"/>
      <c r="IYW89" s="21"/>
      <c r="IYX89" s="21"/>
      <c r="IYY89" s="21"/>
      <c r="IYZ89" s="21"/>
      <c r="IZA89" s="21"/>
      <c r="IZB89" s="21"/>
      <c r="IZC89" s="21"/>
      <c r="IZD89" s="21"/>
      <c r="IZE89" s="21"/>
      <c r="IZF89" s="21"/>
      <c r="IZG89" s="21"/>
      <c r="IZH89" s="21"/>
      <c r="IZI89" s="21"/>
      <c r="IZJ89" s="21"/>
      <c r="IZK89" s="21"/>
      <c r="IZL89" s="21"/>
      <c r="IZM89" s="21"/>
      <c r="IZN89" s="21"/>
      <c r="IZO89" s="21"/>
      <c r="IZP89" s="21"/>
      <c r="IZQ89" s="21"/>
      <c r="IZR89" s="21"/>
      <c r="IZS89" s="21"/>
      <c r="IZT89" s="21"/>
      <c r="IZU89" s="21"/>
      <c r="IZV89" s="21"/>
      <c r="IZW89" s="21"/>
      <c r="IZX89" s="21"/>
      <c r="IZY89" s="21"/>
      <c r="IZZ89" s="21"/>
      <c r="JAA89" s="21"/>
      <c r="JAB89" s="21"/>
      <c r="JAC89" s="21"/>
      <c r="JAD89" s="21"/>
      <c r="JAE89" s="21"/>
      <c r="JAF89" s="21"/>
      <c r="JAG89" s="21"/>
      <c r="JAH89" s="21"/>
      <c r="JAI89" s="21"/>
      <c r="JAJ89" s="21"/>
      <c r="JAK89" s="21"/>
      <c r="JAL89" s="21"/>
      <c r="JAM89" s="21"/>
      <c r="JAN89" s="21"/>
      <c r="JAO89" s="21"/>
      <c r="JAP89" s="21"/>
      <c r="JAQ89" s="21"/>
      <c r="JAR89" s="21"/>
      <c r="JAS89" s="21"/>
      <c r="JAT89" s="21"/>
      <c r="JAU89" s="21"/>
      <c r="JAV89" s="21"/>
      <c r="JAW89" s="21"/>
      <c r="JAX89" s="21"/>
      <c r="JAY89" s="21"/>
      <c r="JAZ89" s="21"/>
      <c r="JBA89" s="21"/>
      <c r="JBB89" s="21"/>
      <c r="JBC89" s="21"/>
      <c r="JBD89" s="21"/>
      <c r="JBE89" s="21"/>
      <c r="JBF89" s="21"/>
      <c r="JBG89" s="21"/>
      <c r="JBH89" s="21"/>
      <c r="JBI89" s="21"/>
      <c r="JBJ89" s="21"/>
      <c r="JBK89" s="21"/>
      <c r="JBL89" s="21"/>
      <c r="JBM89" s="21"/>
      <c r="JBN89" s="21"/>
      <c r="JBO89" s="21"/>
      <c r="JBP89" s="21"/>
      <c r="JBQ89" s="21"/>
      <c r="JBR89" s="21"/>
      <c r="JBS89" s="21"/>
      <c r="JBT89" s="21"/>
      <c r="JBU89" s="21"/>
      <c r="JBV89" s="21"/>
      <c r="JBW89" s="21"/>
      <c r="JBX89" s="21"/>
      <c r="JBY89" s="21"/>
      <c r="JBZ89" s="21"/>
      <c r="JCA89" s="21"/>
      <c r="JCB89" s="21"/>
      <c r="JCC89" s="21"/>
      <c r="JCD89" s="21"/>
      <c r="JCE89" s="21"/>
      <c r="JCF89" s="21"/>
      <c r="JCG89" s="21"/>
      <c r="JCH89" s="21"/>
      <c r="JCI89" s="21"/>
      <c r="JCJ89" s="21"/>
      <c r="JCK89" s="21"/>
      <c r="JCL89" s="21"/>
      <c r="JCM89" s="21"/>
      <c r="JCN89" s="21"/>
      <c r="JCO89" s="21"/>
      <c r="JCP89" s="21"/>
      <c r="JCQ89" s="21"/>
      <c r="JCR89" s="21"/>
      <c r="JCS89" s="21"/>
      <c r="JCT89" s="21"/>
      <c r="JCU89" s="21"/>
      <c r="JCV89" s="21"/>
      <c r="JCW89" s="21"/>
      <c r="JCX89" s="21"/>
      <c r="JCY89" s="21"/>
      <c r="JCZ89" s="21"/>
      <c r="JDA89" s="21"/>
      <c r="JDB89" s="21"/>
      <c r="JDC89" s="21"/>
      <c r="JDD89" s="21"/>
      <c r="JDE89" s="21"/>
      <c r="JDF89" s="21"/>
      <c r="JDG89" s="21"/>
      <c r="JDH89" s="21"/>
      <c r="JDI89" s="21"/>
      <c r="JDJ89" s="21"/>
      <c r="JDK89" s="21"/>
      <c r="JDL89" s="21"/>
      <c r="JDM89" s="21"/>
      <c r="JDN89" s="21"/>
      <c r="JDO89" s="21"/>
      <c r="JDP89" s="21"/>
      <c r="JDQ89" s="21"/>
      <c r="JDR89" s="21"/>
      <c r="JDS89" s="21"/>
      <c r="JDT89" s="21"/>
      <c r="JDU89" s="21"/>
      <c r="JDV89" s="21"/>
      <c r="JDW89" s="21"/>
      <c r="JDX89" s="21"/>
      <c r="JDY89" s="21"/>
      <c r="JDZ89" s="21"/>
      <c r="JEA89" s="21"/>
      <c r="JEB89" s="21"/>
      <c r="JEC89" s="21"/>
      <c r="JED89" s="21"/>
      <c r="JEE89" s="21"/>
      <c r="JEF89" s="21"/>
      <c r="JEG89" s="21"/>
      <c r="JEH89" s="21"/>
      <c r="JEI89" s="21"/>
      <c r="JEJ89" s="21"/>
      <c r="JEK89" s="21"/>
      <c r="JEL89" s="21"/>
      <c r="JEM89" s="21"/>
      <c r="JEN89" s="21"/>
      <c r="JEO89" s="21"/>
      <c r="JEP89" s="21"/>
      <c r="JEQ89" s="21"/>
      <c r="JER89" s="21"/>
      <c r="JES89" s="21"/>
      <c r="JET89" s="21"/>
      <c r="JEU89" s="21"/>
      <c r="JEV89" s="21"/>
      <c r="JEW89" s="21"/>
      <c r="JEX89" s="21"/>
      <c r="JEY89" s="21"/>
      <c r="JEZ89" s="21"/>
      <c r="JFA89" s="21"/>
      <c r="JFB89" s="21"/>
      <c r="JFC89" s="21"/>
      <c r="JFD89" s="21"/>
      <c r="JFE89" s="21"/>
      <c r="JFF89" s="21"/>
      <c r="JFG89" s="21"/>
      <c r="JFH89" s="21"/>
      <c r="JFI89" s="21"/>
      <c r="JFJ89" s="21"/>
      <c r="JFK89" s="21"/>
      <c r="JFL89" s="21"/>
      <c r="JFM89" s="21"/>
      <c r="JFN89" s="21"/>
      <c r="JFO89" s="21"/>
      <c r="JFP89" s="21"/>
      <c r="JFQ89" s="21"/>
      <c r="JFR89" s="21"/>
      <c r="JFS89" s="21"/>
      <c r="JFT89" s="21"/>
      <c r="JFU89" s="21"/>
      <c r="JFV89" s="21"/>
      <c r="JFW89" s="21"/>
      <c r="JFX89" s="21"/>
      <c r="JFY89" s="21"/>
      <c r="JFZ89" s="21"/>
      <c r="JGA89" s="21"/>
      <c r="JGB89" s="21"/>
      <c r="JGC89" s="21"/>
      <c r="JGD89" s="21"/>
      <c r="JGE89" s="21"/>
      <c r="JGF89" s="21"/>
      <c r="JGG89" s="21"/>
      <c r="JGH89" s="21"/>
      <c r="JGI89" s="21"/>
      <c r="JGJ89" s="21"/>
      <c r="JGK89" s="21"/>
      <c r="JGL89" s="21"/>
      <c r="JGM89" s="21"/>
      <c r="JGN89" s="21"/>
      <c r="JGO89" s="21"/>
      <c r="JGP89" s="21"/>
      <c r="JGQ89" s="21"/>
      <c r="JGR89" s="21"/>
      <c r="JGS89" s="21"/>
      <c r="JGT89" s="21"/>
      <c r="JGU89" s="21"/>
      <c r="JGV89" s="21"/>
      <c r="JGW89" s="21"/>
      <c r="JGX89" s="21"/>
      <c r="JGY89" s="21"/>
      <c r="JGZ89" s="21"/>
      <c r="JHA89" s="21"/>
      <c r="JHB89" s="21"/>
      <c r="JHC89" s="21"/>
      <c r="JHD89" s="21"/>
      <c r="JHE89" s="21"/>
      <c r="JHF89" s="21"/>
      <c r="JHG89" s="21"/>
      <c r="JHH89" s="21"/>
      <c r="JHI89" s="21"/>
      <c r="JHJ89" s="21"/>
      <c r="JHK89" s="21"/>
      <c r="JHL89" s="21"/>
      <c r="JHM89" s="21"/>
      <c r="JHN89" s="21"/>
      <c r="JHO89" s="21"/>
      <c r="JHP89" s="21"/>
      <c r="JHQ89" s="21"/>
      <c r="JHR89" s="21"/>
      <c r="JHS89" s="21"/>
      <c r="JHT89" s="21"/>
      <c r="JHU89" s="21"/>
      <c r="JHV89" s="21"/>
      <c r="JHW89" s="21"/>
      <c r="JHX89" s="21"/>
      <c r="JHY89" s="21"/>
      <c r="JHZ89" s="21"/>
      <c r="JIA89" s="21"/>
      <c r="JIB89" s="21"/>
      <c r="JIC89" s="21"/>
      <c r="JID89" s="21"/>
      <c r="JIE89" s="21"/>
      <c r="JIF89" s="21"/>
      <c r="JIG89" s="21"/>
      <c r="JIH89" s="21"/>
      <c r="JII89" s="21"/>
      <c r="JIJ89" s="21"/>
      <c r="JIK89" s="21"/>
      <c r="JIL89" s="21"/>
      <c r="JIM89" s="21"/>
      <c r="JIN89" s="21"/>
      <c r="JIO89" s="21"/>
      <c r="JIP89" s="21"/>
      <c r="JIQ89" s="21"/>
      <c r="JIR89" s="21"/>
      <c r="JIS89" s="21"/>
      <c r="JIT89" s="21"/>
      <c r="JIU89" s="21"/>
      <c r="JIV89" s="21"/>
      <c r="JIW89" s="21"/>
      <c r="JIX89" s="21"/>
      <c r="JIY89" s="21"/>
      <c r="JIZ89" s="21"/>
      <c r="JJA89" s="21"/>
      <c r="JJB89" s="21"/>
      <c r="JJC89" s="21"/>
      <c r="JJD89" s="21"/>
      <c r="JJE89" s="21"/>
      <c r="JJF89" s="21"/>
      <c r="JJG89" s="21"/>
      <c r="JJH89" s="21"/>
      <c r="JJI89" s="21"/>
      <c r="JJJ89" s="21"/>
      <c r="JJK89" s="21"/>
      <c r="JJL89" s="21"/>
      <c r="JJM89" s="21"/>
      <c r="JJN89" s="21"/>
      <c r="JJO89" s="21"/>
      <c r="JJP89" s="21"/>
      <c r="JJQ89" s="21"/>
      <c r="JJR89" s="21"/>
      <c r="JJS89" s="21"/>
      <c r="JJT89" s="21"/>
      <c r="JJU89" s="21"/>
      <c r="JJV89" s="21"/>
      <c r="JJW89" s="21"/>
      <c r="JJX89" s="21"/>
      <c r="JJY89" s="21"/>
      <c r="JJZ89" s="21"/>
      <c r="JKA89" s="21"/>
      <c r="JKB89" s="21"/>
      <c r="JKC89" s="21"/>
      <c r="JKD89" s="21"/>
      <c r="JKE89" s="21"/>
      <c r="JKF89" s="21"/>
      <c r="JKG89" s="21"/>
      <c r="JKH89" s="21"/>
      <c r="JKI89" s="21"/>
      <c r="JKJ89" s="21"/>
      <c r="JKK89" s="21"/>
      <c r="JKL89" s="21"/>
      <c r="JKM89" s="21"/>
      <c r="JKN89" s="21"/>
      <c r="JKO89" s="21"/>
      <c r="JKP89" s="21"/>
      <c r="JKQ89" s="21"/>
      <c r="JKR89" s="21"/>
      <c r="JKS89" s="21"/>
      <c r="JKT89" s="21"/>
      <c r="JKU89" s="21"/>
      <c r="JKV89" s="21"/>
      <c r="JKW89" s="21"/>
      <c r="JKX89" s="21"/>
      <c r="JKY89" s="21"/>
      <c r="JKZ89" s="21"/>
      <c r="JLA89" s="21"/>
      <c r="JLB89" s="21"/>
      <c r="JLC89" s="21"/>
      <c r="JLD89" s="21"/>
      <c r="JLE89" s="21"/>
      <c r="JLF89" s="21"/>
      <c r="JLG89" s="21"/>
      <c r="JLH89" s="21"/>
      <c r="JLI89" s="21"/>
      <c r="JLJ89" s="21"/>
      <c r="JLK89" s="21"/>
      <c r="JLL89" s="21"/>
      <c r="JLM89" s="21"/>
      <c r="JLN89" s="21"/>
      <c r="JLO89" s="21"/>
      <c r="JLP89" s="21"/>
      <c r="JLQ89" s="21"/>
      <c r="JLR89" s="21"/>
      <c r="JLS89" s="21"/>
      <c r="JLT89" s="21"/>
      <c r="JLU89" s="21"/>
      <c r="JLV89" s="21"/>
      <c r="JLW89" s="21"/>
      <c r="JLX89" s="21"/>
      <c r="JLY89" s="21"/>
      <c r="JLZ89" s="21"/>
      <c r="JMA89" s="21"/>
      <c r="JMB89" s="21"/>
      <c r="JMC89" s="21"/>
      <c r="JMD89" s="21"/>
      <c r="JME89" s="21"/>
      <c r="JMF89" s="21"/>
      <c r="JMG89" s="21"/>
      <c r="JMH89" s="21"/>
      <c r="JMI89" s="21"/>
      <c r="JMJ89" s="21"/>
      <c r="JMK89" s="21"/>
      <c r="JML89" s="21"/>
      <c r="JMM89" s="21"/>
      <c r="JMN89" s="21"/>
      <c r="JMO89" s="21"/>
      <c r="JMP89" s="21"/>
      <c r="JMQ89" s="21"/>
      <c r="JMR89" s="21"/>
      <c r="JMS89" s="21"/>
      <c r="JMT89" s="21"/>
      <c r="JMU89" s="21"/>
      <c r="JMV89" s="21"/>
      <c r="JMW89" s="21"/>
      <c r="JMX89" s="21"/>
      <c r="JMY89" s="21"/>
      <c r="JMZ89" s="21"/>
      <c r="JNA89" s="21"/>
      <c r="JNB89" s="21"/>
      <c r="JNC89" s="21"/>
      <c r="JND89" s="21"/>
      <c r="JNE89" s="21"/>
      <c r="JNF89" s="21"/>
      <c r="JNG89" s="21"/>
      <c r="JNH89" s="21"/>
      <c r="JNI89" s="21"/>
      <c r="JNJ89" s="21"/>
      <c r="JNK89" s="21"/>
      <c r="JNL89" s="21"/>
      <c r="JNM89" s="21"/>
      <c r="JNN89" s="21"/>
      <c r="JNO89" s="21"/>
      <c r="JNP89" s="21"/>
      <c r="JNQ89" s="21"/>
      <c r="JNR89" s="21"/>
      <c r="JNS89" s="21"/>
      <c r="JNT89" s="21"/>
      <c r="JNU89" s="21"/>
      <c r="JNV89" s="21"/>
      <c r="JNW89" s="21"/>
      <c r="JNX89" s="21"/>
      <c r="JNY89" s="21"/>
      <c r="JNZ89" s="21"/>
      <c r="JOA89" s="21"/>
      <c r="JOB89" s="21"/>
      <c r="JOC89" s="21"/>
      <c r="JOD89" s="21"/>
      <c r="JOE89" s="21"/>
      <c r="JOF89" s="21"/>
      <c r="JOG89" s="21"/>
      <c r="JOH89" s="21"/>
      <c r="JOI89" s="21"/>
      <c r="JOJ89" s="21"/>
      <c r="JOK89" s="21"/>
      <c r="JOL89" s="21"/>
      <c r="JOM89" s="21"/>
      <c r="JON89" s="21"/>
      <c r="JOO89" s="21"/>
      <c r="JOP89" s="21"/>
      <c r="JOQ89" s="21"/>
      <c r="JOR89" s="21"/>
      <c r="JOS89" s="21"/>
      <c r="JOT89" s="21"/>
      <c r="JOU89" s="21"/>
      <c r="JOV89" s="21"/>
      <c r="JOW89" s="21"/>
      <c r="JOX89" s="21"/>
      <c r="JOY89" s="21"/>
      <c r="JOZ89" s="21"/>
      <c r="JPA89" s="21"/>
      <c r="JPB89" s="21"/>
      <c r="JPC89" s="21"/>
      <c r="JPD89" s="21"/>
      <c r="JPE89" s="21"/>
      <c r="JPF89" s="21"/>
      <c r="JPG89" s="21"/>
      <c r="JPH89" s="21"/>
      <c r="JPI89" s="21"/>
      <c r="JPJ89" s="21"/>
      <c r="JPK89" s="21"/>
      <c r="JPL89" s="21"/>
      <c r="JPM89" s="21"/>
      <c r="JPN89" s="21"/>
      <c r="JPO89" s="21"/>
      <c r="JPP89" s="21"/>
      <c r="JPQ89" s="21"/>
      <c r="JPR89" s="21"/>
      <c r="JPS89" s="21"/>
      <c r="JPT89" s="21"/>
      <c r="JPU89" s="21"/>
      <c r="JPV89" s="21"/>
      <c r="JPW89" s="21"/>
      <c r="JPX89" s="21"/>
      <c r="JPY89" s="21"/>
      <c r="JPZ89" s="21"/>
      <c r="JQA89" s="21"/>
      <c r="JQB89" s="21"/>
      <c r="JQC89" s="21"/>
      <c r="JQD89" s="21"/>
      <c r="JQE89" s="21"/>
      <c r="JQF89" s="21"/>
      <c r="JQG89" s="21"/>
      <c r="JQH89" s="21"/>
      <c r="JQI89" s="21"/>
      <c r="JQJ89" s="21"/>
      <c r="JQK89" s="21"/>
      <c r="JQL89" s="21"/>
      <c r="JQM89" s="21"/>
      <c r="JQN89" s="21"/>
      <c r="JQO89" s="21"/>
      <c r="JQP89" s="21"/>
      <c r="JQQ89" s="21"/>
      <c r="JQR89" s="21"/>
      <c r="JQS89" s="21"/>
      <c r="JQT89" s="21"/>
      <c r="JQU89" s="21"/>
      <c r="JQV89" s="21"/>
      <c r="JQW89" s="21"/>
      <c r="JQX89" s="21"/>
      <c r="JQY89" s="21"/>
      <c r="JQZ89" s="21"/>
      <c r="JRA89" s="21"/>
      <c r="JRB89" s="21"/>
      <c r="JRC89" s="21"/>
      <c r="JRD89" s="21"/>
      <c r="JRE89" s="21"/>
      <c r="JRF89" s="21"/>
      <c r="JRG89" s="21"/>
      <c r="JRH89" s="21"/>
      <c r="JRI89" s="21"/>
      <c r="JRJ89" s="21"/>
      <c r="JRK89" s="21"/>
      <c r="JRL89" s="21"/>
      <c r="JRM89" s="21"/>
      <c r="JRN89" s="21"/>
      <c r="JRO89" s="21"/>
      <c r="JRP89" s="21"/>
      <c r="JRQ89" s="21"/>
      <c r="JRR89" s="21"/>
      <c r="JRS89" s="21"/>
      <c r="JRT89" s="21"/>
      <c r="JRU89" s="21"/>
      <c r="JRV89" s="21"/>
      <c r="JRW89" s="21"/>
      <c r="JRX89" s="21"/>
      <c r="JRY89" s="21"/>
      <c r="JRZ89" s="21"/>
      <c r="JSA89" s="21"/>
      <c r="JSB89" s="21"/>
      <c r="JSC89" s="21"/>
      <c r="JSD89" s="21"/>
      <c r="JSE89" s="21"/>
      <c r="JSF89" s="21"/>
      <c r="JSG89" s="21"/>
      <c r="JSH89" s="21"/>
      <c r="JSI89" s="21"/>
      <c r="JSJ89" s="21"/>
      <c r="JSK89" s="21"/>
      <c r="JSL89" s="21"/>
      <c r="JSM89" s="21"/>
      <c r="JSN89" s="21"/>
      <c r="JSO89" s="21"/>
      <c r="JSP89" s="21"/>
      <c r="JSQ89" s="21"/>
      <c r="JSR89" s="21"/>
      <c r="JSS89" s="21"/>
      <c r="JST89" s="21"/>
      <c r="JSU89" s="21"/>
      <c r="JSV89" s="21"/>
      <c r="JSW89" s="21"/>
      <c r="JSX89" s="21"/>
      <c r="JSY89" s="21"/>
      <c r="JSZ89" s="21"/>
      <c r="JTA89" s="21"/>
      <c r="JTB89" s="21"/>
      <c r="JTC89" s="21"/>
      <c r="JTD89" s="21"/>
      <c r="JTE89" s="21"/>
      <c r="JTF89" s="21"/>
      <c r="JTG89" s="21"/>
      <c r="JTH89" s="21"/>
      <c r="JTI89" s="21"/>
      <c r="JTJ89" s="21"/>
      <c r="JTK89" s="21"/>
      <c r="JTL89" s="21"/>
      <c r="JTM89" s="21"/>
      <c r="JTN89" s="21"/>
      <c r="JTO89" s="21"/>
      <c r="JTP89" s="21"/>
      <c r="JTQ89" s="21"/>
      <c r="JTR89" s="21"/>
      <c r="JTS89" s="21"/>
      <c r="JTT89" s="21"/>
      <c r="JTU89" s="21"/>
      <c r="JTV89" s="21"/>
      <c r="JTW89" s="21"/>
      <c r="JTX89" s="21"/>
      <c r="JTY89" s="21"/>
      <c r="JTZ89" s="21"/>
      <c r="JUA89" s="21"/>
      <c r="JUB89" s="21"/>
      <c r="JUC89" s="21"/>
      <c r="JUD89" s="21"/>
      <c r="JUE89" s="21"/>
      <c r="JUF89" s="21"/>
      <c r="JUG89" s="21"/>
      <c r="JUH89" s="21"/>
      <c r="JUI89" s="21"/>
      <c r="JUJ89" s="21"/>
      <c r="JUK89" s="21"/>
      <c r="JUL89" s="21"/>
      <c r="JUM89" s="21"/>
      <c r="JUN89" s="21"/>
      <c r="JUO89" s="21"/>
      <c r="JUP89" s="21"/>
      <c r="JUQ89" s="21"/>
      <c r="JUR89" s="21"/>
      <c r="JUS89" s="21"/>
      <c r="JUT89" s="21"/>
      <c r="JUU89" s="21"/>
      <c r="JUV89" s="21"/>
      <c r="JUW89" s="21"/>
      <c r="JUX89" s="21"/>
      <c r="JUY89" s="21"/>
      <c r="JUZ89" s="21"/>
      <c r="JVA89" s="21"/>
      <c r="JVB89" s="21"/>
      <c r="JVC89" s="21"/>
      <c r="JVD89" s="21"/>
      <c r="JVE89" s="21"/>
      <c r="JVF89" s="21"/>
      <c r="JVG89" s="21"/>
      <c r="JVH89" s="21"/>
      <c r="JVI89" s="21"/>
      <c r="JVJ89" s="21"/>
      <c r="JVK89" s="21"/>
      <c r="JVL89" s="21"/>
      <c r="JVM89" s="21"/>
      <c r="JVN89" s="21"/>
      <c r="JVO89" s="21"/>
      <c r="JVP89" s="21"/>
      <c r="JVQ89" s="21"/>
      <c r="JVR89" s="21"/>
      <c r="JVS89" s="21"/>
      <c r="JVT89" s="21"/>
      <c r="JVU89" s="21"/>
      <c r="JVV89" s="21"/>
      <c r="JVW89" s="21"/>
      <c r="JVX89" s="21"/>
      <c r="JVY89" s="21"/>
      <c r="JVZ89" s="21"/>
      <c r="JWA89" s="21"/>
      <c r="JWB89" s="21"/>
      <c r="JWC89" s="21"/>
      <c r="JWD89" s="21"/>
      <c r="JWE89" s="21"/>
      <c r="JWF89" s="21"/>
      <c r="JWG89" s="21"/>
      <c r="JWH89" s="21"/>
      <c r="JWI89" s="21"/>
      <c r="JWJ89" s="21"/>
      <c r="JWK89" s="21"/>
      <c r="JWL89" s="21"/>
      <c r="JWM89" s="21"/>
      <c r="JWN89" s="21"/>
      <c r="JWO89" s="21"/>
      <c r="JWP89" s="21"/>
      <c r="JWQ89" s="21"/>
      <c r="JWR89" s="21"/>
      <c r="JWS89" s="21"/>
      <c r="JWT89" s="21"/>
      <c r="JWU89" s="21"/>
      <c r="JWV89" s="21"/>
      <c r="JWW89" s="21"/>
      <c r="JWX89" s="21"/>
      <c r="JWY89" s="21"/>
      <c r="JWZ89" s="21"/>
      <c r="JXA89" s="21"/>
      <c r="JXB89" s="21"/>
      <c r="JXC89" s="21"/>
      <c r="JXD89" s="21"/>
      <c r="JXE89" s="21"/>
      <c r="JXF89" s="21"/>
      <c r="JXG89" s="21"/>
      <c r="JXH89" s="21"/>
      <c r="JXI89" s="21"/>
      <c r="JXJ89" s="21"/>
      <c r="JXK89" s="21"/>
      <c r="JXL89" s="21"/>
      <c r="JXM89" s="21"/>
      <c r="JXN89" s="21"/>
      <c r="JXO89" s="21"/>
      <c r="JXP89" s="21"/>
      <c r="JXQ89" s="21"/>
      <c r="JXR89" s="21"/>
      <c r="JXS89" s="21"/>
      <c r="JXT89" s="21"/>
      <c r="JXU89" s="21"/>
      <c r="JXV89" s="21"/>
      <c r="JXW89" s="21"/>
      <c r="JXX89" s="21"/>
      <c r="JXY89" s="21"/>
      <c r="JXZ89" s="21"/>
      <c r="JYA89" s="21"/>
      <c r="JYB89" s="21"/>
      <c r="JYC89" s="21"/>
      <c r="JYD89" s="21"/>
      <c r="JYE89" s="21"/>
      <c r="JYF89" s="21"/>
      <c r="JYG89" s="21"/>
      <c r="JYH89" s="21"/>
      <c r="JYI89" s="21"/>
      <c r="JYJ89" s="21"/>
      <c r="JYK89" s="21"/>
      <c r="JYL89" s="21"/>
      <c r="JYM89" s="21"/>
      <c r="JYN89" s="21"/>
      <c r="JYO89" s="21"/>
      <c r="JYP89" s="21"/>
      <c r="JYQ89" s="21"/>
      <c r="JYR89" s="21"/>
      <c r="JYS89" s="21"/>
      <c r="JYT89" s="21"/>
      <c r="JYU89" s="21"/>
      <c r="JYV89" s="21"/>
      <c r="JYW89" s="21"/>
      <c r="JYX89" s="21"/>
      <c r="JYY89" s="21"/>
      <c r="JYZ89" s="21"/>
      <c r="JZA89" s="21"/>
      <c r="JZB89" s="21"/>
      <c r="JZC89" s="21"/>
      <c r="JZD89" s="21"/>
      <c r="JZE89" s="21"/>
      <c r="JZF89" s="21"/>
      <c r="JZG89" s="21"/>
      <c r="JZH89" s="21"/>
      <c r="JZI89" s="21"/>
      <c r="JZJ89" s="21"/>
      <c r="JZK89" s="21"/>
      <c r="JZL89" s="21"/>
      <c r="JZM89" s="21"/>
      <c r="JZN89" s="21"/>
      <c r="JZO89" s="21"/>
      <c r="JZP89" s="21"/>
      <c r="JZQ89" s="21"/>
      <c r="JZR89" s="21"/>
      <c r="JZS89" s="21"/>
      <c r="JZT89" s="21"/>
      <c r="JZU89" s="21"/>
      <c r="JZV89" s="21"/>
      <c r="JZW89" s="21"/>
      <c r="JZX89" s="21"/>
      <c r="JZY89" s="21"/>
      <c r="JZZ89" s="21"/>
      <c r="KAA89" s="21"/>
      <c r="KAB89" s="21"/>
      <c r="KAC89" s="21"/>
      <c r="KAD89" s="21"/>
      <c r="KAE89" s="21"/>
      <c r="KAF89" s="21"/>
      <c r="KAG89" s="21"/>
      <c r="KAH89" s="21"/>
      <c r="KAI89" s="21"/>
      <c r="KAJ89" s="21"/>
      <c r="KAK89" s="21"/>
      <c r="KAL89" s="21"/>
      <c r="KAM89" s="21"/>
      <c r="KAN89" s="21"/>
      <c r="KAO89" s="21"/>
      <c r="KAP89" s="21"/>
      <c r="KAQ89" s="21"/>
      <c r="KAR89" s="21"/>
      <c r="KAS89" s="21"/>
      <c r="KAT89" s="21"/>
      <c r="KAU89" s="21"/>
      <c r="KAV89" s="21"/>
      <c r="KAW89" s="21"/>
      <c r="KAX89" s="21"/>
      <c r="KAY89" s="21"/>
      <c r="KAZ89" s="21"/>
      <c r="KBA89" s="21"/>
      <c r="KBB89" s="21"/>
      <c r="KBC89" s="21"/>
      <c r="KBD89" s="21"/>
      <c r="KBE89" s="21"/>
      <c r="KBF89" s="21"/>
      <c r="KBG89" s="21"/>
      <c r="KBH89" s="21"/>
      <c r="KBI89" s="21"/>
      <c r="KBJ89" s="21"/>
      <c r="KBK89" s="21"/>
      <c r="KBL89" s="21"/>
      <c r="KBM89" s="21"/>
      <c r="KBN89" s="21"/>
      <c r="KBO89" s="21"/>
      <c r="KBP89" s="21"/>
      <c r="KBQ89" s="21"/>
      <c r="KBR89" s="21"/>
      <c r="KBS89" s="21"/>
      <c r="KBT89" s="21"/>
      <c r="KBU89" s="21"/>
      <c r="KBV89" s="21"/>
      <c r="KBW89" s="21"/>
      <c r="KBX89" s="21"/>
      <c r="KBY89" s="21"/>
      <c r="KBZ89" s="21"/>
      <c r="KCA89" s="21"/>
      <c r="KCB89" s="21"/>
      <c r="KCC89" s="21"/>
      <c r="KCD89" s="21"/>
      <c r="KCE89" s="21"/>
      <c r="KCF89" s="21"/>
      <c r="KCG89" s="21"/>
      <c r="KCH89" s="21"/>
      <c r="KCI89" s="21"/>
      <c r="KCJ89" s="21"/>
      <c r="KCK89" s="21"/>
      <c r="KCL89" s="21"/>
      <c r="KCM89" s="21"/>
      <c r="KCN89" s="21"/>
      <c r="KCO89" s="21"/>
      <c r="KCP89" s="21"/>
      <c r="KCQ89" s="21"/>
      <c r="KCR89" s="21"/>
      <c r="KCS89" s="21"/>
      <c r="KCT89" s="21"/>
      <c r="KCU89" s="21"/>
      <c r="KCV89" s="21"/>
      <c r="KCW89" s="21"/>
      <c r="KCX89" s="21"/>
      <c r="KCY89" s="21"/>
      <c r="KCZ89" s="21"/>
      <c r="KDA89" s="21"/>
      <c r="KDB89" s="21"/>
      <c r="KDC89" s="21"/>
      <c r="KDD89" s="21"/>
      <c r="KDE89" s="21"/>
      <c r="KDF89" s="21"/>
      <c r="KDG89" s="21"/>
      <c r="KDH89" s="21"/>
      <c r="KDI89" s="21"/>
      <c r="KDJ89" s="21"/>
      <c r="KDK89" s="21"/>
      <c r="KDL89" s="21"/>
      <c r="KDM89" s="21"/>
      <c r="KDN89" s="21"/>
      <c r="KDO89" s="21"/>
      <c r="KDP89" s="21"/>
      <c r="KDQ89" s="21"/>
      <c r="KDR89" s="21"/>
      <c r="KDS89" s="21"/>
      <c r="KDT89" s="21"/>
      <c r="KDU89" s="21"/>
      <c r="KDV89" s="21"/>
      <c r="KDW89" s="21"/>
      <c r="KDX89" s="21"/>
      <c r="KDY89" s="21"/>
      <c r="KDZ89" s="21"/>
      <c r="KEA89" s="21"/>
      <c r="KEB89" s="21"/>
      <c r="KEC89" s="21"/>
      <c r="KED89" s="21"/>
      <c r="KEE89" s="21"/>
      <c r="KEF89" s="21"/>
      <c r="KEG89" s="21"/>
      <c r="KEH89" s="21"/>
      <c r="KEI89" s="21"/>
      <c r="KEJ89" s="21"/>
      <c r="KEK89" s="21"/>
      <c r="KEL89" s="21"/>
      <c r="KEM89" s="21"/>
      <c r="KEN89" s="21"/>
      <c r="KEO89" s="21"/>
      <c r="KEP89" s="21"/>
      <c r="KEQ89" s="21"/>
      <c r="KER89" s="21"/>
      <c r="KES89" s="21"/>
      <c r="KET89" s="21"/>
      <c r="KEU89" s="21"/>
      <c r="KEV89" s="21"/>
      <c r="KEW89" s="21"/>
      <c r="KEX89" s="21"/>
      <c r="KEY89" s="21"/>
      <c r="KEZ89" s="21"/>
      <c r="KFA89" s="21"/>
      <c r="KFB89" s="21"/>
      <c r="KFC89" s="21"/>
      <c r="KFD89" s="21"/>
      <c r="KFE89" s="21"/>
      <c r="KFF89" s="21"/>
      <c r="KFG89" s="21"/>
      <c r="KFH89" s="21"/>
      <c r="KFI89" s="21"/>
      <c r="KFJ89" s="21"/>
      <c r="KFK89" s="21"/>
      <c r="KFL89" s="21"/>
      <c r="KFM89" s="21"/>
      <c r="KFN89" s="21"/>
      <c r="KFO89" s="21"/>
      <c r="KFP89" s="21"/>
      <c r="KFQ89" s="21"/>
      <c r="KFR89" s="21"/>
      <c r="KFS89" s="21"/>
      <c r="KFT89" s="21"/>
      <c r="KFU89" s="21"/>
      <c r="KFV89" s="21"/>
      <c r="KFW89" s="21"/>
      <c r="KFX89" s="21"/>
      <c r="KFY89" s="21"/>
      <c r="KFZ89" s="21"/>
      <c r="KGA89" s="21"/>
      <c r="KGB89" s="21"/>
      <c r="KGC89" s="21"/>
      <c r="KGD89" s="21"/>
      <c r="KGE89" s="21"/>
      <c r="KGF89" s="21"/>
      <c r="KGG89" s="21"/>
      <c r="KGH89" s="21"/>
      <c r="KGI89" s="21"/>
      <c r="KGJ89" s="21"/>
      <c r="KGK89" s="21"/>
      <c r="KGL89" s="21"/>
      <c r="KGM89" s="21"/>
      <c r="KGN89" s="21"/>
      <c r="KGO89" s="21"/>
      <c r="KGP89" s="21"/>
      <c r="KGQ89" s="21"/>
      <c r="KGR89" s="21"/>
      <c r="KGS89" s="21"/>
      <c r="KGT89" s="21"/>
      <c r="KGU89" s="21"/>
      <c r="KGV89" s="21"/>
      <c r="KGW89" s="21"/>
      <c r="KGX89" s="21"/>
      <c r="KGY89" s="21"/>
      <c r="KGZ89" s="21"/>
      <c r="KHA89" s="21"/>
      <c r="KHB89" s="21"/>
      <c r="KHC89" s="21"/>
      <c r="KHD89" s="21"/>
      <c r="KHE89" s="21"/>
      <c r="KHF89" s="21"/>
      <c r="KHG89" s="21"/>
      <c r="KHH89" s="21"/>
      <c r="KHI89" s="21"/>
      <c r="KHJ89" s="21"/>
      <c r="KHK89" s="21"/>
      <c r="KHL89" s="21"/>
      <c r="KHM89" s="21"/>
      <c r="KHN89" s="21"/>
      <c r="KHO89" s="21"/>
      <c r="KHP89" s="21"/>
      <c r="KHQ89" s="21"/>
      <c r="KHR89" s="21"/>
      <c r="KHS89" s="21"/>
      <c r="KHT89" s="21"/>
      <c r="KHU89" s="21"/>
      <c r="KHV89" s="21"/>
      <c r="KHW89" s="21"/>
      <c r="KHX89" s="21"/>
      <c r="KHY89" s="21"/>
      <c r="KHZ89" s="21"/>
      <c r="KIA89" s="21"/>
      <c r="KIB89" s="21"/>
      <c r="KIC89" s="21"/>
      <c r="KID89" s="21"/>
      <c r="KIE89" s="21"/>
      <c r="KIF89" s="21"/>
      <c r="KIG89" s="21"/>
      <c r="KIH89" s="21"/>
      <c r="KII89" s="21"/>
      <c r="KIJ89" s="21"/>
      <c r="KIK89" s="21"/>
      <c r="KIL89" s="21"/>
      <c r="KIM89" s="21"/>
      <c r="KIN89" s="21"/>
      <c r="KIO89" s="21"/>
      <c r="KIP89" s="21"/>
      <c r="KIQ89" s="21"/>
      <c r="KIR89" s="21"/>
      <c r="KIS89" s="21"/>
      <c r="KIT89" s="21"/>
      <c r="KIU89" s="21"/>
      <c r="KIV89" s="21"/>
      <c r="KIW89" s="21"/>
      <c r="KIX89" s="21"/>
      <c r="KIY89" s="21"/>
      <c r="KIZ89" s="21"/>
      <c r="KJA89" s="21"/>
      <c r="KJB89" s="21"/>
      <c r="KJC89" s="21"/>
      <c r="KJD89" s="21"/>
      <c r="KJE89" s="21"/>
      <c r="KJF89" s="21"/>
      <c r="KJG89" s="21"/>
      <c r="KJH89" s="21"/>
      <c r="KJI89" s="21"/>
      <c r="KJJ89" s="21"/>
      <c r="KJK89" s="21"/>
      <c r="KJL89" s="21"/>
      <c r="KJM89" s="21"/>
      <c r="KJN89" s="21"/>
      <c r="KJO89" s="21"/>
      <c r="KJP89" s="21"/>
      <c r="KJQ89" s="21"/>
      <c r="KJR89" s="21"/>
      <c r="KJS89" s="21"/>
      <c r="KJT89" s="21"/>
      <c r="KJU89" s="21"/>
      <c r="KJV89" s="21"/>
      <c r="KJW89" s="21"/>
      <c r="KJX89" s="21"/>
      <c r="KJY89" s="21"/>
      <c r="KJZ89" s="21"/>
      <c r="KKA89" s="21"/>
      <c r="KKB89" s="21"/>
      <c r="KKC89" s="21"/>
      <c r="KKD89" s="21"/>
      <c r="KKE89" s="21"/>
      <c r="KKF89" s="21"/>
      <c r="KKG89" s="21"/>
      <c r="KKH89" s="21"/>
      <c r="KKI89" s="21"/>
      <c r="KKJ89" s="21"/>
      <c r="KKK89" s="21"/>
      <c r="KKL89" s="21"/>
      <c r="KKM89" s="21"/>
      <c r="KKN89" s="21"/>
      <c r="KKO89" s="21"/>
      <c r="KKP89" s="21"/>
      <c r="KKQ89" s="21"/>
      <c r="KKR89" s="21"/>
      <c r="KKS89" s="21"/>
      <c r="KKT89" s="21"/>
      <c r="KKU89" s="21"/>
      <c r="KKV89" s="21"/>
      <c r="KKW89" s="21"/>
      <c r="KKX89" s="21"/>
      <c r="KKY89" s="21"/>
      <c r="KKZ89" s="21"/>
      <c r="KLA89" s="21"/>
      <c r="KLB89" s="21"/>
      <c r="KLC89" s="21"/>
      <c r="KLD89" s="21"/>
      <c r="KLE89" s="21"/>
      <c r="KLF89" s="21"/>
      <c r="KLG89" s="21"/>
      <c r="KLH89" s="21"/>
      <c r="KLI89" s="21"/>
      <c r="KLJ89" s="21"/>
      <c r="KLK89" s="21"/>
      <c r="KLL89" s="21"/>
      <c r="KLM89" s="21"/>
      <c r="KLN89" s="21"/>
      <c r="KLO89" s="21"/>
      <c r="KLP89" s="21"/>
      <c r="KLQ89" s="21"/>
      <c r="KLR89" s="21"/>
      <c r="KLS89" s="21"/>
      <c r="KLT89" s="21"/>
      <c r="KLU89" s="21"/>
      <c r="KLV89" s="21"/>
      <c r="KLW89" s="21"/>
      <c r="KLX89" s="21"/>
      <c r="KLY89" s="21"/>
      <c r="KLZ89" s="21"/>
      <c r="KMA89" s="21"/>
      <c r="KMB89" s="21"/>
      <c r="KMC89" s="21"/>
      <c r="KMD89" s="21"/>
      <c r="KME89" s="21"/>
      <c r="KMF89" s="21"/>
      <c r="KMG89" s="21"/>
      <c r="KMH89" s="21"/>
      <c r="KMI89" s="21"/>
      <c r="KMJ89" s="21"/>
      <c r="KMK89" s="21"/>
      <c r="KML89" s="21"/>
      <c r="KMM89" s="21"/>
      <c r="KMN89" s="21"/>
      <c r="KMO89" s="21"/>
      <c r="KMP89" s="21"/>
      <c r="KMQ89" s="21"/>
      <c r="KMR89" s="21"/>
      <c r="KMS89" s="21"/>
      <c r="KMT89" s="21"/>
      <c r="KMU89" s="21"/>
      <c r="KMV89" s="21"/>
      <c r="KMW89" s="21"/>
      <c r="KMX89" s="21"/>
      <c r="KMY89" s="21"/>
      <c r="KMZ89" s="21"/>
      <c r="KNA89" s="21"/>
      <c r="KNB89" s="21"/>
      <c r="KNC89" s="21"/>
      <c r="KND89" s="21"/>
      <c r="KNE89" s="21"/>
      <c r="KNF89" s="21"/>
      <c r="KNG89" s="21"/>
      <c r="KNH89" s="21"/>
      <c r="KNI89" s="21"/>
      <c r="KNJ89" s="21"/>
      <c r="KNK89" s="21"/>
      <c r="KNL89" s="21"/>
      <c r="KNM89" s="21"/>
      <c r="KNN89" s="21"/>
      <c r="KNO89" s="21"/>
      <c r="KNP89" s="21"/>
      <c r="KNQ89" s="21"/>
      <c r="KNR89" s="21"/>
      <c r="KNS89" s="21"/>
      <c r="KNT89" s="21"/>
      <c r="KNU89" s="21"/>
      <c r="KNV89" s="21"/>
      <c r="KNW89" s="21"/>
      <c r="KNX89" s="21"/>
      <c r="KNY89" s="21"/>
      <c r="KNZ89" s="21"/>
      <c r="KOA89" s="21"/>
      <c r="KOB89" s="21"/>
      <c r="KOC89" s="21"/>
      <c r="KOD89" s="21"/>
      <c r="KOE89" s="21"/>
      <c r="KOF89" s="21"/>
      <c r="KOG89" s="21"/>
      <c r="KOH89" s="21"/>
      <c r="KOI89" s="21"/>
      <c r="KOJ89" s="21"/>
      <c r="KOK89" s="21"/>
      <c r="KOL89" s="21"/>
      <c r="KOM89" s="21"/>
      <c r="KON89" s="21"/>
      <c r="KOO89" s="21"/>
      <c r="KOP89" s="21"/>
      <c r="KOQ89" s="21"/>
      <c r="KOR89" s="21"/>
      <c r="KOS89" s="21"/>
      <c r="KOT89" s="21"/>
      <c r="KOU89" s="21"/>
      <c r="KOV89" s="21"/>
      <c r="KOW89" s="21"/>
      <c r="KOX89" s="21"/>
      <c r="KOY89" s="21"/>
      <c r="KOZ89" s="21"/>
      <c r="KPA89" s="21"/>
      <c r="KPB89" s="21"/>
      <c r="KPC89" s="21"/>
      <c r="KPD89" s="21"/>
      <c r="KPE89" s="21"/>
      <c r="KPF89" s="21"/>
      <c r="KPG89" s="21"/>
      <c r="KPH89" s="21"/>
      <c r="KPI89" s="21"/>
      <c r="KPJ89" s="21"/>
      <c r="KPK89" s="21"/>
      <c r="KPL89" s="21"/>
      <c r="KPM89" s="21"/>
      <c r="KPN89" s="21"/>
      <c r="KPO89" s="21"/>
      <c r="KPP89" s="21"/>
      <c r="KPQ89" s="21"/>
      <c r="KPR89" s="21"/>
      <c r="KPS89" s="21"/>
      <c r="KPT89" s="21"/>
      <c r="KPU89" s="21"/>
      <c r="KPV89" s="21"/>
      <c r="KPW89" s="21"/>
      <c r="KPX89" s="21"/>
      <c r="KPY89" s="21"/>
      <c r="KPZ89" s="21"/>
      <c r="KQA89" s="21"/>
      <c r="KQB89" s="21"/>
      <c r="KQC89" s="21"/>
      <c r="KQD89" s="21"/>
      <c r="KQE89" s="21"/>
      <c r="KQF89" s="21"/>
      <c r="KQG89" s="21"/>
      <c r="KQH89" s="21"/>
      <c r="KQI89" s="21"/>
      <c r="KQJ89" s="21"/>
      <c r="KQK89" s="21"/>
      <c r="KQL89" s="21"/>
      <c r="KQM89" s="21"/>
      <c r="KQN89" s="21"/>
      <c r="KQO89" s="21"/>
      <c r="KQP89" s="21"/>
      <c r="KQQ89" s="21"/>
      <c r="KQR89" s="21"/>
      <c r="KQS89" s="21"/>
      <c r="KQT89" s="21"/>
      <c r="KQU89" s="21"/>
      <c r="KQV89" s="21"/>
      <c r="KQW89" s="21"/>
      <c r="KQX89" s="21"/>
      <c r="KQY89" s="21"/>
      <c r="KQZ89" s="21"/>
      <c r="KRA89" s="21"/>
      <c r="KRB89" s="21"/>
      <c r="KRC89" s="21"/>
      <c r="KRD89" s="21"/>
      <c r="KRE89" s="21"/>
      <c r="KRF89" s="21"/>
      <c r="KRG89" s="21"/>
      <c r="KRH89" s="21"/>
      <c r="KRI89" s="21"/>
      <c r="KRJ89" s="21"/>
      <c r="KRK89" s="21"/>
      <c r="KRL89" s="21"/>
      <c r="KRM89" s="21"/>
      <c r="KRN89" s="21"/>
      <c r="KRO89" s="21"/>
      <c r="KRP89" s="21"/>
      <c r="KRQ89" s="21"/>
      <c r="KRR89" s="21"/>
      <c r="KRS89" s="21"/>
      <c r="KRT89" s="21"/>
      <c r="KRU89" s="21"/>
      <c r="KRV89" s="21"/>
      <c r="KRW89" s="21"/>
      <c r="KRX89" s="21"/>
      <c r="KRY89" s="21"/>
      <c r="KRZ89" s="21"/>
      <c r="KSA89" s="21"/>
      <c r="KSB89" s="21"/>
      <c r="KSC89" s="21"/>
      <c r="KSD89" s="21"/>
      <c r="KSE89" s="21"/>
      <c r="KSF89" s="21"/>
      <c r="KSG89" s="21"/>
      <c r="KSH89" s="21"/>
      <c r="KSI89" s="21"/>
      <c r="KSJ89" s="21"/>
      <c r="KSK89" s="21"/>
      <c r="KSL89" s="21"/>
      <c r="KSM89" s="21"/>
      <c r="KSN89" s="21"/>
      <c r="KSO89" s="21"/>
      <c r="KSP89" s="21"/>
      <c r="KSQ89" s="21"/>
      <c r="KSR89" s="21"/>
      <c r="KSS89" s="21"/>
      <c r="KST89" s="21"/>
      <c r="KSU89" s="21"/>
      <c r="KSV89" s="21"/>
      <c r="KSW89" s="21"/>
      <c r="KSX89" s="21"/>
      <c r="KSY89" s="21"/>
      <c r="KSZ89" s="21"/>
      <c r="KTA89" s="21"/>
      <c r="KTB89" s="21"/>
      <c r="KTC89" s="21"/>
      <c r="KTD89" s="21"/>
      <c r="KTE89" s="21"/>
      <c r="KTF89" s="21"/>
      <c r="KTG89" s="21"/>
      <c r="KTH89" s="21"/>
      <c r="KTI89" s="21"/>
      <c r="KTJ89" s="21"/>
      <c r="KTK89" s="21"/>
      <c r="KTL89" s="21"/>
      <c r="KTM89" s="21"/>
      <c r="KTN89" s="21"/>
      <c r="KTO89" s="21"/>
      <c r="KTP89" s="21"/>
      <c r="KTQ89" s="21"/>
      <c r="KTR89" s="21"/>
      <c r="KTS89" s="21"/>
      <c r="KTT89" s="21"/>
      <c r="KTU89" s="21"/>
      <c r="KTV89" s="21"/>
      <c r="KTW89" s="21"/>
      <c r="KTX89" s="21"/>
      <c r="KTY89" s="21"/>
      <c r="KTZ89" s="21"/>
      <c r="KUA89" s="21"/>
      <c r="KUB89" s="21"/>
      <c r="KUC89" s="21"/>
      <c r="KUD89" s="21"/>
      <c r="KUE89" s="21"/>
      <c r="KUF89" s="21"/>
      <c r="KUG89" s="21"/>
      <c r="KUH89" s="21"/>
      <c r="KUI89" s="21"/>
      <c r="KUJ89" s="21"/>
      <c r="KUK89" s="21"/>
      <c r="KUL89" s="21"/>
      <c r="KUM89" s="21"/>
      <c r="KUN89" s="21"/>
      <c r="KUO89" s="21"/>
      <c r="KUP89" s="21"/>
      <c r="KUQ89" s="21"/>
      <c r="KUR89" s="21"/>
      <c r="KUS89" s="21"/>
      <c r="KUT89" s="21"/>
      <c r="KUU89" s="21"/>
      <c r="KUV89" s="21"/>
      <c r="KUW89" s="21"/>
      <c r="KUX89" s="21"/>
      <c r="KUY89" s="21"/>
      <c r="KUZ89" s="21"/>
      <c r="KVA89" s="21"/>
      <c r="KVB89" s="21"/>
      <c r="KVC89" s="21"/>
      <c r="KVD89" s="21"/>
      <c r="KVE89" s="21"/>
      <c r="KVF89" s="21"/>
      <c r="KVG89" s="21"/>
      <c r="KVH89" s="21"/>
      <c r="KVI89" s="21"/>
      <c r="KVJ89" s="21"/>
      <c r="KVK89" s="21"/>
      <c r="KVL89" s="21"/>
      <c r="KVM89" s="21"/>
      <c r="KVN89" s="21"/>
      <c r="KVO89" s="21"/>
      <c r="KVP89" s="21"/>
      <c r="KVQ89" s="21"/>
      <c r="KVR89" s="21"/>
      <c r="KVS89" s="21"/>
      <c r="KVT89" s="21"/>
      <c r="KVU89" s="21"/>
      <c r="KVV89" s="21"/>
      <c r="KVW89" s="21"/>
      <c r="KVX89" s="21"/>
      <c r="KVY89" s="21"/>
      <c r="KVZ89" s="21"/>
      <c r="KWA89" s="21"/>
      <c r="KWB89" s="21"/>
      <c r="KWC89" s="21"/>
      <c r="KWD89" s="21"/>
      <c r="KWE89" s="21"/>
      <c r="KWF89" s="21"/>
      <c r="KWG89" s="21"/>
      <c r="KWH89" s="21"/>
      <c r="KWI89" s="21"/>
      <c r="KWJ89" s="21"/>
      <c r="KWK89" s="21"/>
      <c r="KWL89" s="21"/>
      <c r="KWM89" s="21"/>
      <c r="KWN89" s="21"/>
      <c r="KWO89" s="21"/>
      <c r="KWP89" s="21"/>
      <c r="KWQ89" s="21"/>
      <c r="KWR89" s="21"/>
      <c r="KWS89" s="21"/>
      <c r="KWT89" s="21"/>
      <c r="KWU89" s="21"/>
      <c r="KWV89" s="21"/>
      <c r="KWW89" s="21"/>
      <c r="KWX89" s="21"/>
      <c r="KWY89" s="21"/>
      <c r="KWZ89" s="21"/>
      <c r="KXA89" s="21"/>
      <c r="KXB89" s="21"/>
      <c r="KXC89" s="21"/>
      <c r="KXD89" s="21"/>
      <c r="KXE89" s="21"/>
      <c r="KXF89" s="21"/>
      <c r="KXG89" s="21"/>
      <c r="KXH89" s="21"/>
      <c r="KXI89" s="21"/>
      <c r="KXJ89" s="21"/>
      <c r="KXK89" s="21"/>
      <c r="KXL89" s="21"/>
      <c r="KXM89" s="21"/>
      <c r="KXN89" s="21"/>
      <c r="KXO89" s="21"/>
      <c r="KXP89" s="21"/>
      <c r="KXQ89" s="21"/>
      <c r="KXR89" s="21"/>
      <c r="KXS89" s="21"/>
      <c r="KXT89" s="21"/>
      <c r="KXU89" s="21"/>
      <c r="KXV89" s="21"/>
      <c r="KXW89" s="21"/>
      <c r="KXX89" s="21"/>
      <c r="KXY89" s="21"/>
      <c r="KXZ89" s="21"/>
      <c r="KYA89" s="21"/>
      <c r="KYB89" s="21"/>
      <c r="KYC89" s="21"/>
      <c r="KYD89" s="21"/>
      <c r="KYE89" s="21"/>
      <c r="KYF89" s="21"/>
      <c r="KYG89" s="21"/>
      <c r="KYH89" s="21"/>
      <c r="KYI89" s="21"/>
      <c r="KYJ89" s="21"/>
      <c r="KYK89" s="21"/>
      <c r="KYL89" s="21"/>
      <c r="KYM89" s="21"/>
      <c r="KYN89" s="21"/>
      <c r="KYO89" s="21"/>
      <c r="KYP89" s="21"/>
      <c r="KYQ89" s="21"/>
      <c r="KYR89" s="21"/>
      <c r="KYS89" s="21"/>
      <c r="KYT89" s="21"/>
      <c r="KYU89" s="21"/>
      <c r="KYV89" s="21"/>
      <c r="KYW89" s="21"/>
      <c r="KYX89" s="21"/>
      <c r="KYY89" s="21"/>
      <c r="KYZ89" s="21"/>
      <c r="KZA89" s="21"/>
      <c r="KZB89" s="21"/>
      <c r="KZC89" s="21"/>
      <c r="KZD89" s="21"/>
      <c r="KZE89" s="21"/>
      <c r="KZF89" s="21"/>
      <c r="KZG89" s="21"/>
      <c r="KZH89" s="21"/>
      <c r="KZI89" s="21"/>
      <c r="KZJ89" s="21"/>
      <c r="KZK89" s="21"/>
      <c r="KZL89" s="21"/>
      <c r="KZM89" s="21"/>
      <c r="KZN89" s="21"/>
      <c r="KZO89" s="21"/>
      <c r="KZP89" s="21"/>
      <c r="KZQ89" s="21"/>
      <c r="KZR89" s="21"/>
      <c r="KZS89" s="21"/>
      <c r="KZT89" s="21"/>
      <c r="KZU89" s="21"/>
      <c r="KZV89" s="21"/>
      <c r="KZW89" s="21"/>
      <c r="KZX89" s="21"/>
      <c r="KZY89" s="21"/>
      <c r="KZZ89" s="21"/>
      <c r="LAA89" s="21"/>
      <c r="LAB89" s="21"/>
      <c r="LAC89" s="21"/>
      <c r="LAD89" s="21"/>
      <c r="LAE89" s="21"/>
      <c r="LAF89" s="21"/>
      <c r="LAG89" s="21"/>
      <c r="LAH89" s="21"/>
      <c r="LAI89" s="21"/>
      <c r="LAJ89" s="21"/>
      <c r="LAK89" s="21"/>
      <c r="LAL89" s="21"/>
      <c r="LAM89" s="21"/>
      <c r="LAN89" s="21"/>
      <c r="LAO89" s="21"/>
      <c r="LAP89" s="21"/>
      <c r="LAQ89" s="21"/>
      <c r="LAR89" s="21"/>
      <c r="LAS89" s="21"/>
      <c r="LAT89" s="21"/>
      <c r="LAU89" s="21"/>
      <c r="LAV89" s="21"/>
      <c r="LAW89" s="21"/>
      <c r="LAX89" s="21"/>
      <c r="LAY89" s="21"/>
      <c r="LAZ89" s="21"/>
      <c r="LBA89" s="21"/>
      <c r="LBB89" s="21"/>
      <c r="LBC89" s="21"/>
      <c r="LBD89" s="21"/>
      <c r="LBE89" s="21"/>
      <c r="LBF89" s="21"/>
      <c r="LBG89" s="21"/>
      <c r="LBH89" s="21"/>
      <c r="LBI89" s="21"/>
      <c r="LBJ89" s="21"/>
      <c r="LBK89" s="21"/>
      <c r="LBL89" s="21"/>
      <c r="LBM89" s="21"/>
      <c r="LBN89" s="21"/>
      <c r="LBO89" s="21"/>
      <c r="LBP89" s="21"/>
      <c r="LBQ89" s="21"/>
      <c r="LBR89" s="21"/>
      <c r="LBS89" s="21"/>
      <c r="LBT89" s="21"/>
      <c r="LBU89" s="21"/>
      <c r="LBV89" s="21"/>
      <c r="LBW89" s="21"/>
      <c r="LBX89" s="21"/>
      <c r="LBY89" s="21"/>
      <c r="LBZ89" s="21"/>
      <c r="LCA89" s="21"/>
      <c r="LCB89" s="21"/>
      <c r="LCC89" s="21"/>
      <c r="LCD89" s="21"/>
      <c r="LCE89" s="21"/>
      <c r="LCF89" s="21"/>
      <c r="LCG89" s="21"/>
      <c r="LCH89" s="21"/>
      <c r="LCI89" s="21"/>
      <c r="LCJ89" s="21"/>
      <c r="LCK89" s="21"/>
      <c r="LCL89" s="21"/>
      <c r="LCM89" s="21"/>
      <c r="LCN89" s="21"/>
      <c r="LCO89" s="21"/>
      <c r="LCP89" s="21"/>
      <c r="LCQ89" s="21"/>
      <c r="LCR89" s="21"/>
      <c r="LCS89" s="21"/>
      <c r="LCT89" s="21"/>
      <c r="LCU89" s="21"/>
      <c r="LCV89" s="21"/>
      <c r="LCW89" s="21"/>
      <c r="LCX89" s="21"/>
      <c r="LCY89" s="21"/>
      <c r="LCZ89" s="21"/>
      <c r="LDA89" s="21"/>
      <c r="LDB89" s="21"/>
      <c r="LDC89" s="21"/>
      <c r="LDD89" s="21"/>
      <c r="LDE89" s="21"/>
      <c r="LDF89" s="21"/>
      <c r="LDG89" s="21"/>
      <c r="LDH89" s="21"/>
      <c r="LDI89" s="21"/>
      <c r="LDJ89" s="21"/>
      <c r="LDK89" s="21"/>
      <c r="LDL89" s="21"/>
      <c r="LDM89" s="21"/>
      <c r="LDN89" s="21"/>
      <c r="LDO89" s="21"/>
      <c r="LDP89" s="21"/>
      <c r="LDQ89" s="21"/>
      <c r="LDR89" s="21"/>
      <c r="LDS89" s="21"/>
      <c r="LDT89" s="21"/>
      <c r="LDU89" s="21"/>
      <c r="LDV89" s="21"/>
      <c r="LDW89" s="21"/>
      <c r="LDX89" s="21"/>
      <c r="LDY89" s="21"/>
      <c r="LDZ89" s="21"/>
      <c r="LEA89" s="21"/>
      <c r="LEB89" s="21"/>
      <c r="LEC89" s="21"/>
      <c r="LED89" s="21"/>
      <c r="LEE89" s="21"/>
      <c r="LEF89" s="21"/>
      <c r="LEG89" s="21"/>
      <c r="LEH89" s="21"/>
      <c r="LEI89" s="21"/>
      <c r="LEJ89" s="21"/>
      <c r="LEK89" s="21"/>
      <c r="LEL89" s="21"/>
      <c r="LEM89" s="21"/>
      <c r="LEN89" s="21"/>
      <c r="LEO89" s="21"/>
      <c r="LEP89" s="21"/>
      <c r="LEQ89" s="21"/>
      <c r="LER89" s="21"/>
      <c r="LES89" s="21"/>
      <c r="LET89" s="21"/>
      <c r="LEU89" s="21"/>
      <c r="LEV89" s="21"/>
      <c r="LEW89" s="21"/>
      <c r="LEX89" s="21"/>
      <c r="LEY89" s="21"/>
      <c r="LEZ89" s="21"/>
      <c r="LFA89" s="21"/>
      <c r="LFB89" s="21"/>
      <c r="LFC89" s="21"/>
      <c r="LFD89" s="21"/>
      <c r="LFE89" s="21"/>
      <c r="LFF89" s="21"/>
      <c r="LFG89" s="21"/>
      <c r="LFH89" s="21"/>
      <c r="LFI89" s="21"/>
      <c r="LFJ89" s="21"/>
      <c r="LFK89" s="21"/>
      <c r="LFL89" s="21"/>
      <c r="LFM89" s="21"/>
      <c r="LFN89" s="21"/>
      <c r="LFO89" s="21"/>
      <c r="LFP89" s="21"/>
      <c r="LFQ89" s="21"/>
      <c r="LFR89" s="21"/>
      <c r="LFS89" s="21"/>
      <c r="LFT89" s="21"/>
      <c r="LFU89" s="21"/>
      <c r="LFV89" s="21"/>
      <c r="LFW89" s="21"/>
      <c r="LFX89" s="21"/>
      <c r="LFY89" s="21"/>
      <c r="LFZ89" s="21"/>
      <c r="LGA89" s="21"/>
      <c r="LGB89" s="21"/>
      <c r="LGC89" s="21"/>
      <c r="LGD89" s="21"/>
      <c r="LGE89" s="21"/>
      <c r="LGF89" s="21"/>
      <c r="LGG89" s="21"/>
      <c r="LGH89" s="21"/>
      <c r="LGI89" s="21"/>
      <c r="LGJ89" s="21"/>
      <c r="LGK89" s="21"/>
      <c r="LGL89" s="21"/>
      <c r="LGM89" s="21"/>
      <c r="LGN89" s="21"/>
      <c r="LGO89" s="21"/>
      <c r="LGP89" s="21"/>
      <c r="LGQ89" s="21"/>
      <c r="LGR89" s="21"/>
      <c r="LGS89" s="21"/>
      <c r="LGT89" s="21"/>
      <c r="LGU89" s="21"/>
      <c r="LGV89" s="21"/>
      <c r="LGW89" s="21"/>
      <c r="LGX89" s="21"/>
      <c r="LGY89" s="21"/>
      <c r="LGZ89" s="21"/>
      <c r="LHA89" s="21"/>
      <c r="LHB89" s="21"/>
      <c r="LHC89" s="21"/>
      <c r="LHD89" s="21"/>
      <c r="LHE89" s="21"/>
      <c r="LHF89" s="21"/>
      <c r="LHG89" s="21"/>
      <c r="LHH89" s="21"/>
      <c r="LHI89" s="21"/>
      <c r="LHJ89" s="21"/>
      <c r="LHK89" s="21"/>
      <c r="LHL89" s="21"/>
      <c r="LHM89" s="21"/>
      <c r="LHN89" s="21"/>
      <c r="LHO89" s="21"/>
      <c r="LHP89" s="21"/>
      <c r="LHQ89" s="21"/>
      <c r="LHR89" s="21"/>
      <c r="LHS89" s="21"/>
      <c r="LHT89" s="21"/>
      <c r="LHU89" s="21"/>
      <c r="LHV89" s="21"/>
      <c r="LHW89" s="21"/>
      <c r="LHX89" s="21"/>
      <c r="LHY89" s="21"/>
      <c r="LHZ89" s="21"/>
      <c r="LIA89" s="21"/>
      <c r="LIB89" s="21"/>
      <c r="LIC89" s="21"/>
      <c r="LID89" s="21"/>
      <c r="LIE89" s="21"/>
      <c r="LIF89" s="21"/>
      <c r="LIG89" s="21"/>
      <c r="LIH89" s="21"/>
      <c r="LII89" s="21"/>
      <c r="LIJ89" s="21"/>
      <c r="LIK89" s="21"/>
      <c r="LIL89" s="21"/>
      <c r="LIM89" s="21"/>
      <c r="LIN89" s="21"/>
      <c r="LIO89" s="21"/>
      <c r="LIP89" s="21"/>
      <c r="LIQ89" s="21"/>
      <c r="LIR89" s="21"/>
      <c r="LIS89" s="21"/>
      <c r="LIT89" s="21"/>
      <c r="LIU89" s="21"/>
      <c r="LIV89" s="21"/>
      <c r="LIW89" s="21"/>
      <c r="LIX89" s="21"/>
      <c r="LIY89" s="21"/>
      <c r="LIZ89" s="21"/>
      <c r="LJA89" s="21"/>
      <c r="LJB89" s="21"/>
      <c r="LJC89" s="21"/>
      <c r="LJD89" s="21"/>
      <c r="LJE89" s="21"/>
      <c r="LJF89" s="21"/>
      <c r="LJG89" s="21"/>
      <c r="LJH89" s="21"/>
      <c r="LJI89" s="21"/>
      <c r="LJJ89" s="21"/>
      <c r="LJK89" s="21"/>
      <c r="LJL89" s="21"/>
      <c r="LJM89" s="21"/>
      <c r="LJN89" s="21"/>
      <c r="LJO89" s="21"/>
      <c r="LJP89" s="21"/>
      <c r="LJQ89" s="21"/>
      <c r="LJR89" s="21"/>
      <c r="LJS89" s="21"/>
      <c r="LJT89" s="21"/>
      <c r="LJU89" s="21"/>
      <c r="LJV89" s="21"/>
      <c r="LJW89" s="21"/>
      <c r="LJX89" s="21"/>
      <c r="LJY89" s="21"/>
      <c r="LJZ89" s="21"/>
      <c r="LKA89" s="21"/>
      <c r="LKB89" s="21"/>
      <c r="LKC89" s="21"/>
      <c r="LKD89" s="21"/>
      <c r="LKE89" s="21"/>
      <c r="LKF89" s="21"/>
      <c r="LKG89" s="21"/>
      <c r="LKH89" s="21"/>
      <c r="LKI89" s="21"/>
      <c r="LKJ89" s="21"/>
      <c r="LKK89" s="21"/>
      <c r="LKL89" s="21"/>
      <c r="LKM89" s="21"/>
      <c r="LKN89" s="21"/>
      <c r="LKO89" s="21"/>
      <c r="LKP89" s="21"/>
      <c r="LKQ89" s="21"/>
      <c r="LKR89" s="21"/>
      <c r="LKS89" s="21"/>
      <c r="LKT89" s="21"/>
      <c r="LKU89" s="21"/>
      <c r="LKV89" s="21"/>
      <c r="LKW89" s="21"/>
      <c r="LKX89" s="21"/>
      <c r="LKY89" s="21"/>
      <c r="LKZ89" s="21"/>
      <c r="LLA89" s="21"/>
      <c r="LLB89" s="21"/>
      <c r="LLC89" s="21"/>
      <c r="LLD89" s="21"/>
      <c r="LLE89" s="21"/>
      <c r="LLF89" s="21"/>
      <c r="LLG89" s="21"/>
      <c r="LLH89" s="21"/>
      <c r="LLI89" s="21"/>
      <c r="LLJ89" s="21"/>
      <c r="LLK89" s="21"/>
      <c r="LLL89" s="21"/>
      <c r="LLM89" s="21"/>
      <c r="LLN89" s="21"/>
      <c r="LLO89" s="21"/>
      <c r="LLP89" s="21"/>
      <c r="LLQ89" s="21"/>
      <c r="LLR89" s="21"/>
      <c r="LLS89" s="21"/>
      <c r="LLT89" s="21"/>
      <c r="LLU89" s="21"/>
      <c r="LLV89" s="21"/>
      <c r="LLW89" s="21"/>
      <c r="LLX89" s="21"/>
      <c r="LLY89" s="21"/>
      <c r="LLZ89" s="21"/>
      <c r="LMA89" s="21"/>
      <c r="LMB89" s="21"/>
      <c r="LMC89" s="21"/>
      <c r="LMD89" s="21"/>
      <c r="LME89" s="21"/>
      <c r="LMF89" s="21"/>
      <c r="LMG89" s="21"/>
      <c r="LMH89" s="21"/>
      <c r="LMI89" s="21"/>
      <c r="LMJ89" s="21"/>
      <c r="LMK89" s="21"/>
      <c r="LML89" s="21"/>
      <c r="LMM89" s="21"/>
      <c r="LMN89" s="21"/>
      <c r="LMO89" s="21"/>
      <c r="LMP89" s="21"/>
      <c r="LMQ89" s="21"/>
      <c r="LMR89" s="21"/>
      <c r="LMS89" s="21"/>
      <c r="LMT89" s="21"/>
      <c r="LMU89" s="21"/>
      <c r="LMV89" s="21"/>
      <c r="LMW89" s="21"/>
      <c r="LMX89" s="21"/>
      <c r="LMY89" s="21"/>
      <c r="LMZ89" s="21"/>
      <c r="LNA89" s="21"/>
      <c r="LNB89" s="21"/>
      <c r="LNC89" s="21"/>
      <c r="LND89" s="21"/>
      <c r="LNE89" s="21"/>
      <c r="LNF89" s="21"/>
      <c r="LNG89" s="21"/>
      <c r="LNH89" s="21"/>
      <c r="LNI89" s="21"/>
      <c r="LNJ89" s="21"/>
      <c r="LNK89" s="21"/>
      <c r="LNL89" s="21"/>
      <c r="LNM89" s="21"/>
      <c r="LNN89" s="21"/>
      <c r="LNO89" s="21"/>
      <c r="LNP89" s="21"/>
      <c r="LNQ89" s="21"/>
      <c r="LNR89" s="21"/>
      <c r="LNS89" s="21"/>
      <c r="LNT89" s="21"/>
      <c r="LNU89" s="21"/>
      <c r="LNV89" s="21"/>
      <c r="LNW89" s="21"/>
      <c r="LNX89" s="21"/>
      <c r="LNY89" s="21"/>
      <c r="LNZ89" s="21"/>
      <c r="LOA89" s="21"/>
      <c r="LOB89" s="21"/>
      <c r="LOC89" s="21"/>
      <c r="LOD89" s="21"/>
      <c r="LOE89" s="21"/>
      <c r="LOF89" s="21"/>
      <c r="LOG89" s="21"/>
      <c r="LOH89" s="21"/>
      <c r="LOI89" s="21"/>
      <c r="LOJ89" s="21"/>
      <c r="LOK89" s="21"/>
      <c r="LOL89" s="21"/>
      <c r="LOM89" s="21"/>
      <c r="LON89" s="21"/>
      <c r="LOO89" s="21"/>
      <c r="LOP89" s="21"/>
      <c r="LOQ89" s="21"/>
      <c r="LOR89" s="21"/>
      <c r="LOS89" s="21"/>
      <c r="LOT89" s="21"/>
      <c r="LOU89" s="21"/>
      <c r="LOV89" s="21"/>
      <c r="LOW89" s="21"/>
      <c r="LOX89" s="21"/>
      <c r="LOY89" s="21"/>
      <c r="LOZ89" s="21"/>
      <c r="LPA89" s="21"/>
      <c r="LPB89" s="21"/>
      <c r="LPC89" s="21"/>
      <c r="LPD89" s="21"/>
      <c r="LPE89" s="21"/>
      <c r="LPF89" s="21"/>
      <c r="LPG89" s="21"/>
      <c r="LPH89" s="21"/>
      <c r="LPI89" s="21"/>
      <c r="LPJ89" s="21"/>
      <c r="LPK89" s="21"/>
      <c r="LPL89" s="21"/>
      <c r="LPM89" s="21"/>
      <c r="LPN89" s="21"/>
      <c r="LPO89" s="21"/>
      <c r="LPP89" s="21"/>
      <c r="LPQ89" s="21"/>
      <c r="LPR89" s="21"/>
      <c r="LPS89" s="21"/>
      <c r="LPT89" s="21"/>
      <c r="LPU89" s="21"/>
      <c r="LPV89" s="21"/>
      <c r="LPW89" s="21"/>
      <c r="LPX89" s="21"/>
      <c r="LPY89" s="21"/>
      <c r="LPZ89" s="21"/>
      <c r="LQA89" s="21"/>
      <c r="LQB89" s="21"/>
      <c r="LQC89" s="21"/>
      <c r="LQD89" s="21"/>
      <c r="LQE89" s="21"/>
      <c r="LQF89" s="21"/>
      <c r="LQG89" s="21"/>
      <c r="LQH89" s="21"/>
      <c r="LQI89" s="21"/>
      <c r="LQJ89" s="21"/>
      <c r="LQK89" s="21"/>
      <c r="LQL89" s="21"/>
      <c r="LQM89" s="21"/>
      <c r="LQN89" s="21"/>
      <c r="LQO89" s="21"/>
      <c r="LQP89" s="21"/>
      <c r="LQQ89" s="21"/>
      <c r="LQR89" s="21"/>
      <c r="LQS89" s="21"/>
      <c r="LQT89" s="21"/>
      <c r="LQU89" s="21"/>
      <c r="LQV89" s="21"/>
      <c r="LQW89" s="21"/>
      <c r="LQX89" s="21"/>
      <c r="LQY89" s="21"/>
      <c r="LQZ89" s="21"/>
      <c r="LRA89" s="21"/>
      <c r="LRB89" s="21"/>
      <c r="LRC89" s="21"/>
      <c r="LRD89" s="21"/>
      <c r="LRE89" s="21"/>
      <c r="LRF89" s="21"/>
      <c r="LRG89" s="21"/>
      <c r="LRH89" s="21"/>
      <c r="LRI89" s="21"/>
      <c r="LRJ89" s="21"/>
      <c r="LRK89" s="21"/>
      <c r="LRL89" s="21"/>
      <c r="LRM89" s="21"/>
      <c r="LRN89" s="21"/>
      <c r="LRO89" s="21"/>
      <c r="LRP89" s="21"/>
      <c r="LRQ89" s="21"/>
      <c r="LRR89" s="21"/>
      <c r="LRS89" s="21"/>
      <c r="LRT89" s="21"/>
      <c r="LRU89" s="21"/>
      <c r="LRV89" s="21"/>
      <c r="LRW89" s="21"/>
      <c r="LRX89" s="21"/>
      <c r="LRY89" s="21"/>
      <c r="LRZ89" s="21"/>
      <c r="LSA89" s="21"/>
      <c r="LSB89" s="21"/>
      <c r="LSC89" s="21"/>
      <c r="LSD89" s="21"/>
      <c r="LSE89" s="21"/>
      <c r="LSF89" s="21"/>
      <c r="LSG89" s="21"/>
      <c r="LSH89" s="21"/>
      <c r="LSI89" s="21"/>
      <c r="LSJ89" s="21"/>
      <c r="LSK89" s="21"/>
      <c r="LSL89" s="21"/>
      <c r="LSM89" s="21"/>
      <c r="LSN89" s="21"/>
      <c r="LSO89" s="21"/>
      <c r="LSP89" s="21"/>
      <c r="LSQ89" s="21"/>
      <c r="LSR89" s="21"/>
      <c r="LSS89" s="21"/>
      <c r="LST89" s="21"/>
      <c r="LSU89" s="21"/>
      <c r="LSV89" s="21"/>
      <c r="LSW89" s="21"/>
      <c r="LSX89" s="21"/>
      <c r="LSY89" s="21"/>
      <c r="LSZ89" s="21"/>
      <c r="LTA89" s="21"/>
      <c r="LTB89" s="21"/>
      <c r="LTC89" s="21"/>
      <c r="LTD89" s="21"/>
      <c r="LTE89" s="21"/>
      <c r="LTF89" s="21"/>
      <c r="LTG89" s="21"/>
      <c r="LTH89" s="21"/>
      <c r="LTI89" s="21"/>
      <c r="LTJ89" s="21"/>
      <c r="LTK89" s="21"/>
      <c r="LTL89" s="21"/>
      <c r="LTM89" s="21"/>
      <c r="LTN89" s="21"/>
      <c r="LTO89" s="21"/>
      <c r="LTP89" s="21"/>
      <c r="LTQ89" s="21"/>
      <c r="LTR89" s="21"/>
      <c r="LTS89" s="21"/>
      <c r="LTT89" s="21"/>
      <c r="LTU89" s="21"/>
      <c r="LTV89" s="21"/>
      <c r="LTW89" s="21"/>
      <c r="LTX89" s="21"/>
      <c r="LTY89" s="21"/>
      <c r="LTZ89" s="21"/>
      <c r="LUA89" s="21"/>
      <c r="LUB89" s="21"/>
      <c r="LUC89" s="21"/>
      <c r="LUD89" s="21"/>
      <c r="LUE89" s="21"/>
      <c r="LUF89" s="21"/>
      <c r="LUG89" s="21"/>
      <c r="LUH89" s="21"/>
      <c r="LUI89" s="21"/>
      <c r="LUJ89" s="21"/>
      <c r="LUK89" s="21"/>
      <c r="LUL89" s="21"/>
      <c r="LUM89" s="21"/>
      <c r="LUN89" s="21"/>
      <c r="LUO89" s="21"/>
      <c r="LUP89" s="21"/>
      <c r="LUQ89" s="21"/>
      <c r="LUR89" s="21"/>
      <c r="LUS89" s="21"/>
      <c r="LUT89" s="21"/>
      <c r="LUU89" s="21"/>
      <c r="LUV89" s="21"/>
      <c r="LUW89" s="21"/>
      <c r="LUX89" s="21"/>
      <c r="LUY89" s="21"/>
      <c r="LUZ89" s="21"/>
      <c r="LVA89" s="21"/>
      <c r="LVB89" s="21"/>
      <c r="LVC89" s="21"/>
      <c r="LVD89" s="21"/>
      <c r="LVE89" s="21"/>
      <c r="LVF89" s="21"/>
      <c r="LVG89" s="21"/>
      <c r="LVH89" s="21"/>
      <c r="LVI89" s="21"/>
      <c r="LVJ89" s="21"/>
      <c r="LVK89" s="21"/>
      <c r="LVL89" s="21"/>
      <c r="LVM89" s="21"/>
      <c r="LVN89" s="21"/>
      <c r="LVO89" s="21"/>
      <c r="LVP89" s="21"/>
      <c r="LVQ89" s="21"/>
      <c r="LVR89" s="21"/>
      <c r="LVS89" s="21"/>
      <c r="LVT89" s="21"/>
      <c r="LVU89" s="21"/>
      <c r="LVV89" s="21"/>
      <c r="LVW89" s="21"/>
      <c r="LVX89" s="21"/>
      <c r="LVY89" s="21"/>
      <c r="LVZ89" s="21"/>
      <c r="LWA89" s="21"/>
      <c r="LWB89" s="21"/>
      <c r="LWC89" s="21"/>
      <c r="LWD89" s="21"/>
      <c r="LWE89" s="21"/>
      <c r="LWF89" s="21"/>
      <c r="LWG89" s="21"/>
      <c r="LWH89" s="21"/>
      <c r="LWI89" s="21"/>
      <c r="LWJ89" s="21"/>
      <c r="LWK89" s="21"/>
      <c r="LWL89" s="21"/>
      <c r="LWM89" s="21"/>
      <c r="LWN89" s="21"/>
      <c r="LWO89" s="21"/>
      <c r="LWP89" s="21"/>
      <c r="LWQ89" s="21"/>
      <c r="LWR89" s="21"/>
      <c r="LWS89" s="21"/>
      <c r="LWT89" s="21"/>
      <c r="LWU89" s="21"/>
      <c r="LWV89" s="21"/>
      <c r="LWW89" s="21"/>
      <c r="LWX89" s="21"/>
      <c r="LWY89" s="21"/>
      <c r="LWZ89" s="21"/>
      <c r="LXA89" s="21"/>
      <c r="LXB89" s="21"/>
      <c r="LXC89" s="21"/>
      <c r="LXD89" s="21"/>
      <c r="LXE89" s="21"/>
      <c r="LXF89" s="21"/>
      <c r="LXG89" s="21"/>
      <c r="LXH89" s="21"/>
      <c r="LXI89" s="21"/>
      <c r="LXJ89" s="21"/>
      <c r="LXK89" s="21"/>
      <c r="LXL89" s="21"/>
      <c r="LXM89" s="21"/>
      <c r="LXN89" s="21"/>
      <c r="LXO89" s="21"/>
      <c r="LXP89" s="21"/>
      <c r="LXQ89" s="21"/>
      <c r="LXR89" s="21"/>
      <c r="LXS89" s="21"/>
      <c r="LXT89" s="21"/>
      <c r="LXU89" s="21"/>
      <c r="LXV89" s="21"/>
      <c r="LXW89" s="21"/>
      <c r="LXX89" s="21"/>
      <c r="LXY89" s="21"/>
      <c r="LXZ89" s="21"/>
      <c r="LYA89" s="21"/>
      <c r="LYB89" s="21"/>
      <c r="LYC89" s="21"/>
      <c r="LYD89" s="21"/>
      <c r="LYE89" s="21"/>
      <c r="LYF89" s="21"/>
      <c r="LYG89" s="21"/>
      <c r="LYH89" s="21"/>
      <c r="LYI89" s="21"/>
      <c r="LYJ89" s="21"/>
      <c r="LYK89" s="21"/>
      <c r="LYL89" s="21"/>
      <c r="LYM89" s="21"/>
      <c r="LYN89" s="21"/>
      <c r="LYO89" s="21"/>
      <c r="LYP89" s="21"/>
      <c r="LYQ89" s="21"/>
      <c r="LYR89" s="21"/>
      <c r="LYS89" s="21"/>
      <c r="LYT89" s="21"/>
      <c r="LYU89" s="21"/>
      <c r="LYV89" s="21"/>
      <c r="LYW89" s="21"/>
      <c r="LYX89" s="21"/>
      <c r="LYY89" s="21"/>
      <c r="LYZ89" s="21"/>
      <c r="LZA89" s="21"/>
      <c r="LZB89" s="21"/>
      <c r="LZC89" s="21"/>
      <c r="LZD89" s="21"/>
      <c r="LZE89" s="21"/>
      <c r="LZF89" s="21"/>
      <c r="LZG89" s="21"/>
      <c r="LZH89" s="21"/>
      <c r="LZI89" s="21"/>
      <c r="LZJ89" s="21"/>
      <c r="LZK89" s="21"/>
      <c r="LZL89" s="21"/>
      <c r="LZM89" s="21"/>
      <c r="LZN89" s="21"/>
      <c r="LZO89" s="21"/>
      <c r="LZP89" s="21"/>
      <c r="LZQ89" s="21"/>
      <c r="LZR89" s="21"/>
      <c r="LZS89" s="21"/>
      <c r="LZT89" s="21"/>
      <c r="LZU89" s="21"/>
      <c r="LZV89" s="21"/>
      <c r="LZW89" s="21"/>
      <c r="LZX89" s="21"/>
      <c r="LZY89" s="21"/>
      <c r="LZZ89" s="21"/>
      <c r="MAA89" s="21"/>
      <c r="MAB89" s="21"/>
      <c r="MAC89" s="21"/>
      <c r="MAD89" s="21"/>
      <c r="MAE89" s="21"/>
      <c r="MAF89" s="21"/>
      <c r="MAG89" s="21"/>
      <c r="MAH89" s="21"/>
      <c r="MAI89" s="21"/>
      <c r="MAJ89" s="21"/>
      <c r="MAK89" s="21"/>
      <c r="MAL89" s="21"/>
      <c r="MAM89" s="21"/>
      <c r="MAN89" s="21"/>
      <c r="MAO89" s="21"/>
      <c r="MAP89" s="21"/>
      <c r="MAQ89" s="21"/>
      <c r="MAR89" s="21"/>
      <c r="MAS89" s="21"/>
      <c r="MAT89" s="21"/>
      <c r="MAU89" s="21"/>
      <c r="MAV89" s="21"/>
      <c r="MAW89" s="21"/>
      <c r="MAX89" s="21"/>
      <c r="MAY89" s="21"/>
      <c r="MAZ89" s="21"/>
      <c r="MBA89" s="21"/>
      <c r="MBB89" s="21"/>
      <c r="MBC89" s="21"/>
      <c r="MBD89" s="21"/>
      <c r="MBE89" s="21"/>
      <c r="MBF89" s="21"/>
      <c r="MBG89" s="21"/>
      <c r="MBH89" s="21"/>
      <c r="MBI89" s="21"/>
      <c r="MBJ89" s="21"/>
      <c r="MBK89" s="21"/>
      <c r="MBL89" s="21"/>
      <c r="MBM89" s="21"/>
      <c r="MBN89" s="21"/>
      <c r="MBO89" s="21"/>
      <c r="MBP89" s="21"/>
      <c r="MBQ89" s="21"/>
      <c r="MBR89" s="21"/>
      <c r="MBS89" s="21"/>
      <c r="MBT89" s="21"/>
      <c r="MBU89" s="21"/>
      <c r="MBV89" s="21"/>
      <c r="MBW89" s="21"/>
      <c r="MBX89" s="21"/>
      <c r="MBY89" s="21"/>
      <c r="MBZ89" s="21"/>
      <c r="MCA89" s="21"/>
      <c r="MCB89" s="21"/>
      <c r="MCC89" s="21"/>
      <c r="MCD89" s="21"/>
      <c r="MCE89" s="21"/>
      <c r="MCF89" s="21"/>
      <c r="MCG89" s="21"/>
      <c r="MCH89" s="21"/>
      <c r="MCI89" s="21"/>
      <c r="MCJ89" s="21"/>
      <c r="MCK89" s="21"/>
      <c r="MCL89" s="21"/>
      <c r="MCM89" s="21"/>
      <c r="MCN89" s="21"/>
      <c r="MCO89" s="21"/>
      <c r="MCP89" s="21"/>
      <c r="MCQ89" s="21"/>
      <c r="MCR89" s="21"/>
      <c r="MCS89" s="21"/>
      <c r="MCT89" s="21"/>
      <c r="MCU89" s="21"/>
      <c r="MCV89" s="21"/>
      <c r="MCW89" s="21"/>
      <c r="MCX89" s="21"/>
      <c r="MCY89" s="21"/>
      <c r="MCZ89" s="21"/>
      <c r="MDA89" s="21"/>
      <c r="MDB89" s="21"/>
      <c r="MDC89" s="21"/>
      <c r="MDD89" s="21"/>
      <c r="MDE89" s="21"/>
      <c r="MDF89" s="21"/>
      <c r="MDG89" s="21"/>
      <c r="MDH89" s="21"/>
      <c r="MDI89" s="21"/>
      <c r="MDJ89" s="21"/>
      <c r="MDK89" s="21"/>
      <c r="MDL89" s="21"/>
      <c r="MDM89" s="21"/>
      <c r="MDN89" s="21"/>
      <c r="MDO89" s="21"/>
      <c r="MDP89" s="21"/>
      <c r="MDQ89" s="21"/>
      <c r="MDR89" s="21"/>
      <c r="MDS89" s="21"/>
      <c r="MDT89" s="21"/>
      <c r="MDU89" s="21"/>
      <c r="MDV89" s="21"/>
      <c r="MDW89" s="21"/>
      <c r="MDX89" s="21"/>
      <c r="MDY89" s="21"/>
      <c r="MDZ89" s="21"/>
      <c r="MEA89" s="21"/>
      <c r="MEB89" s="21"/>
      <c r="MEC89" s="21"/>
      <c r="MED89" s="21"/>
      <c r="MEE89" s="21"/>
      <c r="MEF89" s="21"/>
      <c r="MEG89" s="21"/>
      <c r="MEH89" s="21"/>
      <c r="MEI89" s="21"/>
      <c r="MEJ89" s="21"/>
      <c r="MEK89" s="21"/>
      <c r="MEL89" s="21"/>
      <c r="MEM89" s="21"/>
      <c r="MEN89" s="21"/>
      <c r="MEO89" s="21"/>
      <c r="MEP89" s="21"/>
      <c r="MEQ89" s="21"/>
      <c r="MER89" s="21"/>
      <c r="MES89" s="21"/>
      <c r="MET89" s="21"/>
      <c r="MEU89" s="21"/>
      <c r="MEV89" s="21"/>
      <c r="MEW89" s="21"/>
      <c r="MEX89" s="21"/>
      <c r="MEY89" s="21"/>
      <c r="MEZ89" s="21"/>
      <c r="MFA89" s="21"/>
      <c r="MFB89" s="21"/>
      <c r="MFC89" s="21"/>
      <c r="MFD89" s="21"/>
      <c r="MFE89" s="21"/>
      <c r="MFF89" s="21"/>
      <c r="MFG89" s="21"/>
      <c r="MFH89" s="21"/>
      <c r="MFI89" s="21"/>
      <c r="MFJ89" s="21"/>
      <c r="MFK89" s="21"/>
      <c r="MFL89" s="21"/>
      <c r="MFM89" s="21"/>
      <c r="MFN89" s="21"/>
      <c r="MFO89" s="21"/>
      <c r="MFP89" s="21"/>
      <c r="MFQ89" s="21"/>
      <c r="MFR89" s="21"/>
      <c r="MFS89" s="21"/>
      <c r="MFT89" s="21"/>
      <c r="MFU89" s="21"/>
      <c r="MFV89" s="21"/>
      <c r="MFW89" s="21"/>
      <c r="MFX89" s="21"/>
      <c r="MFY89" s="21"/>
      <c r="MFZ89" s="21"/>
      <c r="MGA89" s="21"/>
      <c r="MGB89" s="21"/>
      <c r="MGC89" s="21"/>
      <c r="MGD89" s="21"/>
      <c r="MGE89" s="21"/>
      <c r="MGF89" s="21"/>
      <c r="MGG89" s="21"/>
      <c r="MGH89" s="21"/>
      <c r="MGI89" s="21"/>
      <c r="MGJ89" s="21"/>
      <c r="MGK89" s="21"/>
      <c r="MGL89" s="21"/>
      <c r="MGM89" s="21"/>
      <c r="MGN89" s="21"/>
      <c r="MGO89" s="21"/>
      <c r="MGP89" s="21"/>
      <c r="MGQ89" s="21"/>
      <c r="MGR89" s="21"/>
      <c r="MGS89" s="21"/>
      <c r="MGT89" s="21"/>
      <c r="MGU89" s="21"/>
      <c r="MGV89" s="21"/>
      <c r="MGW89" s="21"/>
      <c r="MGX89" s="21"/>
      <c r="MGY89" s="21"/>
      <c r="MGZ89" s="21"/>
      <c r="MHA89" s="21"/>
      <c r="MHB89" s="21"/>
      <c r="MHC89" s="21"/>
      <c r="MHD89" s="21"/>
      <c r="MHE89" s="21"/>
      <c r="MHF89" s="21"/>
      <c r="MHG89" s="21"/>
      <c r="MHH89" s="21"/>
      <c r="MHI89" s="21"/>
      <c r="MHJ89" s="21"/>
      <c r="MHK89" s="21"/>
      <c r="MHL89" s="21"/>
      <c r="MHM89" s="21"/>
      <c r="MHN89" s="21"/>
      <c r="MHO89" s="21"/>
      <c r="MHP89" s="21"/>
      <c r="MHQ89" s="21"/>
      <c r="MHR89" s="21"/>
      <c r="MHS89" s="21"/>
      <c r="MHT89" s="21"/>
      <c r="MHU89" s="21"/>
      <c r="MHV89" s="21"/>
      <c r="MHW89" s="21"/>
      <c r="MHX89" s="21"/>
      <c r="MHY89" s="21"/>
      <c r="MHZ89" s="21"/>
      <c r="MIA89" s="21"/>
      <c r="MIB89" s="21"/>
      <c r="MIC89" s="21"/>
      <c r="MID89" s="21"/>
      <c r="MIE89" s="21"/>
      <c r="MIF89" s="21"/>
      <c r="MIG89" s="21"/>
      <c r="MIH89" s="21"/>
      <c r="MII89" s="21"/>
      <c r="MIJ89" s="21"/>
      <c r="MIK89" s="21"/>
      <c r="MIL89" s="21"/>
      <c r="MIM89" s="21"/>
      <c r="MIN89" s="21"/>
      <c r="MIO89" s="21"/>
      <c r="MIP89" s="21"/>
      <c r="MIQ89" s="21"/>
      <c r="MIR89" s="21"/>
      <c r="MIS89" s="21"/>
      <c r="MIT89" s="21"/>
      <c r="MIU89" s="21"/>
      <c r="MIV89" s="21"/>
      <c r="MIW89" s="21"/>
      <c r="MIX89" s="21"/>
      <c r="MIY89" s="21"/>
      <c r="MIZ89" s="21"/>
      <c r="MJA89" s="21"/>
      <c r="MJB89" s="21"/>
      <c r="MJC89" s="21"/>
      <c r="MJD89" s="21"/>
      <c r="MJE89" s="21"/>
      <c r="MJF89" s="21"/>
      <c r="MJG89" s="21"/>
      <c r="MJH89" s="21"/>
      <c r="MJI89" s="21"/>
      <c r="MJJ89" s="21"/>
      <c r="MJK89" s="21"/>
      <c r="MJL89" s="21"/>
      <c r="MJM89" s="21"/>
      <c r="MJN89" s="21"/>
      <c r="MJO89" s="21"/>
      <c r="MJP89" s="21"/>
      <c r="MJQ89" s="21"/>
      <c r="MJR89" s="21"/>
      <c r="MJS89" s="21"/>
      <c r="MJT89" s="21"/>
      <c r="MJU89" s="21"/>
      <c r="MJV89" s="21"/>
      <c r="MJW89" s="21"/>
      <c r="MJX89" s="21"/>
      <c r="MJY89" s="21"/>
      <c r="MJZ89" s="21"/>
      <c r="MKA89" s="21"/>
      <c r="MKB89" s="21"/>
      <c r="MKC89" s="21"/>
      <c r="MKD89" s="21"/>
      <c r="MKE89" s="21"/>
      <c r="MKF89" s="21"/>
      <c r="MKG89" s="21"/>
      <c r="MKH89" s="21"/>
      <c r="MKI89" s="21"/>
      <c r="MKJ89" s="21"/>
      <c r="MKK89" s="21"/>
      <c r="MKL89" s="21"/>
      <c r="MKM89" s="21"/>
      <c r="MKN89" s="21"/>
      <c r="MKO89" s="21"/>
      <c r="MKP89" s="21"/>
      <c r="MKQ89" s="21"/>
      <c r="MKR89" s="21"/>
      <c r="MKS89" s="21"/>
      <c r="MKT89" s="21"/>
      <c r="MKU89" s="21"/>
      <c r="MKV89" s="21"/>
      <c r="MKW89" s="21"/>
      <c r="MKX89" s="21"/>
      <c r="MKY89" s="21"/>
      <c r="MKZ89" s="21"/>
      <c r="MLA89" s="21"/>
      <c r="MLB89" s="21"/>
      <c r="MLC89" s="21"/>
      <c r="MLD89" s="21"/>
      <c r="MLE89" s="21"/>
      <c r="MLF89" s="21"/>
      <c r="MLG89" s="21"/>
      <c r="MLH89" s="21"/>
      <c r="MLI89" s="21"/>
      <c r="MLJ89" s="21"/>
      <c r="MLK89" s="21"/>
      <c r="MLL89" s="21"/>
      <c r="MLM89" s="21"/>
      <c r="MLN89" s="21"/>
      <c r="MLO89" s="21"/>
      <c r="MLP89" s="21"/>
      <c r="MLQ89" s="21"/>
      <c r="MLR89" s="21"/>
      <c r="MLS89" s="21"/>
      <c r="MLT89" s="21"/>
      <c r="MLU89" s="21"/>
      <c r="MLV89" s="21"/>
      <c r="MLW89" s="21"/>
      <c r="MLX89" s="21"/>
      <c r="MLY89" s="21"/>
      <c r="MLZ89" s="21"/>
      <c r="MMA89" s="21"/>
      <c r="MMB89" s="21"/>
      <c r="MMC89" s="21"/>
      <c r="MMD89" s="21"/>
      <c r="MME89" s="21"/>
      <c r="MMF89" s="21"/>
      <c r="MMG89" s="21"/>
      <c r="MMH89" s="21"/>
      <c r="MMI89" s="21"/>
      <c r="MMJ89" s="21"/>
      <c r="MMK89" s="21"/>
      <c r="MML89" s="21"/>
      <c r="MMM89" s="21"/>
      <c r="MMN89" s="21"/>
      <c r="MMO89" s="21"/>
      <c r="MMP89" s="21"/>
      <c r="MMQ89" s="21"/>
      <c r="MMR89" s="21"/>
      <c r="MMS89" s="21"/>
      <c r="MMT89" s="21"/>
      <c r="MMU89" s="21"/>
      <c r="MMV89" s="21"/>
      <c r="MMW89" s="21"/>
      <c r="MMX89" s="21"/>
      <c r="MMY89" s="21"/>
      <c r="MMZ89" s="21"/>
      <c r="MNA89" s="21"/>
      <c r="MNB89" s="21"/>
      <c r="MNC89" s="21"/>
      <c r="MND89" s="21"/>
      <c r="MNE89" s="21"/>
      <c r="MNF89" s="21"/>
      <c r="MNG89" s="21"/>
      <c r="MNH89" s="21"/>
      <c r="MNI89" s="21"/>
      <c r="MNJ89" s="21"/>
      <c r="MNK89" s="21"/>
      <c r="MNL89" s="21"/>
      <c r="MNM89" s="21"/>
      <c r="MNN89" s="21"/>
      <c r="MNO89" s="21"/>
      <c r="MNP89" s="21"/>
      <c r="MNQ89" s="21"/>
      <c r="MNR89" s="21"/>
      <c r="MNS89" s="21"/>
      <c r="MNT89" s="21"/>
      <c r="MNU89" s="21"/>
      <c r="MNV89" s="21"/>
      <c r="MNW89" s="21"/>
      <c r="MNX89" s="21"/>
      <c r="MNY89" s="21"/>
      <c r="MNZ89" s="21"/>
      <c r="MOA89" s="21"/>
      <c r="MOB89" s="21"/>
      <c r="MOC89" s="21"/>
      <c r="MOD89" s="21"/>
      <c r="MOE89" s="21"/>
      <c r="MOF89" s="21"/>
      <c r="MOG89" s="21"/>
      <c r="MOH89" s="21"/>
      <c r="MOI89" s="21"/>
      <c r="MOJ89" s="21"/>
      <c r="MOK89" s="21"/>
      <c r="MOL89" s="21"/>
      <c r="MOM89" s="21"/>
      <c r="MON89" s="21"/>
      <c r="MOO89" s="21"/>
      <c r="MOP89" s="21"/>
      <c r="MOQ89" s="21"/>
      <c r="MOR89" s="21"/>
      <c r="MOS89" s="21"/>
      <c r="MOT89" s="21"/>
      <c r="MOU89" s="21"/>
      <c r="MOV89" s="21"/>
      <c r="MOW89" s="21"/>
      <c r="MOX89" s="21"/>
      <c r="MOY89" s="21"/>
      <c r="MOZ89" s="21"/>
      <c r="MPA89" s="21"/>
      <c r="MPB89" s="21"/>
      <c r="MPC89" s="21"/>
      <c r="MPD89" s="21"/>
      <c r="MPE89" s="21"/>
      <c r="MPF89" s="21"/>
      <c r="MPG89" s="21"/>
      <c r="MPH89" s="21"/>
      <c r="MPI89" s="21"/>
      <c r="MPJ89" s="21"/>
      <c r="MPK89" s="21"/>
      <c r="MPL89" s="21"/>
      <c r="MPM89" s="21"/>
      <c r="MPN89" s="21"/>
      <c r="MPO89" s="21"/>
      <c r="MPP89" s="21"/>
      <c r="MPQ89" s="21"/>
      <c r="MPR89" s="21"/>
      <c r="MPS89" s="21"/>
      <c r="MPT89" s="21"/>
      <c r="MPU89" s="21"/>
      <c r="MPV89" s="21"/>
      <c r="MPW89" s="21"/>
      <c r="MPX89" s="21"/>
      <c r="MPY89" s="21"/>
      <c r="MPZ89" s="21"/>
      <c r="MQA89" s="21"/>
      <c r="MQB89" s="21"/>
      <c r="MQC89" s="21"/>
      <c r="MQD89" s="21"/>
      <c r="MQE89" s="21"/>
      <c r="MQF89" s="21"/>
      <c r="MQG89" s="21"/>
      <c r="MQH89" s="21"/>
      <c r="MQI89" s="21"/>
      <c r="MQJ89" s="21"/>
      <c r="MQK89" s="21"/>
      <c r="MQL89" s="21"/>
      <c r="MQM89" s="21"/>
      <c r="MQN89" s="21"/>
      <c r="MQO89" s="21"/>
      <c r="MQP89" s="21"/>
      <c r="MQQ89" s="21"/>
      <c r="MQR89" s="21"/>
      <c r="MQS89" s="21"/>
      <c r="MQT89" s="21"/>
      <c r="MQU89" s="21"/>
      <c r="MQV89" s="21"/>
      <c r="MQW89" s="21"/>
      <c r="MQX89" s="21"/>
      <c r="MQY89" s="21"/>
      <c r="MQZ89" s="21"/>
      <c r="MRA89" s="21"/>
      <c r="MRB89" s="21"/>
      <c r="MRC89" s="21"/>
      <c r="MRD89" s="21"/>
      <c r="MRE89" s="21"/>
      <c r="MRF89" s="21"/>
      <c r="MRG89" s="21"/>
      <c r="MRH89" s="21"/>
      <c r="MRI89" s="21"/>
      <c r="MRJ89" s="21"/>
      <c r="MRK89" s="21"/>
      <c r="MRL89" s="21"/>
      <c r="MRM89" s="21"/>
      <c r="MRN89" s="21"/>
      <c r="MRO89" s="21"/>
      <c r="MRP89" s="21"/>
      <c r="MRQ89" s="21"/>
      <c r="MRR89" s="21"/>
      <c r="MRS89" s="21"/>
      <c r="MRT89" s="21"/>
      <c r="MRU89" s="21"/>
      <c r="MRV89" s="21"/>
      <c r="MRW89" s="21"/>
      <c r="MRX89" s="21"/>
      <c r="MRY89" s="21"/>
      <c r="MRZ89" s="21"/>
      <c r="MSA89" s="21"/>
      <c r="MSB89" s="21"/>
      <c r="MSC89" s="21"/>
      <c r="MSD89" s="21"/>
      <c r="MSE89" s="21"/>
      <c r="MSF89" s="21"/>
      <c r="MSG89" s="21"/>
      <c r="MSH89" s="21"/>
      <c r="MSI89" s="21"/>
      <c r="MSJ89" s="21"/>
      <c r="MSK89" s="21"/>
      <c r="MSL89" s="21"/>
      <c r="MSM89" s="21"/>
      <c r="MSN89" s="21"/>
      <c r="MSO89" s="21"/>
      <c r="MSP89" s="21"/>
      <c r="MSQ89" s="21"/>
      <c r="MSR89" s="21"/>
      <c r="MSS89" s="21"/>
      <c r="MST89" s="21"/>
      <c r="MSU89" s="21"/>
      <c r="MSV89" s="21"/>
      <c r="MSW89" s="21"/>
      <c r="MSX89" s="21"/>
      <c r="MSY89" s="21"/>
      <c r="MSZ89" s="21"/>
      <c r="MTA89" s="21"/>
      <c r="MTB89" s="21"/>
      <c r="MTC89" s="21"/>
      <c r="MTD89" s="21"/>
      <c r="MTE89" s="21"/>
      <c r="MTF89" s="21"/>
      <c r="MTG89" s="21"/>
      <c r="MTH89" s="21"/>
      <c r="MTI89" s="21"/>
      <c r="MTJ89" s="21"/>
      <c r="MTK89" s="21"/>
      <c r="MTL89" s="21"/>
      <c r="MTM89" s="21"/>
      <c r="MTN89" s="21"/>
      <c r="MTO89" s="21"/>
      <c r="MTP89" s="21"/>
      <c r="MTQ89" s="21"/>
      <c r="MTR89" s="21"/>
      <c r="MTS89" s="21"/>
      <c r="MTT89" s="21"/>
      <c r="MTU89" s="21"/>
      <c r="MTV89" s="21"/>
      <c r="MTW89" s="21"/>
      <c r="MTX89" s="21"/>
      <c r="MTY89" s="21"/>
      <c r="MTZ89" s="21"/>
      <c r="MUA89" s="21"/>
      <c r="MUB89" s="21"/>
      <c r="MUC89" s="21"/>
      <c r="MUD89" s="21"/>
      <c r="MUE89" s="21"/>
      <c r="MUF89" s="21"/>
      <c r="MUG89" s="21"/>
      <c r="MUH89" s="21"/>
      <c r="MUI89" s="21"/>
      <c r="MUJ89" s="21"/>
      <c r="MUK89" s="21"/>
      <c r="MUL89" s="21"/>
      <c r="MUM89" s="21"/>
      <c r="MUN89" s="21"/>
      <c r="MUO89" s="21"/>
      <c r="MUP89" s="21"/>
      <c r="MUQ89" s="21"/>
      <c r="MUR89" s="21"/>
      <c r="MUS89" s="21"/>
      <c r="MUT89" s="21"/>
      <c r="MUU89" s="21"/>
      <c r="MUV89" s="21"/>
      <c r="MUW89" s="21"/>
      <c r="MUX89" s="21"/>
      <c r="MUY89" s="21"/>
      <c r="MUZ89" s="21"/>
      <c r="MVA89" s="21"/>
      <c r="MVB89" s="21"/>
      <c r="MVC89" s="21"/>
      <c r="MVD89" s="21"/>
      <c r="MVE89" s="21"/>
      <c r="MVF89" s="21"/>
      <c r="MVG89" s="21"/>
      <c r="MVH89" s="21"/>
      <c r="MVI89" s="21"/>
      <c r="MVJ89" s="21"/>
      <c r="MVK89" s="21"/>
      <c r="MVL89" s="21"/>
      <c r="MVM89" s="21"/>
      <c r="MVN89" s="21"/>
      <c r="MVO89" s="21"/>
      <c r="MVP89" s="21"/>
      <c r="MVQ89" s="21"/>
      <c r="MVR89" s="21"/>
      <c r="MVS89" s="21"/>
      <c r="MVT89" s="21"/>
      <c r="MVU89" s="21"/>
      <c r="MVV89" s="21"/>
      <c r="MVW89" s="21"/>
      <c r="MVX89" s="21"/>
      <c r="MVY89" s="21"/>
      <c r="MVZ89" s="21"/>
      <c r="MWA89" s="21"/>
      <c r="MWB89" s="21"/>
      <c r="MWC89" s="21"/>
      <c r="MWD89" s="21"/>
      <c r="MWE89" s="21"/>
      <c r="MWF89" s="21"/>
      <c r="MWG89" s="21"/>
      <c r="MWH89" s="21"/>
      <c r="MWI89" s="21"/>
      <c r="MWJ89" s="21"/>
      <c r="MWK89" s="21"/>
      <c r="MWL89" s="21"/>
      <c r="MWM89" s="21"/>
      <c r="MWN89" s="21"/>
      <c r="MWO89" s="21"/>
      <c r="MWP89" s="21"/>
      <c r="MWQ89" s="21"/>
      <c r="MWR89" s="21"/>
      <c r="MWS89" s="21"/>
      <c r="MWT89" s="21"/>
      <c r="MWU89" s="21"/>
      <c r="MWV89" s="21"/>
      <c r="MWW89" s="21"/>
      <c r="MWX89" s="21"/>
      <c r="MWY89" s="21"/>
      <c r="MWZ89" s="21"/>
      <c r="MXA89" s="21"/>
      <c r="MXB89" s="21"/>
      <c r="MXC89" s="21"/>
      <c r="MXD89" s="21"/>
      <c r="MXE89" s="21"/>
      <c r="MXF89" s="21"/>
      <c r="MXG89" s="21"/>
      <c r="MXH89" s="21"/>
      <c r="MXI89" s="21"/>
      <c r="MXJ89" s="21"/>
      <c r="MXK89" s="21"/>
      <c r="MXL89" s="21"/>
      <c r="MXM89" s="21"/>
      <c r="MXN89" s="21"/>
      <c r="MXO89" s="21"/>
      <c r="MXP89" s="21"/>
      <c r="MXQ89" s="21"/>
      <c r="MXR89" s="21"/>
      <c r="MXS89" s="21"/>
      <c r="MXT89" s="21"/>
      <c r="MXU89" s="21"/>
      <c r="MXV89" s="21"/>
      <c r="MXW89" s="21"/>
      <c r="MXX89" s="21"/>
      <c r="MXY89" s="21"/>
      <c r="MXZ89" s="21"/>
      <c r="MYA89" s="21"/>
      <c r="MYB89" s="21"/>
      <c r="MYC89" s="21"/>
      <c r="MYD89" s="21"/>
      <c r="MYE89" s="21"/>
      <c r="MYF89" s="21"/>
      <c r="MYG89" s="21"/>
      <c r="MYH89" s="21"/>
      <c r="MYI89" s="21"/>
      <c r="MYJ89" s="21"/>
      <c r="MYK89" s="21"/>
      <c r="MYL89" s="21"/>
      <c r="MYM89" s="21"/>
      <c r="MYN89" s="21"/>
      <c r="MYO89" s="21"/>
      <c r="MYP89" s="21"/>
      <c r="MYQ89" s="21"/>
      <c r="MYR89" s="21"/>
      <c r="MYS89" s="21"/>
      <c r="MYT89" s="21"/>
      <c r="MYU89" s="21"/>
      <c r="MYV89" s="21"/>
      <c r="MYW89" s="21"/>
      <c r="MYX89" s="21"/>
      <c r="MYY89" s="21"/>
      <c r="MYZ89" s="21"/>
      <c r="MZA89" s="21"/>
      <c r="MZB89" s="21"/>
      <c r="MZC89" s="21"/>
      <c r="MZD89" s="21"/>
      <c r="MZE89" s="21"/>
      <c r="MZF89" s="21"/>
      <c r="MZG89" s="21"/>
      <c r="MZH89" s="21"/>
      <c r="MZI89" s="21"/>
      <c r="MZJ89" s="21"/>
      <c r="MZK89" s="21"/>
      <c r="MZL89" s="21"/>
      <c r="MZM89" s="21"/>
      <c r="MZN89" s="21"/>
      <c r="MZO89" s="21"/>
      <c r="MZP89" s="21"/>
      <c r="MZQ89" s="21"/>
      <c r="MZR89" s="21"/>
      <c r="MZS89" s="21"/>
      <c r="MZT89" s="21"/>
      <c r="MZU89" s="21"/>
      <c r="MZV89" s="21"/>
      <c r="MZW89" s="21"/>
      <c r="MZX89" s="21"/>
      <c r="MZY89" s="21"/>
      <c r="MZZ89" s="21"/>
      <c r="NAA89" s="21"/>
      <c r="NAB89" s="21"/>
      <c r="NAC89" s="21"/>
      <c r="NAD89" s="21"/>
      <c r="NAE89" s="21"/>
      <c r="NAF89" s="21"/>
      <c r="NAG89" s="21"/>
      <c r="NAH89" s="21"/>
      <c r="NAI89" s="21"/>
      <c r="NAJ89" s="21"/>
      <c r="NAK89" s="21"/>
      <c r="NAL89" s="21"/>
      <c r="NAM89" s="21"/>
      <c r="NAN89" s="21"/>
      <c r="NAO89" s="21"/>
      <c r="NAP89" s="21"/>
      <c r="NAQ89" s="21"/>
      <c r="NAR89" s="21"/>
      <c r="NAS89" s="21"/>
      <c r="NAT89" s="21"/>
      <c r="NAU89" s="21"/>
      <c r="NAV89" s="21"/>
      <c r="NAW89" s="21"/>
      <c r="NAX89" s="21"/>
      <c r="NAY89" s="21"/>
      <c r="NAZ89" s="21"/>
      <c r="NBA89" s="21"/>
      <c r="NBB89" s="21"/>
      <c r="NBC89" s="21"/>
      <c r="NBD89" s="21"/>
      <c r="NBE89" s="21"/>
      <c r="NBF89" s="21"/>
      <c r="NBG89" s="21"/>
      <c r="NBH89" s="21"/>
      <c r="NBI89" s="21"/>
      <c r="NBJ89" s="21"/>
      <c r="NBK89" s="21"/>
      <c r="NBL89" s="21"/>
      <c r="NBM89" s="21"/>
      <c r="NBN89" s="21"/>
      <c r="NBO89" s="21"/>
      <c r="NBP89" s="21"/>
      <c r="NBQ89" s="21"/>
      <c r="NBR89" s="21"/>
      <c r="NBS89" s="21"/>
      <c r="NBT89" s="21"/>
      <c r="NBU89" s="21"/>
      <c r="NBV89" s="21"/>
      <c r="NBW89" s="21"/>
      <c r="NBX89" s="21"/>
      <c r="NBY89" s="21"/>
      <c r="NBZ89" s="21"/>
      <c r="NCA89" s="21"/>
      <c r="NCB89" s="21"/>
      <c r="NCC89" s="21"/>
      <c r="NCD89" s="21"/>
      <c r="NCE89" s="21"/>
      <c r="NCF89" s="21"/>
      <c r="NCG89" s="21"/>
      <c r="NCH89" s="21"/>
      <c r="NCI89" s="21"/>
      <c r="NCJ89" s="21"/>
      <c r="NCK89" s="21"/>
      <c r="NCL89" s="21"/>
      <c r="NCM89" s="21"/>
      <c r="NCN89" s="21"/>
      <c r="NCO89" s="21"/>
      <c r="NCP89" s="21"/>
      <c r="NCQ89" s="21"/>
      <c r="NCR89" s="21"/>
      <c r="NCS89" s="21"/>
      <c r="NCT89" s="21"/>
      <c r="NCU89" s="21"/>
      <c r="NCV89" s="21"/>
      <c r="NCW89" s="21"/>
      <c r="NCX89" s="21"/>
      <c r="NCY89" s="21"/>
      <c r="NCZ89" s="21"/>
      <c r="NDA89" s="21"/>
      <c r="NDB89" s="21"/>
      <c r="NDC89" s="21"/>
      <c r="NDD89" s="21"/>
      <c r="NDE89" s="21"/>
      <c r="NDF89" s="21"/>
      <c r="NDG89" s="21"/>
      <c r="NDH89" s="21"/>
      <c r="NDI89" s="21"/>
      <c r="NDJ89" s="21"/>
      <c r="NDK89" s="21"/>
      <c r="NDL89" s="21"/>
      <c r="NDM89" s="21"/>
      <c r="NDN89" s="21"/>
      <c r="NDO89" s="21"/>
      <c r="NDP89" s="21"/>
      <c r="NDQ89" s="21"/>
      <c r="NDR89" s="21"/>
      <c r="NDS89" s="21"/>
      <c r="NDT89" s="21"/>
      <c r="NDU89" s="21"/>
      <c r="NDV89" s="21"/>
      <c r="NDW89" s="21"/>
      <c r="NDX89" s="21"/>
      <c r="NDY89" s="21"/>
      <c r="NDZ89" s="21"/>
      <c r="NEA89" s="21"/>
      <c r="NEB89" s="21"/>
      <c r="NEC89" s="21"/>
      <c r="NED89" s="21"/>
      <c r="NEE89" s="21"/>
      <c r="NEF89" s="21"/>
      <c r="NEG89" s="21"/>
      <c r="NEH89" s="21"/>
      <c r="NEI89" s="21"/>
      <c r="NEJ89" s="21"/>
      <c r="NEK89" s="21"/>
      <c r="NEL89" s="21"/>
      <c r="NEM89" s="21"/>
      <c r="NEN89" s="21"/>
      <c r="NEO89" s="21"/>
      <c r="NEP89" s="21"/>
      <c r="NEQ89" s="21"/>
      <c r="NER89" s="21"/>
      <c r="NES89" s="21"/>
      <c r="NET89" s="21"/>
      <c r="NEU89" s="21"/>
      <c r="NEV89" s="21"/>
      <c r="NEW89" s="21"/>
      <c r="NEX89" s="21"/>
      <c r="NEY89" s="21"/>
      <c r="NEZ89" s="21"/>
      <c r="NFA89" s="21"/>
      <c r="NFB89" s="21"/>
      <c r="NFC89" s="21"/>
      <c r="NFD89" s="21"/>
      <c r="NFE89" s="21"/>
      <c r="NFF89" s="21"/>
      <c r="NFG89" s="21"/>
      <c r="NFH89" s="21"/>
      <c r="NFI89" s="21"/>
      <c r="NFJ89" s="21"/>
      <c r="NFK89" s="21"/>
      <c r="NFL89" s="21"/>
      <c r="NFM89" s="21"/>
      <c r="NFN89" s="21"/>
      <c r="NFO89" s="21"/>
      <c r="NFP89" s="21"/>
      <c r="NFQ89" s="21"/>
      <c r="NFR89" s="21"/>
      <c r="NFS89" s="21"/>
      <c r="NFT89" s="21"/>
      <c r="NFU89" s="21"/>
      <c r="NFV89" s="21"/>
      <c r="NFW89" s="21"/>
      <c r="NFX89" s="21"/>
      <c r="NFY89" s="21"/>
      <c r="NFZ89" s="21"/>
      <c r="NGA89" s="21"/>
      <c r="NGB89" s="21"/>
      <c r="NGC89" s="21"/>
      <c r="NGD89" s="21"/>
      <c r="NGE89" s="21"/>
      <c r="NGF89" s="21"/>
      <c r="NGG89" s="21"/>
      <c r="NGH89" s="21"/>
      <c r="NGI89" s="21"/>
      <c r="NGJ89" s="21"/>
      <c r="NGK89" s="21"/>
      <c r="NGL89" s="21"/>
      <c r="NGM89" s="21"/>
      <c r="NGN89" s="21"/>
      <c r="NGO89" s="21"/>
      <c r="NGP89" s="21"/>
      <c r="NGQ89" s="21"/>
      <c r="NGR89" s="21"/>
      <c r="NGS89" s="21"/>
      <c r="NGT89" s="21"/>
      <c r="NGU89" s="21"/>
      <c r="NGV89" s="21"/>
      <c r="NGW89" s="21"/>
      <c r="NGX89" s="21"/>
      <c r="NGY89" s="21"/>
      <c r="NGZ89" s="21"/>
      <c r="NHA89" s="21"/>
      <c r="NHB89" s="21"/>
      <c r="NHC89" s="21"/>
      <c r="NHD89" s="21"/>
      <c r="NHE89" s="21"/>
      <c r="NHF89" s="21"/>
      <c r="NHG89" s="21"/>
      <c r="NHH89" s="21"/>
      <c r="NHI89" s="21"/>
      <c r="NHJ89" s="21"/>
      <c r="NHK89" s="21"/>
      <c r="NHL89" s="21"/>
      <c r="NHM89" s="21"/>
      <c r="NHN89" s="21"/>
      <c r="NHO89" s="21"/>
      <c r="NHP89" s="21"/>
      <c r="NHQ89" s="21"/>
      <c r="NHR89" s="21"/>
      <c r="NHS89" s="21"/>
      <c r="NHT89" s="21"/>
      <c r="NHU89" s="21"/>
      <c r="NHV89" s="21"/>
      <c r="NHW89" s="21"/>
      <c r="NHX89" s="21"/>
      <c r="NHY89" s="21"/>
      <c r="NHZ89" s="21"/>
      <c r="NIA89" s="21"/>
      <c r="NIB89" s="21"/>
      <c r="NIC89" s="21"/>
      <c r="NID89" s="21"/>
      <c r="NIE89" s="21"/>
      <c r="NIF89" s="21"/>
      <c r="NIG89" s="21"/>
      <c r="NIH89" s="21"/>
      <c r="NII89" s="21"/>
      <c r="NIJ89" s="21"/>
      <c r="NIK89" s="21"/>
      <c r="NIL89" s="21"/>
      <c r="NIM89" s="21"/>
      <c r="NIN89" s="21"/>
      <c r="NIO89" s="21"/>
      <c r="NIP89" s="21"/>
      <c r="NIQ89" s="21"/>
      <c r="NIR89" s="21"/>
      <c r="NIS89" s="21"/>
      <c r="NIT89" s="21"/>
      <c r="NIU89" s="21"/>
      <c r="NIV89" s="21"/>
      <c r="NIW89" s="21"/>
      <c r="NIX89" s="21"/>
      <c r="NIY89" s="21"/>
      <c r="NIZ89" s="21"/>
      <c r="NJA89" s="21"/>
      <c r="NJB89" s="21"/>
      <c r="NJC89" s="21"/>
      <c r="NJD89" s="21"/>
      <c r="NJE89" s="21"/>
      <c r="NJF89" s="21"/>
      <c r="NJG89" s="21"/>
      <c r="NJH89" s="21"/>
      <c r="NJI89" s="21"/>
      <c r="NJJ89" s="21"/>
      <c r="NJK89" s="21"/>
      <c r="NJL89" s="21"/>
      <c r="NJM89" s="21"/>
      <c r="NJN89" s="21"/>
      <c r="NJO89" s="21"/>
      <c r="NJP89" s="21"/>
      <c r="NJQ89" s="21"/>
      <c r="NJR89" s="21"/>
      <c r="NJS89" s="21"/>
      <c r="NJT89" s="21"/>
      <c r="NJU89" s="21"/>
      <c r="NJV89" s="21"/>
      <c r="NJW89" s="21"/>
      <c r="NJX89" s="21"/>
      <c r="NJY89" s="21"/>
      <c r="NJZ89" s="21"/>
      <c r="NKA89" s="21"/>
      <c r="NKB89" s="21"/>
      <c r="NKC89" s="21"/>
      <c r="NKD89" s="21"/>
      <c r="NKE89" s="21"/>
      <c r="NKF89" s="21"/>
      <c r="NKG89" s="21"/>
      <c r="NKH89" s="21"/>
      <c r="NKI89" s="21"/>
      <c r="NKJ89" s="21"/>
      <c r="NKK89" s="21"/>
      <c r="NKL89" s="21"/>
      <c r="NKM89" s="21"/>
      <c r="NKN89" s="21"/>
      <c r="NKO89" s="21"/>
      <c r="NKP89" s="21"/>
      <c r="NKQ89" s="21"/>
      <c r="NKR89" s="21"/>
      <c r="NKS89" s="21"/>
      <c r="NKT89" s="21"/>
      <c r="NKU89" s="21"/>
      <c r="NKV89" s="21"/>
      <c r="NKW89" s="21"/>
      <c r="NKX89" s="21"/>
      <c r="NKY89" s="21"/>
      <c r="NKZ89" s="21"/>
      <c r="NLA89" s="21"/>
      <c r="NLB89" s="21"/>
      <c r="NLC89" s="21"/>
      <c r="NLD89" s="21"/>
      <c r="NLE89" s="21"/>
      <c r="NLF89" s="21"/>
      <c r="NLG89" s="21"/>
      <c r="NLH89" s="21"/>
      <c r="NLI89" s="21"/>
      <c r="NLJ89" s="21"/>
      <c r="NLK89" s="21"/>
      <c r="NLL89" s="21"/>
      <c r="NLM89" s="21"/>
      <c r="NLN89" s="21"/>
      <c r="NLO89" s="21"/>
      <c r="NLP89" s="21"/>
      <c r="NLQ89" s="21"/>
      <c r="NLR89" s="21"/>
      <c r="NLS89" s="21"/>
      <c r="NLT89" s="21"/>
      <c r="NLU89" s="21"/>
      <c r="NLV89" s="21"/>
      <c r="NLW89" s="21"/>
      <c r="NLX89" s="21"/>
      <c r="NLY89" s="21"/>
      <c r="NLZ89" s="21"/>
      <c r="NMA89" s="21"/>
      <c r="NMB89" s="21"/>
      <c r="NMC89" s="21"/>
      <c r="NMD89" s="21"/>
      <c r="NME89" s="21"/>
      <c r="NMF89" s="21"/>
      <c r="NMG89" s="21"/>
      <c r="NMH89" s="21"/>
      <c r="NMI89" s="21"/>
      <c r="NMJ89" s="21"/>
      <c r="NMK89" s="21"/>
      <c r="NML89" s="21"/>
      <c r="NMM89" s="21"/>
      <c r="NMN89" s="21"/>
      <c r="NMO89" s="21"/>
      <c r="NMP89" s="21"/>
      <c r="NMQ89" s="21"/>
      <c r="NMR89" s="21"/>
      <c r="NMS89" s="21"/>
      <c r="NMT89" s="21"/>
      <c r="NMU89" s="21"/>
      <c r="NMV89" s="21"/>
      <c r="NMW89" s="21"/>
      <c r="NMX89" s="21"/>
      <c r="NMY89" s="21"/>
      <c r="NMZ89" s="21"/>
      <c r="NNA89" s="21"/>
      <c r="NNB89" s="21"/>
      <c r="NNC89" s="21"/>
      <c r="NND89" s="21"/>
      <c r="NNE89" s="21"/>
      <c r="NNF89" s="21"/>
      <c r="NNG89" s="21"/>
      <c r="NNH89" s="21"/>
      <c r="NNI89" s="21"/>
      <c r="NNJ89" s="21"/>
      <c r="NNK89" s="21"/>
      <c r="NNL89" s="21"/>
      <c r="NNM89" s="21"/>
      <c r="NNN89" s="21"/>
      <c r="NNO89" s="21"/>
      <c r="NNP89" s="21"/>
      <c r="NNQ89" s="21"/>
      <c r="NNR89" s="21"/>
      <c r="NNS89" s="21"/>
      <c r="NNT89" s="21"/>
      <c r="NNU89" s="21"/>
      <c r="NNV89" s="21"/>
      <c r="NNW89" s="21"/>
      <c r="NNX89" s="21"/>
      <c r="NNY89" s="21"/>
      <c r="NNZ89" s="21"/>
      <c r="NOA89" s="21"/>
      <c r="NOB89" s="21"/>
      <c r="NOC89" s="21"/>
      <c r="NOD89" s="21"/>
      <c r="NOE89" s="21"/>
      <c r="NOF89" s="21"/>
      <c r="NOG89" s="21"/>
      <c r="NOH89" s="21"/>
      <c r="NOI89" s="21"/>
      <c r="NOJ89" s="21"/>
      <c r="NOK89" s="21"/>
      <c r="NOL89" s="21"/>
      <c r="NOM89" s="21"/>
      <c r="NON89" s="21"/>
      <c r="NOO89" s="21"/>
      <c r="NOP89" s="21"/>
      <c r="NOQ89" s="21"/>
      <c r="NOR89" s="21"/>
      <c r="NOS89" s="21"/>
      <c r="NOT89" s="21"/>
      <c r="NOU89" s="21"/>
      <c r="NOV89" s="21"/>
      <c r="NOW89" s="21"/>
      <c r="NOX89" s="21"/>
      <c r="NOY89" s="21"/>
      <c r="NOZ89" s="21"/>
      <c r="NPA89" s="21"/>
      <c r="NPB89" s="21"/>
      <c r="NPC89" s="21"/>
      <c r="NPD89" s="21"/>
      <c r="NPE89" s="21"/>
      <c r="NPF89" s="21"/>
      <c r="NPG89" s="21"/>
      <c r="NPH89" s="21"/>
      <c r="NPI89" s="21"/>
      <c r="NPJ89" s="21"/>
      <c r="NPK89" s="21"/>
      <c r="NPL89" s="21"/>
      <c r="NPM89" s="21"/>
      <c r="NPN89" s="21"/>
      <c r="NPO89" s="21"/>
      <c r="NPP89" s="21"/>
      <c r="NPQ89" s="21"/>
      <c r="NPR89" s="21"/>
      <c r="NPS89" s="21"/>
      <c r="NPT89" s="21"/>
      <c r="NPU89" s="21"/>
      <c r="NPV89" s="21"/>
      <c r="NPW89" s="21"/>
      <c r="NPX89" s="21"/>
      <c r="NPY89" s="21"/>
      <c r="NPZ89" s="21"/>
      <c r="NQA89" s="21"/>
      <c r="NQB89" s="21"/>
      <c r="NQC89" s="21"/>
      <c r="NQD89" s="21"/>
      <c r="NQE89" s="21"/>
      <c r="NQF89" s="21"/>
      <c r="NQG89" s="21"/>
      <c r="NQH89" s="21"/>
      <c r="NQI89" s="21"/>
      <c r="NQJ89" s="21"/>
      <c r="NQK89" s="21"/>
      <c r="NQL89" s="21"/>
      <c r="NQM89" s="21"/>
      <c r="NQN89" s="21"/>
      <c r="NQO89" s="21"/>
      <c r="NQP89" s="21"/>
      <c r="NQQ89" s="21"/>
      <c r="NQR89" s="21"/>
      <c r="NQS89" s="21"/>
      <c r="NQT89" s="21"/>
      <c r="NQU89" s="21"/>
      <c r="NQV89" s="21"/>
      <c r="NQW89" s="21"/>
      <c r="NQX89" s="21"/>
      <c r="NQY89" s="21"/>
      <c r="NQZ89" s="21"/>
      <c r="NRA89" s="21"/>
      <c r="NRB89" s="21"/>
      <c r="NRC89" s="21"/>
      <c r="NRD89" s="21"/>
      <c r="NRE89" s="21"/>
      <c r="NRF89" s="21"/>
      <c r="NRG89" s="21"/>
      <c r="NRH89" s="21"/>
      <c r="NRI89" s="21"/>
      <c r="NRJ89" s="21"/>
      <c r="NRK89" s="21"/>
      <c r="NRL89" s="21"/>
      <c r="NRM89" s="21"/>
      <c r="NRN89" s="21"/>
      <c r="NRO89" s="21"/>
      <c r="NRP89" s="21"/>
      <c r="NRQ89" s="21"/>
      <c r="NRR89" s="21"/>
      <c r="NRS89" s="21"/>
      <c r="NRT89" s="21"/>
      <c r="NRU89" s="21"/>
      <c r="NRV89" s="21"/>
      <c r="NRW89" s="21"/>
      <c r="NRX89" s="21"/>
      <c r="NRY89" s="21"/>
      <c r="NRZ89" s="21"/>
      <c r="NSA89" s="21"/>
      <c r="NSB89" s="21"/>
      <c r="NSC89" s="21"/>
      <c r="NSD89" s="21"/>
      <c r="NSE89" s="21"/>
      <c r="NSF89" s="21"/>
      <c r="NSG89" s="21"/>
      <c r="NSH89" s="21"/>
      <c r="NSI89" s="21"/>
      <c r="NSJ89" s="21"/>
      <c r="NSK89" s="21"/>
      <c r="NSL89" s="21"/>
      <c r="NSM89" s="21"/>
      <c r="NSN89" s="21"/>
      <c r="NSO89" s="21"/>
      <c r="NSP89" s="21"/>
      <c r="NSQ89" s="21"/>
      <c r="NSR89" s="21"/>
      <c r="NSS89" s="21"/>
      <c r="NST89" s="21"/>
      <c r="NSU89" s="21"/>
      <c r="NSV89" s="21"/>
      <c r="NSW89" s="21"/>
      <c r="NSX89" s="21"/>
      <c r="NSY89" s="21"/>
      <c r="NSZ89" s="21"/>
      <c r="NTA89" s="21"/>
      <c r="NTB89" s="21"/>
      <c r="NTC89" s="21"/>
      <c r="NTD89" s="21"/>
      <c r="NTE89" s="21"/>
      <c r="NTF89" s="21"/>
      <c r="NTG89" s="21"/>
      <c r="NTH89" s="21"/>
      <c r="NTI89" s="21"/>
      <c r="NTJ89" s="21"/>
      <c r="NTK89" s="21"/>
      <c r="NTL89" s="21"/>
      <c r="NTM89" s="21"/>
      <c r="NTN89" s="21"/>
      <c r="NTO89" s="21"/>
      <c r="NTP89" s="21"/>
      <c r="NTQ89" s="21"/>
      <c r="NTR89" s="21"/>
      <c r="NTS89" s="21"/>
      <c r="NTT89" s="21"/>
      <c r="NTU89" s="21"/>
      <c r="NTV89" s="21"/>
      <c r="NTW89" s="21"/>
      <c r="NTX89" s="21"/>
      <c r="NTY89" s="21"/>
      <c r="NTZ89" s="21"/>
      <c r="NUA89" s="21"/>
      <c r="NUB89" s="21"/>
      <c r="NUC89" s="21"/>
      <c r="NUD89" s="21"/>
      <c r="NUE89" s="21"/>
      <c r="NUF89" s="21"/>
      <c r="NUG89" s="21"/>
      <c r="NUH89" s="21"/>
      <c r="NUI89" s="21"/>
      <c r="NUJ89" s="21"/>
      <c r="NUK89" s="21"/>
      <c r="NUL89" s="21"/>
      <c r="NUM89" s="21"/>
      <c r="NUN89" s="21"/>
      <c r="NUO89" s="21"/>
      <c r="NUP89" s="21"/>
      <c r="NUQ89" s="21"/>
      <c r="NUR89" s="21"/>
      <c r="NUS89" s="21"/>
      <c r="NUT89" s="21"/>
      <c r="NUU89" s="21"/>
      <c r="NUV89" s="21"/>
      <c r="NUW89" s="21"/>
      <c r="NUX89" s="21"/>
      <c r="NUY89" s="21"/>
      <c r="NUZ89" s="21"/>
      <c r="NVA89" s="21"/>
      <c r="NVB89" s="21"/>
      <c r="NVC89" s="21"/>
      <c r="NVD89" s="21"/>
      <c r="NVE89" s="21"/>
      <c r="NVF89" s="21"/>
      <c r="NVG89" s="21"/>
      <c r="NVH89" s="21"/>
      <c r="NVI89" s="21"/>
      <c r="NVJ89" s="21"/>
      <c r="NVK89" s="21"/>
      <c r="NVL89" s="21"/>
      <c r="NVM89" s="21"/>
      <c r="NVN89" s="21"/>
      <c r="NVO89" s="21"/>
      <c r="NVP89" s="21"/>
      <c r="NVQ89" s="21"/>
      <c r="NVR89" s="21"/>
      <c r="NVS89" s="21"/>
      <c r="NVT89" s="21"/>
      <c r="NVU89" s="21"/>
      <c r="NVV89" s="21"/>
      <c r="NVW89" s="21"/>
      <c r="NVX89" s="21"/>
      <c r="NVY89" s="21"/>
      <c r="NVZ89" s="21"/>
      <c r="NWA89" s="21"/>
      <c r="NWB89" s="21"/>
      <c r="NWC89" s="21"/>
      <c r="NWD89" s="21"/>
      <c r="NWE89" s="21"/>
      <c r="NWF89" s="21"/>
      <c r="NWG89" s="21"/>
      <c r="NWH89" s="21"/>
      <c r="NWI89" s="21"/>
      <c r="NWJ89" s="21"/>
      <c r="NWK89" s="21"/>
      <c r="NWL89" s="21"/>
      <c r="NWM89" s="21"/>
      <c r="NWN89" s="21"/>
      <c r="NWO89" s="21"/>
      <c r="NWP89" s="21"/>
      <c r="NWQ89" s="21"/>
      <c r="NWR89" s="21"/>
      <c r="NWS89" s="21"/>
      <c r="NWT89" s="21"/>
      <c r="NWU89" s="21"/>
      <c r="NWV89" s="21"/>
      <c r="NWW89" s="21"/>
      <c r="NWX89" s="21"/>
      <c r="NWY89" s="21"/>
      <c r="NWZ89" s="21"/>
      <c r="NXA89" s="21"/>
      <c r="NXB89" s="21"/>
      <c r="NXC89" s="21"/>
      <c r="NXD89" s="21"/>
      <c r="NXE89" s="21"/>
      <c r="NXF89" s="21"/>
      <c r="NXG89" s="21"/>
      <c r="NXH89" s="21"/>
      <c r="NXI89" s="21"/>
      <c r="NXJ89" s="21"/>
      <c r="NXK89" s="21"/>
      <c r="NXL89" s="21"/>
      <c r="NXM89" s="21"/>
      <c r="NXN89" s="21"/>
      <c r="NXO89" s="21"/>
      <c r="NXP89" s="21"/>
      <c r="NXQ89" s="21"/>
      <c r="NXR89" s="21"/>
      <c r="NXS89" s="21"/>
      <c r="NXT89" s="21"/>
      <c r="NXU89" s="21"/>
      <c r="NXV89" s="21"/>
      <c r="NXW89" s="21"/>
      <c r="NXX89" s="21"/>
      <c r="NXY89" s="21"/>
      <c r="NXZ89" s="21"/>
      <c r="NYA89" s="21"/>
      <c r="NYB89" s="21"/>
      <c r="NYC89" s="21"/>
      <c r="NYD89" s="21"/>
      <c r="NYE89" s="21"/>
      <c r="NYF89" s="21"/>
      <c r="NYG89" s="21"/>
      <c r="NYH89" s="21"/>
      <c r="NYI89" s="21"/>
      <c r="NYJ89" s="21"/>
      <c r="NYK89" s="21"/>
      <c r="NYL89" s="21"/>
      <c r="NYM89" s="21"/>
      <c r="NYN89" s="21"/>
      <c r="NYO89" s="21"/>
      <c r="NYP89" s="21"/>
      <c r="NYQ89" s="21"/>
      <c r="NYR89" s="21"/>
      <c r="NYS89" s="21"/>
      <c r="NYT89" s="21"/>
      <c r="NYU89" s="21"/>
      <c r="NYV89" s="21"/>
      <c r="NYW89" s="21"/>
      <c r="NYX89" s="21"/>
      <c r="NYY89" s="21"/>
      <c r="NYZ89" s="21"/>
      <c r="NZA89" s="21"/>
      <c r="NZB89" s="21"/>
      <c r="NZC89" s="21"/>
      <c r="NZD89" s="21"/>
      <c r="NZE89" s="21"/>
      <c r="NZF89" s="21"/>
      <c r="NZG89" s="21"/>
      <c r="NZH89" s="21"/>
      <c r="NZI89" s="21"/>
      <c r="NZJ89" s="21"/>
      <c r="NZK89" s="21"/>
      <c r="NZL89" s="21"/>
      <c r="NZM89" s="21"/>
      <c r="NZN89" s="21"/>
      <c r="NZO89" s="21"/>
      <c r="NZP89" s="21"/>
      <c r="NZQ89" s="21"/>
      <c r="NZR89" s="21"/>
      <c r="NZS89" s="21"/>
      <c r="NZT89" s="21"/>
      <c r="NZU89" s="21"/>
      <c r="NZV89" s="21"/>
      <c r="NZW89" s="21"/>
      <c r="NZX89" s="21"/>
      <c r="NZY89" s="21"/>
      <c r="NZZ89" s="21"/>
      <c r="OAA89" s="21"/>
      <c r="OAB89" s="21"/>
      <c r="OAC89" s="21"/>
      <c r="OAD89" s="21"/>
      <c r="OAE89" s="21"/>
      <c r="OAF89" s="21"/>
      <c r="OAG89" s="21"/>
      <c r="OAH89" s="21"/>
      <c r="OAI89" s="21"/>
      <c r="OAJ89" s="21"/>
      <c r="OAK89" s="21"/>
      <c r="OAL89" s="21"/>
      <c r="OAM89" s="21"/>
      <c r="OAN89" s="21"/>
      <c r="OAO89" s="21"/>
      <c r="OAP89" s="21"/>
      <c r="OAQ89" s="21"/>
      <c r="OAR89" s="21"/>
      <c r="OAS89" s="21"/>
      <c r="OAT89" s="21"/>
      <c r="OAU89" s="21"/>
      <c r="OAV89" s="21"/>
      <c r="OAW89" s="21"/>
      <c r="OAX89" s="21"/>
      <c r="OAY89" s="21"/>
      <c r="OAZ89" s="21"/>
      <c r="OBA89" s="21"/>
      <c r="OBB89" s="21"/>
      <c r="OBC89" s="21"/>
      <c r="OBD89" s="21"/>
      <c r="OBE89" s="21"/>
      <c r="OBF89" s="21"/>
      <c r="OBG89" s="21"/>
      <c r="OBH89" s="21"/>
      <c r="OBI89" s="21"/>
      <c r="OBJ89" s="21"/>
      <c r="OBK89" s="21"/>
      <c r="OBL89" s="21"/>
      <c r="OBM89" s="21"/>
      <c r="OBN89" s="21"/>
      <c r="OBO89" s="21"/>
      <c r="OBP89" s="21"/>
      <c r="OBQ89" s="21"/>
      <c r="OBR89" s="21"/>
      <c r="OBS89" s="21"/>
      <c r="OBT89" s="21"/>
      <c r="OBU89" s="21"/>
      <c r="OBV89" s="21"/>
      <c r="OBW89" s="21"/>
      <c r="OBX89" s="21"/>
      <c r="OBY89" s="21"/>
      <c r="OBZ89" s="21"/>
      <c r="OCA89" s="21"/>
      <c r="OCB89" s="21"/>
      <c r="OCC89" s="21"/>
      <c r="OCD89" s="21"/>
      <c r="OCE89" s="21"/>
      <c r="OCF89" s="21"/>
      <c r="OCG89" s="21"/>
      <c r="OCH89" s="21"/>
      <c r="OCI89" s="21"/>
      <c r="OCJ89" s="21"/>
      <c r="OCK89" s="21"/>
      <c r="OCL89" s="21"/>
      <c r="OCM89" s="21"/>
      <c r="OCN89" s="21"/>
      <c r="OCO89" s="21"/>
      <c r="OCP89" s="21"/>
      <c r="OCQ89" s="21"/>
      <c r="OCR89" s="21"/>
      <c r="OCS89" s="21"/>
      <c r="OCT89" s="21"/>
      <c r="OCU89" s="21"/>
      <c r="OCV89" s="21"/>
      <c r="OCW89" s="21"/>
      <c r="OCX89" s="21"/>
      <c r="OCY89" s="21"/>
      <c r="OCZ89" s="21"/>
      <c r="ODA89" s="21"/>
      <c r="ODB89" s="21"/>
      <c r="ODC89" s="21"/>
      <c r="ODD89" s="21"/>
      <c r="ODE89" s="21"/>
      <c r="ODF89" s="21"/>
      <c r="ODG89" s="21"/>
      <c r="ODH89" s="21"/>
      <c r="ODI89" s="21"/>
      <c r="ODJ89" s="21"/>
      <c r="ODK89" s="21"/>
      <c r="ODL89" s="21"/>
      <c r="ODM89" s="21"/>
      <c r="ODN89" s="21"/>
      <c r="ODO89" s="21"/>
      <c r="ODP89" s="21"/>
      <c r="ODQ89" s="21"/>
      <c r="ODR89" s="21"/>
      <c r="ODS89" s="21"/>
      <c r="ODT89" s="21"/>
      <c r="ODU89" s="21"/>
      <c r="ODV89" s="21"/>
      <c r="ODW89" s="21"/>
      <c r="ODX89" s="21"/>
      <c r="ODY89" s="21"/>
      <c r="ODZ89" s="21"/>
      <c r="OEA89" s="21"/>
      <c r="OEB89" s="21"/>
      <c r="OEC89" s="21"/>
      <c r="OED89" s="21"/>
      <c r="OEE89" s="21"/>
      <c r="OEF89" s="21"/>
      <c r="OEG89" s="21"/>
      <c r="OEH89" s="21"/>
      <c r="OEI89" s="21"/>
      <c r="OEJ89" s="21"/>
      <c r="OEK89" s="21"/>
      <c r="OEL89" s="21"/>
      <c r="OEM89" s="21"/>
      <c r="OEN89" s="21"/>
      <c r="OEO89" s="21"/>
      <c r="OEP89" s="21"/>
      <c r="OEQ89" s="21"/>
      <c r="OER89" s="21"/>
      <c r="OES89" s="21"/>
      <c r="OET89" s="21"/>
      <c r="OEU89" s="21"/>
      <c r="OEV89" s="21"/>
      <c r="OEW89" s="21"/>
      <c r="OEX89" s="21"/>
      <c r="OEY89" s="21"/>
      <c r="OEZ89" s="21"/>
      <c r="OFA89" s="21"/>
      <c r="OFB89" s="21"/>
      <c r="OFC89" s="21"/>
      <c r="OFD89" s="21"/>
      <c r="OFE89" s="21"/>
      <c r="OFF89" s="21"/>
      <c r="OFG89" s="21"/>
      <c r="OFH89" s="21"/>
      <c r="OFI89" s="21"/>
      <c r="OFJ89" s="21"/>
      <c r="OFK89" s="21"/>
      <c r="OFL89" s="21"/>
      <c r="OFM89" s="21"/>
      <c r="OFN89" s="21"/>
      <c r="OFO89" s="21"/>
      <c r="OFP89" s="21"/>
      <c r="OFQ89" s="21"/>
      <c r="OFR89" s="21"/>
      <c r="OFS89" s="21"/>
      <c r="OFT89" s="21"/>
      <c r="OFU89" s="21"/>
      <c r="OFV89" s="21"/>
      <c r="OFW89" s="21"/>
      <c r="OFX89" s="21"/>
      <c r="OFY89" s="21"/>
      <c r="OFZ89" s="21"/>
      <c r="OGA89" s="21"/>
      <c r="OGB89" s="21"/>
      <c r="OGC89" s="21"/>
      <c r="OGD89" s="21"/>
      <c r="OGE89" s="21"/>
      <c r="OGF89" s="21"/>
      <c r="OGG89" s="21"/>
      <c r="OGH89" s="21"/>
      <c r="OGI89" s="21"/>
      <c r="OGJ89" s="21"/>
      <c r="OGK89" s="21"/>
      <c r="OGL89" s="21"/>
      <c r="OGM89" s="21"/>
      <c r="OGN89" s="21"/>
      <c r="OGO89" s="21"/>
      <c r="OGP89" s="21"/>
      <c r="OGQ89" s="21"/>
      <c r="OGR89" s="21"/>
      <c r="OGS89" s="21"/>
      <c r="OGT89" s="21"/>
      <c r="OGU89" s="21"/>
      <c r="OGV89" s="21"/>
      <c r="OGW89" s="21"/>
      <c r="OGX89" s="21"/>
      <c r="OGY89" s="21"/>
      <c r="OGZ89" s="21"/>
      <c r="OHA89" s="21"/>
      <c r="OHB89" s="21"/>
      <c r="OHC89" s="21"/>
      <c r="OHD89" s="21"/>
      <c r="OHE89" s="21"/>
      <c r="OHF89" s="21"/>
      <c r="OHG89" s="21"/>
      <c r="OHH89" s="21"/>
      <c r="OHI89" s="21"/>
      <c r="OHJ89" s="21"/>
      <c r="OHK89" s="21"/>
      <c r="OHL89" s="21"/>
      <c r="OHM89" s="21"/>
      <c r="OHN89" s="21"/>
      <c r="OHO89" s="21"/>
      <c r="OHP89" s="21"/>
      <c r="OHQ89" s="21"/>
      <c r="OHR89" s="21"/>
      <c r="OHS89" s="21"/>
      <c r="OHT89" s="21"/>
      <c r="OHU89" s="21"/>
      <c r="OHV89" s="21"/>
      <c r="OHW89" s="21"/>
      <c r="OHX89" s="21"/>
      <c r="OHY89" s="21"/>
      <c r="OHZ89" s="21"/>
      <c r="OIA89" s="21"/>
      <c r="OIB89" s="21"/>
      <c r="OIC89" s="21"/>
      <c r="OID89" s="21"/>
      <c r="OIE89" s="21"/>
      <c r="OIF89" s="21"/>
      <c r="OIG89" s="21"/>
      <c r="OIH89" s="21"/>
      <c r="OII89" s="21"/>
      <c r="OIJ89" s="21"/>
      <c r="OIK89" s="21"/>
      <c r="OIL89" s="21"/>
      <c r="OIM89" s="21"/>
      <c r="OIN89" s="21"/>
      <c r="OIO89" s="21"/>
      <c r="OIP89" s="21"/>
      <c r="OIQ89" s="21"/>
      <c r="OIR89" s="21"/>
      <c r="OIS89" s="21"/>
      <c r="OIT89" s="21"/>
      <c r="OIU89" s="21"/>
      <c r="OIV89" s="21"/>
      <c r="OIW89" s="21"/>
      <c r="OIX89" s="21"/>
      <c r="OIY89" s="21"/>
      <c r="OIZ89" s="21"/>
      <c r="OJA89" s="21"/>
      <c r="OJB89" s="21"/>
      <c r="OJC89" s="21"/>
      <c r="OJD89" s="21"/>
      <c r="OJE89" s="21"/>
      <c r="OJF89" s="21"/>
      <c r="OJG89" s="21"/>
      <c r="OJH89" s="21"/>
      <c r="OJI89" s="21"/>
      <c r="OJJ89" s="21"/>
      <c r="OJK89" s="21"/>
      <c r="OJL89" s="21"/>
      <c r="OJM89" s="21"/>
      <c r="OJN89" s="21"/>
      <c r="OJO89" s="21"/>
      <c r="OJP89" s="21"/>
      <c r="OJQ89" s="21"/>
      <c r="OJR89" s="21"/>
      <c r="OJS89" s="21"/>
      <c r="OJT89" s="21"/>
      <c r="OJU89" s="21"/>
      <c r="OJV89" s="21"/>
      <c r="OJW89" s="21"/>
      <c r="OJX89" s="21"/>
      <c r="OJY89" s="21"/>
      <c r="OJZ89" s="21"/>
      <c r="OKA89" s="21"/>
      <c r="OKB89" s="21"/>
      <c r="OKC89" s="21"/>
      <c r="OKD89" s="21"/>
      <c r="OKE89" s="21"/>
      <c r="OKF89" s="21"/>
      <c r="OKG89" s="21"/>
      <c r="OKH89" s="21"/>
      <c r="OKI89" s="21"/>
      <c r="OKJ89" s="21"/>
      <c r="OKK89" s="21"/>
      <c r="OKL89" s="21"/>
      <c r="OKM89" s="21"/>
      <c r="OKN89" s="21"/>
      <c r="OKO89" s="21"/>
      <c r="OKP89" s="21"/>
      <c r="OKQ89" s="21"/>
      <c r="OKR89" s="21"/>
      <c r="OKS89" s="21"/>
      <c r="OKT89" s="21"/>
      <c r="OKU89" s="21"/>
      <c r="OKV89" s="21"/>
      <c r="OKW89" s="21"/>
      <c r="OKX89" s="21"/>
      <c r="OKY89" s="21"/>
      <c r="OKZ89" s="21"/>
      <c r="OLA89" s="21"/>
      <c r="OLB89" s="21"/>
      <c r="OLC89" s="21"/>
      <c r="OLD89" s="21"/>
      <c r="OLE89" s="21"/>
      <c r="OLF89" s="21"/>
      <c r="OLG89" s="21"/>
      <c r="OLH89" s="21"/>
      <c r="OLI89" s="21"/>
      <c r="OLJ89" s="21"/>
      <c r="OLK89" s="21"/>
      <c r="OLL89" s="21"/>
      <c r="OLM89" s="21"/>
      <c r="OLN89" s="21"/>
      <c r="OLO89" s="21"/>
      <c r="OLP89" s="21"/>
      <c r="OLQ89" s="21"/>
      <c r="OLR89" s="21"/>
      <c r="OLS89" s="21"/>
      <c r="OLT89" s="21"/>
      <c r="OLU89" s="21"/>
      <c r="OLV89" s="21"/>
      <c r="OLW89" s="21"/>
      <c r="OLX89" s="21"/>
      <c r="OLY89" s="21"/>
      <c r="OLZ89" s="21"/>
      <c r="OMA89" s="21"/>
      <c r="OMB89" s="21"/>
      <c r="OMC89" s="21"/>
      <c r="OMD89" s="21"/>
      <c r="OME89" s="21"/>
      <c r="OMF89" s="21"/>
      <c r="OMG89" s="21"/>
      <c r="OMH89" s="21"/>
      <c r="OMI89" s="21"/>
      <c r="OMJ89" s="21"/>
      <c r="OMK89" s="21"/>
      <c r="OML89" s="21"/>
      <c r="OMM89" s="21"/>
      <c r="OMN89" s="21"/>
      <c r="OMO89" s="21"/>
      <c r="OMP89" s="21"/>
      <c r="OMQ89" s="21"/>
      <c r="OMR89" s="21"/>
      <c r="OMS89" s="21"/>
      <c r="OMT89" s="21"/>
      <c r="OMU89" s="21"/>
      <c r="OMV89" s="21"/>
      <c r="OMW89" s="21"/>
      <c r="OMX89" s="21"/>
      <c r="OMY89" s="21"/>
      <c r="OMZ89" s="21"/>
      <c r="ONA89" s="21"/>
      <c r="ONB89" s="21"/>
      <c r="ONC89" s="21"/>
      <c r="OND89" s="21"/>
      <c r="ONE89" s="21"/>
      <c r="ONF89" s="21"/>
      <c r="ONG89" s="21"/>
      <c r="ONH89" s="21"/>
      <c r="ONI89" s="21"/>
      <c r="ONJ89" s="21"/>
      <c r="ONK89" s="21"/>
      <c r="ONL89" s="21"/>
      <c r="ONM89" s="21"/>
      <c r="ONN89" s="21"/>
      <c r="ONO89" s="21"/>
      <c r="ONP89" s="21"/>
      <c r="ONQ89" s="21"/>
      <c r="ONR89" s="21"/>
      <c r="ONS89" s="21"/>
      <c r="ONT89" s="21"/>
      <c r="ONU89" s="21"/>
      <c r="ONV89" s="21"/>
      <c r="ONW89" s="21"/>
      <c r="ONX89" s="21"/>
      <c r="ONY89" s="21"/>
      <c r="ONZ89" s="21"/>
      <c r="OOA89" s="21"/>
      <c r="OOB89" s="21"/>
      <c r="OOC89" s="21"/>
      <c r="OOD89" s="21"/>
      <c r="OOE89" s="21"/>
      <c r="OOF89" s="21"/>
      <c r="OOG89" s="21"/>
      <c r="OOH89" s="21"/>
      <c r="OOI89" s="21"/>
      <c r="OOJ89" s="21"/>
      <c r="OOK89" s="21"/>
      <c r="OOL89" s="21"/>
      <c r="OOM89" s="21"/>
      <c r="OON89" s="21"/>
      <c r="OOO89" s="21"/>
      <c r="OOP89" s="21"/>
      <c r="OOQ89" s="21"/>
      <c r="OOR89" s="21"/>
      <c r="OOS89" s="21"/>
      <c r="OOT89" s="21"/>
      <c r="OOU89" s="21"/>
      <c r="OOV89" s="21"/>
      <c r="OOW89" s="21"/>
      <c r="OOX89" s="21"/>
      <c r="OOY89" s="21"/>
      <c r="OOZ89" s="21"/>
      <c r="OPA89" s="21"/>
      <c r="OPB89" s="21"/>
      <c r="OPC89" s="21"/>
      <c r="OPD89" s="21"/>
      <c r="OPE89" s="21"/>
      <c r="OPF89" s="21"/>
      <c r="OPG89" s="21"/>
      <c r="OPH89" s="21"/>
      <c r="OPI89" s="21"/>
      <c r="OPJ89" s="21"/>
      <c r="OPK89" s="21"/>
      <c r="OPL89" s="21"/>
      <c r="OPM89" s="21"/>
      <c r="OPN89" s="21"/>
      <c r="OPO89" s="21"/>
      <c r="OPP89" s="21"/>
      <c r="OPQ89" s="21"/>
      <c r="OPR89" s="21"/>
      <c r="OPS89" s="21"/>
      <c r="OPT89" s="21"/>
      <c r="OPU89" s="21"/>
      <c r="OPV89" s="21"/>
      <c r="OPW89" s="21"/>
      <c r="OPX89" s="21"/>
      <c r="OPY89" s="21"/>
      <c r="OPZ89" s="21"/>
      <c r="OQA89" s="21"/>
      <c r="OQB89" s="21"/>
      <c r="OQC89" s="21"/>
      <c r="OQD89" s="21"/>
      <c r="OQE89" s="21"/>
      <c r="OQF89" s="21"/>
      <c r="OQG89" s="21"/>
      <c r="OQH89" s="21"/>
      <c r="OQI89" s="21"/>
      <c r="OQJ89" s="21"/>
      <c r="OQK89" s="21"/>
      <c r="OQL89" s="21"/>
      <c r="OQM89" s="21"/>
      <c r="OQN89" s="21"/>
      <c r="OQO89" s="21"/>
      <c r="OQP89" s="21"/>
      <c r="OQQ89" s="21"/>
      <c r="OQR89" s="21"/>
      <c r="OQS89" s="21"/>
      <c r="OQT89" s="21"/>
      <c r="OQU89" s="21"/>
      <c r="OQV89" s="21"/>
      <c r="OQW89" s="21"/>
      <c r="OQX89" s="21"/>
      <c r="OQY89" s="21"/>
      <c r="OQZ89" s="21"/>
      <c r="ORA89" s="21"/>
      <c r="ORB89" s="21"/>
      <c r="ORC89" s="21"/>
      <c r="ORD89" s="21"/>
      <c r="ORE89" s="21"/>
      <c r="ORF89" s="21"/>
      <c r="ORG89" s="21"/>
      <c r="ORH89" s="21"/>
      <c r="ORI89" s="21"/>
      <c r="ORJ89" s="21"/>
      <c r="ORK89" s="21"/>
      <c r="ORL89" s="21"/>
      <c r="ORM89" s="21"/>
      <c r="ORN89" s="21"/>
      <c r="ORO89" s="21"/>
      <c r="ORP89" s="21"/>
      <c r="ORQ89" s="21"/>
      <c r="ORR89" s="21"/>
      <c r="ORS89" s="21"/>
      <c r="ORT89" s="21"/>
      <c r="ORU89" s="21"/>
      <c r="ORV89" s="21"/>
      <c r="ORW89" s="21"/>
      <c r="ORX89" s="21"/>
      <c r="ORY89" s="21"/>
      <c r="ORZ89" s="21"/>
      <c r="OSA89" s="21"/>
      <c r="OSB89" s="21"/>
      <c r="OSC89" s="21"/>
      <c r="OSD89" s="21"/>
      <c r="OSE89" s="21"/>
      <c r="OSF89" s="21"/>
      <c r="OSG89" s="21"/>
      <c r="OSH89" s="21"/>
      <c r="OSI89" s="21"/>
      <c r="OSJ89" s="21"/>
      <c r="OSK89" s="21"/>
      <c r="OSL89" s="21"/>
      <c r="OSM89" s="21"/>
      <c r="OSN89" s="21"/>
      <c r="OSO89" s="21"/>
      <c r="OSP89" s="21"/>
      <c r="OSQ89" s="21"/>
      <c r="OSR89" s="21"/>
      <c r="OSS89" s="21"/>
      <c r="OST89" s="21"/>
      <c r="OSU89" s="21"/>
      <c r="OSV89" s="21"/>
      <c r="OSW89" s="21"/>
      <c r="OSX89" s="21"/>
      <c r="OSY89" s="21"/>
      <c r="OSZ89" s="21"/>
      <c r="OTA89" s="21"/>
      <c r="OTB89" s="21"/>
      <c r="OTC89" s="21"/>
      <c r="OTD89" s="21"/>
      <c r="OTE89" s="21"/>
      <c r="OTF89" s="21"/>
      <c r="OTG89" s="21"/>
      <c r="OTH89" s="21"/>
      <c r="OTI89" s="21"/>
      <c r="OTJ89" s="21"/>
      <c r="OTK89" s="21"/>
      <c r="OTL89" s="21"/>
      <c r="OTM89" s="21"/>
      <c r="OTN89" s="21"/>
      <c r="OTO89" s="21"/>
      <c r="OTP89" s="21"/>
      <c r="OTQ89" s="21"/>
      <c r="OTR89" s="21"/>
      <c r="OTS89" s="21"/>
      <c r="OTT89" s="21"/>
      <c r="OTU89" s="21"/>
      <c r="OTV89" s="21"/>
      <c r="OTW89" s="21"/>
      <c r="OTX89" s="21"/>
      <c r="OTY89" s="21"/>
      <c r="OTZ89" s="21"/>
      <c r="OUA89" s="21"/>
      <c r="OUB89" s="21"/>
      <c r="OUC89" s="21"/>
      <c r="OUD89" s="21"/>
      <c r="OUE89" s="21"/>
      <c r="OUF89" s="21"/>
      <c r="OUG89" s="21"/>
      <c r="OUH89" s="21"/>
      <c r="OUI89" s="21"/>
      <c r="OUJ89" s="21"/>
      <c r="OUK89" s="21"/>
      <c r="OUL89" s="21"/>
      <c r="OUM89" s="21"/>
      <c r="OUN89" s="21"/>
      <c r="OUO89" s="21"/>
      <c r="OUP89" s="21"/>
      <c r="OUQ89" s="21"/>
      <c r="OUR89" s="21"/>
      <c r="OUS89" s="21"/>
      <c r="OUT89" s="21"/>
      <c r="OUU89" s="21"/>
      <c r="OUV89" s="21"/>
      <c r="OUW89" s="21"/>
      <c r="OUX89" s="21"/>
      <c r="OUY89" s="21"/>
      <c r="OUZ89" s="21"/>
      <c r="OVA89" s="21"/>
      <c r="OVB89" s="21"/>
      <c r="OVC89" s="21"/>
      <c r="OVD89" s="21"/>
      <c r="OVE89" s="21"/>
      <c r="OVF89" s="21"/>
      <c r="OVG89" s="21"/>
      <c r="OVH89" s="21"/>
      <c r="OVI89" s="21"/>
      <c r="OVJ89" s="21"/>
      <c r="OVK89" s="21"/>
      <c r="OVL89" s="21"/>
      <c r="OVM89" s="21"/>
      <c r="OVN89" s="21"/>
      <c r="OVO89" s="21"/>
      <c r="OVP89" s="21"/>
      <c r="OVQ89" s="21"/>
      <c r="OVR89" s="21"/>
      <c r="OVS89" s="21"/>
      <c r="OVT89" s="21"/>
      <c r="OVU89" s="21"/>
      <c r="OVV89" s="21"/>
      <c r="OVW89" s="21"/>
      <c r="OVX89" s="21"/>
      <c r="OVY89" s="21"/>
      <c r="OVZ89" s="21"/>
      <c r="OWA89" s="21"/>
      <c r="OWB89" s="21"/>
      <c r="OWC89" s="21"/>
      <c r="OWD89" s="21"/>
      <c r="OWE89" s="21"/>
      <c r="OWF89" s="21"/>
      <c r="OWG89" s="21"/>
      <c r="OWH89" s="21"/>
      <c r="OWI89" s="21"/>
      <c r="OWJ89" s="21"/>
      <c r="OWK89" s="21"/>
      <c r="OWL89" s="21"/>
      <c r="OWM89" s="21"/>
      <c r="OWN89" s="21"/>
      <c r="OWO89" s="21"/>
      <c r="OWP89" s="21"/>
      <c r="OWQ89" s="21"/>
      <c r="OWR89" s="21"/>
      <c r="OWS89" s="21"/>
      <c r="OWT89" s="21"/>
      <c r="OWU89" s="21"/>
      <c r="OWV89" s="21"/>
      <c r="OWW89" s="21"/>
      <c r="OWX89" s="21"/>
      <c r="OWY89" s="21"/>
      <c r="OWZ89" s="21"/>
      <c r="OXA89" s="21"/>
      <c r="OXB89" s="21"/>
      <c r="OXC89" s="21"/>
      <c r="OXD89" s="21"/>
      <c r="OXE89" s="21"/>
      <c r="OXF89" s="21"/>
      <c r="OXG89" s="21"/>
      <c r="OXH89" s="21"/>
      <c r="OXI89" s="21"/>
      <c r="OXJ89" s="21"/>
      <c r="OXK89" s="21"/>
      <c r="OXL89" s="21"/>
      <c r="OXM89" s="21"/>
      <c r="OXN89" s="21"/>
      <c r="OXO89" s="21"/>
      <c r="OXP89" s="21"/>
      <c r="OXQ89" s="21"/>
      <c r="OXR89" s="21"/>
      <c r="OXS89" s="21"/>
      <c r="OXT89" s="21"/>
      <c r="OXU89" s="21"/>
      <c r="OXV89" s="21"/>
      <c r="OXW89" s="21"/>
      <c r="OXX89" s="21"/>
      <c r="OXY89" s="21"/>
      <c r="OXZ89" s="21"/>
      <c r="OYA89" s="21"/>
      <c r="OYB89" s="21"/>
      <c r="OYC89" s="21"/>
      <c r="OYD89" s="21"/>
      <c r="OYE89" s="21"/>
      <c r="OYF89" s="21"/>
      <c r="OYG89" s="21"/>
      <c r="OYH89" s="21"/>
      <c r="OYI89" s="21"/>
      <c r="OYJ89" s="21"/>
      <c r="OYK89" s="21"/>
      <c r="OYL89" s="21"/>
      <c r="OYM89" s="21"/>
      <c r="OYN89" s="21"/>
      <c r="OYO89" s="21"/>
      <c r="OYP89" s="21"/>
      <c r="OYQ89" s="21"/>
      <c r="OYR89" s="21"/>
      <c r="OYS89" s="21"/>
      <c r="OYT89" s="21"/>
      <c r="OYU89" s="21"/>
      <c r="OYV89" s="21"/>
      <c r="OYW89" s="21"/>
      <c r="OYX89" s="21"/>
      <c r="OYY89" s="21"/>
      <c r="OYZ89" s="21"/>
      <c r="OZA89" s="21"/>
      <c r="OZB89" s="21"/>
      <c r="OZC89" s="21"/>
      <c r="OZD89" s="21"/>
      <c r="OZE89" s="21"/>
      <c r="OZF89" s="21"/>
      <c r="OZG89" s="21"/>
      <c r="OZH89" s="21"/>
      <c r="OZI89" s="21"/>
      <c r="OZJ89" s="21"/>
      <c r="OZK89" s="21"/>
      <c r="OZL89" s="21"/>
      <c r="OZM89" s="21"/>
      <c r="OZN89" s="21"/>
      <c r="OZO89" s="21"/>
      <c r="OZP89" s="21"/>
      <c r="OZQ89" s="21"/>
      <c r="OZR89" s="21"/>
      <c r="OZS89" s="21"/>
      <c r="OZT89" s="21"/>
      <c r="OZU89" s="21"/>
      <c r="OZV89" s="21"/>
      <c r="OZW89" s="21"/>
      <c r="OZX89" s="21"/>
      <c r="OZY89" s="21"/>
      <c r="OZZ89" s="21"/>
      <c r="PAA89" s="21"/>
      <c r="PAB89" s="21"/>
      <c r="PAC89" s="21"/>
      <c r="PAD89" s="21"/>
      <c r="PAE89" s="21"/>
      <c r="PAF89" s="21"/>
      <c r="PAG89" s="21"/>
      <c r="PAH89" s="21"/>
      <c r="PAI89" s="21"/>
      <c r="PAJ89" s="21"/>
      <c r="PAK89" s="21"/>
      <c r="PAL89" s="21"/>
      <c r="PAM89" s="21"/>
      <c r="PAN89" s="21"/>
      <c r="PAO89" s="21"/>
      <c r="PAP89" s="21"/>
      <c r="PAQ89" s="21"/>
      <c r="PAR89" s="21"/>
      <c r="PAS89" s="21"/>
      <c r="PAT89" s="21"/>
      <c r="PAU89" s="21"/>
      <c r="PAV89" s="21"/>
      <c r="PAW89" s="21"/>
      <c r="PAX89" s="21"/>
      <c r="PAY89" s="21"/>
      <c r="PAZ89" s="21"/>
      <c r="PBA89" s="21"/>
      <c r="PBB89" s="21"/>
      <c r="PBC89" s="21"/>
      <c r="PBD89" s="21"/>
      <c r="PBE89" s="21"/>
      <c r="PBF89" s="21"/>
      <c r="PBG89" s="21"/>
      <c r="PBH89" s="21"/>
      <c r="PBI89" s="21"/>
      <c r="PBJ89" s="21"/>
      <c r="PBK89" s="21"/>
      <c r="PBL89" s="21"/>
      <c r="PBM89" s="21"/>
      <c r="PBN89" s="21"/>
      <c r="PBO89" s="21"/>
      <c r="PBP89" s="21"/>
      <c r="PBQ89" s="21"/>
      <c r="PBR89" s="21"/>
      <c r="PBS89" s="21"/>
      <c r="PBT89" s="21"/>
      <c r="PBU89" s="21"/>
      <c r="PBV89" s="21"/>
      <c r="PBW89" s="21"/>
      <c r="PBX89" s="21"/>
      <c r="PBY89" s="21"/>
      <c r="PBZ89" s="21"/>
      <c r="PCA89" s="21"/>
      <c r="PCB89" s="21"/>
      <c r="PCC89" s="21"/>
      <c r="PCD89" s="21"/>
      <c r="PCE89" s="21"/>
      <c r="PCF89" s="21"/>
      <c r="PCG89" s="21"/>
      <c r="PCH89" s="21"/>
      <c r="PCI89" s="21"/>
      <c r="PCJ89" s="21"/>
      <c r="PCK89" s="21"/>
      <c r="PCL89" s="21"/>
      <c r="PCM89" s="21"/>
      <c r="PCN89" s="21"/>
      <c r="PCO89" s="21"/>
      <c r="PCP89" s="21"/>
      <c r="PCQ89" s="21"/>
      <c r="PCR89" s="21"/>
      <c r="PCS89" s="21"/>
      <c r="PCT89" s="21"/>
      <c r="PCU89" s="21"/>
      <c r="PCV89" s="21"/>
      <c r="PCW89" s="21"/>
      <c r="PCX89" s="21"/>
      <c r="PCY89" s="21"/>
      <c r="PCZ89" s="21"/>
      <c r="PDA89" s="21"/>
      <c r="PDB89" s="21"/>
      <c r="PDC89" s="21"/>
      <c r="PDD89" s="21"/>
      <c r="PDE89" s="21"/>
      <c r="PDF89" s="21"/>
      <c r="PDG89" s="21"/>
      <c r="PDH89" s="21"/>
      <c r="PDI89" s="21"/>
      <c r="PDJ89" s="21"/>
      <c r="PDK89" s="21"/>
      <c r="PDL89" s="21"/>
      <c r="PDM89" s="21"/>
      <c r="PDN89" s="21"/>
      <c r="PDO89" s="21"/>
      <c r="PDP89" s="21"/>
      <c r="PDQ89" s="21"/>
      <c r="PDR89" s="21"/>
      <c r="PDS89" s="21"/>
      <c r="PDT89" s="21"/>
      <c r="PDU89" s="21"/>
      <c r="PDV89" s="21"/>
      <c r="PDW89" s="21"/>
      <c r="PDX89" s="21"/>
      <c r="PDY89" s="21"/>
      <c r="PDZ89" s="21"/>
      <c r="PEA89" s="21"/>
      <c r="PEB89" s="21"/>
      <c r="PEC89" s="21"/>
      <c r="PED89" s="21"/>
      <c r="PEE89" s="21"/>
      <c r="PEF89" s="21"/>
      <c r="PEG89" s="21"/>
      <c r="PEH89" s="21"/>
      <c r="PEI89" s="21"/>
      <c r="PEJ89" s="21"/>
      <c r="PEK89" s="21"/>
      <c r="PEL89" s="21"/>
      <c r="PEM89" s="21"/>
      <c r="PEN89" s="21"/>
      <c r="PEO89" s="21"/>
      <c r="PEP89" s="21"/>
      <c r="PEQ89" s="21"/>
      <c r="PER89" s="21"/>
      <c r="PES89" s="21"/>
      <c r="PET89" s="21"/>
      <c r="PEU89" s="21"/>
      <c r="PEV89" s="21"/>
      <c r="PEW89" s="21"/>
      <c r="PEX89" s="21"/>
      <c r="PEY89" s="21"/>
      <c r="PEZ89" s="21"/>
      <c r="PFA89" s="21"/>
      <c r="PFB89" s="21"/>
      <c r="PFC89" s="21"/>
      <c r="PFD89" s="21"/>
      <c r="PFE89" s="21"/>
      <c r="PFF89" s="21"/>
      <c r="PFG89" s="21"/>
      <c r="PFH89" s="21"/>
      <c r="PFI89" s="21"/>
      <c r="PFJ89" s="21"/>
      <c r="PFK89" s="21"/>
      <c r="PFL89" s="21"/>
      <c r="PFM89" s="21"/>
      <c r="PFN89" s="21"/>
      <c r="PFO89" s="21"/>
      <c r="PFP89" s="21"/>
      <c r="PFQ89" s="21"/>
      <c r="PFR89" s="21"/>
      <c r="PFS89" s="21"/>
      <c r="PFT89" s="21"/>
      <c r="PFU89" s="21"/>
      <c r="PFV89" s="21"/>
      <c r="PFW89" s="21"/>
      <c r="PFX89" s="21"/>
      <c r="PFY89" s="21"/>
      <c r="PFZ89" s="21"/>
      <c r="PGA89" s="21"/>
      <c r="PGB89" s="21"/>
      <c r="PGC89" s="21"/>
      <c r="PGD89" s="21"/>
      <c r="PGE89" s="21"/>
      <c r="PGF89" s="21"/>
      <c r="PGG89" s="21"/>
      <c r="PGH89" s="21"/>
      <c r="PGI89" s="21"/>
      <c r="PGJ89" s="21"/>
      <c r="PGK89" s="21"/>
      <c r="PGL89" s="21"/>
      <c r="PGM89" s="21"/>
      <c r="PGN89" s="21"/>
      <c r="PGO89" s="21"/>
      <c r="PGP89" s="21"/>
      <c r="PGQ89" s="21"/>
      <c r="PGR89" s="21"/>
      <c r="PGS89" s="21"/>
      <c r="PGT89" s="21"/>
      <c r="PGU89" s="21"/>
      <c r="PGV89" s="21"/>
      <c r="PGW89" s="21"/>
      <c r="PGX89" s="21"/>
      <c r="PGY89" s="21"/>
      <c r="PGZ89" s="21"/>
      <c r="PHA89" s="21"/>
      <c r="PHB89" s="21"/>
      <c r="PHC89" s="21"/>
      <c r="PHD89" s="21"/>
      <c r="PHE89" s="21"/>
      <c r="PHF89" s="21"/>
      <c r="PHG89" s="21"/>
      <c r="PHH89" s="21"/>
      <c r="PHI89" s="21"/>
      <c r="PHJ89" s="21"/>
      <c r="PHK89" s="21"/>
      <c r="PHL89" s="21"/>
      <c r="PHM89" s="21"/>
      <c r="PHN89" s="21"/>
      <c r="PHO89" s="21"/>
      <c r="PHP89" s="21"/>
      <c r="PHQ89" s="21"/>
      <c r="PHR89" s="21"/>
      <c r="PHS89" s="21"/>
      <c r="PHT89" s="21"/>
      <c r="PHU89" s="21"/>
      <c r="PHV89" s="21"/>
      <c r="PHW89" s="21"/>
      <c r="PHX89" s="21"/>
      <c r="PHY89" s="21"/>
      <c r="PHZ89" s="21"/>
      <c r="PIA89" s="21"/>
      <c r="PIB89" s="21"/>
      <c r="PIC89" s="21"/>
      <c r="PID89" s="21"/>
      <c r="PIE89" s="21"/>
      <c r="PIF89" s="21"/>
      <c r="PIG89" s="21"/>
      <c r="PIH89" s="21"/>
      <c r="PII89" s="21"/>
      <c r="PIJ89" s="21"/>
      <c r="PIK89" s="21"/>
      <c r="PIL89" s="21"/>
      <c r="PIM89" s="21"/>
      <c r="PIN89" s="21"/>
      <c r="PIO89" s="21"/>
      <c r="PIP89" s="21"/>
      <c r="PIQ89" s="21"/>
      <c r="PIR89" s="21"/>
      <c r="PIS89" s="21"/>
      <c r="PIT89" s="21"/>
      <c r="PIU89" s="21"/>
      <c r="PIV89" s="21"/>
      <c r="PIW89" s="21"/>
      <c r="PIX89" s="21"/>
      <c r="PIY89" s="21"/>
      <c r="PIZ89" s="21"/>
      <c r="PJA89" s="21"/>
      <c r="PJB89" s="21"/>
      <c r="PJC89" s="21"/>
      <c r="PJD89" s="21"/>
      <c r="PJE89" s="21"/>
      <c r="PJF89" s="21"/>
      <c r="PJG89" s="21"/>
      <c r="PJH89" s="21"/>
      <c r="PJI89" s="21"/>
      <c r="PJJ89" s="21"/>
      <c r="PJK89" s="21"/>
      <c r="PJL89" s="21"/>
      <c r="PJM89" s="21"/>
      <c r="PJN89" s="21"/>
      <c r="PJO89" s="21"/>
      <c r="PJP89" s="21"/>
      <c r="PJQ89" s="21"/>
      <c r="PJR89" s="21"/>
      <c r="PJS89" s="21"/>
      <c r="PJT89" s="21"/>
      <c r="PJU89" s="21"/>
      <c r="PJV89" s="21"/>
      <c r="PJW89" s="21"/>
      <c r="PJX89" s="21"/>
      <c r="PJY89" s="21"/>
      <c r="PJZ89" s="21"/>
      <c r="PKA89" s="21"/>
      <c r="PKB89" s="21"/>
      <c r="PKC89" s="21"/>
      <c r="PKD89" s="21"/>
      <c r="PKE89" s="21"/>
      <c r="PKF89" s="21"/>
      <c r="PKG89" s="21"/>
      <c r="PKH89" s="21"/>
      <c r="PKI89" s="21"/>
      <c r="PKJ89" s="21"/>
      <c r="PKK89" s="21"/>
      <c r="PKL89" s="21"/>
      <c r="PKM89" s="21"/>
      <c r="PKN89" s="21"/>
      <c r="PKO89" s="21"/>
      <c r="PKP89" s="21"/>
      <c r="PKQ89" s="21"/>
      <c r="PKR89" s="21"/>
      <c r="PKS89" s="21"/>
      <c r="PKT89" s="21"/>
      <c r="PKU89" s="21"/>
      <c r="PKV89" s="21"/>
      <c r="PKW89" s="21"/>
      <c r="PKX89" s="21"/>
      <c r="PKY89" s="21"/>
      <c r="PKZ89" s="21"/>
      <c r="PLA89" s="21"/>
      <c r="PLB89" s="21"/>
      <c r="PLC89" s="21"/>
      <c r="PLD89" s="21"/>
      <c r="PLE89" s="21"/>
      <c r="PLF89" s="21"/>
      <c r="PLG89" s="21"/>
      <c r="PLH89" s="21"/>
      <c r="PLI89" s="21"/>
      <c r="PLJ89" s="21"/>
      <c r="PLK89" s="21"/>
      <c r="PLL89" s="21"/>
      <c r="PLM89" s="21"/>
      <c r="PLN89" s="21"/>
      <c r="PLO89" s="21"/>
      <c r="PLP89" s="21"/>
      <c r="PLQ89" s="21"/>
      <c r="PLR89" s="21"/>
      <c r="PLS89" s="21"/>
      <c r="PLT89" s="21"/>
      <c r="PLU89" s="21"/>
      <c r="PLV89" s="21"/>
      <c r="PLW89" s="21"/>
      <c r="PLX89" s="21"/>
      <c r="PLY89" s="21"/>
      <c r="PLZ89" s="21"/>
      <c r="PMA89" s="21"/>
      <c r="PMB89" s="21"/>
      <c r="PMC89" s="21"/>
      <c r="PMD89" s="21"/>
      <c r="PME89" s="21"/>
      <c r="PMF89" s="21"/>
      <c r="PMG89" s="21"/>
      <c r="PMH89" s="21"/>
      <c r="PMI89" s="21"/>
      <c r="PMJ89" s="21"/>
      <c r="PMK89" s="21"/>
      <c r="PML89" s="21"/>
      <c r="PMM89" s="21"/>
      <c r="PMN89" s="21"/>
      <c r="PMO89" s="21"/>
      <c r="PMP89" s="21"/>
      <c r="PMQ89" s="21"/>
      <c r="PMR89" s="21"/>
      <c r="PMS89" s="21"/>
      <c r="PMT89" s="21"/>
      <c r="PMU89" s="21"/>
      <c r="PMV89" s="21"/>
      <c r="PMW89" s="21"/>
      <c r="PMX89" s="21"/>
      <c r="PMY89" s="21"/>
      <c r="PMZ89" s="21"/>
      <c r="PNA89" s="21"/>
      <c r="PNB89" s="21"/>
      <c r="PNC89" s="21"/>
      <c r="PND89" s="21"/>
      <c r="PNE89" s="21"/>
      <c r="PNF89" s="21"/>
      <c r="PNG89" s="21"/>
      <c r="PNH89" s="21"/>
      <c r="PNI89" s="21"/>
      <c r="PNJ89" s="21"/>
      <c r="PNK89" s="21"/>
      <c r="PNL89" s="21"/>
      <c r="PNM89" s="21"/>
      <c r="PNN89" s="21"/>
      <c r="PNO89" s="21"/>
      <c r="PNP89" s="21"/>
      <c r="PNQ89" s="21"/>
      <c r="PNR89" s="21"/>
      <c r="PNS89" s="21"/>
      <c r="PNT89" s="21"/>
      <c r="PNU89" s="21"/>
      <c r="PNV89" s="21"/>
      <c r="PNW89" s="21"/>
      <c r="PNX89" s="21"/>
      <c r="PNY89" s="21"/>
      <c r="PNZ89" s="21"/>
      <c r="POA89" s="21"/>
      <c r="POB89" s="21"/>
      <c r="POC89" s="21"/>
      <c r="POD89" s="21"/>
      <c r="POE89" s="21"/>
      <c r="POF89" s="21"/>
      <c r="POG89" s="21"/>
      <c r="POH89" s="21"/>
      <c r="POI89" s="21"/>
      <c r="POJ89" s="21"/>
      <c r="POK89" s="21"/>
      <c r="POL89" s="21"/>
      <c r="POM89" s="21"/>
      <c r="PON89" s="21"/>
      <c r="POO89" s="21"/>
      <c r="POP89" s="21"/>
      <c r="POQ89" s="21"/>
      <c r="POR89" s="21"/>
      <c r="POS89" s="21"/>
      <c r="POT89" s="21"/>
      <c r="POU89" s="21"/>
      <c r="POV89" s="21"/>
      <c r="POW89" s="21"/>
      <c r="POX89" s="21"/>
      <c r="POY89" s="21"/>
      <c r="POZ89" s="21"/>
      <c r="PPA89" s="21"/>
      <c r="PPB89" s="21"/>
      <c r="PPC89" s="21"/>
      <c r="PPD89" s="21"/>
      <c r="PPE89" s="21"/>
      <c r="PPF89" s="21"/>
      <c r="PPG89" s="21"/>
      <c r="PPH89" s="21"/>
      <c r="PPI89" s="21"/>
      <c r="PPJ89" s="21"/>
      <c r="PPK89" s="21"/>
      <c r="PPL89" s="21"/>
      <c r="PPM89" s="21"/>
      <c r="PPN89" s="21"/>
      <c r="PPO89" s="21"/>
      <c r="PPP89" s="21"/>
      <c r="PPQ89" s="21"/>
      <c r="PPR89" s="21"/>
      <c r="PPS89" s="21"/>
      <c r="PPT89" s="21"/>
      <c r="PPU89" s="21"/>
      <c r="PPV89" s="21"/>
      <c r="PPW89" s="21"/>
      <c r="PPX89" s="21"/>
      <c r="PPY89" s="21"/>
      <c r="PPZ89" s="21"/>
      <c r="PQA89" s="21"/>
      <c r="PQB89" s="21"/>
      <c r="PQC89" s="21"/>
      <c r="PQD89" s="21"/>
      <c r="PQE89" s="21"/>
      <c r="PQF89" s="21"/>
      <c r="PQG89" s="21"/>
      <c r="PQH89" s="21"/>
      <c r="PQI89" s="21"/>
      <c r="PQJ89" s="21"/>
      <c r="PQK89" s="21"/>
      <c r="PQL89" s="21"/>
      <c r="PQM89" s="21"/>
      <c r="PQN89" s="21"/>
      <c r="PQO89" s="21"/>
      <c r="PQP89" s="21"/>
      <c r="PQQ89" s="21"/>
      <c r="PQR89" s="21"/>
      <c r="PQS89" s="21"/>
      <c r="PQT89" s="21"/>
      <c r="PQU89" s="21"/>
      <c r="PQV89" s="21"/>
      <c r="PQW89" s="21"/>
      <c r="PQX89" s="21"/>
      <c r="PQY89" s="21"/>
      <c r="PQZ89" s="21"/>
      <c r="PRA89" s="21"/>
      <c r="PRB89" s="21"/>
      <c r="PRC89" s="21"/>
      <c r="PRD89" s="21"/>
      <c r="PRE89" s="21"/>
      <c r="PRF89" s="21"/>
      <c r="PRG89" s="21"/>
      <c r="PRH89" s="21"/>
      <c r="PRI89" s="21"/>
      <c r="PRJ89" s="21"/>
      <c r="PRK89" s="21"/>
      <c r="PRL89" s="21"/>
      <c r="PRM89" s="21"/>
      <c r="PRN89" s="21"/>
      <c r="PRO89" s="21"/>
      <c r="PRP89" s="21"/>
      <c r="PRQ89" s="21"/>
      <c r="PRR89" s="21"/>
      <c r="PRS89" s="21"/>
      <c r="PRT89" s="21"/>
      <c r="PRU89" s="21"/>
      <c r="PRV89" s="21"/>
      <c r="PRW89" s="21"/>
      <c r="PRX89" s="21"/>
      <c r="PRY89" s="21"/>
      <c r="PRZ89" s="21"/>
      <c r="PSA89" s="21"/>
      <c r="PSB89" s="21"/>
      <c r="PSC89" s="21"/>
      <c r="PSD89" s="21"/>
      <c r="PSE89" s="21"/>
      <c r="PSF89" s="21"/>
      <c r="PSG89" s="21"/>
      <c r="PSH89" s="21"/>
      <c r="PSI89" s="21"/>
      <c r="PSJ89" s="21"/>
      <c r="PSK89" s="21"/>
      <c r="PSL89" s="21"/>
      <c r="PSM89" s="21"/>
      <c r="PSN89" s="21"/>
      <c r="PSO89" s="21"/>
      <c r="PSP89" s="21"/>
      <c r="PSQ89" s="21"/>
      <c r="PSR89" s="21"/>
      <c r="PSS89" s="21"/>
      <c r="PST89" s="21"/>
      <c r="PSU89" s="21"/>
      <c r="PSV89" s="21"/>
      <c r="PSW89" s="21"/>
      <c r="PSX89" s="21"/>
      <c r="PSY89" s="21"/>
      <c r="PSZ89" s="21"/>
      <c r="PTA89" s="21"/>
      <c r="PTB89" s="21"/>
      <c r="PTC89" s="21"/>
      <c r="PTD89" s="21"/>
      <c r="PTE89" s="21"/>
      <c r="PTF89" s="21"/>
      <c r="PTG89" s="21"/>
      <c r="PTH89" s="21"/>
      <c r="PTI89" s="21"/>
      <c r="PTJ89" s="21"/>
      <c r="PTK89" s="21"/>
      <c r="PTL89" s="21"/>
      <c r="PTM89" s="21"/>
      <c r="PTN89" s="21"/>
      <c r="PTO89" s="21"/>
      <c r="PTP89" s="21"/>
      <c r="PTQ89" s="21"/>
      <c r="PTR89" s="21"/>
      <c r="PTS89" s="21"/>
      <c r="PTT89" s="21"/>
      <c r="PTU89" s="21"/>
      <c r="PTV89" s="21"/>
      <c r="PTW89" s="21"/>
      <c r="PTX89" s="21"/>
      <c r="PTY89" s="21"/>
      <c r="PTZ89" s="21"/>
      <c r="PUA89" s="21"/>
      <c r="PUB89" s="21"/>
      <c r="PUC89" s="21"/>
      <c r="PUD89" s="21"/>
      <c r="PUE89" s="21"/>
      <c r="PUF89" s="21"/>
      <c r="PUG89" s="21"/>
      <c r="PUH89" s="21"/>
      <c r="PUI89" s="21"/>
      <c r="PUJ89" s="21"/>
      <c r="PUK89" s="21"/>
      <c r="PUL89" s="21"/>
      <c r="PUM89" s="21"/>
      <c r="PUN89" s="21"/>
      <c r="PUO89" s="21"/>
      <c r="PUP89" s="21"/>
      <c r="PUQ89" s="21"/>
      <c r="PUR89" s="21"/>
      <c r="PUS89" s="21"/>
      <c r="PUT89" s="21"/>
      <c r="PUU89" s="21"/>
      <c r="PUV89" s="21"/>
      <c r="PUW89" s="21"/>
      <c r="PUX89" s="21"/>
      <c r="PUY89" s="21"/>
      <c r="PUZ89" s="21"/>
      <c r="PVA89" s="21"/>
      <c r="PVB89" s="21"/>
      <c r="PVC89" s="21"/>
      <c r="PVD89" s="21"/>
      <c r="PVE89" s="21"/>
      <c r="PVF89" s="21"/>
      <c r="PVG89" s="21"/>
      <c r="PVH89" s="21"/>
      <c r="PVI89" s="21"/>
      <c r="PVJ89" s="21"/>
      <c r="PVK89" s="21"/>
      <c r="PVL89" s="21"/>
      <c r="PVM89" s="21"/>
      <c r="PVN89" s="21"/>
      <c r="PVO89" s="21"/>
      <c r="PVP89" s="21"/>
      <c r="PVQ89" s="21"/>
      <c r="PVR89" s="21"/>
      <c r="PVS89" s="21"/>
      <c r="PVT89" s="21"/>
      <c r="PVU89" s="21"/>
      <c r="PVV89" s="21"/>
      <c r="PVW89" s="21"/>
      <c r="PVX89" s="21"/>
      <c r="PVY89" s="21"/>
      <c r="PVZ89" s="21"/>
      <c r="PWA89" s="21"/>
      <c r="PWB89" s="21"/>
      <c r="PWC89" s="21"/>
      <c r="PWD89" s="21"/>
      <c r="PWE89" s="21"/>
      <c r="PWF89" s="21"/>
      <c r="PWG89" s="21"/>
      <c r="PWH89" s="21"/>
      <c r="PWI89" s="21"/>
      <c r="PWJ89" s="21"/>
      <c r="PWK89" s="21"/>
      <c r="PWL89" s="21"/>
      <c r="PWM89" s="21"/>
      <c r="PWN89" s="21"/>
      <c r="PWO89" s="21"/>
      <c r="PWP89" s="21"/>
      <c r="PWQ89" s="21"/>
      <c r="PWR89" s="21"/>
      <c r="PWS89" s="21"/>
      <c r="PWT89" s="21"/>
      <c r="PWU89" s="21"/>
      <c r="PWV89" s="21"/>
      <c r="PWW89" s="21"/>
      <c r="PWX89" s="21"/>
      <c r="PWY89" s="21"/>
      <c r="PWZ89" s="21"/>
      <c r="PXA89" s="21"/>
      <c r="PXB89" s="21"/>
      <c r="PXC89" s="21"/>
      <c r="PXD89" s="21"/>
      <c r="PXE89" s="21"/>
      <c r="PXF89" s="21"/>
      <c r="PXG89" s="21"/>
      <c r="PXH89" s="21"/>
      <c r="PXI89" s="21"/>
      <c r="PXJ89" s="21"/>
      <c r="PXK89" s="21"/>
      <c r="PXL89" s="21"/>
      <c r="PXM89" s="21"/>
      <c r="PXN89" s="21"/>
      <c r="PXO89" s="21"/>
      <c r="PXP89" s="21"/>
      <c r="PXQ89" s="21"/>
      <c r="PXR89" s="21"/>
      <c r="PXS89" s="21"/>
      <c r="PXT89" s="21"/>
      <c r="PXU89" s="21"/>
      <c r="PXV89" s="21"/>
      <c r="PXW89" s="21"/>
      <c r="PXX89" s="21"/>
      <c r="PXY89" s="21"/>
      <c r="PXZ89" s="21"/>
      <c r="PYA89" s="21"/>
      <c r="PYB89" s="21"/>
      <c r="PYC89" s="21"/>
      <c r="PYD89" s="21"/>
      <c r="PYE89" s="21"/>
      <c r="PYF89" s="21"/>
      <c r="PYG89" s="21"/>
      <c r="PYH89" s="21"/>
      <c r="PYI89" s="21"/>
      <c r="PYJ89" s="21"/>
      <c r="PYK89" s="21"/>
      <c r="PYL89" s="21"/>
      <c r="PYM89" s="21"/>
      <c r="PYN89" s="21"/>
      <c r="PYO89" s="21"/>
      <c r="PYP89" s="21"/>
      <c r="PYQ89" s="21"/>
      <c r="PYR89" s="21"/>
      <c r="PYS89" s="21"/>
      <c r="PYT89" s="21"/>
      <c r="PYU89" s="21"/>
      <c r="PYV89" s="21"/>
      <c r="PYW89" s="21"/>
      <c r="PYX89" s="21"/>
      <c r="PYY89" s="21"/>
      <c r="PYZ89" s="21"/>
      <c r="PZA89" s="21"/>
      <c r="PZB89" s="21"/>
      <c r="PZC89" s="21"/>
      <c r="PZD89" s="21"/>
      <c r="PZE89" s="21"/>
      <c r="PZF89" s="21"/>
      <c r="PZG89" s="21"/>
      <c r="PZH89" s="21"/>
      <c r="PZI89" s="21"/>
      <c r="PZJ89" s="21"/>
      <c r="PZK89" s="21"/>
      <c r="PZL89" s="21"/>
      <c r="PZM89" s="21"/>
      <c r="PZN89" s="21"/>
      <c r="PZO89" s="21"/>
      <c r="PZP89" s="21"/>
      <c r="PZQ89" s="21"/>
      <c r="PZR89" s="21"/>
      <c r="PZS89" s="21"/>
      <c r="PZT89" s="21"/>
      <c r="PZU89" s="21"/>
      <c r="PZV89" s="21"/>
      <c r="PZW89" s="21"/>
      <c r="PZX89" s="21"/>
      <c r="PZY89" s="21"/>
      <c r="PZZ89" s="21"/>
      <c r="QAA89" s="21"/>
      <c r="QAB89" s="21"/>
      <c r="QAC89" s="21"/>
      <c r="QAD89" s="21"/>
      <c r="QAE89" s="21"/>
      <c r="QAF89" s="21"/>
      <c r="QAG89" s="21"/>
      <c r="QAH89" s="21"/>
      <c r="QAI89" s="21"/>
      <c r="QAJ89" s="21"/>
      <c r="QAK89" s="21"/>
      <c r="QAL89" s="21"/>
      <c r="QAM89" s="21"/>
      <c r="QAN89" s="21"/>
      <c r="QAO89" s="21"/>
      <c r="QAP89" s="21"/>
      <c r="QAQ89" s="21"/>
      <c r="QAR89" s="21"/>
      <c r="QAS89" s="21"/>
      <c r="QAT89" s="21"/>
      <c r="QAU89" s="21"/>
      <c r="QAV89" s="21"/>
      <c r="QAW89" s="21"/>
      <c r="QAX89" s="21"/>
      <c r="QAY89" s="21"/>
      <c r="QAZ89" s="21"/>
      <c r="QBA89" s="21"/>
      <c r="QBB89" s="21"/>
      <c r="QBC89" s="21"/>
      <c r="QBD89" s="21"/>
      <c r="QBE89" s="21"/>
      <c r="QBF89" s="21"/>
      <c r="QBG89" s="21"/>
      <c r="QBH89" s="21"/>
      <c r="QBI89" s="21"/>
      <c r="QBJ89" s="21"/>
      <c r="QBK89" s="21"/>
      <c r="QBL89" s="21"/>
      <c r="QBM89" s="21"/>
      <c r="QBN89" s="21"/>
      <c r="QBO89" s="21"/>
      <c r="QBP89" s="21"/>
      <c r="QBQ89" s="21"/>
      <c r="QBR89" s="21"/>
      <c r="QBS89" s="21"/>
      <c r="QBT89" s="21"/>
      <c r="QBU89" s="21"/>
      <c r="QBV89" s="21"/>
      <c r="QBW89" s="21"/>
      <c r="QBX89" s="21"/>
      <c r="QBY89" s="21"/>
      <c r="QBZ89" s="21"/>
      <c r="QCA89" s="21"/>
      <c r="QCB89" s="21"/>
      <c r="QCC89" s="21"/>
      <c r="QCD89" s="21"/>
      <c r="QCE89" s="21"/>
      <c r="QCF89" s="21"/>
      <c r="QCG89" s="21"/>
      <c r="QCH89" s="21"/>
      <c r="QCI89" s="21"/>
      <c r="QCJ89" s="21"/>
      <c r="QCK89" s="21"/>
      <c r="QCL89" s="21"/>
      <c r="QCM89" s="21"/>
      <c r="QCN89" s="21"/>
      <c r="QCO89" s="21"/>
      <c r="QCP89" s="21"/>
      <c r="QCQ89" s="21"/>
      <c r="QCR89" s="21"/>
      <c r="QCS89" s="21"/>
      <c r="QCT89" s="21"/>
      <c r="QCU89" s="21"/>
      <c r="QCV89" s="21"/>
      <c r="QCW89" s="21"/>
      <c r="QCX89" s="21"/>
      <c r="QCY89" s="21"/>
      <c r="QCZ89" s="21"/>
      <c r="QDA89" s="21"/>
      <c r="QDB89" s="21"/>
      <c r="QDC89" s="21"/>
      <c r="QDD89" s="21"/>
      <c r="QDE89" s="21"/>
      <c r="QDF89" s="21"/>
      <c r="QDG89" s="21"/>
      <c r="QDH89" s="21"/>
      <c r="QDI89" s="21"/>
      <c r="QDJ89" s="21"/>
      <c r="QDK89" s="21"/>
      <c r="QDL89" s="21"/>
      <c r="QDM89" s="21"/>
      <c r="QDN89" s="21"/>
      <c r="QDO89" s="21"/>
      <c r="QDP89" s="21"/>
      <c r="QDQ89" s="21"/>
      <c r="QDR89" s="21"/>
      <c r="QDS89" s="21"/>
      <c r="QDT89" s="21"/>
      <c r="QDU89" s="21"/>
      <c r="QDV89" s="21"/>
      <c r="QDW89" s="21"/>
      <c r="QDX89" s="21"/>
      <c r="QDY89" s="21"/>
      <c r="QDZ89" s="21"/>
      <c r="QEA89" s="21"/>
      <c r="QEB89" s="21"/>
      <c r="QEC89" s="21"/>
      <c r="QED89" s="21"/>
      <c r="QEE89" s="21"/>
      <c r="QEF89" s="21"/>
      <c r="QEG89" s="21"/>
      <c r="QEH89" s="21"/>
      <c r="QEI89" s="21"/>
      <c r="QEJ89" s="21"/>
      <c r="QEK89" s="21"/>
      <c r="QEL89" s="21"/>
      <c r="QEM89" s="21"/>
      <c r="QEN89" s="21"/>
      <c r="QEO89" s="21"/>
      <c r="QEP89" s="21"/>
      <c r="QEQ89" s="21"/>
      <c r="QER89" s="21"/>
      <c r="QES89" s="21"/>
      <c r="QET89" s="21"/>
      <c r="QEU89" s="21"/>
      <c r="QEV89" s="21"/>
      <c r="QEW89" s="21"/>
      <c r="QEX89" s="21"/>
      <c r="QEY89" s="21"/>
      <c r="QEZ89" s="21"/>
      <c r="QFA89" s="21"/>
      <c r="QFB89" s="21"/>
      <c r="QFC89" s="21"/>
      <c r="QFD89" s="21"/>
      <c r="QFE89" s="21"/>
      <c r="QFF89" s="21"/>
      <c r="QFG89" s="21"/>
      <c r="QFH89" s="21"/>
      <c r="QFI89" s="21"/>
      <c r="QFJ89" s="21"/>
      <c r="QFK89" s="21"/>
      <c r="QFL89" s="21"/>
      <c r="QFM89" s="21"/>
      <c r="QFN89" s="21"/>
      <c r="QFO89" s="21"/>
      <c r="QFP89" s="21"/>
      <c r="QFQ89" s="21"/>
      <c r="QFR89" s="21"/>
      <c r="QFS89" s="21"/>
      <c r="QFT89" s="21"/>
      <c r="QFU89" s="21"/>
      <c r="QFV89" s="21"/>
      <c r="QFW89" s="21"/>
      <c r="QFX89" s="21"/>
      <c r="QFY89" s="21"/>
      <c r="QFZ89" s="21"/>
      <c r="QGA89" s="21"/>
      <c r="QGB89" s="21"/>
      <c r="QGC89" s="21"/>
      <c r="QGD89" s="21"/>
      <c r="QGE89" s="21"/>
      <c r="QGF89" s="21"/>
      <c r="QGG89" s="21"/>
      <c r="QGH89" s="21"/>
      <c r="QGI89" s="21"/>
      <c r="QGJ89" s="21"/>
      <c r="QGK89" s="21"/>
      <c r="QGL89" s="21"/>
      <c r="QGM89" s="21"/>
      <c r="QGN89" s="21"/>
      <c r="QGO89" s="21"/>
      <c r="QGP89" s="21"/>
      <c r="QGQ89" s="21"/>
      <c r="QGR89" s="21"/>
      <c r="QGS89" s="21"/>
      <c r="QGT89" s="21"/>
      <c r="QGU89" s="21"/>
      <c r="QGV89" s="21"/>
      <c r="QGW89" s="21"/>
      <c r="QGX89" s="21"/>
      <c r="QGY89" s="21"/>
      <c r="QGZ89" s="21"/>
      <c r="QHA89" s="21"/>
      <c r="QHB89" s="21"/>
      <c r="QHC89" s="21"/>
      <c r="QHD89" s="21"/>
      <c r="QHE89" s="21"/>
      <c r="QHF89" s="21"/>
      <c r="QHG89" s="21"/>
      <c r="QHH89" s="21"/>
      <c r="QHI89" s="21"/>
      <c r="QHJ89" s="21"/>
      <c r="QHK89" s="21"/>
      <c r="QHL89" s="21"/>
      <c r="QHM89" s="21"/>
      <c r="QHN89" s="21"/>
      <c r="QHO89" s="21"/>
      <c r="QHP89" s="21"/>
      <c r="QHQ89" s="21"/>
      <c r="QHR89" s="21"/>
      <c r="QHS89" s="21"/>
      <c r="QHT89" s="21"/>
      <c r="QHU89" s="21"/>
      <c r="QHV89" s="21"/>
      <c r="QHW89" s="21"/>
      <c r="QHX89" s="21"/>
      <c r="QHY89" s="21"/>
      <c r="QHZ89" s="21"/>
      <c r="QIA89" s="21"/>
      <c r="QIB89" s="21"/>
      <c r="QIC89" s="21"/>
      <c r="QID89" s="21"/>
      <c r="QIE89" s="21"/>
      <c r="QIF89" s="21"/>
      <c r="QIG89" s="21"/>
      <c r="QIH89" s="21"/>
      <c r="QII89" s="21"/>
      <c r="QIJ89" s="21"/>
      <c r="QIK89" s="21"/>
      <c r="QIL89" s="21"/>
      <c r="QIM89" s="21"/>
      <c r="QIN89" s="21"/>
      <c r="QIO89" s="21"/>
      <c r="QIP89" s="21"/>
      <c r="QIQ89" s="21"/>
      <c r="QIR89" s="21"/>
      <c r="QIS89" s="21"/>
      <c r="QIT89" s="21"/>
      <c r="QIU89" s="21"/>
      <c r="QIV89" s="21"/>
      <c r="QIW89" s="21"/>
      <c r="QIX89" s="21"/>
      <c r="QIY89" s="21"/>
      <c r="QIZ89" s="21"/>
      <c r="QJA89" s="21"/>
      <c r="QJB89" s="21"/>
      <c r="QJC89" s="21"/>
      <c r="QJD89" s="21"/>
      <c r="QJE89" s="21"/>
      <c r="QJF89" s="21"/>
      <c r="QJG89" s="21"/>
      <c r="QJH89" s="21"/>
      <c r="QJI89" s="21"/>
      <c r="QJJ89" s="21"/>
      <c r="QJK89" s="21"/>
      <c r="QJL89" s="21"/>
      <c r="QJM89" s="21"/>
      <c r="QJN89" s="21"/>
      <c r="QJO89" s="21"/>
      <c r="QJP89" s="21"/>
      <c r="QJQ89" s="21"/>
      <c r="QJR89" s="21"/>
      <c r="QJS89" s="21"/>
      <c r="QJT89" s="21"/>
      <c r="QJU89" s="21"/>
      <c r="QJV89" s="21"/>
      <c r="QJW89" s="21"/>
      <c r="QJX89" s="21"/>
      <c r="QJY89" s="21"/>
      <c r="QJZ89" s="21"/>
      <c r="QKA89" s="21"/>
      <c r="QKB89" s="21"/>
      <c r="QKC89" s="21"/>
      <c r="QKD89" s="21"/>
      <c r="QKE89" s="21"/>
      <c r="QKF89" s="21"/>
      <c r="QKG89" s="21"/>
      <c r="QKH89" s="21"/>
      <c r="QKI89" s="21"/>
      <c r="QKJ89" s="21"/>
      <c r="QKK89" s="21"/>
      <c r="QKL89" s="21"/>
      <c r="QKM89" s="21"/>
      <c r="QKN89" s="21"/>
      <c r="QKO89" s="21"/>
      <c r="QKP89" s="21"/>
      <c r="QKQ89" s="21"/>
      <c r="QKR89" s="21"/>
      <c r="QKS89" s="21"/>
      <c r="QKT89" s="21"/>
      <c r="QKU89" s="21"/>
      <c r="QKV89" s="21"/>
      <c r="QKW89" s="21"/>
      <c r="QKX89" s="21"/>
      <c r="QKY89" s="21"/>
      <c r="QKZ89" s="21"/>
      <c r="QLA89" s="21"/>
      <c r="QLB89" s="21"/>
      <c r="QLC89" s="21"/>
      <c r="QLD89" s="21"/>
      <c r="QLE89" s="21"/>
      <c r="QLF89" s="21"/>
      <c r="QLG89" s="21"/>
      <c r="QLH89" s="21"/>
      <c r="QLI89" s="21"/>
      <c r="QLJ89" s="21"/>
      <c r="QLK89" s="21"/>
      <c r="QLL89" s="21"/>
      <c r="QLM89" s="21"/>
      <c r="QLN89" s="21"/>
      <c r="QLO89" s="21"/>
      <c r="QLP89" s="21"/>
      <c r="QLQ89" s="21"/>
      <c r="QLR89" s="21"/>
      <c r="QLS89" s="21"/>
      <c r="QLT89" s="21"/>
      <c r="QLU89" s="21"/>
      <c r="QLV89" s="21"/>
      <c r="QLW89" s="21"/>
      <c r="QLX89" s="21"/>
      <c r="QLY89" s="21"/>
      <c r="QLZ89" s="21"/>
      <c r="QMA89" s="21"/>
      <c r="QMB89" s="21"/>
      <c r="QMC89" s="21"/>
      <c r="QMD89" s="21"/>
      <c r="QME89" s="21"/>
      <c r="QMF89" s="21"/>
      <c r="QMG89" s="21"/>
      <c r="QMH89" s="21"/>
      <c r="QMI89" s="21"/>
      <c r="QMJ89" s="21"/>
      <c r="QMK89" s="21"/>
      <c r="QML89" s="21"/>
      <c r="QMM89" s="21"/>
      <c r="QMN89" s="21"/>
      <c r="QMO89" s="21"/>
      <c r="QMP89" s="21"/>
      <c r="QMQ89" s="21"/>
      <c r="QMR89" s="21"/>
      <c r="QMS89" s="21"/>
      <c r="QMT89" s="21"/>
      <c r="QMU89" s="21"/>
      <c r="QMV89" s="21"/>
      <c r="QMW89" s="21"/>
      <c r="QMX89" s="21"/>
      <c r="QMY89" s="21"/>
      <c r="QMZ89" s="21"/>
      <c r="QNA89" s="21"/>
      <c r="QNB89" s="21"/>
      <c r="QNC89" s="21"/>
      <c r="QND89" s="21"/>
      <c r="QNE89" s="21"/>
      <c r="QNF89" s="21"/>
      <c r="QNG89" s="21"/>
      <c r="QNH89" s="21"/>
      <c r="QNI89" s="21"/>
      <c r="QNJ89" s="21"/>
      <c r="QNK89" s="21"/>
      <c r="QNL89" s="21"/>
      <c r="QNM89" s="21"/>
      <c r="QNN89" s="21"/>
      <c r="QNO89" s="21"/>
      <c r="QNP89" s="21"/>
      <c r="QNQ89" s="21"/>
      <c r="QNR89" s="21"/>
      <c r="QNS89" s="21"/>
      <c r="QNT89" s="21"/>
      <c r="QNU89" s="21"/>
      <c r="QNV89" s="21"/>
      <c r="QNW89" s="21"/>
      <c r="QNX89" s="21"/>
      <c r="QNY89" s="21"/>
      <c r="QNZ89" s="21"/>
      <c r="QOA89" s="21"/>
      <c r="QOB89" s="21"/>
      <c r="QOC89" s="21"/>
      <c r="QOD89" s="21"/>
      <c r="QOE89" s="21"/>
      <c r="QOF89" s="21"/>
      <c r="QOG89" s="21"/>
      <c r="QOH89" s="21"/>
      <c r="QOI89" s="21"/>
      <c r="QOJ89" s="21"/>
      <c r="QOK89" s="21"/>
      <c r="QOL89" s="21"/>
      <c r="QOM89" s="21"/>
      <c r="QON89" s="21"/>
      <c r="QOO89" s="21"/>
      <c r="QOP89" s="21"/>
      <c r="QOQ89" s="21"/>
      <c r="QOR89" s="21"/>
      <c r="QOS89" s="21"/>
      <c r="QOT89" s="21"/>
      <c r="QOU89" s="21"/>
      <c r="QOV89" s="21"/>
      <c r="QOW89" s="21"/>
      <c r="QOX89" s="21"/>
      <c r="QOY89" s="21"/>
      <c r="QOZ89" s="21"/>
      <c r="QPA89" s="21"/>
      <c r="QPB89" s="21"/>
      <c r="QPC89" s="21"/>
      <c r="QPD89" s="21"/>
      <c r="QPE89" s="21"/>
      <c r="QPF89" s="21"/>
      <c r="QPG89" s="21"/>
      <c r="QPH89" s="21"/>
      <c r="QPI89" s="21"/>
      <c r="QPJ89" s="21"/>
      <c r="QPK89" s="21"/>
      <c r="QPL89" s="21"/>
      <c r="QPM89" s="21"/>
      <c r="QPN89" s="21"/>
      <c r="QPO89" s="21"/>
      <c r="QPP89" s="21"/>
      <c r="QPQ89" s="21"/>
      <c r="QPR89" s="21"/>
      <c r="QPS89" s="21"/>
      <c r="QPT89" s="21"/>
      <c r="QPU89" s="21"/>
      <c r="QPV89" s="21"/>
      <c r="QPW89" s="21"/>
      <c r="QPX89" s="21"/>
      <c r="QPY89" s="21"/>
      <c r="QPZ89" s="21"/>
      <c r="QQA89" s="21"/>
      <c r="QQB89" s="21"/>
      <c r="QQC89" s="21"/>
      <c r="QQD89" s="21"/>
      <c r="QQE89" s="21"/>
      <c r="QQF89" s="21"/>
      <c r="QQG89" s="21"/>
      <c r="QQH89" s="21"/>
      <c r="QQI89" s="21"/>
      <c r="QQJ89" s="21"/>
      <c r="QQK89" s="21"/>
      <c r="QQL89" s="21"/>
      <c r="QQM89" s="21"/>
      <c r="QQN89" s="21"/>
      <c r="QQO89" s="21"/>
      <c r="QQP89" s="21"/>
      <c r="QQQ89" s="21"/>
      <c r="QQR89" s="21"/>
      <c r="QQS89" s="21"/>
      <c r="QQT89" s="21"/>
      <c r="QQU89" s="21"/>
      <c r="QQV89" s="21"/>
      <c r="QQW89" s="21"/>
      <c r="QQX89" s="21"/>
      <c r="QQY89" s="21"/>
      <c r="QQZ89" s="21"/>
      <c r="QRA89" s="21"/>
      <c r="QRB89" s="21"/>
      <c r="QRC89" s="21"/>
      <c r="QRD89" s="21"/>
      <c r="QRE89" s="21"/>
      <c r="QRF89" s="21"/>
      <c r="QRG89" s="21"/>
      <c r="QRH89" s="21"/>
      <c r="QRI89" s="21"/>
      <c r="QRJ89" s="21"/>
      <c r="QRK89" s="21"/>
      <c r="QRL89" s="21"/>
      <c r="QRM89" s="21"/>
      <c r="QRN89" s="21"/>
      <c r="QRO89" s="21"/>
      <c r="QRP89" s="21"/>
      <c r="QRQ89" s="21"/>
      <c r="QRR89" s="21"/>
      <c r="QRS89" s="21"/>
      <c r="QRT89" s="21"/>
      <c r="QRU89" s="21"/>
      <c r="QRV89" s="21"/>
      <c r="QRW89" s="21"/>
      <c r="QRX89" s="21"/>
      <c r="QRY89" s="21"/>
      <c r="QRZ89" s="21"/>
      <c r="QSA89" s="21"/>
      <c r="QSB89" s="21"/>
      <c r="QSC89" s="21"/>
      <c r="QSD89" s="21"/>
      <c r="QSE89" s="21"/>
      <c r="QSF89" s="21"/>
      <c r="QSG89" s="21"/>
      <c r="QSH89" s="21"/>
      <c r="QSI89" s="21"/>
      <c r="QSJ89" s="21"/>
      <c r="QSK89" s="21"/>
      <c r="QSL89" s="21"/>
      <c r="QSM89" s="21"/>
      <c r="QSN89" s="21"/>
      <c r="QSO89" s="21"/>
      <c r="QSP89" s="21"/>
      <c r="QSQ89" s="21"/>
      <c r="QSR89" s="21"/>
      <c r="QSS89" s="21"/>
      <c r="QST89" s="21"/>
      <c r="QSU89" s="21"/>
      <c r="QSV89" s="21"/>
      <c r="QSW89" s="21"/>
      <c r="QSX89" s="21"/>
      <c r="QSY89" s="21"/>
      <c r="QSZ89" s="21"/>
      <c r="QTA89" s="21"/>
      <c r="QTB89" s="21"/>
      <c r="QTC89" s="21"/>
      <c r="QTD89" s="21"/>
      <c r="QTE89" s="21"/>
      <c r="QTF89" s="21"/>
      <c r="QTG89" s="21"/>
      <c r="QTH89" s="21"/>
      <c r="QTI89" s="21"/>
      <c r="QTJ89" s="21"/>
      <c r="QTK89" s="21"/>
      <c r="QTL89" s="21"/>
      <c r="QTM89" s="21"/>
      <c r="QTN89" s="21"/>
      <c r="QTO89" s="21"/>
      <c r="QTP89" s="21"/>
      <c r="QTQ89" s="21"/>
      <c r="QTR89" s="21"/>
      <c r="QTS89" s="21"/>
      <c r="QTT89" s="21"/>
      <c r="QTU89" s="21"/>
      <c r="QTV89" s="21"/>
      <c r="QTW89" s="21"/>
      <c r="QTX89" s="21"/>
      <c r="QTY89" s="21"/>
      <c r="QTZ89" s="21"/>
      <c r="QUA89" s="21"/>
      <c r="QUB89" s="21"/>
      <c r="QUC89" s="21"/>
      <c r="QUD89" s="21"/>
      <c r="QUE89" s="21"/>
      <c r="QUF89" s="21"/>
      <c r="QUG89" s="21"/>
      <c r="QUH89" s="21"/>
      <c r="QUI89" s="21"/>
      <c r="QUJ89" s="21"/>
      <c r="QUK89" s="21"/>
      <c r="QUL89" s="21"/>
      <c r="QUM89" s="21"/>
      <c r="QUN89" s="21"/>
      <c r="QUO89" s="21"/>
      <c r="QUP89" s="21"/>
      <c r="QUQ89" s="21"/>
      <c r="QUR89" s="21"/>
      <c r="QUS89" s="21"/>
      <c r="QUT89" s="21"/>
      <c r="QUU89" s="21"/>
      <c r="QUV89" s="21"/>
      <c r="QUW89" s="21"/>
      <c r="QUX89" s="21"/>
      <c r="QUY89" s="21"/>
      <c r="QUZ89" s="21"/>
      <c r="QVA89" s="21"/>
      <c r="QVB89" s="21"/>
      <c r="QVC89" s="21"/>
      <c r="QVD89" s="21"/>
      <c r="QVE89" s="21"/>
      <c r="QVF89" s="21"/>
      <c r="QVG89" s="21"/>
      <c r="QVH89" s="21"/>
      <c r="QVI89" s="21"/>
      <c r="QVJ89" s="21"/>
      <c r="QVK89" s="21"/>
      <c r="QVL89" s="21"/>
      <c r="QVM89" s="21"/>
      <c r="QVN89" s="21"/>
      <c r="QVO89" s="21"/>
      <c r="QVP89" s="21"/>
      <c r="QVQ89" s="21"/>
      <c r="QVR89" s="21"/>
      <c r="QVS89" s="21"/>
      <c r="QVT89" s="21"/>
      <c r="QVU89" s="21"/>
      <c r="QVV89" s="21"/>
      <c r="QVW89" s="21"/>
      <c r="QVX89" s="21"/>
      <c r="QVY89" s="21"/>
      <c r="QVZ89" s="21"/>
      <c r="QWA89" s="21"/>
      <c r="QWB89" s="21"/>
      <c r="QWC89" s="21"/>
      <c r="QWD89" s="21"/>
      <c r="QWE89" s="21"/>
      <c r="QWF89" s="21"/>
      <c r="QWG89" s="21"/>
      <c r="QWH89" s="21"/>
      <c r="QWI89" s="21"/>
      <c r="QWJ89" s="21"/>
      <c r="QWK89" s="21"/>
      <c r="QWL89" s="21"/>
      <c r="QWM89" s="21"/>
      <c r="QWN89" s="21"/>
      <c r="QWO89" s="21"/>
      <c r="QWP89" s="21"/>
      <c r="QWQ89" s="21"/>
      <c r="QWR89" s="21"/>
      <c r="QWS89" s="21"/>
      <c r="QWT89" s="21"/>
      <c r="QWU89" s="21"/>
      <c r="QWV89" s="21"/>
      <c r="QWW89" s="21"/>
      <c r="QWX89" s="21"/>
      <c r="QWY89" s="21"/>
      <c r="QWZ89" s="21"/>
      <c r="QXA89" s="21"/>
      <c r="QXB89" s="21"/>
      <c r="QXC89" s="21"/>
      <c r="QXD89" s="21"/>
      <c r="QXE89" s="21"/>
      <c r="QXF89" s="21"/>
      <c r="QXG89" s="21"/>
      <c r="QXH89" s="21"/>
      <c r="QXI89" s="21"/>
      <c r="QXJ89" s="21"/>
      <c r="QXK89" s="21"/>
      <c r="QXL89" s="21"/>
      <c r="QXM89" s="21"/>
      <c r="QXN89" s="21"/>
      <c r="QXO89" s="21"/>
      <c r="QXP89" s="21"/>
      <c r="QXQ89" s="21"/>
      <c r="QXR89" s="21"/>
      <c r="QXS89" s="21"/>
      <c r="QXT89" s="21"/>
      <c r="QXU89" s="21"/>
      <c r="QXV89" s="21"/>
      <c r="QXW89" s="21"/>
      <c r="QXX89" s="21"/>
      <c r="QXY89" s="21"/>
      <c r="QXZ89" s="21"/>
      <c r="QYA89" s="21"/>
      <c r="QYB89" s="21"/>
      <c r="QYC89" s="21"/>
      <c r="QYD89" s="21"/>
      <c r="QYE89" s="21"/>
      <c r="QYF89" s="21"/>
      <c r="QYG89" s="21"/>
      <c r="QYH89" s="21"/>
      <c r="QYI89" s="21"/>
      <c r="QYJ89" s="21"/>
      <c r="QYK89" s="21"/>
      <c r="QYL89" s="21"/>
      <c r="QYM89" s="21"/>
      <c r="QYN89" s="21"/>
      <c r="QYO89" s="21"/>
      <c r="QYP89" s="21"/>
      <c r="QYQ89" s="21"/>
      <c r="QYR89" s="21"/>
      <c r="QYS89" s="21"/>
      <c r="QYT89" s="21"/>
      <c r="QYU89" s="21"/>
      <c r="QYV89" s="21"/>
      <c r="QYW89" s="21"/>
      <c r="QYX89" s="21"/>
      <c r="QYY89" s="21"/>
      <c r="QYZ89" s="21"/>
      <c r="QZA89" s="21"/>
      <c r="QZB89" s="21"/>
      <c r="QZC89" s="21"/>
      <c r="QZD89" s="21"/>
      <c r="QZE89" s="21"/>
      <c r="QZF89" s="21"/>
      <c r="QZG89" s="21"/>
      <c r="QZH89" s="21"/>
      <c r="QZI89" s="21"/>
      <c r="QZJ89" s="21"/>
      <c r="QZK89" s="21"/>
      <c r="QZL89" s="21"/>
      <c r="QZM89" s="21"/>
      <c r="QZN89" s="21"/>
      <c r="QZO89" s="21"/>
      <c r="QZP89" s="21"/>
      <c r="QZQ89" s="21"/>
      <c r="QZR89" s="21"/>
      <c r="QZS89" s="21"/>
      <c r="QZT89" s="21"/>
      <c r="QZU89" s="21"/>
      <c r="QZV89" s="21"/>
      <c r="QZW89" s="21"/>
      <c r="QZX89" s="21"/>
      <c r="QZY89" s="21"/>
      <c r="QZZ89" s="21"/>
      <c r="RAA89" s="21"/>
      <c r="RAB89" s="21"/>
      <c r="RAC89" s="21"/>
      <c r="RAD89" s="21"/>
      <c r="RAE89" s="21"/>
      <c r="RAF89" s="21"/>
      <c r="RAG89" s="21"/>
      <c r="RAH89" s="21"/>
      <c r="RAI89" s="21"/>
      <c r="RAJ89" s="21"/>
      <c r="RAK89" s="21"/>
      <c r="RAL89" s="21"/>
      <c r="RAM89" s="21"/>
      <c r="RAN89" s="21"/>
      <c r="RAO89" s="21"/>
      <c r="RAP89" s="21"/>
      <c r="RAQ89" s="21"/>
      <c r="RAR89" s="21"/>
      <c r="RAS89" s="21"/>
      <c r="RAT89" s="21"/>
      <c r="RAU89" s="21"/>
      <c r="RAV89" s="21"/>
      <c r="RAW89" s="21"/>
      <c r="RAX89" s="21"/>
      <c r="RAY89" s="21"/>
      <c r="RAZ89" s="21"/>
      <c r="RBA89" s="21"/>
      <c r="RBB89" s="21"/>
      <c r="RBC89" s="21"/>
      <c r="RBD89" s="21"/>
      <c r="RBE89" s="21"/>
      <c r="RBF89" s="21"/>
      <c r="RBG89" s="21"/>
      <c r="RBH89" s="21"/>
      <c r="RBI89" s="21"/>
      <c r="RBJ89" s="21"/>
      <c r="RBK89" s="21"/>
      <c r="RBL89" s="21"/>
      <c r="RBM89" s="21"/>
      <c r="RBN89" s="21"/>
      <c r="RBO89" s="21"/>
      <c r="RBP89" s="21"/>
      <c r="RBQ89" s="21"/>
      <c r="RBR89" s="21"/>
      <c r="RBS89" s="21"/>
      <c r="RBT89" s="21"/>
      <c r="RBU89" s="21"/>
      <c r="RBV89" s="21"/>
      <c r="RBW89" s="21"/>
      <c r="RBX89" s="21"/>
      <c r="RBY89" s="21"/>
      <c r="RBZ89" s="21"/>
      <c r="RCA89" s="21"/>
      <c r="RCB89" s="21"/>
      <c r="RCC89" s="21"/>
      <c r="RCD89" s="21"/>
      <c r="RCE89" s="21"/>
      <c r="RCF89" s="21"/>
      <c r="RCG89" s="21"/>
      <c r="RCH89" s="21"/>
      <c r="RCI89" s="21"/>
      <c r="RCJ89" s="21"/>
      <c r="RCK89" s="21"/>
      <c r="RCL89" s="21"/>
      <c r="RCM89" s="21"/>
      <c r="RCN89" s="21"/>
      <c r="RCO89" s="21"/>
      <c r="RCP89" s="21"/>
      <c r="RCQ89" s="21"/>
      <c r="RCR89" s="21"/>
      <c r="RCS89" s="21"/>
      <c r="RCT89" s="21"/>
      <c r="RCU89" s="21"/>
      <c r="RCV89" s="21"/>
      <c r="RCW89" s="21"/>
      <c r="RCX89" s="21"/>
      <c r="RCY89" s="21"/>
      <c r="RCZ89" s="21"/>
      <c r="RDA89" s="21"/>
      <c r="RDB89" s="21"/>
      <c r="RDC89" s="21"/>
      <c r="RDD89" s="21"/>
      <c r="RDE89" s="21"/>
      <c r="RDF89" s="21"/>
      <c r="RDG89" s="21"/>
      <c r="RDH89" s="21"/>
      <c r="RDI89" s="21"/>
      <c r="RDJ89" s="21"/>
      <c r="RDK89" s="21"/>
      <c r="RDL89" s="21"/>
      <c r="RDM89" s="21"/>
      <c r="RDN89" s="21"/>
      <c r="RDO89" s="21"/>
      <c r="RDP89" s="21"/>
      <c r="RDQ89" s="21"/>
      <c r="RDR89" s="21"/>
      <c r="RDS89" s="21"/>
      <c r="RDT89" s="21"/>
      <c r="RDU89" s="21"/>
      <c r="RDV89" s="21"/>
      <c r="RDW89" s="21"/>
      <c r="RDX89" s="21"/>
      <c r="RDY89" s="21"/>
      <c r="RDZ89" s="21"/>
      <c r="REA89" s="21"/>
      <c r="REB89" s="21"/>
      <c r="REC89" s="21"/>
      <c r="RED89" s="21"/>
      <c r="REE89" s="21"/>
      <c r="REF89" s="21"/>
      <c r="REG89" s="21"/>
      <c r="REH89" s="21"/>
      <c r="REI89" s="21"/>
      <c r="REJ89" s="21"/>
      <c r="REK89" s="21"/>
      <c r="REL89" s="21"/>
      <c r="REM89" s="21"/>
      <c r="REN89" s="21"/>
      <c r="REO89" s="21"/>
      <c r="REP89" s="21"/>
      <c r="REQ89" s="21"/>
      <c r="RER89" s="21"/>
      <c r="RES89" s="21"/>
      <c r="RET89" s="21"/>
      <c r="REU89" s="21"/>
      <c r="REV89" s="21"/>
      <c r="REW89" s="21"/>
      <c r="REX89" s="21"/>
      <c r="REY89" s="21"/>
      <c r="REZ89" s="21"/>
      <c r="RFA89" s="21"/>
      <c r="RFB89" s="21"/>
      <c r="RFC89" s="21"/>
      <c r="RFD89" s="21"/>
      <c r="RFE89" s="21"/>
      <c r="RFF89" s="21"/>
      <c r="RFG89" s="21"/>
      <c r="RFH89" s="21"/>
      <c r="RFI89" s="21"/>
      <c r="RFJ89" s="21"/>
      <c r="RFK89" s="21"/>
      <c r="RFL89" s="21"/>
      <c r="RFM89" s="21"/>
      <c r="RFN89" s="21"/>
      <c r="RFO89" s="21"/>
      <c r="RFP89" s="21"/>
      <c r="RFQ89" s="21"/>
      <c r="RFR89" s="21"/>
      <c r="RFS89" s="21"/>
      <c r="RFT89" s="21"/>
      <c r="RFU89" s="21"/>
      <c r="RFV89" s="21"/>
      <c r="RFW89" s="21"/>
      <c r="RFX89" s="21"/>
      <c r="RFY89" s="21"/>
      <c r="RFZ89" s="21"/>
      <c r="RGA89" s="21"/>
      <c r="RGB89" s="21"/>
      <c r="RGC89" s="21"/>
      <c r="RGD89" s="21"/>
      <c r="RGE89" s="21"/>
      <c r="RGF89" s="21"/>
      <c r="RGG89" s="21"/>
      <c r="RGH89" s="21"/>
      <c r="RGI89" s="21"/>
      <c r="RGJ89" s="21"/>
      <c r="RGK89" s="21"/>
      <c r="RGL89" s="21"/>
      <c r="RGM89" s="21"/>
      <c r="RGN89" s="21"/>
      <c r="RGO89" s="21"/>
      <c r="RGP89" s="21"/>
      <c r="RGQ89" s="21"/>
      <c r="RGR89" s="21"/>
      <c r="RGS89" s="21"/>
      <c r="RGT89" s="21"/>
      <c r="RGU89" s="21"/>
      <c r="RGV89" s="21"/>
      <c r="RGW89" s="21"/>
      <c r="RGX89" s="21"/>
      <c r="RGY89" s="21"/>
      <c r="RGZ89" s="21"/>
      <c r="RHA89" s="21"/>
      <c r="RHB89" s="21"/>
      <c r="RHC89" s="21"/>
      <c r="RHD89" s="21"/>
      <c r="RHE89" s="21"/>
      <c r="RHF89" s="21"/>
      <c r="RHG89" s="21"/>
      <c r="RHH89" s="21"/>
      <c r="RHI89" s="21"/>
      <c r="RHJ89" s="21"/>
      <c r="RHK89" s="21"/>
      <c r="RHL89" s="21"/>
      <c r="RHM89" s="21"/>
      <c r="RHN89" s="21"/>
      <c r="RHO89" s="21"/>
      <c r="RHP89" s="21"/>
      <c r="RHQ89" s="21"/>
      <c r="RHR89" s="21"/>
      <c r="RHS89" s="21"/>
      <c r="RHT89" s="21"/>
      <c r="RHU89" s="21"/>
      <c r="RHV89" s="21"/>
      <c r="RHW89" s="21"/>
      <c r="RHX89" s="21"/>
      <c r="RHY89" s="21"/>
      <c r="RHZ89" s="21"/>
      <c r="RIA89" s="21"/>
      <c r="RIB89" s="21"/>
      <c r="RIC89" s="21"/>
      <c r="RID89" s="21"/>
      <c r="RIE89" s="21"/>
      <c r="RIF89" s="21"/>
      <c r="RIG89" s="21"/>
      <c r="RIH89" s="21"/>
      <c r="RII89" s="21"/>
      <c r="RIJ89" s="21"/>
      <c r="RIK89" s="21"/>
      <c r="RIL89" s="21"/>
      <c r="RIM89" s="21"/>
      <c r="RIN89" s="21"/>
      <c r="RIO89" s="21"/>
      <c r="RIP89" s="21"/>
      <c r="RIQ89" s="21"/>
      <c r="RIR89" s="21"/>
      <c r="RIS89" s="21"/>
      <c r="RIT89" s="21"/>
      <c r="RIU89" s="21"/>
      <c r="RIV89" s="21"/>
      <c r="RIW89" s="21"/>
      <c r="RIX89" s="21"/>
      <c r="RIY89" s="21"/>
      <c r="RIZ89" s="21"/>
      <c r="RJA89" s="21"/>
      <c r="RJB89" s="21"/>
      <c r="RJC89" s="21"/>
      <c r="RJD89" s="21"/>
      <c r="RJE89" s="21"/>
      <c r="RJF89" s="21"/>
      <c r="RJG89" s="21"/>
      <c r="RJH89" s="21"/>
      <c r="RJI89" s="21"/>
      <c r="RJJ89" s="21"/>
      <c r="RJK89" s="21"/>
      <c r="RJL89" s="21"/>
      <c r="RJM89" s="21"/>
      <c r="RJN89" s="21"/>
      <c r="RJO89" s="21"/>
      <c r="RJP89" s="21"/>
      <c r="RJQ89" s="21"/>
      <c r="RJR89" s="21"/>
      <c r="RJS89" s="21"/>
      <c r="RJT89" s="21"/>
      <c r="RJU89" s="21"/>
      <c r="RJV89" s="21"/>
      <c r="RJW89" s="21"/>
      <c r="RJX89" s="21"/>
      <c r="RJY89" s="21"/>
      <c r="RJZ89" s="21"/>
      <c r="RKA89" s="21"/>
      <c r="RKB89" s="21"/>
      <c r="RKC89" s="21"/>
      <c r="RKD89" s="21"/>
      <c r="RKE89" s="21"/>
      <c r="RKF89" s="21"/>
      <c r="RKG89" s="21"/>
      <c r="RKH89" s="21"/>
      <c r="RKI89" s="21"/>
      <c r="RKJ89" s="21"/>
      <c r="RKK89" s="21"/>
      <c r="RKL89" s="21"/>
      <c r="RKM89" s="21"/>
      <c r="RKN89" s="21"/>
      <c r="RKO89" s="21"/>
      <c r="RKP89" s="21"/>
      <c r="RKQ89" s="21"/>
      <c r="RKR89" s="21"/>
      <c r="RKS89" s="21"/>
      <c r="RKT89" s="21"/>
      <c r="RKU89" s="21"/>
      <c r="RKV89" s="21"/>
      <c r="RKW89" s="21"/>
      <c r="RKX89" s="21"/>
      <c r="RKY89" s="21"/>
      <c r="RKZ89" s="21"/>
      <c r="RLA89" s="21"/>
      <c r="RLB89" s="21"/>
      <c r="RLC89" s="21"/>
      <c r="RLD89" s="21"/>
      <c r="RLE89" s="21"/>
      <c r="RLF89" s="21"/>
      <c r="RLG89" s="21"/>
      <c r="RLH89" s="21"/>
      <c r="RLI89" s="21"/>
      <c r="RLJ89" s="21"/>
      <c r="RLK89" s="21"/>
      <c r="RLL89" s="21"/>
      <c r="RLM89" s="21"/>
      <c r="RLN89" s="21"/>
      <c r="RLO89" s="21"/>
      <c r="RLP89" s="21"/>
      <c r="RLQ89" s="21"/>
      <c r="RLR89" s="21"/>
      <c r="RLS89" s="21"/>
      <c r="RLT89" s="21"/>
      <c r="RLU89" s="21"/>
      <c r="RLV89" s="21"/>
      <c r="RLW89" s="21"/>
      <c r="RLX89" s="21"/>
      <c r="RLY89" s="21"/>
      <c r="RLZ89" s="21"/>
      <c r="RMA89" s="21"/>
      <c r="RMB89" s="21"/>
      <c r="RMC89" s="21"/>
      <c r="RMD89" s="21"/>
      <c r="RME89" s="21"/>
      <c r="RMF89" s="21"/>
      <c r="RMG89" s="21"/>
      <c r="RMH89" s="21"/>
      <c r="RMI89" s="21"/>
      <c r="RMJ89" s="21"/>
      <c r="RMK89" s="21"/>
      <c r="RML89" s="21"/>
      <c r="RMM89" s="21"/>
      <c r="RMN89" s="21"/>
      <c r="RMO89" s="21"/>
      <c r="RMP89" s="21"/>
      <c r="RMQ89" s="21"/>
      <c r="RMR89" s="21"/>
      <c r="RMS89" s="21"/>
      <c r="RMT89" s="21"/>
      <c r="RMU89" s="21"/>
      <c r="RMV89" s="21"/>
      <c r="RMW89" s="21"/>
      <c r="RMX89" s="21"/>
      <c r="RMY89" s="21"/>
      <c r="RMZ89" s="21"/>
      <c r="RNA89" s="21"/>
      <c r="RNB89" s="21"/>
      <c r="RNC89" s="21"/>
      <c r="RND89" s="21"/>
      <c r="RNE89" s="21"/>
      <c r="RNF89" s="21"/>
      <c r="RNG89" s="21"/>
      <c r="RNH89" s="21"/>
      <c r="RNI89" s="21"/>
      <c r="RNJ89" s="21"/>
      <c r="RNK89" s="21"/>
      <c r="RNL89" s="21"/>
      <c r="RNM89" s="21"/>
      <c r="RNN89" s="21"/>
      <c r="RNO89" s="21"/>
      <c r="RNP89" s="21"/>
      <c r="RNQ89" s="21"/>
      <c r="RNR89" s="21"/>
      <c r="RNS89" s="21"/>
      <c r="RNT89" s="21"/>
      <c r="RNU89" s="21"/>
      <c r="RNV89" s="21"/>
      <c r="RNW89" s="21"/>
      <c r="RNX89" s="21"/>
      <c r="RNY89" s="21"/>
      <c r="RNZ89" s="21"/>
      <c r="ROA89" s="21"/>
      <c r="ROB89" s="21"/>
      <c r="ROC89" s="21"/>
      <c r="ROD89" s="21"/>
      <c r="ROE89" s="21"/>
      <c r="ROF89" s="21"/>
      <c r="ROG89" s="21"/>
      <c r="ROH89" s="21"/>
      <c r="ROI89" s="21"/>
      <c r="ROJ89" s="21"/>
      <c r="ROK89" s="21"/>
      <c r="ROL89" s="21"/>
      <c r="ROM89" s="21"/>
      <c r="RON89" s="21"/>
      <c r="ROO89" s="21"/>
      <c r="ROP89" s="21"/>
      <c r="ROQ89" s="21"/>
      <c r="ROR89" s="21"/>
      <c r="ROS89" s="21"/>
      <c r="ROT89" s="21"/>
      <c r="ROU89" s="21"/>
      <c r="ROV89" s="21"/>
      <c r="ROW89" s="21"/>
      <c r="ROX89" s="21"/>
      <c r="ROY89" s="21"/>
      <c r="ROZ89" s="21"/>
      <c r="RPA89" s="21"/>
      <c r="RPB89" s="21"/>
      <c r="RPC89" s="21"/>
      <c r="RPD89" s="21"/>
      <c r="RPE89" s="21"/>
      <c r="RPF89" s="21"/>
      <c r="RPG89" s="21"/>
      <c r="RPH89" s="21"/>
      <c r="RPI89" s="21"/>
      <c r="RPJ89" s="21"/>
      <c r="RPK89" s="21"/>
      <c r="RPL89" s="21"/>
      <c r="RPM89" s="21"/>
      <c r="RPN89" s="21"/>
      <c r="RPO89" s="21"/>
      <c r="RPP89" s="21"/>
      <c r="RPQ89" s="21"/>
      <c r="RPR89" s="21"/>
      <c r="RPS89" s="21"/>
      <c r="RPT89" s="21"/>
      <c r="RPU89" s="21"/>
      <c r="RPV89" s="21"/>
      <c r="RPW89" s="21"/>
      <c r="RPX89" s="21"/>
      <c r="RPY89" s="21"/>
      <c r="RPZ89" s="21"/>
      <c r="RQA89" s="21"/>
      <c r="RQB89" s="21"/>
      <c r="RQC89" s="21"/>
      <c r="RQD89" s="21"/>
      <c r="RQE89" s="21"/>
      <c r="RQF89" s="21"/>
      <c r="RQG89" s="21"/>
      <c r="RQH89" s="21"/>
      <c r="RQI89" s="21"/>
      <c r="RQJ89" s="21"/>
      <c r="RQK89" s="21"/>
      <c r="RQL89" s="21"/>
      <c r="RQM89" s="21"/>
      <c r="RQN89" s="21"/>
      <c r="RQO89" s="21"/>
      <c r="RQP89" s="21"/>
      <c r="RQQ89" s="21"/>
      <c r="RQR89" s="21"/>
      <c r="RQS89" s="21"/>
      <c r="RQT89" s="21"/>
      <c r="RQU89" s="21"/>
      <c r="RQV89" s="21"/>
      <c r="RQW89" s="21"/>
      <c r="RQX89" s="21"/>
      <c r="RQY89" s="21"/>
      <c r="RQZ89" s="21"/>
      <c r="RRA89" s="21"/>
      <c r="RRB89" s="21"/>
      <c r="RRC89" s="21"/>
      <c r="RRD89" s="21"/>
      <c r="RRE89" s="21"/>
      <c r="RRF89" s="21"/>
      <c r="RRG89" s="21"/>
      <c r="RRH89" s="21"/>
      <c r="RRI89" s="21"/>
      <c r="RRJ89" s="21"/>
      <c r="RRK89" s="21"/>
      <c r="RRL89" s="21"/>
      <c r="RRM89" s="21"/>
      <c r="RRN89" s="21"/>
      <c r="RRO89" s="21"/>
      <c r="RRP89" s="21"/>
      <c r="RRQ89" s="21"/>
      <c r="RRR89" s="21"/>
      <c r="RRS89" s="21"/>
      <c r="RRT89" s="21"/>
      <c r="RRU89" s="21"/>
      <c r="RRV89" s="21"/>
      <c r="RRW89" s="21"/>
      <c r="RRX89" s="21"/>
      <c r="RRY89" s="21"/>
      <c r="RRZ89" s="21"/>
      <c r="RSA89" s="21"/>
      <c r="RSB89" s="21"/>
      <c r="RSC89" s="21"/>
      <c r="RSD89" s="21"/>
      <c r="RSE89" s="21"/>
      <c r="RSF89" s="21"/>
      <c r="RSG89" s="21"/>
      <c r="RSH89" s="21"/>
      <c r="RSI89" s="21"/>
      <c r="RSJ89" s="21"/>
      <c r="RSK89" s="21"/>
      <c r="RSL89" s="21"/>
      <c r="RSM89" s="21"/>
      <c r="RSN89" s="21"/>
      <c r="RSO89" s="21"/>
      <c r="RSP89" s="21"/>
      <c r="RSQ89" s="21"/>
      <c r="RSR89" s="21"/>
      <c r="RSS89" s="21"/>
      <c r="RST89" s="21"/>
      <c r="RSU89" s="21"/>
      <c r="RSV89" s="21"/>
      <c r="RSW89" s="21"/>
      <c r="RSX89" s="21"/>
      <c r="RSY89" s="21"/>
      <c r="RSZ89" s="21"/>
      <c r="RTA89" s="21"/>
      <c r="RTB89" s="21"/>
      <c r="RTC89" s="21"/>
      <c r="RTD89" s="21"/>
      <c r="RTE89" s="21"/>
      <c r="RTF89" s="21"/>
      <c r="RTG89" s="21"/>
      <c r="RTH89" s="21"/>
      <c r="RTI89" s="21"/>
      <c r="RTJ89" s="21"/>
      <c r="RTK89" s="21"/>
      <c r="RTL89" s="21"/>
      <c r="RTM89" s="21"/>
      <c r="RTN89" s="21"/>
      <c r="RTO89" s="21"/>
      <c r="RTP89" s="21"/>
      <c r="RTQ89" s="21"/>
      <c r="RTR89" s="21"/>
      <c r="RTS89" s="21"/>
      <c r="RTT89" s="21"/>
      <c r="RTU89" s="21"/>
      <c r="RTV89" s="21"/>
      <c r="RTW89" s="21"/>
      <c r="RTX89" s="21"/>
      <c r="RTY89" s="21"/>
      <c r="RTZ89" s="21"/>
      <c r="RUA89" s="21"/>
      <c r="RUB89" s="21"/>
      <c r="RUC89" s="21"/>
      <c r="RUD89" s="21"/>
      <c r="RUE89" s="21"/>
      <c r="RUF89" s="21"/>
      <c r="RUG89" s="21"/>
      <c r="RUH89" s="21"/>
      <c r="RUI89" s="21"/>
      <c r="RUJ89" s="21"/>
      <c r="RUK89" s="21"/>
      <c r="RUL89" s="21"/>
      <c r="RUM89" s="21"/>
      <c r="RUN89" s="21"/>
      <c r="RUO89" s="21"/>
      <c r="RUP89" s="21"/>
      <c r="RUQ89" s="21"/>
      <c r="RUR89" s="21"/>
      <c r="RUS89" s="21"/>
      <c r="RUT89" s="21"/>
      <c r="RUU89" s="21"/>
      <c r="RUV89" s="21"/>
      <c r="RUW89" s="21"/>
      <c r="RUX89" s="21"/>
      <c r="RUY89" s="21"/>
      <c r="RUZ89" s="21"/>
      <c r="RVA89" s="21"/>
      <c r="RVB89" s="21"/>
      <c r="RVC89" s="21"/>
      <c r="RVD89" s="21"/>
      <c r="RVE89" s="21"/>
      <c r="RVF89" s="21"/>
      <c r="RVG89" s="21"/>
      <c r="RVH89" s="21"/>
      <c r="RVI89" s="21"/>
      <c r="RVJ89" s="21"/>
      <c r="RVK89" s="21"/>
      <c r="RVL89" s="21"/>
      <c r="RVM89" s="21"/>
      <c r="RVN89" s="21"/>
      <c r="RVO89" s="21"/>
      <c r="RVP89" s="21"/>
      <c r="RVQ89" s="21"/>
      <c r="RVR89" s="21"/>
      <c r="RVS89" s="21"/>
      <c r="RVT89" s="21"/>
      <c r="RVU89" s="21"/>
      <c r="RVV89" s="21"/>
      <c r="RVW89" s="21"/>
      <c r="RVX89" s="21"/>
      <c r="RVY89" s="21"/>
      <c r="RVZ89" s="21"/>
      <c r="RWA89" s="21"/>
      <c r="RWB89" s="21"/>
      <c r="RWC89" s="21"/>
      <c r="RWD89" s="21"/>
      <c r="RWE89" s="21"/>
      <c r="RWF89" s="21"/>
      <c r="RWG89" s="21"/>
      <c r="RWH89" s="21"/>
      <c r="RWI89" s="21"/>
      <c r="RWJ89" s="21"/>
      <c r="RWK89" s="21"/>
      <c r="RWL89" s="21"/>
      <c r="RWM89" s="21"/>
      <c r="RWN89" s="21"/>
      <c r="RWO89" s="21"/>
      <c r="RWP89" s="21"/>
      <c r="RWQ89" s="21"/>
      <c r="RWR89" s="21"/>
      <c r="RWS89" s="21"/>
      <c r="RWT89" s="21"/>
      <c r="RWU89" s="21"/>
      <c r="RWV89" s="21"/>
      <c r="RWW89" s="21"/>
      <c r="RWX89" s="21"/>
      <c r="RWY89" s="21"/>
      <c r="RWZ89" s="21"/>
      <c r="RXA89" s="21"/>
      <c r="RXB89" s="21"/>
      <c r="RXC89" s="21"/>
      <c r="RXD89" s="21"/>
      <c r="RXE89" s="21"/>
      <c r="RXF89" s="21"/>
      <c r="RXG89" s="21"/>
      <c r="RXH89" s="21"/>
      <c r="RXI89" s="21"/>
      <c r="RXJ89" s="21"/>
      <c r="RXK89" s="21"/>
      <c r="RXL89" s="21"/>
      <c r="RXM89" s="21"/>
      <c r="RXN89" s="21"/>
      <c r="RXO89" s="21"/>
      <c r="RXP89" s="21"/>
      <c r="RXQ89" s="21"/>
      <c r="RXR89" s="21"/>
      <c r="RXS89" s="21"/>
      <c r="RXT89" s="21"/>
      <c r="RXU89" s="21"/>
      <c r="RXV89" s="21"/>
      <c r="RXW89" s="21"/>
      <c r="RXX89" s="21"/>
      <c r="RXY89" s="21"/>
      <c r="RXZ89" s="21"/>
      <c r="RYA89" s="21"/>
      <c r="RYB89" s="21"/>
      <c r="RYC89" s="21"/>
      <c r="RYD89" s="21"/>
      <c r="RYE89" s="21"/>
      <c r="RYF89" s="21"/>
      <c r="RYG89" s="21"/>
      <c r="RYH89" s="21"/>
      <c r="RYI89" s="21"/>
      <c r="RYJ89" s="21"/>
      <c r="RYK89" s="21"/>
      <c r="RYL89" s="21"/>
      <c r="RYM89" s="21"/>
      <c r="RYN89" s="21"/>
      <c r="RYO89" s="21"/>
      <c r="RYP89" s="21"/>
      <c r="RYQ89" s="21"/>
      <c r="RYR89" s="21"/>
      <c r="RYS89" s="21"/>
      <c r="RYT89" s="21"/>
      <c r="RYU89" s="21"/>
      <c r="RYV89" s="21"/>
      <c r="RYW89" s="21"/>
      <c r="RYX89" s="21"/>
      <c r="RYY89" s="21"/>
      <c r="RYZ89" s="21"/>
      <c r="RZA89" s="21"/>
      <c r="RZB89" s="21"/>
      <c r="RZC89" s="21"/>
      <c r="RZD89" s="21"/>
      <c r="RZE89" s="21"/>
      <c r="RZF89" s="21"/>
      <c r="RZG89" s="21"/>
      <c r="RZH89" s="21"/>
      <c r="RZI89" s="21"/>
      <c r="RZJ89" s="21"/>
      <c r="RZK89" s="21"/>
      <c r="RZL89" s="21"/>
      <c r="RZM89" s="21"/>
      <c r="RZN89" s="21"/>
      <c r="RZO89" s="21"/>
      <c r="RZP89" s="21"/>
      <c r="RZQ89" s="21"/>
      <c r="RZR89" s="21"/>
      <c r="RZS89" s="21"/>
      <c r="RZT89" s="21"/>
      <c r="RZU89" s="21"/>
      <c r="RZV89" s="21"/>
      <c r="RZW89" s="21"/>
      <c r="RZX89" s="21"/>
      <c r="RZY89" s="21"/>
      <c r="RZZ89" s="21"/>
      <c r="SAA89" s="21"/>
      <c r="SAB89" s="21"/>
      <c r="SAC89" s="21"/>
      <c r="SAD89" s="21"/>
      <c r="SAE89" s="21"/>
      <c r="SAF89" s="21"/>
      <c r="SAG89" s="21"/>
      <c r="SAH89" s="21"/>
      <c r="SAI89" s="21"/>
      <c r="SAJ89" s="21"/>
      <c r="SAK89" s="21"/>
      <c r="SAL89" s="21"/>
      <c r="SAM89" s="21"/>
      <c r="SAN89" s="21"/>
      <c r="SAO89" s="21"/>
      <c r="SAP89" s="21"/>
      <c r="SAQ89" s="21"/>
      <c r="SAR89" s="21"/>
      <c r="SAS89" s="21"/>
      <c r="SAT89" s="21"/>
      <c r="SAU89" s="21"/>
      <c r="SAV89" s="21"/>
      <c r="SAW89" s="21"/>
      <c r="SAX89" s="21"/>
      <c r="SAY89" s="21"/>
      <c r="SAZ89" s="21"/>
      <c r="SBA89" s="21"/>
      <c r="SBB89" s="21"/>
      <c r="SBC89" s="21"/>
      <c r="SBD89" s="21"/>
      <c r="SBE89" s="21"/>
      <c r="SBF89" s="21"/>
      <c r="SBG89" s="21"/>
      <c r="SBH89" s="21"/>
      <c r="SBI89" s="21"/>
      <c r="SBJ89" s="21"/>
      <c r="SBK89" s="21"/>
      <c r="SBL89" s="21"/>
      <c r="SBM89" s="21"/>
      <c r="SBN89" s="21"/>
      <c r="SBO89" s="21"/>
      <c r="SBP89" s="21"/>
      <c r="SBQ89" s="21"/>
      <c r="SBR89" s="21"/>
      <c r="SBS89" s="21"/>
      <c r="SBT89" s="21"/>
      <c r="SBU89" s="21"/>
      <c r="SBV89" s="21"/>
      <c r="SBW89" s="21"/>
      <c r="SBX89" s="21"/>
      <c r="SBY89" s="21"/>
      <c r="SBZ89" s="21"/>
      <c r="SCA89" s="21"/>
      <c r="SCB89" s="21"/>
      <c r="SCC89" s="21"/>
      <c r="SCD89" s="21"/>
      <c r="SCE89" s="21"/>
      <c r="SCF89" s="21"/>
      <c r="SCG89" s="21"/>
      <c r="SCH89" s="21"/>
      <c r="SCI89" s="21"/>
      <c r="SCJ89" s="21"/>
      <c r="SCK89" s="21"/>
      <c r="SCL89" s="21"/>
      <c r="SCM89" s="21"/>
      <c r="SCN89" s="21"/>
      <c r="SCO89" s="21"/>
      <c r="SCP89" s="21"/>
      <c r="SCQ89" s="21"/>
      <c r="SCR89" s="21"/>
      <c r="SCS89" s="21"/>
      <c r="SCT89" s="21"/>
      <c r="SCU89" s="21"/>
      <c r="SCV89" s="21"/>
      <c r="SCW89" s="21"/>
      <c r="SCX89" s="21"/>
      <c r="SCY89" s="21"/>
      <c r="SCZ89" s="21"/>
      <c r="SDA89" s="21"/>
      <c r="SDB89" s="21"/>
      <c r="SDC89" s="21"/>
      <c r="SDD89" s="21"/>
      <c r="SDE89" s="21"/>
      <c r="SDF89" s="21"/>
      <c r="SDG89" s="21"/>
      <c r="SDH89" s="21"/>
      <c r="SDI89" s="21"/>
      <c r="SDJ89" s="21"/>
      <c r="SDK89" s="21"/>
      <c r="SDL89" s="21"/>
      <c r="SDM89" s="21"/>
      <c r="SDN89" s="21"/>
      <c r="SDO89" s="21"/>
      <c r="SDP89" s="21"/>
      <c r="SDQ89" s="21"/>
      <c r="SDR89" s="21"/>
      <c r="SDS89" s="21"/>
      <c r="SDT89" s="21"/>
      <c r="SDU89" s="21"/>
      <c r="SDV89" s="21"/>
      <c r="SDW89" s="21"/>
      <c r="SDX89" s="21"/>
      <c r="SDY89" s="21"/>
      <c r="SDZ89" s="21"/>
      <c r="SEA89" s="21"/>
      <c r="SEB89" s="21"/>
      <c r="SEC89" s="21"/>
      <c r="SED89" s="21"/>
      <c r="SEE89" s="21"/>
      <c r="SEF89" s="21"/>
      <c r="SEG89" s="21"/>
      <c r="SEH89" s="21"/>
      <c r="SEI89" s="21"/>
      <c r="SEJ89" s="21"/>
      <c r="SEK89" s="21"/>
      <c r="SEL89" s="21"/>
      <c r="SEM89" s="21"/>
      <c r="SEN89" s="21"/>
      <c r="SEO89" s="21"/>
      <c r="SEP89" s="21"/>
      <c r="SEQ89" s="21"/>
      <c r="SER89" s="21"/>
      <c r="SES89" s="21"/>
      <c r="SET89" s="21"/>
      <c r="SEU89" s="21"/>
      <c r="SEV89" s="21"/>
      <c r="SEW89" s="21"/>
      <c r="SEX89" s="21"/>
      <c r="SEY89" s="21"/>
      <c r="SEZ89" s="21"/>
      <c r="SFA89" s="21"/>
      <c r="SFB89" s="21"/>
      <c r="SFC89" s="21"/>
      <c r="SFD89" s="21"/>
      <c r="SFE89" s="21"/>
      <c r="SFF89" s="21"/>
      <c r="SFG89" s="21"/>
      <c r="SFH89" s="21"/>
      <c r="SFI89" s="21"/>
      <c r="SFJ89" s="21"/>
      <c r="SFK89" s="21"/>
      <c r="SFL89" s="21"/>
      <c r="SFM89" s="21"/>
      <c r="SFN89" s="21"/>
      <c r="SFO89" s="21"/>
      <c r="SFP89" s="21"/>
      <c r="SFQ89" s="21"/>
      <c r="SFR89" s="21"/>
      <c r="SFS89" s="21"/>
      <c r="SFT89" s="21"/>
      <c r="SFU89" s="21"/>
      <c r="SFV89" s="21"/>
      <c r="SFW89" s="21"/>
      <c r="SFX89" s="21"/>
      <c r="SFY89" s="21"/>
      <c r="SFZ89" s="21"/>
      <c r="SGA89" s="21"/>
      <c r="SGB89" s="21"/>
      <c r="SGC89" s="21"/>
      <c r="SGD89" s="21"/>
      <c r="SGE89" s="21"/>
      <c r="SGF89" s="21"/>
      <c r="SGG89" s="21"/>
      <c r="SGH89" s="21"/>
      <c r="SGI89" s="21"/>
      <c r="SGJ89" s="21"/>
      <c r="SGK89" s="21"/>
      <c r="SGL89" s="21"/>
      <c r="SGM89" s="21"/>
      <c r="SGN89" s="21"/>
      <c r="SGO89" s="21"/>
      <c r="SGP89" s="21"/>
      <c r="SGQ89" s="21"/>
      <c r="SGR89" s="21"/>
      <c r="SGS89" s="21"/>
      <c r="SGT89" s="21"/>
      <c r="SGU89" s="21"/>
      <c r="SGV89" s="21"/>
      <c r="SGW89" s="21"/>
      <c r="SGX89" s="21"/>
      <c r="SGY89" s="21"/>
      <c r="SGZ89" s="21"/>
      <c r="SHA89" s="21"/>
      <c r="SHB89" s="21"/>
      <c r="SHC89" s="21"/>
      <c r="SHD89" s="21"/>
      <c r="SHE89" s="21"/>
      <c r="SHF89" s="21"/>
      <c r="SHG89" s="21"/>
      <c r="SHH89" s="21"/>
      <c r="SHI89" s="21"/>
      <c r="SHJ89" s="21"/>
      <c r="SHK89" s="21"/>
      <c r="SHL89" s="21"/>
      <c r="SHM89" s="21"/>
      <c r="SHN89" s="21"/>
      <c r="SHO89" s="21"/>
      <c r="SHP89" s="21"/>
      <c r="SHQ89" s="21"/>
      <c r="SHR89" s="21"/>
      <c r="SHS89" s="21"/>
      <c r="SHT89" s="21"/>
      <c r="SHU89" s="21"/>
      <c r="SHV89" s="21"/>
      <c r="SHW89" s="21"/>
      <c r="SHX89" s="21"/>
      <c r="SHY89" s="21"/>
      <c r="SHZ89" s="21"/>
      <c r="SIA89" s="21"/>
      <c r="SIB89" s="21"/>
      <c r="SIC89" s="21"/>
      <c r="SID89" s="21"/>
      <c r="SIE89" s="21"/>
      <c r="SIF89" s="21"/>
      <c r="SIG89" s="21"/>
      <c r="SIH89" s="21"/>
      <c r="SII89" s="21"/>
      <c r="SIJ89" s="21"/>
      <c r="SIK89" s="21"/>
      <c r="SIL89" s="21"/>
      <c r="SIM89" s="21"/>
      <c r="SIN89" s="21"/>
      <c r="SIO89" s="21"/>
      <c r="SIP89" s="21"/>
      <c r="SIQ89" s="21"/>
      <c r="SIR89" s="21"/>
      <c r="SIS89" s="21"/>
      <c r="SIT89" s="21"/>
      <c r="SIU89" s="21"/>
      <c r="SIV89" s="21"/>
      <c r="SIW89" s="21"/>
      <c r="SIX89" s="21"/>
      <c r="SIY89" s="21"/>
      <c r="SIZ89" s="21"/>
      <c r="SJA89" s="21"/>
      <c r="SJB89" s="21"/>
      <c r="SJC89" s="21"/>
      <c r="SJD89" s="21"/>
      <c r="SJE89" s="21"/>
      <c r="SJF89" s="21"/>
      <c r="SJG89" s="21"/>
      <c r="SJH89" s="21"/>
      <c r="SJI89" s="21"/>
      <c r="SJJ89" s="21"/>
      <c r="SJK89" s="21"/>
      <c r="SJL89" s="21"/>
      <c r="SJM89" s="21"/>
      <c r="SJN89" s="21"/>
      <c r="SJO89" s="21"/>
      <c r="SJP89" s="21"/>
      <c r="SJQ89" s="21"/>
      <c r="SJR89" s="21"/>
      <c r="SJS89" s="21"/>
      <c r="SJT89" s="21"/>
      <c r="SJU89" s="21"/>
      <c r="SJV89" s="21"/>
      <c r="SJW89" s="21"/>
      <c r="SJX89" s="21"/>
      <c r="SJY89" s="21"/>
      <c r="SJZ89" s="21"/>
      <c r="SKA89" s="21"/>
      <c r="SKB89" s="21"/>
      <c r="SKC89" s="21"/>
      <c r="SKD89" s="21"/>
      <c r="SKE89" s="21"/>
      <c r="SKF89" s="21"/>
      <c r="SKG89" s="21"/>
      <c r="SKH89" s="21"/>
      <c r="SKI89" s="21"/>
      <c r="SKJ89" s="21"/>
      <c r="SKK89" s="21"/>
      <c r="SKL89" s="21"/>
      <c r="SKM89" s="21"/>
      <c r="SKN89" s="21"/>
      <c r="SKO89" s="21"/>
      <c r="SKP89" s="21"/>
      <c r="SKQ89" s="21"/>
      <c r="SKR89" s="21"/>
      <c r="SKS89" s="21"/>
      <c r="SKT89" s="21"/>
      <c r="SKU89" s="21"/>
      <c r="SKV89" s="21"/>
      <c r="SKW89" s="21"/>
      <c r="SKX89" s="21"/>
      <c r="SKY89" s="21"/>
      <c r="SKZ89" s="21"/>
      <c r="SLA89" s="21"/>
      <c r="SLB89" s="21"/>
      <c r="SLC89" s="21"/>
      <c r="SLD89" s="21"/>
      <c r="SLE89" s="21"/>
      <c r="SLF89" s="21"/>
      <c r="SLG89" s="21"/>
      <c r="SLH89" s="21"/>
      <c r="SLI89" s="21"/>
      <c r="SLJ89" s="21"/>
      <c r="SLK89" s="21"/>
      <c r="SLL89" s="21"/>
      <c r="SLM89" s="21"/>
      <c r="SLN89" s="21"/>
      <c r="SLO89" s="21"/>
      <c r="SLP89" s="21"/>
      <c r="SLQ89" s="21"/>
      <c r="SLR89" s="21"/>
      <c r="SLS89" s="21"/>
      <c r="SLT89" s="21"/>
      <c r="SLU89" s="21"/>
      <c r="SLV89" s="21"/>
      <c r="SLW89" s="21"/>
      <c r="SLX89" s="21"/>
      <c r="SLY89" s="21"/>
      <c r="SLZ89" s="21"/>
      <c r="SMA89" s="21"/>
      <c r="SMB89" s="21"/>
      <c r="SMC89" s="21"/>
      <c r="SMD89" s="21"/>
      <c r="SME89" s="21"/>
      <c r="SMF89" s="21"/>
      <c r="SMG89" s="21"/>
      <c r="SMH89" s="21"/>
      <c r="SMI89" s="21"/>
      <c r="SMJ89" s="21"/>
      <c r="SMK89" s="21"/>
      <c r="SML89" s="21"/>
      <c r="SMM89" s="21"/>
      <c r="SMN89" s="21"/>
      <c r="SMO89" s="21"/>
      <c r="SMP89" s="21"/>
      <c r="SMQ89" s="21"/>
      <c r="SMR89" s="21"/>
      <c r="SMS89" s="21"/>
      <c r="SMT89" s="21"/>
      <c r="SMU89" s="21"/>
      <c r="SMV89" s="21"/>
      <c r="SMW89" s="21"/>
      <c r="SMX89" s="21"/>
      <c r="SMY89" s="21"/>
      <c r="SMZ89" s="21"/>
      <c r="SNA89" s="21"/>
      <c r="SNB89" s="21"/>
      <c r="SNC89" s="21"/>
      <c r="SND89" s="21"/>
      <c r="SNE89" s="21"/>
      <c r="SNF89" s="21"/>
      <c r="SNG89" s="21"/>
      <c r="SNH89" s="21"/>
      <c r="SNI89" s="21"/>
      <c r="SNJ89" s="21"/>
      <c r="SNK89" s="21"/>
      <c r="SNL89" s="21"/>
      <c r="SNM89" s="21"/>
      <c r="SNN89" s="21"/>
      <c r="SNO89" s="21"/>
      <c r="SNP89" s="21"/>
      <c r="SNQ89" s="21"/>
      <c r="SNR89" s="21"/>
      <c r="SNS89" s="21"/>
      <c r="SNT89" s="21"/>
      <c r="SNU89" s="21"/>
      <c r="SNV89" s="21"/>
      <c r="SNW89" s="21"/>
      <c r="SNX89" s="21"/>
      <c r="SNY89" s="21"/>
      <c r="SNZ89" s="21"/>
      <c r="SOA89" s="21"/>
      <c r="SOB89" s="21"/>
      <c r="SOC89" s="21"/>
      <c r="SOD89" s="21"/>
      <c r="SOE89" s="21"/>
      <c r="SOF89" s="21"/>
      <c r="SOG89" s="21"/>
      <c r="SOH89" s="21"/>
      <c r="SOI89" s="21"/>
      <c r="SOJ89" s="21"/>
      <c r="SOK89" s="21"/>
      <c r="SOL89" s="21"/>
      <c r="SOM89" s="21"/>
      <c r="SON89" s="21"/>
      <c r="SOO89" s="21"/>
      <c r="SOP89" s="21"/>
      <c r="SOQ89" s="21"/>
      <c r="SOR89" s="21"/>
      <c r="SOS89" s="21"/>
      <c r="SOT89" s="21"/>
      <c r="SOU89" s="21"/>
      <c r="SOV89" s="21"/>
      <c r="SOW89" s="21"/>
      <c r="SOX89" s="21"/>
      <c r="SOY89" s="21"/>
      <c r="SOZ89" s="21"/>
      <c r="SPA89" s="21"/>
      <c r="SPB89" s="21"/>
      <c r="SPC89" s="21"/>
      <c r="SPD89" s="21"/>
      <c r="SPE89" s="21"/>
      <c r="SPF89" s="21"/>
      <c r="SPG89" s="21"/>
      <c r="SPH89" s="21"/>
      <c r="SPI89" s="21"/>
      <c r="SPJ89" s="21"/>
      <c r="SPK89" s="21"/>
      <c r="SPL89" s="21"/>
      <c r="SPM89" s="21"/>
      <c r="SPN89" s="21"/>
      <c r="SPO89" s="21"/>
      <c r="SPP89" s="21"/>
      <c r="SPQ89" s="21"/>
      <c r="SPR89" s="21"/>
      <c r="SPS89" s="21"/>
      <c r="SPT89" s="21"/>
      <c r="SPU89" s="21"/>
      <c r="SPV89" s="21"/>
      <c r="SPW89" s="21"/>
      <c r="SPX89" s="21"/>
      <c r="SPY89" s="21"/>
      <c r="SPZ89" s="21"/>
      <c r="SQA89" s="21"/>
      <c r="SQB89" s="21"/>
      <c r="SQC89" s="21"/>
      <c r="SQD89" s="21"/>
      <c r="SQE89" s="21"/>
      <c r="SQF89" s="21"/>
      <c r="SQG89" s="21"/>
      <c r="SQH89" s="21"/>
      <c r="SQI89" s="21"/>
      <c r="SQJ89" s="21"/>
      <c r="SQK89" s="21"/>
      <c r="SQL89" s="21"/>
      <c r="SQM89" s="21"/>
      <c r="SQN89" s="21"/>
      <c r="SQO89" s="21"/>
      <c r="SQP89" s="21"/>
      <c r="SQQ89" s="21"/>
      <c r="SQR89" s="21"/>
      <c r="SQS89" s="21"/>
      <c r="SQT89" s="21"/>
      <c r="SQU89" s="21"/>
      <c r="SQV89" s="21"/>
      <c r="SQW89" s="21"/>
      <c r="SQX89" s="21"/>
      <c r="SQY89" s="21"/>
      <c r="SQZ89" s="21"/>
      <c r="SRA89" s="21"/>
      <c r="SRB89" s="21"/>
      <c r="SRC89" s="21"/>
      <c r="SRD89" s="21"/>
      <c r="SRE89" s="21"/>
      <c r="SRF89" s="21"/>
      <c r="SRG89" s="21"/>
      <c r="SRH89" s="21"/>
      <c r="SRI89" s="21"/>
      <c r="SRJ89" s="21"/>
      <c r="SRK89" s="21"/>
      <c r="SRL89" s="21"/>
      <c r="SRM89" s="21"/>
      <c r="SRN89" s="21"/>
      <c r="SRO89" s="21"/>
      <c r="SRP89" s="21"/>
      <c r="SRQ89" s="21"/>
      <c r="SRR89" s="21"/>
      <c r="SRS89" s="21"/>
      <c r="SRT89" s="21"/>
      <c r="SRU89" s="21"/>
      <c r="SRV89" s="21"/>
      <c r="SRW89" s="21"/>
      <c r="SRX89" s="21"/>
      <c r="SRY89" s="21"/>
      <c r="SRZ89" s="21"/>
      <c r="SSA89" s="21"/>
      <c r="SSB89" s="21"/>
      <c r="SSC89" s="21"/>
      <c r="SSD89" s="21"/>
      <c r="SSE89" s="21"/>
      <c r="SSF89" s="21"/>
      <c r="SSG89" s="21"/>
      <c r="SSH89" s="21"/>
      <c r="SSI89" s="21"/>
      <c r="SSJ89" s="21"/>
      <c r="SSK89" s="21"/>
      <c r="SSL89" s="21"/>
      <c r="SSM89" s="21"/>
      <c r="SSN89" s="21"/>
      <c r="SSO89" s="21"/>
      <c r="SSP89" s="21"/>
      <c r="SSQ89" s="21"/>
      <c r="SSR89" s="21"/>
      <c r="SSS89" s="21"/>
      <c r="SST89" s="21"/>
      <c r="SSU89" s="21"/>
      <c r="SSV89" s="21"/>
      <c r="SSW89" s="21"/>
      <c r="SSX89" s="21"/>
      <c r="SSY89" s="21"/>
      <c r="SSZ89" s="21"/>
      <c r="STA89" s="21"/>
      <c r="STB89" s="21"/>
      <c r="STC89" s="21"/>
      <c r="STD89" s="21"/>
      <c r="STE89" s="21"/>
      <c r="STF89" s="21"/>
      <c r="STG89" s="21"/>
      <c r="STH89" s="21"/>
      <c r="STI89" s="21"/>
      <c r="STJ89" s="21"/>
      <c r="STK89" s="21"/>
      <c r="STL89" s="21"/>
      <c r="STM89" s="21"/>
      <c r="STN89" s="21"/>
      <c r="STO89" s="21"/>
      <c r="STP89" s="21"/>
      <c r="STQ89" s="21"/>
      <c r="STR89" s="21"/>
      <c r="STS89" s="21"/>
      <c r="STT89" s="21"/>
      <c r="STU89" s="21"/>
      <c r="STV89" s="21"/>
      <c r="STW89" s="21"/>
      <c r="STX89" s="21"/>
      <c r="STY89" s="21"/>
      <c r="STZ89" s="21"/>
      <c r="SUA89" s="21"/>
      <c r="SUB89" s="21"/>
      <c r="SUC89" s="21"/>
      <c r="SUD89" s="21"/>
      <c r="SUE89" s="21"/>
      <c r="SUF89" s="21"/>
      <c r="SUG89" s="21"/>
      <c r="SUH89" s="21"/>
      <c r="SUI89" s="21"/>
      <c r="SUJ89" s="21"/>
      <c r="SUK89" s="21"/>
      <c r="SUL89" s="21"/>
      <c r="SUM89" s="21"/>
      <c r="SUN89" s="21"/>
      <c r="SUO89" s="21"/>
      <c r="SUP89" s="21"/>
      <c r="SUQ89" s="21"/>
      <c r="SUR89" s="21"/>
      <c r="SUS89" s="21"/>
      <c r="SUT89" s="21"/>
      <c r="SUU89" s="21"/>
      <c r="SUV89" s="21"/>
      <c r="SUW89" s="21"/>
      <c r="SUX89" s="21"/>
      <c r="SUY89" s="21"/>
      <c r="SUZ89" s="21"/>
      <c r="SVA89" s="21"/>
      <c r="SVB89" s="21"/>
      <c r="SVC89" s="21"/>
      <c r="SVD89" s="21"/>
      <c r="SVE89" s="21"/>
      <c r="SVF89" s="21"/>
      <c r="SVG89" s="21"/>
      <c r="SVH89" s="21"/>
      <c r="SVI89" s="21"/>
      <c r="SVJ89" s="21"/>
      <c r="SVK89" s="21"/>
      <c r="SVL89" s="21"/>
      <c r="SVM89" s="21"/>
      <c r="SVN89" s="21"/>
      <c r="SVO89" s="21"/>
      <c r="SVP89" s="21"/>
      <c r="SVQ89" s="21"/>
      <c r="SVR89" s="21"/>
      <c r="SVS89" s="21"/>
      <c r="SVT89" s="21"/>
      <c r="SVU89" s="21"/>
      <c r="SVV89" s="21"/>
      <c r="SVW89" s="21"/>
      <c r="SVX89" s="21"/>
      <c r="SVY89" s="21"/>
      <c r="SVZ89" s="21"/>
      <c r="SWA89" s="21"/>
      <c r="SWB89" s="21"/>
      <c r="SWC89" s="21"/>
      <c r="SWD89" s="21"/>
      <c r="SWE89" s="21"/>
      <c r="SWF89" s="21"/>
      <c r="SWG89" s="21"/>
      <c r="SWH89" s="21"/>
      <c r="SWI89" s="21"/>
      <c r="SWJ89" s="21"/>
      <c r="SWK89" s="21"/>
      <c r="SWL89" s="21"/>
      <c r="SWM89" s="21"/>
      <c r="SWN89" s="21"/>
      <c r="SWO89" s="21"/>
      <c r="SWP89" s="21"/>
      <c r="SWQ89" s="21"/>
      <c r="SWR89" s="21"/>
      <c r="SWS89" s="21"/>
      <c r="SWT89" s="21"/>
      <c r="SWU89" s="21"/>
      <c r="SWV89" s="21"/>
      <c r="SWW89" s="21"/>
      <c r="SWX89" s="21"/>
      <c r="SWY89" s="21"/>
      <c r="SWZ89" s="21"/>
      <c r="SXA89" s="21"/>
      <c r="SXB89" s="21"/>
      <c r="SXC89" s="21"/>
      <c r="SXD89" s="21"/>
      <c r="SXE89" s="21"/>
      <c r="SXF89" s="21"/>
      <c r="SXG89" s="21"/>
      <c r="SXH89" s="21"/>
      <c r="SXI89" s="21"/>
      <c r="SXJ89" s="21"/>
      <c r="SXK89" s="21"/>
      <c r="SXL89" s="21"/>
      <c r="SXM89" s="21"/>
      <c r="SXN89" s="21"/>
      <c r="SXO89" s="21"/>
      <c r="SXP89" s="21"/>
      <c r="SXQ89" s="21"/>
      <c r="SXR89" s="21"/>
      <c r="SXS89" s="21"/>
      <c r="SXT89" s="21"/>
      <c r="SXU89" s="21"/>
      <c r="SXV89" s="21"/>
      <c r="SXW89" s="21"/>
      <c r="SXX89" s="21"/>
      <c r="SXY89" s="21"/>
      <c r="SXZ89" s="21"/>
      <c r="SYA89" s="21"/>
      <c r="SYB89" s="21"/>
      <c r="SYC89" s="21"/>
      <c r="SYD89" s="21"/>
      <c r="SYE89" s="21"/>
      <c r="SYF89" s="21"/>
      <c r="SYG89" s="21"/>
      <c r="SYH89" s="21"/>
      <c r="SYI89" s="21"/>
      <c r="SYJ89" s="21"/>
      <c r="SYK89" s="21"/>
      <c r="SYL89" s="21"/>
      <c r="SYM89" s="21"/>
      <c r="SYN89" s="21"/>
      <c r="SYO89" s="21"/>
      <c r="SYP89" s="21"/>
      <c r="SYQ89" s="21"/>
      <c r="SYR89" s="21"/>
      <c r="SYS89" s="21"/>
      <c r="SYT89" s="21"/>
      <c r="SYU89" s="21"/>
      <c r="SYV89" s="21"/>
      <c r="SYW89" s="21"/>
      <c r="SYX89" s="21"/>
      <c r="SYY89" s="21"/>
      <c r="SYZ89" s="21"/>
      <c r="SZA89" s="21"/>
      <c r="SZB89" s="21"/>
      <c r="SZC89" s="21"/>
      <c r="SZD89" s="21"/>
      <c r="SZE89" s="21"/>
      <c r="SZF89" s="21"/>
      <c r="SZG89" s="21"/>
      <c r="SZH89" s="21"/>
      <c r="SZI89" s="21"/>
      <c r="SZJ89" s="21"/>
      <c r="SZK89" s="21"/>
      <c r="SZL89" s="21"/>
      <c r="SZM89" s="21"/>
      <c r="SZN89" s="21"/>
      <c r="SZO89" s="21"/>
      <c r="SZP89" s="21"/>
      <c r="SZQ89" s="21"/>
      <c r="SZR89" s="21"/>
      <c r="SZS89" s="21"/>
      <c r="SZT89" s="21"/>
      <c r="SZU89" s="21"/>
      <c r="SZV89" s="21"/>
      <c r="SZW89" s="21"/>
      <c r="SZX89" s="21"/>
      <c r="SZY89" s="21"/>
      <c r="SZZ89" s="21"/>
      <c r="TAA89" s="21"/>
      <c r="TAB89" s="21"/>
      <c r="TAC89" s="21"/>
      <c r="TAD89" s="21"/>
      <c r="TAE89" s="21"/>
      <c r="TAF89" s="21"/>
      <c r="TAG89" s="21"/>
      <c r="TAH89" s="21"/>
      <c r="TAI89" s="21"/>
      <c r="TAJ89" s="21"/>
      <c r="TAK89" s="21"/>
      <c r="TAL89" s="21"/>
      <c r="TAM89" s="21"/>
      <c r="TAN89" s="21"/>
      <c r="TAO89" s="21"/>
      <c r="TAP89" s="21"/>
      <c r="TAQ89" s="21"/>
      <c r="TAR89" s="21"/>
      <c r="TAS89" s="21"/>
      <c r="TAT89" s="21"/>
      <c r="TAU89" s="21"/>
      <c r="TAV89" s="21"/>
      <c r="TAW89" s="21"/>
      <c r="TAX89" s="21"/>
      <c r="TAY89" s="21"/>
      <c r="TAZ89" s="21"/>
      <c r="TBA89" s="21"/>
      <c r="TBB89" s="21"/>
      <c r="TBC89" s="21"/>
      <c r="TBD89" s="21"/>
      <c r="TBE89" s="21"/>
      <c r="TBF89" s="21"/>
      <c r="TBG89" s="21"/>
      <c r="TBH89" s="21"/>
      <c r="TBI89" s="21"/>
      <c r="TBJ89" s="21"/>
      <c r="TBK89" s="21"/>
      <c r="TBL89" s="21"/>
      <c r="TBM89" s="21"/>
      <c r="TBN89" s="21"/>
      <c r="TBO89" s="21"/>
      <c r="TBP89" s="21"/>
      <c r="TBQ89" s="21"/>
      <c r="TBR89" s="21"/>
      <c r="TBS89" s="21"/>
      <c r="TBT89" s="21"/>
      <c r="TBU89" s="21"/>
      <c r="TBV89" s="21"/>
      <c r="TBW89" s="21"/>
      <c r="TBX89" s="21"/>
      <c r="TBY89" s="21"/>
      <c r="TBZ89" s="21"/>
      <c r="TCA89" s="21"/>
      <c r="TCB89" s="21"/>
      <c r="TCC89" s="21"/>
      <c r="TCD89" s="21"/>
      <c r="TCE89" s="21"/>
      <c r="TCF89" s="21"/>
      <c r="TCG89" s="21"/>
      <c r="TCH89" s="21"/>
      <c r="TCI89" s="21"/>
      <c r="TCJ89" s="21"/>
      <c r="TCK89" s="21"/>
      <c r="TCL89" s="21"/>
      <c r="TCM89" s="21"/>
      <c r="TCN89" s="21"/>
      <c r="TCO89" s="21"/>
      <c r="TCP89" s="21"/>
      <c r="TCQ89" s="21"/>
      <c r="TCR89" s="21"/>
      <c r="TCS89" s="21"/>
      <c r="TCT89" s="21"/>
      <c r="TCU89" s="21"/>
      <c r="TCV89" s="21"/>
      <c r="TCW89" s="21"/>
      <c r="TCX89" s="21"/>
      <c r="TCY89" s="21"/>
      <c r="TCZ89" s="21"/>
      <c r="TDA89" s="21"/>
      <c r="TDB89" s="21"/>
      <c r="TDC89" s="21"/>
      <c r="TDD89" s="21"/>
      <c r="TDE89" s="21"/>
      <c r="TDF89" s="21"/>
      <c r="TDG89" s="21"/>
      <c r="TDH89" s="21"/>
      <c r="TDI89" s="21"/>
      <c r="TDJ89" s="21"/>
      <c r="TDK89" s="21"/>
      <c r="TDL89" s="21"/>
      <c r="TDM89" s="21"/>
      <c r="TDN89" s="21"/>
      <c r="TDO89" s="21"/>
      <c r="TDP89" s="21"/>
      <c r="TDQ89" s="21"/>
      <c r="TDR89" s="21"/>
      <c r="TDS89" s="21"/>
      <c r="TDT89" s="21"/>
      <c r="TDU89" s="21"/>
      <c r="TDV89" s="21"/>
      <c r="TDW89" s="21"/>
      <c r="TDX89" s="21"/>
      <c r="TDY89" s="21"/>
      <c r="TDZ89" s="21"/>
      <c r="TEA89" s="21"/>
      <c r="TEB89" s="21"/>
      <c r="TEC89" s="21"/>
      <c r="TED89" s="21"/>
      <c r="TEE89" s="21"/>
      <c r="TEF89" s="21"/>
      <c r="TEG89" s="21"/>
      <c r="TEH89" s="21"/>
      <c r="TEI89" s="21"/>
      <c r="TEJ89" s="21"/>
      <c r="TEK89" s="21"/>
      <c r="TEL89" s="21"/>
      <c r="TEM89" s="21"/>
      <c r="TEN89" s="21"/>
      <c r="TEO89" s="21"/>
      <c r="TEP89" s="21"/>
      <c r="TEQ89" s="21"/>
      <c r="TER89" s="21"/>
      <c r="TES89" s="21"/>
      <c r="TET89" s="21"/>
      <c r="TEU89" s="21"/>
      <c r="TEV89" s="21"/>
      <c r="TEW89" s="21"/>
      <c r="TEX89" s="21"/>
      <c r="TEY89" s="21"/>
      <c r="TEZ89" s="21"/>
      <c r="TFA89" s="21"/>
      <c r="TFB89" s="21"/>
      <c r="TFC89" s="21"/>
      <c r="TFD89" s="21"/>
      <c r="TFE89" s="21"/>
      <c r="TFF89" s="21"/>
      <c r="TFG89" s="21"/>
      <c r="TFH89" s="21"/>
      <c r="TFI89" s="21"/>
      <c r="TFJ89" s="21"/>
      <c r="TFK89" s="21"/>
      <c r="TFL89" s="21"/>
      <c r="TFM89" s="21"/>
      <c r="TFN89" s="21"/>
      <c r="TFO89" s="21"/>
      <c r="TFP89" s="21"/>
      <c r="TFQ89" s="21"/>
      <c r="TFR89" s="21"/>
      <c r="TFS89" s="21"/>
      <c r="TFT89" s="21"/>
      <c r="TFU89" s="21"/>
      <c r="TFV89" s="21"/>
      <c r="TFW89" s="21"/>
      <c r="TFX89" s="21"/>
      <c r="TFY89" s="21"/>
      <c r="TFZ89" s="21"/>
      <c r="TGA89" s="21"/>
      <c r="TGB89" s="21"/>
      <c r="TGC89" s="21"/>
      <c r="TGD89" s="21"/>
      <c r="TGE89" s="21"/>
      <c r="TGF89" s="21"/>
      <c r="TGG89" s="21"/>
      <c r="TGH89" s="21"/>
      <c r="TGI89" s="21"/>
      <c r="TGJ89" s="21"/>
      <c r="TGK89" s="21"/>
      <c r="TGL89" s="21"/>
      <c r="TGM89" s="21"/>
      <c r="TGN89" s="21"/>
      <c r="TGO89" s="21"/>
      <c r="TGP89" s="21"/>
      <c r="TGQ89" s="21"/>
      <c r="TGR89" s="21"/>
      <c r="TGS89" s="21"/>
      <c r="TGT89" s="21"/>
      <c r="TGU89" s="21"/>
      <c r="TGV89" s="21"/>
      <c r="TGW89" s="21"/>
      <c r="TGX89" s="21"/>
      <c r="TGY89" s="21"/>
      <c r="TGZ89" s="21"/>
      <c r="THA89" s="21"/>
      <c r="THB89" s="21"/>
      <c r="THC89" s="21"/>
      <c r="THD89" s="21"/>
      <c r="THE89" s="21"/>
      <c r="THF89" s="21"/>
      <c r="THG89" s="21"/>
      <c r="THH89" s="21"/>
      <c r="THI89" s="21"/>
      <c r="THJ89" s="21"/>
      <c r="THK89" s="21"/>
      <c r="THL89" s="21"/>
      <c r="THM89" s="21"/>
      <c r="THN89" s="21"/>
      <c r="THO89" s="21"/>
      <c r="THP89" s="21"/>
      <c r="THQ89" s="21"/>
      <c r="THR89" s="21"/>
      <c r="THS89" s="21"/>
      <c r="THT89" s="21"/>
      <c r="THU89" s="21"/>
      <c r="THV89" s="21"/>
      <c r="THW89" s="21"/>
      <c r="THX89" s="21"/>
      <c r="THY89" s="21"/>
      <c r="THZ89" s="21"/>
      <c r="TIA89" s="21"/>
      <c r="TIB89" s="21"/>
      <c r="TIC89" s="21"/>
      <c r="TID89" s="21"/>
      <c r="TIE89" s="21"/>
      <c r="TIF89" s="21"/>
      <c r="TIG89" s="21"/>
      <c r="TIH89" s="21"/>
      <c r="TII89" s="21"/>
      <c r="TIJ89" s="21"/>
      <c r="TIK89" s="21"/>
      <c r="TIL89" s="21"/>
      <c r="TIM89" s="21"/>
      <c r="TIN89" s="21"/>
      <c r="TIO89" s="21"/>
      <c r="TIP89" s="21"/>
      <c r="TIQ89" s="21"/>
      <c r="TIR89" s="21"/>
      <c r="TIS89" s="21"/>
      <c r="TIT89" s="21"/>
      <c r="TIU89" s="21"/>
      <c r="TIV89" s="21"/>
      <c r="TIW89" s="21"/>
      <c r="TIX89" s="21"/>
      <c r="TIY89" s="21"/>
      <c r="TIZ89" s="21"/>
      <c r="TJA89" s="21"/>
      <c r="TJB89" s="21"/>
      <c r="TJC89" s="21"/>
      <c r="TJD89" s="21"/>
      <c r="TJE89" s="21"/>
      <c r="TJF89" s="21"/>
      <c r="TJG89" s="21"/>
      <c r="TJH89" s="21"/>
      <c r="TJI89" s="21"/>
      <c r="TJJ89" s="21"/>
      <c r="TJK89" s="21"/>
      <c r="TJL89" s="21"/>
      <c r="TJM89" s="21"/>
      <c r="TJN89" s="21"/>
      <c r="TJO89" s="21"/>
      <c r="TJP89" s="21"/>
      <c r="TJQ89" s="21"/>
      <c r="TJR89" s="21"/>
      <c r="TJS89" s="21"/>
      <c r="TJT89" s="21"/>
      <c r="TJU89" s="21"/>
      <c r="TJV89" s="21"/>
      <c r="TJW89" s="21"/>
      <c r="TJX89" s="21"/>
      <c r="TJY89" s="21"/>
      <c r="TJZ89" s="21"/>
      <c r="TKA89" s="21"/>
      <c r="TKB89" s="21"/>
      <c r="TKC89" s="21"/>
      <c r="TKD89" s="21"/>
      <c r="TKE89" s="21"/>
      <c r="TKF89" s="21"/>
      <c r="TKG89" s="21"/>
      <c r="TKH89" s="21"/>
      <c r="TKI89" s="21"/>
      <c r="TKJ89" s="21"/>
      <c r="TKK89" s="21"/>
      <c r="TKL89" s="21"/>
      <c r="TKM89" s="21"/>
      <c r="TKN89" s="21"/>
      <c r="TKO89" s="21"/>
      <c r="TKP89" s="21"/>
      <c r="TKQ89" s="21"/>
      <c r="TKR89" s="21"/>
      <c r="TKS89" s="21"/>
      <c r="TKT89" s="21"/>
      <c r="TKU89" s="21"/>
      <c r="TKV89" s="21"/>
      <c r="TKW89" s="21"/>
      <c r="TKX89" s="21"/>
      <c r="TKY89" s="21"/>
      <c r="TKZ89" s="21"/>
      <c r="TLA89" s="21"/>
      <c r="TLB89" s="21"/>
      <c r="TLC89" s="21"/>
      <c r="TLD89" s="21"/>
      <c r="TLE89" s="21"/>
      <c r="TLF89" s="21"/>
      <c r="TLG89" s="21"/>
      <c r="TLH89" s="21"/>
      <c r="TLI89" s="21"/>
      <c r="TLJ89" s="21"/>
      <c r="TLK89" s="21"/>
      <c r="TLL89" s="21"/>
      <c r="TLM89" s="21"/>
      <c r="TLN89" s="21"/>
      <c r="TLO89" s="21"/>
      <c r="TLP89" s="21"/>
      <c r="TLQ89" s="21"/>
      <c r="TLR89" s="21"/>
      <c r="TLS89" s="21"/>
      <c r="TLT89" s="21"/>
      <c r="TLU89" s="21"/>
      <c r="TLV89" s="21"/>
      <c r="TLW89" s="21"/>
      <c r="TLX89" s="21"/>
      <c r="TLY89" s="21"/>
      <c r="TLZ89" s="21"/>
      <c r="TMA89" s="21"/>
      <c r="TMB89" s="21"/>
      <c r="TMC89" s="21"/>
      <c r="TMD89" s="21"/>
      <c r="TME89" s="21"/>
      <c r="TMF89" s="21"/>
      <c r="TMG89" s="21"/>
      <c r="TMH89" s="21"/>
      <c r="TMI89" s="21"/>
      <c r="TMJ89" s="21"/>
      <c r="TMK89" s="21"/>
      <c r="TML89" s="21"/>
      <c r="TMM89" s="21"/>
      <c r="TMN89" s="21"/>
      <c r="TMO89" s="21"/>
      <c r="TMP89" s="21"/>
      <c r="TMQ89" s="21"/>
      <c r="TMR89" s="21"/>
      <c r="TMS89" s="21"/>
      <c r="TMT89" s="21"/>
      <c r="TMU89" s="21"/>
      <c r="TMV89" s="21"/>
      <c r="TMW89" s="21"/>
      <c r="TMX89" s="21"/>
      <c r="TMY89" s="21"/>
      <c r="TMZ89" s="21"/>
      <c r="TNA89" s="21"/>
      <c r="TNB89" s="21"/>
      <c r="TNC89" s="21"/>
      <c r="TND89" s="21"/>
      <c r="TNE89" s="21"/>
      <c r="TNF89" s="21"/>
      <c r="TNG89" s="21"/>
      <c r="TNH89" s="21"/>
      <c r="TNI89" s="21"/>
      <c r="TNJ89" s="21"/>
      <c r="TNK89" s="21"/>
      <c r="TNL89" s="21"/>
      <c r="TNM89" s="21"/>
      <c r="TNN89" s="21"/>
      <c r="TNO89" s="21"/>
      <c r="TNP89" s="21"/>
      <c r="TNQ89" s="21"/>
      <c r="TNR89" s="21"/>
      <c r="TNS89" s="21"/>
      <c r="TNT89" s="21"/>
      <c r="TNU89" s="21"/>
      <c r="TNV89" s="21"/>
      <c r="TNW89" s="21"/>
      <c r="TNX89" s="21"/>
      <c r="TNY89" s="21"/>
      <c r="TNZ89" s="21"/>
      <c r="TOA89" s="21"/>
      <c r="TOB89" s="21"/>
      <c r="TOC89" s="21"/>
      <c r="TOD89" s="21"/>
      <c r="TOE89" s="21"/>
      <c r="TOF89" s="21"/>
      <c r="TOG89" s="21"/>
      <c r="TOH89" s="21"/>
      <c r="TOI89" s="21"/>
      <c r="TOJ89" s="21"/>
      <c r="TOK89" s="21"/>
      <c r="TOL89" s="21"/>
      <c r="TOM89" s="21"/>
      <c r="TON89" s="21"/>
      <c r="TOO89" s="21"/>
      <c r="TOP89" s="21"/>
      <c r="TOQ89" s="21"/>
      <c r="TOR89" s="21"/>
      <c r="TOS89" s="21"/>
      <c r="TOT89" s="21"/>
      <c r="TOU89" s="21"/>
      <c r="TOV89" s="21"/>
      <c r="TOW89" s="21"/>
      <c r="TOX89" s="21"/>
      <c r="TOY89" s="21"/>
      <c r="TOZ89" s="21"/>
      <c r="TPA89" s="21"/>
      <c r="TPB89" s="21"/>
      <c r="TPC89" s="21"/>
      <c r="TPD89" s="21"/>
      <c r="TPE89" s="21"/>
      <c r="TPF89" s="21"/>
      <c r="TPG89" s="21"/>
      <c r="TPH89" s="21"/>
      <c r="TPI89" s="21"/>
      <c r="TPJ89" s="21"/>
      <c r="TPK89" s="21"/>
      <c r="TPL89" s="21"/>
      <c r="TPM89" s="21"/>
      <c r="TPN89" s="21"/>
      <c r="TPO89" s="21"/>
      <c r="TPP89" s="21"/>
      <c r="TPQ89" s="21"/>
      <c r="TPR89" s="21"/>
      <c r="TPS89" s="21"/>
      <c r="TPT89" s="21"/>
      <c r="TPU89" s="21"/>
      <c r="TPV89" s="21"/>
      <c r="TPW89" s="21"/>
      <c r="TPX89" s="21"/>
      <c r="TPY89" s="21"/>
      <c r="TPZ89" s="21"/>
      <c r="TQA89" s="21"/>
      <c r="TQB89" s="21"/>
      <c r="TQC89" s="21"/>
      <c r="TQD89" s="21"/>
      <c r="TQE89" s="21"/>
      <c r="TQF89" s="21"/>
      <c r="TQG89" s="21"/>
      <c r="TQH89" s="21"/>
      <c r="TQI89" s="21"/>
      <c r="TQJ89" s="21"/>
      <c r="TQK89" s="21"/>
      <c r="TQL89" s="21"/>
      <c r="TQM89" s="21"/>
      <c r="TQN89" s="21"/>
      <c r="TQO89" s="21"/>
      <c r="TQP89" s="21"/>
      <c r="TQQ89" s="21"/>
      <c r="TQR89" s="21"/>
      <c r="TQS89" s="21"/>
      <c r="TQT89" s="21"/>
      <c r="TQU89" s="21"/>
      <c r="TQV89" s="21"/>
      <c r="TQW89" s="21"/>
      <c r="TQX89" s="21"/>
      <c r="TQY89" s="21"/>
      <c r="TQZ89" s="21"/>
      <c r="TRA89" s="21"/>
      <c r="TRB89" s="21"/>
      <c r="TRC89" s="21"/>
      <c r="TRD89" s="21"/>
      <c r="TRE89" s="21"/>
      <c r="TRF89" s="21"/>
      <c r="TRG89" s="21"/>
      <c r="TRH89" s="21"/>
      <c r="TRI89" s="21"/>
      <c r="TRJ89" s="21"/>
      <c r="TRK89" s="21"/>
      <c r="TRL89" s="21"/>
      <c r="TRM89" s="21"/>
      <c r="TRN89" s="21"/>
      <c r="TRO89" s="21"/>
      <c r="TRP89" s="21"/>
      <c r="TRQ89" s="21"/>
      <c r="TRR89" s="21"/>
      <c r="TRS89" s="21"/>
      <c r="TRT89" s="21"/>
      <c r="TRU89" s="21"/>
      <c r="TRV89" s="21"/>
      <c r="TRW89" s="21"/>
      <c r="TRX89" s="21"/>
      <c r="TRY89" s="21"/>
      <c r="TRZ89" s="21"/>
      <c r="TSA89" s="21"/>
      <c r="TSB89" s="21"/>
      <c r="TSC89" s="21"/>
      <c r="TSD89" s="21"/>
      <c r="TSE89" s="21"/>
      <c r="TSF89" s="21"/>
      <c r="TSG89" s="21"/>
      <c r="TSH89" s="21"/>
      <c r="TSI89" s="21"/>
      <c r="TSJ89" s="21"/>
      <c r="TSK89" s="21"/>
      <c r="TSL89" s="21"/>
      <c r="TSM89" s="21"/>
      <c r="TSN89" s="21"/>
      <c r="TSO89" s="21"/>
      <c r="TSP89" s="21"/>
      <c r="TSQ89" s="21"/>
      <c r="TSR89" s="21"/>
      <c r="TSS89" s="21"/>
      <c r="TST89" s="21"/>
      <c r="TSU89" s="21"/>
      <c r="TSV89" s="21"/>
      <c r="TSW89" s="21"/>
      <c r="TSX89" s="21"/>
      <c r="TSY89" s="21"/>
      <c r="TSZ89" s="21"/>
      <c r="TTA89" s="21"/>
      <c r="TTB89" s="21"/>
      <c r="TTC89" s="21"/>
      <c r="TTD89" s="21"/>
      <c r="TTE89" s="21"/>
      <c r="TTF89" s="21"/>
      <c r="TTG89" s="21"/>
      <c r="TTH89" s="21"/>
      <c r="TTI89" s="21"/>
      <c r="TTJ89" s="21"/>
      <c r="TTK89" s="21"/>
      <c r="TTL89" s="21"/>
      <c r="TTM89" s="21"/>
      <c r="TTN89" s="21"/>
      <c r="TTO89" s="21"/>
      <c r="TTP89" s="21"/>
      <c r="TTQ89" s="21"/>
      <c r="TTR89" s="21"/>
      <c r="TTS89" s="21"/>
      <c r="TTT89" s="21"/>
      <c r="TTU89" s="21"/>
      <c r="TTV89" s="21"/>
      <c r="TTW89" s="21"/>
      <c r="TTX89" s="21"/>
      <c r="TTY89" s="21"/>
      <c r="TTZ89" s="21"/>
      <c r="TUA89" s="21"/>
      <c r="TUB89" s="21"/>
      <c r="TUC89" s="21"/>
      <c r="TUD89" s="21"/>
      <c r="TUE89" s="21"/>
      <c r="TUF89" s="21"/>
      <c r="TUG89" s="21"/>
      <c r="TUH89" s="21"/>
      <c r="TUI89" s="21"/>
      <c r="TUJ89" s="21"/>
      <c r="TUK89" s="21"/>
      <c r="TUL89" s="21"/>
      <c r="TUM89" s="21"/>
      <c r="TUN89" s="21"/>
      <c r="TUO89" s="21"/>
      <c r="TUP89" s="21"/>
      <c r="TUQ89" s="21"/>
      <c r="TUR89" s="21"/>
      <c r="TUS89" s="21"/>
      <c r="TUT89" s="21"/>
      <c r="TUU89" s="21"/>
      <c r="TUV89" s="21"/>
      <c r="TUW89" s="21"/>
      <c r="TUX89" s="21"/>
      <c r="TUY89" s="21"/>
      <c r="TUZ89" s="21"/>
      <c r="TVA89" s="21"/>
      <c r="TVB89" s="21"/>
      <c r="TVC89" s="21"/>
      <c r="TVD89" s="21"/>
      <c r="TVE89" s="21"/>
      <c r="TVF89" s="21"/>
      <c r="TVG89" s="21"/>
      <c r="TVH89" s="21"/>
      <c r="TVI89" s="21"/>
      <c r="TVJ89" s="21"/>
      <c r="TVK89" s="21"/>
      <c r="TVL89" s="21"/>
      <c r="TVM89" s="21"/>
      <c r="TVN89" s="21"/>
      <c r="TVO89" s="21"/>
      <c r="TVP89" s="21"/>
      <c r="TVQ89" s="21"/>
      <c r="TVR89" s="21"/>
      <c r="TVS89" s="21"/>
      <c r="TVT89" s="21"/>
      <c r="TVU89" s="21"/>
      <c r="TVV89" s="21"/>
      <c r="TVW89" s="21"/>
      <c r="TVX89" s="21"/>
      <c r="TVY89" s="21"/>
      <c r="TVZ89" s="21"/>
      <c r="TWA89" s="21"/>
      <c r="TWB89" s="21"/>
      <c r="TWC89" s="21"/>
      <c r="TWD89" s="21"/>
      <c r="TWE89" s="21"/>
      <c r="TWF89" s="21"/>
      <c r="TWG89" s="21"/>
      <c r="TWH89" s="21"/>
      <c r="TWI89" s="21"/>
      <c r="TWJ89" s="21"/>
      <c r="TWK89" s="21"/>
      <c r="TWL89" s="21"/>
      <c r="TWM89" s="21"/>
      <c r="TWN89" s="21"/>
      <c r="TWO89" s="21"/>
      <c r="TWP89" s="21"/>
      <c r="TWQ89" s="21"/>
      <c r="TWR89" s="21"/>
      <c r="TWS89" s="21"/>
      <c r="TWT89" s="21"/>
      <c r="TWU89" s="21"/>
      <c r="TWV89" s="21"/>
      <c r="TWW89" s="21"/>
      <c r="TWX89" s="21"/>
      <c r="TWY89" s="21"/>
      <c r="TWZ89" s="21"/>
      <c r="TXA89" s="21"/>
      <c r="TXB89" s="21"/>
      <c r="TXC89" s="21"/>
      <c r="TXD89" s="21"/>
      <c r="TXE89" s="21"/>
      <c r="TXF89" s="21"/>
      <c r="TXG89" s="21"/>
      <c r="TXH89" s="21"/>
      <c r="TXI89" s="21"/>
      <c r="TXJ89" s="21"/>
      <c r="TXK89" s="21"/>
      <c r="TXL89" s="21"/>
      <c r="TXM89" s="21"/>
      <c r="TXN89" s="21"/>
      <c r="TXO89" s="21"/>
      <c r="TXP89" s="21"/>
      <c r="TXQ89" s="21"/>
      <c r="TXR89" s="21"/>
      <c r="TXS89" s="21"/>
      <c r="TXT89" s="21"/>
      <c r="TXU89" s="21"/>
      <c r="TXV89" s="21"/>
      <c r="TXW89" s="21"/>
      <c r="TXX89" s="21"/>
      <c r="TXY89" s="21"/>
      <c r="TXZ89" s="21"/>
      <c r="TYA89" s="21"/>
      <c r="TYB89" s="21"/>
      <c r="TYC89" s="21"/>
      <c r="TYD89" s="21"/>
      <c r="TYE89" s="21"/>
      <c r="TYF89" s="21"/>
      <c r="TYG89" s="21"/>
      <c r="TYH89" s="21"/>
      <c r="TYI89" s="21"/>
      <c r="TYJ89" s="21"/>
      <c r="TYK89" s="21"/>
      <c r="TYL89" s="21"/>
      <c r="TYM89" s="21"/>
      <c r="TYN89" s="21"/>
      <c r="TYO89" s="21"/>
      <c r="TYP89" s="21"/>
      <c r="TYQ89" s="21"/>
      <c r="TYR89" s="21"/>
      <c r="TYS89" s="21"/>
      <c r="TYT89" s="21"/>
      <c r="TYU89" s="21"/>
      <c r="TYV89" s="21"/>
      <c r="TYW89" s="21"/>
      <c r="TYX89" s="21"/>
      <c r="TYY89" s="21"/>
      <c r="TYZ89" s="21"/>
      <c r="TZA89" s="21"/>
      <c r="TZB89" s="21"/>
      <c r="TZC89" s="21"/>
      <c r="TZD89" s="21"/>
      <c r="TZE89" s="21"/>
      <c r="TZF89" s="21"/>
      <c r="TZG89" s="21"/>
      <c r="TZH89" s="21"/>
      <c r="TZI89" s="21"/>
      <c r="TZJ89" s="21"/>
      <c r="TZK89" s="21"/>
      <c r="TZL89" s="21"/>
      <c r="TZM89" s="21"/>
      <c r="TZN89" s="21"/>
      <c r="TZO89" s="21"/>
      <c r="TZP89" s="21"/>
      <c r="TZQ89" s="21"/>
      <c r="TZR89" s="21"/>
      <c r="TZS89" s="21"/>
      <c r="TZT89" s="21"/>
      <c r="TZU89" s="21"/>
      <c r="TZV89" s="21"/>
      <c r="TZW89" s="21"/>
      <c r="TZX89" s="21"/>
      <c r="TZY89" s="21"/>
      <c r="TZZ89" s="21"/>
      <c r="UAA89" s="21"/>
      <c r="UAB89" s="21"/>
      <c r="UAC89" s="21"/>
      <c r="UAD89" s="21"/>
      <c r="UAE89" s="21"/>
      <c r="UAF89" s="21"/>
      <c r="UAG89" s="21"/>
      <c r="UAH89" s="21"/>
      <c r="UAI89" s="21"/>
      <c r="UAJ89" s="21"/>
      <c r="UAK89" s="21"/>
      <c r="UAL89" s="21"/>
      <c r="UAM89" s="21"/>
      <c r="UAN89" s="21"/>
      <c r="UAO89" s="21"/>
      <c r="UAP89" s="21"/>
      <c r="UAQ89" s="21"/>
      <c r="UAR89" s="21"/>
      <c r="UAS89" s="21"/>
      <c r="UAT89" s="21"/>
      <c r="UAU89" s="21"/>
      <c r="UAV89" s="21"/>
      <c r="UAW89" s="21"/>
      <c r="UAX89" s="21"/>
      <c r="UAY89" s="21"/>
      <c r="UAZ89" s="21"/>
      <c r="UBA89" s="21"/>
      <c r="UBB89" s="21"/>
      <c r="UBC89" s="21"/>
      <c r="UBD89" s="21"/>
      <c r="UBE89" s="21"/>
      <c r="UBF89" s="21"/>
      <c r="UBG89" s="21"/>
      <c r="UBH89" s="21"/>
      <c r="UBI89" s="21"/>
      <c r="UBJ89" s="21"/>
      <c r="UBK89" s="21"/>
      <c r="UBL89" s="21"/>
      <c r="UBM89" s="21"/>
      <c r="UBN89" s="21"/>
      <c r="UBO89" s="21"/>
      <c r="UBP89" s="21"/>
      <c r="UBQ89" s="21"/>
      <c r="UBR89" s="21"/>
      <c r="UBS89" s="21"/>
      <c r="UBT89" s="21"/>
      <c r="UBU89" s="21"/>
      <c r="UBV89" s="21"/>
      <c r="UBW89" s="21"/>
      <c r="UBX89" s="21"/>
      <c r="UBY89" s="21"/>
      <c r="UBZ89" s="21"/>
      <c r="UCA89" s="21"/>
      <c r="UCB89" s="21"/>
      <c r="UCC89" s="21"/>
      <c r="UCD89" s="21"/>
      <c r="UCE89" s="21"/>
      <c r="UCF89" s="21"/>
      <c r="UCG89" s="21"/>
      <c r="UCH89" s="21"/>
      <c r="UCI89" s="21"/>
      <c r="UCJ89" s="21"/>
      <c r="UCK89" s="21"/>
      <c r="UCL89" s="21"/>
      <c r="UCM89" s="21"/>
      <c r="UCN89" s="21"/>
      <c r="UCO89" s="21"/>
      <c r="UCP89" s="21"/>
      <c r="UCQ89" s="21"/>
      <c r="UCR89" s="21"/>
      <c r="UCS89" s="21"/>
      <c r="UCT89" s="21"/>
      <c r="UCU89" s="21"/>
      <c r="UCV89" s="21"/>
      <c r="UCW89" s="21"/>
      <c r="UCX89" s="21"/>
      <c r="UCY89" s="21"/>
      <c r="UCZ89" s="21"/>
      <c r="UDA89" s="21"/>
      <c r="UDB89" s="21"/>
      <c r="UDC89" s="21"/>
      <c r="UDD89" s="21"/>
      <c r="UDE89" s="21"/>
      <c r="UDF89" s="21"/>
      <c r="UDG89" s="21"/>
      <c r="UDH89" s="21"/>
      <c r="UDI89" s="21"/>
      <c r="UDJ89" s="21"/>
      <c r="UDK89" s="21"/>
      <c r="UDL89" s="21"/>
      <c r="UDM89" s="21"/>
      <c r="UDN89" s="21"/>
      <c r="UDO89" s="21"/>
      <c r="UDP89" s="21"/>
      <c r="UDQ89" s="21"/>
      <c r="UDR89" s="21"/>
      <c r="UDS89" s="21"/>
      <c r="UDT89" s="21"/>
      <c r="UDU89" s="21"/>
      <c r="UDV89" s="21"/>
      <c r="UDW89" s="21"/>
      <c r="UDX89" s="21"/>
      <c r="UDY89" s="21"/>
      <c r="UDZ89" s="21"/>
      <c r="UEA89" s="21"/>
      <c r="UEB89" s="21"/>
      <c r="UEC89" s="21"/>
      <c r="UED89" s="21"/>
      <c r="UEE89" s="21"/>
      <c r="UEF89" s="21"/>
      <c r="UEG89" s="21"/>
      <c r="UEH89" s="21"/>
      <c r="UEI89" s="21"/>
      <c r="UEJ89" s="21"/>
      <c r="UEK89" s="21"/>
      <c r="UEL89" s="21"/>
      <c r="UEM89" s="21"/>
      <c r="UEN89" s="21"/>
      <c r="UEO89" s="21"/>
      <c r="UEP89" s="21"/>
      <c r="UEQ89" s="21"/>
      <c r="UER89" s="21"/>
      <c r="UES89" s="21"/>
      <c r="UET89" s="21"/>
      <c r="UEU89" s="21"/>
      <c r="UEV89" s="21"/>
      <c r="UEW89" s="21"/>
      <c r="UEX89" s="21"/>
      <c r="UEY89" s="21"/>
      <c r="UEZ89" s="21"/>
      <c r="UFA89" s="21"/>
      <c r="UFB89" s="21"/>
      <c r="UFC89" s="21"/>
      <c r="UFD89" s="21"/>
      <c r="UFE89" s="21"/>
      <c r="UFF89" s="21"/>
      <c r="UFG89" s="21"/>
      <c r="UFH89" s="21"/>
      <c r="UFI89" s="21"/>
      <c r="UFJ89" s="21"/>
      <c r="UFK89" s="21"/>
      <c r="UFL89" s="21"/>
      <c r="UFM89" s="21"/>
      <c r="UFN89" s="21"/>
      <c r="UFO89" s="21"/>
      <c r="UFP89" s="21"/>
      <c r="UFQ89" s="21"/>
      <c r="UFR89" s="21"/>
      <c r="UFS89" s="21"/>
      <c r="UFT89" s="21"/>
      <c r="UFU89" s="21"/>
      <c r="UFV89" s="21"/>
      <c r="UFW89" s="21"/>
      <c r="UFX89" s="21"/>
      <c r="UFY89" s="21"/>
      <c r="UFZ89" s="21"/>
      <c r="UGA89" s="21"/>
      <c r="UGB89" s="21"/>
      <c r="UGC89" s="21"/>
      <c r="UGD89" s="21"/>
      <c r="UGE89" s="21"/>
      <c r="UGF89" s="21"/>
      <c r="UGG89" s="21"/>
      <c r="UGH89" s="21"/>
      <c r="UGI89" s="21"/>
      <c r="UGJ89" s="21"/>
      <c r="UGK89" s="21"/>
      <c r="UGL89" s="21"/>
      <c r="UGM89" s="21"/>
      <c r="UGN89" s="21"/>
      <c r="UGO89" s="21"/>
      <c r="UGP89" s="21"/>
      <c r="UGQ89" s="21"/>
      <c r="UGR89" s="21"/>
      <c r="UGS89" s="21"/>
      <c r="UGT89" s="21"/>
      <c r="UGU89" s="21"/>
      <c r="UGV89" s="21"/>
      <c r="UGW89" s="21"/>
      <c r="UGX89" s="21"/>
      <c r="UGY89" s="21"/>
      <c r="UGZ89" s="21"/>
      <c r="UHA89" s="21"/>
      <c r="UHB89" s="21"/>
      <c r="UHC89" s="21"/>
      <c r="UHD89" s="21"/>
      <c r="UHE89" s="21"/>
      <c r="UHF89" s="21"/>
      <c r="UHG89" s="21"/>
      <c r="UHH89" s="21"/>
      <c r="UHI89" s="21"/>
      <c r="UHJ89" s="21"/>
      <c r="UHK89" s="21"/>
      <c r="UHL89" s="21"/>
      <c r="UHM89" s="21"/>
      <c r="UHN89" s="21"/>
      <c r="UHO89" s="21"/>
      <c r="UHP89" s="21"/>
      <c r="UHQ89" s="21"/>
      <c r="UHR89" s="21"/>
      <c r="UHS89" s="21"/>
      <c r="UHT89" s="21"/>
      <c r="UHU89" s="21"/>
      <c r="UHV89" s="21"/>
      <c r="UHW89" s="21"/>
      <c r="UHX89" s="21"/>
      <c r="UHY89" s="21"/>
      <c r="UHZ89" s="21"/>
      <c r="UIA89" s="21"/>
      <c r="UIB89" s="21"/>
      <c r="UIC89" s="21"/>
      <c r="UID89" s="21"/>
      <c r="UIE89" s="21"/>
      <c r="UIF89" s="21"/>
      <c r="UIG89" s="21"/>
      <c r="UIH89" s="21"/>
      <c r="UII89" s="21"/>
      <c r="UIJ89" s="21"/>
      <c r="UIK89" s="21"/>
      <c r="UIL89" s="21"/>
      <c r="UIM89" s="21"/>
      <c r="UIN89" s="21"/>
      <c r="UIO89" s="21"/>
      <c r="UIP89" s="21"/>
      <c r="UIQ89" s="21"/>
      <c r="UIR89" s="21"/>
      <c r="UIS89" s="21"/>
      <c r="UIT89" s="21"/>
      <c r="UIU89" s="21"/>
      <c r="UIV89" s="21"/>
      <c r="UIW89" s="21"/>
      <c r="UIX89" s="21"/>
      <c r="UIY89" s="21"/>
      <c r="UIZ89" s="21"/>
      <c r="UJA89" s="21"/>
      <c r="UJB89" s="21"/>
      <c r="UJC89" s="21"/>
      <c r="UJD89" s="21"/>
      <c r="UJE89" s="21"/>
      <c r="UJF89" s="21"/>
      <c r="UJG89" s="21"/>
      <c r="UJH89" s="21"/>
      <c r="UJI89" s="21"/>
      <c r="UJJ89" s="21"/>
      <c r="UJK89" s="21"/>
      <c r="UJL89" s="21"/>
      <c r="UJM89" s="21"/>
      <c r="UJN89" s="21"/>
      <c r="UJO89" s="21"/>
      <c r="UJP89" s="21"/>
      <c r="UJQ89" s="21"/>
      <c r="UJR89" s="21"/>
      <c r="UJS89" s="21"/>
      <c r="UJT89" s="21"/>
      <c r="UJU89" s="21"/>
      <c r="UJV89" s="21"/>
      <c r="UJW89" s="21"/>
      <c r="UJX89" s="21"/>
      <c r="UJY89" s="21"/>
      <c r="UJZ89" s="21"/>
      <c r="UKA89" s="21"/>
      <c r="UKB89" s="21"/>
      <c r="UKC89" s="21"/>
      <c r="UKD89" s="21"/>
      <c r="UKE89" s="21"/>
      <c r="UKF89" s="21"/>
      <c r="UKG89" s="21"/>
      <c r="UKH89" s="21"/>
      <c r="UKI89" s="21"/>
      <c r="UKJ89" s="21"/>
      <c r="UKK89" s="21"/>
      <c r="UKL89" s="21"/>
      <c r="UKM89" s="21"/>
      <c r="UKN89" s="21"/>
      <c r="UKO89" s="21"/>
      <c r="UKP89" s="21"/>
      <c r="UKQ89" s="21"/>
      <c r="UKR89" s="21"/>
      <c r="UKS89" s="21"/>
      <c r="UKT89" s="21"/>
      <c r="UKU89" s="21"/>
      <c r="UKV89" s="21"/>
      <c r="UKW89" s="21"/>
      <c r="UKX89" s="21"/>
      <c r="UKY89" s="21"/>
      <c r="UKZ89" s="21"/>
      <c r="ULA89" s="21"/>
      <c r="ULB89" s="21"/>
      <c r="ULC89" s="21"/>
      <c r="ULD89" s="21"/>
      <c r="ULE89" s="21"/>
      <c r="ULF89" s="21"/>
      <c r="ULG89" s="21"/>
      <c r="ULH89" s="21"/>
      <c r="ULI89" s="21"/>
      <c r="ULJ89" s="21"/>
      <c r="ULK89" s="21"/>
      <c r="ULL89" s="21"/>
      <c r="ULM89" s="21"/>
      <c r="ULN89" s="21"/>
      <c r="ULO89" s="21"/>
      <c r="ULP89" s="21"/>
      <c r="ULQ89" s="21"/>
      <c r="ULR89" s="21"/>
      <c r="ULS89" s="21"/>
      <c r="ULT89" s="21"/>
      <c r="ULU89" s="21"/>
      <c r="ULV89" s="21"/>
      <c r="ULW89" s="21"/>
      <c r="ULX89" s="21"/>
      <c r="ULY89" s="21"/>
      <c r="ULZ89" s="21"/>
      <c r="UMA89" s="21"/>
      <c r="UMB89" s="21"/>
      <c r="UMC89" s="21"/>
      <c r="UMD89" s="21"/>
      <c r="UME89" s="21"/>
      <c r="UMF89" s="21"/>
      <c r="UMG89" s="21"/>
      <c r="UMH89" s="21"/>
      <c r="UMI89" s="21"/>
      <c r="UMJ89" s="21"/>
      <c r="UMK89" s="21"/>
      <c r="UML89" s="21"/>
      <c r="UMM89" s="21"/>
      <c r="UMN89" s="21"/>
      <c r="UMO89" s="21"/>
      <c r="UMP89" s="21"/>
      <c r="UMQ89" s="21"/>
      <c r="UMR89" s="21"/>
      <c r="UMS89" s="21"/>
      <c r="UMT89" s="21"/>
      <c r="UMU89" s="21"/>
      <c r="UMV89" s="21"/>
      <c r="UMW89" s="21"/>
      <c r="UMX89" s="21"/>
      <c r="UMY89" s="21"/>
      <c r="UMZ89" s="21"/>
      <c r="UNA89" s="21"/>
      <c r="UNB89" s="21"/>
      <c r="UNC89" s="21"/>
      <c r="UND89" s="21"/>
      <c r="UNE89" s="21"/>
      <c r="UNF89" s="21"/>
      <c r="UNG89" s="21"/>
      <c r="UNH89" s="21"/>
      <c r="UNI89" s="21"/>
      <c r="UNJ89" s="21"/>
      <c r="UNK89" s="21"/>
      <c r="UNL89" s="21"/>
      <c r="UNM89" s="21"/>
      <c r="UNN89" s="21"/>
      <c r="UNO89" s="21"/>
      <c r="UNP89" s="21"/>
      <c r="UNQ89" s="21"/>
      <c r="UNR89" s="21"/>
      <c r="UNS89" s="21"/>
      <c r="UNT89" s="21"/>
      <c r="UNU89" s="21"/>
      <c r="UNV89" s="21"/>
      <c r="UNW89" s="21"/>
      <c r="UNX89" s="21"/>
      <c r="UNY89" s="21"/>
      <c r="UNZ89" s="21"/>
      <c r="UOA89" s="21"/>
      <c r="UOB89" s="21"/>
      <c r="UOC89" s="21"/>
      <c r="UOD89" s="21"/>
      <c r="UOE89" s="21"/>
      <c r="UOF89" s="21"/>
      <c r="UOG89" s="21"/>
      <c r="UOH89" s="21"/>
      <c r="UOI89" s="21"/>
      <c r="UOJ89" s="21"/>
      <c r="UOK89" s="21"/>
      <c r="UOL89" s="21"/>
      <c r="UOM89" s="21"/>
      <c r="UON89" s="21"/>
      <c r="UOO89" s="21"/>
      <c r="UOP89" s="21"/>
      <c r="UOQ89" s="21"/>
      <c r="UOR89" s="21"/>
      <c r="UOS89" s="21"/>
      <c r="UOT89" s="21"/>
      <c r="UOU89" s="21"/>
      <c r="UOV89" s="21"/>
      <c r="UOW89" s="21"/>
      <c r="UOX89" s="21"/>
      <c r="UOY89" s="21"/>
      <c r="UOZ89" s="21"/>
      <c r="UPA89" s="21"/>
      <c r="UPB89" s="21"/>
      <c r="UPC89" s="21"/>
      <c r="UPD89" s="21"/>
      <c r="UPE89" s="21"/>
      <c r="UPF89" s="21"/>
      <c r="UPG89" s="21"/>
      <c r="UPH89" s="21"/>
      <c r="UPI89" s="21"/>
      <c r="UPJ89" s="21"/>
      <c r="UPK89" s="21"/>
      <c r="UPL89" s="21"/>
      <c r="UPM89" s="21"/>
      <c r="UPN89" s="21"/>
      <c r="UPO89" s="21"/>
      <c r="UPP89" s="21"/>
      <c r="UPQ89" s="21"/>
      <c r="UPR89" s="21"/>
      <c r="UPS89" s="21"/>
      <c r="UPT89" s="21"/>
      <c r="UPU89" s="21"/>
      <c r="UPV89" s="21"/>
      <c r="UPW89" s="21"/>
      <c r="UPX89" s="21"/>
      <c r="UPY89" s="21"/>
      <c r="UPZ89" s="21"/>
      <c r="UQA89" s="21"/>
      <c r="UQB89" s="21"/>
      <c r="UQC89" s="21"/>
      <c r="UQD89" s="21"/>
      <c r="UQE89" s="21"/>
      <c r="UQF89" s="21"/>
      <c r="UQG89" s="21"/>
      <c r="UQH89" s="21"/>
      <c r="UQI89" s="21"/>
      <c r="UQJ89" s="21"/>
      <c r="UQK89" s="21"/>
      <c r="UQL89" s="21"/>
      <c r="UQM89" s="21"/>
      <c r="UQN89" s="21"/>
      <c r="UQO89" s="21"/>
      <c r="UQP89" s="21"/>
      <c r="UQQ89" s="21"/>
      <c r="UQR89" s="21"/>
      <c r="UQS89" s="21"/>
      <c r="UQT89" s="21"/>
      <c r="UQU89" s="21"/>
      <c r="UQV89" s="21"/>
      <c r="UQW89" s="21"/>
      <c r="UQX89" s="21"/>
      <c r="UQY89" s="21"/>
      <c r="UQZ89" s="21"/>
      <c r="URA89" s="21"/>
      <c r="URB89" s="21"/>
      <c r="URC89" s="21"/>
      <c r="URD89" s="21"/>
      <c r="URE89" s="21"/>
      <c r="URF89" s="21"/>
      <c r="URG89" s="21"/>
      <c r="URH89" s="21"/>
      <c r="URI89" s="21"/>
      <c r="URJ89" s="21"/>
      <c r="URK89" s="21"/>
      <c r="URL89" s="21"/>
      <c r="URM89" s="21"/>
      <c r="URN89" s="21"/>
      <c r="URO89" s="21"/>
      <c r="URP89" s="21"/>
      <c r="URQ89" s="21"/>
      <c r="URR89" s="21"/>
      <c r="URS89" s="21"/>
      <c r="URT89" s="21"/>
      <c r="URU89" s="21"/>
      <c r="URV89" s="21"/>
      <c r="URW89" s="21"/>
      <c r="URX89" s="21"/>
      <c r="URY89" s="21"/>
      <c r="URZ89" s="21"/>
      <c r="USA89" s="21"/>
      <c r="USB89" s="21"/>
      <c r="USC89" s="21"/>
      <c r="USD89" s="21"/>
      <c r="USE89" s="21"/>
      <c r="USF89" s="21"/>
      <c r="USG89" s="21"/>
      <c r="USH89" s="21"/>
      <c r="USI89" s="21"/>
      <c r="USJ89" s="21"/>
      <c r="USK89" s="21"/>
      <c r="USL89" s="21"/>
      <c r="USM89" s="21"/>
      <c r="USN89" s="21"/>
      <c r="USO89" s="21"/>
      <c r="USP89" s="21"/>
      <c r="USQ89" s="21"/>
      <c r="USR89" s="21"/>
      <c r="USS89" s="21"/>
      <c r="UST89" s="21"/>
      <c r="USU89" s="21"/>
      <c r="USV89" s="21"/>
      <c r="USW89" s="21"/>
      <c r="USX89" s="21"/>
      <c r="USY89" s="21"/>
      <c r="USZ89" s="21"/>
      <c r="UTA89" s="21"/>
      <c r="UTB89" s="21"/>
      <c r="UTC89" s="21"/>
      <c r="UTD89" s="21"/>
      <c r="UTE89" s="21"/>
      <c r="UTF89" s="21"/>
      <c r="UTG89" s="21"/>
      <c r="UTH89" s="21"/>
      <c r="UTI89" s="21"/>
      <c r="UTJ89" s="21"/>
      <c r="UTK89" s="21"/>
      <c r="UTL89" s="21"/>
      <c r="UTM89" s="21"/>
      <c r="UTN89" s="21"/>
      <c r="UTO89" s="21"/>
      <c r="UTP89" s="21"/>
      <c r="UTQ89" s="21"/>
      <c r="UTR89" s="21"/>
      <c r="UTS89" s="21"/>
      <c r="UTT89" s="21"/>
      <c r="UTU89" s="21"/>
      <c r="UTV89" s="21"/>
      <c r="UTW89" s="21"/>
      <c r="UTX89" s="21"/>
      <c r="UTY89" s="21"/>
      <c r="UTZ89" s="21"/>
      <c r="UUA89" s="21"/>
      <c r="UUB89" s="21"/>
      <c r="UUC89" s="21"/>
      <c r="UUD89" s="21"/>
      <c r="UUE89" s="21"/>
      <c r="UUF89" s="21"/>
      <c r="UUG89" s="21"/>
      <c r="UUH89" s="21"/>
      <c r="UUI89" s="21"/>
      <c r="UUJ89" s="21"/>
      <c r="UUK89" s="21"/>
      <c r="UUL89" s="21"/>
      <c r="UUM89" s="21"/>
      <c r="UUN89" s="21"/>
      <c r="UUO89" s="21"/>
      <c r="UUP89" s="21"/>
      <c r="UUQ89" s="21"/>
      <c r="UUR89" s="21"/>
      <c r="UUS89" s="21"/>
      <c r="UUT89" s="21"/>
      <c r="UUU89" s="21"/>
      <c r="UUV89" s="21"/>
      <c r="UUW89" s="21"/>
      <c r="UUX89" s="21"/>
      <c r="UUY89" s="21"/>
      <c r="UUZ89" s="21"/>
      <c r="UVA89" s="21"/>
      <c r="UVB89" s="21"/>
      <c r="UVC89" s="21"/>
      <c r="UVD89" s="21"/>
      <c r="UVE89" s="21"/>
      <c r="UVF89" s="21"/>
      <c r="UVG89" s="21"/>
      <c r="UVH89" s="21"/>
      <c r="UVI89" s="21"/>
      <c r="UVJ89" s="21"/>
      <c r="UVK89" s="21"/>
      <c r="UVL89" s="21"/>
      <c r="UVM89" s="21"/>
      <c r="UVN89" s="21"/>
      <c r="UVO89" s="21"/>
      <c r="UVP89" s="21"/>
      <c r="UVQ89" s="21"/>
      <c r="UVR89" s="21"/>
      <c r="UVS89" s="21"/>
      <c r="UVT89" s="21"/>
      <c r="UVU89" s="21"/>
      <c r="UVV89" s="21"/>
      <c r="UVW89" s="21"/>
      <c r="UVX89" s="21"/>
      <c r="UVY89" s="21"/>
      <c r="UVZ89" s="21"/>
      <c r="UWA89" s="21"/>
      <c r="UWB89" s="21"/>
      <c r="UWC89" s="21"/>
      <c r="UWD89" s="21"/>
      <c r="UWE89" s="21"/>
      <c r="UWF89" s="21"/>
      <c r="UWG89" s="21"/>
      <c r="UWH89" s="21"/>
      <c r="UWI89" s="21"/>
      <c r="UWJ89" s="21"/>
      <c r="UWK89" s="21"/>
      <c r="UWL89" s="21"/>
      <c r="UWM89" s="21"/>
      <c r="UWN89" s="21"/>
      <c r="UWO89" s="21"/>
      <c r="UWP89" s="21"/>
      <c r="UWQ89" s="21"/>
      <c r="UWR89" s="21"/>
      <c r="UWS89" s="21"/>
      <c r="UWT89" s="21"/>
      <c r="UWU89" s="21"/>
      <c r="UWV89" s="21"/>
      <c r="UWW89" s="21"/>
      <c r="UWX89" s="21"/>
      <c r="UWY89" s="21"/>
      <c r="UWZ89" s="21"/>
      <c r="UXA89" s="21"/>
      <c r="UXB89" s="21"/>
      <c r="UXC89" s="21"/>
      <c r="UXD89" s="21"/>
      <c r="UXE89" s="21"/>
      <c r="UXF89" s="21"/>
      <c r="UXG89" s="21"/>
      <c r="UXH89" s="21"/>
      <c r="UXI89" s="21"/>
      <c r="UXJ89" s="21"/>
      <c r="UXK89" s="21"/>
      <c r="UXL89" s="21"/>
      <c r="UXM89" s="21"/>
      <c r="UXN89" s="21"/>
      <c r="UXO89" s="21"/>
      <c r="UXP89" s="21"/>
      <c r="UXQ89" s="21"/>
      <c r="UXR89" s="21"/>
      <c r="UXS89" s="21"/>
      <c r="UXT89" s="21"/>
      <c r="UXU89" s="21"/>
      <c r="UXV89" s="21"/>
      <c r="UXW89" s="21"/>
      <c r="UXX89" s="21"/>
      <c r="UXY89" s="21"/>
      <c r="UXZ89" s="21"/>
      <c r="UYA89" s="21"/>
      <c r="UYB89" s="21"/>
      <c r="UYC89" s="21"/>
      <c r="UYD89" s="21"/>
      <c r="UYE89" s="21"/>
      <c r="UYF89" s="21"/>
      <c r="UYG89" s="21"/>
      <c r="UYH89" s="21"/>
      <c r="UYI89" s="21"/>
      <c r="UYJ89" s="21"/>
      <c r="UYK89" s="21"/>
      <c r="UYL89" s="21"/>
      <c r="UYM89" s="21"/>
      <c r="UYN89" s="21"/>
      <c r="UYO89" s="21"/>
      <c r="UYP89" s="21"/>
      <c r="UYQ89" s="21"/>
      <c r="UYR89" s="21"/>
      <c r="UYS89" s="21"/>
      <c r="UYT89" s="21"/>
      <c r="UYU89" s="21"/>
      <c r="UYV89" s="21"/>
      <c r="UYW89" s="21"/>
      <c r="UYX89" s="21"/>
      <c r="UYY89" s="21"/>
      <c r="UYZ89" s="21"/>
      <c r="UZA89" s="21"/>
      <c r="UZB89" s="21"/>
      <c r="UZC89" s="21"/>
      <c r="UZD89" s="21"/>
      <c r="UZE89" s="21"/>
      <c r="UZF89" s="21"/>
      <c r="UZG89" s="21"/>
      <c r="UZH89" s="21"/>
      <c r="UZI89" s="21"/>
      <c r="UZJ89" s="21"/>
      <c r="UZK89" s="21"/>
      <c r="UZL89" s="21"/>
      <c r="UZM89" s="21"/>
      <c r="UZN89" s="21"/>
      <c r="UZO89" s="21"/>
      <c r="UZP89" s="21"/>
      <c r="UZQ89" s="21"/>
      <c r="UZR89" s="21"/>
      <c r="UZS89" s="21"/>
      <c r="UZT89" s="21"/>
      <c r="UZU89" s="21"/>
      <c r="UZV89" s="21"/>
      <c r="UZW89" s="21"/>
      <c r="UZX89" s="21"/>
      <c r="UZY89" s="21"/>
      <c r="UZZ89" s="21"/>
      <c r="VAA89" s="21"/>
      <c r="VAB89" s="21"/>
      <c r="VAC89" s="21"/>
      <c r="VAD89" s="21"/>
      <c r="VAE89" s="21"/>
      <c r="VAF89" s="21"/>
      <c r="VAG89" s="21"/>
      <c r="VAH89" s="21"/>
      <c r="VAI89" s="21"/>
      <c r="VAJ89" s="21"/>
      <c r="VAK89" s="21"/>
      <c r="VAL89" s="21"/>
      <c r="VAM89" s="21"/>
      <c r="VAN89" s="21"/>
      <c r="VAO89" s="21"/>
      <c r="VAP89" s="21"/>
      <c r="VAQ89" s="21"/>
      <c r="VAR89" s="21"/>
      <c r="VAS89" s="21"/>
      <c r="VAT89" s="21"/>
      <c r="VAU89" s="21"/>
      <c r="VAV89" s="21"/>
      <c r="VAW89" s="21"/>
      <c r="VAX89" s="21"/>
      <c r="VAY89" s="21"/>
      <c r="VAZ89" s="21"/>
      <c r="VBA89" s="21"/>
      <c r="VBB89" s="21"/>
      <c r="VBC89" s="21"/>
      <c r="VBD89" s="21"/>
      <c r="VBE89" s="21"/>
      <c r="VBF89" s="21"/>
      <c r="VBG89" s="21"/>
      <c r="VBH89" s="21"/>
      <c r="VBI89" s="21"/>
      <c r="VBJ89" s="21"/>
      <c r="VBK89" s="21"/>
      <c r="VBL89" s="21"/>
      <c r="VBM89" s="21"/>
      <c r="VBN89" s="21"/>
      <c r="VBO89" s="21"/>
      <c r="VBP89" s="21"/>
      <c r="VBQ89" s="21"/>
      <c r="VBR89" s="21"/>
      <c r="VBS89" s="21"/>
      <c r="VBT89" s="21"/>
      <c r="VBU89" s="21"/>
      <c r="VBV89" s="21"/>
      <c r="VBW89" s="21"/>
      <c r="VBX89" s="21"/>
      <c r="VBY89" s="21"/>
      <c r="VBZ89" s="21"/>
      <c r="VCA89" s="21"/>
      <c r="VCB89" s="21"/>
      <c r="VCC89" s="21"/>
      <c r="VCD89" s="21"/>
      <c r="VCE89" s="21"/>
      <c r="VCF89" s="21"/>
      <c r="VCG89" s="21"/>
      <c r="VCH89" s="21"/>
      <c r="VCI89" s="21"/>
      <c r="VCJ89" s="21"/>
      <c r="VCK89" s="21"/>
      <c r="VCL89" s="21"/>
      <c r="VCM89" s="21"/>
      <c r="VCN89" s="21"/>
      <c r="VCO89" s="21"/>
      <c r="VCP89" s="21"/>
      <c r="VCQ89" s="21"/>
      <c r="VCR89" s="21"/>
      <c r="VCS89" s="21"/>
      <c r="VCT89" s="21"/>
      <c r="VCU89" s="21"/>
      <c r="VCV89" s="21"/>
      <c r="VCW89" s="21"/>
      <c r="VCX89" s="21"/>
      <c r="VCY89" s="21"/>
      <c r="VCZ89" s="21"/>
      <c r="VDA89" s="21"/>
      <c r="VDB89" s="21"/>
      <c r="VDC89" s="21"/>
      <c r="VDD89" s="21"/>
      <c r="VDE89" s="21"/>
      <c r="VDF89" s="21"/>
      <c r="VDG89" s="21"/>
      <c r="VDH89" s="21"/>
      <c r="VDI89" s="21"/>
      <c r="VDJ89" s="21"/>
      <c r="VDK89" s="21"/>
      <c r="VDL89" s="21"/>
      <c r="VDM89" s="21"/>
      <c r="VDN89" s="21"/>
      <c r="VDO89" s="21"/>
      <c r="VDP89" s="21"/>
      <c r="VDQ89" s="21"/>
      <c r="VDR89" s="21"/>
      <c r="VDS89" s="21"/>
      <c r="VDT89" s="21"/>
      <c r="VDU89" s="21"/>
      <c r="VDV89" s="21"/>
      <c r="VDW89" s="21"/>
      <c r="VDX89" s="21"/>
      <c r="VDY89" s="21"/>
      <c r="VDZ89" s="21"/>
      <c r="VEA89" s="21"/>
      <c r="VEB89" s="21"/>
      <c r="VEC89" s="21"/>
      <c r="VED89" s="21"/>
      <c r="VEE89" s="21"/>
      <c r="VEF89" s="21"/>
      <c r="VEG89" s="21"/>
      <c r="VEH89" s="21"/>
      <c r="VEI89" s="21"/>
      <c r="VEJ89" s="21"/>
      <c r="VEK89" s="21"/>
      <c r="VEL89" s="21"/>
      <c r="VEM89" s="21"/>
      <c r="VEN89" s="21"/>
      <c r="VEO89" s="21"/>
      <c r="VEP89" s="21"/>
      <c r="VEQ89" s="21"/>
      <c r="VER89" s="21"/>
      <c r="VES89" s="21"/>
      <c r="VET89" s="21"/>
      <c r="VEU89" s="21"/>
      <c r="VEV89" s="21"/>
      <c r="VEW89" s="21"/>
      <c r="VEX89" s="21"/>
      <c r="VEY89" s="21"/>
      <c r="VEZ89" s="21"/>
      <c r="VFA89" s="21"/>
      <c r="VFB89" s="21"/>
      <c r="VFC89" s="21"/>
      <c r="VFD89" s="21"/>
      <c r="VFE89" s="21"/>
      <c r="VFF89" s="21"/>
      <c r="VFG89" s="21"/>
      <c r="VFH89" s="21"/>
      <c r="VFI89" s="21"/>
      <c r="VFJ89" s="21"/>
      <c r="VFK89" s="21"/>
      <c r="VFL89" s="21"/>
      <c r="VFM89" s="21"/>
      <c r="VFN89" s="21"/>
      <c r="VFO89" s="21"/>
      <c r="VFP89" s="21"/>
      <c r="VFQ89" s="21"/>
      <c r="VFR89" s="21"/>
      <c r="VFS89" s="21"/>
      <c r="VFT89" s="21"/>
      <c r="VFU89" s="21"/>
      <c r="VFV89" s="21"/>
      <c r="VFW89" s="21"/>
      <c r="VFX89" s="21"/>
      <c r="VFY89" s="21"/>
      <c r="VFZ89" s="21"/>
      <c r="VGA89" s="21"/>
      <c r="VGB89" s="21"/>
      <c r="VGC89" s="21"/>
      <c r="VGD89" s="21"/>
      <c r="VGE89" s="21"/>
      <c r="VGF89" s="21"/>
      <c r="VGG89" s="21"/>
      <c r="VGH89" s="21"/>
      <c r="VGI89" s="21"/>
      <c r="VGJ89" s="21"/>
      <c r="VGK89" s="21"/>
      <c r="VGL89" s="21"/>
      <c r="VGM89" s="21"/>
      <c r="VGN89" s="21"/>
      <c r="VGO89" s="21"/>
      <c r="VGP89" s="21"/>
      <c r="VGQ89" s="21"/>
      <c r="VGR89" s="21"/>
      <c r="VGS89" s="21"/>
      <c r="VGT89" s="21"/>
      <c r="VGU89" s="21"/>
      <c r="VGV89" s="21"/>
      <c r="VGW89" s="21"/>
      <c r="VGX89" s="21"/>
      <c r="VGY89" s="21"/>
      <c r="VGZ89" s="21"/>
      <c r="VHA89" s="21"/>
      <c r="VHB89" s="21"/>
      <c r="VHC89" s="21"/>
      <c r="VHD89" s="21"/>
      <c r="VHE89" s="21"/>
      <c r="VHF89" s="21"/>
      <c r="VHG89" s="21"/>
      <c r="VHH89" s="21"/>
      <c r="VHI89" s="21"/>
      <c r="VHJ89" s="21"/>
      <c r="VHK89" s="21"/>
      <c r="VHL89" s="21"/>
      <c r="VHM89" s="21"/>
      <c r="VHN89" s="21"/>
      <c r="VHO89" s="21"/>
      <c r="VHP89" s="21"/>
      <c r="VHQ89" s="21"/>
      <c r="VHR89" s="21"/>
      <c r="VHS89" s="21"/>
      <c r="VHT89" s="21"/>
      <c r="VHU89" s="21"/>
      <c r="VHV89" s="21"/>
      <c r="VHW89" s="21"/>
      <c r="VHX89" s="21"/>
      <c r="VHY89" s="21"/>
      <c r="VHZ89" s="21"/>
      <c r="VIA89" s="21"/>
      <c r="VIB89" s="21"/>
      <c r="VIC89" s="21"/>
      <c r="VID89" s="21"/>
      <c r="VIE89" s="21"/>
      <c r="VIF89" s="21"/>
      <c r="VIG89" s="21"/>
      <c r="VIH89" s="21"/>
      <c r="VII89" s="21"/>
      <c r="VIJ89" s="21"/>
      <c r="VIK89" s="21"/>
      <c r="VIL89" s="21"/>
      <c r="VIM89" s="21"/>
      <c r="VIN89" s="21"/>
      <c r="VIO89" s="21"/>
      <c r="VIP89" s="21"/>
      <c r="VIQ89" s="21"/>
      <c r="VIR89" s="21"/>
      <c r="VIS89" s="21"/>
      <c r="VIT89" s="21"/>
      <c r="VIU89" s="21"/>
      <c r="VIV89" s="21"/>
      <c r="VIW89" s="21"/>
      <c r="VIX89" s="21"/>
      <c r="VIY89" s="21"/>
      <c r="VIZ89" s="21"/>
      <c r="VJA89" s="21"/>
      <c r="VJB89" s="21"/>
      <c r="VJC89" s="21"/>
      <c r="VJD89" s="21"/>
      <c r="VJE89" s="21"/>
      <c r="VJF89" s="21"/>
      <c r="VJG89" s="21"/>
      <c r="VJH89" s="21"/>
      <c r="VJI89" s="21"/>
      <c r="VJJ89" s="21"/>
      <c r="VJK89" s="21"/>
      <c r="VJL89" s="21"/>
      <c r="VJM89" s="21"/>
      <c r="VJN89" s="21"/>
      <c r="VJO89" s="21"/>
      <c r="VJP89" s="21"/>
      <c r="VJQ89" s="21"/>
      <c r="VJR89" s="21"/>
      <c r="VJS89" s="21"/>
      <c r="VJT89" s="21"/>
      <c r="VJU89" s="21"/>
      <c r="VJV89" s="21"/>
      <c r="VJW89" s="21"/>
      <c r="VJX89" s="21"/>
      <c r="VJY89" s="21"/>
      <c r="VJZ89" s="21"/>
      <c r="VKA89" s="21"/>
      <c r="VKB89" s="21"/>
      <c r="VKC89" s="21"/>
      <c r="VKD89" s="21"/>
      <c r="VKE89" s="21"/>
      <c r="VKF89" s="21"/>
      <c r="VKG89" s="21"/>
      <c r="VKH89" s="21"/>
      <c r="VKI89" s="21"/>
      <c r="VKJ89" s="21"/>
      <c r="VKK89" s="21"/>
      <c r="VKL89" s="21"/>
      <c r="VKM89" s="21"/>
      <c r="VKN89" s="21"/>
      <c r="VKO89" s="21"/>
      <c r="VKP89" s="21"/>
      <c r="VKQ89" s="21"/>
      <c r="VKR89" s="21"/>
      <c r="VKS89" s="21"/>
      <c r="VKT89" s="21"/>
      <c r="VKU89" s="21"/>
      <c r="VKV89" s="21"/>
      <c r="VKW89" s="21"/>
      <c r="VKX89" s="21"/>
      <c r="VKY89" s="21"/>
      <c r="VKZ89" s="21"/>
      <c r="VLA89" s="21"/>
      <c r="VLB89" s="21"/>
      <c r="VLC89" s="21"/>
      <c r="VLD89" s="21"/>
      <c r="VLE89" s="21"/>
      <c r="VLF89" s="21"/>
      <c r="VLG89" s="21"/>
      <c r="VLH89" s="21"/>
      <c r="VLI89" s="21"/>
      <c r="VLJ89" s="21"/>
      <c r="VLK89" s="21"/>
      <c r="VLL89" s="21"/>
      <c r="VLM89" s="21"/>
      <c r="VLN89" s="21"/>
      <c r="VLO89" s="21"/>
      <c r="VLP89" s="21"/>
      <c r="VLQ89" s="21"/>
      <c r="VLR89" s="21"/>
      <c r="VLS89" s="21"/>
      <c r="VLT89" s="21"/>
      <c r="VLU89" s="21"/>
      <c r="VLV89" s="21"/>
      <c r="VLW89" s="21"/>
      <c r="VLX89" s="21"/>
      <c r="VLY89" s="21"/>
      <c r="VLZ89" s="21"/>
      <c r="VMA89" s="21"/>
      <c r="VMB89" s="21"/>
      <c r="VMC89" s="21"/>
      <c r="VMD89" s="21"/>
      <c r="VME89" s="21"/>
      <c r="VMF89" s="21"/>
      <c r="VMG89" s="21"/>
      <c r="VMH89" s="21"/>
      <c r="VMI89" s="21"/>
      <c r="VMJ89" s="21"/>
      <c r="VMK89" s="21"/>
      <c r="VML89" s="21"/>
      <c r="VMM89" s="21"/>
      <c r="VMN89" s="21"/>
      <c r="VMO89" s="21"/>
      <c r="VMP89" s="21"/>
      <c r="VMQ89" s="21"/>
      <c r="VMR89" s="21"/>
      <c r="VMS89" s="21"/>
      <c r="VMT89" s="21"/>
      <c r="VMU89" s="21"/>
      <c r="VMV89" s="21"/>
      <c r="VMW89" s="21"/>
      <c r="VMX89" s="21"/>
      <c r="VMY89" s="21"/>
      <c r="VMZ89" s="21"/>
      <c r="VNA89" s="21"/>
      <c r="VNB89" s="21"/>
      <c r="VNC89" s="21"/>
      <c r="VND89" s="21"/>
      <c r="VNE89" s="21"/>
      <c r="VNF89" s="21"/>
      <c r="VNG89" s="21"/>
      <c r="VNH89" s="21"/>
      <c r="VNI89" s="21"/>
      <c r="VNJ89" s="21"/>
      <c r="VNK89" s="21"/>
      <c r="VNL89" s="21"/>
      <c r="VNM89" s="21"/>
      <c r="VNN89" s="21"/>
      <c r="VNO89" s="21"/>
      <c r="VNP89" s="21"/>
      <c r="VNQ89" s="21"/>
      <c r="VNR89" s="21"/>
      <c r="VNS89" s="21"/>
      <c r="VNT89" s="21"/>
      <c r="VNU89" s="21"/>
      <c r="VNV89" s="21"/>
      <c r="VNW89" s="21"/>
      <c r="VNX89" s="21"/>
      <c r="VNY89" s="21"/>
      <c r="VNZ89" s="21"/>
      <c r="VOA89" s="21"/>
      <c r="VOB89" s="21"/>
      <c r="VOC89" s="21"/>
      <c r="VOD89" s="21"/>
      <c r="VOE89" s="21"/>
      <c r="VOF89" s="21"/>
      <c r="VOG89" s="21"/>
      <c r="VOH89" s="21"/>
      <c r="VOI89" s="21"/>
      <c r="VOJ89" s="21"/>
      <c r="VOK89" s="21"/>
      <c r="VOL89" s="21"/>
      <c r="VOM89" s="21"/>
      <c r="VON89" s="21"/>
      <c r="VOO89" s="21"/>
      <c r="VOP89" s="21"/>
      <c r="VOQ89" s="21"/>
      <c r="VOR89" s="21"/>
      <c r="VOS89" s="21"/>
      <c r="VOT89" s="21"/>
      <c r="VOU89" s="21"/>
      <c r="VOV89" s="21"/>
      <c r="VOW89" s="21"/>
      <c r="VOX89" s="21"/>
      <c r="VOY89" s="21"/>
      <c r="VOZ89" s="21"/>
      <c r="VPA89" s="21"/>
      <c r="VPB89" s="21"/>
      <c r="VPC89" s="21"/>
      <c r="VPD89" s="21"/>
      <c r="VPE89" s="21"/>
      <c r="VPF89" s="21"/>
      <c r="VPG89" s="21"/>
      <c r="VPH89" s="21"/>
      <c r="VPI89" s="21"/>
      <c r="VPJ89" s="21"/>
      <c r="VPK89" s="21"/>
      <c r="VPL89" s="21"/>
      <c r="VPM89" s="21"/>
      <c r="VPN89" s="21"/>
      <c r="VPO89" s="21"/>
      <c r="VPP89" s="21"/>
      <c r="VPQ89" s="21"/>
      <c r="VPR89" s="21"/>
      <c r="VPS89" s="21"/>
      <c r="VPT89" s="21"/>
      <c r="VPU89" s="21"/>
      <c r="VPV89" s="21"/>
      <c r="VPW89" s="21"/>
      <c r="VPX89" s="21"/>
      <c r="VPY89" s="21"/>
      <c r="VPZ89" s="21"/>
      <c r="VQA89" s="21"/>
      <c r="VQB89" s="21"/>
      <c r="VQC89" s="21"/>
      <c r="VQD89" s="21"/>
      <c r="VQE89" s="21"/>
      <c r="VQF89" s="21"/>
      <c r="VQG89" s="21"/>
      <c r="VQH89" s="21"/>
      <c r="VQI89" s="21"/>
      <c r="VQJ89" s="21"/>
      <c r="VQK89" s="21"/>
      <c r="VQL89" s="21"/>
      <c r="VQM89" s="21"/>
      <c r="VQN89" s="21"/>
      <c r="VQO89" s="21"/>
      <c r="VQP89" s="21"/>
      <c r="VQQ89" s="21"/>
      <c r="VQR89" s="21"/>
      <c r="VQS89" s="21"/>
      <c r="VQT89" s="21"/>
      <c r="VQU89" s="21"/>
      <c r="VQV89" s="21"/>
      <c r="VQW89" s="21"/>
      <c r="VQX89" s="21"/>
      <c r="VQY89" s="21"/>
      <c r="VQZ89" s="21"/>
      <c r="VRA89" s="21"/>
      <c r="VRB89" s="21"/>
      <c r="VRC89" s="21"/>
      <c r="VRD89" s="21"/>
      <c r="VRE89" s="21"/>
      <c r="VRF89" s="21"/>
      <c r="VRG89" s="21"/>
      <c r="VRH89" s="21"/>
      <c r="VRI89" s="21"/>
      <c r="VRJ89" s="21"/>
      <c r="VRK89" s="21"/>
      <c r="VRL89" s="21"/>
      <c r="VRM89" s="21"/>
      <c r="VRN89" s="21"/>
      <c r="VRO89" s="21"/>
      <c r="VRP89" s="21"/>
      <c r="VRQ89" s="21"/>
      <c r="VRR89" s="21"/>
      <c r="VRS89" s="21"/>
      <c r="VRT89" s="21"/>
      <c r="VRU89" s="21"/>
      <c r="VRV89" s="21"/>
      <c r="VRW89" s="21"/>
      <c r="VRX89" s="21"/>
      <c r="VRY89" s="21"/>
      <c r="VRZ89" s="21"/>
      <c r="VSA89" s="21"/>
      <c r="VSB89" s="21"/>
      <c r="VSC89" s="21"/>
      <c r="VSD89" s="21"/>
      <c r="VSE89" s="21"/>
      <c r="VSF89" s="21"/>
      <c r="VSG89" s="21"/>
      <c r="VSH89" s="21"/>
      <c r="VSI89" s="21"/>
      <c r="VSJ89" s="21"/>
      <c r="VSK89" s="21"/>
      <c r="VSL89" s="21"/>
      <c r="VSM89" s="21"/>
      <c r="VSN89" s="21"/>
      <c r="VSO89" s="21"/>
      <c r="VSP89" s="21"/>
      <c r="VSQ89" s="21"/>
      <c r="VSR89" s="21"/>
      <c r="VSS89" s="21"/>
      <c r="VST89" s="21"/>
      <c r="VSU89" s="21"/>
      <c r="VSV89" s="21"/>
      <c r="VSW89" s="21"/>
      <c r="VSX89" s="21"/>
      <c r="VSY89" s="21"/>
      <c r="VSZ89" s="21"/>
      <c r="VTA89" s="21"/>
      <c r="VTB89" s="21"/>
      <c r="VTC89" s="21"/>
      <c r="VTD89" s="21"/>
      <c r="VTE89" s="21"/>
      <c r="VTF89" s="21"/>
      <c r="VTG89" s="21"/>
      <c r="VTH89" s="21"/>
      <c r="VTI89" s="21"/>
      <c r="VTJ89" s="21"/>
      <c r="VTK89" s="21"/>
      <c r="VTL89" s="21"/>
      <c r="VTM89" s="21"/>
      <c r="VTN89" s="21"/>
      <c r="VTO89" s="21"/>
      <c r="VTP89" s="21"/>
      <c r="VTQ89" s="21"/>
      <c r="VTR89" s="21"/>
      <c r="VTS89" s="21"/>
      <c r="VTT89" s="21"/>
      <c r="VTU89" s="21"/>
      <c r="VTV89" s="21"/>
      <c r="VTW89" s="21"/>
      <c r="VTX89" s="21"/>
      <c r="VTY89" s="21"/>
      <c r="VTZ89" s="21"/>
      <c r="VUA89" s="21"/>
      <c r="VUB89" s="21"/>
      <c r="VUC89" s="21"/>
      <c r="VUD89" s="21"/>
      <c r="VUE89" s="21"/>
      <c r="VUF89" s="21"/>
      <c r="VUG89" s="21"/>
      <c r="VUH89" s="21"/>
      <c r="VUI89" s="21"/>
      <c r="VUJ89" s="21"/>
      <c r="VUK89" s="21"/>
      <c r="VUL89" s="21"/>
      <c r="VUM89" s="21"/>
      <c r="VUN89" s="21"/>
      <c r="VUO89" s="21"/>
      <c r="VUP89" s="21"/>
      <c r="VUQ89" s="21"/>
      <c r="VUR89" s="21"/>
      <c r="VUS89" s="21"/>
      <c r="VUT89" s="21"/>
      <c r="VUU89" s="21"/>
      <c r="VUV89" s="21"/>
      <c r="VUW89" s="21"/>
      <c r="VUX89" s="21"/>
      <c r="VUY89" s="21"/>
      <c r="VUZ89" s="21"/>
      <c r="VVA89" s="21"/>
      <c r="VVB89" s="21"/>
      <c r="VVC89" s="21"/>
      <c r="VVD89" s="21"/>
      <c r="VVE89" s="21"/>
      <c r="VVF89" s="21"/>
      <c r="VVG89" s="21"/>
      <c r="VVH89" s="21"/>
      <c r="VVI89" s="21"/>
      <c r="VVJ89" s="21"/>
      <c r="VVK89" s="21"/>
      <c r="VVL89" s="21"/>
      <c r="VVM89" s="21"/>
      <c r="VVN89" s="21"/>
      <c r="VVO89" s="21"/>
      <c r="VVP89" s="21"/>
      <c r="VVQ89" s="21"/>
      <c r="VVR89" s="21"/>
      <c r="VVS89" s="21"/>
      <c r="VVT89" s="21"/>
      <c r="VVU89" s="21"/>
      <c r="VVV89" s="21"/>
      <c r="VVW89" s="21"/>
      <c r="VVX89" s="21"/>
      <c r="VVY89" s="21"/>
      <c r="VVZ89" s="21"/>
      <c r="VWA89" s="21"/>
      <c r="VWB89" s="21"/>
      <c r="VWC89" s="21"/>
      <c r="VWD89" s="21"/>
      <c r="VWE89" s="21"/>
      <c r="VWF89" s="21"/>
      <c r="VWG89" s="21"/>
      <c r="VWH89" s="21"/>
      <c r="VWI89" s="21"/>
      <c r="VWJ89" s="21"/>
      <c r="VWK89" s="21"/>
      <c r="VWL89" s="21"/>
      <c r="VWM89" s="21"/>
      <c r="VWN89" s="21"/>
      <c r="VWO89" s="21"/>
      <c r="VWP89" s="21"/>
      <c r="VWQ89" s="21"/>
      <c r="VWR89" s="21"/>
      <c r="VWS89" s="21"/>
      <c r="VWT89" s="21"/>
      <c r="VWU89" s="21"/>
      <c r="VWV89" s="21"/>
      <c r="VWW89" s="21"/>
      <c r="VWX89" s="21"/>
      <c r="VWY89" s="21"/>
      <c r="VWZ89" s="21"/>
      <c r="VXA89" s="21"/>
      <c r="VXB89" s="21"/>
      <c r="VXC89" s="21"/>
      <c r="VXD89" s="21"/>
      <c r="VXE89" s="21"/>
      <c r="VXF89" s="21"/>
      <c r="VXG89" s="21"/>
      <c r="VXH89" s="21"/>
      <c r="VXI89" s="21"/>
      <c r="VXJ89" s="21"/>
      <c r="VXK89" s="21"/>
      <c r="VXL89" s="21"/>
      <c r="VXM89" s="21"/>
      <c r="VXN89" s="21"/>
      <c r="VXO89" s="21"/>
      <c r="VXP89" s="21"/>
      <c r="VXQ89" s="21"/>
      <c r="VXR89" s="21"/>
      <c r="VXS89" s="21"/>
      <c r="VXT89" s="21"/>
      <c r="VXU89" s="21"/>
      <c r="VXV89" s="21"/>
      <c r="VXW89" s="21"/>
      <c r="VXX89" s="21"/>
      <c r="VXY89" s="21"/>
      <c r="VXZ89" s="21"/>
      <c r="VYA89" s="21"/>
      <c r="VYB89" s="21"/>
      <c r="VYC89" s="21"/>
      <c r="VYD89" s="21"/>
      <c r="VYE89" s="21"/>
      <c r="VYF89" s="21"/>
      <c r="VYG89" s="21"/>
      <c r="VYH89" s="21"/>
      <c r="VYI89" s="21"/>
      <c r="VYJ89" s="21"/>
      <c r="VYK89" s="21"/>
      <c r="VYL89" s="21"/>
      <c r="VYM89" s="21"/>
      <c r="VYN89" s="21"/>
      <c r="VYO89" s="21"/>
      <c r="VYP89" s="21"/>
      <c r="VYQ89" s="21"/>
      <c r="VYR89" s="21"/>
      <c r="VYS89" s="21"/>
      <c r="VYT89" s="21"/>
      <c r="VYU89" s="21"/>
      <c r="VYV89" s="21"/>
      <c r="VYW89" s="21"/>
      <c r="VYX89" s="21"/>
      <c r="VYY89" s="21"/>
      <c r="VYZ89" s="21"/>
      <c r="VZA89" s="21"/>
      <c r="VZB89" s="21"/>
      <c r="VZC89" s="21"/>
      <c r="VZD89" s="21"/>
      <c r="VZE89" s="21"/>
      <c r="VZF89" s="21"/>
      <c r="VZG89" s="21"/>
      <c r="VZH89" s="21"/>
      <c r="VZI89" s="21"/>
      <c r="VZJ89" s="21"/>
      <c r="VZK89" s="21"/>
      <c r="VZL89" s="21"/>
      <c r="VZM89" s="21"/>
      <c r="VZN89" s="21"/>
      <c r="VZO89" s="21"/>
      <c r="VZP89" s="21"/>
      <c r="VZQ89" s="21"/>
      <c r="VZR89" s="21"/>
      <c r="VZS89" s="21"/>
      <c r="VZT89" s="21"/>
      <c r="VZU89" s="21"/>
      <c r="VZV89" s="21"/>
      <c r="VZW89" s="21"/>
      <c r="VZX89" s="21"/>
      <c r="VZY89" s="21"/>
      <c r="VZZ89" s="21"/>
      <c r="WAA89" s="21"/>
      <c r="WAB89" s="21"/>
      <c r="WAC89" s="21"/>
      <c r="WAD89" s="21"/>
      <c r="WAE89" s="21"/>
      <c r="WAF89" s="21"/>
      <c r="WAG89" s="21"/>
      <c r="WAH89" s="21"/>
      <c r="WAI89" s="21"/>
      <c r="WAJ89" s="21"/>
      <c r="WAK89" s="21"/>
      <c r="WAL89" s="21"/>
      <c r="WAM89" s="21"/>
      <c r="WAN89" s="21"/>
      <c r="WAO89" s="21"/>
      <c r="WAP89" s="21"/>
      <c r="WAQ89" s="21"/>
      <c r="WAR89" s="21"/>
      <c r="WAS89" s="21"/>
      <c r="WAT89" s="21"/>
      <c r="WAU89" s="21"/>
      <c r="WAV89" s="21"/>
      <c r="WAW89" s="21"/>
      <c r="WAX89" s="21"/>
      <c r="WAY89" s="21"/>
      <c r="WAZ89" s="21"/>
      <c r="WBA89" s="21"/>
      <c r="WBB89" s="21"/>
      <c r="WBC89" s="21"/>
      <c r="WBD89" s="21"/>
      <c r="WBE89" s="21"/>
      <c r="WBF89" s="21"/>
      <c r="WBG89" s="21"/>
      <c r="WBH89" s="21"/>
      <c r="WBI89" s="21"/>
      <c r="WBJ89" s="21"/>
      <c r="WBK89" s="21"/>
      <c r="WBL89" s="21"/>
      <c r="WBM89" s="21"/>
      <c r="WBN89" s="21"/>
      <c r="WBO89" s="21"/>
      <c r="WBP89" s="21"/>
      <c r="WBQ89" s="21"/>
      <c r="WBR89" s="21"/>
      <c r="WBS89" s="21"/>
      <c r="WBT89" s="21"/>
      <c r="WBU89" s="21"/>
      <c r="WBV89" s="21"/>
      <c r="WBW89" s="21"/>
      <c r="WBX89" s="21"/>
      <c r="WBY89" s="21"/>
      <c r="WBZ89" s="21"/>
      <c r="WCA89" s="21"/>
      <c r="WCB89" s="21"/>
      <c r="WCC89" s="21"/>
      <c r="WCD89" s="21"/>
      <c r="WCE89" s="21"/>
      <c r="WCF89" s="21"/>
      <c r="WCG89" s="21"/>
      <c r="WCH89" s="21"/>
      <c r="WCI89" s="21"/>
      <c r="WCJ89" s="21"/>
      <c r="WCK89" s="21"/>
      <c r="WCL89" s="21"/>
      <c r="WCM89" s="21"/>
      <c r="WCN89" s="21"/>
      <c r="WCO89" s="21"/>
      <c r="WCP89" s="21"/>
      <c r="WCQ89" s="21"/>
      <c r="WCR89" s="21"/>
      <c r="WCS89" s="21"/>
      <c r="WCT89" s="21"/>
      <c r="WCU89" s="21"/>
      <c r="WCV89" s="21"/>
      <c r="WCW89" s="21"/>
      <c r="WCX89" s="21"/>
      <c r="WCY89" s="21"/>
      <c r="WCZ89" s="21"/>
      <c r="WDA89" s="21"/>
      <c r="WDB89" s="21"/>
      <c r="WDC89" s="21"/>
      <c r="WDD89" s="21"/>
      <c r="WDE89" s="21"/>
      <c r="WDF89" s="21"/>
      <c r="WDG89" s="21"/>
      <c r="WDH89" s="21"/>
      <c r="WDI89" s="21"/>
      <c r="WDJ89" s="21"/>
      <c r="WDK89" s="21"/>
      <c r="WDL89" s="21"/>
      <c r="WDM89" s="21"/>
      <c r="WDN89" s="21"/>
      <c r="WDO89" s="21"/>
      <c r="WDP89" s="21"/>
      <c r="WDQ89" s="21"/>
      <c r="WDR89" s="21"/>
      <c r="WDS89" s="21"/>
      <c r="WDT89" s="21"/>
      <c r="WDU89" s="21"/>
      <c r="WDV89" s="21"/>
      <c r="WDW89" s="21"/>
      <c r="WDX89" s="21"/>
      <c r="WDY89" s="21"/>
      <c r="WDZ89" s="21"/>
      <c r="WEA89" s="21"/>
      <c r="WEB89" s="21"/>
      <c r="WEC89" s="21"/>
      <c r="WED89" s="21"/>
      <c r="WEE89" s="21"/>
      <c r="WEF89" s="21"/>
      <c r="WEG89" s="21"/>
      <c r="WEH89" s="21"/>
      <c r="WEI89" s="21"/>
      <c r="WEJ89" s="21"/>
      <c r="WEK89" s="21"/>
      <c r="WEL89" s="21"/>
      <c r="WEM89" s="21"/>
      <c r="WEN89" s="21"/>
      <c r="WEO89" s="21"/>
      <c r="WEP89" s="21"/>
      <c r="WEQ89" s="21"/>
      <c r="WER89" s="21"/>
      <c r="WES89" s="21"/>
      <c r="WET89" s="21"/>
      <c r="WEU89" s="21"/>
      <c r="WEV89" s="21"/>
      <c r="WEW89" s="21"/>
      <c r="WEX89" s="21"/>
      <c r="WEY89" s="21"/>
      <c r="WEZ89" s="21"/>
      <c r="WFA89" s="21"/>
      <c r="WFB89" s="21"/>
      <c r="WFC89" s="21"/>
      <c r="WFD89" s="21"/>
      <c r="WFE89" s="21"/>
      <c r="WFF89" s="21"/>
      <c r="WFG89" s="21"/>
      <c r="WFH89" s="21"/>
      <c r="WFI89" s="21"/>
      <c r="WFJ89" s="21"/>
      <c r="WFK89" s="21"/>
      <c r="WFL89" s="21"/>
      <c r="WFM89" s="21"/>
      <c r="WFN89" s="21"/>
      <c r="WFO89" s="21"/>
      <c r="WFP89" s="21"/>
      <c r="WFQ89" s="21"/>
      <c r="WFR89" s="21"/>
      <c r="WFS89" s="21"/>
      <c r="WFT89" s="21"/>
      <c r="WFU89" s="21"/>
      <c r="WFV89" s="21"/>
      <c r="WFW89" s="21"/>
      <c r="WFX89" s="21"/>
      <c r="WFY89" s="21"/>
      <c r="WFZ89" s="21"/>
      <c r="WGA89" s="21"/>
      <c r="WGB89" s="21"/>
      <c r="WGC89" s="21"/>
      <c r="WGD89" s="21"/>
      <c r="WGE89" s="21"/>
      <c r="WGF89" s="21"/>
      <c r="WGG89" s="21"/>
      <c r="WGH89" s="21"/>
      <c r="WGI89" s="21"/>
      <c r="WGJ89" s="21"/>
      <c r="WGK89" s="21"/>
      <c r="WGL89" s="21"/>
      <c r="WGM89" s="21"/>
      <c r="WGN89" s="21"/>
      <c r="WGO89" s="21"/>
      <c r="WGP89" s="21"/>
      <c r="WGQ89" s="21"/>
      <c r="WGR89" s="21"/>
      <c r="WGS89" s="21"/>
      <c r="WGT89" s="21"/>
      <c r="WGU89" s="21"/>
      <c r="WGV89" s="21"/>
      <c r="WGW89" s="21"/>
      <c r="WGX89" s="21"/>
      <c r="WGY89" s="21"/>
      <c r="WGZ89" s="21"/>
      <c r="WHA89" s="21"/>
      <c r="WHB89" s="21"/>
      <c r="WHC89" s="21"/>
      <c r="WHD89" s="21"/>
      <c r="WHE89" s="21"/>
      <c r="WHF89" s="21"/>
      <c r="WHG89" s="21"/>
      <c r="WHH89" s="21"/>
      <c r="WHI89" s="21"/>
      <c r="WHJ89" s="21"/>
      <c r="WHK89" s="21"/>
      <c r="WHL89" s="21"/>
      <c r="WHM89" s="21"/>
      <c r="WHN89" s="21"/>
      <c r="WHO89" s="21"/>
      <c r="WHP89" s="21"/>
      <c r="WHQ89" s="21"/>
      <c r="WHR89" s="21"/>
      <c r="WHS89" s="21"/>
      <c r="WHT89" s="21"/>
      <c r="WHU89" s="21"/>
      <c r="WHV89" s="21"/>
      <c r="WHW89" s="21"/>
      <c r="WHX89" s="21"/>
      <c r="WHY89" s="21"/>
      <c r="WHZ89" s="21"/>
      <c r="WIA89" s="21"/>
      <c r="WIB89" s="21"/>
      <c r="WIC89" s="21"/>
      <c r="WID89" s="21"/>
      <c r="WIE89" s="21"/>
      <c r="WIF89" s="21"/>
      <c r="WIG89" s="21"/>
      <c r="WIH89" s="21"/>
      <c r="WII89" s="21"/>
      <c r="WIJ89" s="21"/>
      <c r="WIK89" s="21"/>
      <c r="WIL89" s="21"/>
      <c r="WIM89" s="21"/>
      <c r="WIN89" s="21"/>
      <c r="WIO89" s="21"/>
      <c r="WIP89" s="21"/>
      <c r="WIQ89" s="21"/>
      <c r="WIR89" s="21"/>
      <c r="WIS89" s="21"/>
      <c r="WIT89" s="21"/>
      <c r="WIU89" s="21"/>
      <c r="WIV89" s="21"/>
      <c r="WIW89" s="21"/>
      <c r="WIX89" s="21"/>
      <c r="WIY89" s="21"/>
      <c r="WIZ89" s="21"/>
      <c r="WJA89" s="21"/>
      <c r="WJB89" s="21"/>
      <c r="WJC89" s="21"/>
      <c r="WJD89" s="21"/>
      <c r="WJE89" s="21"/>
      <c r="WJF89" s="21"/>
      <c r="WJG89" s="21"/>
      <c r="WJH89" s="21"/>
      <c r="WJI89" s="21"/>
      <c r="WJJ89" s="21"/>
      <c r="WJK89" s="21"/>
      <c r="WJL89" s="21"/>
      <c r="WJM89" s="21"/>
      <c r="WJN89" s="21"/>
      <c r="WJO89" s="21"/>
      <c r="WJP89" s="21"/>
      <c r="WJQ89" s="21"/>
      <c r="WJR89" s="21"/>
      <c r="WJS89" s="21"/>
      <c r="WJT89" s="21"/>
      <c r="WJU89" s="21"/>
      <c r="WJV89" s="21"/>
      <c r="WJW89" s="21"/>
      <c r="WJX89" s="21"/>
      <c r="WJY89" s="21"/>
      <c r="WJZ89" s="21"/>
      <c r="WKA89" s="21"/>
      <c r="WKB89" s="21"/>
      <c r="WKC89" s="21"/>
      <c r="WKD89" s="21"/>
      <c r="WKE89" s="21"/>
      <c r="WKF89" s="21"/>
      <c r="WKG89" s="21"/>
      <c r="WKH89" s="21"/>
      <c r="WKI89" s="21"/>
      <c r="WKJ89" s="21"/>
      <c r="WKK89" s="21"/>
      <c r="WKL89" s="21"/>
      <c r="WKM89" s="21"/>
      <c r="WKN89" s="21"/>
      <c r="WKO89" s="21"/>
      <c r="WKP89" s="21"/>
      <c r="WKQ89" s="21"/>
      <c r="WKR89" s="21"/>
      <c r="WKS89" s="21"/>
      <c r="WKT89" s="21"/>
      <c r="WKU89" s="21"/>
      <c r="WKV89" s="21"/>
      <c r="WKW89" s="21"/>
      <c r="WKX89" s="21"/>
      <c r="WKY89" s="21"/>
      <c r="WKZ89" s="21"/>
      <c r="WLA89" s="21"/>
      <c r="WLB89" s="21"/>
      <c r="WLC89" s="21"/>
      <c r="WLD89" s="21"/>
      <c r="WLE89" s="21"/>
      <c r="WLF89" s="21"/>
      <c r="WLG89" s="21"/>
      <c r="WLH89" s="21"/>
      <c r="WLI89" s="21"/>
      <c r="WLJ89" s="21"/>
      <c r="WLK89" s="21"/>
      <c r="WLL89" s="21"/>
      <c r="WLM89" s="21"/>
      <c r="WLN89" s="21"/>
      <c r="WLO89" s="21"/>
      <c r="WLP89" s="21"/>
      <c r="WLQ89" s="21"/>
      <c r="WLR89" s="21"/>
      <c r="WLS89" s="21"/>
      <c r="WLT89" s="21"/>
      <c r="WLU89" s="21"/>
      <c r="WLV89" s="21"/>
      <c r="WLW89" s="21"/>
      <c r="WLX89" s="21"/>
      <c r="WLY89" s="21"/>
      <c r="WLZ89" s="21"/>
      <c r="WMA89" s="21"/>
      <c r="WMB89" s="21"/>
      <c r="WMC89" s="21"/>
      <c r="WMD89" s="21"/>
      <c r="WME89" s="21"/>
      <c r="WMF89" s="21"/>
      <c r="WMG89" s="21"/>
      <c r="WMH89" s="21"/>
      <c r="WMI89" s="21"/>
      <c r="WMJ89" s="21"/>
      <c r="WMK89" s="21"/>
      <c r="WML89" s="21"/>
      <c r="WMM89" s="21"/>
      <c r="WMN89" s="21"/>
      <c r="WMO89" s="21"/>
      <c r="WMP89" s="21"/>
      <c r="WMQ89" s="21"/>
      <c r="WMR89" s="21"/>
      <c r="WMS89" s="21"/>
      <c r="WMT89" s="21"/>
      <c r="WMU89" s="21"/>
      <c r="WMV89" s="21"/>
      <c r="WMW89" s="21"/>
      <c r="WMX89" s="21"/>
      <c r="WMY89" s="21"/>
      <c r="WMZ89" s="21"/>
      <c r="WNA89" s="21"/>
      <c r="WNB89" s="21"/>
      <c r="WNC89" s="21"/>
      <c r="WND89" s="21"/>
      <c r="WNE89" s="21"/>
      <c r="WNF89" s="21"/>
      <c r="WNG89" s="21"/>
      <c r="WNH89" s="21"/>
      <c r="WNI89" s="21"/>
      <c r="WNJ89" s="21"/>
      <c r="WNK89" s="21"/>
      <c r="WNL89" s="21"/>
      <c r="WNM89" s="21"/>
      <c r="WNN89" s="21"/>
      <c r="WNO89" s="21"/>
      <c r="WNP89" s="21"/>
      <c r="WNQ89" s="21"/>
      <c r="WNR89" s="21"/>
      <c r="WNS89" s="21"/>
      <c r="WNT89" s="21"/>
      <c r="WNU89" s="21"/>
      <c r="WNV89" s="21"/>
      <c r="WNW89" s="21"/>
      <c r="WNX89" s="21"/>
      <c r="WNY89" s="21"/>
      <c r="WNZ89" s="21"/>
      <c r="WOA89" s="21"/>
      <c r="WOB89" s="21"/>
      <c r="WOC89" s="21"/>
      <c r="WOD89" s="21"/>
      <c r="WOE89" s="21"/>
      <c r="WOF89" s="21"/>
      <c r="WOG89" s="21"/>
      <c r="WOH89" s="21"/>
      <c r="WOI89" s="21"/>
      <c r="WOJ89" s="21"/>
      <c r="WOK89" s="21"/>
      <c r="WOL89" s="21"/>
      <c r="WOM89" s="21"/>
      <c r="WON89" s="21"/>
      <c r="WOO89" s="21"/>
      <c r="WOP89" s="21"/>
      <c r="WOQ89" s="21"/>
      <c r="WOR89" s="21"/>
      <c r="WOS89" s="21"/>
      <c r="WOT89" s="21"/>
      <c r="WOU89" s="21"/>
      <c r="WOV89" s="21"/>
      <c r="WOW89" s="21"/>
      <c r="WOX89" s="21"/>
      <c r="WOY89" s="21"/>
      <c r="WOZ89" s="21"/>
      <c r="WPA89" s="21"/>
      <c r="WPB89" s="21"/>
      <c r="WPC89" s="21"/>
      <c r="WPD89" s="21"/>
      <c r="WPE89" s="21"/>
      <c r="WPF89" s="21"/>
      <c r="WPG89" s="21"/>
      <c r="WPH89" s="21"/>
      <c r="WPI89" s="21"/>
      <c r="WPJ89" s="21"/>
      <c r="WPK89" s="21"/>
      <c r="WPL89" s="21"/>
      <c r="WPM89" s="21"/>
      <c r="WPN89" s="21"/>
      <c r="WPO89" s="21"/>
      <c r="WPP89" s="21"/>
      <c r="WPQ89" s="21"/>
      <c r="WPR89" s="21"/>
      <c r="WPS89" s="21"/>
      <c r="WPT89" s="21"/>
      <c r="WPU89" s="21"/>
      <c r="WPV89" s="21"/>
      <c r="WPW89" s="21"/>
      <c r="WPX89" s="21"/>
      <c r="WPY89" s="21"/>
      <c r="WPZ89" s="21"/>
      <c r="WQA89" s="21"/>
      <c r="WQB89" s="21"/>
      <c r="WQC89" s="21"/>
      <c r="WQD89" s="21"/>
      <c r="WQE89" s="21"/>
      <c r="WQF89" s="21"/>
      <c r="WQG89" s="21"/>
      <c r="WQH89" s="21"/>
      <c r="WQI89" s="21"/>
      <c r="WQJ89" s="21"/>
      <c r="WQK89" s="21"/>
      <c r="WQL89" s="21"/>
      <c r="WQM89" s="21"/>
      <c r="WQN89" s="21"/>
      <c r="WQO89" s="21"/>
      <c r="WQP89" s="21"/>
      <c r="WQQ89" s="21"/>
      <c r="WQR89" s="21"/>
      <c r="WQS89" s="21"/>
      <c r="WQT89" s="21"/>
      <c r="WQU89" s="21"/>
      <c r="WQV89" s="21"/>
      <c r="WQW89" s="21"/>
      <c r="WQX89" s="21"/>
      <c r="WQY89" s="21"/>
      <c r="WQZ89" s="21"/>
      <c r="WRA89" s="21"/>
      <c r="WRB89" s="21"/>
      <c r="WRC89" s="21"/>
      <c r="WRD89" s="21"/>
      <c r="WRE89" s="21"/>
      <c r="WRF89" s="21"/>
      <c r="WRG89" s="21"/>
      <c r="WRH89" s="21"/>
      <c r="WRI89" s="21"/>
      <c r="WRJ89" s="21"/>
      <c r="WRK89" s="21"/>
      <c r="WRL89" s="21"/>
      <c r="WRM89" s="21"/>
      <c r="WRN89" s="21"/>
      <c r="WRO89" s="21"/>
      <c r="WRP89" s="21"/>
      <c r="WRQ89" s="21"/>
      <c r="WRR89" s="21"/>
      <c r="WRS89" s="21"/>
      <c r="WRT89" s="21"/>
      <c r="WRU89" s="21"/>
      <c r="WRV89" s="21"/>
      <c r="WRW89" s="21"/>
      <c r="WRX89" s="21"/>
      <c r="WRY89" s="21"/>
      <c r="WRZ89" s="21"/>
      <c r="WSA89" s="21"/>
      <c r="WSB89" s="21"/>
      <c r="WSC89" s="21"/>
      <c r="WSD89" s="21"/>
      <c r="WSE89" s="21"/>
      <c r="WSF89" s="21"/>
      <c r="WSG89" s="21"/>
      <c r="WSH89" s="21"/>
      <c r="WSI89" s="21"/>
      <c r="WSJ89" s="21"/>
      <c r="WSK89" s="21"/>
      <c r="WSL89" s="21"/>
      <c r="WSM89" s="21"/>
      <c r="WSN89" s="21"/>
      <c r="WSO89" s="21"/>
      <c r="WSP89" s="21"/>
      <c r="WSQ89" s="21"/>
      <c r="WSR89" s="21"/>
      <c r="WSS89" s="21"/>
      <c r="WST89" s="21"/>
      <c r="WSU89" s="21"/>
      <c r="WSV89" s="21"/>
      <c r="WSW89" s="21"/>
      <c r="WSX89" s="21"/>
      <c r="WSY89" s="21"/>
      <c r="WSZ89" s="21"/>
      <c r="WTA89" s="21"/>
      <c r="WTB89" s="21"/>
      <c r="WTC89" s="21"/>
      <c r="WTD89" s="21"/>
      <c r="WTE89" s="21"/>
      <c r="WTF89" s="21"/>
      <c r="WTG89" s="21"/>
      <c r="WTH89" s="21"/>
      <c r="WTI89" s="21"/>
      <c r="WTJ89" s="21"/>
      <c r="WTK89" s="21"/>
      <c r="WTL89" s="21"/>
      <c r="WTM89" s="21"/>
      <c r="WTN89" s="21"/>
      <c r="WTO89" s="21"/>
      <c r="WTP89" s="21"/>
      <c r="WTQ89" s="21"/>
      <c r="WTR89" s="21"/>
      <c r="WTS89" s="21"/>
      <c r="WTT89" s="21"/>
      <c r="WTU89" s="21"/>
      <c r="WTV89" s="21"/>
      <c r="WTW89" s="21"/>
      <c r="WTX89" s="21"/>
      <c r="WTY89" s="21"/>
      <c r="WTZ89" s="21"/>
      <c r="WUA89" s="21"/>
      <c r="WUB89" s="21"/>
      <c r="WUC89" s="21"/>
      <c r="WUD89" s="21"/>
      <c r="WUE89" s="21"/>
      <c r="WUF89" s="21"/>
      <c r="WUG89" s="21"/>
      <c r="WUH89" s="21"/>
      <c r="WUI89" s="21"/>
      <c r="WUJ89" s="21"/>
      <c r="WUK89" s="21"/>
      <c r="WUL89" s="21"/>
      <c r="WUM89" s="21"/>
      <c r="WUN89" s="21"/>
      <c r="WUO89" s="21"/>
      <c r="WUP89" s="21"/>
      <c r="WUQ89" s="21"/>
      <c r="WUR89" s="21"/>
      <c r="WUS89" s="21"/>
      <c r="WUT89" s="21"/>
      <c r="WUU89" s="21"/>
      <c r="WUV89" s="21"/>
      <c r="WUW89" s="21"/>
      <c r="WUX89" s="21"/>
      <c r="WUY89" s="21"/>
      <c r="WUZ89" s="21"/>
      <c r="WVA89" s="21"/>
      <c r="WVB89" s="21"/>
      <c r="WVC89" s="21"/>
      <c r="WVD89" s="21"/>
      <c r="WVE89" s="21"/>
      <c r="WVF89" s="21"/>
      <c r="WVG89" s="21"/>
      <c r="WVH89" s="21"/>
      <c r="WVI89" s="21"/>
      <c r="WVJ89" s="21"/>
      <c r="WVK89" s="21"/>
      <c r="WVL89" s="21"/>
      <c r="WVM89" s="21"/>
      <c r="WVN89" s="21"/>
      <c r="WVO89" s="21"/>
      <c r="WVP89" s="21"/>
      <c r="WVQ89" s="21"/>
      <c r="WVR89" s="21"/>
      <c r="WVS89" s="21"/>
      <c r="WVT89" s="21"/>
      <c r="WVU89" s="21"/>
      <c r="WVV89" s="21"/>
      <c r="WVW89" s="21"/>
      <c r="WVX89" s="21"/>
      <c r="WVY89" s="21"/>
      <c r="WVZ89" s="21"/>
      <c r="WWA89" s="21"/>
      <c r="WWB89" s="21"/>
      <c r="WWC89" s="21"/>
      <c r="WWD89" s="21"/>
      <c r="WWE89" s="21"/>
      <c r="WWF89" s="21"/>
      <c r="WWG89" s="21"/>
      <c r="WWH89" s="21"/>
      <c r="WWI89" s="21"/>
      <c r="WWJ89" s="21"/>
      <c r="WWK89" s="21"/>
      <c r="WWL89" s="21"/>
      <c r="WWM89" s="21"/>
      <c r="WWN89" s="21"/>
      <c r="WWO89" s="21"/>
      <c r="WWP89" s="21"/>
      <c r="WWQ89" s="21"/>
      <c r="WWR89" s="21"/>
      <c r="WWS89" s="21"/>
      <c r="WWT89" s="21"/>
      <c r="WWU89" s="21"/>
      <c r="WWV89" s="21"/>
      <c r="WWW89" s="21"/>
      <c r="WWX89" s="21"/>
      <c r="WWY89" s="21"/>
      <c r="WWZ89" s="21"/>
      <c r="WXA89" s="21"/>
      <c r="WXB89" s="21"/>
      <c r="WXC89" s="21"/>
      <c r="WXD89" s="21"/>
      <c r="WXE89" s="21"/>
      <c r="WXF89" s="21"/>
      <c r="WXG89" s="21"/>
      <c r="WXH89" s="21"/>
      <c r="WXI89" s="21"/>
      <c r="WXJ89" s="21"/>
      <c r="WXK89" s="21"/>
      <c r="WXL89" s="21"/>
      <c r="WXM89" s="21"/>
      <c r="WXN89" s="21"/>
      <c r="WXO89" s="21"/>
      <c r="WXP89" s="21"/>
      <c r="WXQ89" s="21"/>
      <c r="WXR89" s="21"/>
      <c r="WXS89" s="21"/>
      <c r="WXT89" s="21"/>
      <c r="WXU89" s="21"/>
      <c r="WXV89" s="21"/>
      <c r="WXW89" s="21"/>
      <c r="WXX89" s="21"/>
      <c r="WXY89" s="21"/>
      <c r="WXZ89" s="21"/>
      <c r="WYA89" s="21"/>
      <c r="WYB89" s="21"/>
      <c r="WYC89" s="21"/>
      <c r="WYD89" s="21"/>
      <c r="WYE89" s="21"/>
      <c r="WYF89" s="21"/>
      <c r="WYG89" s="21"/>
      <c r="WYH89" s="21"/>
      <c r="WYI89" s="21"/>
      <c r="WYJ89" s="21"/>
      <c r="WYK89" s="21"/>
      <c r="WYL89" s="21"/>
      <c r="WYM89" s="21"/>
      <c r="WYN89" s="21"/>
      <c r="WYO89" s="21"/>
      <c r="WYP89" s="21"/>
      <c r="WYQ89" s="21"/>
      <c r="WYR89" s="21"/>
      <c r="WYS89" s="21"/>
      <c r="WYT89" s="21"/>
      <c r="WYU89" s="21"/>
      <c r="WYV89" s="21"/>
      <c r="WYW89" s="21"/>
      <c r="WYX89" s="21"/>
      <c r="WYY89" s="21"/>
      <c r="WYZ89" s="21"/>
      <c r="WZA89" s="21"/>
      <c r="WZB89" s="21"/>
      <c r="WZC89" s="21"/>
      <c r="WZD89" s="21"/>
      <c r="WZE89" s="21"/>
      <c r="WZF89" s="21"/>
      <c r="WZG89" s="21"/>
      <c r="WZH89" s="21"/>
      <c r="WZI89" s="21"/>
      <c r="WZJ89" s="21"/>
      <c r="WZK89" s="21"/>
      <c r="WZL89" s="21"/>
      <c r="WZM89" s="21"/>
      <c r="WZN89" s="21"/>
      <c r="WZO89" s="21"/>
      <c r="WZP89" s="21"/>
      <c r="WZQ89" s="21"/>
      <c r="WZR89" s="21"/>
      <c r="WZS89" s="21"/>
      <c r="WZT89" s="21"/>
      <c r="WZU89" s="21"/>
      <c r="WZV89" s="21"/>
      <c r="WZW89" s="21"/>
      <c r="WZX89" s="21"/>
      <c r="WZY89" s="21"/>
      <c r="WZZ89" s="21"/>
      <c r="XAA89" s="21"/>
      <c r="XAB89" s="21"/>
      <c r="XAC89" s="21"/>
      <c r="XAD89" s="21"/>
      <c r="XAE89" s="21"/>
      <c r="XAF89" s="21"/>
      <c r="XAG89" s="21"/>
      <c r="XAH89" s="21"/>
      <c r="XAI89" s="21"/>
      <c r="XAJ89" s="21"/>
      <c r="XAK89" s="21"/>
      <c r="XAL89" s="21"/>
      <c r="XAM89" s="21"/>
      <c r="XAN89" s="21"/>
      <c r="XAO89" s="21"/>
      <c r="XAP89" s="21"/>
      <c r="XAQ89" s="21"/>
      <c r="XAR89" s="21"/>
      <c r="XAS89" s="21"/>
      <c r="XAT89" s="21"/>
      <c r="XAU89" s="21"/>
      <c r="XAV89" s="21"/>
      <c r="XAW89" s="21"/>
      <c r="XAX89" s="21"/>
      <c r="XAY89" s="21"/>
      <c r="XAZ89" s="21"/>
      <c r="XBA89" s="21"/>
      <c r="XBB89" s="21"/>
      <c r="XBC89" s="21"/>
      <c r="XBD89" s="21"/>
      <c r="XBE89" s="21"/>
      <c r="XBF89" s="21"/>
      <c r="XBG89" s="21"/>
      <c r="XBH89" s="21"/>
      <c r="XBI89" s="21"/>
      <c r="XBJ89" s="21"/>
      <c r="XBK89" s="21"/>
      <c r="XBL89" s="21"/>
      <c r="XBM89" s="21"/>
      <c r="XBN89" s="21"/>
      <c r="XBO89" s="21"/>
      <c r="XBP89" s="21"/>
      <c r="XBQ89" s="21"/>
      <c r="XBR89" s="21"/>
      <c r="XBS89" s="21"/>
      <c r="XBT89" s="21"/>
      <c r="XBU89" s="21"/>
      <c r="XBV89" s="21"/>
      <c r="XBW89" s="21"/>
      <c r="XBX89" s="21"/>
      <c r="XBY89" s="21"/>
      <c r="XBZ89" s="21"/>
      <c r="XCA89" s="21"/>
      <c r="XCB89" s="21"/>
      <c r="XCC89" s="21"/>
      <c r="XCD89" s="21"/>
      <c r="XCE89" s="21"/>
      <c r="XCF89" s="21"/>
      <c r="XCG89" s="21"/>
      <c r="XCH89" s="21"/>
      <c r="XCI89" s="21"/>
      <c r="XCJ89" s="21"/>
      <c r="XCK89" s="21"/>
      <c r="XCL89" s="21"/>
      <c r="XCM89" s="21"/>
      <c r="XCN89" s="21"/>
      <c r="XCO89" s="21"/>
      <c r="XCP89" s="21"/>
      <c r="XCQ89" s="21"/>
      <c r="XCR89" s="21"/>
      <c r="XCS89" s="21"/>
      <c r="XCT89" s="21"/>
      <c r="XCU89" s="21"/>
      <c r="XCV89" s="21"/>
      <c r="XCW89" s="21"/>
      <c r="XCX89" s="21"/>
      <c r="XCY89" s="21"/>
      <c r="XCZ89" s="21"/>
      <c r="XDA89" s="21"/>
      <c r="XDB89" s="21"/>
      <c r="XDC89" s="21"/>
      <c r="XDD89" s="21"/>
      <c r="XDE89" s="21"/>
      <c r="XDF89" s="21"/>
      <c r="XDG89" s="21"/>
      <c r="XDH89" s="21"/>
      <c r="XDI89" s="21"/>
      <c r="XDJ89" s="21"/>
      <c r="XDK89" s="21"/>
      <c r="XDL89" s="21"/>
      <c r="XDM89" s="21"/>
      <c r="XDN89" s="21"/>
      <c r="XDO89" s="21"/>
      <c r="XDP89" s="21"/>
      <c r="XDQ89" s="21"/>
      <c r="XDR89" s="21"/>
      <c r="XDS89" s="21"/>
      <c r="XDT89" s="21"/>
      <c r="XDU89" s="21"/>
      <c r="XDV89" s="21"/>
      <c r="XDW89" s="21"/>
      <c r="XDX89" s="21"/>
      <c r="XDY89" s="21"/>
      <c r="XDZ89" s="21"/>
      <c r="XEA89" s="21"/>
      <c r="XEB89" s="21"/>
      <c r="XEC89" s="21"/>
      <c r="XED89" s="21"/>
      <c r="XEE89" s="21"/>
      <c r="XEF89" s="21"/>
      <c r="XEG89" s="21"/>
      <c r="XEH89" s="21"/>
      <c r="XEI89" s="21"/>
      <c r="XEJ89" s="21"/>
      <c r="XEK89" s="21"/>
      <c r="XEL89" s="21"/>
      <c r="XEM89" s="21"/>
      <c r="XEN89" s="21"/>
      <c r="XEO89" s="21"/>
      <c r="XEP89" s="21"/>
      <c r="XEQ89" s="21"/>
      <c r="XER89" s="21"/>
      <c r="XES89" s="21"/>
      <c r="XET89" s="21"/>
      <c r="XEU89" s="21"/>
      <c r="XEV89" s="21"/>
      <c r="XEW89" s="21"/>
      <c r="XEX89" s="21"/>
      <c r="XEY89" s="21"/>
      <c r="XEZ89" s="21"/>
      <c r="XFA89" s="21"/>
      <c r="XFB89" s="21"/>
      <c r="XFC89" s="21"/>
      <c r="XFD89" s="21"/>
    </row>
    <row r="90" spans="2:16384" ht="17" thickTop="1">
      <c r="B90" s="30"/>
      <c r="C90" s="28"/>
      <c r="D90" s="31"/>
      <c r="E90" s="31"/>
      <c r="F90" s="24"/>
      <c r="G90" s="24"/>
      <c r="H90" s="24"/>
      <c r="I90" s="24"/>
      <c r="J90" s="24"/>
      <c r="K90" s="25"/>
      <c r="L90" s="25"/>
    </row>
    <row r="92" spans="2:16384">
      <c r="B92" s="226" t="s">
        <v>172</v>
      </c>
      <c r="C92" s="227"/>
      <c r="H92" s="1" t="s">
        <v>124</v>
      </c>
      <c r="I92" s="1"/>
    </row>
    <row r="93" spans="2:16384">
      <c r="H93" t="s">
        <v>125</v>
      </c>
      <c r="I93" s="6">
        <f ca="1">OFFSET($E$74,0,Years_Forecasted)</f>
        <v>8230.0406107419676</v>
      </c>
    </row>
    <row r="94" spans="2:16384">
      <c r="B94" t="s">
        <v>9</v>
      </c>
      <c r="C94" s="6">
        <f ca="1">SUM(F79:O79)</f>
        <v>17719.9118537422</v>
      </c>
      <c r="H94" t="s">
        <v>126</v>
      </c>
      <c r="I94" s="13">
        <f>Perpetuity_Growth_Rate</f>
        <v>1.4999999999999999E-2</v>
      </c>
    </row>
    <row r="95" spans="2:16384" ht="16" customHeight="1">
      <c r="B95" t="s">
        <v>135</v>
      </c>
      <c r="C95" s="6">
        <f ca="1">I96</f>
        <v>144073.57029985753</v>
      </c>
      <c r="H95" t="s">
        <v>127</v>
      </c>
      <c r="I95" s="6">
        <f ca="1">$I$93*(1+$I$94)/(WACC-$I$94)</f>
        <v>173171.38893127366</v>
      </c>
    </row>
    <row r="96" spans="2:16384">
      <c r="B96" s="14" t="s">
        <v>129</v>
      </c>
      <c r="C96" s="15">
        <f ca="1">SUM(C94:C95)</f>
        <v>161793.48215359973</v>
      </c>
      <c r="H96" s="14" t="s">
        <v>136</v>
      </c>
      <c r="I96" s="15">
        <f ca="1">$I$95/((1+WACC)^Years_Forecasted)</f>
        <v>144073.57029985753</v>
      </c>
    </row>
    <row r="97" spans="2:22">
      <c r="B97" t="s">
        <v>130</v>
      </c>
      <c r="C97" s="6">
        <f>-'Balance Sheet Historic'!C62</f>
        <v>-9573</v>
      </c>
    </row>
    <row r="98" spans="2:22">
      <c r="B98" t="s">
        <v>131</v>
      </c>
      <c r="C98" s="6">
        <f>'Balance Sheet Historic'!C53</f>
        <v>28352</v>
      </c>
    </row>
    <row r="99" spans="2:22">
      <c r="B99" t="s">
        <v>132</v>
      </c>
      <c r="C99" s="6">
        <f>'Balance Sheet Historic'!C58</f>
        <v>-3805</v>
      </c>
    </row>
    <row r="100" spans="2:22">
      <c r="B100" s="14" t="s">
        <v>133</v>
      </c>
      <c r="C100" s="15">
        <f ca="1">SUM(C96:C99)</f>
        <v>176767.48215359973</v>
      </c>
      <c r="L100" s="3"/>
    </row>
    <row r="101" spans="2:22" ht="24" customHeight="1">
      <c r="B101" t="s">
        <v>203</v>
      </c>
      <c r="C101" s="6">
        <f>Shares_Outstanding / 1000000</f>
        <v>15171.99</v>
      </c>
    </row>
    <row r="102" spans="2:22">
      <c r="B102" s="14" t="s">
        <v>134</v>
      </c>
      <c r="C102" s="287">
        <f ca="1">C100/C101</f>
        <v>11.650909482118017</v>
      </c>
    </row>
    <row r="104" spans="2:22">
      <c r="B104" s="1" t="s">
        <v>260</v>
      </c>
      <c r="C104" s="276">
        <f ca="1">$C$96/EBITDA_FY0</f>
        <v>10.934947428602307</v>
      </c>
    </row>
    <row r="105" spans="2:22">
      <c r="B105" s="275" t="s">
        <v>261</v>
      </c>
      <c r="C105" s="277">
        <f ca="1">$C$96/Revenue_FY0</f>
        <v>1.6718866021886243</v>
      </c>
    </row>
    <row r="108" spans="2:22">
      <c r="B108" s="216" t="s">
        <v>120</v>
      </c>
      <c r="C108" s="216"/>
      <c r="D108" s="216"/>
      <c r="E108" s="216"/>
      <c r="F108" s="216"/>
      <c r="G108" s="216"/>
      <c r="H108" s="216"/>
      <c r="I108" s="8"/>
      <c r="J108" s="9"/>
      <c r="K108" s="10" t="s">
        <v>121</v>
      </c>
    </row>
    <row r="109" spans="2:22">
      <c r="B109" s="320" t="s">
        <v>110</v>
      </c>
      <c r="C109" s="321" t="s">
        <v>122</v>
      </c>
      <c r="D109" s="321"/>
      <c r="E109" s="321"/>
      <c r="F109" s="321"/>
      <c r="G109" s="321"/>
      <c r="H109" s="321"/>
      <c r="I109" s="8"/>
      <c r="J109" s="11" t="s">
        <v>123</v>
      </c>
      <c r="K109" s="16">
        <v>2.5000000000000001E-3</v>
      </c>
      <c r="O109" s="322" t="s">
        <v>282</v>
      </c>
      <c r="P109" s="322"/>
      <c r="Q109" s="322"/>
      <c r="R109" s="322"/>
    </row>
    <row r="110" spans="2:22" ht="17" thickBot="1">
      <c r="B110" s="320"/>
      <c r="C110" s="288">
        <f ca="1">$C$102</f>
        <v>11.650909482118017</v>
      </c>
      <c r="D110" s="218">
        <f>E110-$K$109</f>
        <v>9.9999999999999985E-3</v>
      </c>
      <c r="E110" s="218">
        <f>F110-$K$109</f>
        <v>1.2499999999999999E-2</v>
      </c>
      <c r="F110" s="219">
        <f>Perpetuity_Growth_Rate</f>
        <v>1.4999999999999999E-2</v>
      </c>
      <c r="G110" s="218">
        <f>F110+$K$109</f>
        <v>1.7499999999999998E-2</v>
      </c>
      <c r="H110" s="218">
        <f>G110+$K$109</f>
        <v>1.9999999999999997E-2</v>
      </c>
      <c r="I110" s="8"/>
      <c r="O110" s="25"/>
      <c r="P110" s="253" t="s">
        <v>223</v>
      </c>
      <c r="Q110" s="253" t="s">
        <v>234</v>
      </c>
      <c r="R110" s="253" t="s">
        <v>224</v>
      </c>
      <c r="T110" s="254" t="s">
        <v>231</v>
      </c>
      <c r="U110" s="254" t="s">
        <v>232</v>
      </c>
      <c r="V110" s="254" t="s">
        <v>233</v>
      </c>
    </row>
    <row r="111" spans="2:22">
      <c r="B111" s="320"/>
      <c r="C111" s="218">
        <f>C112-$K$111</f>
        <v>5.823828734906282E-2</v>
      </c>
      <c r="D111" s="289">
        <f t="dataTable" ref="D111:H115" dt2D="1" dtr="1" r1="I94" r2="E57" ca="1"/>
        <v>11.750365923122569</v>
      </c>
      <c r="E111" s="290">
        <v>12.299224834060901</v>
      </c>
      <c r="F111" s="291">
        <v>12.911552830454372</v>
      </c>
      <c r="G111" s="290">
        <v>13.599034697596851</v>
      </c>
      <c r="H111" s="290">
        <v>14.37641100233099</v>
      </c>
      <c r="I111" s="8"/>
      <c r="J111" s="11" t="s">
        <v>110</v>
      </c>
      <c r="K111" s="16">
        <v>2.5000000000000001E-3</v>
      </c>
      <c r="O111" s="255" t="s">
        <v>279</v>
      </c>
      <c r="P111" s="294">
        <f>MIN(D110:H110)</f>
        <v>9.9999999999999985E-3</v>
      </c>
      <c r="Q111" s="298">
        <f>I94</f>
        <v>1.4999999999999999E-2</v>
      </c>
      <c r="R111" s="296">
        <f>MAX(D110:H110)</f>
        <v>1.9999999999999997E-2</v>
      </c>
      <c r="T111" s="300">
        <f>P111</f>
        <v>9.9999999999999985E-3</v>
      </c>
      <c r="U111" s="301">
        <f>Q111-P111</f>
        <v>5.000000000000001E-3</v>
      </c>
      <c r="V111" s="300">
        <f>R111-Q111</f>
        <v>4.9999999999999975E-3</v>
      </c>
    </row>
    <row r="112" spans="2:22">
      <c r="B112" s="320"/>
      <c r="C112" s="218">
        <f>C113-$K$111</f>
        <v>6.0738287349062822E-2</v>
      </c>
      <c r="D112" s="292">
        <v>11.208020607872035</v>
      </c>
      <c r="E112" s="293">
        <v>11.700462810523559</v>
      </c>
      <c r="F112" s="293">
        <v>12.246737615049016</v>
      </c>
      <c r="G112" s="293">
        <v>12.856182683479174</v>
      </c>
      <c r="H112" s="291">
        <v>13.540427787464102</v>
      </c>
      <c r="I112" s="8"/>
      <c r="J112" s="8"/>
      <c r="K112" s="8"/>
      <c r="O112" s="255" t="s">
        <v>280</v>
      </c>
      <c r="P112" s="295" t="e" vm="1">
        <f>MIN(D176:H180)</f>
        <v>#VALUE!</v>
      </c>
      <c r="Q112" s="299" t="e" vm="1">
        <f>F178</f>
        <v>#VALUE!</v>
      </c>
      <c r="R112" s="297" t="e" vm="1">
        <f>MAX(D176:H180)</f>
        <v>#VALUE!</v>
      </c>
      <c r="T112" s="300" t="e" vm="1">
        <f t="shared" ref="T112" si="34">P112</f>
        <v>#VALUE!</v>
      </c>
      <c r="U112" s="301" t="e" vm="1">
        <f t="shared" ref="U112:V113" si="35">Q112-P112</f>
        <v>#VALUE!</v>
      </c>
      <c r="V112" s="300" t="e" vm="1">
        <f t="shared" si="35"/>
        <v>#VALUE!</v>
      </c>
    </row>
    <row r="113" spans="2:22">
      <c r="B113" s="320"/>
      <c r="C113" s="225">
        <f>$E$46*$E$54+$E$53*$E$50</f>
        <v>6.3238287349062824E-2</v>
      </c>
      <c r="D113" s="291">
        <v>10.716682805850986</v>
      </c>
      <c r="E113" s="293">
        <v>11.160780322868984</v>
      </c>
      <c r="F113" s="293">
        <v>11.650909482118017</v>
      </c>
      <c r="G113" s="293">
        <v>12.194618386877469</v>
      </c>
      <c r="H113" s="291">
        <v>12.801200839375994</v>
      </c>
      <c r="I113" s="8"/>
      <c r="J113" s="12"/>
      <c r="K113" s="8"/>
      <c r="O113" s="255" t="s">
        <v>281</v>
      </c>
      <c r="P113" s="295" t="e" vm="1">
        <f>MIN(D229:H233)</f>
        <v>#VALUE!</v>
      </c>
      <c r="Q113" s="299" t="e" vm="1">
        <f>F231</f>
        <v>#VALUE!</v>
      </c>
      <c r="R113" s="297" t="e" vm="1">
        <f>MAX(D229:H233)</f>
        <v>#VALUE!</v>
      </c>
      <c r="T113" s="300" t="e" vm="1">
        <f>P113</f>
        <v>#VALUE!</v>
      </c>
      <c r="U113" s="301" t="e" vm="1">
        <f t="shared" si="35"/>
        <v>#VALUE!</v>
      </c>
      <c r="V113" s="300" t="e" vm="1">
        <f t="shared" si="35"/>
        <v>#VALUE!</v>
      </c>
    </row>
    <row r="114" spans="2:22">
      <c r="B114" s="320"/>
      <c r="C114" s="218">
        <f>C113+$K$111</f>
        <v>6.5738287349062827E-2</v>
      </c>
      <c r="D114" s="292">
        <v>10.269488473619571</v>
      </c>
      <c r="E114" s="293">
        <v>10.671853853421338</v>
      </c>
      <c r="F114" s="293">
        <v>11.113870293677078</v>
      </c>
      <c r="G114" s="293">
        <v>11.601702668177877</v>
      </c>
      <c r="H114" s="291">
        <v>12.142863709182709</v>
      </c>
      <c r="I114" s="8"/>
      <c r="J114" s="8"/>
      <c r="K114" s="8"/>
    </row>
    <row r="115" spans="2:22">
      <c r="B115" s="320"/>
      <c r="C115" s="218">
        <f>C114+$K$111</f>
        <v>6.8238287349062829E-2</v>
      </c>
      <c r="D115" s="292">
        <v>9.8607521877802</v>
      </c>
      <c r="E115" s="291">
        <v>10.226853212607313</v>
      </c>
      <c r="F115" s="291">
        <v>10.627337483314099</v>
      </c>
      <c r="G115" s="291">
        <v>11.067287440746925</v>
      </c>
      <c r="H115" s="291">
        <v>11.55283913713135</v>
      </c>
      <c r="I115" s="8"/>
      <c r="J115" s="8"/>
      <c r="K115" s="8"/>
    </row>
    <row r="119" spans="2:22">
      <c r="B119" s="216" t="s">
        <v>260</v>
      </c>
      <c r="C119" s="216"/>
      <c r="D119" s="216"/>
      <c r="E119" s="216"/>
      <c r="F119" s="216"/>
      <c r="G119" s="216"/>
      <c r="H119" s="216"/>
    </row>
    <row r="120" spans="2:22">
      <c r="B120" s="320" t="s">
        <v>110</v>
      </c>
      <c r="C120" s="321" t="s">
        <v>264</v>
      </c>
      <c r="D120" s="321"/>
      <c r="E120" s="321"/>
      <c r="F120" s="321"/>
      <c r="G120" s="321"/>
      <c r="H120" s="321"/>
    </row>
    <row r="121" spans="2:22" ht="17" thickBot="1">
      <c r="B121" s="320"/>
      <c r="C121" s="217">
        <f ca="1">$C$104</f>
        <v>10.934947428602307</v>
      </c>
      <c r="D121" s="218">
        <f>E121-$K$109</f>
        <v>9.9999999999999985E-3</v>
      </c>
      <c r="E121" s="218">
        <f>F121-$K$109</f>
        <v>1.2499999999999999E-2</v>
      </c>
      <c r="F121" s="219">
        <f>Perpetuity_Growth_Rate</f>
        <v>1.4999999999999999E-2</v>
      </c>
      <c r="G121" s="218">
        <f>F121+$K$109</f>
        <v>1.7499999999999998E-2</v>
      </c>
      <c r="H121" s="218">
        <f>G121+$K$109</f>
        <v>1.9999999999999997E-2</v>
      </c>
    </row>
    <row r="122" spans="2:22">
      <c r="B122" s="320"/>
      <c r="C122" s="218">
        <f>C123-$K$111</f>
        <v>5.823828734906282E-2</v>
      </c>
      <c r="D122" s="220">
        <f t="dataTable" ref="D122:H126" dt2D="1" dtr="1" r1="I94" r2="E57" ca="1"/>
        <v>11.036931216677235</v>
      </c>
      <c r="E122" s="221">
        <v>11.599737509470373</v>
      </c>
      <c r="F122" s="222">
        <v>12.22762573858647</v>
      </c>
      <c r="G122" s="221">
        <v>12.932577618382837</v>
      </c>
      <c r="H122" s="221">
        <v>13.729708297057025</v>
      </c>
    </row>
    <row r="123" spans="2:22">
      <c r="B123" s="320"/>
      <c r="C123" s="218">
        <f>C124-$K$111</f>
        <v>6.0738287349062822E-2</v>
      </c>
      <c r="D123" s="223">
        <v>10.480804040445285</v>
      </c>
      <c r="E123" s="224">
        <v>10.985759986255429</v>
      </c>
      <c r="F123" s="224">
        <v>11.545916506363039</v>
      </c>
      <c r="G123" s="224">
        <v>12.170848547710136</v>
      </c>
      <c r="H123" s="222">
        <v>12.872481413025648</v>
      </c>
    </row>
    <row r="124" spans="2:22">
      <c r="B124" s="320"/>
      <c r="C124" s="225">
        <f>$E$46*$E$54+$E$53*$E$50</f>
        <v>6.3238287349062824E-2</v>
      </c>
      <c r="D124" s="222">
        <v>9.9769805598501708</v>
      </c>
      <c r="E124" s="224">
        <v>10.432363304323127</v>
      </c>
      <c r="F124" s="224">
        <v>10.934947428602307</v>
      </c>
      <c r="G124" s="224">
        <v>11.492472845331244</v>
      </c>
      <c r="H124" s="222">
        <v>12.114469527102202</v>
      </c>
    </row>
    <row r="125" spans="2:22">
      <c r="B125" s="320"/>
      <c r="C125" s="218">
        <f>C124+$K$111</f>
        <v>6.5738287349062827E-2</v>
      </c>
      <c r="D125" s="223">
        <v>9.5184223051413479</v>
      </c>
      <c r="E125" s="224">
        <v>9.9310124321147608</v>
      </c>
      <c r="F125" s="224">
        <v>10.384261216339937</v>
      </c>
      <c r="G125" s="224">
        <v>10.88449019090079</v>
      </c>
      <c r="H125" s="222">
        <v>11.439402998586306</v>
      </c>
    </row>
    <row r="126" spans="2:22">
      <c r="B126" s="320"/>
      <c r="C126" s="218">
        <f>C125+$K$111</f>
        <v>6.8238287349062829E-2</v>
      </c>
      <c r="D126" s="223">
        <v>9.0992993772289346</v>
      </c>
      <c r="E126" s="222">
        <v>9.4747036140271703</v>
      </c>
      <c r="F126" s="222">
        <v>9.8853648299179948</v>
      </c>
      <c r="G126" s="222">
        <v>10.336494618690049</v>
      </c>
      <c r="H126" s="222">
        <v>10.834384959459683</v>
      </c>
    </row>
    <row r="130" spans="2:16384">
      <c r="B130" s="216" t="s">
        <v>261</v>
      </c>
      <c r="C130" s="216"/>
      <c r="D130" s="216"/>
      <c r="E130" s="216"/>
      <c r="F130" s="216"/>
      <c r="G130" s="216"/>
      <c r="H130" s="216"/>
    </row>
    <row r="131" spans="2:16384">
      <c r="B131" s="320" t="s">
        <v>110</v>
      </c>
      <c r="C131" s="321" t="s">
        <v>265</v>
      </c>
      <c r="D131" s="321"/>
      <c r="E131" s="321"/>
      <c r="F131" s="321"/>
      <c r="G131" s="321"/>
      <c r="H131" s="321"/>
    </row>
    <row r="132" spans="2:16384" ht="17" thickBot="1">
      <c r="B132" s="320"/>
      <c r="C132" s="217">
        <f ca="1">$C$105</f>
        <v>1.6718866021886243</v>
      </c>
      <c r="D132" s="218">
        <f>E132-$K$109</f>
        <v>9.9999999999999985E-3</v>
      </c>
      <c r="E132" s="218">
        <f>F132-$K$109</f>
        <v>1.2499999999999999E-2</v>
      </c>
      <c r="F132" s="219">
        <f>Perpetuity_Growth_Rate</f>
        <v>1.4999999999999999E-2</v>
      </c>
      <c r="G132" s="218">
        <f>F132+$K$109</f>
        <v>1.7499999999999998E-2</v>
      </c>
      <c r="H132" s="218">
        <f>G132+$K$109</f>
        <v>1.9999999999999997E-2</v>
      </c>
    </row>
    <row r="133" spans="2:16384">
      <c r="B133" s="320"/>
      <c r="C133" s="218">
        <f>C134-$K$111</f>
        <v>5.823828734906282E-2</v>
      </c>
      <c r="D133" s="220">
        <f t="dataTable" ref="D133:H137" dt2D="1" dtr="1" r1="I94" r2="E57" ca="1"/>
        <v>1.6874792998249137</v>
      </c>
      <c r="E133" s="221">
        <v>1.7735289408215478</v>
      </c>
      <c r="F133" s="222">
        <v>1.8695292119509102</v>
      </c>
      <c r="G133" s="221">
        <v>1.9773120440783323</v>
      </c>
      <c r="H133" s="221">
        <v>2.0991884509445375</v>
      </c>
    </row>
    <row r="134" spans="2:16384">
      <c r="B134" s="320"/>
      <c r="C134" s="218">
        <f>C135-$K$111</f>
        <v>6.0738287349062822E-2</v>
      </c>
      <c r="D134" s="223">
        <v>1.6024508549123044</v>
      </c>
      <c r="E134" s="224">
        <v>1.6796555315701212</v>
      </c>
      <c r="F134" s="224">
        <v>1.765300038524666</v>
      </c>
      <c r="G134" s="224">
        <v>1.8608483266191933</v>
      </c>
      <c r="H134" s="222">
        <v>1.9681237017259718</v>
      </c>
    </row>
    <row r="135" spans="2:16384">
      <c r="B135" s="320"/>
      <c r="C135" s="225">
        <f>$E$46*$E$54+$E$53*$E$50</f>
        <v>6.3238287349062824E-2</v>
      </c>
      <c r="D135" s="222">
        <v>1.5254193252616237</v>
      </c>
      <c r="E135" s="224">
        <v>1.5950445625408429</v>
      </c>
      <c r="F135" s="224">
        <v>1.6718866021886243</v>
      </c>
      <c r="G135" s="224">
        <v>1.7571288295239487</v>
      </c>
      <c r="H135" s="222">
        <v>1.8522283190869786</v>
      </c>
    </row>
    <row r="136" spans="2:16384">
      <c r="B136" s="320"/>
      <c r="C136" s="218">
        <f>C135+$K$111</f>
        <v>6.5738287349062827E-2</v>
      </c>
      <c r="D136" s="223">
        <v>1.4553085718833909</v>
      </c>
      <c r="E136" s="224">
        <v>1.5183910795942051</v>
      </c>
      <c r="F136" s="224">
        <v>1.5876900473992301</v>
      </c>
      <c r="G136" s="224">
        <v>1.6641719990551918</v>
      </c>
      <c r="H136" s="222">
        <v>1.7490147744420756</v>
      </c>
    </row>
    <row r="137" spans="2:16384">
      <c r="B137" s="320"/>
      <c r="C137" s="218">
        <f>C136+$K$111</f>
        <v>6.8238287349062829E-2</v>
      </c>
      <c r="D137" s="223">
        <v>1.3912272388525655</v>
      </c>
      <c r="E137" s="222">
        <v>1.4486242513216085</v>
      </c>
      <c r="F137" s="222">
        <v>1.5114118403218528</v>
      </c>
      <c r="G137" s="222">
        <v>1.5803868266782879</v>
      </c>
      <c r="H137" s="222">
        <v>1.6565112155267012</v>
      </c>
    </row>
    <row r="143" spans="2:16384" ht="21" thickBot="1">
      <c r="B143" s="22" t="s">
        <v>262</v>
      </c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2:16384" ht="17" thickTop="1">
      <c r="B144" s="30"/>
      <c r="C144" s="28"/>
      <c r="D144" s="31"/>
      <c r="E144" s="31"/>
      <c r="F144" s="24"/>
      <c r="G144" s="24"/>
      <c r="H144" s="24"/>
      <c r="I144" s="24"/>
      <c r="J144" s="24"/>
      <c r="K144" s="25"/>
    </row>
    <row r="146" spans="2:9">
      <c r="B146" s="226" t="s">
        <v>172</v>
      </c>
      <c r="C146" s="227"/>
      <c r="H146" s="1" t="s">
        <v>278</v>
      </c>
      <c r="I146" s="1"/>
    </row>
    <row r="147" spans="2:9">
      <c r="H147" t="s">
        <v>274</v>
      </c>
      <c r="I147" s="6">
        <f ca="1">OFFSET($E$15,0,Years_Forecasted)</f>
        <v>25689.252605175378</v>
      </c>
    </row>
    <row r="148" spans="2:9">
      <c r="B148" t="s">
        <v>9</v>
      </c>
      <c r="C148" s="6">
        <f>SUM(F133:O133)</f>
        <v>5.9460297069737802</v>
      </c>
      <c r="H148" t="s">
        <v>266</v>
      </c>
      <c r="I148" s="306" t="e" vm="1">
        <f ca="1">EV_EBITDA_FY0</f>
        <v>#VALUE!</v>
      </c>
    </row>
    <row r="149" spans="2:9">
      <c r="B149" t="s">
        <v>267</v>
      </c>
      <c r="C149" s="6" t="e" vm="1">
        <f ca="1">I150</f>
        <v>#VALUE!</v>
      </c>
      <c r="H149" t="s">
        <v>127</v>
      </c>
      <c r="I149" s="6" t="e" vm="1">
        <f ca="1">$I$147*$I$148</f>
        <v>#VALUE!</v>
      </c>
    </row>
    <row r="150" spans="2:9">
      <c r="B150" s="14" t="s">
        <v>129</v>
      </c>
      <c r="C150" s="15" t="e" vm="1">
        <f ca="1">SUM(C148:C149)</f>
        <v>#VALUE!</v>
      </c>
      <c r="H150" s="14" t="s">
        <v>136</v>
      </c>
      <c r="I150" s="15" t="e" vm="1">
        <f ca="1">$I$149/((1+WACC)^Years_Forecasted)</f>
        <v>#VALUE!</v>
      </c>
    </row>
    <row r="151" spans="2:9">
      <c r="B151" t="s">
        <v>130</v>
      </c>
      <c r="C151" s="6">
        <f>-'Balance Sheet Historic'!C116</f>
        <v>0</v>
      </c>
    </row>
    <row r="152" spans="2:9">
      <c r="B152" t="s">
        <v>131</v>
      </c>
      <c r="C152" s="6">
        <f>'Balance Sheet Historic'!C107</f>
        <v>0</v>
      </c>
    </row>
    <row r="153" spans="2:9">
      <c r="B153" t="s">
        <v>132</v>
      </c>
      <c r="C153" s="6">
        <f>'Balance Sheet Historic'!C112</f>
        <v>0</v>
      </c>
    </row>
    <row r="154" spans="2:9">
      <c r="B154" s="14" t="s">
        <v>133</v>
      </c>
      <c r="C154" s="15" t="e" vm="1">
        <f ca="1">SUM(C150:C153)</f>
        <v>#VALUE!</v>
      </c>
    </row>
    <row r="155" spans="2:9">
      <c r="B155" t="s">
        <v>203</v>
      </c>
      <c r="C155" s="6">
        <f>Shares_Outstanding / 1000000</f>
        <v>15171.99</v>
      </c>
    </row>
    <row r="156" spans="2:9">
      <c r="B156" s="14" t="s">
        <v>134</v>
      </c>
      <c r="C156" s="287" t="e" vm="1">
        <f ca="1">C154/C155</f>
        <v>#VALUE!</v>
      </c>
    </row>
    <row r="158" spans="2:9">
      <c r="B158" s="1" t="s">
        <v>268</v>
      </c>
      <c r="C158" s="276" t="e" vm="1">
        <f ca="1">WACC-($I$93/$I$149)</f>
        <v>#VALUE!</v>
      </c>
    </row>
    <row r="159" spans="2:9">
      <c r="B159" s="275" t="s">
        <v>261</v>
      </c>
      <c r="C159" s="277" t="e" vm="1">
        <f ca="1">$C$150/Revenue_FY0</f>
        <v>#VALUE!</v>
      </c>
    </row>
    <row r="162" spans="2:22">
      <c r="B162" s="216" t="s">
        <v>120</v>
      </c>
      <c r="C162" s="216"/>
      <c r="D162" s="216"/>
      <c r="E162" s="216"/>
      <c r="F162" s="216"/>
      <c r="G162" s="216"/>
      <c r="H162" s="216"/>
      <c r="I162" s="8"/>
      <c r="J162" s="9"/>
      <c r="K162" s="10" t="s">
        <v>121</v>
      </c>
    </row>
    <row r="163" spans="2:22">
      <c r="B163" s="320" t="s">
        <v>110</v>
      </c>
      <c r="C163" s="321" t="s">
        <v>270</v>
      </c>
      <c r="D163" s="321"/>
      <c r="E163" s="321"/>
      <c r="F163" s="321"/>
      <c r="G163" s="321"/>
      <c r="H163" s="321"/>
      <c r="I163" s="8"/>
      <c r="J163" s="11" t="s">
        <v>263</v>
      </c>
      <c r="K163" s="278">
        <v>5</v>
      </c>
      <c r="O163" s="322" t="s">
        <v>283</v>
      </c>
      <c r="P163" s="322"/>
      <c r="Q163" s="322"/>
      <c r="R163" s="322"/>
    </row>
    <row r="164" spans="2:22" ht="17" thickBot="1">
      <c r="B164" s="320"/>
      <c r="C164" s="288" t="e" vm="1">
        <f ca="1">$C$156</f>
        <v>#VALUE!</v>
      </c>
      <c r="D164" s="279" t="e" vm="1">
        <f ca="1">E164-$K$163</f>
        <v>#VALUE!</v>
      </c>
      <c r="E164" s="279" t="e" vm="1">
        <f ca="1">F164-$K$163</f>
        <v>#VALUE!</v>
      </c>
      <c r="F164" s="280" t="e" vm="1">
        <f ca="1">EV_EBITDA_FY0</f>
        <v>#VALUE!</v>
      </c>
      <c r="G164" s="279" t="e" vm="1">
        <f ca="1">F164+$K$163</f>
        <v>#VALUE!</v>
      </c>
      <c r="H164" s="279" t="e" vm="1">
        <f ca="1">G164+$K$163</f>
        <v>#VALUE!</v>
      </c>
      <c r="I164" s="8"/>
      <c r="O164" s="25"/>
      <c r="P164" s="253" t="s">
        <v>223</v>
      </c>
      <c r="Q164" s="253" t="s">
        <v>234</v>
      </c>
      <c r="R164" s="253" t="s">
        <v>224</v>
      </c>
      <c r="T164" s="254" t="s">
        <v>231</v>
      </c>
      <c r="U164" s="254" t="s">
        <v>232</v>
      </c>
      <c r="V164" s="254" t="s">
        <v>233</v>
      </c>
    </row>
    <row r="165" spans="2:22">
      <c r="B165" s="320"/>
      <c r="C165" s="218">
        <f>C166-$K$111</f>
        <v>5.823828734906282E-2</v>
      </c>
      <c r="D165" s="289" t="e" vm="1">
        <f t="dataTable" ref="D165:H169" dt2D="1" dtr="1" r1="I148" r2="E57" ca="1"/>
        <v>#VALUE!</v>
      </c>
      <c r="E165" s="290" t="e" vm="1">
        <v>#VALUE!</v>
      </c>
      <c r="F165" s="291" t="e" vm="1">
        <v>#VALUE!</v>
      </c>
      <c r="G165" s="290" t="e" vm="1">
        <v>#VALUE!</v>
      </c>
      <c r="H165" s="290" t="e" vm="1">
        <v>#VALUE!</v>
      </c>
      <c r="I165" s="8"/>
      <c r="J165" s="11" t="s">
        <v>110</v>
      </c>
      <c r="K165" s="16">
        <v>2.5000000000000001E-3</v>
      </c>
      <c r="O165" s="255" t="s">
        <v>284</v>
      </c>
      <c r="P165" s="5" t="e" vm="1">
        <f ca="1">MIN(D164:H164)</f>
        <v>#VALUE!</v>
      </c>
      <c r="Q165" s="302" t="e" vm="1">
        <f ca="1">I148</f>
        <v>#VALUE!</v>
      </c>
      <c r="R165" s="303" t="e" vm="1">
        <f ca="1">MAX(D164:H164)</f>
        <v>#VALUE!</v>
      </c>
      <c r="T165" s="306" t="e" vm="1">
        <f ca="1">P165</f>
        <v>#VALUE!</v>
      </c>
      <c r="U165" s="307" t="e" vm="1">
        <f ca="1">Q165-P165</f>
        <v>#VALUE!</v>
      </c>
      <c r="V165" s="306" t="e" vm="1">
        <f ca="1">R165-Q165</f>
        <v>#VALUE!</v>
      </c>
    </row>
    <row r="166" spans="2:22">
      <c r="B166" s="320"/>
      <c r="C166" s="218">
        <f>C167-$K$111</f>
        <v>6.0738287349062822E-2</v>
      </c>
      <c r="D166" s="292" t="e" vm="1">
        <v>#VALUE!</v>
      </c>
      <c r="E166" s="293" t="e" vm="1">
        <v>#VALUE!</v>
      </c>
      <c r="F166" s="293" t="e" vm="1">
        <v>#VALUE!</v>
      </c>
      <c r="G166" s="293" t="e" vm="1">
        <v>#VALUE!</v>
      </c>
      <c r="H166" s="291" t="e" vm="1">
        <v>#VALUE!</v>
      </c>
      <c r="I166" s="8"/>
      <c r="J166" s="8"/>
      <c r="K166" s="8"/>
      <c r="O166" s="255" t="s">
        <v>289</v>
      </c>
      <c r="P166" s="304">
        <f>MIN(D122:H126)</f>
        <v>9.0992993772289346</v>
      </c>
      <c r="Q166" s="305">
        <f>F124</f>
        <v>10.934947428602307</v>
      </c>
      <c r="R166" s="303">
        <f>MAX(D122:H126)</f>
        <v>13.729708297057025</v>
      </c>
      <c r="T166" s="306">
        <f t="shared" ref="T166" si="36">P166</f>
        <v>9.0992993772289346</v>
      </c>
      <c r="U166" s="307">
        <f t="shared" ref="U166:U167" si="37">Q166-P166</f>
        <v>1.8356480513733722</v>
      </c>
      <c r="V166" s="306">
        <f t="shared" ref="V166:V167" si="38">R166-Q166</f>
        <v>2.7947608684547181</v>
      </c>
    </row>
    <row r="167" spans="2:22">
      <c r="B167" s="320"/>
      <c r="C167" s="225">
        <f>$E$46*$E$54+$E$53*$E$50</f>
        <v>6.3238287349062824E-2</v>
      </c>
      <c r="D167" s="291" t="e" vm="1">
        <v>#VALUE!</v>
      </c>
      <c r="E167" s="293" t="e" vm="1">
        <v>#VALUE!</v>
      </c>
      <c r="F167" s="293" t="e" vm="1">
        <v>#VALUE!</v>
      </c>
      <c r="G167" s="293" t="e" vm="1">
        <v>#VALUE!</v>
      </c>
      <c r="H167" s="291" t="e" vm="1">
        <v>#VALUE!</v>
      </c>
      <c r="I167" s="8"/>
      <c r="J167" s="12"/>
      <c r="K167" s="8"/>
      <c r="O167" s="255" t="s">
        <v>290</v>
      </c>
      <c r="P167" s="304" t="e" vm="1">
        <f>MIN(D240:H244)</f>
        <v>#VALUE!</v>
      </c>
      <c r="Q167" s="305" t="e" vm="1">
        <f>F242</f>
        <v>#VALUE!</v>
      </c>
      <c r="R167" s="303" t="e" vm="1">
        <f>MAX(D240:H244)</f>
        <v>#VALUE!</v>
      </c>
      <c r="T167" s="306" t="e" vm="1">
        <f>P167</f>
        <v>#VALUE!</v>
      </c>
      <c r="U167" s="307" t="e" vm="1">
        <f t="shared" si="37"/>
        <v>#VALUE!</v>
      </c>
      <c r="V167" s="306" t="e" vm="1">
        <f t="shared" si="38"/>
        <v>#VALUE!</v>
      </c>
    </row>
    <row r="168" spans="2:22">
      <c r="B168" s="320"/>
      <c r="C168" s="218">
        <f>C167+$K$111</f>
        <v>6.5738287349062827E-2</v>
      </c>
      <c r="D168" s="292" t="e" vm="1">
        <v>#VALUE!</v>
      </c>
      <c r="E168" s="293" t="e" vm="1">
        <v>#VALUE!</v>
      </c>
      <c r="F168" s="293" t="e" vm="1">
        <v>#VALUE!</v>
      </c>
      <c r="G168" s="293" t="e" vm="1">
        <v>#VALUE!</v>
      </c>
      <c r="H168" s="291" t="e" vm="1">
        <v>#VALUE!</v>
      </c>
      <c r="I168" s="8"/>
      <c r="J168" s="8"/>
      <c r="K168" s="8"/>
      <c r="O168" s="255" t="s">
        <v>219</v>
      </c>
      <c r="P168" s="304">
        <f>MIN('Comparable multiples'!G35:H38)</f>
        <v>7.1084778829121396</v>
      </c>
      <c r="Q168" s="305">
        <f>AVERAGE('Comparable multiples'!G37:H37)</f>
        <v>19.564009038897154</v>
      </c>
      <c r="R168" s="303">
        <f>MAX('Comparable multiples'!G35:H38)</f>
        <v>63.499434934957428</v>
      </c>
      <c r="T168" s="306">
        <f>P168</f>
        <v>7.1084778829121396</v>
      </c>
      <c r="U168" s="307">
        <f t="shared" ref="U168" si="39">Q168-P168</f>
        <v>12.455531155985014</v>
      </c>
      <c r="V168" s="306">
        <f t="shared" ref="V168" si="40">R168-Q168</f>
        <v>43.935425896060273</v>
      </c>
    </row>
    <row r="169" spans="2:22">
      <c r="B169" s="320"/>
      <c r="C169" s="218">
        <f>C168+$K$111</f>
        <v>6.8238287349062829E-2</v>
      </c>
      <c r="D169" s="292" t="e" vm="1">
        <v>#VALUE!</v>
      </c>
      <c r="E169" s="291" t="e" vm="1">
        <v>#VALUE!</v>
      </c>
      <c r="F169" s="291" t="e" vm="1">
        <v>#VALUE!</v>
      </c>
      <c r="G169" s="291" t="e" vm="1">
        <v>#VALUE!</v>
      </c>
      <c r="H169" s="291" t="e" vm="1">
        <v>#VALUE!</v>
      </c>
      <c r="I169" s="8"/>
      <c r="J169" s="8"/>
      <c r="K169" s="8"/>
    </row>
    <row r="173" spans="2:22">
      <c r="B173" s="216" t="s">
        <v>269</v>
      </c>
      <c r="C173" s="216"/>
      <c r="D173" s="216"/>
      <c r="E173" s="216"/>
      <c r="F173" s="216"/>
      <c r="G173" s="216"/>
      <c r="H173" s="216"/>
    </row>
    <row r="174" spans="2:22">
      <c r="B174" s="320" t="s">
        <v>110</v>
      </c>
      <c r="C174" s="321" t="s">
        <v>270</v>
      </c>
      <c r="D174" s="321"/>
      <c r="E174" s="321"/>
      <c r="F174" s="321"/>
      <c r="G174" s="321"/>
      <c r="H174" s="321"/>
    </row>
    <row r="175" spans="2:22" ht="17" thickBot="1">
      <c r="B175" s="320"/>
      <c r="C175" s="286" t="e" vm="1">
        <f ca="1">$C$158</f>
        <v>#VALUE!</v>
      </c>
      <c r="D175" s="279" t="e" vm="1">
        <f ca="1">E175-$K$163</f>
        <v>#VALUE!</v>
      </c>
      <c r="E175" s="279" t="e" vm="1">
        <f ca="1">F175-$K$163</f>
        <v>#VALUE!</v>
      </c>
      <c r="F175" s="280" t="e" vm="1">
        <f ca="1">EV_EBITDA_FY0</f>
        <v>#VALUE!</v>
      </c>
      <c r="G175" s="279" t="e" vm="1">
        <f ca="1">F175+$K$163</f>
        <v>#VALUE!</v>
      </c>
      <c r="H175" s="279" t="e" vm="1">
        <f ca="1">G175+$K$163</f>
        <v>#VALUE!</v>
      </c>
    </row>
    <row r="176" spans="2:22">
      <c r="B176" s="320"/>
      <c r="C176" s="218">
        <f>C177-$K$111</f>
        <v>5.823828734906282E-2</v>
      </c>
      <c r="D176" s="281" t="e" vm="1">
        <f t="dataTable" ref="D176:H180" dt2D="1" dtr="1" r1="I148" r2="E57" ca="1"/>
        <v>#VALUE!</v>
      </c>
      <c r="E176" s="282" t="e" vm="1">
        <v>#VALUE!</v>
      </c>
      <c r="F176" s="283" t="e" vm="1">
        <v>#VALUE!</v>
      </c>
      <c r="G176" s="282" t="e" vm="1">
        <v>#VALUE!</v>
      </c>
      <c r="H176" s="282" t="e" vm="1">
        <v>#VALUE!</v>
      </c>
    </row>
    <row r="177" spans="2:8">
      <c r="B177" s="320"/>
      <c r="C177" s="218">
        <f>C178-$K$111</f>
        <v>6.0738287349062822E-2</v>
      </c>
      <c r="D177" s="284" t="e" vm="1">
        <v>#VALUE!</v>
      </c>
      <c r="E177" s="285" t="e" vm="1">
        <v>#VALUE!</v>
      </c>
      <c r="F177" s="285" t="e" vm="1">
        <v>#VALUE!</v>
      </c>
      <c r="G177" s="285" t="e" vm="1">
        <v>#VALUE!</v>
      </c>
      <c r="H177" s="283" t="e" vm="1">
        <v>#VALUE!</v>
      </c>
    </row>
    <row r="178" spans="2:8">
      <c r="B178" s="320"/>
      <c r="C178" s="225">
        <f>$E$46*$E$54+$E$53*$E$50</f>
        <v>6.3238287349062824E-2</v>
      </c>
      <c r="D178" s="283" t="e" vm="1">
        <v>#VALUE!</v>
      </c>
      <c r="E178" s="285" t="e" vm="1">
        <v>#VALUE!</v>
      </c>
      <c r="F178" s="285" t="e" vm="1">
        <v>#VALUE!</v>
      </c>
      <c r="G178" s="285" t="e" vm="1">
        <v>#VALUE!</v>
      </c>
      <c r="H178" s="283" t="e" vm="1">
        <v>#VALUE!</v>
      </c>
    </row>
    <row r="179" spans="2:8">
      <c r="B179" s="320"/>
      <c r="C179" s="218">
        <f>C178+$K$111</f>
        <v>6.5738287349062827E-2</v>
      </c>
      <c r="D179" s="284" t="e" vm="1">
        <v>#VALUE!</v>
      </c>
      <c r="E179" s="285" t="e" vm="1">
        <v>#VALUE!</v>
      </c>
      <c r="F179" s="285" t="e" vm="1">
        <v>#VALUE!</v>
      </c>
      <c r="G179" s="285" t="e" vm="1">
        <v>#VALUE!</v>
      </c>
      <c r="H179" s="283" t="e" vm="1">
        <v>#VALUE!</v>
      </c>
    </row>
    <row r="180" spans="2:8">
      <c r="B180" s="320"/>
      <c r="C180" s="218">
        <f>C179+$K$111</f>
        <v>6.8238287349062829E-2</v>
      </c>
      <c r="D180" s="284" t="e" vm="1">
        <v>#VALUE!</v>
      </c>
      <c r="E180" s="283" t="e" vm="1">
        <v>#VALUE!</v>
      </c>
      <c r="F180" s="283" t="e" vm="1">
        <v>#VALUE!</v>
      </c>
      <c r="G180" s="283" t="e" vm="1">
        <v>#VALUE!</v>
      </c>
      <c r="H180" s="283" t="e" vm="1">
        <v>#VALUE!</v>
      </c>
    </row>
    <row r="184" spans="2:8">
      <c r="B184" s="216" t="s">
        <v>259</v>
      </c>
      <c r="C184" s="216"/>
      <c r="D184" s="216"/>
      <c r="E184" s="216"/>
      <c r="F184" s="216"/>
      <c r="G184" s="216"/>
      <c r="H184" s="216"/>
    </row>
    <row r="185" spans="2:8">
      <c r="B185" s="320" t="s">
        <v>110</v>
      </c>
      <c r="C185" s="321" t="s">
        <v>270</v>
      </c>
      <c r="D185" s="321"/>
      <c r="E185" s="321"/>
      <c r="F185" s="321"/>
      <c r="G185" s="321"/>
      <c r="H185" s="321"/>
    </row>
    <row r="186" spans="2:8" ht="17" thickBot="1">
      <c r="B186" s="320"/>
      <c r="C186" s="217" t="e" vm="1">
        <f ca="1">$C$159</f>
        <v>#VALUE!</v>
      </c>
      <c r="D186" s="279" t="e" vm="1">
        <f ca="1">E186-$K$163</f>
        <v>#VALUE!</v>
      </c>
      <c r="E186" s="279" t="e" vm="1">
        <f ca="1">F186-$K$163</f>
        <v>#VALUE!</v>
      </c>
      <c r="F186" s="280" t="e" vm="1">
        <f ca="1">EV_EBITDA_FY0</f>
        <v>#VALUE!</v>
      </c>
      <c r="G186" s="279" t="e" vm="1">
        <f ca="1">F186+$K$163</f>
        <v>#VALUE!</v>
      </c>
      <c r="H186" s="279" t="e" vm="1">
        <f ca="1">G186+$K$163</f>
        <v>#VALUE!</v>
      </c>
    </row>
    <row r="187" spans="2:8">
      <c r="B187" s="320"/>
      <c r="C187" s="218">
        <f>C188-$K$111</f>
        <v>5.823828734906282E-2</v>
      </c>
      <c r="D187" s="220" t="e" vm="1">
        <f t="dataTable" ref="D187:H191" dt2D="1" dtr="1" r1="I148" r2="E57" ca="1"/>
        <v>#VALUE!</v>
      </c>
      <c r="E187" s="221" t="e" vm="1">
        <v>#VALUE!</v>
      </c>
      <c r="F187" s="222" t="e" vm="1">
        <v>#VALUE!</v>
      </c>
      <c r="G187" s="221" t="e" vm="1">
        <v>#VALUE!</v>
      </c>
      <c r="H187" s="221" t="e" vm="1">
        <v>#VALUE!</v>
      </c>
    </row>
    <row r="188" spans="2:8">
      <c r="B188" s="320"/>
      <c r="C188" s="218">
        <f>C189-$K$111</f>
        <v>6.0738287349062822E-2</v>
      </c>
      <c r="D188" s="223" t="e" vm="1">
        <v>#VALUE!</v>
      </c>
      <c r="E188" s="224" t="e" vm="1">
        <v>#VALUE!</v>
      </c>
      <c r="F188" s="224" t="e" vm="1">
        <v>#VALUE!</v>
      </c>
      <c r="G188" s="224" t="e" vm="1">
        <v>#VALUE!</v>
      </c>
      <c r="H188" s="222" t="e" vm="1">
        <v>#VALUE!</v>
      </c>
    </row>
    <row r="189" spans="2:8">
      <c r="B189" s="320"/>
      <c r="C189" s="225">
        <f>$E$46*$E$54+$E$53*$E$50</f>
        <v>6.3238287349062824E-2</v>
      </c>
      <c r="D189" s="222" t="e" vm="1">
        <v>#VALUE!</v>
      </c>
      <c r="E189" s="224" t="e" vm="1">
        <v>#VALUE!</v>
      </c>
      <c r="F189" s="224" t="e" vm="1">
        <v>#VALUE!</v>
      </c>
      <c r="G189" s="224" t="e" vm="1">
        <v>#VALUE!</v>
      </c>
      <c r="H189" s="222" t="e" vm="1">
        <v>#VALUE!</v>
      </c>
    </row>
    <row r="190" spans="2:8">
      <c r="B190" s="320"/>
      <c r="C190" s="218">
        <f>C189+$K$111</f>
        <v>6.5738287349062827E-2</v>
      </c>
      <c r="D190" s="223" t="e" vm="1">
        <v>#VALUE!</v>
      </c>
      <c r="E190" s="224" t="e" vm="1">
        <v>#VALUE!</v>
      </c>
      <c r="F190" s="224" t="e" vm="1">
        <v>#VALUE!</v>
      </c>
      <c r="G190" s="224" t="e" vm="1">
        <v>#VALUE!</v>
      </c>
      <c r="H190" s="222" t="e" vm="1">
        <v>#VALUE!</v>
      </c>
    </row>
    <row r="191" spans="2:8">
      <c r="B191" s="320"/>
      <c r="C191" s="218">
        <f>C190+$K$111</f>
        <v>6.8238287349062829E-2</v>
      </c>
      <c r="D191" s="223" t="e" vm="1">
        <v>#VALUE!</v>
      </c>
      <c r="E191" s="222" t="e" vm="1">
        <v>#VALUE!</v>
      </c>
      <c r="F191" s="222" t="e" vm="1">
        <v>#VALUE!</v>
      </c>
      <c r="G191" s="222" t="e" vm="1">
        <v>#VALUE!</v>
      </c>
      <c r="H191" s="222" t="e" vm="1">
        <v>#VALUE!</v>
      </c>
    </row>
    <row r="196" spans="2:28" ht="21" thickBot="1">
      <c r="B196" s="22" t="s">
        <v>271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</row>
    <row r="197" spans="2:28" ht="17" thickTop="1">
      <c r="B197" s="30"/>
      <c r="C197" s="28"/>
      <c r="D197" s="31"/>
      <c r="E197" s="31"/>
      <c r="F197" s="24"/>
      <c r="G197" s="24"/>
      <c r="H197" s="24"/>
      <c r="I197" s="24"/>
      <c r="J197" s="24"/>
      <c r="K197" s="25"/>
    </row>
    <row r="199" spans="2:28">
      <c r="B199" s="226" t="s">
        <v>172</v>
      </c>
      <c r="C199" s="227"/>
      <c r="H199" s="1" t="s">
        <v>277</v>
      </c>
      <c r="I199" s="1"/>
    </row>
    <row r="200" spans="2:28">
      <c r="H200" t="s">
        <v>273</v>
      </c>
      <c r="I200" s="6">
        <f ca="1">OFFSET($E$8,0,Years_Forecasted)</f>
        <v>36047.016101175381</v>
      </c>
    </row>
    <row r="201" spans="2:28">
      <c r="B201" t="s">
        <v>9</v>
      </c>
      <c r="C201" s="6" t="e" vm="1">
        <f ca="1">SUM(F186:I186)</f>
        <v>#VALUE!</v>
      </c>
      <c r="H201" t="s">
        <v>272</v>
      </c>
      <c r="I201" s="306" t="e" vm="1">
        <f ca="1">EV_REVENUE_FY0</f>
        <v>#VALUE!</v>
      </c>
    </row>
    <row r="202" spans="2:28">
      <c r="B202" t="s">
        <v>267</v>
      </c>
      <c r="C202" s="6" t="e" vm="1">
        <f ca="1">I203</f>
        <v>#VALUE!</v>
      </c>
      <c r="H202" t="s">
        <v>127</v>
      </c>
      <c r="I202" s="6" t="e" vm="1">
        <f ca="1">$I$200*$I$201</f>
        <v>#VALUE!</v>
      </c>
    </row>
    <row r="203" spans="2:28">
      <c r="B203" s="14" t="s">
        <v>129</v>
      </c>
      <c r="C203" s="15" t="e" vm="1">
        <f ca="1">SUM(C201:C202)</f>
        <v>#VALUE!</v>
      </c>
      <c r="H203" s="14" t="s">
        <v>136</v>
      </c>
      <c r="I203" s="15" t="e" vm="1">
        <f ca="1">$I$202/((1+WACC)^Years_Forecasted)</f>
        <v>#VALUE!</v>
      </c>
    </row>
    <row r="204" spans="2:28">
      <c r="B204" t="s">
        <v>130</v>
      </c>
      <c r="C204" s="6">
        <f>-'Balance Sheet Historic'!C169</f>
        <v>0</v>
      </c>
    </row>
    <row r="205" spans="2:28">
      <c r="B205" t="s">
        <v>131</v>
      </c>
      <c r="C205" s="6">
        <f>'Balance Sheet Historic'!C160</f>
        <v>0</v>
      </c>
    </row>
    <row r="206" spans="2:28">
      <c r="B206" t="s">
        <v>132</v>
      </c>
      <c r="C206" s="6">
        <f>'Balance Sheet Historic'!C165</f>
        <v>0</v>
      </c>
    </row>
    <row r="207" spans="2:28">
      <c r="B207" s="14" t="s">
        <v>133</v>
      </c>
      <c r="C207" s="15" t="e" vm="1">
        <f ca="1">SUM(C203:C206)</f>
        <v>#VALUE!</v>
      </c>
    </row>
    <row r="208" spans="2:28">
      <c r="B208" t="s">
        <v>203</v>
      </c>
      <c r="C208" s="6">
        <f>Shares_Outstanding / 1000000</f>
        <v>15171.99</v>
      </c>
    </row>
    <row r="209" spans="2:22">
      <c r="B209" s="14" t="s">
        <v>134</v>
      </c>
      <c r="C209" s="287" t="e" vm="1">
        <f ca="1">C207/C208</f>
        <v>#VALUE!</v>
      </c>
    </row>
    <row r="211" spans="2:22">
      <c r="B211" s="1" t="s">
        <v>268</v>
      </c>
      <c r="C211" s="276" t="e" vm="1">
        <f ca="1">WACC-($I$93/$I$149)</f>
        <v>#VALUE!</v>
      </c>
    </row>
    <row r="212" spans="2:22">
      <c r="B212" s="275" t="s">
        <v>260</v>
      </c>
      <c r="C212" s="277" t="e" vm="1">
        <f ca="1">$C$203/EBITDA_FY0</f>
        <v>#VALUE!</v>
      </c>
    </row>
    <row r="215" spans="2:22">
      <c r="B215" s="216" t="s">
        <v>120</v>
      </c>
      <c r="C215" s="216"/>
      <c r="D215" s="216"/>
      <c r="E215" s="216"/>
      <c r="F215" s="216"/>
      <c r="G215" s="216"/>
      <c r="H215" s="216"/>
      <c r="I215" s="8"/>
      <c r="J215" s="9"/>
      <c r="K215" s="10" t="s">
        <v>121</v>
      </c>
    </row>
    <row r="216" spans="2:22">
      <c r="B216" s="320" t="s">
        <v>110</v>
      </c>
      <c r="C216" s="321" t="s">
        <v>275</v>
      </c>
      <c r="D216" s="321"/>
      <c r="E216" s="321"/>
      <c r="F216" s="321"/>
      <c r="G216" s="321"/>
      <c r="H216" s="321"/>
      <c r="I216" s="8"/>
      <c r="J216" s="11" t="s">
        <v>276</v>
      </c>
      <c r="K216" s="278">
        <v>5</v>
      </c>
      <c r="O216" s="322" t="s">
        <v>286</v>
      </c>
      <c r="P216" s="322"/>
      <c r="Q216" s="322"/>
      <c r="R216" s="322"/>
    </row>
    <row r="217" spans="2:22" ht="17" thickBot="1">
      <c r="B217" s="320"/>
      <c r="C217" s="288" t="e" vm="1">
        <f ca="1">$C$209</f>
        <v>#VALUE!</v>
      </c>
      <c r="D217" s="279" t="e" vm="1">
        <f ca="1">E217-$K$216</f>
        <v>#VALUE!</v>
      </c>
      <c r="E217" s="279" t="e" vm="1">
        <f ca="1">F217-$K$216</f>
        <v>#VALUE!</v>
      </c>
      <c r="F217" s="280" t="e" vm="1">
        <f ca="1">EV_REVENUE_FY0</f>
        <v>#VALUE!</v>
      </c>
      <c r="G217" s="279" t="e" vm="1">
        <f ca="1">F217+$K$216</f>
        <v>#VALUE!</v>
      </c>
      <c r="H217" s="279" t="e" vm="1">
        <f ca="1">G217+$K$216</f>
        <v>#VALUE!</v>
      </c>
      <c r="I217" s="8"/>
      <c r="O217" s="25"/>
      <c r="P217" s="253" t="s">
        <v>223</v>
      </c>
      <c r="Q217" s="253" t="s">
        <v>234</v>
      </c>
      <c r="R217" s="253" t="s">
        <v>224</v>
      </c>
      <c r="T217" s="254" t="s">
        <v>231</v>
      </c>
      <c r="U217" s="254" t="s">
        <v>232</v>
      </c>
      <c r="V217" s="254" t="s">
        <v>233</v>
      </c>
    </row>
    <row r="218" spans="2:22">
      <c r="B218" s="320"/>
      <c r="C218" s="218">
        <f>C219-$K$111</f>
        <v>5.823828734906282E-2</v>
      </c>
      <c r="D218" s="289" t="e" vm="1">
        <f t="dataTable" ref="D218:H222" dt2D="1" dtr="1" r1="I201" r2="E57" ca="1"/>
        <v>#VALUE!</v>
      </c>
      <c r="E218" s="290" t="e" vm="1">
        <v>#VALUE!</v>
      </c>
      <c r="F218" s="291" t="e" vm="1">
        <v>#VALUE!</v>
      </c>
      <c r="G218" s="290" t="e" vm="1">
        <v>#VALUE!</v>
      </c>
      <c r="H218" s="290" t="e" vm="1">
        <v>#VALUE!</v>
      </c>
      <c r="I218" s="8"/>
      <c r="J218" s="11" t="s">
        <v>110</v>
      </c>
      <c r="K218" s="16">
        <v>2.5000000000000001E-3</v>
      </c>
      <c r="O218" s="255" t="s">
        <v>285</v>
      </c>
      <c r="P218" s="5" t="e" vm="1">
        <f ca="1">MIN(D217:H217)</f>
        <v>#VALUE!</v>
      </c>
      <c r="Q218" s="302" t="e" vm="1">
        <f ca="1">I201</f>
        <v>#VALUE!</v>
      </c>
      <c r="R218" s="303" t="e" vm="1">
        <f ca="1">MAX(D217:H217)</f>
        <v>#VALUE!</v>
      </c>
      <c r="T218" s="306" t="e" vm="1">
        <f ca="1">P218</f>
        <v>#VALUE!</v>
      </c>
      <c r="U218" s="307" t="e" vm="1">
        <f ca="1">Q218-P218</f>
        <v>#VALUE!</v>
      </c>
      <c r="V218" s="306" t="e" vm="1">
        <f ca="1">R218-Q218</f>
        <v>#VALUE!</v>
      </c>
    </row>
    <row r="219" spans="2:22">
      <c r="B219" s="320"/>
      <c r="C219" s="218">
        <f>C220-$K$111</f>
        <v>6.0738287349062822E-2</v>
      </c>
      <c r="D219" s="292" t="e" vm="1">
        <v>#VALUE!</v>
      </c>
      <c r="E219" s="293" t="e" vm="1">
        <v>#VALUE!</v>
      </c>
      <c r="F219" s="293" t="e" vm="1">
        <v>#VALUE!</v>
      </c>
      <c r="G219" s="293" t="e" vm="1">
        <v>#VALUE!</v>
      </c>
      <c r="H219" s="291" t="e" vm="1">
        <v>#VALUE!</v>
      </c>
      <c r="I219" s="8"/>
      <c r="J219" s="8"/>
      <c r="K219" s="8"/>
      <c r="O219" s="255" t="s">
        <v>291</v>
      </c>
      <c r="P219" s="304">
        <f>MIN(D133:H137)</f>
        <v>1.3912272388525655</v>
      </c>
      <c r="Q219" s="305">
        <f>F135</f>
        <v>1.6718866021886243</v>
      </c>
      <c r="R219" s="303">
        <f>MAX(D133:H137)</f>
        <v>2.0991884509445375</v>
      </c>
      <c r="T219" s="306">
        <f t="shared" ref="T219" si="41">P219</f>
        <v>1.3912272388525655</v>
      </c>
      <c r="U219" s="307">
        <f t="shared" ref="U219:U221" si="42">Q219-P219</f>
        <v>0.28065936333605879</v>
      </c>
      <c r="V219" s="306">
        <f t="shared" ref="V219:V221" si="43">R219-Q219</f>
        <v>0.42730184875591326</v>
      </c>
    </row>
    <row r="220" spans="2:22">
      <c r="B220" s="320"/>
      <c r="C220" s="225">
        <f>$E$46*$E$54+$E$53*$E$50</f>
        <v>6.3238287349062824E-2</v>
      </c>
      <c r="D220" s="291" t="e" vm="1">
        <v>#VALUE!</v>
      </c>
      <c r="E220" s="293" t="e" vm="1">
        <v>#VALUE!</v>
      </c>
      <c r="F220" s="293" t="e" vm="1">
        <v>#VALUE!</v>
      </c>
      <c r="G220" s="293" t="e" vm="1">
        <v>#VALUE!</v>
      </c>
      <c r="H220" s="291" t="e" vm="1">
        <v>#VALUE!</v>
      </c>
      <c r="I220" s="8"/>
      <c r="J220" s="12"/>
      <c r="K220" s="8"/>
      <c r="O220" s="255" t="s">
        <v>292</v>
      </c>
      <c r="P220" s="304" t="e" vm="1">
        <f>MIN(D187:H191)</f>
        <v>#VALUE!</v>
      </c>
      <c r="Q220" s="305" t="e" vm="1">
        <f>F189</f>
        <v>#VALUE!</v>
      </c>
      <c r="R220" s="303" t="e" vm="1">
        <f>MAX(D187:H191)</f>
        <v>#VALUE!</v>
      </c>
      <c r="T220" s="306" t="e" vm="1">
        <f>P220</f>
        <v>#VALUE!</v>
      </c>
      <c r="U220" s="307" t="e" vm="1">
        <f t="shared" si="42"/>
        <v>#VALUE!</v>
      </c>
      <c r="V220" s="306" t="e" vm="1">
        <f t="shared" si="43"/>
        <v>#VALUE!</v>
      </c>
    </row>
    <row r="221" spans="2:22">
      <c r="B221" s="320"/>
      <c r="C221" s="218">
        <f>C220+$K$111</f>
        <v>6.5738287349062827E-2</v>
      </c>
      <c r="D221" s="292" t="e" vm="1">
        <v>#VALUE!</v>
      </c>
      <c r="E221" s="293" t="e" vm="1">
        <v>#VALUE!</v>
      </c>
      <c r="F221" s="293" t="e" vm="1">
        <v>#VALUE!</v>
      </c>
      <c r="G221" s="293" t="e" vm="1">
        <v>#VALUE!</v>
      </c>
      <c r="H221" s="291" t="e" vm="1">
        <v>#VALUE!</v>
      </c>
      <c r="I221" s="8"/>
      <c r="J221" s="8"/>
      <c r="K221" s="8"/>
      <c r="O221" s="255" t="s">
        <v>219</v>
      </c>
      <c r="P221" s="304">
        <f>MIN('Comparable multiples'!E35:F38)</f>
        <v>0.62616964917634632</v>
      </c>
      <c r="Q221" s="305">
        <f>AVERAGE('Comparable multiples'!E36:F36)</f>
        <v>7.6762632390016341</v>
      </c>
      <c r="R221" s="303">
        <f>MAX('Comparable multiples'!E35:F38)</f>
        <v>15.120262935610979</v>
      </c>
      <c r="T221" s="306">
        <f>P221</f>
        <v>0.62616964917634632</v>
      </c>
      <c r="U221" s="307">
        <f t="shared" si="42"/>
        <v>7.0500935898252877</v>
      </c>
      <c r="V221" s="306">
        <f t="shared" si="43"/>
        <v>7.4439996966093451</v>
      </c>
    </row>
    <row r="222" spans="2:22">
      <c r="B222" s="320"/>
      <c r="C222" s="218">
        <f>C221+$K$111</f>
        <v>6.8238287349062829E-2</v>
      </c>
      <c r="D222" s="292" t="e" vm="1">
        <v>#VALUE!</v>
      </c>
      <c r="E222" s="291" t="e" vm="1">
        <v>#VALUE!</v>
      </c>
      <c r="F222" s="291" t="e" vm="1">
        <v>#VALUE!</v>
      </c>
      <c r="G222" s="291" t="e" vm="1">
        <v>#VALUE!</v>
      </c>
      <c r="H222" s="291" t="e" vm="1">
        <v>#VALUE!</v>
      </c>
      <c r="I222" s="8"/>
      <c r="J222" s="8"/>
      <c r="K222" s="8"/>
    </row>
    <row r="226" spans="2:8">
      <c r="B226" s="216" t="s">
        <v>269</v>
      </c>
      <c r="C226" s="216"/>
      <c r="D226" s="216"/>
      <c r="E226" s="216"/>
      <c r="F226" s="216"/>
      <c r="G226" s="216"/>
      <c r="H226" s="216"/>
    </row>
    <row r="227" spans="2:8">
      <c r="B227" s="320" t="s">
        <v>110</v>
      </c>
      <c r="C227" s="321" t="s">
        <v>275</v>
      </c>
      <c r="D227" s="321"/>
      <c r="E227" s="321"/>
      <c r="F227" s="321"/>
      <c r="G227" s="321"/>
      <c r="H227" s="321"/>
    </row>
    <row r="228" spans="2:8" ht="17" thickBot="1">
      <c r="B228" s="320"/>
      <c r="C228" s="286" t="e" vm="1">
        <f ca="1">$C$211</f>
        <v>#VALUE!</v>
      </c>
      <c r="D228" s="279" t="e" vm="1">
        <f ca="1">E228-$K$216</f>
        <v>#VALUE!</v>
      </c>
      <c r="E228" s="279" t="e" vm="1">
        <f ca="1">F228-$K$216</f>
        <v>#VALUE!</v>
      </c>
      <c r="F228" s="280" t="e" vm="1">
        <f ca="1">EV_REVENUE_FY0</f>
        <v>#VALUE!</v>
      </c>
      <c r="G228" s="279" t="e" vm="1">
        <f ca="1">F228+$K$216</f>
        <v>#VALUE!</v>
      </c>
      <c r="H228" s="279" t="e" vm="1">
        <f ca="1">G228+$K$216</f>
        <v>#VALUE!</v>
      </c>
    </row>
    <row r="229" spans="2:8">
      <c r="B229" s="320"/>
      <c r="C229" s="218">
        <f>C230-$K$111</f>
        <v>5.823828734906282E-2</v>
      </c>
      <c r="D229" s="281" t="e" vm="1">
        <f t="dataTable" ref="D229:H233" dt2D="1" dtr="1" r1="I201" r2="E57" ca="1"/>
        <v>#VALUE!</v>
      </c>
      <c r="E229" s="282" t="e" vm="1">
        <v>#VALUE!</v>
      </c>
      <c r="F229" s="283" t="e" vm="1">
        <v>#VALUE!</v>
      </c>
      <c r="G229" s="282" t="e" vm="1">
        <v>#VALUE!</v>
      </c>
      <c r="H229" s="282" t="e" vm="1">
        <v>#VALUE!</v>
      </c>
    </row>
    <row r="230" spans="2:8">
      <c r="B230" s="320"/>
      <c r="C230" s="218">
        <f>C231-$K$111</f>
        <v>6.0738287349062822E-2</v>
      </c>
      <c r="D230" s="284" t="e" vm="1">
        <v>#VALUE!</v>
      </c>
      <c r="E230" s="285" t="e" vm="1">
        <v>#VALUE!</v>
      </c>
      <c r="F230" s="285" t="e" vm="1">
        <v>#VALUE!</v>
      </c>
      <c r="G230" s="285" t="e" vm="1">
        <v>#VALUE!</v>
      </c>
      <c r="H230" s="283" t="e" vm="1">
        <v>#VALUE!</v>
      </c>
    </row>
    <row r="231" spans="2:8">
      <c r="B231" s="320"/>
      <c r="C231" s="225">
        <f>$E$46*$E$54+$E$53*$E$50</f>
        <v>6.3238287349062824E-2</v>
      </c>
      <c r="D231" s="283" t="e" vm="1">
        <v>#VALUE!</v>
      </c>
      <c r="E231" s="285" t="e" vm="1">
        <v>#VALUE!</v>
      </c>
      <c r="F231" s="285" t="e" vm="1">
        <v>#VALUE!</v>
      </c>
      <c r="G231" s="285" t="e" vm="1">
        <v>#VALUE!</v>
      </c>
      <c r="H231" s="283" t="e" vm="1">
        <v>#VALUE!</v>
      </c>
    </row>
    <row r="232" spans="2:8">
      <c r="B232" s="320"/>
      <c r="C232" s="218">
        <f>C231+$K$111</f>
        <v>6.5738287349062827E-2</v>
      </c>
      <c r="D232" s="284" t="e" vm="1">
        <v>#VALUE!</v>
      </c>
      <c r="E232" s="285" t="e" vm="1">
        <v>#VALUE!</v>
      </c>
      <c r="F232" s="285" t="e" vm="1">
        <v>#VALUE!</v>
      </c>
      <c r="G232" s="285" t="e" vm="1">
        <v>#VALUE!</v>
      </c>
      <c r="H232" s="283" t="e" vm="1">
        <v>#VALUE!</v>
      </c>
    </row>
    <row r="233" spans="2:8">
      <c r="B233" s="320"/>
      <c r="C233" s="218">
        <f>C232+$K$111</f>
        <v>6.8238287349062829E-2</v>
      </c>
      <c r="D233" s="284" t="e" vm="1">
        <v>#VALUE!</v>
      </c>
      <c r="E233" s="283" t="e" vm="1">
        <v>#VALUE!</v>
      </c>
      <c r="F233" s="283" t="e" vm="1">
        <v>#VALUE!</v>
      </c>
      <c r="G233" s="283" t="e" vm="1">
        <v>#VALUE!</v>
      </c>
      <c r="H233" s="283" t="e" vm="1">
        <v>#VALUE!</v>
      </c>
    </row>
    <row r="237" spans="2:8">
      <c r="B237" s="216" t="s">
        <v>258</v>
      </c>
      <c r="C237" s="216"/>
      <c r="D237" s="216"/>
      <c r="E237" s="216"/>
      <c r="F237" s="216"/>
      <c r="G237" s="216"/>
      <c r="H237" s="216"/>
    </row>
    <row r="238" spans="2:8">
      <c r="B238" s="320" t="s">
        <v>110</v>
      </c>
      <c r="C238" s="321" t="s">
        <v>275</v>
      </c>
      <c r="D238" s="321"/>
      <c r="E238" s="321"/>
      <c r="F238" s="321"/>
      <c r="G238" s="321"/>
      <c r="H238" s="321"/>
    </row>
    <row r="239" spans="2:8" ht="17" thickBot="1">
      <c r="B239" s="320"/>
      <c r="C239" s="217" t="e" vm="1">
        <f ca="1">$C$212</f>
        <v>#VALUE!</v>
      </c>
      <c r="D239" s="279" t="e" vm="1">
        <f ca="1">E239-$K$216</f>
        <v>#VALUE!</v>
      </c>
      <c r="E239" s="279" t="e" vm="1">
        <f ca="1">F239-$K$216</f>
        <v>#VALUE!</v>
      </c>
      <c r="F239" s="280" t="e" vm="1">
        <f ca="1">EV_REVENUE_FY0</f>
        <v>#VALUE!</v>
      </c>
      <c r="G239" s="279" t="e" vm="1">
        <f ca="1">F239+$K$216</f>
        <v>#VALUE!</v>
      </c>
      <c r="H239" s="279" t="e" vm="1">
        <f ca="1">G239+$K$216</f>
        <v>#VALUE!</v>
      </c>
    </row>
    <row r="240" spans="2:8">
      <c r="B240" s="320"/>
      <c r="C240" s="218">
        <f>C241-$K$111</f>
        <v>5.823828734906282E-2</v>
      </c>
      <c r="D240" s="220" t="e" vm="1">
        <f t="dataTable" ref="D240:H244" dt2D="1" dtr="1" r1="I201" r2="E57" ca="1"/>
        <v>#VALUE!</v>
      </c>
      <c r="E240" s="221" t="e" vm="1">
        <v>#VALUE!</v>
      </c>
      <c r="F240" s="222" t="e" vm="1">
        <v>#VALUE!</v>
      </c>
      <c r="G240" s="221" t="e" vm="1">
        <v>#VALUE!</v>
      </c>
      <c r="H240" s="221" t="e" vm="1">
        <v>#VALUE!</v>
      </c>
    </row>
    <row r="241" spans="2:8">
      <c r="B241" s="320"/>
      <c r="C241" s="218">
        <f>C242-$K$111</f>
        <v>6.0738287349062822E-2</v>
      </c>
      <c r="D241" s="223" t="e" vm="1">
        <v>#VALUE!</v>
      </c>
      <c r="E241" s="224" t="e" vm="1">
        <v>#VALUE!</v>
      </c>
      <c r="F241" s="224" t="e" vm="1">
        <v>#VALUE!</v>
      </c>
      <c r="G241" s="224" t="e" vm="1">
        <v>#VALUE!</v>
      </c>
      <c r="H241" s="222" t="e" vm="1">
        <v>#VALUE!</v>
      </c>
    </row>
    <row r="242" spans="2:8">
      <c r="B242" s="320"/>
      <c r="C242" s="225">
        <f>$E$46*$E$54+$E$53*$E$50</f>
        <v>6.3238287349062824E-2</v>
      </c>
      <c r="D242" s="222" t="e" vm="1">
        <v>#VALUE!</v>
      </c>
      <c r="E242" s="224" t="e" vm="1">
        <v>#VALUE!</v>
      </c>
      <c r="F242" s="224" t="e" vm="1">
        <v>#VALUE!</v>
      </c>
      <c r="G242" s="224" t="e" vm="1">
        <v>#VALUE!</v>
      </c>
      <c r="H242" s="222" t="e" vm="1">
        <v>#VALUE!</v>
      </c>
    </row>
    <row r="243" spans="2:8">
      <c r="B243" s="320"/>
      <c r="C243" s="218">
        <f>C242+$K$111</f>
        <v>6.5738287349062827E-2</v>
      </c>
      <c r="D243" s="223" t="e" vm="1">
        <v>#VALUE!</v>
      </c>
      <c r="E243" s="224" t="e" vm="1">
        <v>#VALUE!</v>
      </c>
      <c r="F243" s="224" t="e" vm="1">
        <v>#VALUE!</v>
      </c>
      <c r="G243" s="224" t="e" vm="1">
        <v>#VALUE!</v>
      </c>
      <c r="H243" s="222" t="e" vm="1">
        <v>#VALUE!</v>
      </c>
    </row>
    <row r="244" spans="2:8">
      <c r="B244" s="320"/>
      <c r="C244" s="218">
        <f>C243+$K$111</f>
        <v>6.8238287349062829E-2</v>
      </c>
      <c r="D244" s="223" t="e" vm="1">
        <v>#VALUE!</v>
      </c>
      <c r="E244" s="222" t="e" vm="1">
        <v>#VALUE!</v>
      </c>
      <c r="F244" s="222" t="e" vm="1">
        <v>#VALUE!</v>
      </c>
      <c r="G244" s="222" t="e" vm="1">
        <v>#VALUE!</v>
      </c>
      <c r="H244" s="222" t="e" vm="1">
        <v>#VALUE!</v>
      </c>
    </row>
    <row r="483" spans="1:16308">
      <c r="A483" s="308"/>
      <c r="B483" s="308"/>
      <c r="C483" s="308"/>
      <c r="D483" s="308"/>
      <c r="E483" s="308"/>
      <c r="F483" s="308"/>
      <c r="G483" s="308"/>
      <c r="H483" s="308"/>
      <c r="I483" s="308"/>
      <c r="J483" s="308"/>
      <c r="K483" s="308"/>
      <c r="L483" s="308"/>
      <c r="M483" s="308"/>
      <c r="N483" s="308"/>
      <c r="O483" s="308"/>
      <c r="P483" s="308"/>
      <c r="Q483" s="308"/>
      <c r="R483" s="308"/>
      <c r="S483" s="308"/>
      <c r="T483" s="308"/>
      <c r="U483" s="308"/>
      <c r="V483" s="308"/>
      <c r="W483" s="308"/>
      <c r="X483" s="308"/>
      <c r="Y483" s="308"/>
      <c r="Z483" s="308"/>
      <c r="AA483" s="308"/>
      <c r="AB483" s="308"/>
      <c r="AC483" s="308"/>
      <c r="AD483" s="308"/>
      <c r="AE483" s="308"/>
      <c r="AF483" s="308"/>
      <c r="AG483" s="308"/>
      <c r="AH483" s="308"/>
      <c r="AI483" s="308"/>
      <c r="AJ483" s="308"/>
      <c r="AK483" s="308"/>
      <c r="AL483" s="308"/>
      <c r="AM483" s="308"/>
      <c r="AN483" s="308"/>
      <c r="AO483" s="308"/>
      <c r="AP483" s="308"/>
      <c r="AQ483" s="308"/>
      <c r="AR483" s="308"/>
      <c r="AS483" s="308"/>
      <c r="AT483" s="308"/>
      <c r="AU483" s="308"/>
      <c r="AV483" s="308"/>
      <c r="AW483" s="308"/>
      <c r="AX483" s="308"/>
      <c r="AY483" s="308"/>
      <c r="AZ483" s="308"/>
      <c r="BA483" s="308"/>
      <c r="BB483" s="308"/>
      <c r="BC483" s="308"/>
      <c r="BD483" s="308"/>
      <c r="BE483" s="308"/>
      <c r="BF483" s="308"/>
      <c r="BG483" s="308"/>
      <c r="BH483" s="308"/>
      <c r="BI483" s="308"/>
      <c r="BJ483" s="308"/>
      <c r="BK483" s="308"/>
      <c r="BL483" s="308"/>
      <c r="BM483" s="308"/>
      <c r="BN483" s="308"/>
      <c r="BO483" s="308"/>
      <c r="BP483" s="308"/>
      <c r="BQ483" s="308"/>
      <c r="BR483" s="308"/>
      <c r="BS483" s="308"/>
      <c r="BT483" s="308"/>
      <c r="BU483" s="308"/>
      <c r="BV483" s="308"/>
      <c r="BW483" s="308"/>
      <c r="BX483" s="308"/>
      <c r="BY483" s="308"/>
      <c r="BZ483" s="308"/>
      <c r="CA483" s="308"/>
      <c r="CB483" s="308"/>
      <c r="CC483" s="308"/>
      <c r="CD483" s="308"/>
      <c r="CE483" s="308"/>
      <c r="CF483" s="308"/>
      <c r="CG483" s="308"/>
      <c r="CH483" s="308"/>
      <c r="CI483" s="308"/>
      <c r="CJ483" s="308"/>
      <c r="CK483" s="308"/>
      <c r="CL483" s="308"/>
      <c r="CM483" s="308"/>
      <c r="CN483" s="308"/>
      <c r="CO483" s="308"/>
      <c r="CP483" s="308"/>
      <c r="CQ483" s="308"/>
      <c r="CR483" s="308"/>
      <c r="CS483" s="308"/>
      <c r="CT483" s="308"/>
      <c r="CU483" s="308"/>
      <c r="CV483" s="308"/>
      <c r="CW483" s="308"/>
      <c r="CX483" s="308"/>
      <c r="CY483" s="308"/>
      <c r="CZ483" s="308"/>
      <c r="DA483" s="308"/>
      <c r="DB483" s="308"/>
      <c r="DC483" s="308"/>
      <c r="DD483" s="308"/>
      <c r="DE483" s="308"/>
      <c r="DF483" s="308"/>
      <c r="DG483" s="308"/>
      <c r="DH483" s="308"/>
      <c r="DI483" s="308"/>
      <c r="DJ483" s="308"/>
      <c r="DK483" s="308"/>
      <c r="DL483" s="308"/>
      <c r="DM483" s="308"/>
      <c r="DN483" s="308"/>
      <c r="DO483" s="308"/>
      <c r="DP483" s="308"/>
      <c r="DQ483" s="308"/>
      <c r="DR483" s="308"/>
      <c r="DS483" s="308"/>
      <c r="DT483" s="308"/>
      <c r="DU483" s="308"/>
      <c r="DV483" s="308"/>
      <c r="DW483" s="308"/>
      <c r="DX483" s="308"/>
      <c r="DY483" s="308"/>
      <c r="DZ483" s="308"/>
      <c r="EA483" s="308"/>
      <c r="EB483" s="308"/>
      <c r="EC483" s="308"/>
      <c r="ED483" s="308"/>
      <c r="EE483" s="308"/>
      <c r="EF483" s="308"/>
      <c r="EG483" s="308"/>
      <c r="EH483" s="308"/>
      <c r="EI483" s="308"/>
      <c r="EJ483" s="308"/>
      <c r="EK483" s="308"/>
      <c r="EL483" s="308"/>
      <c r="EM483" s="308"/>
      <c r="EN483" s="308"/>
      <c r="EO483" s="308"/>
      <c r="EP483" s="308"/>
      <c r="EQ483" s="308"/>
      <c r="ER483" s="308"/>
      <c r="ES483" s="308"/>
      <c r="ET483" s="308"/>
      <c r="EU483" s="308"/>
      <c r="EV483" s="308"/>
      <c r="EW483" s="308"/>
      <c r="EX483" s="308"/>
      <c r="EY483" s="308"/>
      <c r="EZ483" s="308"/>
      <c r="FA483" s="308"/>
      <c r="FB483" s="308"/>
      <c r="FC483" s="308"/>
      <c r="FD483" s="308"/>
      <c r="FE483" s="308"/>
      <c r="FF483" s="308"/>
      <c r="FG483" s="308"/>
      <c r="FH483" s="308"/>
      <c r="FI483" s="308"/>
      <c r="FJ483" s="308"/>
      <c r="FK483" s="308"/>
      <c r="FL483" s="308"/>
      <c r="FM483" s="308"/>
      <c r="FN483" s="308"/>
      <c r="FO483" s="308"/>
      <c r="FP483" s="308"/>
      <c r="FQ483" s="308"/>
      <c r="FR483" s="308"/>
      <c r="FS483" s="308"/>
      <c r="FT483" s="308"/>
      <c r="FU483" s="308"/>
      <c r="FV483" s="308"/>
      <c r="FW483" s="308"/>
      <c r="FX483" s="308"/>
      <c r="FY483" s="308"/>
      <c r="FZ483" s="308"/>
      <c r="GA483" s="308"/>
      <c r="GB483" s="308"/>
      <c r="GC483" s="308"/>
      <c r="GD483" s="308"/>
      <c r="GE483" s="308"/>
      <c r="GF483" s="308"/>
      <c r="GG483" s="308"/>
      <c r="GH483" s="308"/>
      <c r="GI483" s="308"/>
      <c r="GJ483" s="308"/>
      <c r="GK483" s="308"/>
      <c r="GL483" s="308"/>
      <c r="GM483" s="308"/>
      <c r="GN483" s="308"/>
      <c r="GO483" s="308"/>
      <c r="GP483" s="308"/>
      <c r="GQ483" s="308"/>
      <c r="GR483" s="308"/>
      <c r="GS483" s="308"/>
      <c r="GT483" s="308"/>
      <c r="GU483" s="308"/>
      <c r="GV483" s="308"/>
      <c r="GW483" s="308"/>
      <c r="GX483" s="308"/>
      <c r="GY483" s="308"/>
      <c r="GZ483" s="308"/>
      <c r="HA483" s="308"/>
      <c r="HB483" s="308"/>
      <c r="HC483" s="308"/>
      <c r="HD483" s="308"/>
      <c r="HE483" s="308"/>
      <c r="HF483" s="308"/>
      <c r="HG483" s="308"/>
      <c r="HH483" s="308"/>
      <c r="HI483" s="308"/>
      <c r="HJ483" s="308"/>
      <c r="HK483" s="308"/>
      <c r="HL483" s="308"/>
      <c r="HM483" s="308"/>
      <c r="HN483" s="308"/>
      <c r="HO483" s="308"/>
      <c r="HP483" s="308"/>
      <c r="HQ483" s="308"/>
      <c r="HR483" s="308"/>
      <c r="HS483" s="308"/>
      <c r="HT483" s="308"/>
      <c r="HU483" s="308"/>
      <c r="HV483" s="308"/>
      <c r="HW483" s="308"/>
      <c r="HX483" s="308"/>
      <c r="HY483" s="308"/>
      <c r="HZ483" s="308"/>
      <c r="IA483" s="308"/>
      <c r="IB483" s="308"/>
      <c r="IC483" s="308"/>
      <c r="ID483" s="308"/>
      <c r="IE483" s="308"/>
      <c r="IF483" s="308"/>
      <c r="IG483" s="308"/>
      <c r="IH483" s="308"/>
      <c r="II483" s="308"/>
      <c r="IJ483" s="308"/>
      <c r="IK483" s="308"/>
      <c r="IL483" s="308"/>
      <c r="IM483" s="308"/>
      <c r="IN483" s="308"/>
      <c r="IO483" s="308"/>
      <c r="IP483" s="308"/>
      <c r="IQ483" s="308"/>
      <c r="IR483" s="308"/>
      <c r="IS483" s="308"/>
      <c r="IT483" s="308"/>
      <c r="IU483" s="308"/>
      <c r="IV483" s="308"/>
      <c r="IW483" s="308"/>
      <c r="IX483" s="308"/>
      <c r="IY483" s="308"/>
      <c r="IZ483" s="308"/>
      <c r="JA483" s="308"/>
      <c r="JB483" s="308"/>
      <c r="JC483" s="308"/>
      <c r="JD483" s="308"/>
      <c r="JE483" s="308"/>
      <c r="JF483" s="308"/>
      <c r="JG483" s="308"/>
      <c r="JH483" s="308"/>
      <c r="JI483" s="308"/>
      <c r="JJ483" s="308"/>
      <c r="JK483" s="308"/>
      <c r="JL483" s="308"/>
      <c r="JM483" s="308"/>
      <c r="JN483" s="308"/>
      <c r="JO483" s="308"/>
      <c r="JP483" s="308"/>
      <c r="JQ483" s="308"/>
      <c r="JR483" s="308"/>
      <c r="JS483" s="308"/>
      <c r="JT483" s="308"/>
      <c r="JU483" s="308"/>
      <c r="JV483" s="308"/>
      <c r="JW483" s="308"/>
      <c r="JX483" s="308"/>
      <c r="JY483" s="308"/>
      <c r="JZ483" s="308"/>
      <c r="KA483" s="308"/>
      <c r="KB483" s="308"/>
      <c r="KC483" s="308"/>
      <c r="KD483" s="308"/>
      <c r="KE483" s="308"/>
      <c r="KF483" s="308"/>
      <c r="KG483" s="308"/>
      <c r="KH483" s="308"/>
      <c r="KI483" s="308"/>
      <c r="KJ483" s="308"/>
      <c r="KK483" s="308"/>
      <c r="KL483" s="308"/>
      <c r="KM483" s="308"/>
      <c r="KN483" s="308"/>
      <c r="KO483" s="308"/>
      <c r="KP483" s="308"/>
      <c r="KQ483" s="308"/>
      <c r="KR483" s="308"/>
      <c r="KS483" s="308"/>
      <c r="KT483" s="308"/>
      <c r="KU483" s="308"/>
      <c r="KV483" s="308"/>
      <c r="KW483" s="308"/>
      <c r="KX483" s="308"/>
      <c r="KY483" s="308"/>
      <c r="KZ483" s="308"/>
      <c r="LA483" s="308"/>
      <c r="LB483" s="308"/>
      <c r="LC483" s="308"/>
      <c r="LD483" s="308"/>
      <c r="LE483" s="308"/>
      <c r="LF483" s="308"/>
      <c r="LG483" s="308"/>
      <c r="LH483" s="308"/>
      <c r="LI483" s="308"/>
      <c r="LJ483" s="308"/>
      <c r="LK483" s="308"/>
      <c r="LL483" s="308"/>
      <c r="LM483" s="308"/>
      <c r="LN483" s="308"/>
      <c r="LO483" s="308"/>
      <c r="LP483" s="308"/>
      <c r="LQ483" s="308"/>
      <c r="LR483" s="308"/>
      <c r="LS483" s="308"/>
      <c r="LT483" s="308"/>
      <c r="LU483" s="308"/>
      <c r="LV483" s="308"/>
      <c r="LW483" s="308"/>
      <c r="LX483" s="308"/>
      <c r="LY483" s="308"/>
      <c r="LZ483" s="308"/>
      <c r="MA483" s="308"/>
      <c r="MB483" s="308"/>
      <c r="MC483" s="308"/>
      <c r="MD483" s="308"/>
      <c r="ME483" s="308"/>
      <c r="MF483" s="308"/>
      <c r="MG483" s="308"/>
      <c r="MH483" s="308"/>
      <c r="MI483" s="308"/>
      <c r="MJ483" s="308"/>
      <c r="MK483" s="308"/>
      <c r="ML483" s="308"/>
      <c r="MM483" s="308"/>
      <c r="MN483" s="308"/>
      <c r="MO483" s="308"/>
      <c r="MP483" s="308"/>
      <c r="MQ483" s="308"/>
      <c r="MR483" s="308"/>
      <c r="MS483" s="308"/>
      <c r="MT483" s="308"/>
      <c r="MU483" s="308"/>
      <c r="MV483" s="308"/>
      <c r="MW483" s="308"/>
      <c r="MX483" s="308"/>
      <c r="MY483" s="308"/>
      <c r="MZ483" s="308"/>
      <c r="NA483" s="308"/>
      <c r="NB483" s="308"/>
      <c r="NC483" s="308"/>
      <c r="ND483" s="308"/>
      <c r="NE483" s="308"/>
      <c r="NF483" s="308"/>
      <c r="NG483" s="308"/>
      <c r="NH483" s="308"/>
      <c r="NI483" s="308"/>
      <c r="NJ483" s="308"/>
      <c r="NK483" s="308"/>
      <c r="NL483" s="308"/>
      <c r="NM483" s="308"/>
      <c r="NN483" s="308"/>
      <c r="NO483" s="308"/>
      <c r="NP483" s="308"/>
      <c r="NQ483" s="308"/>
      <c r="NR483" s="308"/>
      <c r="NS483" s="308"/>
      <c r="NT483" s="308"/>
      <c r="NU483" s="308"/>
      <c r="NV483" s="308"/>
      <c r="NW483" s="308"/>
      <c r="NX483" s="308"/>
      <c r="NY483" s="308"/>
      <c r="NZ483" s="308"/>
      <c r="OA483" s="308"/>
      <c r="OB483" s="308"/>
      <c r="OC483" s="308"/>
      <c r="OD483" s="308"/>
      <c r="OE483" s="308"/>
      <c r="OF483" s="308"/>
      <c r="OG483" s="308"/>
      <c r="OH483" s="308"/>
      <c r="OI483" s="308"/>
      <c r="OJ483" s="308"/>
      <c r="OK483" s="308"/>
      <c r="OL483" s="308"/>
      <c r="OM483" s="308"/>
      <c r="ON483" s="308"/>
      <c r="OO483" s="308"/>
      <c r="OP483" s="308"/>
      <c r="OQ483" s="308"/>
      <c r="OR483" s="308"/>
      <c r="OS483" s="308"/>
      <c r="OT483" s="308"/>
      <c r="OU483" s="308"/>
      <c r="OV483" s="308"/>
      <c r="OW483" s="308"/>
      <c r="OX483" s="308"/>
      <c r="OY483" s="308"/>
      <c r="OZ483" s="308"/>
      <c r="PA483" s="308"/>
      <c r="PB483" s="308"/>
      <c r="PC483" s="308"/>
      <c r="PD483" s="308"/>
      <c r="PE483" s="308"/>
      <c r="PF483" s="308"/>
      <c r="PG483" s="308"/>
      <c r="PH483" s="308"/>
      <c r="PI483" s="308"/>
      <c r="PJ483" s="308"/>
      <c r="PK483" s="308"/>
      <c r="PL483" s="308"/>
      <c r="PM483" s="308"/>
      <c r="PN483" s="308"/>
      <c r="PO483" s="308"/>
      <c r="PP483" s="308"/>
      <c r="PQ483" s="308"/>
      <c r="PR483" s="308"/>
      <c r="PS483" s="308"/>
      <c r="PT483" s="308"/>
      <c r="PU483" s="308"/>
      <c r="PV483" s="308"/>
      <c r="PW483" s="308"/>
      <c r="PX483" s="308"/>
      <c r="PY483" s="308"/>
      <c r="PZ483" s="308"/>
      <c r="QA483" s="308"/>
      <c r="QB483" s="308"/>
      <c r="QC483" s="308"/>
      <c r="QD483" s="308"/>
      <c r="QE483" s="308"/>
      <c r="QF483" s="308"/>
      <c r="QG483" s="308"/>
      <c r="QH483" s="308"/>
      <c r="QI483" s="308"/>
      <c r="QJ483" s="308"/>
      <c r="QK483" s="308"/>
      <c r="QL483" s="308"/>
      <c r="QM483" s="308"/>
      <c r="QN483" s="308"/>
      <c r="QO483" s="308"/>
      <c r="QP483" s="308"/>
      <c r="QQ483" s="308"/>
      <c r="QR483" s="308"/>
      <c r="QS483" s="308"/>
      <c r="QT483" s="308"/>
      <c r="QU483" s="308"/>
      <c r="QV483" s="308"/>
      <c r="QW483" s="308"/>
      <c r="QX483" s="308"/>
      <c r="QY483" s="308"/>
      <c r="QZ483" s="308"/>
      <c r="RA483" s="308"/>
      <c r="RB483" s="308"/>
      <c r="RC483" s="308"/>
      <c r="RD483" s="308"/>
      <c r="RE483" s="308"/>
      <c r="RF483" s="308"/>
      <c r="RG483" s="308"/>
      <c r="RH483" s="308"/>
      <c r="RI483" s="308"/>
      <c r="RJ483" s="308"/>
      <c r="RK483" s="308"/>
      <c r="RL483" s="308"/>
      <c r="RM483" s="308"/>
      <c r="RN483" s="308"/>
      <c r="RO483" s="308"/>
      <c r="RP483" s="308"/>
      <c r="RQ483" s="308"/>
      <c r="RR483" s="308"/>
      <c r="RS483" s="308"/>
      <c r="RT483" s="308"/>
      <c r="RU483" s="308"/>
      <c r="RV483" s="308"/>
      <c r="RW483" s="308"/>
      <c r="RX483" s="308"/>
      <c r="RY483" s="308"/>
      <c r="RZ483" s="308"/>
      <c r="SA483" s="308"/>
      <c r="SB483" s="308"/>
      <c r="SC483" s="308"/>
      <c r="SD483" s="308"/>
      <c r="SE483" s="308"/>
      <c r="SF483" s="308"/>
      <c r="SG483" s="308"/>
      <c r="SH483" s="308"/>
      <c r="SI483" s="308"/>
      <c r="SJ483" s="308"/>
      <c r="SK483" s="308"/>
      <c r="SL483" s="308"/>
      <c r="SM483" s="308"/>
      <c r="SN483" s="308"/>
      <c r="SO483" s="308"/>
      <c r="SP483" s="308"/>
      <c r="SQ483" s="308"/>
      <c r="SR483" s="308"/>
      <c r="SS483" s="308"/>
      <c r="ST483" s="308"/>
      <c r="SU483" s="308"/>
      <c r="SV483" s="308"/>
      <c r="SW483" s="308"/>
      <c r="SX483" s="308"/>
      <c r="SY483" s="308"/>
      <c r="SZ483" s="308"/>
      <c r="TA483" s="308"/>
      <c r="TB483" s="308"/>
      <c r="TC483" s="308"/>
      <c r="TD483" s="308"/>
      <c r="TE483" s="308"/>
      <c r="TF483" s="308"/>
      <c r="TG483" s="308"/>
      <c r="TH483" s="308"/>
      <c r="TI483" s="308"/>
      <c r="TJ483" s="308"/>
      <c r="TK483" s="308"/>
      <c r="TL483" s="308"/>
      <c r="TM483" s="308"/>
      <c r="TN483" s="308"/>
      <c r="TO483" s="308"/>
      <c r="TP483" s="308"/>
      <c r="TQ483" s="308"/>
      <c r="TR483" s="308"/>
      <c r="TS483" s="308"/>
      <c r="TT483" s="308"/>
      <c r="TU483" s="308"/>
      <c r="TV483" s="308"/>
      <c r="TW483" s="308"/>
      <c r="TX483" s="308"/>
      <c r="TY483" s="308"/>
      <c r="TZ483" s="308"/>
      <c r="UA483" s="308"/>
      <c r="UB483" s="308"/>
      <c r="UC483" s="308"/>
      <c r="UD483" s="308"/>
      <c r="UE483" s="308"/>
      <c r="UF483" s="308"/>
      <c r="UG483" s="308"/>
      <c r="UH483" s="308"/>
      <c r="UI483" s="308"/>
      <c r="UJ483" s="308"/>
      <c r="UK483" s="308"/>
      <c r="UL483" s="308"/>
      <c r="UM483" s="308"/>
      <c r="UN483" s="308"/>
      <c r="UO483" s="308"/>
      <c r="UP483" s="308"/>
      <c r="UQ483" s="308"/>
      <c r="UR483" s="308"/>
      <c r="US483" s="308"/>
      <c r="UT483" s="308"/>
      <c r="UU483" s="308"/>
      <c r="UV483" s="308"/>
      <c r="UW483" s="308"/>
      <c r="UX483" s="308"/>
      <c r="UY483" s="308"/>
      <c r="UZ483" s="308"/>
      <c r="VA483" s="308"/>
      <c r="VB483" s="308"/>
      <c r="VC483" s="308"/>
      <c r="VD483" s="308"/>
      <c r="VE483" s="308"/>
      <c r="VF483" s="308"/>
      <c r="VG483" s="308"/>
      <c r="VH483" s="308"/>
      <c r="VI483" s="308"/>
      <c r="VJ483" s="308"/>
      <c r="VK483" s="308"/>
      <c r="VL483" s="308"/>
      <c r="VM483" s="308"/>
      <c r="VN483" s="308"/>
      <c r="VO483" s="308"/>
      <c r="VP483" s="308"/>
      <c r="VQ483" s="308"/>
      <c r="VR483" s="308"/>
      <c r="VS483" s="308"/>
      <c r="VT483" s="308"/>
      <c r="VU483" s="308"/>
      <c r="VV483" s="308"/>
      <c r="VW483" s="308"/>
      <c r="VX483" s="308"/>
      <c r="VY483" s="308"/>
      <c r="VZ483" s="308"/>
      <c r="WA483" s="308"/>
      <c r="WB483" s="308"/>
      <c r="WC483" s="308"/>
      <c r="WD483" s="308"/>
      <c r="WE483" s="308"/>
      <c r="WF483" s="308"/>
      <c r="WG483" s="308"/>
      <c r="WH483" s="308"/>
      <c r="WI483" s="308"/>
      <c r="WJ483" s="308"/>
      <c r="WK483" s="308"/>
      <c r="WL483" s="308"/>
      <c r="WM483" s="308"/>
      <c r="WN483" s="308"/>
      <c r="WO483" s="308"/>
      <c r="WP483" s="308"/>
      <c r="WQ483" s="308"/>
      <c r="WR483" s="308"/>
      <c r="WS483" s="308"/>
      <c r="WT483" s="308"/>
      <c r="WU483" s="308"/>
      <c r="WV483" s="308"/>
      <c r="WW483" s="308"/>
      <c r="WX483" s="308"/>
      <c r="WY483" s="308"/>
      <c r="WZ483" s="308"/>
      <c r="XA483" s="308"/>
      <c r="XB483" s="308"/>
      <c r="XC483" s="308"/>
      <c r="XD483" s="308"/>
      <c r="XE483" s="308"/>
      <c r="XF483" s="308"/>
      <c r="XG483" s="308"/>
      <c r="XH483" s="308"/>
      <c r="XI483" s="308"/>
      <c r="XJ483" s="308"/>
      <c r="XK483" s="308"/>
      <c r="XL483" s="308"/>
      <c r="XM483" s="308"/>
      <c r="XN483" s="308"/>
      <c r="XO483" s="308"/>
      <c r="XP483" s="308"/>
      <c r="XQ483" s="308"/>
      <c r="XR483" s="308"/>
      <c r="XS483" s="308"/>
      <c r="XT483" s="308"/>
      <c r="XU483" s="308"/>
      <c r="XV483" s="308"/>
      <c r="XW483" s="308"/>
      <c r="XX483" s="308"/>
      <c r="XY483" s="308"/>
      <c r="XZ483" s="308"/>
      <c r="YA483" s="308"/>
      <c r="YB483" s="308"/>
      <c r="YC483" s="308"/>
      <c r="YD483" s="308"/>
      <c r="YE483" s="308"/>
      <c r="YF483" s="308"/>
      <c r="YG483" s="308"/>
      <c r="YH483" s="308"/>
      <c r="YI483" s="308"/>
      <c r="YJ483" s="308"/>
      <c r="YK483" s="308"/>
      <c r="YL483" s="308"/>
      <c r="YM483" s="308"/>
      <c r="YN483" s="308"/>
      <c r="YO483" s="308"/>
      <c r="YP483" s="308"/>
      <c r="YQ483" s="308"/>
      <c r="YR483" s="308"/>
      <c r="YS483" s="308"/>
      <c r="YT483" s="308"/>
      <c r="YU483" s="308"/>
      <c r="YV483" s="308"/>
      <c r="YW483" s="308"/>
      <c r="YX483" s="308"/>
      <c r="YY483" s="308"/>
      <c r="YZ483" s="308"/>
      <c r="ZA483" s="308"/>
      <c r="ZB483" s="308"/>
      <c r="ZC483" s="308"/>
      <c r="ZD483" s="308"/>
      <c r="ZE483" s="308"/>
      <c r="ZF483" s="308"/>
      <c r="ZG483" s="308"/>
      <c r="ZH483" s="308"/>
      <c r="ZI483" s="308"/>
      <c r="ZJ483" s="308"/>
      <c r="ZK483" s="308"/>
      <c r="ZL483" s="308"/>
      <c r="ZM483" s="308"/>
      <c r="ZN483" s="308"/>
      <c r="ZO483" s="308"/>
      <c r="ZP483" s="308"/>
      <c r="ZQ483" s="308"/>
      <c r="ZR483" s="308"/>
      <c r="ZS483" s="308"/>
      <c r="ZT483" s="308"/>
      <c r="ZU483" s="308"/>
      <c r="ZV483" s="308"/>
      <c r="ZW483" s="308"/>
      <c r="ZX483" s="308"/>
      <c r="ZY483" s="308"/>
      <c r="ZZ483" s="308"/>
      <c r="AAA483" s="308"/>
      <c r="AAB483" s="308"/>
      <c r="AAC483" s="308"/>
      <c r="AAD483" s="308"/>
      <c r="AAE483" s="308"/>
      <c r="AAF483" s="308"/>
      <c r="AAG483" s="308"/>
      <c r="AAH483" s="308"/>
      <c r="AAI483" s="308"/>
      <c r="AAJ483" s="308"/>
      <c r="AAK483" s="308"/>
      <c r="AAL483" s="308"/>
      <c r="AAM483" s="308"/>
      <c r="AAN483" s="308"/>
      <c r="AAO483" s="308"/>
      <c r="AAP483" s="308"/>
      <c r="AAQ483" s="308"/>
      <c r="AAR483" s="308"/>
      <c r="AAS483" s="308"/>
      <c r="AAT483" s="308"/>
      <c r="AAU483" s="308"/>
      <c r="AAV483" s="308"/>
      <c r="AAW483" s="308"/>
      <c r="AAX483" s="308"/>
      <c r="AAY483" s="308"/>
      <c r="AAZ483" s="308"/>
      <c r="ABA483" s="308"/>
      <c r="ABB483" s="308"/>
      <c r="ABC483" s="308"/>
      <c r="ABD483" s="308"/>
      <c r="ABE483" s="308"/>
      <c r="ABF483" s="308"/>
      <c r="ABG483" s="308"/>
      <c r="ABH483" s="308"/>
      <c r="ABI483" s="308"/>
      <c r="ABJ483" s="308"/>
      <c r="ABK483" s="308"/>
      <c r="ABL483" s="308"/>
      <c r="ABM483" s="308"/>
      <c r="ABN483" s="308"/>
      <c r="ABO483" s="308"/>
      <c r="ABP483" s="308"/>
      <c r="ABQ483" s="308"/>
      <c r="ABR483" s="308"/>
      <c r="ABS483" s="308"/>
      <c r="ABT483" s="308"/>
      <c r="ABU483" s="308"/>
      <c r="ABV483" s="308"/>
      <c r="ABW483" s="308"/>
      <c r="ABX483" s="308"/>
      <c r="ABY483" s="308"/>
      <c r="ABZ483" s="308"/>
      <c r="ACA483" s="308"/>
      <c r="ACB483" s="308"/>
      <c r="ACC483" s="308"/>
      <c r="ACD483" s="308"/>
      <c r="ACE483" s="308"/>
      <c r="ACF483" s="308"/>
      <c r="ACG483" s="308"/>
      <c r="ACH483" s="308"/>
      <c r="ACI483" s="308"/>
      <c r="ACJ483" s="308"/>
      <c r="ACK483" s="308"/>
      <c r="ACL483" s="308"/>
      <c r="ACM483" s="308"/>
      <c r="ACN483" s="308"/>
      <c r="ACO483" s="308"/>
      <c r="ACP483" s="308"/>
      <c r="ACQ483" s="308"/>
      <c r="ACR483" s="308"/>
      <c r="ACS483" s="308"/>
      <c r="ACT483" s="308"/>
      <c r="ACU483" s="308"/>
      <c r="ACV483" s="308"/>
      <c r="ACW483" s="308"/>
      <c r="ACX483" s="308"/>
      <c r="ACY483" s="308"/>
      <c r="ACZ483" s="308"/>
      <c r="ADA483" s="308"/>
      <c r="ADB483" s="308"/>
      <c r="ADC483" s="308"/>
      <c r="ADD483" s="308"/>
      <c r="ADE483" s="308"/>
      <c r="ADF483" s="308"/>
      <c r="ADG483" s="308"/>
      <c r="ADH483" s="308"/>
      <c r="ADI483" s="308"/>
      <c r="ADJ483" s="308"/>
      <c r="ADK483" s="308"/>
      <c r="ADL483" s="308"/>
      <c r="ADM483" s="308"/>
      <c r="ADN483" s="308"/>
      <c r="ADO483" s="308"/>
      <c r="ADP483" s="308"/>
      <c r="ADQ483" s="308"/>
      <c r="ADR483" s="308"/>
      <c r="ADS483" s="308"/>
      <c r="ADT483" s="308"/>
      <c r="ADU483" s="308"/>
      <c r="ADV483" s="308"/>
      <c r="ADW483" s="308"/>
      <c r="ADX483" s="308"/>
      <c r="ADY483" s="308"/>
      <c r="ADZ483" s="308"/>
      <c r="AEA483" s="308"/>
      <c r="AEB483" s="308"/>
      <c r="AEC483" s="308"/>
      <c r="AED483" s="308"/>
      <c r="AEE483" s="308"/>
      <c r="AEF483" s="308"/>
      <c r="AEG483" s="308"/>
      <c r="AEH483" s="308"/>
      <c r="AEI483" s="308"/>
      <c r="AEJ483" s="308"/>
      <c r="AEK483" s="308"/>
      <c r="AEL483" s="308"/>
      <c r="AEM483" s="308"/>
      <c r="AEN483" s="308"/>
      <c r="AEO483" s="308"/>
      <c r="AEP483" s="308"/>
      <c r="AEQ483" s="308"/>
      <c r="AER483" s="308"/>
      <c r="AES483" s="308"/>
      <c r="AET483" s="308"/>
      <c r="AEU483" s="308"/>
      <c r="AEV483" s="308"/>
      <c r="AEW483" s="308"/>
      <c r="AEX483" s="308"/>
      <c r="AEY483" s="308"/>
      <c r="AEZ483" s="308"/>
      <c r="AFA483" s="308"/>
      <c r="AFB483" s="308"/>
      <c r="AFC483" s="308"/>
      <c r="AFD483" s="308"/>
      <c r="AFE483" s="308"/>
      <c r="AFF483" s="308"/>
      <c r="AFG483" s="308"/>
      <c r="AFH483" s="308"/>
      <c r="AFI483" s="308"/>
      <c r="AFJ483" s="308"/>
      <c r="AFK483" s="308"/>
      <c r="AFL483" s="308"/>
      <c r="AFM483" s="308"/>
      <c r="AFN483" s="308"/>
      <c r="AFO483" s="308"/>
      <c r="AFP483" s="308"/>
      <c r="AFQ483" s="308"/>
      <c r="AFR483" s="308"/>
      <c r="AFS483" s="308"/>
      <c r="AFT483" s="308"/>
      <c r="AFU483" s="308"/>
      <c r="AFV483" s="308"/>
      <c r="AFW483" s="308"/>
      <c r="AFX483" s="308"/>
      <c r="AFY483" s="308"/>
      <c r="AFZ483" s="308"/>
      <c r="AGA483" s="308"/>
      <c r="AGB483" s="308"/>
      <c r="AGC483" s="308"/>
      <c r="AGD483" s="308"/>
      <c r="AGE483" s="308"/>
      <c r="AGF483" s="308"/>
      <c r="AGG483" s="308"/>
      <c r="AGH483" s="308"/>
      <c r="AGI483" s="308"/>
      <c r="AGJ483" s="308"/>
      <c r="AGK483" s="308"/>
      <c r="AGL483" s="308"/>
      <c r="AGM483" s="308"/>
      <c r="AGN483" s="308"/>
      <c r="AGO483" s="308"/>
      <c r="AGP483" s="308"/>
      <c r="AGQ483" s="308"/>
      <c r="AGR483" s="308"/>
      <c r="AGS483" s="308"/>
      <c r="AGT483" s="308"/>
      <c r="AGU483" s="308"/>
      <c r="AGV483" s="308"/>
      <c r="AGW483" s="308"/>
      <c r="AGX483" s="308"/>
      <c r="AGY483" s="308"/>
      <c r="AGZ483" s="308"/>
      <c r="AHA483" s="308"/>
      <c r="AHB483" s="308"/>
      <c r="AHC483" s="308"/>
      <c r="AHD483" s="308"/>
      <c r="AHE483" s="308"/>
      <c r="AHF483" s="308"/>
      <c r="AHG483" s="308"/>
      <c r="AHH483" s="308"/>
      <c r="AHI483" s="308"/>
      <c r="AHJ483" s="308"/>
      <c r="AHK483" s="308"/>
      <c r="AHL483" s="308"/>
      <c r="AHM483" s="308"/>
      <c r="AHN483" s="308"/>
      <c r="AHO483" s="308"/>
      <c r="AHP483" s="308"/>
      <c r="AHQ483" s="308"/>
      <c r="AHR483" s="308"/>
      <c r="AHS483" s="308"/>
      <c r="AHT483" s="308"/>
      <c r="AHU483" s="308"/>
      <c r="AHV483" s="308"/>
      <c r="AHW483" s="308"/>
      <c r="AHX483" s="308"/>
      <c r="AHY483" s="308"/>
      <c r="AHZ483" s="308"/>
      <c r="AIA483" s="308"/>
      <c r="AIB483" s="308"/>
      <c r="AIC483" s="308"/>
      <c r="AID483" s="308"/>
      <c r="AIE483" s="308"/>
      <c r="AIF483" s="308"/>
      <c r="AIG483" s="308"/>
      <c r="AIH483" s="308"/>
      <c r="AII483" s="308"/>
      <c r="AIJ483" s="308"/>
      <c r="AIK483" s="308"/>
      <c r="AIL483" s="308"/>
      <c r="AIM483" s="308"/>
      <c r="AIN483" s="308"/>
      <c r="AIO483" s="308"/>
      <c r="AIP483" s="308"/>
      <c r="AIQ483" s="308"/>
      <c r="AIR483" s="308"/>
      <c r="AIS483" s="308"/>
      <c r="AIT483" s="308"/>
      <c r="AIU483" s="308"/>
      <c r="AIV483" s="308"/>
      <c r="AIW483" s="308"/>
      <c r="AIX483" s="308"/>
      <c r="AIY483" s="308"/>
      <c r="AIZ483" s="308"/>
      <c r="AJA483" s="308"/>
      <c r="AJB483" s="308"/>
      <c r="AJC483" s="308"/>
      <c r="AJD483" s="308"/>
      <c r="AJE483" s="308"/>
      <c r="AJF483" s="308"/>
      <c r="AJG483" s="308"/>
      <c r="AJH483" s="308"/>
      <c r="AJI483" s="308"/>
      <c r="AJJ483" s="308"/>
      <c r="AJK483" s="308"/>
      <c r="AJL483" s="308"/>
      <c r="AJM483" s="308"/>
      <c r="AJN483" s="308"/>
      <c r="AJO483" s="308"/>
      <c r="AJP483" s="308"/>
      <c r="AJQ483" s="308"/>
      <c r="AJR483" s="308"/>
      <c r="AJS483" s="308"/>
      <c r="AJT483" s="308"/>
      <c r="AJU483" s="308"/>
      <c r="AJV483" s="308"/>
      <c r="AJW483" s="308"/>
      <c r="AJX483" s="308"/>
      <c r="AJY483" s="308"/>
      <c r="AJZ483" s="308"/>
      <c r="AKA483" s="308"/>
      <c r="AKB483" s="308"/>
      <c r="AKC483" s="308"/>
      <c r="AKD483" s="308"/>
      <c r="AKE483" s="308"/>
      <c r="AKF483" s="308"/>
      <c r="AKG483" s="308"/>
      <c r="AKH483" s="308"/>
      <c r="AKI483" s="308"/>
      <c r="AKJ483" s="308"/>
      <c r="AKK483" s="308"/>
      <c r="AKL483" s="308"/>
      <c r="AKM483" s="308"/>
      <c r="AKN483" s="308"/>
      <c r="AKO483" s="308"/>
      <c r="AKP483" s="308"/>
      <c r="AKQ483" s="308"/>
      <c r="AKR483" s="308"/>
      <c r="AKS483" s="308"/>
      <c r="AKT483" s="308"/>
      <c r="AKU483" s="308"/>
      <c r="AKV483" s="308"/>
      <c r="AKW483" s="308"/>
      <c r="AKX483" s="308"/>
      <c r="AKY483" s="308"/>
      <c r="AKZ483" s="308"/>
      <c r="ALA483" s="308"/>
      <c r="ALB483" s="308"/>
      <c r="ALC483" s="308"/>
      <c r="ALD483" s="308"/>
      <c r="ALE483" s="308"/>
      <c r="ALF483" s="308"/>
      <c r="ALG483" s="308"/>
      <c r="ALH483" s="308"/>
      <c r="ALI483" s="308"/>
      <c r="ALJ483" s="308"/>
      <c r="ALK483" s="308"/>
      <c r="ALL483" s="308"/>
      <c r="ALM483" s="308"/>
      <c r="ALN483" s="308"/>
      <c r="ALO483" s="308"/>
      <c r="ALP483" s="308"/>
      <c r="ALQ483" s="308"/>
      <c r="ALR483" s="308"/>
      <c r="ALS483" s="308"/>
      <c r="ALT483" s="308"/>
      <c r="ALU483" s="308"/>
      <c r="ALV483" s="308"/>
      <c r="ALW483" s="308"/>
      <c r="ALX483" s="308"/>
      <c r="ALY483" s="308"/>
      <c r="ALZ483" s="308"/>
      <c r="AMA483" s="308"/>
      <c r="AMB483" s="308"/>
      <c r="AMC483" s="308"/>
      <c r="AMD483" s="308"/>
      <c r="AME483" s="308"/>
      <c r="AMF483" s="308"/>
      <c r="AMG483" s="308"/>
      <c r="AMH483" s="308"/>
      <c r="AMI483" s="308"/>
      <c r="AMJ483" s="308"/>
      <c r="AMK483" s="308"/>
      <c r="AML483" s="308"/>
      <c r="AMM483" s="308"/>
      <c r="AMN483" s="308"/>
      <c r="AMO483" s="308"/>
      <c r="AMP483" s="308"/>
      <c r="AMQ483" s="308"/>
      <c r="AMR483" s="308"/>
      <c r="AMS483" s="308"/>
      <c r="AMT483" s="308"/>
      <c r="AMU483" s="308"/>
      <c r="AMV483" s="308"/>
      <c r="AMW483" s="308"/>
      <c r="AMX483" s="308"/>
      <c r="AMY483" s="308"/>
      <c r="AMZ483" s="308"/>
      <c r="ANA483" s="308"/>
      <c r="ANB483" s="308"/>
      <c r="ANC483" s="308"/>
      <c r="AND483" s="308"/>
      <c r="ANE483" s="308"/>
      <c r="ANF483" s="308"/>
      <c r="ANG483" s="308"/>
      <c r="ANH483" s="308"/>
      <c r="ANI483" s="308"/>
      <c r="ANJ483" s="308"/>
      <c r="ANK483" s="308"/>
      <c r="ANL483" s="308"/>
      <c r="ANM483" s="308"/>
      <c r="ANN483" s="308"/>
      <c r="ANO483" s="308"/>
      <c r="ANP483" s="308"/>
      <c r="ANQ483" s="308"/>
      <c r="ANR483" s="308"/>
      <c r="ANS483" s="308"/>
      <c r="ANT483" s="308"/>
      <c r="ANU483" s="308"/>
      <c r="ANV483" s="308"/>
      <c r="ANW483" s="308"/>
      <c r="ANX483" s="308"/>
      <c r="ANY483" s="308"/>
      <c r="ANZ483" s="308"/>
      <c r="AOA483" s="308"/>
      <c r="AOB483" s="308"/>
      <c r="AOC483" s="308"/>
      <c r="AOD483" s="308"/>
      <c r="AOE483" s="308"/>
      <c r="AOF483" s="308"/>
      <c r="AOG483" s="308"/>
      <c r="AOH483" s="308"/>
      <c r="AOI483" s="308"/>
      <c r="AOJ483" s="308"/>
      <c r="AOK483" s="308"/>
      <c r="AOL483" s="308"/>
      <c r="AOM483" s="308"/>
      <c r="AON483" s="308"/>
      <c r="AOO483" s="308"/>
      <c r="AOP483" s="308"/>
      <c r="AOQ483" s="308"/>
      <c r="AOR483" s="308"/>
      <c r="AOS483" s="308"/>
      <c r="AOT483" s="308"/>
      <c r="AOU483" s="308"/>
      <c r="AOV483" s="308"/>
      <c r="AOW483" s="308"/>
      <c r="AOX483" s="308"/>
      <c r="AOY483" s="308"/>
      <c r="AOZ483" s="308"/>
      <c r="APA483" s="308"/>
      <c r="APB483" s="308"/>
      <c r="APC483" s="308"/>
      <c r="APD483" s="308"/>
      <c r="APE483" s="308"/>
      <c r="APF483" s="308"/>
      <c r="APG483" s="308"/>
      <c r="APH483" s="308"/>
      <c r="API483" s="308"/>
      <c r="APJ483" s="308"/>
      <c r="APK483" s="308"/>
      <c r="APL483" s="308"/>
      <c r="APM483" s="308"/>
      <c r="APN483" s="308"/>
      <c r="APO483" s="308"/>
      <c r="APP483" s="308"/>
      <c r="APQ483" s="308"/>
      <c r="APR483" s="308"/>
      <c r="APS483" s="308"/>
      <c r="APT483" s="308"/>
      <c r="APU483" s="308"/>
      <c r="APV483" s="308"/>
      <c r="APW483" s="308"/>
      <c r="APX483" s="308"/>
      <c r="APY483" s="308"/>
      <c r="APZ483" s="308"/>
      <c r="AQA483" s="308"/>
      <c r="AQB483" s="308"/>
      <c r="AQC483" s="308"/>
      <c r="AQD483" s="308"/>
      <c r="AQE483" s="308"/>
      <c r="AQF483" s="308"/>
      <c r="AQG483" s="308"/>
      <c r="AQH483" s="308"/>
      <c r="AQI483" s="308"/>
      <c r="AQJ483" s="308"/>
      <c r="AQK483" s="308"/>
      <c r="AQL483" s="308"/>
      <c r="AQM483" s="308"/>
      <c r="AQN483" s="308"/>
      <c r="AQO483" s="308"/>
      <c r="AQP483" s="308"/>
      <c r="AQQ483" s="308"/>
      <c r="AQR483" s="308"/>
      <c r="AQS483" s="308"/>
      <c r="AQT483" s="308"/>
      <c r="AQU483" s="308"/>
      <c r="AQV483" s="308"/>
      <c r="AQW483" s="308"/>
      <c r="AQX483" s="308"/>
      <c r="AQY483" s="308"/>
      <c r="AQZ483" s="308"/>
      <c r="ARA483" s="308"/>
      <c r="ARB483" s="308"/>
      <c r="ARC483" s="308"/>
      <c r="ARD483" s="308"/>
      <c r="ARE483" s="308"/>
      <c r="ARF483" s="308"/>
      <c r="ARG483" s="308"/>
      <c r="ARH483" s="308"/>
      <c r="ARI483" s="308"/>
      <c r="ARJ483" s="308"/>
      <c r="ARK483" s="308"/>
      <c r="ARL483" s="308"/>
      <c r="ARM483" s="308"/>
      <c r="ARN483" s="308"/>
      <c r="ARO483" s="308"/>
      <c r="ARP483" s="308"/>
      <c r="ARQ483" s="308"/>
      <c r="ARR483" s="308"/>
      <c r="ARS483" s="308"/>
      <c r="ART483" s="308"/>
      <c r="ARU483" s="308"/>
      <c r="ARV483" s="308"/>
      <c r="ARW483" s="308"/>
      <c r="ARX483" s="308"/>
      <c r="ARY483" s="308"/>
      <c r="ARZ483" s="308"/>
      <c r="ASA483" s="308"/>
      <c r="ASB483" s="308"/>
      <c r="ASC483" s="308"/>
      <c r="ASD483" s="308"/>
      <c r="ASE483" s="308"/>
      <c r="ASF483" s="308"/>
      <c r="ASG483" s="308"/>
      <c r="ASH483" s="308"/>
      <c r="ASI483" s="308"/>
      <c r="ASJ483" s="308"/>
      <c r="ASK483" s="308"/>
      <c r="ASL483" s="308"/>
      <c r="ASM483" s="308"/>
      <c r="ASN483" s="308"/>
      <c r="ASO483" s="308"/>
      <c r="ASP483" s="308"/>
      <c r="ASQ483" s="308"/>
      <c r="ASR483" s="308"/>
      <c r="ASS483" s="308"/>
      <c r="AST483" s="308"/>
      <c r="ASU483" s="308"/>
      <c r="ASV483" s="308"/>
      <c r="ASW483" s="308"/>
      <c r="ASX483" s="308"/>
      <c r="ASY483" s="308"/>
      <c r="ASZ483" s="308"/>
      <c r="ATA483" s="308"/>
      <c r="ATB483" s="308"/>
      <c r="ATC483" s="308"/>
      <c r="ATD483" s="308"/>
      <c r="ATE483" s="308"/>
      <c r="ATF483" s="308"/>
      <c r="ATG483" s="308"/>
      <c r="ATH483" s="308"/>
      <c r="ATI483" s="308"/>
      <c r="ATJ483" s="308"/>
      <c r="ATK483" s="308"/>
      <c r="ATL483" s="308"/>
      <c r="ATM483" s="308"/>
      <c r="ATN483" s="308"/>
      <c r="ATO483" s="308"/>
      <c r="ATP483" s="308"/>
      <c r="ATQ483" s="308"/>
      <c r="ATR483" s="308"/>
      <c r="ATS483" s="308"/>
      <c r="ATT483" s="308"/>
      <c r="ATU483" s="308"/>
      <c r="ATV483" s="308"/>
      <c r="ATW483" s="308"/>
      <c r="ATX483" s="308"/>
      <c r="ATY483" s="308"/>
      <c r="ATZ483" s="308"/>
      <c r="AUA483" s="308"/>
      <c r="AUB483" s="308"/>
      <c r="AUC483" s="308"/>
      <c r="AUD483" s="308"/>
      <c r="AUE483" s="308"/>
      <c r="AUF483" s="308"/>
      <c r="AUG483" s="308"/>
      <c r="AUH483" s="308"/>
      <c r="AUI483" s="308"/>
      <c r="AUJ483" s="308"/>
      <c r="AUK483" s="308"/>
      <c r="AUL483" s="308"/>
      <c r="AUM483" s="308"/>
      <c r="AUN483" s="308"/>
      <c r="AUO483" s="308"/>
      <c r="AUP483" s="308"/>
      <c r="AUQ483" s="308"/>
      <c r="AUR483" s="308"/>
      <c r="AUS483" s="308"/>
      <c r="AUT483" s="308"/>
      <c r="AUU483" s="308"/>
      <c r="AUV483" s="308"/>
      <c r="AUW483" s="308"/>
      <c r="AUX483" s="308"/>
      <c r="AUY483" s="308"/>
      <c r="AUZ483" s="308"/>
      <c r="AVA483" s="308"/>
      <c r="AVB483" s="308"/>
      <c r="AVC483" s="308"/>
      <c r="AVD483" s="308"/>
      <c r="AVE483" s="308"/>
      <c r="AVF483" s="308"/>
      <c r="AVG483" s="308"/>
      <c r="AVH483" s="308"/>
      <c r="AVI483" s="308"/>
      <c r="AVJ483" s="308"/>
      <c r="AVK483" s="308"/>
      <c r="AVL483" s="308"/>
      <c r="AVM483" s="308"/>
      <c r="AVN483" s="308"/>
      <c r="AVO483" s="308"/>
      <c r="AVP483" s="308"/>
      <c r="AVQ483" s="308"/>
      <c r="AVR483" s="308"/>
      <c r="AVS483" s="308"/>
      <c r="AVT483" s="308"/>
      <c r="AVU483" s="308"/>
      <c r="AVV483" s="308"/>
      <c r="AVW483" s="308"/>
      <c r="AVX483" s="308"/>
      <c r="AVY483" s="308"/>
      <c r="AVZ483" s="308"/>
      <c r="AWA483" s="308"/>
      <c r="AWB483" s="308"/>
      <c r="AWC483" s="308"/>
      <c r="AWD483" s="308"/>
      <c r="AWE483" s="308"/>
      <c r="AWF483" s="308"/>
      <c r="AWG483" s="308"/>
      <c r="AWH483" s="308"/>
      <c r="AWI483" s="308"/>
      <c r="AWJ483" s="308"/>
      <c r="AWK483" s="308"/>
      <c r="AWL483" s="308"/>
      <c r="AWM483" s="308"/>
      <c r="AWN483" s="308"/>
      <c r="AWO483" s="308"/>
      <c r="AWP483" s="308"/>
      <c r="AWQ483" s="308"/>
      <c r="AWR483" s="308"/>
      <c r="AWS483" s="308"/>
      <c r="AWT483" s="308"/>
      <c r="AWU483" s="308"/>
      <c r="AWV483" s="308"/>
      <c r="AWW483" s="308"/>
      <c r="AWX483" s="308"/>
      <c r="AWY483" s="308"/>
      <c r="AWZ483" s="308"/>
      <c r="AXA483" s="308"/>
      <c r="AXB483" s="308"/>
      <c r="AXC483" s="308"/>
      <c r="AXD483" s="308"/>
      <c r="AXE483" s="308"/>
      <c r="AXF483" s="308"/>
      <c r="AXG483" s="308"/>
      <c r="AXH483" s="308"/>
      <c r="AXI483" s="308"/>
      <c r="AXJ483" s="308"/>
      <c r="AXK483" s="308"/>
      <c r="AXL483" s="308"/>
      <c r="AXM483" s="308"/>
      <c r="AXN483" s="308"/>
      <c r="AXO483" s="308"/>
      <c r="AXP483" s="308"/>
      <c r="AXQ483" s="308"/>
      <c r="AXR483" s="308"/>
      <c r="AXS483" s="308"/>
      <c r="AXT483" s="308"/>
      <c r="AXU483" s="308"/>
      <c r="AXV483" s="308"/>
      <c r="AXW483" s="308"/>
      <c r="AXX483" s="308"/>
      <c r="AXY483" s="308"/>
      <c r="AXZ483" s="308"/>
      <c r="AYA483" s="308"/>
      <c r="AYB483" s="308"/>
      <c r="AYC483" s="308"/>
      <c r="AYD483" s="308"/>
      <c r="AYE483" s="308"/>
      <c r="AYF483" s="308"/>
      <c r="AYG483" s="308"/>
      <c r="AYH483" s="308"/>
      <c r="AYI483" s="308"/>
      <c r="AYJ483" s="308"/>
      <c r="AYK483" s="308"/>
      <c r="AYL483" s="308"/>
      <c r="AYM483" s="308"/>
      <c r="AYN483" s="308"/>
      <c r="AYO483" s="308"/>
      <c r="AYP483" s="308"/>
      <c r="AYQ483" s="308"/>
      <c r="AYR483" s="308"/>
      <c r="AYS483" s="308"/>
      <c r="AYT483" s="308"/>
      <c r="AYU483" s="308"/>
      <c r="AYV483" s="308"/>
      <c r="AYW483" s="308"/>
      <c r="AYX483" s="308"/>
      <c r="AYY483" s="308"/>
      <c r="AYZ483" s="308"/>
      <c r="AZA483" s="308"/>
      <c r="AZB483" s="308"/>
      <c r="AZC483" s="308"/>
      <c r="AZD483" s="308"/>
      <c r="AZE483" s="308"/>
      <c r="AZF483" s="308"/>
      <c r="AZG483" s="308"/>
      <c r="AZH483" s="308"/>
      <c r="AZI483" s="308"/>
      <c r="AZJ483" s="308"/>
      <c r="AZK483" s="308"/>
      <c r="AZL483" s="308"/>
      <c r="AZM483" s="308"/>
      <c r="AZN483" s="308"/>
      <c r="AZO483" s="308"/>
      <c r="AZP483" s="308"/>
      <c r="AZQ483" s="308"/>
      <c r="AZR483" s="308"/>
      <c r="AZS483" s="308"/>
      <c r="AZT483" s="308"/>
      <c r="AZU483" s="308"/>
      <c r="AZV483" s="308"/>
      <c r="AZW483" s="308"/>
      <c r="AZX483" s="308"/>
      <c r="AZY483" s="308"/>
      <c r="AZZ483" s="308"/>
      <c r="BAA483" s="308"/>
      <c r="BAB483" s="308"/>
      <c r="BAC483" s="308"/>
      <c r="BAD483" s="308"/>
      <c r="BAE483" s="308"/>
      <c r="BAF483" s="308"/>
      <c r="BAG483" s="308"/>
      <c r="BAH483" s="308"/>
      <c r="BAI483" s="308"/>
      <c r="BAJ483" s="308"/>
      <c r="BAK483" s="308"/>
      <c r="BAL483" s="308"/>
      <c r="BAM483" s="308"/>
      <c r="BAN483" s="308"/>
      <c r="BAO483" s="308"/>
      <c r="BAP483" s="308"/>
      <c r="BAQ483" s="308"/>
      <c r="BAR483" s="308"/>
      <c r="BAS483" s="308"/>
      <c r="BAT483" s="308"/>
      <c r="BAU483" s="308"/>
      <c r="BAV483" s="308"/>
      <c r="BAW483" s="308"/>
      <c r="BAX483" s="308"/>
      <c r="BAY483" s="308"/>
      <c r="BAZ483" s="308"/>
      <c r="BBA483" s="308"/>
      <c r="BBB483" s="308"/>
      <c r="BBC483" s="308"/>
      <c r="BBD483" s="308"/>
      <c r="BBE483" s="308"/>
      <c r="BBF483" s="308"/>
      <c r="BBG483" s="308"/>
      <c r="BBH483" s="308"/>
      <c r="BBI483" s="308"/>
      <c r="BBJ483" s="308"/>
      <c r="BBK483" s="308"/>
      <c r="BBL483" s="308"/>
      <c r="BBM483" s="308"/>
      <c r="BBN483" s="308"/>
      <c r="BBO483" s="308"/>
      <c r="BBP483" s="308"/>
      <c r="BBQ483" s="308"/>
      <c r="BBR483" s="308"/>
      <c r="BBS483" s="308"/>
      <c r="BBT483" s="308"/>
      <c r="BBU483" s="308"/>
      <c r="BBV483" s="308"/>
      <c r="BBW483" s="308"/>
      <c r="BBX483" s="308"/>
      <c r="BBY483" s="308"/>
      <c r="BBZ483" s="308"/>
      <c r="BCA483" s="308"/>
      <c r="BCB483" s="308"/>
      <c r="BCC483" s="308"/>
      <c r="BCD483" s="308"/>
      <c r="BCE483" s="308"/>
      <c r="BCF483" s="308"/>
      <c r="BCG483" s="308"/>
      <c r="BCH483" s="308"/>
      <c r="BCI483" s="308"/>
      <c r="BCJ483" s="308"/>
      <c r="BCK483" s="308"/>
      <c r="BCL483" s="308"/>
      <c r="BCM483" s="308"/>
      <c r="BCN483" s="308"/>
      <c r="BCO483" s="308"/>
      <c r="BCP483" s="308"/>
      <c r="BCQ483" s="308"/>
      <c r="BCR483" s="308"/>
      <c r="BCS483" s="308"/>
      <c r="BCT483" s="308"/>
      <c r="BCU483" s="308"/>
      <c r="BCV483" s="308"/>
      <c r="BCW483" s="308"/>
      <c r="BCX483" s="308"/>
      <c r="BCY483" s="308"/>
      <c r="BCZ483" s="308"/>
      <c r="BDA483" s="308"/>
      <c r="BDB483" s="308"/>
      <c r="BDC483" s="308"/>
      <c r="BDD483" s="308"/>
      <c r="BDE483" s="308"/>
      <c r="BDF483" s="308"/>
      <c r="BDG483" s="308"/>
      <c r="BDH483" s="308"/>
      <c r="BDI483" s="308"/>
      <c r="BDJ483" s="308"/>
      <c r="BDK483" s="308"/>
      <c r="BDL483" s="308"/>
      <c r="BDM483" s="308"/>
      <c r="BDN483" s="308"/>
      <c r="BDO483" s="308"/>
      <c r="BDP483" s="308"/>
      <c r="BDQ483" s="308"/>
      <c r="BDR483" s="308"/>
      <c r="BDS483" s="308"/>
      <c r="BDT483" s="308"/>
      <c r="BDU483" s="308"/>
      <c r="BDV483" s="308"/>
      <c r="BDW483" s="308"/>
      <c r="BDX483" s="308"/>
      <c r="BDY483" s="308"/>
      <c r="BDZ483" s="308"/>
      <c r="BEA483" s="308"/>
      <c r="BEB483" s="308"/>
      <c r="BEC483" s="308"/>
      <c r="BED483" s="308"/>
      <c r="BEE483" s="308"/>
      <c r="BEF483" s="308"/>
      <c r="BEG483" s="308"/>
      <c r="BEH483" s="308"/>
      <c r="BEI483" s="308"/>
      <c r="BEJ483" s="308"/>
      <c r="BEK483" s="308"/>
      <c r="BEL483" s="308"/>
      <c r="BEM483" s="308"/>
      <c r="BEN483" s="308"/>
      <c r="BEO483" s="308"/>
      <c r="BEP483" s="308"/>
      <c r="BEQ483" s="308"/>
      <c r="BER483" s="308"/>
      <c r="BES483" s="308"/>
      <c r="BET483" s="308"/>
      <c r="BEU483" s="308"/>
      <c r="BEV483" s="308"/>
      <c r="BEW483" s="308"/>
      <c r="BEX483" s="308"/>
      <c r="BEY483" s="308"/>
      <c r="BEZ483" s="308"/>
      <c r="BFA483" s="308"/>
      <c r="BFB483" s="308"/>
      <c r="BFC483" s="308"/>
      <c r="BFD483" s="308"/>
      <c r="BFE483" s="308"/>
      <c r="BFF483" s="308"/>
      <c r="BFG483" s="308"/>
      <c r="BFH483" s="308"/>
      <c r="BFI483" s="308"/>
      <c r="BFJ483" s="308"/>
      <c r="BFK483" s="308"/>
      <c r="BFL483" s="308"/>
      <c r="BFM483" s="308"/>
      <c r="BFN483" s="308"/>
      <c r="BFO483" s="308"/>
      <c r="BFP483" s="308"/>
      <c r="BFQ483" s="308"/>
      <c r="BFR483" s="308"/>
      <c r="BFS483" s="308"/>
      <c r="BFT483" s="308"/>
      <c r="BFU483" s="308"/>
      <c r="BFV483" s="308"/>
      <c r="BFW483" s="308"/>
      <c r="BFX483" s="308"/>
      <c r="BFY483" s="308"/>
      <c r="BFZ483" s="308"/>
      <c r="BGA483" s="308"/>
      <c r="BGB483" s="308"/>
      <c r="BGC483" s="308"/>
      <c r="BGD483" s="308"/>
      <c r="BGE483" s="308"/>
      <c r="BGF483" s="308"/>
      <c r="BGG483" s="308"/>
      <c r="BGH483" s="308"/>
      <c r="BGI483" s="308"/>
      <c r="BGJ483" s="308"/>
      <c r="BGK483" s="308"/>
      <c r="BGL483" s="308"/>
      <c r="BGM483" s="308"/>
      <c r="BGN483" s="308"/>
      <c r="BGO483" s="308"/>
      <c r="BGP483" s="308"/>
      <c r="BGQ483" s="308"/>
      <c r="BGR483" s="308"/>
      <c r="BGS483" s="308"/>
      <c r="BGT483" s="308"/>
      <c r="BGU483" s="308"/>
      <c r="BGV483" s="308"/>
      <c r="BGW483" s="308"/>
      <c r="BGX483" s="308"/>
      <c r="BGY483" s="308"/>
      <c r="BGZ483" s="308"/>
      <c r="BHA483" s="308"/>
      <c r="BHB483" s="308"/>
      <c r="BHC483" s="308"/>
      <c r="BHD483" s="308"/>
      <c r="BHE483" s="308"/>
      <c r="BHF483" s="308"/>
      <c r="BHG483" s="308"/>
      <c r="BHH483" s="308"/>
      <c r="BHI483" s="308"/>
      <c r="BHJ483" s="308"/>
      <c r="BHK483" s="308"/>
      <c r="BHL483" s="308"/>
      <c r="BHM483" s="308"/>
      <c r="BHN483" s="308"/>
      <c r="BHO483" s="308"/>
      <c r="BHP483" s="308"/>
      <c r="BHQ483" s="308"/>
      <c r="BHR483" s="308"/>
      <c r="BHS483" s="308"/>
      <c r="BHT483" s="308"/>
      <c r="BHU483" s="308"/>
      <c r="BHV483" s="308"/>
      <c r="BHW483" s="308"/>
      <c r="BHX483" s="308"/>
      <c r="BHY483" s="308"/>
      <c r="BHZ483" s="308"/>
      <c r="BIA483" s="308"/>
      <c r="BIB483" s="308"/>
      <c r="BIC483" s="308"/>
      <c r="BID483" s="308"/>
      <c r="BIE483" s="308"/>
      <c r="BIF483" s="308"/>
      <c r="BIG483" s="308"/>
      <c r="BIH483" s="308"/>
      <c r="BII483" s="308"/>
      <c r="BIJ483" s="308"/>
      <c r="BIK483" s="308"/>
      <c r="BIL483" s="308"/>
      <c r="BIM483" s="308"/>
      <c r="BIN483" s="308"/>
      <c r="BIO483" s="308"/>
      <c r="BIP483" s="308"/>
      <c r="BIQ483" s="308"/>
      <c r="BIR483" s="308"/>
      <c r="BIS483" s="308"/>
      <c r="BIT483" s="308"/>
      <c r="BIU483" s="308"/>
      <c r="BIV483" s="308"/>
      <c r="BIW483" s="308"/>
      <c r="BIX483" s="308"/>
      <c r="BIY483" s="308"/>
      <c r="BIZ483" s="308"/>
      <c r="BJA483" s="308"/>
      <c r="BJB483" s="308"/>
      <c r="BJC483" s="308"/>
      <c r="BJD483" s="308"/>
      <c r="BJE483" s="308"/>
      <c r="BJF483" s="308"/>
      <c r="BJG483" s="308"/>
      <c r="BJH483" s="308"/>
      <c r="BJI483" s="308"/>
      <c r="BJJ483" s="308"/>
      <c r="BJK483" s="308"/>
      <c r="BJL483" s="308"/>
      <c r="BJM483" s="308"/>
      <c r="BJN483" s="308"/>
      <c r="BJO483" s="308"/>
      <c r="BJP483" s="308"/>
      <c r="BJQ483" s="308"/>
      <c r="BJR483" s="308"/>
      <c r="BJS483" s="308"/>
      <c r="BJT483" s="308"/>
      <c r="BJU483" s="308"/>
      <c r="BJV483" s="308"/>
      <c r="BJW483" s="308"/>
      <c r="BJX483" s="308"/>
      <c r="BJY483" s="308"/>
      <c r="BJZ483" s="308"/>
      <c r="BKA483" s="308"/>
      <c r="BKB483" s="308"/>
      <c r="BKC483" s="308"/>
      <c r="BKD483" s="308"/>
      <c r="BKE483" s="308"/>
      <c r="BKF483" s="308"/>
      <c r="BKG483" s="308"/>
      <c r="BKH483" s="308"/>
      <c r="BKI483" s="308"/>
      <c r="BKJ483" s="308"/>
      <c r="BKK483" s="308"/>
      <c r="BKL483" s="308"/>
      <c r="BKM483" s="308"/>
      <c r="BKN483" s="308"/>
      <c r="BKO483" s="308"/>
      <c r="BKP483" s="308"/>
      <c r="BKQ483" s="308"/>
      <c r="BKR483" s="308"/>
      <c r="BKS483" s="308"/>
      <c r="BKT483" s="308"/>
      <c r="BKU483" s="308"/>
      <c r="BKV483" s="308"/>
      <c r="BKW483" s="308"/>
      <c r="BKX483" s="308"/>
      <c r="BKY483" s="308"/>
      <c r="BKZ483" s="308"/>
      <c r="BLA483" s="308"/>
      <c r="BLB483" s="308"/>
      <c r="BLC483" s="308"/>
      <c r="BLD483" s="308"/>
      <c r="BLE483" s="308"/>
      <c r="BLF483" s="308"/>
      <c r="BLG483" s="308"/>
      <c r="BLH483" s="308"/>
      <c r="BLI483" s="308"/>
      <c r="BLJ483" s="308"/>
      <c r="BLK483" s="308"/>
      <c r="BLL483" s="308"/>
      <c r="BLM483" s="308"/>
      <c r="BLN483" s="308"/>
      <c r="BLO483" s="308"/>
      <c r="BLP483" s="308"/>
      <c r="BLQ483" s="308"/>
      <c r="BLR483" s="308"/>
      <c r="BLS483" s="308"/>
      <c r="BLT483" s="308"/>
      <c r="BLU483" s="308"/>
      <c r="BLV483" s="308"/>
      <c r="BLW483" s="308"/>
      <c r="BLX483" s="308"/>
      <c r="BLY483" s="308"/>
      <c r="BLZ483" s="308"/>
      <c r="BMA483" s="308"/>
      <c r="BMB483" s="308"/>
      <c r="BMC483" s="308"/>
      <c r="BMD483" s="308"/>
      <c r="BME483" s="308"/>
      <c r="BMF483" s="308"/>
      <c r="BMG483" s="308"/>
      <c r="BMH483" s="308"/>
      <c r="BMI483" s="308"/>
      <c r="BMJ483" s="308"/>
      <c r="BMK483" s="308"/>
      <c r="BML483" s="308"/>
      <c r="BMM483" s="308"/>
      <c r="BMN483" s="308"/>
      <c r="BMO483" s="308"/>
      <c r="BMP483" s="308"/>
      <c r="BMQ483" s="308"/>
      <c r="BMR483" s="308"/>
      <c r="BMS483" s="308"/>
      <c r="BMT483" s="308"/>
      <c r="BMU483" s="308"/>
      <c r="BMV483" s="308"/>
      <c r="BMW483" s="308"/>
      <c r="BMX483" s="308"/>
      <c r="BMY483" s="308"/>
      <c r="BMZ483" s="308"/>
      <c r="BNA483" s="308"/>
      <c r="BNB483" s="308"/>
      <c r="BNC483" s="308"/>
      <c r="BND483" s="308"/>
      <c r="BNE483" s="308"/>
      <c r="BNF483" s="308"/>
      <c r="BNG483" s="308"/>
      <c r="BNH483" s="308"/>
      <c r="BNI483" s="308"/>
      <c r="BNJ483" s="308"/>
      <c r="BNK483" s="308"/>
      <c r="BNL483" s="308"/>
      <c r="BNM483" s="308"/>
      <c r="BNN483" s="308"/>
      <c r="BNO483" s="308"/>
      <c r="BNP483" s="308"/>
      <c r="BNQ483" s="308"/>
      <c r="BNR483" s="308"/>
      <c r="BNS483" s="308"/>
      <c r="BNT483" s="308"/>
      <c r="BNU483" s="308"/>
      <c r="BNV483" s="308"/>
      <c r="BNW483" s="308"/>
      <c r="BNX483" s="308"/>
      <c r="BNY483" s="308"/>
      <c r="BNZ483" s="308"/>
      <c r="BOA483" s="308"/>
      <c r="BOB483" s="308"/>
      <c r="BOC483" s="308"/>
      <c r="BOD483" s="308"/>
      <c r="BOE483" s="308"/>
      <c r="BOF483" s="308"/>
      <c r="BOG483" s="308"/>
      <c r="BOH483" s="308"/>
      <c r="BOI483" s="308"/>
      <c r="BOJ483" s="308"/>
      <c r="BOK483" s="308"/>
      <c r="BOL483" s="308"/>
      <c r="BOM483" s="308"/>
      <c r="BON483" s="308"/>
      <c r="BOO483" s="308"/>
      <c r="BOP483" s="308"/>
      <c r="BOQ483" s="308"/>
      <c r="BOR483" s="308"/>
      <c r="BOS483" s="308"/>
      <c r="BOT483" s="308"/>
      <c r="BOU483" s="308"/>
      <c r="BOV483" s="308"/>
      <c r="BOW483" s="308"/>
      <c r="BOX483" s="308"/>
      <c r="BOY483" s="308"/>
      <c r="BOZ483" s="308"/>
      <c r="BPA483" s="308"/>
      <c r="BPB483" s="308"/>
      <c r="BPC483" s="308"/>
      <c r="BPD483" s="308"/>
      <c r="BPE483" s="308"/>
      <c r="BPF483" s="308"/>
      <c r="BPG483" s="308"/>
      <c r="BPH483" s="308"/>
      <c r="BPI483" s="308"/>
      <c r="BPJ483" s="308"/>
      <c r="BPK483" s="308"/>
      <c r="BPL483" s="308"/>
      <c r="BPM483" s="308"/>
      <c r="BPN483" s="308"/>
      <c r="BPO483" s="308"/>
      <c r="BPP483" s="308"/>
      <c r="BPQ483" s="308"/>
      <c r="BPR483" s="308"/>
      <c r="BPS483" s="308"/>
      <c r="BPT483" s="308"/>
      <c r="BPU483" s="308"/>
      <c r="BPV483" s="308"/>
      <c r="BPW483" s="308"/>
      <c r="BPX483" s="308"/>
      <c r="BPY483" s="308"/>
      <c r="BPZ483" s="308"/>
      <c r="BQA483" s="308"/>
      <c r="BQB483" s="308"/>
      <c r="BQC483" s="308"/>
      <c r="BQD483" s="308"/>
      <c r="BQE483" s="308"/>
      <c r="BQF483" s="308"/>
      <c r="BQG483" s="308"/>
      <c r="BQH483" s="308"/>
      <c r="BQI483" s="308"/>
      <c r="BQJ483" s="308"/>
      <c r="BQK483" s="308"/>
      <c r="BQL483" s="308"/>
      <c r="BQM483" s="308"/>
      <c r="BQN483" s="308"/>
      <c r="BQO483" s="308"/>
      <c r="BQP483" s="308"/>
      <c r="BQQ483" s="308"/>
      <c r="BQR483" s="308"/>
      <c r="BQS483" s="308"/>
      <c r="BQT483" s="308"/>
      <c r="BQU483" s="308"/>
      <c r="BQV483" s="308"/>
      <c r="BQW483" s="308"/>
      <c r="BQX483" s="308"/>
      <c r="BQY483" s="308"/>
      <c r="BQZ483" s="308"/>
      <c r="BRA483" s="308"/>
      <c r="BRB483" s="308"/>
      <c r="BRC483" s="308"/>
      <c r="BRD483" s="308"/>
      <c r="BRE483" s="308"/>
      <c r="BRF483" s="308"/>
      <c r="BRG483" s="308"/>
      <c r="BRH483" s="308"/>
      <c r="BRI483" s="308"/>
      <c r="BRJ483" s="308"/>
      <c r="BRK483" s="308"/>
      <c r="BRL483" s="308"/>
      <c r="BRM483" s="308"/>
      <c r="BRN483" s="308"/>
      <c r="BRO483" s="308"/>
      <c r="BRP483" s="308"/>
      <c r="BRQ483" s="308"/>
      <c r="BRR483" s="308"/>
      <c r="BRS483" s="308"/>
      <c r="BRT483" s="308"/>
      <c r="BRU483" s="308"/>
      <c r="BRV483" s="308"/>
      <c r="BRW483" s="308"/>
      <c r="BRX483" s="308"/>
      <c r="BRY483" s="308"/>
      <c r="BRZ483" s="308"/>
      <c r="BSA483" s="308"/>
      <c r="BSB483" s="308"/>
      <c r="BSC483" s="308"/>
      <c r="BSD483" s="308"/>
      <c r="BSE483" s="308"/>
      <c r="BSF483" s="308"/>
      <c r="BSG483" s="308"/>
      <c r="BSH483" s="308"/>
      <c r="BSI483" s="308"/>
      <c r="BSJ483" s="308"/>
      <c r="BSK483" s="308"/>
      <c r="BSL483" s="308"/>
      <c r="BSM483" s="308"/>
      <c r="BSN483" s="308"/>
      <c r="BSO483" s="308"/>
      <c r="BSP483" s="308"/>
      <c r="BSQ483" s="308"/>
      <c r="BSR483" s="308"/>
      <c r="BSS483" s="308"/>
      <c r="BST483" s="308"/>
      <c r="BSU483" s="308"/>
      <c r="BSV483" s="308"/>
      <c r="BSW483" s="308"/>
      <c r="BSX483" s="308"/>
      <c r="BSY483" s="308"/>
      <c r="BSZ483" s="308"/>
      <c r="BTA483" s="308"/>
      <c r="BTB483" s="308"/>
      <c r="BTC483" s="308"/>
      <c r="BTD483" s="308"/>
      <c r="BTE483" s="308"/>
      <c r="BTF483" s="308"/>
      <c r="BTG483" s="308"/>
      <c r="BTH483" s="308"/>
      <c r="BTI483" s="308"/>
      <c r="BTJ483" s="308"/>
      <c r="BTK483" s="308"/>
      <c r="BTL483" s="308"/>
      <c r="BTM483" s="308"/>
      <c r="BTN483" s="308"/>
      <c r="BTO483" s="308"/>
      <c r="BTP483" s="308"/>
      <c r="BTQ483" s="308"/>
      <c r="BTR483" s="308"/>
      <c r="BTS483" s="308"/>
      <c r="BTT483" s="308"/>
      <c r="BTU483" s="308"/>
      <c r="BTV483" s="308"/>
      <c r="BTW483" s="308"/>
      <c r="BTX483" s="308"/>
      <c r="BTY483" s="308"/>
      <c r="BTZ483" s="308"/>
      <c r="BUA483" s="308"/>
      <c r="BUB483" s="308"/>
      <c r="BUC483" s="308"/>
      <c r="BUD483" s="308"/>
      <c r="BUE483" s="308"/>
      <c r="BUF483" s="308"/>
      <c r="BUG483" s="308"/>
      <c r="BUH483" s="308"/>
      <c r="BUI483" s="308"/>
      <c r="BUJ483" s="308"/>
      <c r="BUK483" s="308"/>
      <c r="BUL483" s="308"/>
      <c r="BUM483" s="308"/>
      <c r="BUN483" s="308"/>
      <c r="BUO483" s="308"/>
      <c r="BUP483" s="308"/>
      <c r="BUQ483" s="308"/>
      <c r="BUR483" s="308"/>
      <c r="BUS483" s="308"/>
      <c r="BUT483" s="308"/>
      <c r="BUU483" s="308"/>
      <c r="BUV483" s="308"/>
      <c r="BUW483" s="308"/>
      <c r="BUX483" s="308"/>
      <c r="BUY483" s="308"/>
      <c r="BUZ483" s="308"/>
      <c r="BVA483" s="308"/>
      <c r="BVB483" s="308"/>
      <c r="BVC483" s="308"/>
      <c r="BVD483" s="308"/>
      <c r="BVE483" s="308"/>
      <c r="BVF483" s="308"/>
      <c r="BVG483" s="308"/>
      <c r="BVH483" s="308"/>
      <c r="BVI483" s="308"/>
      <c r="BVJ483" s="308"/>
      <c r="BVK483" s="308"/>
      <c r="BVL483" s="308"/>
      <c r="BVM483" s="308"/>
      <c r="BVN483" s="308"/>
      <c r="BVO483" s="308"/>
      <c r="BVP483" s="308"/>
      <c r="BVQ483" s="308"/>
      <c r="BVR483" s="308"/>
      <c r="BVS483" s="308"/>
      <c r="BVT483" s="308"/>
      <c r="BVU483" s="308"/>
      <c r="BVV483" s="308"/>
      <c r="BVW483" s="308"/>
      <c r="BVX483" s="308"/>
      <c r="BVY483" s="308"/>
      <c r="BVZ483" s="308"/>
      <c r="BWA483" s="308"/>
      <c r="BWB483" s="308"/>
      <c r="BWC483" s="308"/>
      <c r="BWD483" s="308"/>
      <c r="BWE483" s="308"/>
      <c r="BWF483" s="308"/>
      <c r="BWG483" s="308"/>
      <c r="BWH483" s="308"/>
      <c r="BWI483" s="308"/>
      <c r="BWJ483" s="308"/>
      <c r="BWK483" s="308"/>
      <c r="BWL483" s="308"/>
      <c r="BWM483" s="308"/>
      <c r="BWN483" s="308"/>
      <c r="BWO483" s="308"/>
      <c r="BWP483" s="308"/>
      <c r="BWQ483" s="308"/>
      <c r="BWR483" s="308"/>
      <c r="BWS483" s="308"/>
      <c r="BWT483" s="308"/>
      <c r="BWU483" s="308"/>
      <c r="BWV483" s="308"/>
      <c r="BWW483" s="308"/>
      <c r="BWX483" s="308"/>
      <c r="BWY483" s="308"/>
      <c r="BWZ483" s="308"/>
      <c r="BXA483" s="308"/>
      <c r="BXB483" s="308"/>
      <c r="BXC483" s="308"/>
      <c r="BXD483" s="308"/>
      <c r="BXE483" s="308"/>
      <c r="BXF483" s="308"/>
      <c r="BXG483" s="308"/>
      <c r="BXH483" s="308"/>
      <c r="BXI483" s="308"/>
      <c r="BXJ483" s="308"/>
      <c r="BXK483" s="308"/>
      <c r="BXL483" s="308"/>
      <c r="BXM483" s="308"/>
      <c r="BXN483" s="308"/>
      <c r="BXO483" s="308"/>
      <c r="BXP483" s="308"/>
      <c r="BXQ483" s="308"/>
      <c r="BXR483" s="308"/>
      <c r="BXS483" s="308"/>
      <c r="BXT483" s="308"/>
      <c r="BXU483" s="308"/>
      <c r="BXV483" s="308"/>
      <c r="BXW483" s="308"/>
      <c r="BXX483" s="308"/>
      <c r="BXY483" s="308"/>
      <c r="BXZ483" s="308"/>
      <c r="BYA483" s="308"/>
      <c r="BYB483" s="308"/>
      <c r="BYC483" s="308"/>
      <c r="BYD483" s="308"/>
      <c r="BYE483" s="308"/>
      <c r="BYF483" s="308"/>
      <c r="BYG483" s="308"/>
      <c r="BYH483" s="308"/>
      <c r="BYI483" s="308"/>
      <c r="BYJ483" s="308"/>
      <c r="BYK483" s="308"/>
      <c r="BYL483" s="308"/>
      <c r="BYM483" s="308"/>
      <c r="BYN483" s="308"/>
      <c r="BYO483" s="308"/>
      <c r="BYP483" s="308"/>
      <c r="BYQ483" s="308"/>
      <c r="BYR483" s="308"/>
      <c r="BYS483" s="308"/>
      <c r="BYT483" s="308"/>
      <c r="BYU483" s="308"/>
      <c r="BYV483" s="308"/>
      <c r="BYW483" s="308"/>
      <c r="BYX483" s="308"/>
      <c r="BYY483" s="308"/>
      <c r="BYZ483" s="308"/>
      <c r="BZA483" s="308"/>
      <c r="BZB483" s="308"/>
      <c r="BZC483" s="308"/>
      <c r="BZD483" s="308"/>
      <c r="BZE483" s="308"/>
      <c r="BZF483" s="308"/>
      <c r="BZG483" s="308"/>
      <c r="BZH483" s="308"/>
      <c r="BZI483" s="308"/>
      <c r="BZJ483" s="308"/>
      <c r="BZK483" s="308"/>
      <c r="BZL483" s="308"/>
      <c r="BZM483" s="308"/>
      <c r="BZN483" s="308"/>
      <c r="BZO483" s="308"/>
      <c r="BZP483" s="308"/>
      <c r="BZQ483" s="308"/>
      <c r="BZR483" s="308"/>
      <c r="BZS483" s="308"/>
      <c r="BZT483" s="308"/>
      <c r="BZU483" s="308"/>
      <c r="BZV483" s="308"/>
      <c r="BZW483" s="308"/>
      <c r="BZX483" s="308"/>
      <c r="BZY483" s="308"/>
      <c r="BZZ483" s="308"/>
      <c r="CAA483" s="308"/>
      <c r="CAB483" s="308"/>
      <c r="CAC483" s="308"/>
      <c r="CAD483" s="308"/>
      <c r="CAE483" s="308"/>
      <c r="CAF483" s="308"/>
      <c r="CAG483" s="308"/>
      <c r="CAH483" s="308"/>
      <c r="CAI483" s="308"/>
      <c r="CAJ483" s="308"/>
      <c r="CAK483" s="308"/>
      <c r="CAL483" s="308"/>
      <c r="CAM483" s="308"/>
      <c r="CAN483" s="308"/>
      <c r="CAO483" s="308"/>
      <c r="CAP483" s="308"/>
      <c r="CAQ483" s="308"/>
      <c r="CAR483" s="308"/>
      <c r="CAS483" s="308"/>
      <c r="CAT483" s="308"/>
      <c r="CAU483" s="308"/>
      <c r="CAV483" s="308"/>
      <c r="CAW483" s="308"/>
      <c r="CAX483" s="308"/>
      <c r="CAY483" s="308"/>
      <c r="CAZ483" s="308"/>
      <c r="CBA483" s="308"/>
      <c r="CBB483" s="308"/>
      <c r="CBC483" s="308"/>
      <c r="CBD483" s="308"/>
      <c r="CBE483" s="308"/>
      <c r="CBF483" s="308"/>
      <c r="CBG483" s="308"/>
      <c r="CBH483" s="308"/>
      <c r="CBI483" s="308"/>
      <c r="CBJ483" s="308"/>
      <c r="CBK483" s="308"/>
      <c r="CBL483" s="308"/>
      <c r="CBM483" s="308"/>
      <c r="CBN483" s="308"/>
      <c r="CBO483" s="308"/>
      <c r="CBP483" s="308"/>
      <c r="CBQ483" s="308"/>
      <c r="CBR483" s="308"/>
      <c r="CBS483" s="308"/>
      <c r="CBT483" s="308"/>
      <c r="CBU483" s="308"/>
      <c r="CBV483" s="308"/>
      <c r="CBW483" s="308"/>
      <c r="CBX483" s="308"/>
      <c r="CBY483" s="308"/>
      <c r="CBZ483" s="308"/>
      <c r="CCA483" s="308"/>
      <c r="CCB483" s="308"/>
      <c r="CCC483" s="308"/>
      <c r="CCD483" s="308"/>
      <c r="CCE483" s="308"/>
      <c r="CCF483" s="308"/>
      <c r="CCG483" s="308"/>
      <c r="CCH483" s="308"/>
      <c r="CCI483" s="308"/>
      <c r="CCJ483" s="308"/>
      <c r="CCK483" s="308"/>
      <c r="CCL483" s="308"/>
      <c r="CCM483" s="308"/>
      <c r="CCN483" s="308"/>
      <c r="CCO483" s="308"/>
      <c r="CCP483" s="308"/>
      <c r="CCQ483" s="308"/>
      <c r="CCR483" s="308"/>
      <c r="CCS483" s="308"/>
      <c r="CCT483" s="308"/>
      <c r="CCU483" s="308"/>
      <c r="CCV483" s="308"/>
      <c r="CCW483" s="308"/>
      <c r="CCX483" s="308"/>
      <c r="CCY483" s="308"/>
      <c r="CCZ483" s="308"/>
      <c r="CDA483" s="308"/>
      <c r="CDB483" s="308"/>
      <c r="CDC483" s="308"/>
      <c r="CDD483" s="308"/>
      <c r="CDE483" s="308"/>
      <c r="CDF483" s="308"/>
      <c r="CDG483" s="308"/>
      <c r="CDH483" s="308"/>
      <c r="CDI483" s="308"/>
      <c r="CDJ483" s="308"/>
      <c r="CDK483" s="308"/>
      <c r="CDL483" s="308"/>
      <c r="CDM483" s="308"/>
      <c r="CDN483" s="308"/>
      <c r="CDO483" s="308"/>
      <c r="CDP483" s="308"/>
      <c r="CDQ483" s="308"/>
      <c r="CDR483" s="308"/>
      <c r="CDS483" s="308"/>
      <c r="CDT483" s="308"/>
      <c r="CDU483" s="308"/>
      <c r="CDV483" s="308"/>
      <c r="CDW483" s="308"/>
      <c r="CDX483" s="308"/>
      <c r="CDY483" s="308"/>
      <c r="CDZ483" s="308"/>
      <c r="CEA483" s="308"/>
      <c r="CEB483" s="308"/>
      <c r="CEC483" s="308"/>
      <c r="CED483" s="308"/>
      <c r="CEE483" s="308"/>
      <c r="CEF483" s="308"/>
      <c r="CEG483" s="308"/>
      <c r="CEH483" s="308"/>
      <c r="CEI483" s="308"/>
      <c r="CEJ483" s="308"/>
      <c r="CEK483" s="308"/>
      <c r="CEL483" s="308"/>
      <c r="CEM483" s="308"/>
      <c r="CEN483" s="308"/>
      <c r="CEO483" s="308"/>
      <c r="CEP483" s="308"/>
      <c r="CEQ483" s="308"/>
      <c r="CER483" s="308"/>
      <c r="CES483" s="308"/>
      <c r="CET483" s="308"/>
      <c r="CEU483" s="308"/>
      <c r="CEV483" s="308"/>
      <c r="CEW483" s="308"/>
      <c r="CEX483" s="308"/>
      <c r="CEY483" s="308"/>
      <c r="CEZ483" s="308"/>
      <c r="CFA483" s="308"/>
      <c r="CFB483" s="308"/>
      <c r="CFC483" s="308"/>
      <c r="CFD483" s="308"/>
      <c r="CFE483" s="308"/>
      <c r="CFF483" s="308"/>
      <c r="CFG483" s="308"/>
      <c r="CFH483" s="308"/>
      <c r="CFI483" s="308"/>
      <c r="CFJ483" s="308"/>
      <c r="CFK483" s="308"/>
      <c r="CFL483" s="308"/>
      <c r="CFM483" s="308"/>
      <c r="CFN483" s="308"/>
      <c r="CFO483" s="308"/>
      <c r="CFP483" s="308"/>
      <c r="CFQ483" s="308"/>
      <c r="CFR483" s="308"/>
      <c r="CFS483" s="308"/>
      <c r="CFT483" s="308"/>
      <c r="CFU483" s="308"/>
      <c r="CFV483" s="308"/>
      <c r="CFW483" s="308"/>
      <c r="CFX483" s="308"/>
      <c r="CFY483" s="308"/>
      <c r="CFZ483" s="308"/>
      <c r="CGA483" s="308"/>
      <c r="CGB483" s="308"/>
      <c r="CGC483" s="308"/>
      <c r="CGD483" s="308"/>
      <c r="CGE483" s="308"/>
      <c r="CGF483" s="308"/>
      <c r="CGG483" s="308"/>
      <c r="CGH483" s="308"/>
      <c r="CGI483" s="308"/>
      <c r="CGJ483" s="308"/>
      <c r="CGK483" s="308"/>
      <c r="CGL483" s="308"/>
      <c r="CGM483" s="308"/>
      <c r="CGN483" s="308"/>
      <c r="CGO483" s="308"/>
      <c r="CGP483" s="308"/>
      <c r="CGQ483" s="308"/>
      <c r="CGR483" s="308"/>
      <c r="CGS483" s="308"/>
      <c r="CGT483" s="308"/>
      <c r="CGU483" s="308"/>
      <c r="CGV483" s="308"/>
      <c r="CGW483" s="308"/>
      <c r="CGX483" s="308"/>
      <c r="CGY483" s="308"/>
      <c r="CGZ483" s="308"/>
      <c r="CHA483" s="308"/>
      <c r="CHB483" s="308"/>
      <c r="CHC483" s="308"/>
      <c r="CHD483" s="308"/>
      <c r="CHE483" s="308"/>
      <c r="CHF483" s="308"/>
      <c r="CHG483" s="308"/>
      <c r="CHH483" s="308"/>
      <c r="CHI483" s="308"/>
      <c r="CHJ483" s="308"/>
      <c r="CHK483" s="308"/>
      <c r="CHL483" s="308"/>
      <c r="CHM483" s="308"/>
      <c r="CHN483" s="308"/>
      <c r="CHO483" s="308"/>
      <c r="CHP483" s="308"/>
      <c r="CHQ483" s="308"/>
      <c r="CHR483" s="308"/>
      <c r="CHS483" s="308"/>
      <c r="CHT483" s="308"/>
      <c r="CHU483" s="308"/>
      <c r="CHV483" s="308"/>
      <c r="CHW483" s="308"/>
      <c r="CHX483" s="308"/>
      <c r="CHY483" s="308"/>
      <c r="CHZ483" s="308"/>
      <c r="CIA483" s="308"/>
      <c r="CIB483" s="308"/>
      <c r="CIC483" s="308"/>
      <c r="CID483" s="308"/>
      <c r="CIE483" s="308"/>
      <c r="CIF483" s="308"/>
      <c r="CIG483" s="308"/>
      <c r="CIH483" s="308"/>
      <c r="CII483" s="308"/>
      <c r="CIJ483" s="308"/>
      <c r="CIK483" s="308"/>
      <c r="CIL483" s="308"/>
      <c r="CIM483" s="308"/>
      <c r="CIN483" s="308"/>
      <c r="CIO483" s="308"/>
      <c r="CIP483" s="308"/>
      <c r="CIQ483" s="308"/>
      <c r="CIR483" s="308"/>
      <c r="CIS483" s="308"/>
      <c r="CIT483" s="308"/>
      <c r="CIU483" s="308"/>
      <c r="CIV483" s="308"/>
      <c r="CIW483" s="308"/>
      <c r="CIX483" s="308"/>
      <c r="CIY483" s="308"/>
      <c r="CIZ483" s="308"/>
      <c r="CJA483" s="308"/>
      <c r="CJB483" s="308"/>
      <c r="CJC483" s="308"/>
      <c r="CJD483" s="308"/>
      <c r="CJE483" s="308"/>
      <c r="CJF483" s="308"/>
      <c r="CJG483" s="308"/>
      <c r="CJH483" s="308"/>
      <c r="CJI483" s="308"/>
      <c r="CJJ483" s="308"/>
      <c r="CJK483" s="308"/>
      <c r="CJL483" s="308"/>
      <c r="CJM483" s="308"/>
      <c r="CJN483" s="308"/>
      <c r="CJO483" s="308"/>
      <c r="CJP483" s="308"/>
      <c r="CJQ483" s="308"/>
      <c r="CJR483" s="308"/>
      <c r="CJS483" s="308"/>
      <c r="CJT483" s="308"/>
      <c r="CJU483" s="308"/>
      <c r="CJV483" s="308"/>
      <c r="CJW483" s="308"/>
      <c r="CJX483" s="308"/>
      <c r="CJY483" s="308"/>
      <c r="CJZ483" s="308"/>
      <c r="CKA483" s="308"/>
      <c r="CKB483" s="308"/>
      <c r="CKC483" s="308"/>
      <c r="CKD483" s="308"/>
      <c r="CKE483" s="308"/>
      <c r="CKF483" s="308"/>
      <c r="CKG483" s="308"/>
      <c r="CKH483" s="308"/>
      <c r="CKI483" s="308"/>
      <c r="CKJ483" s="308"/>
      <c r="CKK483" s="308"/>
      <c r="CKL483" s="308"/>
      <c r="CKM483" s="308"/>
      <c r="CKN483" s="308"/>
      <c r="CKO483" s="308"/>
      <c r="CKP483" s="308"/>
      <c r="CKQ483" s="308"/>
      <c r="CKR483" s="308"/>
      <c r="CKS483" s="308"/>
      <c r="CKT483" s="308"/>
      <c r="CKU483" s="308"/>
      <c r="CKV483" s="308"/>
      <c r="CKW483" s="308"/>
      <c r="CKX483" s="308"/>
      <c r="CKY483" s="308"/>
      <c r="CKZ483" s="308"/>
      <c r="CLA483" s="308"/>
      <c r="CLB483" s="308"/>
      <c r="CLC483" s="308"/>
      <c r="CLD483" s="308"/>
      <c r="CLE483" s="308"/>
      <c r="CLF483" s="308"/>
      <c r="CLG483" s="308"/>
      <c r="CLH483" s="308"/>
      <c r="CLI483" s="308"/>
      <c r="CLJ483" s="308"/>
      <c r="CLK483" s="308"/>
      <c r="CLL483" s="308"/>
      <c r="CLM483" s="308"/>
      <c r="CLN483" s="308"/>
      <c r="CLO483" s="308"/>
      <c r="CLP483" s="308"/>
      <c r="CLQ483" s="308"/>
      <c r="CLR483" s="308"/>
      <c r="CLS483" s="308"/>
      <c r="CLT483" s="308"/>
      <c r="CLU483" s="308"/>
      <c r="CLV483" s="308"/>
      <c r="CLW483" s="308"/>
      <c r="CLX483" s="308"/>
      <c r="CLY483" s="308"/>
      <c r="CLZ483" s="308"/>
      <c r="CMA483" s="308"/>
      <c r="CMB483" s="308"/>
      <c r="CMC483" s="308"/>
      <c r="CMD483" s="308"/>
      <c r="CME483" s="308"/>
      <c r="CMF483" s="308"/>
      <c r="CMG483" s="308"/>
      <c r="CMH483" s="308"/>
      <c r="CMI483" s="308"/>
      <c r="CMJ483" s="308"/>
      <c r="CMK483" s="308"/>
      <c r="CML483" s="308"/>
      <c r="CMM483" s="308"/>
      <c r="CMN483" s="308"/>
      <c r="CMO483" s="308"/>
      <c r="CMP483" s="308"/>
      <c r="CMQ483" s="308"/>
      <c r="CMR483" s="308"/>
      <c r="CMS483" s="308"/>
      <c r="CMT483" s="308"/>
      <c r="CMU483" s="308"/>
      <c r="CMV483" s="308"/>
      <c r="CMW483" s="308"/>
      <c r="CMX483" s="308"/>
      <c r="CMY483" s="308"/>
      <c r="CMZ483" s="308"/>
      <c r="CNA483" s="308"/>
      <c r="CNB483" s="308"/>
      <c r="CNC483" s="308"/>
      <c r="CND483" s="308"/>
      <c r="CNE483" s="308"/>
      <c r="CNF483" s="308"/>
      <c r="CNG483" s="308"/>
      <c r="CNH483" s="308"/>
      <c r="CNI483" s="308"/>
      <c r="CNJ483" s="308"/>
      <c r="CNK483" s="308"/>
      <c r="CNL483" s="308"/>
      <c r="CNM483" s="308"/>
      <c r="CNN483" s="308"/>
      <c r="CNO483" s="308"/>
      <c r="CNP483" s="308"/>
      <c r="CNQ483" s="308"/>
      <c r="CNR483" s="308"/>
      <c r="CNS483" s="308"/>
      <c r="CNT483" s="308"/>
      <c r="CNU483" s="308"/>
      <c r="CNV483" s="308"/>
      <c r="CNW483" s="308"/>
      <c r="CNX483" s="308"/>
      <c r="CNY483" s="308"/>
      <c r="CNZ483" s="308"/>
      <c r="COA483" s="308"/>
      <c r="COB483" s="308"/>
      <c r="COC483" s="308"/>
      <c r="COD483" s="308"/>
      <c r="COE483" s="308"/>
      <c r="COF483" s="308"/>
      <c r="COG483" s="308"/>
      <c r="COH483" s="308"/>
      <c r="COI483" s="308"/>
      <c r="COJ483" s="308"/>
      <c r="COK483" s="308"/>
      <c r="COL483" s="308"/>
      <c r="COM483" s="308"/>
      <c r="CON483" s="308"/>
      <c r="COO483" s="308"/>
      <c r="COP483" s="308"/>
      <c r="COQ483" s="308"/>
      <c r="COR483" s="308"/>
      <c r="COS483" s="308"/>
      <c r="COT483" s="308"/>
      <c r="COU483" s="308"/>
      <c r="COV483" s="308"/>
      <c r="COW483" s="308"/>
      <c r="COX483" s="308"/>
      <c r="COY483" s="308"/>
      <c r="COZ483" s="308"/>
      <c r="CPA483" s="308"/>
      <c r="CPB483" s="308"/>
      <c r="CPC483" s="308"/>
      <c r="CPD483" s="308"/>
      <c r="CPE483" s="308"/>
      <c r="CPF483" s="308"/>
      <c r="CPG483" s="308"/>
      <c r="CPH483" s="308"/>
      <c r="CPI483" s="308"/>
      <c r="CPJ483" s="308"/>
      <c r="CPK483" s="308"/>
      <c r="CPL483" s="308"/>
      <c r="CPM483" s="308"/>
      <c r="CPN483" s="308"/>
      <c r="CPO483" s="308"/>
      <c r="CPP483" s="308"/>
      <c r="CPQ483" s="308"/>
      <c r="CPR483" s="308"/>
      <c r="CPS483" s="308"/>
      <c r="CPT483" s="308"/>
      <c r="CPU483" s="308"/>
      <c r="CPV483" s="308"/>
      <c r="CPW483" s="308"/>
      <c r="CPX483" s="308"/>
      <c r="CPY483" s="308"/>
      <c r="CPZ483" s="308"/>
      <c r="CQA483" s="308"/>
      <c r="CQB483" s="308"/>
      <c r="CQC483" s="308"/>
      <c r="CQD483" s="308"/>
      <c r="CQE483" s="308"/>
      <c r="CQF483" s="308"/>
      <c r="CQG483" s="308"/>
      <c r="CQH483" s="308"/>
      <c r="CQI483" s="308"/>
      <c r="CQJ483" s="308"/>
      <c r="CQK483" s="308"/>
      <c r="CQL483" s="308"/>
      <c r="CQM483" s="308"/>
      <c r="CQN483" s="308"/>
      <c r="CQO483" s="308"/>
      <c r="CQP483" s="308"/>
      <c r="CQQ483" s="308"/>
      <c r="CQR483" s="308"/>
      <c r="CQS483" s="308"/>
      <c r="CQT483" s="308"/>
      <c r="CQU483" s="308"/>
      <c r="CQV483" s="308"/>
      <c r="CQW483" s="308"/>
      <c r="CQX483" s="308"/>
      <c r="CQY483" s="308"/>
      <c r="CQZ483" s="308"/>
      <c r="CRA483" s="308"/>
      <c r="CRB483" s="308"/>
      <c r="CRC483" s="308"/>
      <c r="CRD483" s="308"/>
      <c r="CRE483" s="308"/>
      <c r="CRF483" s="308"/>
      <c r="CRG483" s="308"/>
      <c r="CRH483" s="308"/>
      <c r="CRI483" s="308"/>
      <c r="CRJ483" s="308"/>
      <c r="CRK483" s="308"/>
      <c r="CRL483" s="308"/>
      <c r="CRM483" s="308"/>
      <c r="CRN483" s="308"/>
      <c r="CRO483" s="308"/>
      <c r="CRP483" s="308"/>
      <c r="CRQ483" s="308"/>
      <c r="CRR483" s="308"/>
      <c r="CRS483" s="308"/>
      <c r="CRT483" s="308"/>
      <c r="CRU483" s="308"/>
      <c r="CRV483" s="308"/>
      <c r="CRW483" s="308"/>
      <c r="CRX483" s="308"/>
      <c r="CRY483" s="308"/>
      <c r="CRZ483" s="308"/>
      <c r="CSA483" s="308"/>
      <c r="CSB483" s="308"/>
      <c r="CSC483" s="308"/>
      <c r="CSD483" s="308"/>
      <c r="CSE483" s="308"/>
      <c r="CSF483" s="308"/>
      <c r="CSG483" s="308"/>
      <c r="CSH483" s="308"/>
      <c r="CSI483" s="308"/>
      <c r="CSJ483" s="308"/>
      <c r="CSK483" s="308"/>
      <c r="CSL483" s="308"/>
      <c r="CSM483" s="308"/>
      <c r="CSN483" s="308"/>
      <c r="CSO483" s="308"/>
      <c r="CSP483" s="308"/>
      <c r="CSQ483" s="308"/>
      <c r="CSR483" s="308"/>
      <c r="CSS483" s="308"/>
      <c r="CST483" s="308"/>
      <c r="CSU483" s="308"/>
      <c r="CSV483" s="308"/>
      <c r="CSW483" s="308"/>
      <c r="CSX483" s="308"/>
      <c r="CSY483" s="308"/>
      <c r="CSZ483" s="308"/>
      <c r="CTA483" s="308"/>
      <c r="CTB483" s="308"/>
      <c r="CTC483" s="308"/>
      <c r="CTD483" s="308"/>
      <c r="CTE483" s="308"/>
      <c r="CTF483" s="308"/>
      <c r="CTG483" s="308"/>
      <c r="CTH483" s="308"/>
      <c r="CTI483" s="308"/>
      <c r="CTJ483" s="308"/>
      <c r="CTK483" s="308"/>
      <c r="CTL483" s="308"/>
      <c r="CTM483" s="308"/>
      <c r="CTN483" s="308"/>
      <c r="CTO483" s="308"/>
      <c r="CTP483" s="308"/>
      <c r="CTQ483" s="308"/>
      <c r="CTR483" s="308"/>
      <c r="CTS483" s="308"/>
      <c r="CTT483" s="308"/>
      <c r="CTU483" s="308"/>
      <c r="CTV483" s="308"/>
      <c r="CTW483" s="308"/>
      <c r="CTX483" s="308"/>
      <c r="CTY483" s="308"/>
      <c r="CTZ483" s="308"/>
      <c r="CUA483" s="308"/>
      <c r="CUB483" s="308"/>
      <c r="CUC483" s="308"/>
      <c r="CUD483" s="308"/>
      <c r="CUE483" s="308"/>
      <c r="CUF483" s="308"/>
      <c r="CUG483" s="308"/>
      <c r="CUH483" s="308"/>
      <c r="CUI483" s="308"/>
      <c r="CUJ483" s="308"/>
      <c r="CUK483" s="308"/>
      <c r="CUL483" s="308"/>
      <c r="CUM483" s="308"/>
      <c r="CUN483" s="308"/>
      <c r="CUO483" s="308"/>
      <c r="CUP483" s="308"/>
      <c r="CUQ483" s="308"/>
      <c r="CUR483" s="308"/>
      <c r="CUS483" s="308"/>
      <c r="CUT483" s="308"/>
      <c r="CUU483" s="308"/>
      <c r="CUV483" s="308"/>
      <c r="CUW483" s="308"/>
      <c r="CUX483" s="308"/>
      <c r="CUY483" s="308"/>
      <c r="CUZ483" s="308"/>
      <c r="CVA483" s="308"/>
      <c r="CVB483" s="308"/>
      <c r="CVC483" s="308"/>
      <c r="CVD483" s="308"/>
      <c r="CVE483" s="308"/>
      <c r="CVF483" s="308"/>
      <c r="CVG483" s="308"/>
      <c r="CVH483" s="308"/>
      <c r="CVI483" s="308"/>
      <c r="CVJ483" s="308"/>
      <c r="CVK483" s="308"/>
      <c r="CVL483" s="308"/>
      <c r="CVM483" s="308"/>
      <c r="CVN483" s="308"/>
      <c r="CVO483" s="308"/>
      <c r="CVP483" s="308"/>
      <c r="CVQ483" s="308"/>
      <c r="CVR483" s="308"/>
      <c r="CVS483" s="308"/>
      <c r="CVT483" s="308"/>
      <c r="CVU483" s="308"/>
      <c r="CVV483" s="308"/>
      <c r="CVW483" s="308"/>
      <c r="CVX483" s="308"/>
      <c r="CVY483" s="308"/>
      <c r="CVZ483" s="308"/>
      <c r="CWA483" s="308"/>
      <c r="CWB483" s="308"/>
      <c r="CWC483" s="308"/>
      <c r="CWD483" s="308"/>
      <c r="CWE483" s="308"/>
      <c r="CWF483" s="308"/>
      <c r="CWG483" s="308"/>
      <c r="CWH483" s="308"/>
      <c r="CWI483" s="308"/>
      <c r="CWJ483" s="308"/>
      <c r="CWK483" s="308"/>
      <c r="CWL483" s="308"/>
      <c r="CWM483" s="308"/>
      <c r="CWN483" s="308"/>
      <c r="CWO483" s="308"/>
      <c r="CWP483" s="308"/>
      <c r="CWQ483" s="308"/>
      <c r="CWR483" s="308"/>
      <c r="CWS483" s="308"/>
      <c r="CWT483" s="308"/>
      <c r="CWU483" s="308"/>
      <c r="CWV483" s="308"/>
      <c r="CWW483" s="308"/>
      <c r="CWX483" s="308"/>
      <c r="CWY483" s="308"/>
      <c r="CWZ483" s="308"/>
      <c r="CXA483" s="308"/>
      <c r="CXB483" s="308"/>
      <c r="CXC483" s="308"/>
      <c r="CXD483" s="308"/>
      <c r="CXE483" s="308"/>
      <c r="CXF483" s="308"/>
      <c r="CXG483" s="308"/>
      <c r="CXH483" s="308"/>
      <c r="CXI483" s="308"/>
      <c r="CXJ483" s="308"/>
      <c r="CXK483" s="308"/>
      <c r="CXL483" s="308"/>
      <c r="CXM483" s="308"/>
      <c r="CXN483" s="308"/>
      <c r="CXO483" s="308"/>
      <c r="CXP483" s="308"/>
      <c r="CXQ483" s="308"/>
      <c r="CXR483" s="308"/>
      <c r="CXS483" s="308"/>
      <c r="CXT483" s="308"/>
      <c r="CXU483" s="308"/>
      <c r="CXV483" s="308"/>
      <c r="CXW483" s="308"/>
      <c r="CXX483" s="308"/>
      <c r="CXY483" s="308"/>
      <c r="CXZ483" s="308"/>
      <c r="CYA483" s="308"/>
      <c r="CYB483" s="308"/>
      <c r="CYC483" s="308"/>
      <c r="CYD483" s="308"/>
      <c r="CYE483" s="308"/>
      <c r="CYF483" s="308"/>
      <c r="CYG483" s="308"/>
      <c r="CYH483" s="308"/>
      <c r="CYI483" s="308"/>
      <c r="CYJ483" s="308"/>
      <c r="CYK483" s="308"/>
      <c r="CYL483" s="308"/>
      <c r="CYM483" s="308"/>
      <c r="CYN483" s="308"/>
      <c r="CYO483" s="308"/>
      <c r="CYP483" s="308"/>
      <c r="CYQ483" s="308"/>
      <c r="CYR483" s="308"/>
      <c r="CYS483" s="308"/>
      <c r="CYT483" s="308"/>
      <c r="CYU483" s="308"/>
      <c r="CYV483" s="308"/>
      <c r="CYW483" s="308"/>
      <c r="CYX483" s="308"/>
      <c r="CYY483" s="308"/>
      <c r="CYZ483" s="308"/>
      <c r="CZA483" s="308"/>
      <c r="CZB483" s="308"/>
      <c r="CZC483" s="308"/>
      <c r="CZD483" s="308"/>
      <c r="CZE483" s="308"/>
      <c r="CZF483" s="308"/>
      <c r="CZG483" s="308"/>
      <c r="CZH483" s="308"/>
      <c r="CZI483" s="308"/>
      <c r="CZJ483" s="308"/>
      <c r="CZK483" s="308"/>
      <c r="CZL483" s="308"/>
      <c r="CZM483" s="308"/>
      <c r="CZN483" s="308"/>
      <c r="CZO483" s="308"/>
      <c r="CZP483" s="308"/>
      <c r="CZQ483" s="308"/>
      <c r="CZR483" s="308"/>
      <c r="CZS483" s="308"/>
      <c r="CZT483" s="308"/>
      <c r="CZU483" s="308"/>
      <c r="CZV483" s="308"/>
      <c r="CZW483" s="308"/>
      <c r="CZX483" s="308"/>
      <c r="CZY483" s="308"/>
      <c r="CZZ483" s="308"/>
      <c r="DAA483" s="308"/>
      <c r="DAB483" s="308"/>
      <c r="DAC483" s="308"/>
      <c r="DAD483" s="308"/>
      <c r="DAE483" s="308"/>
      <c r="DAF483" s="308"/>
      <c r="DAG483" s="308"/>
      <c r="DAH483" s="308"/>
      <c r="DAI483" s="308"/>
      <c r="DAJ483" s="308"/>
      <c r="DAK483" s="308"/>
      <c r="DAL483" s="308"/>
      <c r="DAM483" s="308"/>
      <c r="DAN483" s="308"/>
      <c r="DAO483" s="308"/>
      <c r="DAP483" s="308"/>
      <c r="DAQ483" s="308"/>
      <c r="DAR483" s="308"/>
      <c r="DAS483" s="308"/>
      <c r="DAT483" s="308"/>
      <c r="DAU483" s="308"/>
      <c r="DAV483" s="308"/>
      <c r="DAW483" s="308"/>
      <c r="DAX483" s="308"/>
      <c r="DAY483" s="308"/>
      <c r="DAZ483" s="308"/>
      <c r="DBA483" s="308"/>
      <c r="DBB483" s="308"/>
      <c r="DBC483" s="308"/>
      <c r="DBD483" s="308"/>
      <c r="DBE483" s="308"/>
      <c r="DBF483" s="308"/>
      <c r="DBG483" s="308"/>
      <c r="DBH483" s="308"/>
      <c r="DBI483" s="308"/>
      <c r="DBJ483" s="308"/>
      <c r="DBK483" s="308"/>
      <c r="DBL483" s="308"/>
      <c r="DBM483" s="308"/>
      <c r="DBN483" s="308"/>
      <c r="DBO483" s="308"/>
      <c r="DBP483" s="308"/>
      <c r="DBQ483" s="308"/>
      <c r="DBR483" s="308"/>
      <c r="DBS483" s="308"/>
      <c r="DBT483" s="308"/>
      <c r="DBU483" s="308"/>
      <c r="DBV483" s="308"/>
      <c r="DBW483" s="308"/>
      <c r="DBX483" s="308"/>
      <c r="DBY483" s="308"/>
      <c r="DBZ483" s="308"/>
      <c r="DCA483" s="308"/>
      <c r="DCB483" s="308"/>
      <c r="DCC483" s="308"/>
      <c r="DCD483" s="308"/>
      <c r="DCE483" s="308"/>
      <c r="DCF483" s="308"/>
      <c r="DCG483" s="308"/>
      <c r="DCH483" s="308"/>
      <c r="DCI483" s="308"/>
      <c r="DCJ483" s="308"/>
      <c r="DCK483" s="308"/>
      <c r="DCL483" s="308"/>
      <c r="DCM483" s="308"/>
      <c r="DCN483" s="308"/>
      <c r="DCO483" s="308"/>
      <c r="DCP483" s="308"/>
      <c r="DCQ483" s="308"/>
      <c r="DCR483" s="308"/>
      <c r="DCS483" s="308"/>
      <c r="DCT483" s="308"/>
      <c r="DCU483" s="308"/>
      <c r="DCV483" s="308"/>
      <c r="DCW483" s="308"/>
      <c r="DCX483" s="308"/>
      <c r="DCY483" s="308"/>
      <c r="DCZ483" s="308"/>
      <c r="DDA483" s="308"/>
      <c r="DDB483" s="308"/>
      <c r="DDC483" s="308"/>
      <c r="DDD483" s="308"/>
      <c r="DDE483" s="308"/>
      <c r="DDF483" s="308"/>
      <c r="DDG483" s="308"/>
      <c r="DDH483" s="308"/>
      <c r="DDI483" s="308"/>
      <c r="DDJ483" s="308"/>
      <c r="DDK483" s="308"/>
      <c r="DDL483" s="308"/>
      <c r="DDM483" s="308"/>
      <c r="DDN483" s="308"/>
      <c r="DDO483" s="308"/>
      <c r="DDP483" s="308"/>
      <c r="DDQ483" s="308"/>
      <c r="DDR483" s="308"/>
      <c r="DDS483" s="308"/>
      <c r="DDT483" s="308"/>
      <c r="DDU483" s="308"/>
      <c r="DDV483" s="308"/>
      <c r="DDW483" s="308"/>
      <c r="DDX483" s="308"/>
      <c r="DDY483" s="308"/>
      <c r="DDZ483" s="308"/>
      <c r="DEA483" s="308"/>
      <c r="DEB483" s="308"/>
      <c r="DEC483" s="308"/>
      <c r="DED483" s="308"/>
      <c r="DEE483" s="308"/>
      <c r="DEF483" s="308"/>
      <c r="DEG483" s="308"/>
      <c r="DEH483" s="308"/>
      <c r="DEI483" s="308"/>
      <c r="DEJ483" s="308"/>
      <c r="DEK483" s="308"/>
      <c r="DEL483" s="308"/>
      <c r="DEM483" s="308"/>
      <c r="DEN483" s="308"/>
      <c r="DEO483" s="308"/>
      <c r="DEP483" s="308"/>
      <c r="DEQ483" s="308"/>
      <c r="DER483" s="308"/>
      <c r="DES483" s="308"/>
      <c r="DET483" s="308"/>
      <c r="DEU483" s="308"/>
      <c r="DEV483" s="308"/>
      <c r="DEW483" s="308"/>
      <c r="DEX483" s="308"/>
      <c r="DEY483" s="308"/>
      <c r="DEZ483" s="308"/>
      <c r="DFA483" s="308"/>
      <c r="DFB483" s="308"/>
      <c r="DFC483" s="308"/>
      <c r="DFD483" s="308"/>
      <c r="DFE483" s="308"/>
      <c r="DFF483" s="308"/>
      <c r="DFG483" s="308"/>
      <c r="DFH483" s="308"/>
      <c r="DFI483" s="308"/>
      <c r="DFJ483" s="308"/>
      <c r="DFK483" s="308"/>
      <c r="DFL483" s="308"/>
      <c r="DFM483" s="308"/>
      <c r="DFN483" s="308"/>
      <c r="DFO483" s="308"/>
      <c r="DFP483" s="308"/>
      <c r="DFQ483" s="308"/>
      <c r="DFR483" s="308"/>
      <c r="DFS483" s="308"/>
      <c r="DFT483" s="308"/>
      <c r="DFU483" s="308"/>
      <c r="DFV483" s="308"/>
      <c r="DFW483" s="308"/>
      <c r="DFX483" s="308"/>
      <c r="DFY483" s="308"/>
      <c r="DFZ483" s="308"/>
      <c r="DGA483" s="308"/>
      <c r="DGB483" s="308"/>
      <c r="DGC483" s="308"/>
      <c r="DGD483" s="308"/>
      <c r="DGE483" s="308"/>
      <c r="DGF483" s="308"/>
      <c r="DGG483" s="308"/>
      <c r="DGH483" s="308"/>
      <c r="DGI483" s="308"/>
      <c r="DGJ483" s="308"/>
      <c r="DGK483" s="308"/>
      <c r="DGL483" s="308"/>
      <c r="DGM483" s="308"/>
      <c r="DGN483" s="308"/>
      <c r="DGO483" s="308"/>
      <c r="DGP483" s="308"/>
      <c r="DGQ483" s="308"/>
      <c r="DGR483" s="308"/>
      <c r="DGS483" s="308"/>
      <c r="DGT483" s="308"/>
      <c r="DGU483" s="308"/>
      <c r="DGV483" s="308"/>
      <c r="DGW483" s="308"/>
      <c r="DGX483" s="308"/>
      <c r="DGY483" s="308"/>
      <c r="DGZ483" s="308"/>
      <c r="DHA483" s="308"/>
      <c r="DHB483" s="308"/>
      <c r="DHC483" s="308"/>
      <c r="DHD483" s="308"/>
      <c r="DHE483" s="308"/>
      <c r="DHF483" s="308"/>
      <c r="DHG483" s="308"/>
      <c r="DHH483" s="308"/>
      <c r="DHI483" s="308"/>
      <c r="DHJ483" s="308"/>
      <c r="DHK483" s="308"/>
      <c r="DHL483" s="308"/>
      <c r="DHM483" s="308"/>
      <c r="DHN483" s="308"/>
      <c r="DHO483" s="308"/>
      <c r="DHP483" s="308"/>
      <c r="DHQ483" s="308"/>
      <c r="DHR483" s="308"/>
      <c r="DHS483" s="308"/>
      <c r="DHT483" s="308"/>
      <c r="DHU483" s="308"/>
      <c r="DHV483" s="308"/>
      <c r="DHW483" s="308"/>
      <c r="DHX483" s="308"/>
      <c r="DHY483" s="308"/>
      <c r="DHZ483" s="308"/>
      <c r="DIA483" s="308"/>
      <c r="DIB483" s="308"/>
      <c r="DIC483" s="308"/>
      <c r="DID483" s="308"/>
      <c r="DIE483" s="308"/>
      <c r="DIF483" s="308"/>
      <c r="DIG483" s="308"/>
      <c r="DIH483" s="308"/>
      <c r="DII483" s="308"/>
      <c r="DIJ483" s="308"/>
      <c r="DIK483" s="308"/>
      <c r="DIL483" s="308"/>
      <c r="DIM483" s="308"/>
      <c r="DIN483" s="308"/>
      <c r="DIO483" s="308"/>
      <c r="DIP483" s="308"/>
      <c r="DIQ483" s="308"/>
      <c r="DIR483" s="308"/>
      <c r="DIS483" s="308"/>
      <c r="DIT483" s="308"/>
      <c r="DIU483" s="308"/>
      <c r="DIV483" s="308"/>
      <c r="DIW483" s="308"/>
      <c r="DIX483" s="308"/>
      <c r="DIY483" s="308"/>
      <c r="DIZ483" s="308"/>
      <c r="DJA483" s="308"/>
      <c r="DJB483" s="308"/>
      <c r="DJC483" s="308"/>
      <c r="DJD483" s="308"/>
      <c r="DJE483" s="308"/>
      <c r="DJF483" s="308"/>
      <c r="DJG483" s="308"/>
      <c r="DJH483" s="308"/>
      <c r="DJI483" s="308"/>
      <c r="DJJ483" s="308"/>
      <c r="DJK483" s="308"/>
      <c r="DJL483" s="308"/>
      <c r="DJM483" s="308"/>
      <c r="DJN483" s="308"/>
      <c r="DJO483" s="308"/>
      <c r="DJP483" s="308"/>
      <c r="DJQ483" s="308"/>
      <c r="DJR483" s="308"/>
      <c r="DJS483" s="308"/>
      <c r="DJT483" s="308"/>
      <c r="DJU483" s="308"/>
      <c r="DJV483" s="308"/>
      <c r="DJW483" s="308"/>
      <c r="DJX483" s="308"/>
      <c r="DJY483" s="308"/>
      <c r="DJZ483" s="308"/>
      <c r="DKA483" s="308"/>
      <c r="DKB483" s="308"/>
      <c r="DKC483" s="308"/>
      <c r="DKD483" s="308"/>
      <c r="DKE483" s="308"/>
      <c r="DKF483" s="308"/>
      <c r="DKG483" s="308"/>
      <c r="DKH483" s="308"/>
      <c r="DKI483" s="308"/>
      <c r="DKJ483" s="308"/>
      <c r="DKK483" s="308"/>
      <c r="DKL483" s="308"/>
      <c r="DKM483" s="308"/>
      <c r="DKN483" s="308"/>
      <c r="DKO483" s="308"/>
      <c r="DKP483" s="308"/>
      <c r="DKQ483" s="308"/>
      <c r="DKR483" s="308"/>
      <c r="DKS483" s="308"/>
      <c r="DKT483" s="308"/>
      <c r="DKU483" s="308"/>
      <c r="DKV483" s="308"/>
      <c r="DKW483" s="308"/>
      <c r="DKX483" s="308"/>
      <c r="DKY483" s="308"/>
      <c r="DKZ483" s="308"/>
      <c r="DLA483" s="308"/>
      <c r="DLB483" s="308"/>
      <c r="DLC483" s="308"/>
      <c r="DLD483" s="308"/>
      <c r="DLE483" s="308"/>
      <c r="DLF483" s="308"/>
      <c r="DLG483" s="308"/>
      <c r="DLH483" s="308"/>
      <c r="DLI483" s="308"/>
      <c r="DLJ483" s="308"/>
      <c r="DLK483" s="308"/>
      <c r="DLL483" s="308"/>
      <c r="DLM483" s="308"/>
      <c r="DLN483" s="308"/>
      <c r="DLO483" s="308"/>
      <c r="DLP483" s="308"/>
      <c r="DLQ483" s="308"/>
      <c r="DLR483" s="308"/>
      <c r="DLS483" s="308"/>
      <c r="DLT483" s="308"/>
      <c r="DLU483" s="308"/>
      <c r="DLV483" s="308"/>
      <c r="DLW483" s="308"/>
      <c r="DLX483" s="308"/>
      <c r="DLY483" s="308"/>
      <c r="DLZ483" s="308"/>
      <c r="DMA483" s="308"/>
      <c r="DMB483" s="308"/>
      <c r="DMC483" s="308"/>
      <c r="DMD483" s="308"/>
      <c r="DME483" s="308"/>
      <c r="DMF483" s="308"/>
      <c r="DMG483" s="308"/>
      <c r="DMH483" s="308"/>
      <c r="DMI483" s="308"/>
      <c r="DMJ483" s="308"/>
      <c r="DMK483" s="308"/>
      <c r="DML483" s="308"/>
      <c r="DMM483" s="308"/>
      <c r="DMN483" s="308"/>
      <c r="DMO483" s="308"/>
      <c r="DMP483" s="308"/>
      <c r="DMQ483" s="308"/>
      <c r="DMR483" s="308"/>
      <c r="DMS483" s="308"/>
      <c r="DMT483" s="308"/>
      <c r="DMU483" s="308"/>
      <c r="DMV483" s="308"/>
      <c r="DMW483" s="308"/>
      <c r="DMX483" s="308"/>
      <c r="DMY483" s="308"/>
      <c r="DMZ483" s="308"/>
      <c r="DNA483" s="308"/>
      <c r="DNB483" s="308"/>
      <c r="DNC483" s="308"/>
      <c r="DND483" s="308"/>
      <c r="DNE483" s="308"/>
      <c r="DNF483" s="308"/>
      <c r="DNG483" s="308"/>
      <c r="DNH483" s="308"/>
      <c r="DNI483" s="308"/>
      <c r="DNJ483" s="308"/>
      <c r="DNK483" s="308"/>
      <c r="DNL483" s="308"/>
      <c r="DNM483" s="308"/>
      <c r="DNN483" s="308"/>
      <c r="DNO483" s="308"/>
      <c r="DNP483" s="308"/>
      <c r="DNQ483" s="308"/>
      <c r="DNR483" s="308"/>
      <c r="DNS483" s="308"/>
      <c r="DNT483" s="308"/>
      <c r="DNU483" s="308"/>
      <c r="DNV483" s="308"/>
      <c r="DNW483" s="308"/>
      <c r="DNX483" s="308"/>
      <c r="DNY483" s="308"/>
      <c r="DNZ483" s="308"/>
      <c r="DOA483" s="308"/>
      <c r="DOB483" s="308"/>
      <c r="DOC483" s="308"/>
      <c r="DOD483" s="308"/>
      <c r="DOE483" s="308"/>
      <c r="DOF483" s="308"/>
      <c r="DOG483" s="308"/>
      <c r="DOH483" s="308"/>
      <c r="DOI483" s="308"/>
      <c r="DOJ483" s="308"/>
      <c r="DOK483" s="308"/>
      <c r="DOL483" s="308"/>
      <c r="DOM483" s="308"/>
      <c r="DON483" s="308"/>
      <c r="DOO483" s="308"/>
      <c r="DOP483" s="308"/>
      <c r="DOQ483" s="308"/>
      <c r="DOR483" s="308"/>
      <c r="DOS483" s="308"/>
      <c r="DOT483" s="308"/>
      <c r="DOU483" s="308"/>
      <c r="DOV483" s="308"/>
      <c r="DOW483" s="308"/>
      <c r="DOX483" s="308"/>
      <c r="DOY483" s="308"/>
      <c r="DOZ483" s="308"/>
      <c r="DPA483" s="308"/>
      <c r="DPB483" s="308"/>
      <c r="DPC483" s="308"/>
      <c r="DPD483" s="308"/>
      <c r="DPE483" s="308"/>
      <c r="DPF483" s="308"/>
      <c r="DPG483" s="308"/>
      <c r="DPH483" s="308"/>
      <c r="DPI483" s="308"/>
      <c r="DPJ483" s="308"/>
      <c r="DPK483" s="308"/>
      <c r="DPL483" s="308"/>
      <c r="DPM483" s="308"/>
      <c r="DPN483" s="308"/>
      <c r="DPO483" s="308"/>
      <c r="DPP483" s="308"/>
      <c r="DPQ483" s="308"/>
      <c r="DPR483" s="308"/>
      <c r="DPS483" s="308"/>
      <c r="DPT483" s="308"/>
      <c r="DPU483" s="308"/>
      <c r="DPV483" s="308"/>
      <c r="DPW483" s="308"/>
      <c r="DPX483" s="308"/>
      <c r="DPY483" s="308"/>
      <c r="DPZ483" s="308"/>
      <c r="DQA483" s="308"/>
      <c r="DQB483" s="308"/>
      <c r="DQC483" s="308"/>
      <c r="DQD483" s="308"/>
      <c r="DQE483" s="308"/>
      <c r="DQF483" s="308"/>
      <c r="DQG483" s="308"/>
      <c r="DQH483" s="308"/>
      <c r="DQI483" s="308"/>
      <c r="DQJ483" s="308"/>
      <c r="DQK483" s="308"/>
      <c r="DQL483" s="308"/>
      <c r="DQM483" s="308"/>
      <c r="DQN483" s="308"/>
      <c r="DQO483" s="308"/>
      <c r="DQP483" s="308"/>
      <c r="DQQ483" s="308"/>
      <c r="DQR483" s="308"/>
      <c r="DQS483" s="308"/>
      <c r="DQT483" s="308"/>
      <c r="DQU483" s="308"/>
      <c r="DQV483" s="308"/>
      <c r="DQW483" s="308"/>
      <c r="DQX483" s="308"/>
      <c r="DQY483" s="308"/>
      <c r="DQZ483" s="308"/>
      <c r="DRA483" s="308"/>
      <c r="DRB483" s="308"/>
      <c r="DRC483" s="308"/>
      <c r="DRD483" s="308"/>
      <c r="DRE483" s="308"/>
      <c r="DRF483" s="308"/>
      <c r="DRG483" s="308"/>
      <c r="DRH483" s="308"/>
      <c r="DRI483" s="308"/>
      <c r="DRJ483" s="308"/>
      <c r="DRK483" s="308"/>
      <c r="DRL483" s="308"/>
      <c r="DRM483" s="308"/>
      <c r="DRN483" s="308"/>
      <c r="DRO483" s="308"/>
      <c r="DRP483" s="308"/>
      <c r="DRQ483" s="308"/>
      <c r="DRR483" s="308"/>
      <c r="DRS483" s="308"/>
      <c r="DRT483" s="308"/>
      <c r="DRU483" s="308"/>
      <c r="DRV483" s="308"/>
      <c r="DRW483" s="308"/>
      <c r="DRX483" s="308"/>
      <c r="DRY483" s="308"/>
      <c r="DRZ483" s="308"/>
      <c r="DSA483" s="308"/>
      <c r="DSB483" s="308"/>
      <c r="DSC483" s="308"/>
      <c r="DSD483" s="308"/>
      <c r="DSE483" s="308"/>
      <c r="DSF483" s="308"/>
      <c r="DSG483" s="308"/>
      <c r="DSH483" s="308"/>
      <c r="DSI483" s="308"/>
      <c r="DSJ483" s="308"/>
      <c r="DSK483" s="308"/>
      <c r="DSL483" s="308"/>
      <c r="DSM483" s="308"/>
      <c r="DSN483" s="308"/>
      <c r="DSO483" s="308"/>
      <c r="DSP483" s="308"/>
      <c r="DSQ483" s="308"/>
      <c r="DSR483" s="308"/>
      <c r="DSS483" s="308"/>
      <c r="DST483" s="308"/>
      <c r="DSU483" s="308"/>
      <c r="DSV483" s="308"/>
      <c r="DSW483" s="308"/>
      <c r="DSX483" s="308"/>
      <c r="DSY483" s="308"/>
      <c r="DSZ483" s="308"/>
      <c r="DTA483" s="308"/>
      <c r="DTB483" s="308"/>
      <c r="DTC483" s="308"/>
      <c r="DTD483" s="308"/>
      <c r="DTE483" s="308"/>
      <c r="DTF483" s="308"/>
      <c r="DTG483" s="308"/>
      <c r="DTH483" s="308"/>
      <c r="DTI483" s="308"/>
      <c r="DTJ483" s="308"/>
      <c r="DTK483" s="308"/>
      <c r="DTL483" s="308"/>
      <c r="DTM483" s="308"/>
      <c r="DTN483" s="308"/>
      <c r="DTO483" s="308"/>
      <c r="DTP483" s="308"/>
      <c r="DTQ483" s="308"/>
      <c r="DTR483" s="308"/>
      <c r="DTS483" s="308"/>
      <c r="DTT483" s="308"/>
      <c r="DTU483" s="308"/>
      <c r="DTV483" s="308"/>
      <c r="DTW483" s="308"/>
      <c r="DTX483" s="308"/>
      <c r="DTY483" s="308"/>
      <c r="DTZ483" s="308"/>
      <c r="DUA483" s="308"/>
      <c r="DUB483" s="308"/>
      <c r="DUC483" s="308"/>
      <c r="DUD483" s="308"/>
      <c r="DUE483" s="308"/>
      <c r="DUF483" s="308"/>
      <c r="DUG483" s="308"/>
      <c r="DUH483" s="308"/>
      <c r="DUI483" s="308"/>
      <c r="DUJ483" s="308"/>
      <c r="DUK483" s="308"/>
      <c r="DUL483" s="308"/>
      <c r="DUM483" s="308"/>
      <c r="DUN483" s="308"/>
      <c r="DUO483" s="308"/>
      <c r="DUP483" s="308"/>
      <c r="DUQ483" s="308"/>
      <c r="DUR483" s="308"/>
      <c r="DUS483" s="308"/>
      <c r="DUT483" s="308"/>
      <c r="DUU483" s="308"/>
      <c r="DUV483" s="308"/>
      <c r="DUW483" s="308"/>
      <c r="DUX483" s="308"/>
      <c r="DUY483" s="308"/>
      <c r="DUZ483" s="308"/>
      <c r="DVA483" s="308"/>
      <c r="DVB483" s="308"/>
      <c r="DVC483" s="308"/>
      <c r="DVD483" s="308"/>
      <c r="DVE483" s="308"/>
      <c r="DVF483" s="308"/>
      <c r="DVG483" s="308"/>
      <c r="DVH483" s="308"/>
      <c r="DVI483" s="308"/>
      <c r="DVJ483" s="308"/>
      <c r="DVK483" s="308"/>
      <c r="DVL483" s="308"/>
      <c r="DVM483" s="308"/>
      <c r="DVN483" s="308"/>
      <c r="DVO483" s="308"/>
      <c r="DVP483" s="308"/>
      <c r="DVQ483" s="308"/>
      <c r="DVR483" s="308"/>
      <c r="DVS483" s="308"/>
      <c r="DVT483" s="308"/>
      <c r="DVU483" s="308"/>
      <c r="DVV483" s="308"/>
      <c r="DVW483" s="308"/>
      <c r="DVX483" s="308"/>
      <c r="DVY483" s="308"/>
      <c r="DVZ483" s="308"/>
      <c r="DWA483" s="308"/>
      <c r="DWB483" s="308"/>
      <c r="DWC483" s="308"/>
      <c r="DWD483" s="308"/>
      <c r="DWE483" s="308"/>
      <c r="DWF483" s="308"/>
      <c r="DWG483" s="308"/>
      <c r="DWH483" s="308"/>
      <c r="DWI483" s="308"/>
      <c r="DWJ483" s="308"/>
      <c r="DWK483" s="308"/>
      <c r="DWL483" s="308"/>
      <c r="DWM483" s="308"/>
      <c r="DWN483" s="308"/>
      <c r="DWO483" s="308"/>
      <c r="DWP483" s="308"/>
      <c r="DWQ483" s="308"/>
      <c r="DWR483" s="308"/>
      <c r="DWS483" s="308"/>
      <c r="DWT483" s="308"/>
      <c r="DWU483" s="308"/>
      <c r="DWV483" s="308"/>
      <c r="DWW483" s="308"/>
      <c r="DWX483" s="308"/>
      <c r="DWY483" s="308"/>
      <c r="DWZ483" s="308"/>
      <c r="DXA483" s="308"/>
      <c r="DXB483" s="308"/>
      <c r="DXC483" s="308"/>
      <c r="DXD483" s="308"/>
      <c r="DXE483" s="308"/>
      <c r="DXF483" s="308"/>
      <c r="DXG483" s="308"/>
      <c r="DXH483" s="308"/>
      <c r="DXI483" s="308"/>
      <c r="DXJ483" s="308"/>
      <c r="DXK483" s="308"/>
      <c r="DXL483" s="308"/>
      <c r="DXM483" s="308"/>
      <c r="DXN483" s="308"/>
      <c r="DXO483" s="308"/>
      <c r="DXP483" s="308"/>
      <c r="DXQ483" s="308"/>
      <c r="DXR483" s="308"/>
      <c r="DXS483" s="308"/>
      <c r="DXT483" s="308"/>
      <c r="DXU483" s="308"/>
      <c r="DXV483" s="308"/>
      <c r="DXW483" s="308"/>
      <c r="DXX483" s="308"/>
      <c r="DXY483" s="308"/>
      <c r="DXZ483" s="308"/>
      <c r="DYA483" s="308"/>
      <c r="DYB483" s="308"/>
      <c r="DYC483" s="308"/>
      <c r="DYD483" s="308"/>
      <c r="DYE483" s="308"/>
      <c r="DYF483" s="308"/>
      <c r="DYG483" s="308"/>
      <c r="DYH483" s="308"/>
      <c r="DYI483" s="308"/>
      <c r="DYJ483" s="308"/>
      <c r="DYK483" s="308"/>
      <c r="DYL483" s="308"/>
      <c r="DYM483" s="308"/>
      <c r="DYN483" s="308"/>
      <c r="DYO483" s="308"/>
      <c r="DYP483" s="308"/>
      <c r="DYQ483" s="308"/>
      <c r="DYR483" s="308"/>
      <c r="DYS483" s="308"/>
      <c r="DYT483" s="308"/>
      <c r="DYU483" s="308"/>
      <c r="DYV483" s="308"/>
      <c r="DYW483" s="308"/>
      <c r="DYX483" s="308"/>
      <c r="DYY483" s="308"/>
      <c r="DYZ483" s="308"/>
      <c r="DZA483" s="308"/>
      <c r="DZB483" s="308"/>
      <c r="DZC483" s="308"/>
      <c r="DZD483" s="308"/>
      <c r="DZE483" s="308"/>
      <c r="DZF483" s="308"/>
      <c r="DZG483" s="308"/>
      <c r="DZH483" s="308"/>
      <c r="DZI483" s="308"/>
      <c r="DZJ483" s="308"/>
      <c r="DZK483" s="308"/>
      <c r="DZL483" s="308"/>
      <c r="DZM483" s="308"/>
      <c r="DZN483" s="308"/>
      <c r="DZO483" s="308"/>
      <c r="DZP483" s="308"/>
      <c r="DZQ483" s="308"/>
      <c r="DZR483" s="308"/>
      <c r="DZS483" s="308"/>
      <c r="DZT483" s="308"/>
      <c r="DZU483" s="308"/>
      <c r="DZV483" s="308"/>
      <c r="DZW483" s="308"/>
      <c r="DZX483" s="308"/>
      <c r="DZY483" s="308"/>
      <c r="DZZ483" s="308"/>
      <c r="EAA483" s="308"/>
      <c r="EAB483" s="308"/>
      <c r="EAC483" s="308"/>
      <c r="EAD483" s="308"/>
      <c r="EAE483" s="308"/>
      <c r="EAF483" s="308"/>
      <c r="EAG483" s="308"/>
      <c r="EAH483" s="308"/>
      <c r="EAI483" s="308"/>
      <c r="EAJ483" s="308"/>
      <c r="EAK483" s="308"/>
      <c r="EAL483" s="308"/>
      <c r="EAM483" s="308"/>
      <c r="EAN483" s="308"/>
      <c r="EAO483" s="308"/>
      <c r="EAP483" s="308"/>
      <c r="EAQ483" s="308"/>
      <c r="EAR483" s="308"/>
      <c r="EAS483" s="308"/>
      <c r="EAT483" s="308"/>
      <c r="EAU483" s="308"/>
      <c r="EAV483" s="308"/>
      <c r="EAW483" s="308"/>
      <c r="EAX483" s="308"/>
      <c r="EAY483" s="308"/>
      <c r="EAZ483" s="308"/>
      <c r="EBA483" s="308"/>
      <c r="EBB483" s="308"/>
      <c r="EBC483" s="308"/>
      <c r="EBD483" s="308"/>
      <c r="EBE483" s="308"/>
      <c r="EBF483" s="308"/>
      <c r="EBG483" s="308"/>
      <c r="EBH483" s="308"/>
      <c r="EBI483" s="308"/>
      <c r="EBJ483" s="308"/>
      <c r="EBK483" s="308"/>
      <c r="EBL483" s="308"/>
      <c r="EBM483" s="308"/>
      <c r="EBN483" s="308"/>
      <c r="EBO483" s="308"/>
      <c r="EBP483" s="308"/>
      <c r="EBQ483" s="308"/>
      <c r="EBR483" s="308"/>
      <c r="EBS483" s="308"/>
      <c r="EBT483" s="308"/>
      <c r="EBU483" s="308"/>
      <c r="EBV483" s="308"/>
      <c r="EBW483" s="308"/>
      <c r="EBX483" s="308"/>
      <c r="EBY483" s="308"/>
      <c r="EBZ483" s="308"/>
      <c r="ECA483" s="308"/>
      <c r="ECB483" s="308"/>
      <c r="ECC483" s="308"/>
      <c r="ECD483" s="308"/>
      <c r="ECE483" s="308"/>
      <c r="ECF483" s="308"/>
      <c r="ECG483" s="308"/>
      <c r="ECH483" s="308"/>
      <c r="ECI483" s="308"/>
      <c r="ECJ483" s="308"/>
      <c r="ECK483" s="308"/>
      <c r="ECL483" s="308"/>
      <c r="ECM483" s="308"/>
      <c r="ECN483" s="308"/>
      <c r="ECO483" s="308"/>
      <c r="ECP483" s="308"/>
      <c r="ECQ483" s="308"/>
      <c r="ECR483" s="308"/>
      <c r="ECS483" s="308"/>
      <c r="ECT483" s="308"/>
      <c r="ECU483" s="308"/>
      <c r="ECV483" s="308"/>
      <c r="ECW483" s="308"/>
      <c r="ECX483" s="308"/>
      <c r="ECY483" s="308"/>
      <c r="ECZ483" s="308"/>
      <c r="EDA483" s="308"/>
      <c r="EDB483" s="308"/>
      <c r="EDC483" s="308"/>
      <c r="EDD483" s="308"/>
      <c r="EDE483" s="308"/>
      <c r="EDF483" s="308"/>
      <c r="EDG483" s="308"/>
      <c r="EDH483" s="308"/>
      <c r="EDI483" s="308"/>
      <c r="EDJ483" s="308"/>
      <c r="EDK483" s="308"/>
      <c r="EDL483" s="308"/>
      <c r="EDM483" s="308"/>
      <c r="EDN483" s="308"/>
      <c r="EDO483" s="308"/>
      <c r="EDP483" s="308"/>
      <c r="EDQ483" s="308"/>
      <c r="EDR483" s="308"/>
      <c r="EDS483" s="308"/>
      <c r="EDT483" s="308"/>
      <c r="EDU483" s="308"/>
      <c r="EDV483" s="308"/>
      <c r="EDW483" s="308"/>
      <c r="EDX483" s="308"/>
      <c r="EDY483" s="308"/>
      <c r="EDZ483" s="308"/>
      <c r="EEA483" s="308"/>
      <c r="EEB483" s="308"/>
      <c r="EEC483" s="308"/>
      <c r="EED483" s="308"/>
      <c r="EEE483" s="308"/>
      <c r="EEF483" s="308"/>
      <c r="EEG483" s="308"/>
      <c r="EEH483" s="308"/>
      <c r="EEI483" s="308"/>
      <c r="EEJ483" s="308"/>
      <c r="EEK483" s="308"/>
      <c r="EEL483" s="308"/>
      <c r="EEM483" s="308"/>
      <c r="EEN483" s="308"/>
      <c r="EEO483" s="308"/>
      <c r="EEP483" s="308"/>
      <c r="EEQ483" s="308"/>
      <c r="EER483" s="308"/>
      <c r="EES483" s="308"/>
      <c r="EET483" s="308"/>
      <c r="EEU483" s="308"/>
      <c r="EEV483" s="308"/>
      <c r="EEW483" s="308"/>
      <c r="EEX483" s="308"/>
      <c r="EEY483" s="308"/>
      <c r="EEZ483" s="308"/>
      <c r="EFA483" s="308"/>
      <c r="EFB483" s="308"/>
      <c r="EFC483" s="308"/>
      <c r="EFD483" s="308"/>
      <c r="EFE483" s="308"/>
      <c r="EFF483" s="308"/>
      <c r="EFG483" s="308"/>
      <c r="EFH483" s="308"/>
      <c r="EFI483" s="308"/>
      <c r="EFJ483" s="308"/>
      <c r="EFK483" s="308"/>
      <c r="EFL483" s="308"/>
      <c r="EFM483" s="308"/>
      <c r="EFN483" s="308"/>
      <c r="EFO483" s="308"/>
      <c r="EFP483" s="308"/>
      <c r="EFQ483" s="308"/>
      <c r="EFR483" s="308"/>
      <c r="EFS483" s="308"/>
      <c r="EFT483" s="308"/>
      <c r="EFU483" s="308"/>
      <c r="EFV483" s="308"/>
      <c r="EFW483" s="308"/>
      <c r="EFX483" s="308"/>
      <c r="EFY483" s="308"/>
      <c r="EFZ483" s="308"/>
      <c r="EGA483" s="308"/>
      <c r="EGB483" s="308"/>
      <c r="EGC483" s="308"/>
      <c r="EGD483" s="308"/>
      <c r="EGE483" s="308"/>
      <c r="EGF483" s="308"/>
      <c r="EGG483" s="308"/>
      <c r="EGH483" s="308"/>
      <c r="EGI483" s="308"/>
      <c r="EGJ483" s="308"/>
      <c r="EGK483" s="308"/>
      <c r="EGL483" s="308"/>
      <c r="EGM483" s="308"/>
      <c r="EGN483" s="308"/>
      <c r="EGO483" s="308"/>
      <c r="EGP483" s="308"/>
      <c r="EGQ483" s="308"/>
      <c r="EGR483" s="308"/>
      <c r="EGS483" s="308"/>
      <c r="EGT483" s="308"/>
      <c r="EGU483" s="308"/>
      <c r="EGV483" s="308"/>
      <c r="EGW483" s="308"/>
      <c r="EGX483" s="308"/>
      <c r="EGY483" s="308"/>
      <c r="EGZ483" s="308"/>
      <c r="EHA483" s="308"/>
      <c r="EHB483" s="308"/>
      <c r="EHC483" s="308"/>
      <c r="EHD483" s="308"/>
      <c r="EHE483" s="308"/>
      <c r="EHF483" s="308"/>
      <c r="EHG483" s="308"/>
      <c r="EHH483" s="308"/>
      <c r="EHI483" s="308"/>
      <c r="EHJ483" s="308"/>
      <c r="EHK483" s="308"/>
      <c r="EHL483" s="308"/>
      <c r="EHM483" s="308"/>
      <c r="EHN483" s="308"/>
      <c r="EHO483" s="308"/>
      <c r="EHP483" s="308"/>
      <c r="EHQ483" s="308"/>
      <c r="EHR483" s="308"/>
      <c r="EHS483" s="308"/>
      <c r="EHT483" s="308"/>
      <c r="EHU483" s="308"/>
      <c r="EHV483" s="308"/>
      <c r="EHW483" s="308"/>
      <c r="EHX483" s="308"/>
      <c r="EHY483" s="308"/>
      <c r="EHZ483" s="308"/>
      <c r="EIA483" s="308"/>
      <c r="EIB483" s="308"/>
      <c r="EIC483" s="308"/>
      <c r="EID483" s="308"/>
      <c r="EIE483" s="308"/>
      <c r="EIF483" s="308"/>
      <c r="EIG483" s="308"/>
      <c r="EIH483" s="308"/>
      <c r="EII483" s="308"/>
      <c r="EIJ483" s="308"/>
      <c r="EIK483" s="308"/>
      <c r="EIL483" s="308"/>
      <c r="EIM483" s="308"/>
      <c r="EIN483" s="308"/>
      <c r="EIO483" s="308"/>
      <c r="EIP483" s="308"/>
      <c r="EIQ483" s="308"/>
      <c r="EIR483" s="308"/>
      <c r="EIS483" s="308"/>
      <c r="EIT483" s="308"/>
      <c r="EIU483" s="308"/>
      <c r="EIV483" s="308"/>
      <c r="EIW483" s="308"/>
      <c r="EIX483" s="308"/>
      <c r="EIY483" s="308"/>
      <c r="EIZ483" s="308"/>
      <c r="EJA483" s="308"/>
      <c r="EJB483" s="308"/>
      <c r="EJC483" s="308"/>
      <c r="EJD483" s="308"/>
      <c r="EJE483" s="308"/>
      <c r="EJF483" s="308"/>
      <c r="EJG483" s="308"/>
      <c r="EJH483" s="308"/>
      <c r="EJI483" s="308"/>
      <c r="EJJ483" s="308"/>
      <c r="EJK483" s="308"/>
      <c r="EJL483" s="308"/>
      <c r="EJM483" s="308"/>
      <c r="EJN483" s="308"/>
      <c r="EJO483" s="308"/>
      <c r="EJP483" s="308"/>
      <c r="EJQ483" s="308"/>
      <c r="EJR483" s="308"/>
      <c r="EJS483" s="308"/>
      <c r="EJT483" s="308"/>
      <c r="EJU483" s="308"/>
      <c r="EJV483" s="308"/>
      <c r="EJW483" s="308"/>
      <c r="EJX483" s="308"/>
      <c r="EJY483" s="308"/>
      <c r="EJZ483" s="308"/>
      <c r="EKA483" s="308"/>
      <c r="EKB483" s="308"/>
      <c r="EKC483" s="308"/>
      <c r="EKD483" s="308"/>
      <c r="EKE483" s="308"/>
      <c r="EKF483" s="308"/>
      <c r="EKG483" s="308"/>
      <c r="EKH483" s="308"/>
      <c r="EKI483" s="308"/>
      <c r="EKJ483" s="308"/>
      <c r="EKK483" s="308"/>
      <c r="EKL483" s="308"/>
      <c r="EKM483" s="308"/>
      <c r="EKN483" s="308"/>
      <c r="EKO483" s="308"/>
      <c r="EKP483" s="308"/>
      <c r="EKQ483" s="308"/>
      <c r="EKR483" s="308"/>
      <c r="EKS483" s="308"/>
      <c r="EKT483" s="308"/>
      <c r="EKU483" s="308"/>
      <c r="EKV483" s="308"/>
      <c r="EKW483" s="308"/>
      <c r="EKX483" s="308"/>
      <c r="EKY483" s="308"/>
      <c r="EKZ483" s="308"/>
      <c r="ELA483" s="308"/>
      <c r="ELB483" s="308"/>
      <c r="ELC483" s="308"/>
      <c r="ELD483" s="308"/>
      <c r="ELE483" s="308"/>
      <c r="ELF483" s="308"/>
      <c r="ELG483" s="308"/>
      <c r="ELH483" s="308"/>
      <c r="ELI483" s="308"/>
      <c r="ELJ483" s="308"/>
      <c r="ELK483" s="308"/>
      <c r="ELL483" s="308"/>
      <c r="ELM483" s="308"/>
      <c r="ELN483" s="308"/>
      <c r="ELO483" s="308"/>
      <c r="ELP483" s="308"/>
      <c r="ELQ483" s="308"/>
      <c r="ELR483" s="308"/>
      <c r="ELS483" s="308"/>
      <c r="ELT483" s="308"/>
      <c r="ELU483" s="308"/>
      <c r="ELV483" s="308"/>
      <c r="ELW483" s="308"/>
      <c r="ELX483" s="308"/>
      <c r="ELY483" s="308"/>
      <c r="ELZ483" s="308"/>
      <c r="EMA483" s="308"/>
      <c r="EMB483" s="308"/>
      <c r="EMC483" s="308"/>
      <c r="EMD483" s="308"/>
      <c r="EME483" s="308"/>
      <c r="EMF483" s="308"/>
      <c r="EMG483" s="308"/>
      <c r="EMH483" s="308"/>
      <c r="EMI483" s="308"/>
      <c r="EMJ483" s="308"/>
      <c r="EMK483" s="308"/>
      <c r="EML483" s="308"/>
      <c r="EMM483" s="308"/>
      <c r="EMN483" s="308"/>
      <c r="EMO483" s="308"/>
      <c r="EMP483" s="308"/>
      <c r="EMQ483" s="308"/>
      <c r="EMR483" s="308"/>
      <c r="EMS483" s="308"/>
      <c r="EMT483" s="308"/>
      <c r="EMU483" s="308"/>
      <c r="EMV483" s="308"/>
      <c r="EMW483" s="308"/>
      <c r="EMX483" s="308"/>
      <c r="EMY483" s="308"/>
      <c r="EMZ483" s="308"/>
      <c r="ENA483" s="308"/>
      <c r="ENB483" s="308"/>
      <c r="ENC483" s="308"/>
      <c r="END483" s="308"/>
      <c r="ENE483" s="308"/>
      <c r="ENF483" s="308"/>
      <c r="ENG483" s="308"/>
      <c r="ENH483" s="308"/>
      <c r="ENI483" s="308"/>
      <c r="ENJ483" s="308"/>
      <c r="ENK483" s="308"/>
      <c r="ENL483" s="308"/>
      <c r="ENM483" s="308"/>
      <c r="ENN483" s="308"/>
      <c r="ENO483" s="308"/>
      <c r="ENP483" s="308"/>
      <c r="ENQ483" s="308"/>
      <c r="ENR483" s="308"/>
      <c r="ENS483" s="308"/>
      <c r="ENT483" s="308"/>
      <c r="ENU483" s="308"/>
      <c r="ENV483" s="308"/>
      <c r="ENW483" s="308"/>
      <c r="ENX483" s="308"/>
      <c r="ENY483" s="308"/>
      <c r="ENZ483" s="308"/>
      <c r="EOA483" s="308"/>
      <c r="EOB483" s="308"/>
      <c r="EOC483" s="308"/>
      <c r="EOD483" s="308"/>
      <c r="EOE483" s="308"/>
      <c r="EOF483" s="308"/>
      <c r="EOG483" s="308"/>
      <c r="EOH483" s="308"/>
      <c r="EOI483" s="308"/>
      <c r="EOJ483" s="308"/>
      <c r="EOK483" s="308"/>
      <c r="EOL483" s="308"/>
      <c r="EOM483" s="308"/>
      <c r="EON483" s="308"/>
      <c r="EOO483" s="308"/>
      <c r="EOP483" s="308"/>
      <c r="EOQ483" s="308"/>
      <c r="EOR483" s="308"/>
      <c r="EOS483" s="308"/>
      <c r="EOT483" s="308"/>
      <c r="EOU483" s="308"/>
      <c r="EOV483" s="308"/>
      <c r="EOW483" s="308"/>
      <c r="EOX483" s="308"/>
      <c r="EOY483" s="308"/>
      <c r="EOZ483" s="308"/>
      <c r="EPA483" s="308"/>
      <c r="EPB483" s="308"/>
      <c r="EPC483" s="308"/>
      <c r="EPD483" s="308"/>
      <c r="EPE483" s="308"/>
      <c r="EPF483" s="308"/>
      <c r="EPG483" s="308"/>
      <c r="EPH483" s="308"/>
      <c r="EPI483" s="308"/>
      <c r="EPJ483" s="308"/>
      <c r="EPK483" s="308"/>
      <c r="EPL483" s="308"/>
      <c r="EPM483" s="308"/>
      <c r="EPN483" s="308"/>
      <c r="EPO483" s="308"/>
      <c r="EPP483" s="308"/>
      <c r="EPQ483" s="308"/>
      <c r="EPR483" s="308"/>
      <c r="EPS483" s="308"/>
      <c r="EPT483" s="308"/>
      <c r="EPU483" s="308"/>
      <c r="EPV483" s="308"/>
      <c r="EPW483" s="308"/>
      <c r="EPX483" s="308"/>
      <c r="EPY483" s="308"/>
      <c r="EPZ483" s="308"/>
      <c r="EQA483" s="308"/>
      <c r="EQB483" s="308"/>
      <c r="EQC483" s="308"/>
      <c r="EQD483" s="308"/>
      <c r="EQE483" s="308"/>
      <c r="EQF483" s="308"/>
      <c r="EQG483" s="308"/>
      <c r="EQH483" s="308"/>
      <c r="EQI483" s="308"/>
      <c r="EQJ483" s="308"/>
      <c r="EQK483" s="308"/>
      <c r="EQL483" s="308"/>
      <c r="EQM483" s="308"/>
      <c r="EQN483" s="308"/>
      <c r="EQO483" s="308"/>
      <c r="EQP483" s="308"/>
      <c r="EQQ483" s="308"/>
      <c r="EQR483" s="308"/>
      <c r="EQS483" s="308"/>
      <c r="EQT483" s="308"/>
      <c r="EQU483" s="308"/>
      <c r="EQV483" s="308"/>
      <c r="EQW483" s="308"/>
      <c r="EQX483" s="308"/>
      <c r="EQY483" s="308"/>
      <c r="EQZ483" s="308"/>
      <c r="ERA483" s="308"/>
      <c r="ERB483" s="308"/>
      <c r="ERC483" s="308"/>
      <c r="ERD483" s="308"/>
      <c r="ERE483" s="308"/>
      <c r="ERF483" s="308"/>
      <c r="ERG483" s="308"/>
      <c r="ERH483" s="308"/>
      <c r="ERI483" s="308"/>
      <c r="ERJ483" s="308"/>
      <c r="ERK483" s="308"/>
      <c r="ERL483" s="308"/>
      <c r="ERM483" s="308"/>
      <c r="ERN483" s="308"/>
      <c r="ERO483" s="308"/>
      <c r="ERP483" s="308"/>
      <c r="ERQ483" s="308"/>
      <c r="ERR483" s="308"/>
      <c r="ERS483" s="308"/>
      <c r="ERT483" s="308"/>
      <c r="ERU483" s="308"/>
      <c r="ERV483" s="308"/>
      <c r="ERW483" s="308"/>
      <c r="ERX483" s="308"/>
      <c r="ERY483" s="308"/>
      <c r="ERZ483" s="308"/>
      <c r="ESA483" s="308"/>
      <c r="ESB483" s="308"/>
      <c r="ESC483" s="308"/>
      <c r="ESD483" s="308"/>
      <c r="ESE483" s="308"/>
      <c r="ESF483" s="308"/>
      <c r="ESG483" s="308"/>
      <c r="ESH483" s="308"/>
      <c r="ESI483" s="308"/>
      <c r="ESJ483" s="308"/>
      <c r="ESK483" s="308"/>
      <c r="ESL483" s="308"/>
      <c r="ESM483" s="308"/>
      <c r="ESN483" s="308"/>
      <c r="ESO483" s="308"/>
      <c r="ESP483" s="308"/>
      <c r="ESQ483" s="308"/>
      <c r="ESR483" s="308"/>
      <c r="ESS483" s="308"/>
      <c r="EST483" s="308"/>
      <c r="ESU483" s="308"/>
      <c r="ESV483" s="308"/>
      <c r="ESW483" s="308"/>
      <c r="ESX483" s="308"/>
      <c r="ESY483" s="308"/>
      <c r="ESZ483" s="308"/>
      <c r="ETA483" s="308"/>
      <c r="ETB483" s="308"/>
      <c r="ETC483" s="308"/>
      <c r="ETD483" s="308"/>
      <c r="ETE483" s="308"/>
      <c r="ETF483" s="308"/>
      <c r="ETG483" s="308"/>
      <c r="ETH483" s="308"/>
      <c r="ETI483" s="308"/>
      <c r="ETJ483" s="308"/>
      <c r="ETK483" s="308"/>
      <c r="ETL483" s="308"/>
      <c r="ETM483" s="308"/>
      <c r="ETN483" s="308"/>
      <c r="ETO483" s="308"/>
      <c r="ETP483" s="308"/>
      <c r="ETQ483" s="308"/>
      <c r="ETR483" s="308"/>
      <c r="ETS483" s="308"/>
      <c r="ETT483" s="308"/>
      <c r="ETU483" s="308"/>
      <c r="ETV483" s="308"/>
      <c r="ETW483" s="308"/>
      <c r="ETX483" s="308"/>
      <c r="ETY483" s="308"/>
      <c r="ETZ483" s="308"/>
      <c r="EUA483" s="308"/>
      <c r="EUB483" s="308"/>
      <c r="EUC483" s="308"/>
      <c r="EUD483" s="308"/>
      <c r="EUE483" s="308"/>
      <c r="EUF483" s="308"/>
      <c r="EUG483" s="308"/>
      <c r="EUH483" s="308"/>
      <c r="EUI483" s="308"/>
      <c r="EUJ483" s="308"/>
      <c r="EUK483" s="308"/>
      <c r="EUL483" s="308"/>
      <c r="EUM483" s="308"/>
      <c r="EUN483" s="308"/>
      <c r="EUO483" s="308"/>
      <c r="EUP483" s="308"/>
      <c r="EUQ483" s="308"/>
      <c r="EUR483" s="308"/>
      <c r="EUS483" s="308"/>
      <c r="EUT483" s="308"/>
      <c r="EUU483" s="308"/>
      <c r="EUV483" s="308"/>
      <c r="EUW483" s="308"/>
      <c r="EUX483" s="308"/>
      <c r="EUY483" s="308"/>
      <c r="EUZ483" s="308"/>
      <c r="EVA483" s="308"/>
      <c r="EVB483" s="308"/>
      <c r="EVC483" s="308"/>
      <c r="EVD483" s="308"/>
      <c r="EVE483" s="308"/>
      <c r="EVF483" s="308"/>
      <c r="EVG483" s="308"/>
      <c r="EVH483" s="308"/>
      <c r="EVI483" s="308"/>
      <c r="EVJ483" s="308"/>
      <c r="EVK483" s="308"/>
      <c r="EVL483" s="308"/>
      <c r="EVM483" s="308"/>
      <c r="EVN483" s="308"/>
      <c r="EVO483" s="308"/>
      <c r="EVP483" s="308"/>
      <c r="EVQ483" s="308"/>
      <c r="EVR483" s="308"/>
      <c r="EVS483" s="308"/>
      <c r="EVT483" s="308"/>
      <c r="EVU483" s="308"/>
      <c r="EVV483" s="308"/>
      <c r="EVW483" s="308"/>
      <c r="EVX483" s="308"/>
      <c r="EVY483" s="308"/>
      <c r="EVZ483" s="308"/>
      <c r="EWA483" s="308"/>
      <c r="EWB483" s="308"/>
      <c r="EWC483" s="308"/>
      <c r="EWD483" s="308"/>
      <c r="EWE483" s="308"/>
      <c r="EWF483" s="308"/>
      <c r="EWG483" s="308"/>
      <c r="EWH483" s="308"/>
      <c r="EWI483" s="308"/>
      <c r="EWJ483" s="308"/>
      <c r="EWK483" s="308"/>
      <c r="EWL483" s="308"/>
      <c r="EWM483" s="308"/>
      <c r="EWN483" s="308"/>
      <c r="EWO483" s="308"/>
      <c r="EWP483" s="308"/>
      <c r="EWQ483" s="308"/>
      <c r="EWR483" s="308"/>
      <c r="EWS483" s="308"/>
      <c r="EWT483" s="308"/>
      <c r="EWU483" s="308"/>
      <c r="EWV483" s="308"/>
      <c r="EWW483" s="308"/>
      <c r="EWX483" s="308"/>
      <c r="EWY483" s="308"/>
      <c r="EWZ483" s="308"/>
      <c r="EXA483" s="308"/>
      <c r="EXB483" s="308"/>
      <c r="EXC483" s="308"/>
      <c r="EXD483" s="308"/>
      <c r="EXE483" s="308"/>
      <c r="EXF483" s="308"/>
      <c r="EXG483" s="308"/>
      <c r="EXH483" s="308"/>
      <c r="EXI483" s="308"/>
      <c r="EXJ483" s="308"/>
      <c r="EXK483" s="308"/>
      <c r="EXL483" s="308"/>
      <c r="EXM483" s="308"/>
      <c r="EXN483" s="308"/>
      <c r="EXO483" s="308"/>
      <c r="EXP483" s="308"/>
      <c r="EXQ483" s="308"/>
      <c r="EXR483" s="308"/>
      <c r="EXS483" s="308"/>
      <c r="EXT483" s="308"/>
      <c r="EXU483" s="308"/>
      <c r="EXV483" s="308"/>
      <c r="EXW483" s="308"/>
      <c r="EXX483" s="308"/>
      <c r="EXY483" s="308"/>
      <c r="EXZ483" s="308"/>
      <c r="EYA483" s="308"/>
      <c r="EYB483" s="308"/>
      <c r="EYC483" s="308"/>
      <c r="EYD483" s="308"/>
      <c r="EYE483" s="308"/>
      <c r="EYF483" s="308"/>
      <c r="EYG483" s="308"/>
      <c r="EYH483" s="308"/>
      <c r="EYI483" s="308"/>
      <c r="EYJ483" s="308"/>
      <c r="EYK483" s="308"/>
      <c r="EYL483" s="308"/>
      <c r="EYM483" s="308"/>
      <c r="EYN483" s="308"/>
      <c r="EYO483" s="308"/>
      <c r="EYP483" s="308"/>
      <c r="EYQ483" s="308"/>
      <c r="EYR483" s="308"/>
      <c r="EYS483" s="308"/>
      <c r="EYT483" s="308"/>
      <c r="EYU483" s="308"/>
      <c r="EYV483" s="308"/>
      <c r="EYW483" s="308"/>
      <c r="EYX483" s="308"/>
      <c r="EYY483" s="308"/>
      <c r="EYZ483" s="308"/>
      <c r="EZA483" s="308"/>
      <c r="EZB483" s="308"/>
      <c r="EZC483" s="308"/>
      <c r="EZD483" s="308"/>
      <c r="EZE483" s="308"/>
      <c r="EZF483" s="308"/>
      <c r="EZG483" s="308"/>
      <c r="EZH483" s="308"/>
      <c r="EZI483" s="308"/>
      <c r="EZJ483" s="308"/>
      <c r="EZK483" s="308"/>
      <c r="EZL483" s="308"/>
      <c r="EZM483" s="308"/>
      <c r="EZN483" s="308"/>
      <c r="EZO483" s="308"/>
      <c r="EZP483" s="308"/>
      <c r="EZQ483" s="308"/>
      <c r="EZR483" s="308"/>
      <c r="EZS483" s="308"/>
      <c r="EZT483" s="308"/>
      <c r="EZU483" s="308"/>
      <c r="EZV483" s="308"/>
      <c r="EZW483" s="308"/>
      <c r="EZX483" s="308"/>
      <c r="EZY483" s="308"/>
      <c r="EZZ483" s="308"/>
      <c r="FAA483" s="308"/>
      <c r="FAB483" s="308"/>
      <c r="FAC483" s="308"/>
      <c r="FAD483" s="308"/>
      <c r="FAE483" s="308"/>
      <c r="FAF483" s="308"/>
      <c r="FAG483" s="308"/>
      <c r="FAH483" s="308"/>
      <c r="FAI483" s="308"/>
      <c r="FAJ483" s="308"/>
      <c r="FAK483" s="308"/>
      <c r="FAL483" s="308"/>
      <c r="FAM483" s="308"/>
      <c r="FAN483" s="308"/>
      <c r="FAO483" s="308"/>
      <c r="FAP483" s="308"/>
      <c r="FAQ483" s="308"/>
      <c r="FAR483" s="308"/>
      <c r="FAS483" s="308"/>
      <c r="FAT483" s="308"/>
      <c r="FAU483" s="308"/>
      <c r="FAV483" s="308"/>
      <c r="FAW483" s="308"/>
      <c r="FAX483" s="308"/>
      <c r="FAY483" s="308"/>
      <c r="FAZ483" s="308"/>
      <c r="FBA483" s="308"/>
      <c r="FBB483" s="308"/>
      <c r="FBC483" s="308"/>
      <c r="FBD483" s="308"/>
      <c r="FBE483" s="308"/>
      <c r="FBF483" s="308"/>
      <c r="FBG483" s="308"/>
      <c r="FBH483" s="308"/>
      <c r="FBI483" s="308"/>
      <c r="FBJ483" s="308"/>
      <c r="FBK483" s="308"/>
      <c r="FBL483" s="308"/>
      <c r="FBM483" s="308"/>
      <c r="FBN483" s="308"/>
      <c r="FBO483" s="308"/>
      <c r="FBP483" s="308"/>
      <c r="FBQ483" s="308"/>
      <c r="FBR483" s="308"/>
      <c r="FBS483" s="308"/>
      <c r="FBT483" s="308"/>
      <c r="FBU483" s="308"/>
      <c r="FBV483" s="308"/>
      <c r="FBW483" s="308"/>
      <c r="FBX483" s="308"/>
      <c r="FBY483" s="308"/>
      <c r="FBZ483" s="308"/>
      <c r="FCA483" s="308"/>
      <c r="FCB483" s="308"/>
      <c r="FCC483" s="308"/>
      <c r="FCD483" s="308"/>
      <c r="FCE483" s="308"/>
      <c r="FCF483" s="308"/>
      <c r="FCG483" s="308"/>
      <c r="FCH483" s="308"/>
      <c r="FCI483" s="308"/>
      <c r="FCJ483" s="308"/>
      <c r="FCK483" s="308"/>
      <c r="FCL483" s="308"/>
      <c r="FCM483" s="308"/>
      <c r="FCN483" s="308"/>
      <c r="FCO483" s="308"/>
      <c r="FCP483" s="308"/>
      <c r="FCQ483" s="308"/>
      <c r="FCR483" s="308"/>
      <c r="FCS483" s="308"/>
      <c r="FCT483" s="308"/>
      <c r="FCU483" s="308"/>
      <c r="FCV483" s="308"/>
      <c r="FCW483" s="308"/>
      <c r="FCX483" s="308"/>
      <c r="FCY483" s="308"/>
      <c r="FCZ483" s="308"/>
      <c r="FDA483" s="308"/>
      <c r="FDB483" s="308"/>
      <c r="FDC483" s="308"/>
      <c r="FDD483" s="308"/>
      <c r="FDE483" s="308"/>
      <c r="FDF483" s="308"/>
      <c r="FDG483" s="308"/>
      <c r="FDH483" s="308"/>
      <c r="FDI483" s="308"/>
      <c r="FDJ483" s="308"/>
      <c r="FDK483" s="308"/>
      <c r="FDL483" s="308"/>
      <c r="FDM483" s="308"/>
      <c r="FDN483" s="308"/>
      <c r="FDO483" s="308"/>
      <c r="FDP483" s="308"/>
      <c r="FDQ483" s="308"/>
      <c r="FDR483" s="308"/>
      <c r="FDS483" s="308"/>
      <c r="FDT483" s="308"/>
      <c r="FDU483" s="308"/>
      <c r="FDV483" s="308"/>
      <c r="FDW483" s="308"/>
      <c r="FDX483" s="308"/>
      <c r="FDY483" s="308"/>
      <c r="FDZ483" s="308"/>
      <c r="FEA483" s="308"/>
      <c r="FEB483" s="308"/>
      <c r="FEC483" s="308"/>
      <c r="FED483" s="308"/>
      <c r="FEE483" s="308"/>
      <c r="FEF483" s="308"/>
      <c r="FEG483" s="308"/>
      <c r="FEH483" s="308"/>
      <c r="FEI483" s="308"/>
      <c r="FEJ483" s="308"/>
      <c r="FEK483" s="308"/>
      <c r="FEL483" s="308"/>
      <c r="FEM483" s="308"/>
      <c r="FEN483" s="308"/>
      <c r="FEO483" s="308"/>
      <c r="FEP483" s="308"/>
      <c r="FEQ483" s="308"/>
      <c r="FER483" s="308"/>
      <c r="FES483" s="308"/>
      <c r="FET483" s="308"/>
      <c r="FEU483" s="308"/>
      <c r="FEV483" s="308"/>
      <c r="FEW483" s="308"/>
      <c r="FEX483" s="308"/>
      <c r="FEY483" s="308"/>
      <c r="FEZ483" s="308"/>
      <c r="FFA483" s="308"/>
      <c r="FFB483" s="308"/>
      <c r="FFC483" s="308"/>
      <c r="FFD483" s="308"/>
      <c r="FFE483" s="308"/>
      <c r="FFF483" s="308"/>
      <c r="FFG483" s="308"/>
      <c r="FFH483" s="308"/>
      <c r="FFI483" s="308"/>
      <c r="FFJ483" s="308"/>
      <c r="FFK483" s="308"/>
      <c r="FFL483" s="308"/>
      <c r="FFM483" s="308"/>
      <c r="FFN483" s="308"/>
      <c r="FFO483" s="308"/>
      <c r="FFP483" s="308"/>
      <c r="FFQ483" s="308"/>
      <c r="FFR483" s="308"/>
      <c r="FFS483" s="308"/>
      <c r="FFT483" s="308"/>
      <c r="FFU483" s="308"/>
      <c r="FFV483" s="308"/>
      <c r="FFW483" s="308"/>
      <c r="FFX483" s="308"/>
      <c r="FFY483" s="308"/>
      <c r="FFZ483" s="308"/>
      <c r="FGA483" s="308"/>
      <c r="FGB483" s="308"/>
      <c r="FGC483" s="308"/>
      <c r="FGD483" s="308"/>
      <c r="FGE483" s="308"/>
      <c r="FGF483" s="308"/>
      <c r="FGG483" s="308"/>
      <c r="FGH483" s="308"/>
      <c r="FGI483" s="308"/>
      <c r="FGJ483" s="308"/>
      <c r="FGK483" s="308"/>
      <c r="FGL483" s="308"/>
      <c r="FGM483" s="308"/>
      <c r="FGN483" s="308"/>
      <c r="FGO483" s="308"/>
      <c r="FGP483" s="308"/>
      <c r="FGQ483" s="308"/>
      <c r="FGR483" s="308"/>
      <c r="FGS483" s="308"/>
      <c r="FGT483" s="308"/>
      <c r="FGU483" s="308"/>
      <c r="FGV483" s="308"/>
      <c r="FGW483" s="308"/>
      <c r="FGX483" s="308"/>
      <c r="FGY483" s="308"/>
      <c r="FGZ483" s="308"/>
      <c r="FHA483" s="308"/>
      <c r="FHB483" s="308"/>
      <c r="FHC483" s="308"/>
      <c r="FHD483" s="308"/>
      <c r="FHE483" s="308"/>
      <c r="FHF483" s="308"/>
      <c r="FHG483" s="308"/>
      <c r="FHH483" s="308"/>
      <c r="FHI483" s="308"/>
      <c r="FHJ483" s="308"/>
      <c r="FHK483" s="308"/>
      <c r="FHL483" s="308"/>
      <c r="FHM483" s="308"/>
      <c r="FHN483" s="308"/>
      <c r="FHO483" s="308"/>
      <c r="FHP483" s="308"/>
      <c r="FHQ483" s="308"/>
      <c r="FHR483" s="308"/>
      <c r="FHS483" s="308"/>
      <c r="FHT483" s="308"/>
      <c r="FHU483" s="308"/>
      <c r="FHV483" s="308"/>
      <c r="FHW483" s="308"/>
      <c r="FHX483" s="308"/>
      <c r="FHY483" s="308"/>
      <c r="FHZ483" s="308"/>
      <c r="FIA483" s="308"/>
      <c r="FIB483" s="308"/>
      <c r="FIC483" s="308"/>
      <c r="FID483" s="308"/>
      <c r="FIE483" s="308"/>
      <c r="FIF483" s="308"/>
      <c r="FIG483" s="308"/>
      <c r="FIH483" s="308"/>
      <c r="FII483" s="308"/>
      <c r="FIJ483" s="308"/>
      <c r="FIK483" s="308"/>
      <c r="FIL483" s="308"/>
      <c r="FIM483" s="308"/>
      <c r="FIN483" s="308"/>
      <c r="FIO483" s="308"/>
      <c r="FIP483" s="308"/>
      <c r="FIQ483" s="308"/>
      <c r="FIR483" s="308"/>
      <c r="FIS483" s="308"/>
      <c r="FIT483" s="308"/>
      <c r="FIU483" s="308"/>
      <c r="FIV483" s="308"/>
      <c r="FIW483" s="308"/>
      <c r="FIX483" s="308"/>
      <c r="FIY483" s="308"/>
      <c r="FIZ483" s="308"/>
      <c r="FJA483" s="308"/>
      <c r="FJB483" s="308"/>
      <c r="FJC483" s="308"/>
      <c r="FJD483" s="308"/>
      <c r="FJE483" s="308"/>
      <c r="FJF483" s="308"/>
      <c r="FJG483" s="308"/>
      <c r="FJH483" s="308"/>
      <c r="FJI483" s="308"/>
      <c r="FJJ483" s="308"/>
      <c r="FJK483" s="308"/>
      <c r="FJL483" s="308"/>
      <c r="FJM483" s="308"/>
      <c r="FJN483" s="308"/>
      <c r="FJO483" s="308"/>
      <c r="FJP483" s="308"/>
      <c r="FJQ483" s="308"/>
      <c r="FJR483" s="308"/>
      <c r="FJS483" s="308"/>
      <c r="FJT483" s="308"/>
      <c r="FJU483" s="308"/>
      <c r="FJV483" s="308"/>
      <c r="FJW483" s="308"/>
      <c r="FJX483" s="308"/>
      <c r="FJY483" s="308"/>
      <c r="FJZ483" s="308"/>
      <c r="FKA483" s="308"/>
      <c r="FKB483" s="308"/>
      <c r="FKC483" s="308"/>
      <c r="FKD483" s="308"/>
      <c r="FKE483" s="308"/>
      <c r="FKF483" s="308"/>
      <c r="FKG483" s="308"/>
      <c r="FKH483" s="308"/>
      <c r="FKI483" s="308"/>
      <c r="FKJ483" s="308"/>
      <c r="FKK483" s="308"/>
      <c r="FKL483" s="308"/>
      <c r="FKM483" s="308"/>
      <c r="FKN483" s="308"/>
      <c r="FKO483" s="308"/>
      <c r="FKP483" s="308"/>
      <c r="FKQ483" s="308"/>
      <c r="FKR483" s="308"/>
      <c r="FKS483" s="308"/>
      <c r="FKT483" s="308"/>
      <c r="FKU483" s="308"/>
      <c r="FKV483" s="308"/>
      <c r="FKW483" s="308"/>
      <c r="FKX483" s="308"/>
      <c r="FKY483" s="308"/>
      <c r="FKZ483" s="308"/>
      <c r="FLA483" s="308"/>
      <c r="FLB483" s="308"/>
      <c r="FLC483" s="308"/>
      <c r="FLD483" s="308"/>
      <c r="FLE483" s="308"/>
      <c r="FLF483" s="308"/>
      <c r="FLG483" s="308"/>
      <c r="FLH483" s="308"/>
      <c r="FLI483" s="308"/>
      <c r="FLJ483" s="308"/>
      <c r="FLK483" s="308"/>
      <c r="FLL483" s="308"/>
      <c r="FLM483" s="308"/>
      <c r="FLN483" s="308"/>
      <c r="FLO483" s="308"/>
      <c r="FLP483" s="308"/>
      <c r="FLQ483" s="308"/>
      <c r="FLR483" s="308"/>
      <c r="FLS483" s="308"/>
      <c r="FLT483" s="308"/>
      <c r="FLU483" s="308"/>
      <c r="FLV483" s="308"/>
      <c r="FLW483" s="308"/>
      <c r="FLX483" s="308"/>
      <c r="FLY483" s="308"/>
      <c r="FLZ483" s="308"/>
      <c r="FMA483" s="308"/>
      <c r="FMB483" s="308"/>
      <c r="FMC483" s="308"/>
      <c r="FMD483" s="308"/>
      <c r="FME483" s="308"/>
      <c r="FMF483" s="308"/>
      <c r="FMG483" s="308"/>
      <c r="FMH483" s="308"/>
      <c r="FMI483" s="308"/>
      <c r="FMJ483" s="308"/>
      <c r="FMK483" s="308"/>
      <c r="FML483" s="308"/>
      <c r="FMM483" s="308"/>
      <c r="FMN483" s="308"/>
      <c r="FMO483" s="308"/>
      <c r="FMP483" s="308"/>
      <c r="FMQ483" s="308"/>
      <c r="FMR483" s="308"/>
      <c r="FMS483" s="308"/>
      <c r="FMT483" s="308"/>
      <c r="FMU483" s="308"/>
      <c r="FMV483" s="308"/>
      <c r="FMW483" s="308"/>
      <c r="FMX483" s="308"/>
      <c r="FMY483" s="308"/>
      <c r="FMZ483" s="308"/>
      <c r="FNA483" s="308"/>
      <c r="FNB483" s="308"/>
      <c r="FNC483" s="308"/>
      <c r="FND483" s="308"/>
      <c r="FNE483" s="308"/>
      <c r="FNF483" s="308"/>
      <c r="FNG483" s="308"/>
      <c r="FNH483" s="308"/>
      <c r="FNI483" s="308"/>
      <c r="FNJ483" s="308"/>
      <c r="FNK483" s="308"/>
      <c r="FNL483" s="308"/>
      <c r="FNM483" s="308"/>
      <c r="FNN483" s="308"/>
      <c r="FNO483" s="308"/>
      <c r="FNP483" s="308"/>
      <c r="FNQ483" s="308"/>
      <c r="FNR483" s="308"/>
      <c r="FNS483" s="308"/>
      <c r="FNT483" s="308"/>
      <c r="FNU483" s="308"/>
      <c r="FNV483" s="308"/>
      <c r="FNW483" s="308"/>
      <c r="FNX483" s="308"/>
      <c r="FNY483" s="308"/>
      <c r="FNZ483" s="308"/>
      <c r="FOA483" s="308"/>
      <c r="FOB483" s="308"/>
      <c r="FOC483" s="308"/>
      <c r="FOD483" s="308"/>
      <c r="FOE483" s="308"/>
      <c r="FOF483" s="308"/>
      <c r="FOG483" s="308"/>
      <c r="FOH483" s="308"/>
      <c r="FOI483" s="308"/>
      <c r="FOJ483" s="308"/>
      <c r="FOK483" s="308"/>
      <c r="FOL483" s="308"/>
      <c r="FOM483" s="308"/>
      <c r="FON483" s="308"/>
      <c r="FOO483" s="308"/>
      <c r="FOP483" s="308"/>
      <c r="FOQ483" s="308"/>
      <c r="FOR483" s="308"/>
      <c r="FOS483" s="308"/>
      <c r="FOT483" s="308"/>
      <c r="FOU483" s="308"/>
      <c r="FOV483" s="308"/>
      <c r="FOW483" s="308"/>
      <c r="FOX483" s="308"/>
      <c r="FOY483" s="308"/>
      <c r="FOZ483" s="308"/>
      <c r="FPA483" s="308"/>
      <c r="FPB483" s="308"/>
      <c r="FPC483" s="308"/>
      <c r="FPD483" s="308"/>
      <c r="FPE483" s="308"/>
      <c r="FPF483" s="308"/>
      <c r="FPG483" s="308"/>
      <c r="FPH483" s="308"/>
      <c r="FPI483" s="308"/>
      <c r="FPJ483" s="308"/>
      <c r="FPK483" s="308"/>
      <c r="FPL483" s="308"/>
      <c r="FPM483" s="308"/>
      <c r="FPN483" s="308"/>
      <c r="FPO483" s="308"/>
      <c r="FPP483" s="308"/>
      <c r="FPQ483" s="308"/>
      <c r="FPR483" s="308"/>
      <c r="FPS483" s="308"/>
      <c r="FPT483" s="308"/>
      <c r="FPU483" s="308"/>
      <c r="FPV483" s="308"/>
      <c r="FPW483" s="308"/>
      <c r="FPX483" s="308"/>
      <c r="FPY483" s="308"/>
      <c r="FPZ483" s="308"/>
      <c r="FQA483" s="308"/>
      <c r="FQB483" s="308"/>
      <c r="FQC483" s="308"/>
      <c r="FQD483" s="308"/>
      <c r="FQE483" s="308"/>
      <c r="FQF483" s="308"/>
      <c r="FQG483" s="308"/>
      <c r="FQH483" s="308"/>
      <c r="FQI483" s="308"/>
      <c r="FQJ483" s="308"/>
      <c r="FQK483" s="308"/>
      <c r="FQL483" s="308"/>
      <c r="FQM483" s="308"/>
      <c r="FQN483" s="308"/>
      <c r="FQO483" s="308"/>
      <c r="FQP483" s="308"/>
      <c r="FQQ483" s="308"/>
      <c r="FQR483" s="308"/>
      <c r="FQS483" s="308"/>
      <c r="FQT483" s="308"/>
      <c r="FQU483" s="308"/>
      <c r="FQV483" s="308"/>
      <c r="FQW483" s="308"/>
      <c r="FQX483" s="308"/>
      <c r="FQY483" s="308"/>
      <c r="FQZ483" s="308"/>
      <c r="FRA483" s="308"/>
      <c r="FRB483" s="308"/>
      <c r="FRC483" s="308"/>
      <c r="FRD483" s="308"/>
      <c r="FRE483" s="308"/>
      <c r="FRF483" s="308"/>
      <c r="FRG483" s="308"/>
      <c r="FRH483" s="308"/>
      <c r="FRI483" s="308"/>
      <c r="FRJ483" s="308"/>
      <c r="FRK483" s="308"/>
      <c r="FRL483" s="308"/>
      <c r="FRM483" s="308"/>
      <c r="FRN483" s="308"/>
      <c r="FRO483" s="308"/>
      <c r="FRP483" s="308"/>
      <c r="FRQ483" s="308"/>
      <c r="FRR483" s="308"/>
      <c r="FRS483" s="308"/>
      <c r="FRT483" s="308"/>
      <c r="FRU483" s="308"/>
      <c r="FRV483" s="308"/>
      <c r="FRW483" s="308"/>
      <c r="FRX483" s="308"/>
      <c r="FRY483" s="308"/>
      <c r="FRZ483" s="308"/>
      <c r="FSA483" s="308"/>
      <c r="FSB483" s="308"/>
      <c r="FSC483" s="308"/>
      <c r="FSD483" s="308"/>
      <c r="FSE483" s="308"/>
      <c r="FSF483" s="308"/>
      <c r="FSG483" s="308"/>
      <c r="FSH483" s="308"/>
      <c r="FSI483" s="308"/>
      <c r="FSJ483" s="308"/>
      <c r="FSK483" s="308"/>
      <c r="FSL483" s="308"/>
      <c r="FSM483" s="308"/>
      <c r="FSN483" s="308"/>
      <c r="FSO483" s="308"/>
      <c r="FSP483" s="308"/>
      <c r="FSQ483" s="308"/>
      <c r="FSR483" s="308"/>
      <c r="FSS483" s="308"/>
      <c r="FST483" s="308"/>
      <c r="FSU483" s="308"/>
      <c r="FSV483" s="308"/>
      <c r="FSW483" s="308"/>
      <c r="FSX483" s="308"/>
      <c r="FSY483" s="308"/>
      <c r="FSZ483" s="308"/>
      <c r="FTA483" s="308"/>
      <c r="FTB483" s="308"/>
      <c r="FTC483" s="308"/>
      <c r="FTD483" s="308"/>
      <c r="FTE483" s="308"/>
      <c r="FTF483" s="308"/>
      <c r="FTG483" s="308"/>
      <c r="FTH483" s="308"/>
      <c r="FTI483" s="308"/>
      <c r="FTJ483" s="308"/>
      <c r="FTK483" s="308"/>
      <c r="FTL483" s="308"/>
      <c r="FTM483" s="308"/>
      <c r="FTN483" s="308"/>
      <c r="FTO483" s="308"/>
      <c r="FTP483" s="308"/>
      <c r="FTQ483" s="308"/>
      <c r="FTR483" s="308"/>
      <c r="FTS483" s="308"/>
      <c r="FTT483" s="308"/>
      <c r="FTU483" s="308"/>
      <c r="FTV483" s="308"/>
      <c r="FTW483" s="308"/>
      <c r="FTX483" s="308"/>
      <c r="FTY483" s="308"/>
      <c r="FTZ483" s="308"/>
      <c r="FUA483" s="308"/>
      <c r="FUB483" s="308"/>
      <c r="FUC483" s="308"/>
      <c r="FUD483" s="308"/>
      <c r="FUE483" s="308"/>
      <c r="FUF483" s="308"/>
      <c r="FUG483" s="308"/>
      <c r="FUH483" s="308"/>
      <c r="FUI483" s="308"/>
      <c r="FUJ483" s="308"/>
      <c r="FUK483" s="308"/>
      <c r="FUL483" s="308"/>
      <c r="FUM483" s="308"/>
      <c r="FUN483" s="308"/>
      <c r="FUO483" s="308"/>
      <c r="FUP483" s="308"/>
      <c r="FUQ483" s="308"/>
      <c r="FUR483" s="308"/>
      <c r="FUS483" s="308"/>
      <c r="FUT483" s="308"/>
      <c r="FUU483" s="308"/>
      <c r="FUV483" s="308"/>
      <c r="FUW483" s="308"/>
      <c r="FUX483" s="308"/>
      <c r="FUY483" s="308"/>
      <c r="FUZ483" s="308"/>
      <c r="FVA483" s="308"/>
      <c r="FVB483" s="308"/>
      <c r="FVC483" s="308"/>
      <c r="FVD483" s="308"/>
      <c r="FVE483" s="308"/>
      <c r="FVF483" s="308"/>
      <c r="FVG483" s="308"/>
      <c r="FVH483" s="308"/>
      <c r="FVI483" s="308"/>
      <c r="FVJ483" s="308"/>
      <c r="FVK483" s="308"/>
      <c r="FVL483" s="308"/>
      <c r="FVM483" s="308"/>
      <c r="FVN483" s="308"/>
      <c r="FVO483" s="308"/>
      <c r="FVP483" s="308"/>
      <c r="FVQ483" s="308"/>
      <c r="FVR483" s="308"/>
      <c r="FVS483" s="308"/>
      <c r="FVT483" s="308"/>
      <c r="FVU483" s="308"/>
      <c r="FVV483" s="308"/>
      <c r="FVW483" s="308"/>
      <c r="FVX483" s="308"/>
      <c r="FVY483" s="308"/>
      <c r="FVZ483" s="308"/>
      <c r="FWA483" s="308"/>
      <c r="FWB483" s="308"/>
      <c r="FWC483" s="308"/>
      <c r="FWD483" s="308"/>
      <c r="FWE483" s="308"/>
      <c r="FWF483" s="308"/>
      <c r="FWG483" s="308"/>
      <c r="FWH483" s="308"/>
      <c r="FWI483" s="308"/>
      <c r="FWJ483" s="308"/>
      <c r="FWK483" s="308"/>
      <c r="FWL483" s="308"/>
      <c r="FWM483" s="308"/>
      <c r="FWN483" s="308"/>
      <c r="FWO483" s="308"/>
      <c r="FWP483" s="308"/>
      <c r="FWQ483" s="308"/>
      <c r="FWR483" s="308"/>
      <c r="FWS483" s="308"/>
      <c r="FWT483" s="308"/>
      <c r="FWU483" s="308"/>
      <c r="FWV483" s="308"/>
      <c r="FWW483" s="308"/>
      <c r="FWX483" s="308"/>
      <c r="FWY483" s="308"/>
      <c r="FWZ483" s="308"/>
      <c r="FXA483" s="308"/>
      <c r="FXB483" s="308"/>
      <c r="FXC483" s="308"/>
      <c r="FXD483" s="308"/>
      <c r="FXE483" s="308"/>
      <c r="FXF483" s="308"/>
      <c r="FXG483" s="308"/>
      <c r="FXH483" s="308"/>
      <c r="FXI483" s="308"/>
      <c r="FXJ483" s="308"/>
      <c r="FXK483" s="308"/>
      <c r="FXL483" s="308"/>
      <c r="FXM483" s="308"/>
      <c r="FXN483" s="308"/>
      <c r="FXO483" s="308"/>
      <c r="FXP483" s="308"/>
      <c r="FXQ483" s="308"/>
      <c r="FXR483" s="308"/>
      <c r="FXS483" s="308"/>
      <c r="FXT483" s="308"/>
      <c r="FXU483" s="308"/>
      <c r="FXV483" s="308"/>
      <c r="FXW483" s="308"/>
      <c r="FXX483" s="308"/>
      <c r="FXY483" s="308"/>
      <c r="FXZ483" s="308"/>
      <c r="FYA483" s="308"/>
      <c r="FYB483" s="308"/>
      <c r="FYC483" s="308"/>
      <c r="FYD483" s="308"/>
      <c r="FYE483" s="308"/>
      <c r="FYF483" s="308"/>
      <c r="FYG483" s="308"/>
      <c r="FYH483" s="308"/>
      <c r="FYI483" s="308"/>
      <c r="FYJ483" s="308"/>
      <c r="FYK483" s="308"/>
      <c r="FYL483" s="308"/>
      <c r="FYM483" s="308"/>
      <c r="FYN483" s="308"/>
      <c r="FYO483" s="308"/>
      <c r="FYP483" s="308"/>
      <c r="FYQ483" s="308"/>
      <c r="FYR483" s="308"/>
      <c r="FYS483" s="308"/>
      <c r="FYT483" s="308"/>
      <c r="FYU483" s="308"/>
      <c r="FYV483" s="308"/>
      <c r="FYW483" s="308"/>
      <c r="FYX483" s="308"/>
      <c r="FYY483" s="308"/>
      <c r="FYZ483" s="308"/>
      <c r="FZA483" s="308"/>
      <c r="FZB483" s="308"/>
      <c r="FZC483" s="308"/>
      <c r="FZD483" s="308"/>
      <c r="FZE483" s="308"/>
      <c r="FZF483" s="308"/>
      <c r="FZG483" s="308"/>
      <c r="FZH483" s="308"/>
      <c r="FZI483" s="308"/>
      <c r="FZJ483" s="308"/>
      <c r="FZK483" s="308"/>
      <c r="FZL483" s="308"/>
      <c r="FZM483" s="308"/>
      <c r="FZN483" s="308"/>
      <c r="FZO483" s="308"/>
      <c r="FZP483" s="308"/>
      <c r="FZQ483" s="308"/>
      <c r="FZR483" s="308"/>
      <c r="FZS483" s="308"/>
      <c r="FZT483" s="308"/>
      <c r="FZU483" s="308"/>
      <c r="FZV483" s="308"/>
      <c r="FZW483" s="308"/>
      <c r="FZX483" s="308"/>
      <c r="FZY483" s="308"/>
      <c r="FZZ483" s="308"/>
      <c r="GAA483" s="308"/>
      <c r="GAB483" s="308"/>
      <c r="GAC483" s="308"/>
      <c r="GAD483" s="308"/>
      <c r="GAE483" s="308"/>
      <c r="GAF483" s="308"/>
      <c r="GAG483" s="308"/>
      <c r="GAH483" s="308"/>
      <c r="GAI483" s="308"/>
      <c r="GAJ483" s="308"/>
      <c r="GAK483" s="308"/>
      <c r="GAL483" s="308"/>
      <c r="GAM483" s="308"/>
      <c r="GAN483" s="308"/>
      <c r="GAO483" s="308"/>
      <c r="GAP483" s="308"/>
      <c r="GAQ483" s="308"/>
      <c r="GAR483" s="308"/>
      <c r="GAS483" s="308"/>
      <c r="GAT483" s="308"/>
      <c r="GAU483" s="308"/>
      <c r="GAV483" s="308"/>
      <c r="GAW483" s="308"/>
      <c r="GAX483" s="308"/>
      <c r="GAY483" s="308"/>
      <c r="GAZ483" s="308"/>
      <c r="GBA483" s="308"/>
      <c r="GBB483" s="308"/>
      <c r="GBC483" s="308"/>
      <c r="GBD483" s="308"/>
      <c r="GBE483" s="308"/>
      <c r="GBF483" s="308"/>
      <c r="GBG483" s="308"/>
      <c r="GBH483" s="308"/>
      <c r="GBI483" s="308"/>
      <c r="GBJ483" s="308"/>
      <c r="GBK483" s="308"/>
      <c r="GBL483" s="308"/>
      <c r="GBM483" s="308"/>
      <c r="GBN483" s="308"/>
      <c r="GBO483" s="308"/>
      <c r="GBP483" s="308"/>
      <c r="GBQ483" s="308"/>
      <c r="GBR483" s="308"/>
      <c r="GBS483" s="308"/>
      <c r="GBT483" s="308"/>
      <c r="GBU483" s="308"/>
      <c r="GBV483" s="308"/>
      <c r="GBW483" s="308"/>
      <c r="GBX483" s="308"/>
      <c r="GBY483" s="308"/>
      <c r="GBZ483" s="308"/>
      <c r="GCA483" s="308"/>
      <c r="GCB483" s="308"/>
      <c r="GCC483" s="308"/>
      <c r="GCD483" s="308"/>
      <c r="GCE483" s="308"/>
      <c r="GCF483" s="308"/>
      <c r="GCG483" s="308"/>
      <c r="GCH483" s="308"/>
      <c r="GCI483" s="308"/>
      <c r="GCJ483" s="308"/>
      <c r="GCK483" s="308"/>
      <c r="GCL483" s="308"/>
      <c r="GCM483" s="308"/>
      <c r="GCN483" s="308"/>
      <c r="GCO483" s="308"/>
      <c r="GCP483" s="308"/>
      <c r="GCQ483" s="308"/>
      <c r="GCR483" s="308"/>
      <c r="GCS483" s="308"/>
      <c r="GCT483" s="308"/>
      <c r="GCU483" s="308"/>
      <c r="GCV483" s="308"/>
      <c r="GCW483" s="308"/>
      <c r="GCX483" s="308"/>
      <c r="GCY483" s="308"/>
      <c r="GCZ483" s="308"/>
      <c r="GDA483" s="308"/>
      <c r="GDB483" s="308"/>
      <c r="GDC483" s="308"/>
      <c r="GDD483" s="308"/>
      <c r="GDE483" s="308"/>
      <c r="GDF483" s="308"/>
      <c r="GDG483" s="308"/>
      <c r="GDH483" s="308"/>
      <c r="GDI483" s="308"/>
      <c r="GDJ483" s="308"/>
      <c r="GDK483" s="308"/>
      <c r="GDL483" s="308"/>
      <c r="GDM483" s="308"/>
      <c r="GDN483" s="308"/>
      <c r="GDO483" s="308"/>
      <c r="GDP483" s="308"/>
      <c r="GDQ483" s="308"/>
      <c r="GDR483" s="308"/>
      <c r="GDS483" s="308"/>
      <c r="GDT483" s="308"/>
      <c r="GDU483" s="308"/>
      <c r="GDV483" s="308"/>
      <c r="GDW483" s="308"/>
      <c r="GDX483" s="308"/>
      <c r="GDY483" s="308"/>
      <c r="GDZ483" s="308"/>
      <c r="GEA483" s="308"/>
      <c r="GEB483" s="308"/>
      <c r="GEC483" s="308"/>
      <c r="GED483" s="308"/>
      <c r="GEE483" s="308"/>
      <c r="GEF483" s="308"/>
      <c r="GEG483" s="308"/>
      <c r="GEH483" s="308"/>
      <c r="GEI483" s="308"/>
      <c r="GEJ483" s="308"/>
      <c r="GEK483" s="308"/>
      <c r="GEL483" s="308"/>
      <c r="GEM483" s="308"/>
      <c r="GEN483" s="308"/>
      <c r="GEO483" s="308"/>
      <c r="GEP483" s="308"/>
      <c r="GEQ483" s="308"/>
      <c r="GER483" s="308"/>
      <c r="GES483" s="308"/>
      <c r="GET483" s="308"/>
      <c r="GEU483" s="308"/>
      <c r="GEV483" s="308"/>
      <c r="GEW483" s="308"/>
      <c r="GEX483" s="308"/>
      <c r="GEY483" s="308"/>
      <c r="GEZ483" s="308"/>
      <c r="GFA483" s="308"/>
      <c r="GFB483" s="308"/>
      <c r="GFC483" s="308"/>
      <c r="GFD483" s="308"/>
      <c r="GFE483" s="308"/>
      <c r="GFF483" s="308"/>
      <c r="GFG483" s="308"/>
      <c r="GFH483" s="308"/>
      <c r="GFI483" s="308"/>
      <c r="GFJ483" s="308"/>
      <c r="GFK483" s="308"/>
      <c r="GFL483" s="308"/>
      <c r="GFM483" s="308"/>
      <c r="GFN483" s="308"/>
      <c r="GFO483" s="308"/>
      <c r="GFP483" s="308"/>
      <c r="GFQ483" s="308"/>
      <c r="GFR483" s="308"/>
      <c r="GFS483" s="308"/>
      <c r="GFT483" s="308"/>
      <c r="GFU483" s="308"/>
      <c r="GFV483" s="308"/>
      <c r="GFW483" s="308"/>
      <c r="GFX483" s="308"/>
      <c r="GFY483" s="308"/>
      <c r="GFZ483" s="308"/>
      <c r="GGA483" s="308"/>
      <c r="GGB483" s="308"/>
      <c r="GGC483" s="308"/>
      <c r="GGD483" s="308"/>
      <c r="GGE483" s="308"/>
      <c r="GGF483" s="308"/>
      <c r="GGG483" s="308"/>
      <c r="GGH483" s="308"/>
      <c r="GGI483" s="308"/>
      <c r="GGJ483" s="308"/>
      <c r="GGK483" s="308"/>
      <c r="GGL483" s="308"/>
      <c r="GGM483" s="308"/>
      <c r="GGN483" s="308"/>
      <c r="GGO483" s="308"/>
      <c r="GGP483" s="308"/>
      <c r="GGQ483" s="308"/>
      <c r="GGR483" s="308"/>
      <c r="GGS483" s="308"/>
      <c r="GGT483" s="308"/>
      <c r="GGU483" s="308"/>
      <c r="GGV483" s="308"/>
      <c r="GGW483" s="308"/>
      <c r="GGX483" s="308"/>
      <c r="GGY483" s="308"/>
      <c r="GGZ483" s="308"/>
      <c r="GHA483" s="308"/>
      <c r="GHB483" s="308"/>
      <c r="GHC483" s="308"/>
      <c r="GHD483" s="308"/>
      <c r="GHE483" s="308"/>
      <c r="GHF483" s="308"/>
      <c r="GHG483" s="308"/>
      <c r="GHH483" s="308"/>
      <c r="GHI483" s="308"/>
      <c r="GHJ483" s="308"/>
      <c r="GHK483" s="308"/>
      <c r="GHL483" s="308"/>
      <c r="GHM483" s="308"/>
      <c r="GHN483" s="308"/>
      <c r="GHO483" s="308"/>
      <c r="GHP483" s="308"/>
      <c r="GHQ483" s="308"/>
      <c r="GHR483" s="308"/>
      <c r="GHS483" s="308"/>
      <c r="GHT483" s="308"/>
      <c r="GHU483" s="308"/>
      <c r="GHV483" s="308"/>
      <c r="GHW483" s="308"/>
      <c r="GHX483" s="308"/>
      <c r="GHY483" s="308"/>
      <c r="GHZ483" s="308"/>
      <c r="GIA483" s="308"/>
      <c r="GIB483" s="308"/>
      <c r="GIC483" s="308"/>
      <c r="GID483" s="308"/>
      <c r="GIE483" s="308"/>
      <c r="GIF483" s="308"/>
      <c r="GIG483" s="308"/>
      <c r="GIH483" s="308"/>
      <c r="GII483" s="308"/>
      <c r="GIJ483" s="308"/>
      <c r="GIK483" s="308"/>
      <c r="GIL483" s="308"/>
      <c r="GIM483" s="308"/>
      <c r="GIN483" s="308"/>
      <c r="GIO483" s="308"/>
      <c r="GIP483" s="308"/>
      <c r="GIQ483" s="308"/>
      <c r="GIR483" s="308"/>
      <c r="GIS483" s="308"/>
      <c r="GIT483" s="308"/>
      <c r="GIU483" s="308"/>
      <c r="GIV483" s="308"/>
      <c r="GIW483" s="308"/>
      <c r="GIX483" s="308"/>
      <c r="GIY483" s="308"/>
      <c r="GIZ483" s="308"/>
      <c r="GJA483" s="308"/>
      <c r="GJB483" s="308"/>
      <c r="GJC483" s="308"/>
      <c r="GJD483" s="308"/>
      <c r="GJE483" s="308"/>
      <c r="GJF483" s="308"/>
      <c r="GJG483" s="308"/>
      <c r="GJH483" s="308"/>
      <c r="GJI483" s="308"/>
      <c r="GJJ483" s="308"/>
      <c r="GJK483" s="308"/>
      <c r="GJL483" s="308"/>
      <c r="GJM483" s="308"/>
      <c r="GJN483" s="308"/>
      <c r="GJO483" s="308"/>
      <c r="GJP483" s="308"/>
      <c r="GJQ483" s="308"/>
      <c r="GJR483" s="308"/>
      <c r="GJS483" s="308"/>
      <c r="GJT483" s="308"/>
      <c r="GJU483" s="308"/>
      <c r="GJV483" s="308"/>
      <c r="GJW483" s="308"/>
      <c r="GJX483" s="308"/>
      <c r="GJY483" s="308"/>
      <c r="GJZ483" s="308"/>
      <c r="GKA483" s="308"/>
      <c r="GKB483" s="308"/>
      <c r="GKC483" s="308"/>
      <c r="GKD483" s="308"/>
      <c r="GKE483" s="308"/>
      <c r="GKF483" s="308"/>
      <c r="GKG483" s="308"/>
      <c r="GKH483" s="308"/>
      <c r="GKI483" s="308"/>
      <c r="GKJ483" s="308"/>
      <c r="GKK483" s="308"/>
      <c r="GKL483" s="308"/>
      <c r="GKM483" s="308"/>
      <c r="GKN483" s="308"/>
      <c r="GKO483" s="308"/>
      <c r="GKP483" s="308"/>
      <c r="GKQ483" s="308"/>
      <c r="GKR483" s="308"/>
      <c r="GKS483" s="308"/>
      <c r="GKT483" s="308"/>
      <c r="GKU483" s="308"/>
      <c r="GKV483" s="308"/>
      <c r="GKW483" s="308"/>
      <c r="GKX483" s="308"/>
      <c r="GKY483" s="308"/>
      <c r="GKZ483" s="308"/>
      <c r="GLA483" s="308"/>
      <c r="GLB483" s="308"/>
      <c r="GLC483" s="308"/>
      <c r="GLD483" s="308"/>
      <c r="GLE483" s="308"/>
      <c r="GLF483" s="308"/>
      <c r="GLG483" s="308"/>
      <c r="GLH483" s="308"/>
      <c r="GLI483" s="308"/>
      <c r="GLJ483" s="308"/>
      <c r="GLK483" s="308"/>
      <c r="GLL483" s="308"/>
      <c r="GLM483" s="308"/>
      <c r="GLN483" s="308"/>
      <c r="GLO483" s="308"/>
      <c r="GLP483" s="308"/>
      <c r="GLQ483" s="308"/>
      <c r="GLR483" s="308"/>
      <c r="GLS483" s="308"/>
      <c r="GLT483" s="308"/>
      <c r="GLU483" s="308"/>
      <c r="GLV483" s="308"/>
      <c r="GLW483" s="308"/>
      <c r="GLX483" s="308"/>
      <c r="GLY483" s="308"/>
      <c r="GLZ483" s="308"/>
      <c r="GMA483" s="308"/>
      <c r="GMB483" s="308"/>
      <c r="GMC483" s="308"/>
      <c r="GMD483" s="308"/>
      <c r="GME483" s="308"/>
      <c r="GMF483" s="308"/>
      <c r="GMG483" s="308"/>
      <c r="GMH483" s="308"/>
      <c r="GMI483" s="308"/>
      <c r="GMJ483" s="308"/>
      <c r="GMK483" s="308"/>
      <c r="GML483" s="308"/>
      <c r="GMM483" s="308"/>
      <c r="GMN483" s="308"/>
      <c r="GMO483" s="308"/>
      <c r="GMP483" s="308"/>
      <c r="GMQ483" s="308"/>
      <c r="GMR483" s="308"/>
      <c r="GMS483" s="308"/>
      <c r="GMT483" s="308"/>
      <c r="GMU483" s="308"/>
      <c r="GMV483" s="308"/>
      <c r="GMW483" s="308"/>
      <c r="GMX483" s="308"/>
      <c r="GMY483" s="308"/>
      <c r="GMZ483" s="308"/>
      <c r="GNA483" s="308"/>
      <c r="GNB483" s="308"/>
      <c r="GNC483" s="308"/>
      <c r="GND483" s="308"/>
      <c r="GNE483" s="308"/>
      <c r="GNF483" s="308"/>
      <c r="GNG483" s="308"/>
      <c r="GNH483" s="308"/>
      <c r="GNI483" s="308"/>
      <c r="GNJ483" s="308"/>
      <c r="GNK483" s="308"/>
      <c r="GNL483" s="308"/>
      <c r="GNM483" s="308"/>
      <c r="GNN483" s="308"/>
      <c r="GNO483" s="308"/>
      <c r="GNP483" s="308"/>
      <c r="GNQ483" s="308"/>
      <c r="GNR483" s="308"/>
      <c r="GNS483" s="308"/>
      <c r="GNT483" s="308"/>
      <c r="GNU483" s="308"/>
      <c r="GNV483" s="308"/>
      <c r="GNW483" s="308"/>
      <c r="GNX483" s="308"/>
      <c r="GNY483" s="308"/>
      <c r="GNZ483" s="308"/>
      <c r="GOA483" s="308"/>
      <c r="GOB483" s="308"/>
      <c r="GOC483" s="308"/>
      <c r="GOD483" s="308"/>
      <c r="GOE483" s="308"/>
      <c r="GOF483" s="308"/>
      <c r="GOG483" s="308"/>
      <c r="GOH483" s="308"/>
      <c r="GOI483" s="308"/>
      <c r="GOJ483" s="308"/>
      <c r="GOK483" s="308"/>
      <c r="GOL483" s="308"/>
      <c r="GOM483" s="308"/>
      <c r="GON483" s="308"/>
      <c r="GOO483" s="308"/>
      <c r="GOP483" s="308"/>
      <c r="GOQ483" s="308"/>
      <c r="GOR483" s="308"/>
      <c r="GOS483" s="308"/>
      <c r="GOT483" s="308"/>
      <c r="GOU483" s="308"/>
      <c r="GOV483" s="308"/>
      <c r="GOW483" s="308"/>
      <c r="GOX483" s="308"/>
      <c r="GOY483" s="308"/>
      <c r="GOZ483" s="308"/>
      <c r="GPA483" s="308"/>
      <c r="GPB483" s="308"/>
      <c r="GPC483" s="308"/>
      <c r="GPD483" s="308"/>
      <c r="GPE483" s="308"/>
      <c r="GPF483" s="308"/>
      <c r="GPG483" s="308"/>
      <c r="GPH483" s="308"/>
      <c r="GPI483" s="308"/>
      <c r="GPJ483" s="308"/>
      <c r="GPK483" s="308"/>
      <c r="GPL483" s="308"/>
      <c r="GPM483" s="308"/>
      <c r="GPN483" s="308"/>
      <c r="GPO483" s="308"/>
      <c r="GPP483" s="308"/>
      <c r="GPQ483" s="308"/>
      <c r="GPR483" s="308"/>
      <c r="GPS483" s="308"/>
      <c r="GPT483" s="308"/>
      <c r="GPU483" s="308"/>
      <c r="GPV483" s="308"/>
      <c r="GPW483" s="308"/>
      <c r="GPX483" s="308"/>
      <c r="GPY483" s="308"/>
      <c r="GPZ483" s="308"/>
      <c r="GQA483" s="308"/>
      <c r="GQB483" s="308"/>
      <c r="GQC483" s="308"/>
      <c r="GQD483" s="308"/>
      <c r="GQE483" s="308"/>
      <c r="GQF483" s="308"/>
      <c r="GQG483" s="308"/>
      <c r="GQH483" s="308"/>
      <c r="GQI483" s="308"/>
      <c r="GQJ483" s="308"/>
      <c r="GQK483" s="308"/>
      <c r="GQL483" s="308"/>
      <c r="GQM483" s="308"/>
      <c r="GQN483" s="308"/>
      <c r="GQO483" s="308"/>
      <c r="GQP483" s="308"/>
      <c r="GQQ483" s="308"/>
      <c r="GQR483" s="308"/>
      <c r="GQS483" s="308"/>
      <c r="GQT483" s="308"/>
      <c r="GQU483" s="308"/>
      <c r="GQV483" s="308"/>
      <c r="GQW483" s="308"/>
      <c r="GQX483" s="308"/>
      <c r="GQY483" s="308"/>
      <c r="GQZ483" s="308"/>
      <c r="GRA483" s="308"/>
      <c r="GRB483" s="308"/>
      <c r="GRC483" s="308"/>
      <c r="GRD483" s="308"/>
      <c r="GRE483" s="308"/>
      <c r="GRF483" s="308"/>
      <c r="GRG483" s="308"/>
      <c r="GRH483" s="308"/>
      <c r="GRI483" s="308"/>
      <c r="GRJ483" s="308"/>
      <c r="GRK483" s="308"/>
      <c r="GRL483" s="308"/>
      <c r="GRM483" s="308"/>
      <c r="GRN483" s="308"/>
      <c r="GRO483" s="308"/>
      <c r="GRP483" s="308"/>
      <c r="GRQ483" s="308"/>
      <c r="GRR483" s="308"/>
      <c r="GRS483" s="308"/>
      <c r="GRT483" s="308"/>
      <c r="GRU483" s="308"/>
      <c r="GRV483" s="308"/>
      <c r="GRW483" s="308"/>
      <c r="GRX483" s="308"/>
      <c r="GRY483" s="308"/>
      <c r="GRZ483" s="308"/>
      <c r="GSA483" s="308"/>
      <c r="GSB483" s="308"/>
      <c r="GSC483" s="308"/>
      <c r="GSD483" s="308"/>
      <c r="GSE483" s="308"/>
      <c r="GSF483" s="308"/>
      <c r="GSG483" s="308"/>
      <c r="GSH483" s="308"/>
      <c r="GSI483" s="308"/>
      <c r="GSJ483" s="308"/>
      <c r="GSK483" s="308"/>
      <c r="GSL483" s="308"/>
      <c r="GSM483" s="308"/>
      <c r="GSN483" s="308"/>
      <c r="GSO483" s="308"/>
      <c r="GSP483" s="308"/>
      <c r="GSQ483" s="308"/>
      <c r="GSR483" s="308"/>
      <c r="GSS483" s="308"/>
      <c r="GST483" s="308"/>
      <c r="GSU483" s="308"/>
      <c r="GSV483" s="308"/>
      <c r="GSW483" s="308"/>
      <c r="GSX483" s="308"/>
      <c r="GSY483" s="308"/>
      <c r="GSZ483" s="308"/>
      <c r="GTA483" s="308"/>
      <c r="GTB483" s="308"/>
      <c r="GTC483" s="308"/>
      <c r="GTD483" s="308"/>
      <c r="GTE483" s="308"/>
      <c r="GTF483" s="308"/>
      <c r="GTG483" s="308"/>
      <c r="GTH483" s="308"/>
      <c r="GTI483" s="308"/>
      <c r="GTJ483" s="308"/>
      <c r="GTK483" s="308"/>
      <c r="GTL483" s="308"/>
      <c r="GTM483" s="308"/>
      <c r="GTN483" s="308"/>
      <c r="GTO483" s="308"/>
      <c r="GTP483" s="308"/>
      <c r="GTQ483" s="308"/>
      <c r="GTR483" s="308"/>
      <c r="GTS483" s="308"/>
      <c r="GTT483" s="308"/>
      <c r="GTU483" s="308"/>
      <c r="GTV483" s="308"/>
      <c r="GTW483" s="308"/>
      <c r="GTX483" s="308"/>
      <c r="GTY483" s="308"/>
      <c r="GTZ483" s="308"/>
      <c r="GUA483" s="308"/>
      <c r="GUB483" s="308"/>
      <c r="GUC483" s="308"/>
      <c r="GUD483" s="308"/>
      <c r="GUE483" s="308"/>
      <c r="GUF483" s="308"/>
      <c r="GUG483" s="308"/>
      <c r="GUH483" s="308"/>
      <c r="GUI483" s="308"/>
      <c r="GUJ483" s="308"/>
      <c r="GUK483" s="308"/>
      <c r="GUL483" s="308"/>
      <c r="GUM483" s="308"/>
      <c r="GUN483" s="308"/>
      <c r="GUO483" s="308"/>
      <c r="GUP483" s="308"/>
      <c r="GUQ483" s="308"/>
      <c r="GUR483" s="308"/>
      <c r="GUS483" s="308"/>
      <c r="GUT483" s="308"/>
      <c r="GUU483" s="308"/>
      <c r="GUV483" s="308"/>
      <c r="GUW483" s="308"/>
      <c r="GUX483" s="308"/>
      <c r="GUY483" s="308"/>
      <c r="GUZ483" s="308"/>
      <c r="GVA483" s="308"/>
      <c r="GVB483" s="308"/>
      <c r="GVC483" s="308"/>
      <c r="GVD483" s="308"/>
      <c r="GVE483" s="308"/>
      <c r="GVF483" s="308"/>
      <c r="GVG483" s="308"/>
      <c r="GVH483" s="308"/>
      <c r="GVI483" s="308"/>
      <c r="GVJ483" s="308"/>
      <c r="GVK483" s="308"/>
      <c r="GVL483" s="308"/>
      <c r="GVM483" s="308"/>
      <c r="GVN483" s="308"/>
      <c r="GVO483" s="308"/>
      <c r="GVP483" s="308"/>
      <c r="GVQ483" s="308"/>
      <c r="GVR483" s="308"/>
      <c r="GVS483" s="308"/>
      <c r="GVT483" s="308"/>
      <c r="GVU483" s="308"/>
      <c r="GVV483" s="308"/>
      <c r="GVW483" s="308"/>
      <c r="GVX483" s="308"/>
      <c r="GVY483" s="308"/>
      <c r="GVZ483" s="308"/>
      <c r="GWA483" s="308"/>
      <c r="GWB483" s="308"/>
      <c r="GWC483" s="308"/>
      <c r="GWD483" s="308"/>
      <c r="GWE483" s="308"/>
      <c r="GWF483" s="308"/>
      <c r="GWG483" s="308"/>
      <c r="GWH483" s="308"/>
      <c r="GWI483" s="308"/>
      <c r="GWJ483" s="308"/>
      <c r="GWK483" s="308"/>
      <c r="GWL483" s="308"/>
      <c r="GWM483" s="308"/>
      <c r="GWN483" s="308"/>
      <c r="GWO483" s="308"/>
      <c r="GWP483" s="308"/>
      <c r="GWQ483" s="308"/>
      <c r="GWR483" s="308"/>
      <c r="GWS483" s="308"/>
      <c r="GWT483" s="308"/>
      <c r="GWU483" s="308"/>
      <c r="GWV483" s="308"/>
      <c r="GWW483" s="308"/>
      <c r="GWX483" s="308"/>
      <c r="GWY483" s="308"/>
      <c r="GWZ483" s="308"/>
      <c r="GXA483" s="308"/>
      <c r="GXB483" s="308"/>
      <c r="GXC483" s="308"/>
      <c r="GXD483" s="308"/>
      <c r="GXE483" s="308"/>
      <c r="GXF483" s="308"/>
      <c r="GXG483" s="308"/>
      <c r="GXH483" s="308"/>
      <c r="GXI483" s="308"/>
      <c r="GXJ483" s="308"/>
      <c r="GXK483" s="308"/>
      <c r="GXL483" s="308"/>
      <c r="GXM483" s="308"/>
      <c r="GXN483" s="308"/>
      <c r="GXO483" s="308"/>
      <c r="GXP483" s="308"/>
      <c r="GXQ483" s="308"/>
      <c r="GXR483" s="308"/>
      <c r="GXS483" s="308"/>
      <c r="GXT483" s="308"/>
      <c r="GXU483" s="308"/>
      <c r="GXV483" s="308"/>
      <c r="GXW483" s="308"/>
      <c r="GXX483" s="308"/>
      <c r="GXY483" s="308"/>
      <c r="GXZ483" s="308"/>
      <c r="GYA483" s="308"/>
      <c r="GYB483" s="308"/>
      <c r="GYC483" s="308"/>
      <c r="GYD483" s="308"/>
      <c r="GYE483" s="308"/>
      <c r="GYF483" s="308"/>
      <c r="GYG483" s="308"/>
      <c r="GYH483" s="308"/>
      <c r="GYI483" s="308"/>
      <c r="GYJ483" s="308"/>
      <c r="GYK483" s="308"/>
      <c r="GYL483" s="308"/>
      <c r="GYM483" s="308"/>
      <c r="GYN483" s="308"/>
      <c r="GYO483" s="308"/>
      <c r="GYP483" s="308"/>
      <c r="GYQ483" s="308"/>
      <c r="GYR483" s="308"/>
      <c r="GYS483" s="308"/>
      <c r="GYT483" s="308"/>
      <c r="GYU483" s="308"/>
      <c r="GYV483" s="308"/>
      <c r="GYW483" s="308"/>
      <c r="GYX483" s="308"/>
      <c r="GYY483" s="308"/>
      <c r="GYZ483" s="308"/>
      <c r="GZA483" s="308"/>
      <c r="GZB483" s="308"/>
      <c r="GZC483" s="308"/>
      <c r="GZD483" s="308"/>
      <c r="GZE483" s="308"/>
      <c r="GZF483" s="308"/>
      <c r="GZG483" s="308"/>
      <c r="GZH483" s="308"/>
      <c r="GZI483" s="308"/>
      <c r="GZJ483" s="308"/>
      <c r="GZK483" s="308"/>
      <c r="GZL483" s="308"/>
      <c r="GZM483" s="308"/>
      <c r="GZN483" s="308"/>
      <c r="GZO483" s="308"/>
      <c r="GZP483" s="308"/>
      <c r="GZQ483" s="308"/>
      <c r="GZR483" s="308"/>
      <c r="GZS483" s="308"/>
      <c r="GZT483" s="308"/>
      <c r="GZU483" s="308"/>
      <c r="GZV483" s="308"/>
      <c r="GZW483" s="308"/>
      <c r="GZX483" s="308"/>
      <c r="GZY483" s="308"/>
      <c r="GZZ483" s="308"/>
      <c r="HAA483" s="308"/>
      <c r="HAB483" s="308"/>
      <c r="HAC483" s="308"/>
      <c r="HAD483" s="308"/>
      <c r="HAE483" s="308"/>
      <c r="HAF483" s="308"/>
      <c r="HAG483" s="308"/>
      <c r="HAH483" s="308"/>
      <c r="HAI483" s="308"/>
      <c r="HAJ483" s="308"/>
      <c r="HAK483" s="308"/>
      <c r="HAL483" s="308"/>
      <c r="HAM483" s="308"/>
      <c r="HAN483" s="308"/>
      <c r="HAO483" s="308"/>
      <c r="HAP483" s="308"/>
      <c r="HAQ483" s="308"/>
      <c r="HAR483" s="308"/>
      <c r="HAS483" s="308"/>
      <c r="HAT483" s="308"/>
      <c r="HAU483" s="308"/>
      <c r="HAV483" s="308"/>
      <c r="HAW483" s="308"/>
      <c r="HAX483" s="308"/>
      <c r="HAY483" s="308"/>
      <c r="HAZ483" s="308"/>
      <c r="HBA483" s="308"/>
      <c r="HBB483" s="308"/>
      <c r="HBC483" s="308"/>
      <c r="HBD483" s="308"/>
      <c r="HBE483" s="308"/>
      <c r="HBF483" s="308"/>
      <c r="HBG483" s="308"/>
      <c r="HBH483" s="308"/>
      <c r="HBI483" s="308"/>
      <c r="HBJ483" s="308"/>
      <c r="HBK483" s="308"/>
      <c r="HBL483" s="308"/>
      <c r="HBM483" s="308"/>
      <c r="HBN483" s="308"/>
      <c r="HBO483" s="308"/>
      <c r="HBP483" s="308"/>
      <c r="HBQ483" s="308"/>
      <c r="HBR483" s="308"/>
      <c r="HBS483" s="308"/>
      <c r="HBT483" s="308"/>
      <c r="HBU483" s="308"/>
      <c r="HBV483" s="308"/>
      <c r="HBW483" s="308"/>
      <c r="HBX483" s="308"/>
      <c r="HBY483" s="308"/>
      <c r="HBZ483" s="308"/>
      <c r="HCA483" s="308"/>
      <c r="HCB483" s="308"/>
      <c r="HCC483" s="308"/>
      <c r="HCD483" s="308"/>
      <c r="HCE483" s="308"/>
      <c r="HCF483" s="308"/>
      <c r="HCG483" s="308"/>
      <c r="HCH483" s="308"/>
      <c r="HCI483" s="308"/>
      <c r="HCJ483" s="308"/>
      <c r="HCK483" s="308"/>
      <c r="HCL483" s="308"/>
      <c r="HCM483" s="308"/>
      <c r="HCN483" s="308"/>
      <c r="HCO483" s="308"/>
      <c r="HCP483" s="308"/>
      <c r="HCQ483" s="308"/>
      <c r="HCR483" s="308"/>
      <c r="HCS483" s="308"/>
      <c r="HCT483" s="308"/>
      <c r="HCU483" s="308"/>
      <c r="HCV483" s="308"/>
      <c r="HCW483" s="308"/>
      <c r="HCX483" s="308"/>
      <c r="HCY483" s="308"/>
      <c r="HCZ483" s="308"/>
      <c r="HDA483" s="308"/>
      <c r="HDB483" s="308"/>
      <c r="HDC483" s="308"/>
      <c r="HDD483" s="308"/>
      <c r="HDE483" s="308"/>
      <c r="HDF483" s="308"/>
      <c r="HDG483" s="308"/>
      <c r="HDH483" s="308"/>
      <c r="HDI483" s="308"/>
      <c r="HDJ483" s="308"/>
      <c r="HDK483" s="308"/>
      <c r="HDL483" s="308"/>
      <c r="HDM483" s="308"/>
      <c r="HDN483" s="308"/>
      <c r="HDO483" s="308"/>
      <c r="HDP483" s="308"/>
      <c r="HDQ483" s="308"/>
      <c r="HDR483" s="308"/>
      <c r="HDS483" s="308"/>
      <c r="HDT483" s="308"/>
      <c r="HDU483" s="308"/>
      <c r="HDV483" s="308"/>
      <c r="HDW483" s="308"/>
      <c r="HDX483" s="308"/>
      <c r="HDY483" s="308"/>
      <c r="HDZ483" s="308"/>
      <c r="HEA483" s="308"/>
      <c r="HEB483" s="308"/>
      <c r="HEC483" s="308"/>
      <c r="HED483" s="308"/>
      <c r="HEE483" s="308"/>
      <c r="HEF483" s="308"/>
      <c r="HEG483" s="308"/>
      <c r="HEH483" s="308"/>
      <c r="HEI483" s="308"/>
      <c r="HEJ483" s="308"/>
      <c r="HEK483" s="308"/>
      <c r="HEL483" s="308"/>
      <c r="HEM483" s="308"/>
      <c r="HEN483" s="308"/>
      <c r="HEO483" s="308"/>
      <c r="HEP483" s="308"/>
      <c r="HEQ483" s="308"/>
      <c r="HER483" s="308"/>
      <c r="HES483" s="308"/>
      <c r="HET483" s="308"/>
      <c r="HEU483" s="308"/>
      <c r="HEV483" s="308"/>
      <c r="HEW483" s="308"/>
      <c r="HEX483" s="308"/>
      <c r="HEY483" s="308"/>
      <c r="HEZ483" s="308"/>
      <c r="HFA483" s="308"/>
      <c r="HFB483" s="308"/>
      <c r="HFC483" s="308"/>
      <c r="HFD483" s="308"/>
      <c r="HFE483" s="308"/>
      <c r="HFF483" s="308"/>
      <c r="HFG483" s="308"/>
      <c r="HFH483" s="308"/>
      <c r="HFI483" s="308"/>
      <c r="HFJ483" s="308"/>
      <c r="HFK483" s="308"/>
      <c r="HFL483" s="308"/>
      <c r="HFM483" s="308"/>
      <c r="HFN483" s="308"/>
      <c r="HFO483" s="308"/>
      <c r="HFP483" s="308"/>
      <c r="HFQ483" s="308"/>
      <c r="HFR483" s="308"/>
      <c r="HFS483" s="308"/>
      <c r="HFT483" s="308"/>
      <c r="HFU483" s="308"/>
      <c r="HFV483" s="308"/>
      <c r="HFW483" s="308"/>
      <c r="HFX483" s="308"/>
      <c r="HFY483" s="308"/>
      <c r="HFZ483" s="308"/>
      <c r="HGA483" s="308"/>
      <c r="HGB483" s="308"/>
      <c r="HGC483" s="308"/>
      <c r="HGD483" s="308"/>
      <c r="HGE483" s="308"/>
      <c r="HGF483" s="308"/>
      <c r="HGG483" s="308"/>
      <c r="HGH483" s="308"/>
      <c r="HGI483" s="308"/>
      <c r="HGJ483" s="308"/>
      <c r="HGK483" s="308"/>
      <c r="HGL483" s="308"/>
      <c r="HGM483" s="308"/>
      <c r="HGN483" s="308"/>
      <c r="HGO483" s="308"/>
      <c r="HGP483" s="308"/>
      <c r="HGQ483" s="308"/>
      <c r="HGR483" s="308"/>
      <c r="HGS483" s="308"/>
      <c r="HGT483" s="308"/>
      <c r="HGU483" s="308"/>
      <c r="HGV483" s="308"/>
      <c r="HGW483" s="308"/>
      <c r="HGX483" s="308"/>
      <c r="HGY483" s="308"/>
      <c r="HGZ483" s="308"/>
      <c r="HHA483" s="308"/>
      <c r="HHB483" s="308"/>
      <c r="HHC483" s="308"/>
      <c r="HHD483" s="308"/>
      <c r="HHE483" s="308"/>
      <c r="HHF483" s="308"/>
      <c r="HHG483" s="308"/>
      <c r="HHH483" s="308"/>
      <c r="HHI483" s="308"/>
      <c r="HHJ483" s="308"/>
      <c r="HHK483" s="308"/>
      <c r="HHL483" s="308"/>
      <c r="HHM483" s="308"/>
      <c r="HHN483" s="308"/>
      <c r="HHO483" s="308"/>
      <c r="HHP483" s="308"/>
      <c r="HHQ483" s="308"/>
      <c r="HHR483" s="308"/>
      <c r="HHS483" s="308"/>
      <c r="HHT483" s="308"/>
      <c r="HHU483" s="308"/>
      <c r="HHV483" s="308"/>
      <c r="HHW483" s="308"/>
      <c r="HHX483" s="308"/>
      <c r="HHY483" s="308"/>
      <c r="HHZ483" s="308"/>
      <c r="HIA483" s="308"/>
      <c r="HIB483" s="308"/>
      <c r="HIC483" s="308"/>
      <c r="HID483" s="308"/>
      <c r="HIE483" s="308"/>
      <c r="HIF483" s="308"/>
      <c r="HIG483" s="308"/>
      <c r="HIH483" s="308"/>
      <c r="HII483" s="308"/>
      <c r="HIJ483" s="308"/>
      <c r="HIK483" s="308"/>
      <c r="HIL483" s="308"/>
      <c r="HIM483" s="308"/>
      <c r="HIN483" s="308"/>
      <c r="HIO483" s="308"/>
      <c r="HIP483" s="308"/>
      <c r="HIQ483" s="308"/>
      <c r="HIR483" s="308"/>
      <c r="HIS483" s="308"/>
      <c r="HIT483" s="308"/>
      <c r="HIU483" s="308"/>
      <c r="HIV483" s="308"/>
      <c r="HIW483" s="308"/>
      <c r="HIX483" s="308"/>
      <c r="HIY483" s="308"/>
      <c r="HIZ483" s="308"/>
      <c r="HJA483" s="308"/>
      <c r="HJB483" s="308"/>
      <c r="HJC483" s="308"/>
      <c r="HJD483" s="308"/>
      <c r="HJE483" s="308"/>
      <c r="HJF483" s="308"/>
      <c r="HJG483" s="308"/>
      <c r="HJH483" s="308"/>
      <c r="HJI483" s="308"/>
      <c r="HJJ483" s="308"/>
      <c r="HJK483" s="308"/>
      <c r="HJL483" s="308"/>
      <c r="HJM483" s="308"/>
      <c r="HJN483" s="308"/>
      <c r="HJO483" s="308"/>
      <c r="HJP483" s="308"/>
      <c r="HJQ483" s="308"/>
      <c r="HJR483" s="308"/>
      <c r="HJS483" s="308"/>
      <c r="HJT483" s="308"/>
      <c r="HJU483" s="308"/>
      <c r="HJV483" s="308"/>
      <c r="HJW483" s="308"/>
      <c r="HJX483" s="308"/>
      <c r="HJY483" s="308"/>
      <c r="HJZ483" s="308"/>
      <c r="HKA483" s="308"/>
      <c r="HKB483" s="308"/>
      <c r="HKC483" s="308"/>
      <c r="HKD483" s="308"/>
      <c r="HKE483" s="308"/>
      <c r="HKF483" s="308"/>
      <c r="HKG483" s="308"/>
      <c r="HKH483" s="308"/>
      <c r="HKI483" s="308"/>
      <c r="HKJ483" s="308"/>
      <c r="HKK483" s="308"/>
      <c r="HKL483" s="308"/>
      <c r="HKM483" s="308"/>
      <c r="HKN483" s="308"/>
      <c r="HKO483" s="308"/>
      <c r="HKP483" s="308"/>
      <c r="HKQ483" s="308"/>
      <c r="HKR483" s="308"/>
      <c r="HKS483" s="308"/>
      <c r="HKT483" s="308"/>
      <c r="HKU483" s="308"/>
      <c r="HKV483" s="308"/>
      <c r="HKW483" s="308"/>
      <c r="HKX483" s="308"/>
      <c r="HKY483" s="308"/>
      <c r="HKZ483" s="308"/>
      <c r="HLA483" s="308"/>
      <c r="HLB483" s="308"/>
      <c r="HLC483" s="308"/>
      <c r="HLD483" s="308"/>
      <c r="HLE483" s="308"/>
      <c r="HLF483" s="308"/>
      <c r="HLG483" s="308"/>
      <c r="HLH483" s="308"/>
      <c r="HLI483" s="308"/>
      <c r="HLJ483" s="308"/>
      <c r="HLK483" s="308"/>
      <c r="HLL483" s="308"/>
      <c r="HLM483" s="308"/>
      <c r="HLN483" s="308"/>
      <c r="HLO483" s="308"/>
      <c r="HLP483" s="308"/>
      <c r="HLQ483" s="308"/>
      <c r="HLR483" s="308"/>
      <c r="HLS483" s="308"/>
      <c r="HLT483" s="308"/>
      <c r="HLU483" s="308"/>
      <c r="HLV483" s="308"/>
      <c r="HLW483" s="308"/>
      <c r="HLX483" s="308"/>
      <c r="HLY483" s="308"/>
      <c r="HLZ483" s="308"/>
      <c r="HMA483" s="308"/>
      <c r="HMB483" s="308"/>
      <c r="HMC483" s="308"/>
      <c r="HMD483" s="308"/>
      <c r="HME483" s="308"/>
      <c r="HMF483" s="308"/>
      <c r="HMG483" s="308"/>
      <c r="HMH483" s="308"/>
      <c r="HMI483" s="308"/>
      <c r="HMJ483" s="308"/>
      <c r="HMK483" s="308"/>
      <c r="HML483" s="308"/>
      <c r="HMM483" s="308"/>
      <c r="HMN483" s="308"/>
      <c r="HMO483" s="308"/>
      <c r="HMP483" s="308"/>
      <c r="HMQ483" s="308"/>
      <c r="HMR483" s="308"/>
      <c r="HMS483" s="308"/>
      <c r="HMT483" s="308"/>
      <c r="HMU483" s="308"/>
      <c r="HMV483" s="308"/>
      <c r="HMW483" s="308"/>
      <c r="HMX483" s="308"/>
      <c r="HMY483" s="308"/>
      <c r="HMZ483" s="308"/>
      <c r="HNA483" s="308"/>
      <c r="HNB483" s="308"/>
      <c r="HNC483" s="308"/>
      <c r="HND483" s="308"/>
      <c r="HNE483" s="308"/>
      <c r="HNF483" s="308"/>
      <c r="HNG483" s="308"/>
      <c r="HNH483" s="308"/>
      <c r="HNI483" s="308"/>
      <c r="HNJ483" s="308"/>
      <c r="HNK483" s="308"/>
      <c r="HNL483" s="308"/>
      <c r="HNM483" s="308"/>
      <c r="HNN483" s="308"/>
      <c r="HNO483" s="308"/>
      <c r="HNP483" s="308"/>
      <c r="HNQ483" s="308"/>
      <c r="HNR483" s="308"/>
      <c r="HNS483" s="308"/>
      <c r="HNT483" s="308"/>
      <c r="HNU483" s="308"/>
      <c r="HNV483" s="308"/>
      <c r="HNW483" s="308"/>
      <c r="HNX483" s="308"/>
      <c r="HNY483" s="308"/>
      <c r="HNZ483" s="308"/>
      <c r="HOA483" s="308"/>
      <c r="HOB483" s="308"/>
      <c r="HOC483" s="308"/>
      <c r="HOD483" s="308"/>
      <c r="HOE483" s="308"/>
      <c r="HOF483" s="308"/>
      <c r="HOG483" s="308"/>
      <c r="HOH483" s="308"/>
      <c r="HOI483" s="308"/>
      <c r="HOJ483" s="308"/>
      <c r="HOK483" s="308"/>
      <c r="HOL483" s="308"/>
      <c r="HOM483" s="308"/>
      <c r="HON483" s="308"/>
      <c r="HOO483" s="308"/>
      <c r="HOP483" s="308"/>
      <c r="HOQ483" s="308"/>
      <c r="HOR483" s="308"/>
      <c r="HOS483" s="308"/>
      <c r="HOT483" s="308"/>
      <c r="HOU483" s="308"/>
      <c r="HOV483" s="308"/>
      <c r="HOW483" s="308"/>
      <c r="HOX483" s="308"/>
      <c r="HOY483" s="308"/>
      <c r="HOZ483" s="308"/>
      <c r="HPA483" s="308"/>
      <c r="HPB483" s="308"/>
      <c r="HPC483" s="308"/>
      <c r="HPD483" s="308"/>
      <c r="HPE483" s="308"/>
      <c r="HPF483" s="308"/>
      <c r="HPG483" s="308"/>
      <c r="HPH483" s="308"/>
      <c r="HPI483" s="308"/>
      <c r="HPJ483" s="308"/>
      <c r="HPK483" s="308"/>
      <c r="HPL483" s="308"/>
      <c r="HPM483" s="308"/>
      <c r="HPN483" s="308"/>
      <c r="HPO483" s="308"/>
      <c r="HPP483" s="308"/>
      <c r="HPQ483" s="308"/>
      <c r="HPR483" s="308"/>
      <c r="HPS483" s="308"/>
      <c r="HPT483" s="308"/>
      <c r="HPU483" s="308"/>
      <c r="HPV483" s="308"/>
      <c r="HPW483" s="308"/>
      <c r="HPX483" s="308"/>
      <c r="HPY483" s="308"/>
      <c r="HPZ483" s="308"/>
      <c r="HQA483" s="308"/>
      <c r="HQB483" s="308"/>
      <c r="HQC483" s="308"/>
      <c r="HQD483" s="308"/>
      <c r="HQE483" s="308"/>
      <c r="HQF483" s="308"/>
      <c r="HQG483" s="308"/>
      <c r="HQH483" s="308"/>
      <c r="HQI483" s="308"/>
      <c r="HQJ483" s="308"/>
      <c r="HQK483" s="308"/>
      <c r="HQL483" s="308"/>
      <c r="HQM483" s="308"/>
      <c r="HQN483" s="308"/>
      <c r="HQO483" s="308"/>
      <c r="HQP483" s="308"/>
      <c r="HQQ483" s="308"/>
      <c r="HQR483" s="308"/>
      <c r="HQS483" s="308"/>
      <c r="HQT483" s="308"/>
      <c r="HQU483" s="308"/>
      <c r="HQV483" s="308"/>
      <c r="HQW483" s="308"/>
      <c r="HQX483" s="308"/>
      <c r="HQY483" s="308"/>
      <c r="HQZ483" s="308"/>
      <c r="HRA483" s="308"/>
      <c r="HRB483" s="308"/>
      <c r="HRC483" s="308"/>
      <c r="HRD483" s="308"/>
      <c r="HRE483" s="308"/>
      <c r="HRF483" s="308"/>
      <c r="HRG483" s="308"/>
      <c r="HRH483" s="308"/>
      <c r="HRI483" s="308"/>
      <c r="HRJ483" s="308"/>
      <c r="HRK483" s="308"/>
      <c r="HRL483" s="308"/>
      <c r="HRM483" s="308"/>
      <c r="HRN483" s="308"/>
      <c r="HRO483" s="308"/>
      <c r="HRP483" s="308"/>
      <c r="HRQ483" s="308"/>
      <c r="HRR483" s="308"/>
      <c r="HRS483" s="308"/>
      <c r="HRT483" s="308"/>
      <c r="HRU483" s="308"/>
      <c r="HRV483" s="308"/>
      <c r="HRW483" s="308"/>
      <c r="HRX483" s="308"/>
      <c r="HRY483" s="308"/>
      <c r="HRZ483" s="308"/>
      <c r="HSA483" s="308"/>
      <c r="HSB483" s="308"/>
      <c r="HSC483" s="308"/>
      <c r="HSD483" s="308"/>
      <c r="HSE483" s="308"/>
      <c r="HSF483" s="308"/>
      <c r="HSG483" s="308"/>
      <c r="HSH483" s="308"/>
      <c r="HSI483" s="308"/>
      <c r="HSJ483" s="308"/>
      <c r="HSK483" s="308"/>
      <c r="HSL483" s="308"/>
      <c r="HSM483" s="308"/>
      <c r="HSN483" s="308"/>
      <c r="HSO483" s="308"/>
      <c r="HSP483" s="308"/>
      <c r="HSQ483" s="308"/>
      <c r="HSR483" s="308"/>
      <c r="HSS483" s="308"/>
      <c r="HST483" s="308"/>
      <c r="HSU483" s="308"/>
      <c r="HSV483" s="308"/>
      <c r="HSW483" s="308"/>
      <c r="HSX483" s="308"/>
      <c r="HSY483" s="308"/>
      <c r="HSZ483" s="308"/>
      <c r="HTA483" s="308"/>
      <c r="HTB483" s="308"/>
      <c r="HTC483" s="308"/>
      <c r="HTD483" s="308"/>
      <c r="HTE483" s="308"/>
      <c r="HTF483" s="308"/>
      <c r="HTG483" s="308"/>
      <c r="HTH483" s="308"/>
      <c r="HTI483" s="308"/>
      <c r="HTJ483" s="308"/>
      <c r="HTK483" s="308"/>
      <c r="HTL483" s="308"/>
      <c r="HTM483" s="308"/>
      <c r="HTN483" s="308"/>
      <c r="HTO483" s="308"/>
      <c r="HTP483" s="308"/>
      <c r="HTQ483" s="308"/>
      <c r="HTR483" s="308"/>
      <c r="HTS483" s="308"/>
      <c r="HTT483" s="308"/>
      <c r="HTU483" s="308"/>
      <c r="HTV483" s="308"/>
      <c r="HTW483" s="308"/>
      <c r="HTX483" s="308"/>
      <c r="HTY483" s="308"/>
      <c r="HTZ483" s="308"/>
      <c r="HUA483" s="308"/>
      <c r="HUB483" s="308"/>
      <c r="HUC483" s="308"/>
      <c r="HUD483" s="308"/>
      <c r="HUE483" s="308"/>
      <c r="HUF483" s="308"/>
      <c r="HUG483" s="308"/>
      <c r="HUH483" s="308"/>
      <c r="HUI483" s="308"/>
      <c r="HUJ483" s="308"/>
      <c r="HUK483" s="308"/>
      <c r="HUL483" s="308"/>
      <c r="HUM483" s="308"/>
      <c r="HUN483" s="308"/>
      <c r="HUO483" s="308"/>
      <c r="HUP483" s="308"/>
      <c r="HUQ483" s="308"/>
      <c r="HUR483" s="308"/>
      <c r="HUS483" s="308"/>
      <c r="HUT483" s="308"/>
      <c r="HUU483" s="308"/>
      <c r="HUV483" s="308"/>
      <c r="HUW483" s="308"/>
      <c r="HUX483" s="308"/>
      <c r="HUY483" s="308"/>
      <c r="HUZ483" s="308"/>
      <c r="HVA483" s="308"/>
      <c r="HVB483" s="308"/>
      <c r="HVC483" s="308"/>
      <c r="HVD483" s="308"/>
      <c r="HVE483" s="308"/>
      <c r="HVF483" s="308"/>
      <c r="HVG483" s="308"/>
      <c r="HVH483" s="308"/>
      <c r="HVI483" s="308"/>
      <c r="HVJ483" s="308"/>
      <c r="HVK483" s="308"/>
      <c r="HVL483" s="308"/>
      <c r="HVM483" s="308"/>
      <c r="HVN483" s="308"/>
      <c r="HVO483" s="308"/>
      <c r="HVP483" s="308"/>
      <c r="HVQ483" s="308"/>
      <c r="HVR483" s="308"/>
      <c r="HVS483" s="308"/>
      <c r="HVT483" s="308"/>
      <c r="HVU483" s="308"/>
      <c r="HVV483" s="308"/>
      <c r="HVW483" s="308"/>
      <c r="HVX483" s="308"/>
      <c r="HVY483" s="308"/>
      <c r="HVZ483" s="308"/>
      <c r="HWA483" s="308"/>
      <c r="HWB483" s="308"/>
      <c r="HWC483" s="308"/>
      <c r="HWD483" s="308"/>
      <c r="HWE483" s="308"/>
      <c r="HWF483" s="308"/>
      <c r="HWG483" s="308"/>
      <c r="HWH483" s="308"/>
      <c r="HWI483" s="308"/>
      <c r="HWJ483" s="308"/>
      <c r="HWK483" s="308"/>
      <c r="HWL483" s="308"/>
      <c r="HWM483" s="308"/>
      <c r="HWN483" s="308"/>
      <c r="HWO483" s="308"/>
      <c r="HWP483" s="308"/>
      <c r="HWQ483" s="308"/>
      <c r="HWR483" s="308"/>
      <c r="HWS483" s="308"/>
      <c r="HWT483" s="308"/>
      <c r="HWU483" s="308"/>
      <c r="HWV483" s="308"/>
      <c r="HWW483" s="308"/>
      <c r="HWX483" s="308"/>
      <c r="HWY483" s="308"/>
      <c r="HWZ483" s="308"/>
      <c r="HXA483" s="308"/>
      <c r="HXB483" s="308"/>
      <c r="HXC483" s="308"/>
      <c r="HXD483" s="308"/>
      <c r="HXE483" s="308"/>
      <c r="HXF483" s="308"/>
      <c r="HXG483" s="308"/>
      <c r="HXH483" s="308"/>
      <c r="HXI483" s="308"/>
      <c r="HXJ483" s="308"/>
      <c r="HXK483" s="308"/>
      <c r="HXL483" s="308"/>
      <c r="HXM483" s="308"/>
      <c r="HXN483" s="308"/>
      <c r="HXO483" s="308"/>
      <c r="HXP483" s="308"/>
      <c r="HXQ483" s="308"/>
      <c r="HXR483" s="308"/>
      <c r="HXS483" s="308"/>
      <c r="HXT483" s="308"/>
      <c r="HXU483" s="308"/>
      <c r="HXV483" s="308"/>
      <c r="HXW483" s="308"/>
      <c r="HXX483" s="308"/>
      <c r="HXY483" s="308"/>
      <c r="HXZ483" s="308"/>
      <c r="HYA483" s="308"/>
      <c r="HYB483" s="308"/>
      <c r="HYC483" s="308"/>
      <c r="HYD483" s="308"/>
      <c r="HYE483" s="308"/>
      <c r="HYF483" s="308"/>
      <c r="HYG483" s="308"/>
      <c r="HYH483" s="308"/>
      <c r="HYI483" s="308"/>
      <c r="HYJ483" s="308"/>
      <c r="HYK483" s="308"/>
      <c r="HYL483" s="308"/>
      <c r="HYM483" s="308"/>
      <c r="HYN483" s="308"/>
      <c r="HYO483" s="308"/>
      <c r="HYP483" s="308"/>
      <c r="HYQ483" s="308"/>
      <c r="HYR483" s="308"/>
      <c r="HYS483" s="308"/>
      <c r="HYT483" s="308"/>
      <c r="HYU483" s="308"/>
      <c r="HYV483" s="308"/>
      <c r="HYW483" s="308"/>
      <c r="HYX483" s="308"/>
      <c r="HYY483" s="308"/>
      <c r="HYZ483" s="308"/>
      <c r="HZA483" s="308"/>
      <c r="HZB483" s="308"/>
      <c r="HZC483" s="308"/>
      <c r="HZD483" s="308"/>
      <c r="HZE483" s="308"/>
      <c r="HZF483" s="308"/>
      <c r="HZG483" s="308"/>
      <c r="HZH483" s="308"/>
      <c r="HZI483" s="308"/>
      <c r="HZJ483" s="308"/>
      <c r="HZK483" s="308"/>
      <c r="HZL483" s="308"/>
      <c r="HZM483" s="308"/>
      <c r="HZN483" s="308"/>
      <c r="HZO483" s="308"/>
      <c r="HZP483" s="308"/>
      <c r="HZQ483" s="308"/>
      <c r="HZR483" s="308"/>
      <c r="HZS483" s="308"/>
      <c r="HZT483" s="308"/>
      <c r="HZU483" s="308"/>
      <c r="HZV483" s="308"/>
      <c r="HZW483" s="308"/>
      <c r="HZX483" s="308"/>
      <c r="HZY483" s="308"/>
      <c r="HZZ483" s="308"/>
      <c r="IAA483" s="308"/>
      <c r="IAB483" s="308"/>
      <c r="IAC483" s="308"/>
      <c r="IAD483" s="308"/>
      <c r="IAE483" s="308"/>
      <c r="IAF483" s="308"/>
      <c r="IAG483" s="308"/>
      <c r="IAH483" s="308"/>
      <c r="IAI483" s="308"/>
      <c r="IAJ483" s="308"/>
      <c r="IAK483" s="308"/>
      <c r="IAL483" s="308"/>
      <c r="IAM483" s="308"/>
      <c r="IAN483" s="308"/>
      <c r="IAO483" s="308"/>
      <c r="IAP483" s="308"/>
      <c r="IAQ483" s="308"/>
      <c r="IAR483" s="308"/>
      <c r="IAS483" s="308"/>
      <c r="IAT483" s="308"/>
      <c r="IAU483" s="308"/>
      <c r="IAV483" s="308"/>
      <c r="IAW483" s="308"/>
      <c r="IAX483" s="308"/>
      <c r="IAY483" s="308"/>
      <c r="IAZ483" s="308"/>
      <c r="IBA483" s="308"/>
      <c r="IBB483" s="308"/>
      <c r="IBC483" s="308"/>
      <c r="IBD483" s="308"/>
      <c r="IBE483" s="308"/>
      <c r="IBF483" s="308"/>
      <c r="IBG483" s="308"/>
      <c r="IBH483" s="308"/>
      <c r="IBI483" s="308"/>
      <c r="IBJ483" s="308"/>
      <c r="IBK483" s="308"/>
      <c r="IBL483" s="308"/>
      <c r="IBM483" s="308"/>
      <c r="IBN483" s="308"/>
      <c r="IBO483" s="308"/>
      <c r="IBP483" s="308"/>
      <c r="IBQ483" s="308"/>
      <c r="IBR483" s="308"/>
      <c r="IBS483" s="308"/>
      <c r="IBT483" s="308"/>
      <c r="IBU483" s="308"/>
      <c r="IBV483" s="308"/>
      <c r="IBW483" s="308"/>
      <c r="IBX483" s="308"/>
      <c r="IBY483" s="308"/>
      <c r="IBZ483" s="308"/>
      <c r="ICA483" s="308"/>
      <c r="ICB483" s="308"/>
      <c r="ICC483" s="308"/>
      <c r="ICD483" s="308"/>
      <c r="ICE483" s="308"/>
      <c r="ICF483" s="308"/>
      <c r="ICG483" s="308"/>
      <c r="ICH483" s="308"/>
      <c r="ICI483" s="308"/>
      <c r="ICJ483" s="308"/>
      <c r="ICK483" s="308"/>
      <c r="ICL483" s="308"/>
      <c r="ICM483" s="308"/>
      <c r="ICN483" s="308"/>
      <c r="ICO483" s="308"/>
      <c r="ICP483" s="308"/>
      <c r="ICQ483" s="308"/>
      <c r="ICR483" s="308"/>
      <c r="ICS483" s="308"/>
      <c r="ICT483" s="308"/>
      <c r="ICU483" s="308"/>
      <c r="ICV483" s="308"/>
      <c r="ICW483" s="308"/>
      <c r="ICX483" s="308"/>
      <c r="ICY483" s="308"/>
      <c r="ICZ483" s="308"/>
      <c r="IDA483" s="308"/>
      <c r="IDB483" s="308"/>
      <c r="IDC483" s="308"/>
      <c r="IDD483" s="308"/>
      <c r="IDE483" s="308"/>
      <c r="IDF483" s="308"/>
      <c r="IDG483" s="308"/>
      <c r="IDH483" s="308"/>
      <c r="IDI483" s="308"/>
      <c r="IDJ483" s="308"/>
      <c r="IDK483" s="308"/>
      <c r="IDL483" s="308"/>
      <c r="IDM483" s="308"/>
      <c r="IDN483" s="308"/>
      <c r="IDO483" s="308"/>
      <c r="IDP483" s="308"/>
      <c r="IDQ483" s="308"/>
      <c r="IDR483" s="308"/>
      <c r="IDS483" s="308"/>
      <c r="IDT483" s="308"/>
      <c r="IDU483" s="308"/>
      <c r="IDV483" s="308"/>
      <c r="IDW483" s="308"/>
      <c r="IDX483" s="308"/>
      <c r="IDY483" s="308"/>
      <c r="IDZ483" s="308"/>
      <c r="IEA483" s="308"/>
      <c r="IEB483" s="308"/>
      <c r="IEC483" s="308"/>
      <c r="IED483" s="308"/>
      <c r="IEE483" s="308"/>
      <c r="IEF483" s="308"/>
      <c r="IEG483" s="308"/>
      <c r="IEH483" s="308"/>
      <c r="IEI483" s="308"/>
      <c r="IEJ483" s="308"/>
      <c r="IEK483" s="308"/>
      <c r="IEL483" s="308"/>
      <c r="IEM483" s="308"/>
      <c r="IEN483" s="308"/>
      <c r="IEO483" s="308"/>
      <c r="IEP483" s="308"/>
      <c r="IEQ483" s="308"/>
      <c r="IER483" s="308"/>
      <c r="IES483" s="308"/>
      <c r="IET483" s="308"/>
      <c r="IEU483" s="308"/>
      <c r="IEV483" s="308"/>
      <c r="IEW483" s="308"/>
      <c r="IEX483" s="308"/>
      <c r="IEY483" s="308"/>
      <c r="IEZ483" s="308"/>
      <c r="IFA483" s="308"/>
      <c r="IFB483" s="308"/>
      <c r="IFC483" s="308"/>
      <c r="IFD483" s="308"/>
      <c r="IFE483" s="308"/>
      <c r="IFF483" s="308"/>
      <c r="IFG483" s="308"/>
      <c r="IFH483" s="308"/>
      <c r="IFI483" s="308"/>
      <c r="IFJ483" s="308"/>
      <c r="IFK483" s="308"/>
      <c r="IFL483" s="308"/>
      <c r="IFM483" s="308"/>
      <c r="IFN483" s="308"/>
      <c r="IFO483" s="308"/>
      <c r="IFP483" s="308"/>
      <c r="IFQ483" s="308"/>
      <c r="IFR483" s="308"/>
      <c r="IFS483" s="308"/>
      <c r="IFT483" s="308"/>
      <c r="IFU483" s="308"/>
      <c r="IFV483" s="308"/>
      <c r="IFW483" s="308"/>
      <c r="IFX483" s="308"/>
      <c r="IFY483" s="308"/>
      <c r="IFZ483" s="308"/>
      <c r="IGA483" s="308"/>
      <c r="IGB483" s="308"/>
      <c r="IGC483" s="308"/>
      <c r="IGD483" s="308"/>
      <c r="IGE483" s="308"/>
      <c r="IGF483" s="308"/>
      <c r="IGG483" s="308"/>
      <c r="IGH483" s="308"/>
      <c r="IGI483" s="308"/>
      <c r="IGJ483" s="308"/>
      <c r="IGK483" s="308"/>
      <c r="IGL483" s="308"/>
      <c r="IGM483" s="308"/>
      <c r="IGN483" s="308"/>
      <c r="IGO483" s="308"/>
      <c r="IGP483" s="308"/>
      <c r="IGQ483" s="308"/>
      <c r="IGR483" s="308"/>
      <c r="IGS483" s="308"/>
      <c r="IGT483" s="308"/>
      <c r="IGU483" s="308"/>
      <c r="IGV483" s="308"/>
      <c r="IGW483" s="308"/>
      <c r="IGX483" s="308"/>
      <c r="IGY483" s="308"/>
      <c r="IGZ483" s="308"/>
      <c r="IHA483" s="308"/>
      <c r="IHB483" s="308"/>
      <c r="IHC483" s="308"/>
      <c r="IHD483" s="308"/>
      <c r="IHE483" s="308"/>
      <c r="IHF483" s="308"/>
      <c r="IHG483" s="308"/>
      <c r="IHH483" s="308"/>
      <c r="IHI483" s="308"/>
      <c r="IHJ483" s="308"/>
      <c r="IHK483" s="308"/>
      <c r="IHL483" s="308"/>
      <c r="IHM483" s="308"/>
      <c r="IHN483" s="308"/>
      <c r="IHO483" s="308"/>
      <c r="IHP483" s="308"/>
      <c r="IHQ483" s="308"/>
      <c r="IHR483" s="308"/>
      <c r="IHS483" s="308"/>
      <c r="IHT483" s="308"/>
      <c r="IHU483" s="308"/>
      <c r="IHV483" s="308"/>
      <c r="IHW483" s="308"/>
      <c r="IHX483" s="308"/>
      <c r="IHY483" s="308"/>
      <c r="IHZ483" s="308"/>
      <c r="IIA483" s="308"/>
      <c r="IIB483" s="308"/>
      <c r="IIC483" s="308"/>
      <c r="IID483" s="308"/>
      <c r="IIE483" s="308"/>
      <c r="IIF483" s="308"/>
      <c r="IIG483" s="308"/>
      <c r="IIH483" s="308"/>
      <c r="III483" s="308"/>
      <c r="IIJ483" s="308"/>
      <c r="IIK483" s="308"/>
      <c r="IIL483" s="308"/>
      <c r="IIM483" s="308"/>
      <c r="IIN483" s="308"/>
      <c r="IIO483" s="308"/>
      <c r="IIP483" s="308"/>
      <c r="IIQ483" s="308"/>
      <c r="IIR483" s="308"/>
      <c r="IIS483" s="308"/>
      <c r="IIT483" s="308"/>
      <c r="IIU483" s="308"/>
      <c r="IIV483" s="308"/>
      <c r="IIW483" s="308"/>
      <c r="IIX483" s="308"/>
      <c r="IIY483" s="308"/>
      <c r="IIZ483" s="308"/>
      <c r="IJA483" s="308"/>
      <c r="IJB483" s="308"/>
      <c r="IJC483" s="308"/>
      <c r="IJD483" s="308"/>
      <c r="IJE483" s="308"/>
      <c r="IJF483" s="308"/>
      <c r="IJG483" s="308"/>
      <c r="IJH483" s="308"/>
      <c r="IJI483" s="308"/>
      <c r="IJJ483" s="308"/>
      <c r="IJK483" s="308"/>
      <c r="IJL483" s="308"/>
      <c r="IJM483" s="308"/>
      <c r="IJN483" s="308"/>
      <c r="IJO483" s="308"/>
      <c r="IJP483" s="308"/>
      <c r="IJQ483" s="308"/>
      <c r="IJR483" s="308"/>
      <c r="IJS483" s="308"/>
      <c r="IJT483" s="308"/>
      <c r="IJU483" s="308"/>
      <c r="IJV483" s="308"/>
      <c r="IJW483" s="308"/>
      <c r="IJX483" s="308"/>
      <c r="IJY483" s="308"/>
      <c r="IJZ483" s="308"/>
      <c r="IKA483" s="308"/>
      <c r="IKB483" s="308"/>
      <c r="IKC483" s="308"/>
      <c r="IKD483" s="308"/>
      <c r="IKE483" s="308"/>
      <c r="IKF483" s="308"/>
      <c r="IKG483" s="308"/>
      <c r="IKH483" s="308"/>
      <c r="IKI483" s="308"/>
      <c r="IKJ483" s="308"/>
      <c r="IKK483" s="308"/>
      <c r="IKL483" s="308"/>
      <c r="IKM483" s="308"/>
      <c r="IKN483" s="308"/>
      <c r="IKO483" s="308"/>
      <c r="IKP483" s="308"/>
      <c r="IKQ483" s="308"/>
      <c r="IKR483" s="308"/>
      <c r="IKS483" s="308"/>
      <c r="IKT483" s="308"/>
      <c r="IKU483" s="308"/>
      <c r="IKV483" s="308"/>
      <c r="IKW483" s="308"/>
      <c r="IKX483" s="308"/>
      <c r="IKY483" s="308"/>
      <c r="IKZ483" s="308"/>
      <c r="ILA483" s="308"/>
      <c r="ILB483" s="308"/>
      <c r="ILC483" s="308"/>
      <c r="ILD483" s="308"/>
      <c r="ILE483" s="308"/>
      <c r="ILF483" s="308"/>
      <c r="ILG483" s="308"/>
      <c r="ILH483" s="308"/>
      <c r="ILI483" s="308"/>
      <c r="ILJ483" s="308"/>
      <c r="ILK483" s="308"/>
      <c r="ILL483" s="308"/>
      <c r="ILM483" s="308"/>
      <c r="ILN483" s="308"/>
      <c r="ILO483" s="308"/>
      <c r="ILP483" s="308"/>
      <c r="ILQ483" s="308"/>
      <c r="ILR483" s="308"/>
      <c r="ILS483" s="308"/>
      <c r="ILT483" s="308"/>
      <c r="ILU483" s="308"/>
      <c r="ILV483" s="308"/>
      <c r="ILW483" s="308"/>
      <c r="ILX483" s="308"/>
      <c r="ILY483" s="308"/>
      <c r="ILZ483" s="308"/>
      <c r="IMA483" s="308"/>
      <c r="IMB483" s="308"/>
      <c r="IMC483" s="308"/>
      <c r="IMD483" s="308"/>
      <c r="IME483" s="308"/>
      <c r="IMF483" s="308"/>
      <c r="IMG483" s="308"/>
      <c r="IMH483" s="308"/>
      <c r="IMI483" s="308"/>
      <c r="IMJ483" s="308"/>
      <c r="IMK483" s="308"/>
      <c r="IML483" s="308"/>
      <c r="IMM483" s="308"/>
      <c r="IMN483" s="308"/>
      <c r="IMO483" s="308"/>
      <c r="IMP483" s="308"/>
      <c r="IMQ483" s="308"/>
      <c r="IMR483" s="308"/>
      <c r="IMS483" s="308"/>
      <c r="IMT483" s="308"/>
      <c r="IMU483" s="308"/>
      <c r="IMV483" s="308"/>
      <c r="IMW483" s="308"/>
      <c r="IMX483" s="308"/>
      <c r="IMY483" s="308"/>
      <c r="IMZ483" s="308"/>
      <c r="INA483" s="308"/>
      <c r="INB483" s="308"/>
      <c r="INC483" s="308"/>
      <c r="IND483" s="308"/>
      <c r="INE483" s="308"/>
      <c r="INF483" s="308"/>
      <c r="ING483" s="308"/>
      <c r="INH483" s="308"/>
      <c r="INI483" s="308"/>
      <c r="INJ483" s="308"/>
      <c r="INK483" s="308"/>
      <c r="INL483" s="308"/>
      <c r="INM483" s="308"/>
      <c r="INN483" s="308"/>
      <c r="INO483" s="308"/>
      <c r="INP483" s="308"/>
      <c r="INQ483" s="308"/>
      <c r="INR483" s="308"/>
      <c r="INS483" s="308"/>
      <c r="INT483" s="308"/>
      <c r="INU483" s="308"/>
      <c r="INV483" s="308"/>
      <c r="INW483" s="308"/>
      <c r="INX483" s="308"/>
      <c r="INY483" s="308"/>
      <c r="INZ483" s="308"/>
      <c r="IOA483" s="308"/>
      <c r="IOB483" s="308"/>
      <c r="IOC483" s="308"/>
      <c r="IOD483" s="308"/>
      <c r="IOE483" s="308"/>
      <c r="IOF483" s="308"/>
      <c r="IOG483" s="308"/>
      <c r="IOH483" s="308"/>
      <c r="IOI483" s="308"/>
      <c r="IOJ483" s="308"/>
      <c r="IOK483" s="308"/>
      <c r="IOL483" s="308"/>
      <c r="IOM483" s="308"/>
      <c r="ION483" s="308"/>
      <c r="IOO483" s="308"/>
      <c r="IOP483" s="308"/>
      <c r="IOQ483" s="308"/>
      <c r="IOR483" s="308"/>
      <c r="IOS483" s="308"/>
      <c r="IOT483" s="308"/>
      <c r="IOU483" s="308"/>
      <c r="IOV483" s="308"/>
      <c r="IOW483" s="308"/>
      <c r="IOX483" s="308"/>
      <c r="IOY483" s="308"/>
      <c r="IOZ483" s="308"/>
      <c r="IPA483" s="308"/>
      <c r="IPB483" s="308"/>
      <c r="IPC483" s="308"/>
      <c r="IPD483" s="308"/>
      <c r="IPE483" s="308"/>
      <c r="IPF483" s="308"/>
      <c r="IPG483" s="308"/>
      <c r="IPH483" s="308"/>
      <c r="IPI483" s="308"/>
      <c r="IPJ483" s="308"/>
      <c r="IPK483" s="308"/>
      <c r="IPL483" s="308"/>
      <c r="IPM483" s="308"/>
      <c r="IPN483" s="308"/>
      <c r="IPO483" s="308"/>
      <c r="IPP483" s="308"/>
      <c r="IPQ483" s="308"/>
      <c r="IPR483" s="308"/>
      <c r="IPS483" s="308"/>
      <c r="IPT483" s="308"/>
      <c r="IPU483" s="308"/>
      <c r="IPV483" s="308"/>
      <c r="IPW483" s="308"/>
      <c r="IPX483" s="308"/>
      <c r="IPY483" s="308"/>
      <c r="IPZ483" s="308"/>
      <c r="IQA483" s="308"/>
      <c r="IQB483" s="308"/>
      <c r="IQC483" s="308"/>
      <c r="IQD483" s="308"/>
      <c r="IQE483" s="308"/>
      <c r="IQF483" s="308"/>
      <c r="IQG483" s="308"/>
      <c r="IQH483" s="308"/>
      <c r="IQI483" s="308"/>
      <c r="IQJ483" s="308"/>
      <c r="IQK483" s="308"/>
      <c r="IQL483" s="308"/>
      <c r="IQM483" s="308"/>
      <c r="IQN483" s="308"/>
      <c r="IQO483" s="308"/>
      <c r="IQP483" s="308"/>
      <c r="IQQ483" s="308"/>
      <c r="IQR483" s="308"/>
      <c r="IQS483" s="308"/>
      <c r="IQT483" s="308"/>
      <c r="IQU483" s="308"/>
      <c r="IQV483" s="308"/>
      <c r="IQW483" s="308"/>
      <c r="IQX483" s="308"/>
      <c r="IQY483" s="308"/>
      <c r="IQZ483" s="308"/>
      <c r="IRA483" s="308"/>
      <c r="IRB483" s="308"/>
      <c r="IRC483" s="308"/>
      <c r="IRD483" s="308"/>
      <c r="IRE483" s="308"/>
      <c r="IRF483" s="308"/>
      <c r="IRG483" s="308"/>
      <c r="IRH483" s="308"/>
      <c r="IRI483" s="308"/>
      <c r="IRJ483" s="308"/>
      <c r="IRK483" s="308"/>
      <c r="IRL483" s="308"/>
      <c r="IRM483" s="308"/>
      <c r="IRN483" s="308"/>
      <c r="IRO483" s="308"/>
      <c r="IRP483" s="308"/>
      <c r="IRQ483" s="308"/>
      <c r="IRR483" s="308"/>
      <c r="IRS483" s="308"/>
      <c r="IRT483" s="308"/>
      <c r="IRU483" s="308"/>
      <c r="IRV483" s="308"/>
      <c r="IRW483" s="308"/>
      <c r="IRX483" s="308"/>
      <c r="IRY483" s="308"/>
      <c r="IRZ483" s="308"/>
      <c r="ISA483" s="308"/>
      <c r="ISB483" s="308"/>
      <c r="ISC483" s="308"/>
      <c r="ISD483" s="308"/>
      <c r="ISE483" s="308"/>
      <c r="ISF483" s="308"/>
      <c r="ISG483" s="308"/>
      <c r="ISH483" s="308"/>
      <c r="ISI483" s="308"/>
      <c r="ISJ483" s="308"/>
      <c r="ISK483" s="308"/>
      <c r="ISL483" s="308"/>
      <c r="ISM483" s="308"/>
      <c r="ISN483" s="308"/>
      <c r="ISO483" s="308"/>
      <c r="ISP483" s="308"/>
      <c r="ISQ483" s="308"/>
      <c r="ISR483" s="308"/>
      <c r="ISS483" s="308"/>
      <c r="IST483" s="308"/>
      <c r="ISU483" s="308"/>
      <c r="ISV483" s="308"/>
      <c r="ISW483" s="308"/>
      <c r="ISX483" s="308"/>
      <c r="ISY483" s="308"/>
      <c r="ISZ483" s="308"/>
      <c r="ITA483" s="308"/>
      <c r="ITB483" s="308"/>
      <c r="ITC483" s="308"/>
      <c r="ITD483" s="308"/>
      <c r="ITE483" s="308"/>
      <c r="ITF483" s="308"/>
      <c r="ITG483" s="308"/>
      <c r="ITH483" s="308"/>
      <c r="ITI483" s="308"/>
      <c r="ITJ483" s="308"/>
      <c r="ITK483" s="308"/>
      <c r="ITL483" s="308"/>
      <c r="ITM483" s="308"/>
      <c r="ITN483" s="308"/>
      <c r="ITO483" s="308"/>
      <c r="ITP483" s="308"/>
      <c r="ITQ483" s="308"/>
      <c r="ITR483" s="308"/>
      <c r="ITS483" s="308"/>
      <c r="ITT483" s="308"/>
      <c r="ITU483" s="308"/>
      <c r="ITV483" s="308"/>
      <c r="ITW483" s="308"/>
      <c r="ITX483" s="308"/>
      <c r="ITY483" s="308"/>
      <c r="ITZ483" s="308"/>
      <c r="IUA483" s="308"/>
      <c r="IUB483" s="308"/>
      <c r="IUC483" s="308"/>
      <c r="IUD483" s="308"/>
      <c r="IUE483" s="308"/>
      <c r="IUF483" s="308"/>
      <c r="IUG483" s="308"/>
      <c r="IUH483" s="308"/>
      <c r="IUI483" s="308"/>
      <c r="IUJ483" s="308"/>
      <c r="IUK483" s="308"/>
      <c r="IUL483" s="308"/>
      <c r="IUM483" s="308"/>
      <c r="IUN483" s="308"/>
      <c r="IUO483" s="308"/>
      <c r="IUP483" s="308"/>
      <c r="IUQ483" s="308"/>
      <c r="IUR483" s="308"/>
      <c r="IUS483" s="308"/>
      <c r="IUT483" s="308"/>
      <c r="IUU483" s="308"/>
      <c r="IUV483" s="308"/>
      <c r="IUW483" s="308"/>
      <c r="IUX483" s="308"/>
      <c r="IUY483" s="308"/>
      <c r="IUZ483" s="308"/>
      <c r="IVA483" s="308"/>
      <c r="IVB483" s="308"/>
      <c r="IVC483" s="308"/>
      <c r="IVD483" s="308"/>
      <c r="IVE483" s="308"/>
      <c r="IVF483" s="308"/>
      <c r="IVG483" s="308"/>
      <c r="IVH483" s="308"/>
      <c r="IVI483" s="308"/>
      <c r="IVJ483" s="308"/>
      <c r="IVK483" s="308"/>
      <c r="IVL483" s="308"/>
      <c r="IVM483" s="308"/>
      <c r="IVN483" s="308"/>
      <c r="IVO483" s="308"/>
      <c r="IVP483" s="308"/>
      <c r="IVQ483" s="308"/>
      <c r="IVR483" s="308"/>
      <c r="IVS483" s="308"/>
      <c r="IVT483" s="308"/>
      <c r="IVU483" s="308"/>
      <c r="IVV483" s="308"/>
      <c r="IVW483" s="308"/>
      <c r="IVX483" s="308"/>
      <c r="IVY483" s="308"/>
      <c r="IVZ483" s="308"/>
      <c r="IWA483" s="308"/>
      <c r="IWB483" s="308"/>
      <c r="IWC483" s="308"/>
      <c r="IWD483" s="308"/>
      <c r="IWE483" s="308"/>
      <c r="IWF483" s="308"/>
      <c r="IWG483" s="308"/>
      <c r="IWH483" s="308"/>
      <c r="IWI483" s="308"/>
      <c r="IWJ483" s="308"/>
      <c r="IWK483" s="308"/>
      <c r="IWL483" s="308"/>
      <c r="IWM483" s="308"/>
      <c r="IWN483" s="308"/>
      <c r="IWO483" s="308"/>
      <c r="IWP483" s="308"/>
      <c r="IWQ483" s="308"/>
      <c r="IWR483" s="308"/>
      <c r="IWS483" s="308"/>
      <c r="IWT483" s="308"/>
      <c r="IWU483" s="308"/>
      <c r="IWV483" s="308"/>
      <c r="IWW483" s="308"/>
      <c r="IWX483" s="308"/>
      <c r="IWY483" s="308"/>
      <c r="IWZ483" s="308"/>
      <c r="IXA483" s="308"/>
      <c r="IXB483" s="308"/>
      <c r="IXC483" s="308"/>
      <c r="IXD483" s="308"/>
      <c r="IXE483" s="308"/>
      <c r="IXF483" s="308"/>
      <c r="IXG483" s="308"/>
      <c r="IXH483" s="308"/>
      <c r="IXI483" s="308"/>
      <c r="IXJ483" s="308"/>
      <c r="IXK483" s="308"/>
      <c r="IXL483" s="308"/>
      <c r="IXM483" s="308"/>
      <c r="IXN483" s="308"/>
      <c r="IXO483" s="308"/>
      <c r="IXP483" s="308"/>
      <c r="IXQ483" s="308"/>
      <c r="IXR483" s="308"/>
      <c r="IXS483" s="308"/>
      <c r="IXT483" s="308"/>
      <c r="IXU483" s="308"/>
      <c r="IXV483" s="308"/>
      <c r="IXW483" s="308"/>
      <c r="IXX483" s="308"/>
      <c r="IXY483" s="308"/>
      <c r="IXZ483" s="308"/>
      <c r="IYA483" s="308"/>
      <c r="IYB483" s="308"/>
      <c r="IYC483" s="308"/>
      <c r="IYD483" s="308"/>
      <c r="IYE483" s="308"/>
      <c r="IYF483" s="308"/>
      <c r="IYG483" s="308"/>
      <c r="IYH483" s="308"/>
      <c r="IYI483" s="308"/>
      <c r="IYJ483" s="308"/>
      <c r="IYK483" s="308"/>
      <c r="IYL483" s="308"/>
      <c r="IYM483" s="308"/>
      <c r="IYN483" s="308"/>
      <c r="IYO483" s="308"/>
      <c r="IYP483" s="308"/>
      <c r="IYQ483" s="308"/>
      <c r="IYR483" s="308"/>
      <c r="IYS483" s="308"/>
      <c r="IYT483" s="308"/>
      <c r="IYU483" s="308"/>
      <c r="IYV483" s="308"/>
      <c r="IYW483" s="308"/>
      <c r="IYX483" s="308"/>
      <c r="IYY483" s="308"/>
      <c r="IYZ483" s="308"/>
      <c r="IZA483" s="308"/>
      <c r="IZB483" s="308"/>
      <c r="IZC483" s="308"/>
      <c r="IZD483" s="308"/>
      <c r="IZE483" s="308"/>
      <c r="IZF483" s="308"/>
      <c r="IZG483" s="308"/>
      <c r="IZH483" s="308"/>
      <c r="IZI483" s="308"/>
      <c r="IZJ483" s="308"/>
      <c r="IZK483" s="308"/>
      <c r="IZL483" s="308"/>
      <c r="IZM483" s="308"/>
      <c r="IZN483" s="308"/>
      <c r="IZO483" s="308"/>
      <c r="IZP483" s="308"/>
      <c r="IZQ483" s="308"/>
      <c r="IZR483" s="308"/>
      <c r="IZS483" s="308"/>
      <c r="IZT483" s="308"/>
      <c r="IZU483" s="308"/>
      <c r="IZV483" s="308"/>
      <c r="IZW483" s="308"/>
      <c r="IZX483" s="308"/>
      <c r="IZY483" s="308"/>
      <c r="IZZ483" s="308"/>
      <c r="JAA483" s="308"/>
      <c r="JAB483" s="308"/>
      <c r="JAC483" s="308"/>
      <c r="JAD483" s="308"/>
      <c r="JAE483" s="308"/>
      <c r="JAF483" s="308"/>
      <c r="JAG483" s="308"/>
      <c r="JAH483" s="308"/>
      <c r="JAI483" s="308"/>
      <c r="JAJ483" s="308"/>
      <c r="JAK483" s="308"/>
      <c r="JAL483" s="308"/>
      <c r="JAM483" s="308"/>
      <c r="JAN483" s="308"/>
      <c r="JAO483" s="308"/>
      <c r="JAP483" s="308"/>
      <c r="JAQ483" s="308"/>
      <c r="JAR483" s="308"/>
      <c r="JAS483" s="308"/>
      <c r="JAT483" s="308"/>
      <c r="JAU483" s="308"/>
      <c r="JAV483" s="308"/>
      <c r="JAW483" s="308"/>
      <c r="JAX483" s="308"/>
      <c r="JAY483" s="308"/>
      <c r="JAZ483" s="308"/>
      <c r="JBA483" s="308"/>
      <c r="JBB483" s="308"/>
      <c r="JBC483" s="308"/>
      <c r="JBD483" s="308"/>
      <c r="JBE483" s="308"/>
      <c r="JBF483" s="308"/>
      <c r="JBG483" s="308"/>
      <c r="JBH483" s="308"/>
      <c r="JBI483" s="308"/>
      <c r="JBJ483" s="308"/>
      <c r="JBK483" s="308"/>
      <c r="JBL483" s="308"/>
      <c r="JBM483" s="308"/>
      <c r="JBN483" s="308"/>
      <c r="JBO483" s="308"/>
      <c r="JBP483" s="308"/>
      <c r="JBQ483" s="308"/>
      <c r="JBR483" s="308"/>
      <c r="JBS483" s="308"/>
      <c r="JBT483" s="308"/>
      <c r="JBU483" s="308"/>
      <c r="JBV483" s="308"/>
      <c r="JBW483" s="308"/>
      <c r="JBX483" s="308"/>
      <c r="JBY483" s="308"/>
      <c r="JBZ483" s="308"/>
      <c r="JCA483" s="308"/>
      <c r="JCB483" s="308"/>
      <c r="JCC483" s="308"/>
      <c r="JCD483" s="308"/>
      <c r="JCE483" s="308"/>
      <c r="JCF483" s="308"/>
      <c r="JCG483" s="308"/>
      <c r="JCH483" s="308"/>
      <c r="JCI483" s="308"/>
      <c r="JCJ483" s="308"/>
      <c r="JCK483" s="308"/>
      <c r="JCL483" s="308"/>
      <c r="JCM483" s="308"/>
      <c r="JCN483" s="308"/>
      <c r="JCO483" s="308"/>
      <c r="JCP483" s="308"/>
      <c r="JCQ483" s="308"/>
      <c r="JCR483" s="308"/>
      <c r="JCS483" s="308"/>
      <c r="JCT483" s="308"/>
      <c r="JCU483" s="308"/>
      <c r="JCV483" s="308"/>
      <c r="JCW483" s="308"/>
      <c r="JCX483" s="308"/>
      <c r="JCY483" s="308"/>
      <c r="JCZ483" s="308"/>
      <c r="JDA483" s="308"/>
      <c r="JDB483" s="308"/>
      <c r="JDC483" s="308"/>
      <c r="JDD483" s="308"/>
      <c r="JDE483" s="308"/>
      <c r="JDF483" s="308"/>
      <c r="JDG483" s="308"/>
      <c r="JDH483" s="308"/>
      <c r="JDI483" s="308"/>
      <c r="JDJ483" s="308"/>
      <c r="JDK483" s="308"/>
      <c r="JDL483" s="308"/>
      <c r="JDM483" s="308"/>
      <c r="JDN483" s="308"/>
      <c r="JDO483" s="308"/>
      <c r="JDP483" s="308"/>
      <c r="JDQ483" s="308"/>
      <c r="JDR483" s="308"/>
      <c r="JDS483" s="308"/>
      <c r="JDT483" s="308"/>
      <c r="JDU483" s="308"/>
      <c r="JDV483" s="308"/>
      <c r="JDW483" s="308"/>
      <c r="JDX483" s="308"/>
      <c r="JDY483" s="308"/>
      <c r="JDZ483" s="308"/>
      <c r="JEA483" s="308"/>
      <c r="JEB483" s="308"/>
      <c r="JEC483" s="308"/>
      <c r="JED483" s="308"/>
      <c r="JEE483" s="308"/>
      <c r="JEF483" s="308"/>
      <c r="JEG483" s="308"/>
      <c r="JEH483" s="308"/>
      <c r="JEI483" s="308"/>
      <c r="JEJ483" s="308"/>
      <c r="JEK483" s="308"/>
      <c r="JEL483" s="308"/>
      <c r="JEM483" s="308"/>
      <c r="JEN483" s="308"/>
      <c r="JEO483" s="308"/>
      <c r="JEP483" s="308"/>
      <c r="JEQ483" s="308"/>
      <c r="JER483" s="308"/>
      <c r="JES483" s="308"/>
      <c r="JET483" s="308"/>
      <c r="JEU483" s="308"/>
      <c r="JEV483" s="308"/>
      <c r="JEW483" s="308"/>
      <c r="JEX483" s="308"/>
      <c r="JEY483" s="308"/>
      <c r="JEZ483" s="308"/>
      <c r="JFA483" s="308"/>
      <c r="JFB483" s="308"/>
      <c r="JFC483" s="308"/>
      <c r="JFD483" s="308"/>
      <c r="JFE483" s="308"/>
      <c r="JFF483" s="308"/>
      <c r="JFG483" s="308"/>
      <c r="JFH483" s="308"/>
      <c r="JFI483" s="308"/>
      <c r="JFJ483" s="308"/>
      <c r="JFK483" s="308"/>
      <c r="JFL483" s="308"/>
      <c r="JFM483" s="308"/>
      <c r="JFN483" s="308"/>
      <c r="JFO483" s="308"/>
      <c r="JFP483" s="308"/>
      <c r="JFQ483" s="308"/>
      <c r="JFR483" s="308"/>
      <c r="JFS483" s="308"/>
      <c r="JFT483" s="308"/>
      <c r="JFU483" s="308"/>
      <c r="JFV483" s="308"/>
      <c r="JFW483" s="308"/>
      <c r="JFX483" s="308"/>
      <c r="JFY483" s="308"/>
      <c r="JFZ483" s="308"/>
      <c r="JGA483" s="308"/>
      <c r="JGB483" s="308"/>
      <c r="JGC483" s="308"/>
      <c r="JGD483" s="308"/>
      <c r="JGE483" s="308"/>
      <c r="JGF483" s="308"/>
      <c r="JGG483" s="308"/>
      <c r="JGH483" s="308"/>
      <c r="JGI483" s="308"/>
      <c r="JGJ483" s="308"/>
      <c r="JGK483" s="308"/>
      <c r="JGL483" s="308"/>
      <c r="JGM483" s="308"/>
      <c r="JGN483" s="308"/>
      <c r="JGO483" s="308"/>
      <c r="JGP483" s="308"/>
      <c r="JGQ483" s="308"/>
      <c r="JGR483" s="308"/>
      <c r="JGS483" s="308"/>
      <c r="JGT483" s="308"/>
      <c r="JGU483" s="308"/>
      <c r="JGV483" s="308"/>
      <c r="JGW483" s="308"/>
      <c r="JGX483" s="308"/>
      <c r="JGY483" s="308"/>
      <c r="JGZ483" s="308"/>
      <c r="JHA483" s="308"/>
      <c r="JHB483" s="308"/>
      <c r="JHC483" s="308"/>
      <c r="JHD483" s="308"/>
      <c r="JHE483" s="308"/>
      <c r="JHF483" s="308"/>
      <c r="JHG483" s="308"/>
      <c r="JHH483" s="308"/>
      <c r="JHI483" s="308"/>
      <c r="JHJ483" s="308"/>
      <c r="JHK483" s="308"/>
      <c r="JHL483" s="308"/>
      <c r="JHM483" s="308"/>
      <c r="JHN483" s="308"/>
      <c r="JHO483" s="308"/>
      <c r="JHP483" s="308"/>
      <c r="JHQ483" s="308"/>
      <c r="JHR483" s="308"/>
      <c r="JHS483" s="308"/>
      <c r="JHT483" s="308"/>
      <c r="JHU483" s="308"/>
      <c r="JHV483" s="308"/>
      <c r="JHW483" s="308"/>
      <c r="JHX483" s="308"/>
      <c r="JHY483" s="308"/>
      <c r="JHZ483" s="308"/>
      <c r="JIA483" s="308"/>
      <c r="JIB483" s="308"/>
      <c r="JIC483" s="308"/>
      <c r="JID483" s="308"/>
      <c r="JIE483" s="308"/>
      <c r="JIF483" s="308"/>
      <c r="JIG483" s="308"/>
      <c r="JIH483" s="308"/>
      <c r="JII483" s="308"/>
      <c r="JIJ483" s="308"/>
      <c r="JIK483" s="308"/>
      <c r="JIL483" s="308"/>
      <c r="JIM483" s="308"/>
      <c r="JIN483" s="308"/>
      <c r="JIO483" s="308"/>
      <c r="JIP483" s="308"/>
      <c r="JIQ483" s="308"/>
      <c r="JIR483" s="308"/>
      <c r="JIS483" s="308"/>
      <c r="JIT483" s="308"/>
      <c r="JIU483" s="308"/>
      <c r="JIV483" s="308"/>
      <c r="JIW483" s="308"/>
      <c r="JIX483" s="308"/>
      <c r="JIY483" s="308"/>
      <c r="JIZ483" s="308"/>
      <c r="JJA483" s="308"/>
      <c r="JJB483" s="308"/>
      <c r="JJC483" s="308"/>
      <c r="JJD483" s="308"/>
      <c r="JJE483" s="308"/>
      <c r="JJF483" s="308"/>
      <c r="JJG483" s="308"/>
      <c r="JJH483" s="308"/>
      <c r="JJI483" s="308"/>
      <c r="JJJ483" s="308"/>
      <c r="JJK483" s="308"/>
      <c r="JJL483" s="308"/>
      <c r="JJM483" s="308"/>
      <c r="JJN483" s="308"/>
      <c r="JJO483" s="308"/>
      <c r="JJP483" s="308"/>
      <c r="JJQ483" s="308"/>
      <c r="JJR483" s="308"/>
      <c r="JJS483" s="308"/>
      <c r="JJT483" s="308"/>
      <c r="JJU483" s="308"/>
      <c r="JJV483" s="308"/>
      <c r="JJW483" s="308"/>
      <c r="JJX483" s="308"/>
      <c r="JJY483" s="308"/>
      <c r="JJZ483" s="308"/>
      <c r="JKA483" s="308"/>
      <c r="JKB483" s="308"/>
      <c r="JKC483" s="308"/>
      <c r="JKD483" s="308"/>
      <c r="JKE483" s="308"/>
      <c r="JKF483" s="308"/>
      <c r="JKG483" s="308"/>
      <c r="JKH483" s="308"/>
      <c r="JKI483" s="308"/>
      <c r="JKJ483" s="308"/>
      <c r="JKK483" s="308"/>
      <c r="JKL483" s="308"/>
      <c r="JKM483" s="308"/>
      <c r="JKN483" s="308"/>
      <c r="JKO483" s="308"/>
      <c r="JKP483" s="308"/>
      <c r="JKQ483" s="308"/>
      <c r="JKR483" s="308"/>
      <c r="JKS483" s="308"/>
      <c r="JKT483" s="308"/>
      <c r="JKU483" s="308"/>
      <c r="JKV483" s="308"/>
      <c r="JKW483" s="308"/>
      <c r="JKX483" s="308"/>
      <c r="JKY483" s="308"/>
      <c r="JKZ483" s="308"/>
      <c r="JLA483" s="308"/>
      <c r="JLB483" s="308"/>
      <c r="JLC483" s="308"/>
      <c r="JLD483" s="308"/>
      <c r="JLE483" s="308"/>
      <c r="JLF483" s="308"/>
      <c r="JLG483" s="308"/>
      <c r="JLH483" s="308"/>
      <c r="JLI483" s="308"/>
      <c r="JLJ483" s="308"/>
      <c r="JLK483" s="308"/>
      <c r="JLL483" s="308"/>
      <c r="JLM483" s="308"/>
      <c r="JLN483" s="308"/>
      <c r="JLO483" s="308"/>
      <c r="JLP483" s="308"/>
      <c r="JLQ483" s="308"/>
      <c r="JLR483" s="308"/>
      <c r="JLS483" s="308"/>
      <c r="JLT483" s="308"/>
      <c r="JLU483" s="308"/>
      <c r="JLV483" s="308"/>
      <c r="JLW483" s="308"/>
      <c r="JLX483" s="308"/>
      <c r="JLY483" s="308"/>
      <c r="JLZ483" s="308"/>
      <c r="JMA483" s="308"/>
      <c r="JMB483" s="308"/>
      <c r="JMC483" s="308"/>
      <c r="JMD483" s="308"/>
      <c r="JME483" s="308"/>
      <c r="JMF483" s="308"/>
      <c r="JMG483" s="308"/>
      <c r="JMH483" s="308"/>
      <c r="JMI483" s="308"/>
      <c r="JMJ483" s="308"/>
      <c r="JMK483" s="308"/>
      <c r="JML483" s="308"/>
      <c r="JMM483" s="308"/>
      <c r="JMN483" s="308"/>
      <c r="JMO483" s="308"/>
      <c r="JMP483" s="308"/>
      <c r="JMQ483" s="308"/>
      <c r="JMR483" s="308"/>
      <c r="JMS483" s="308"/>
      <c r="JMT483" s="308"/>
      <c r="JMU483" s="308"/>
      <c r="JMV483" s="308"/>
      <c r="JMW483" s="308"/>
      <c r="JMX483" s="308"/>
      <c r="JMY483" s="308"/>
      <c r="JMZ483" s="308"/>
      <c r="JNA483" s="308"/>
      <c r="JNB483" s="308"/>
      <c r="JNC483" s="308"/>
      <c r="JND483" s="308"/>
      <c r="JNE483" s="308"/>
      <c r="JNF483" s="308"/>
      <c r="JNG483" s="308"/>
      <c r="JNH483" s="308"/>
      <c r="JNI483" s="308"/>
      <c r="JNJ483" s="308"/>
      <c r="JNK483" s="308"/>
      <c r="JNL483" s="308"/>
      <c r="JNM483" s="308"/>
      <c r="JNN483" s="308"/>
      <c r="JNO483" s="308"/>
      <c r="JNP483" s="308"/>
      <c r="JNQ483" s="308"/>
      <c r="JNR483" s="308"/>
      <c r="JNS483" s="308"/>
      <c r="JNT483" s="308"/>
      <c r="JNU483" s="308"/>
      <c r="JNV483" s="308"/>
      <c r="JNW483" s="308"/>
      <c r="JNX483" s="308"/>
      <c r="JNY483" s="308"/>
      <c r="JNZ483" s="308"/>
      <c r="JOA483" s="308"/>
      <c r="JOB483" s="308"/>
      <c r="JOC483" s="308"/>
      <c r="JOD483" s="308"/>
      <c r="JOE483" s="308"/>
      <c r="JOF483" s="308"/>
      <c r="JOG483" s="308"/>
      <c r="JOH483" s="308"/>
      <c r="JOI483" s="308"/>
      <c r="JOJ483" s="308"/>
      <c r="JOK483" s="308"/>
      <c r="JOL483" s="308"/>
      <c r="JOM483" s="308"/>
      <c r="JON483" s="308"/>
      <c r="JOO483" s="308"/>
      <c r="JOP483" s="308"/>
      <c r="JOQ483" s="308"/>
      <c r="JOR483" s="308"/>
      <c r="JOS483" s="308"/>
      <c r="JOT483" s="308"/>
      <c r="JOU483" s="308"/>
      <c r="JOV483" s="308"/>
      <c r="JOW483" s="308"/>
      <c r="JOX483" s="308"/>
      <c r="JOY483" s="308"/>
      <c r="JOZ483" s="308"/>
      <c r="JPA483" s="308"/>
      <c r="JPB483" s="308"/>
      <c r="JPC483" s="308"/>
      <c r="JPD483" s="308"/>
      <c r="JPE483" s="308"/>
      <c r="JPF483" s="308"/>
      <c r="JPG483" s="308"/>
      <c r="JPH483" s="308"/>
      <c r="JPI483" s="308"/>
      <c r="JPJ483" s="308"/>
      <c r="JPK483" s="308"/>
      <c r="JPL483" s="308"/>
      <c r="JPM483" s="308"/>
      <c r="JPN483" s="308"/>
      <c r="JPO483" s="308"/>
      <c r="JPP483" s="308"/>
      <c r="JPQ483" s="308"/>
      <c r="JPR483" s="308"/>
      <c r="JPS483" s="308"/>
      <c r="JPT483" s="308"/>
      <c r="JPU483" s="308"/>
      <c r="JPV483" s="308"/>
      <c r="JPW483" s="308"/>
      <c r="JPX483" s="308"/>
      <c r="JPY483" s="308"/>
      <c r="JPZ483" s="308"/>
      <c r="JQA483" s="308"/>
      <c r="JQB483" s="308"/>
      <c r="JQC483" s="308"/>
      <c r="JQD483" s="308"/>
      <c r="JQE483" s="308"/>
      <c r="JQF483" s="308"/>
      <c r="JQG483" s="308"/>
      <c r="JQH483" s="308"/>
      <c r="JQI483" s="308"/>
      <c r="JQJ483" s="308"/>
      <c r="JQK483" s="308"/>
      <c r="JQL483" s="308"/>
      <c r="JQM483" s="308"/>
      <c r="JQN483" s="308"/>
      <c r="JQO483" s="308"/>
      <c r="JQP483" s="308"/>
      <c r="JQQ483" s="308"/>
      <c r="JQR483" s="308"/>
      <c r="JQS483" s="308"/>
      <c r="JQT483" s="308"/>
      <c r="JQU483" s="308"/>
      <c r="JQV483" s="308"/>
      <c r="JQW483" s="308"/>
      <c r="JQX483" s="308"/>
      <c r="JQY483" s="308"/>
      <c r="JQZ483" s="308"/>
      <c r="JRA483" s="308"/>
      <c r="JRB483" s="308"/>
      <c r="JRC483" s="308"/>
      <c r="JRD483" s="308"/>
      <c r="JRE483" s="308"/>
      <c r="JRF483" s="308"/>
      <c r="JRG483" s="308"/>
      <c r="JRH483" s="308"/>
      <c r="JRI483" s="308"/>
      <c r="JRJ483" s="308"/>
      <c r="JRK483" s="308"/>
      <c r="JRL483" s="308"/>
      <c r="JRM483" s="308"/>
      <c r="JRN483" s="308"/>
      <c r="JRO483" s="308"/>
      <c r="JRP483" s="308"/>
      <c r="JRQ483" s="308"/>
      <c r="JRR483" s="308"/>
      <c r="JRS483" s="308"/>
      <c r="JRT483" s="308"/>
      <c r="JRU483" s="308"/>
      <c r="JRV483" s="308"/>
      <c r="JRW483" s="308"/>
      <c r="JRX483" s="308"/>
      <c r="JRY483" s="308"/>
      <c r="JRZ483" s="308"/>
      <c r="JSA483" s="308"/>
      <c r="JSB483" s="308"/>
      <c r="JSC483" s="308"/>
      <c r="JSD483" s="308"/>
      <c r="JSE483" s="308"/>
      <c r="JSF483" s="308"/>
      <c r="JSG483" s="308"/>
      <c r="JSH483" s="308"/>
      <c r="JSI483" s="308"/>
      <c r="JSJ483" s="308"/>
      <c r="JSK483" s="308"/>
      <c r="JSL483" s="308"/>
      <c r="JSM483" s="308"/>
      <c r="JSN483" s="308"/>
      <c r="JSO483" s="308"/>
      <c r="JSP483" s="308"/>
      <c r="JSQ483" s="308"/>
      <c r="JSR483" s="308"/>
      <c r="JSS483" s="308"/>
      <c r="JST483" s="308"/>
      <c r="JSU483" s="308"/>
      <c r="JSV483" s="308"/>
      <c r="JSW483" s="308"/>
      <c r="JSX483" s="308"/>
      <c r="JSY483" s="308"/>
      <c r="JSZ483" s="308"/>
      <c r="JTA483" s="308"/>
      <c r="JTB483" s="308"/>
      <c r="JTC483" s="308"/>
      <c r="JTD483" s="308"/>
      <c r="JTE483" s="308"/>
      <c r="JTF483" s="308"/>
      <c r="JTG483" s="308"/>
      <c r="JTH483" s="308"/>
      <c r="JTI483" s="308"/>
      <c r="JTJ483" s="308"/>
      <c r="JTK483" s="308"/>
      <c r="JTL483" s="308"/>
      <c r="JTM483" s="308"/>
      <c r="JTN483" s="308"/>
      <c r="JTO483" s="308"/>
      <c r="JTP483" s="308"/>
      <c r="JTQ483" s="308"/>
      <c r="JTR483" s="308"/>
      <c r="JTS483" s="308"/>
      <c r="JTT483" s="308"/>
      <c r="JTU483" s="308"/>
      <c r="JTV483" s="308"/>
      <c r="JTW483" s="308"/>
      <c r="JTX483" s="308"/>
      <c r="JTY483" s="308"/>
      <c r="JTZ483" s="308"/>
      <c r="JUA483" s="308"/>
      <c r="JUB483" s="308"/>
      <c r="JUC483" s="308"/>
      <c r="JUD483" s="308"/>
      <c r="JUE483" s="308"/>
      <c r="JUF483" s="308"/>
      <c r="JUG483" s="308"/>
      <c r="JUH483" s="308"/>
      <c r="JUI483" s="308"/>
      <c r="JUJ483" s="308"/>
      <c r="JUK483" s="308"/>
      <c r="JUL483" s="308"/>
      <c r="JUM483" s="308"/>
      <c r="JUN483" s="308"/>
      <c r="JUO483" s="308"/>
      <c r="JUP483" s="308"/>
      <c r="JUQ483" s="308"/>
      <c r="JUR483" s="308"/>
      <c r="JUS483" s="308"/>
      <c r="JUT483" s="308"/>
      <c r="JUU483" s="308"/>
      <c r="JUV483" s="308"/>
      <c r="JUW483" s="308"/>
      <c r="JUX483" s="308"/>
      <c r="JUY483" s="308"/>
      <c r="JUZ483" s="308"/>
      <c r="JVA483" s="308"/>
      <c r="JVB483" s="308"/>
      <c r="JVC483" s="308"/>
      <c r="JVD483" s="308"/>
      <c r="JVE483" s="308"/>
      <c r="JVF483" s="308"/>
      <c r="JVG483" s="308"/>
      <c r="JVH483" s="308"/>
      <c r="JVI483" s="308"/>
      <c r="JVJ483" s="308"/>
      <c r="JVK483" s="308"/>
      <c r="JVL483" s="308"/>
      <c r="JVM483" s="308"/>
      <c r="JVN483" s="308"/>
      <c r="JVO483" s="308"/>
      <c r="JVP483" s="308"/>
      <c r="JVQ483" s="308"/>
      <c r="JVR483" s="308"/>
      <c r="JVS483" s="308"/>
      <c r="JVT483" s="308"/>
      <c r="JVU483" s="308"/>
      <c r="JVV483" s="308"/>
      <c r="JVW483" s="308"/>
      <c r="JVX483" s="308"/>
      <c r="JVY483" s="308"/>
      <c r="JVZ483" s="308"/>
      <c r="JWA483" s="308"/>
      <c r="JWB483" s="308"/>
      <c r="JWC483" s="308"/>
      <c r="JWD483" s="308"/>
      <c r="JWE483" s="308"/>
      <c r="JWF483" s="308"/>
      <c r="JWG483" s="308"/>
      <c r="JWH483" s="308"/>
      <c r="JWI483" s="308"/>
      <c r="JWJ483" s="308"/>
      <c r="JWK483" s="308"/>
      <c r="JWL483" s="308"/>
      <c r="JWM483" s="308"/>
      <c r="JWN483" s="308"/>
      <c r="JWO483" s="308"/>
      <c r="JWP483" s="308"/>
      <c r="JWQ483" s="308"/>
      <c r="JWR483" s="308"/>
      <c r="JWS483" s="308"/>
      <c r="JWT483" s="308"/>
      <c r="JWU483" s="308"/>
      <c r="JWV483" s="308"/>
      <c r="JWW483" s="308"/>
      <c r="JWX483" s="308"/>
      <c r="JWY483" s="308"/>
      <c r="JWZ483" s="308"/>
      <c r="JXA483" s="308"/>
      <c r="JXB483" s="308"/>
      <c r="JXC483" s="308"/>
      <c r="JXD483" s="308"/>
      <c r="JXE483" s="308"/>
      <c r="JXF483" s="308"/>
      <c r="JXG483" s="308"/>
      <c r="JXH483" s="308"/>
      <c r="JXI483" s="308"/>
      <c r="JXJ483" s="308"/>
      <c r="JXK483" s="308"/>
      <c r="JXL483" s="308"/>
      <c r="JXM483" s="308"/>
      <c r="JXN483" s="308"/>
      <c r="JXO483" s="308"/>
      <c r="JXP483" s="308"/>
      <c r="JXQ483" s="308"/>
      <c r="JXR483" s="308"/>
      <c r="JXS483" s="308"/>
      <c r="JXT483" s="308"/>
      <c r="JXU483" s="308"/>
      <c r="JXV483" s="308"/>
      <c r="JXW483" s="308"/>
      <c r="JXX483" s="308"/>
      <c r="JXY483" s="308"/>
      <c r="JXZ483" s="308"/>
      <c r="JYA483" s="308"/>
      <c r="JYB483" s="308"/>
      <c r="JYC483" s="308"/>
      <c r="JYD483" s="308"/>
      <c r="JYE483" s="308"/>
      <c r="JYF483" s="308"/>
      <c r="JYG483" s="308"/>
      <c r="JYH483" s="308"/>
      <c r="JYI483" s="308"/>
      <c r="JYJ483" s="308"/>
      <c r="JYK483" s="308"/>
      <c r="JYL483" s="308"/>
      <c r="JYM483" s="308"/>
      <c r="JYN483" s="308"/>
      <c r="JYO483" s="308"/>
      <c r="JYP483" s="308"/>
      <c r="JYQ483" s="308"/>
      <c r="JYR483" s="308"/>
      <c r="JYS483" s="308"/>
      <c r="JYT483" s="308"/>
      <c r="JYU483" s="308"/>
      <c r="JYV483" s="308"/>
      <c r="JYW483" s="308"/>
      <c r="JYX483" s="308"/>
      <c r="JYY483" s="308"/>
      <c r="JYZ483" s="308"/>
      <c r="JZA483" s="308"/>
      <c r="JZB483" s="308"/>
      <c r="JZC483" s="308"/>
      <c r="JZD483" s="308"/>
      <c r="JZE483" s="308"/>
      <c r="JZF483" s="308"/>
      <c r="JZG483" s="308"/>
      <c r="JZH483" s="308"/>
      <c r="JZI483" s="308"/>
      <c r="JZJ483" s="308"/>
      <c r="JZK483" s="308"/>
      <c r="JZL483" s="308"/>
      <c r="JZM483" s="308"/>
      <c r="JZN483" s="308"/>
      <c r="JZO483" s="308"/>
      <c r="JZP483" s="308"/>
      <c r="JZQ483" s="308"/>
      <c r="JZR483" s="308"/>
      <c r="JZS483" s="308"/>
      <c r="JZT483" s="308"/>
      <c r="JZU483" s="308"/>
      <c r="JZV483" s="308"/>
      <c r="JZW483" s="308"/>
      <c r="JZX483" s="308"/>
      <c r="JZY483" s="308"/>
      <c r="JZZ483" s="308"/>
      <c r="KAA483" s="308"/>
      <c r="KAB483" s="308"/>
      <c r="KAC483" s="308"/>
      <c r="KAD483" s="308"/>
      <c r="KAE483" s="308"/>
      <c r="KAF483" s="308"/>
      <c r="KAG483" s="308"/>
      <c r="KAH483" s="308"/>
      <c r="KAI483" s="308"/>
      <c r="KAJ483" s="308"/>
      <c r="KAK483" s="308"/>
      <c r="KAL483" s="308"/>
      <c r="KAM483" s="308"/>
      <c r="KAN483" s="308"/>
      <c r="KAO483" s="308"/>
      <c r="KAP483" s="308"/>
      <c r="KAQ483" s="308"/>
      <c r="KAR483" s="308"/>
      <c r="KAS483" s="308"/>
      <c r="KAT483" s="308"/>
      <c r="KAU483" s="308"/>
      <c r="KAV483" s="308"/>
      <c r="KAW483" s="308"/>
      <c r="KAX483" s="308"/>
      <c r="KAY483" s="308"/>
      <c r="KAZ483" s="308"/>
      <c r="KBA483" s="308"/>
      <c r="KBB483" s="308"/>
      <c r="KBC483" s="308"/>
      <c r="KBD483" s="308"/>
      <c r="KBE483" s="308"/>
      <c r="KBF483" s="308"/>
      <c r="KBG483" s="308"/>
      <c r="KBH483" s="308"/>
      <c r="KBI483" s="308"/>
      <c r="KBJ483" s="308"/>
      <c r="KBK483" s="308"/>
      <c r="KBL483" s="308"/>
      <c r="KBM483" s="308"/>
      <c r="KBN483" s="308"/>
      <c r="KBO483" s="308"/>
      <c r="KBP483" s="308"/>
      <c r="KBQ483" s="308"/>
      <c r="KBR483" s="308"/>
      <c r="KBS483" s="308"/>
      <c r="KBT483" s="308"/>
      <c r="KBU483" s="308"/>
      <c r="KBV483" s="308"/>
      <c r="KBW483" s="308"/>
      <c r="KBX483" s="308"/>
      <c r="KBY483" s="308"/>
      <c r="KBZ483" s="308"/>
      <c r="KCA483" s="308"/>
      <c r="KCB483" s="308"/>
      <c r="KCC483" s="308"/>
      <c r="KCD483" s="308"/>
      <c r="KCE483" s="308"/>
      <c r="KCF483" s="308"/>
      <c r="KCG483" s="308"/>
      <c r="KCH483" s="308"/>
      <c r="KCI483" s="308"/>
      <c r="KCJ483" s="308"/>
      <c r="KCK483" s="308"/>
      <c r="KCL483" s="308"/>
      <c r="KCM483" s="308"/>
      <c r="KCN483" s="308"/>
      <c r="KCO483" s="308"/>
      <c r="KCP483" s="308"/>
      <c r="KCQ483" s="308"/>
      <c r="KCR483" s="308"/>
      <c r="KCS483" s="308"/>
      <c r="KCT483" s="308"/>
      <c r="KCU483" s="308"/>
      <c r="KCV483" s="308"/>
      <c r="KCW483" s="308"/>
      <c r="KCX483" s="308"/>
      <c r="KCY483" s="308"/>
      <c r="KCZ483" s="308"/>
      <c r="KDA483" s="308"/>
      <c r="KDB483" s="308"/>
      <c r="KDC483" s="308"/>
      <c r="KDD483" s="308"/>
      <c r="KDE483" s="308"/>
      <c r="KDF483" s="308"/>
      <c r="KDG483" s="308"/>
      <c r="KDH483" s="308"/>
      <c r="KDI483" s="308"/>
      <c r="KDJ483" s="308"/>
      <c r="KDK483" s="308"/>
      <c r="KDL483" s="308"/>
      <c r="KDM483" s="308"/>
      <c r="KDN483" s="308"/>
      <c r="KDO483" s="308"/>
      <c r="KDP483" s="308"/>
      <c r="KDQ483" s="308"/>
      <c r="KDR483" s="308"/>
      <c r="KDS483" s="308"/>
      <c r="KDT483" s="308"/>
      <c r="KDU483" s="308"/>
      <c r="KDV483" s="308"/>
      <c r="KDW483" s="308"/>
      <c r="KDX483" s="308"/>
      <c r="KDY483" s="308"/>
      <c r="KDZ483" s="308"/>
      <c r="KEA483" s="308"/>
      <c r="KEB483" s="308"/>
      <c r="KEC483" s="308"/>
      <c r="KED483" s="308"/>
      <c r="KEE483" s="308"/>
      <c r="KEF483" s="308"/>
      <c r="KEG483" s="308"/>
      <c r="KEH483" s="308"/>
      <c r="KEI483" s="308"/>
      <c r="KEJ483" s="308"/>
      <c r="KEK483" s="308"/>
      <c r="KEL483" s="308"/>
      <c r="KEM483" s="308"/>
      <c r="KEN483" s="308"/>
      <c r="KEO483" s="308"/>
      <c r="KEP483" s="308"/>
      <c r="KEQ483" s="308"/>
      <c r="KER483" s="308"/>
      <c r="KES483" s="308"/>
      <c r="KET483" s="308"/>
      <c r="KEU483" s="308"/>
      <c r="KEV483" s="308"/>
      <c r="KEW483" s="308"/>
      <c r="KEX483" s="308"/>
      <c r="KEY483" s="308"/>
      <c r="KEZ483" s="308"/>
      <c r="KFA483" s="308"/>
      <c r="KFB483" s="308"/>
      <c r="KFC483" s="308"/>
      <c r="KFD483" s="308"/>
      <c r="KFE483" s="308"/>
      <c r="KFF483" s="308"/>
      <c r="KFG483" s="308"/>
      <c r="KFH483" s="308"/>
      <c r="KFI483" s="308"/>
      <c r="KFJ483" s="308"/>
      <c r="KFK483" s="308"/>
      <c r="KFL483" s="308"/>
      <c r="KFM483" s="308"/>
      <c r="KFN483" s="308"/>
      <c r="KFO483" s="308"/>
      <c r="KFP483" s="308"/>
      <c r="KFQ483" s="308"/>
      <c r="KFR483" s="308"/>
      <c r="KFS483" s="308"/>
      <c r="KFT483" s="308"/>
      <c r="KFU483" s="308"/>
      <c r="KFV483" s="308"/>
      <c r="KFW483" s="308"/>
      <c r="KFX483" s="308"/>
      <c r="KFY483" s="308"/>
      <c r="KFZ483" s="308"/>
      <c r="KGA483" s="308"/>
      <c r="KGB483" s="308"/>
      <c r="KGC483" s="308"/>
      <c r="KGD483" s="308"/>
      <c r="KGE483" s="308"/>
      <c r="KGF483" s="308"/>
      <c r="KGG483" s="308"/>
      <c r="KGH483" s="308"/>
      <c r="KGI483" s="308"/>
      <c r="KGJ483" s="308"/>
      <c r="KGK483" s="308"/>
      <c r="KGL483" s="308"/>
      <c r="KGM483" s="308"/>
      <c r="KGN483" s="308"/>
      <c r="KGO483" s="308"/>
      <c r="KGP483" s="308"/>
      <c r="KGQ483" s="308"/>
      <c r="KGR483" s="308"/>
      <c r="KGS483" s="308"/>
      <c r="KGT483" s="308"/>
      <c r="KGU483" s="308"/>
      <c r="KGV483" s="308"/>
      <c r="KGW483" s="308"/>
      <c r="KGX483" s="308"/>
      <c r="KGY483" s="308"/>
      <c r="KGZ483" s="308"/>
      <c r="KHA483" s="308"/>
      <c r="KHB483" s="308"/>
      <c r="KHC483" s="308"/>
      <c r="KHD483" s="308"/>
      <c r="KHE483" s="308"/>
      <c r="KHF483" s="308"/>
      <c r="KHG483" s="308"/>
      <c r="KHH483" s="308"/>
      <c r="KHI483" s="308"/>
      <c r="KHJ483" s="308"/>
      <c r="KHK483" s="308"/>
      <c r="KHL483" s="308"/>
      <c r="KHM483" s="308"/>
      <c r="KHN483" s="308"/>
      <c r="KHO483" s="308"/>
      <c r="KHP483" s="308"/>
      <c r="KHQ483" s="308"/>
      <c r="KHR483" s="308"/>
      <c r="KHS483" s="308"/>
      <c r="KHT483" s="308"/>
      <c r="KHU483" s="308"/>
      <c r="KHV483" s="308"/>
      <c r="KHW483" s="308"/>
      <c r="KHX483" s="308"/>
      <c r="KHY483" s="308"/>
      <c r="KHZ483" s="308"/>
      <c r="KIA483" s="308"/>
      <c r="KIB483" s="308"/>
      <c r="KIC483" s="308"/>
      <c r="KID483" s="308"/>
      <c r="KIE483" s="308"/>
      <c r="KIF483" s="308"/>
      <c r="KIG483" s="308"/>
      <c r="KIH483" s="308"/>
      <c r="KII483" s="308"/>
      <c r="KIJ483" s="308"/>
      <c r="KIK483" s="308"/>
      <c r="KIL483" s="308"/>
      <c r="KIM483" s="308"/>
      <c r="KIN483" s="308"/>
      <c r="KIO483" s="308"/>
      <c r="KIP483" s="308"/>
      <c r="KIQ483" s="308"/>
      <c r="KIR483" s="308"/>
      <c r="KIS483" s="308"/>
      <c r="KIT483" s="308"/>
      <c r="KIU483" s="308"/>
      <c r="KIV483" s="308"/>
      <c r="KIW483" s="308"/>
      <c r="KIX483" s="308"/>
      <c r="KIY483" s="308"/>
      <c r="KIZ483" s="308"/>
      <c r="KJA483" s="308"/>
      <c r="KJB483" s="308"/>
      <c r="KJC483" s="308"/>
      <c r="KJD483" s="308"/>
      <c r="KJE483" s="308"/>
      <c r="KJF483" s="308"/>
      <c r="KJG483" s="308"/>
      <c r="KJH483" s="308"/>
      <c r="KJI483" s="308"/>
      <c r="KJJ483" s="308"/>
      <c r="KJK483" s="308"/>
      <c r="KJL483" s="308"/>
      <c r="KJM483" s="308"/>
      <c r="KJN483" s="308"/>
      <c r="KJO483" s="308"/>
      <c r="KJP483" s="308"/>
      <c r="KJQ483" s="308"/>
      <c r="KJR483" s="308"/>
      <c r="KJS483" s="308"/>
      <c r="KJT483" s="308"/>
      <c r="KJU483" s="308"/>
      <c r="KJV483" s="308"/>
      <c r="KJW483" s="308"/>
      <c r="KJX483" s="308"/>
      <c r="KJY483" s="308"/>
      <c r="KJZ483" s="308"/>
      <c r="KKA483" s="308"/>
      <c r="KKB483" s="308"/>
      <c r="KKC483" s="308"/>
      <c r="KKD483" s="308"/>
      <c r="KKE483" s="308"/>
      <c r="KKF483" s="308"/>
      <c r="KKG483" s="308"/>
      <c r="KKH483" s="308"/>
      <c r="KKI483" s="308"/>
      <c r="KKJ483" s="308"/>
      <c r="KKK483" s="308"/>
      <c r="KKL483" s="308"/>
      <c r="KKM483" s="308"/>
      <c r="KKN483" s="308"/>
      <c r="KKO483" s="308"/>
      <c r="KKP483" s="308"/>
      <c r="KKQ483" s="308"/>
      <c r="KKR483" s="308"/>
      <c r="KKS483" s="308"/>
      <c r="KKT483" s="308"/>
      <c r="KKU483" s="308"/>
      <c r="KKV483" s="308"/>
      <c r="KKW483" s="308"/>
      <c r="KKX483" s="308"/>
      <c r="KKY483" s="308"/>
      <c r="KKZ483" s="308"/>
      <c r="KLA483" s="308"/>
      <c r="KLB483" s="308"/>
      <c r="KLC483" s="308"/>
      <c r="KLD483" s="308"/>
      <c r="KLE483" s="308"/>
      <c r="KLF483" s="308"/>
      <c r="KLG483" s="308"/>
      <c r="KLH483" s="308"/>
      <c r="KLI483" s="308"/>
      <c r="KLJ483" s="308"/>
      <c r="KLK483" s="308"/>
      <c r="KLL483" s="308"/>
      <c r="KLM483" s="308"/>
      <c r="KLN483" s="308"/>
      <c r="KLO483" s="308"/>
      <c r="KLP483" s="308"/>
      <c r="KLQ483" s="308"/>
      <c r="KLR483" s="308"/>
      <c r="KLS483" s="308"/>
      <c r="KLT483" s="308"/>
      <c r="KLU483" s="308"/>
      <c r="KLV483" s="308"/>
      <c r="KLW483" s="308"/>
      <c r="KLX483" s="308"/>
      <c r="KLY483" s="308"/>
      <c r="KLZ483" s="308"/>
      <c r="KMA483" s="308"/>
      <c r="KMB483" s="308"/>
      <c r="KMC483" s="308"/>
      <c r="KMD483" s="308"/>
      <c r="KME483" s="308"/>
      <c r="KMF483" s="308"/>
      <c r="KMG483" s="308"/>
      <c r="KMH483" s="308"/>
      <c r="KMI483" s="308"/>
      <c r="KMJ483" s="308"/>
      <c r="KMK483" s="308"/>
      <c r="KML483" s="308"/>
      <c r="KMM483" s="308"/>
      <c r="KMN483" s="308"/>
      <c r="KMO483" s="308"/>
      <c r="KMP483" s="308"/>
      <c r="KMQ483" s="308"/>
      <c r="KMR483" s="308"/>
      <c r="KMS483" s="308"/>
      <c r="KMT483" s="308"/>
      <c r="KMU483" s="308"/>
      <c r="KMV483" s="308"/>
      <c r="KMW483" s="308"/>
      <c r="KMX483" s="308"/>
      <c r="KMY483" s="308"/>
      <c r="KMZ483" s="308"/>
      <c r="KNA483" s="308"/>
      <c r="KNB483" s="308"/>
      <c r="KNC483" s="308"/>
      <c r="KND483" s="308"/>
      <c r="KNE483" s="308"/>
      <c r="KNF483" s="308"/>
      <c r="KNG483" s="308"/>
      <c r="KNH483" s="308"/>
      <c r="KNI483" s="308"/>
      <c r="KNJ483" s="308"/>
      <c r="KNK483" s="308"/>
      <c r="KNL483" s="308"/>
      <c r="KNM483" s="308"/>
      <c r="KNN483" s="308"/>
      <c r="KNO483" s="308"/>
      <c r="KNP483" s="308"/>
      <c r="KNQ483" s="308"/>
      <c r="KNR483" s="308"/>
      <c r="KNS483" s="308"/>
      <c r="KNT483" s="308"/>
      <c r="KNU483" s="308"/>
      <c r="KNV483" s="308"/>
      <c r="KNW483" s="308"/>
      <c r="KNX483" s="308"/>
      <c r="KNY483" s="308"/>
      <c r="KNZ483" s="308"/>
      <c r="KOA483" s="308"/>
      <c r="KOB483" s="308"/>
      <c r="KOC483" s="308"/>
      <c r="KOD483" s="308"/>
      <c r="KOE483" s="308"/>
      <c r="KOF483" s="308"/>
      <c r="KOG483" s="308"/>
      <c r="KOH483" s="308"/>
      <c r="KOI483" s="308"/>
      <c r="KOJ483" s="308"/>
      <c r="KOK483" s="308"/>
      <c r="KOL483" s="308"/>
      <c r="KOM483" s="308"/>
      <c r="KON483" s="308"/>
      <c r="KOO483" s="308"/>
      <c r="KOP483" s="308"/>
      <c r="KOQ483" s="308"/>
      <c r="KOR483" s="308"/>
      <c r="KOS483" s="308"/>
      <c r="KOT483" s="308"/>
      <c r="KOU483" s="308"/>
      <c r="KOV483" s="308"/>
      <c r="KOW483" s="308"/>
      <c r="KOX483" s="308"/>
      <c r="KOY483" s="308"/>
      <c r="KOZ483" s="308"/>
      <c r="KPA483" s="308"/>
      <c r="KPB483" s="308"/>
      <c r="KPC483" s="308"/>
      <c r="KPD483" s="308"/>
      <c r="KPE483" s="308"/>
      <c r="KPF483" s="308"/>
      <c r="KPG483" s="308"/>
      <c r="KPH483" s="308"/>
      <c r="KPI483" s="308"/>
      <c r="KPJ483" s="308"/>
      <c r="KPK483" s="308"/>
      <c r="KPL483" s="308"/>
      <c r="KPM483" s="308"/>
      <c r="KPN483" s="308"/>
      <c r="KPO483" s="308"/>
      <c r="KPP483" s="308"/>
      <c r="KPQ483" s="308"/>
      <c r="KPR483" s="308"/>
      <c r="KPS483" s="308"/>
      <c r="KPT483" s="308"/>
      <c r="KPU483" s="308"/>
      <c r="KPV483" s="308"/>
      <c r="KPW483" s="308"/>
      <c r="KPX483" s="308"/>
      <c r="KPY483" s="308"/>
      <c r="KPZ483" s="308"/>
      <c r="KQA483" s="308"/>
      <c r="KQB483" s="308"/>
      <c r="KQC483" s="308"/>
      <c r="KQD483" s="308"/>
      <c r="KQE483" s="308"/>
      <c r="KQF483" s="308"/>
      <c r="KQG483" s="308"/>
      <c r="KQH483" s="308"/>
      <c r="KQI483" s="308"/>
      <c r="KQJ483" s="308"/>
      <c r="KQK483" s="308"/>
      <c r="KQL483" s="308"/>
      <c r="KQM483" s="308"/>
      <c r="KQN483" s="308"/>
      <c r="KQO483" s="308"/>
      <c r="KQP483" s="308"/>
      <c r="KQQ483" s="308"/>
      <c r="KQR483" s="308"/>
      <c r="KQS483" s="308"/>
      <c r="KQT483" s="308"/>
      <c r="KQU483" s="308"/>
      <c r="KQV483" s="308"/>
      <c r="KQW483" s="308"/>
      <c r="KQX483" s="308"/>
      <c r="KQY483" s="308"/>
      <c r="KQZ483" s="308"/>
      <c r="KRA483" s="308"/>
      <c r="KRB483" s="308"/>
      <c r="KRC483" s="308"/>
      <c r="KRD483" s="308"/>
      <c r="KRE483" s="308"/>
      <c r="KRF483" s="308"/>
      <c r="KRG483" s="308"/>
      <c r="KRH483" s="308"/>
      <c r="KRI483" s="308"/>
      <c r="KRJ483" s="308"/>
      <c r="KRK483" s="308"/>
      <c r="KRL483" s="308"/>
      <c r="KRM483" s="308"/>
      <c r="KRN483" s="308"/>
      <c r="KRO483" s="308"/>
      <c r="KRP483" s="308"/>
      <c r="KRQ483" s="308"/>
      <c r="KRR483" s="308"/>
      <c r="KRS483" s="308"/>
      <c r="KRT483" s="308"/>
      <c r="KRU483" s="308"/>
      <c r="KRV483" s="308"/>
      <c r="KRW483" s="308"/>
      <c r="KRX483" s="308"/>
      <c r="KRY483" s="308"/>
      <c r="KRZ483" s="308"/>
      <c r="KSA483" s="308"/>
      <c r="KSB483" s="308"/>
      <c r="KSC483" s="308"/>
      <c r="KSD483" s="308"/>
      <c r="KSE483" s="308"/>
      <c r="KSF483" s="308"/>
      <c r="KSG483" s="308"/>
      <c r="KSH483" s="308"/>
      <c r="KSI483" s="308"/>
      <c r="KSJ483" s="308"/>
      <c r="KSK483" s="308"/>
      <c r="KSL483" s="308"/>
      <c r="KSM483" s="308"/>
      <c r="KSN483" s="308"/>
      <c r="KSO483" s="308"/>
      <c r="KSP483" s="308"/>
      <c r="KSQ483" s="308"/>
      <c r="KSR483" s="308"/>
      <c r="KSS483" s="308"/>
      <c r="KST483" s="308"/>
      <c r="KSU483" s="308"/>
      <c r="KSV483" s="308"/>
      <c r="KSW483" s="308"/>
      <c r="KSX483" s="308"/>
      <c r="KSY483" s="308"/>
      <c r="KSZ483" s="308"/>
      <c r="KTA483" s="308"/>
      <c r="KTB483" s="308"/>
      <c r="KTC483" s="308"/>
      <c r="KTD483" s="308"/>
      <c r="KTE483" s="308"/>
      <c r="KTF483" s="308"/>
      <c r="KTG483" s="308"/>
      <c r="KTH483" s="308"/>
      <c r="KTI483" s="308"/>
      <c r="KTJ483" s="308"/>
      <c r="KTK483" s="308"/>
      <c r="KTL483" s="308"/>
      <c r="KTM483" s="308"/>
      <c r="KTN483" s="308"/>
      <c r="KTO483" s="308"/>
      <c r="KTP483" s="308"/>
      <c r="KTQ483" s="308"/>
      <c r="KTR483" s="308"/>
      <c r="KTS483" s="308"/>
      <c r="KTT483" s="308"/>
      <c r="KTU483" s="308"/>
      <c r="KTV483" s="308"/>
      <c r="KTW483" s="308"/>
      <c r="KTX483" s="308"/>
      <c r="KTY483" s="308"/>
      <c r="KTZ483" s="308"/>
      <c r="KUA483" s="308"/>
      <c r="KUB483" s="308"/>
      <c r="KUC483" s="308"/>
      <c r="KUD483" s="308"/>
      <c r="KUE483" s="308"/>
      <c r="KUF483" s="308"/>
      <c r="KUG483" s="308"/>
      <c r="KUH483" s="308"/>
      <c r="KUI483" s="308"/>
      <c r="KUJ483" s="308"/>
      <c r="KUK483" s="308"/>
      <c r="KUL483" s="308"/>
      <c r="KUM483" s="308"/>
      <c r="KUN483" s="308"/>
      <c r="KUO483" s="308"/>
      <c r="KUP483" s="308"/>
      <c r="KUQ483" s="308"/>
      <c r="KUR483" s="308"/>
      <c r="KUS483" s="308"/>
      <c r="KUT483" s="308"/>
      <c r="KUU483" s="308"/>
      <c r="KUV483" s="308"/>
      <c r="KUW483" s="308"/>
      <c r="KUX483" s="308"/>
      <c r="KUY483" s="308"/>
      <c r="KUZ483" s="308"/>
      <c r="KVA483" s="308"/>
      <c r="KVB483" s="308"/>
      <c r="KVC483" s="308"/>
      <c r="KVD483" s="308"/>
      <c r="KVE483" s="308"/>
      <c r="KVF483" s="308"/>
      <c r="KVG483" s="308"/>
      <c r="KVH483" s="308"/>
      <c r="KVI483" s="308"/>
      <c r="KVJ483" s="308"/>
      <c r="KVK483" s="308"/>
      <c r="KVL483" s="308"/>
      <c r="KVM483" s="308"/>
      <c r="KVN483" s="308"/>
      <c r="KVO483" s="308"/>
      <c r="KVP483" s="308"/>
      <c r="KVQ483" s="308"/>
      <c r="KVR483" s="308"/>
      <c r="KVS483" s="308"/>
      <c r="KVT483" s="308"/>
      <c r="KVU483" s="308"/>
      <c r="KVV483" s="308"/>
      <c r="KVW483" s="308"/>
      <c r="KVX483" s="308"/>
      <c r="KVY483" s="308"/>
      <c r="KVZ483" s="308"/>
      <c r="KWA483" s="308"/>
      <c r="KWB483" s="308"/>
      <c r="KWC483" s="308"/>
      <c r="KWD483" s="308"/>
      <c r="KWE483" s="308"/>
      <c r="KWF483" s="308"/>
      <c r="KWG483" s="308"/>
      <c r="KWH483" s="308"/>
      <c r="KWI483" s="308"/>
      <c r="KWJ483" s="308"/>
      <c r="KWK483" s="308"/>
      <c r="KWL483" s="308"/>
      <c r="KWM483" s="308"/>
      <c r="KWN483" s="308"/>
      <c r="KWO483" s="308"/>
      <c r="KWP483" s="308"/>
      <c r="KWQ483" s="308"/>
      <c r="KWR483" s="308"/>
      <c r="KWS483" s="308"/>
      <c r="KWT483" s="308"/>
      <c r="KWU483" s="308"/>
      <c r="KWV483" s="308"/>
      <c r="KWW483" s="308"/>
      <c r="KWX483" s="308"/>
      <c r="KWY483" s="308"/>
      <c r="KWZ483" s="308"/>
      <c r="KXA483" s="308"/>
      <c r="KXB483" s="308"/>
      <c r="KXC483" s="308"/>
      <c r="KXD483" s="308"/>
      <c r="KXE483" s="308"/>
      <c r="KXF483" s="308"/>
      <c r="KXG483" s="308"/>
      <c r="KXH483" s="308"/>
      <c r="KXI483" s="308"/>
      <c r="KXJ483" s="308"/>
      <c r="KXK483" s="308"/>
      <c r="KXL483" s="308"/>
      <c r="KXM483" s="308"/>
      <c r="KXN483" s="308"/>
      <c r="KXO483" s="308"/>
      <c r="KXP483" s="308"/>
      <c r="KXQ483" s="308"/>
      <c r="KXR483" s="308"/>
      <c r="KXS483" s="308"/>
      <c r="KXT483" s="308"/>
      <c r="KXU483" s="308"/>
      <c r="KXV483" s="308"/>
      <c r="KXW483" s="308"/>
      <c r="KXX483" s="308"/>
      <c r="KXY483" s="308"/>
      <c r="KXZ483" s="308"/>
      <c r="KYA483" s="308"/>
      <c r="KYB483" s="308"/>
      <c r="KYC483" s="308"/>
      <c r="KYD483" s="308"/>
      <c r="KYE483" s="308"/>
      <c r="KYF483" s="308"/>
      <c r="KYG483" s="308"/>
      <c r="KYH483" s="308"/>
      <c r="KYI483" s="308"/>
      <c r="KYJ483" s="308"/>
      <c r="KYK483" s="308"/>
      <c r="KYL483" s="308"/>
      <c r="KYM483" s="308"/>
      <c r="KYN483" s="308"/>
      <c r="KYO483" s="308"/>
      <c r="KYP483" s="308"/>
      <c r="KYQ483" s="308"/>
      <c r="KYR483" s="308"/>
      <c r="KYS483" s="308"/>
      <c r="KYT483" s="308"/>
      <c r="KYU483" s="308"/>
      <c r="KYV483" s="308"/>
      <c r="KYW483" s="308"/>
      <c r="KYX483" s="308"/>
      <c r="KYY483" s="308"/>
      <c r="KYZ483" s="308"/>
      <c r="KZA483" s="308"/>
      <c r="KZB483" s="308"/>
      <c r="KZC483" s="308"/>
      <c r="KZD483" s="308"/>
      <c r="KZE483" s="308"/>
      <c r="KZF483" s="308"/>
      <c r="KZG483" s="308"/>
      <c r="KZH483" s="308"/>
      <c r="KZI483" s="308"/>
      <c r="KZJ483" s="308"/>
      <c r="KZK483" s="308"/>
      <c r="KZL483" s="308"/>
      <c r="KZM483" s="308"/>
      <c r="KZN483" s="308"/>
      <c r="KZO483" s="308"/>
      <c r="KZP483" s="308"/>
      <c r="KZQ483" s="308"/>
      <c r="KZR483" s="308"/>
      <c r="KZS483" s="308"/>
      <c r="KZT483" s="308"/>
      <c r="KZU483" s="308"/>
      <c r="KZV483" s="308"/>
      <c r="KZW483" s="308"/>
      <c r="KZX483" s="308"/>
      <c r="KZY483" s="308"/>
      <c r="KZZ483" s="308"/>
      <c r="LAA483" s="308"/>
      <c r="LAB483" s="308"/>
      <c r="LAC483" s="308"/>
      <c r="LAD483" s="308"/>
      <c r="LAE483" s="308"/>
      <c r="LAF483" s="308"/>
      <c r="LAG483" s="308"/>
      <c r="LAH483" s="308"/>
      <c r="LAI483" s="308"/>
      <c r="LAJ483" s="308"/>
      <c r="LAK483" s="308"/>
      <c r="LAL483" s="308"/>
      <c r="LAM483" s="308"/>
      <c r="LAN483" s="308"/>
      <c r="LAO483" s="308"/>
      <c r="LAP483" s="308"/>
      <c r="LAQ483" s="308"/>
      <c r="LAR483" s="308"/>
      <c r="LAS483" s="308"/>
      <c r="LAT483" s="308"/>
      <c r="LAU483" s="308"/>
      <c r="LAV483" s="308"/>
      <c r="LAW483" s="308"/>
      <c r="LAX483" s="308"/>
      <c r="LAY483" s="308"/>
      <c r="LAZ483" s="308"/>
      <c r="LBA483" s="308"/>
      <c r="LBB483" s="308"/>
      <c r="LBC483" s="308"/>
      <c r="LBD483" s="308"/>
      <c r="LBE483" s="308"/>
      <c r="LBF483" s="308"/>
      <c r="LBG483" s="308"/>
      <c r="LBH483" s="308"/>
      <c r="LBI483" s="308"/>
      <c r="LBJ483" s="308"/>
      <c r="LBK483" s="308"/>
      <c r="LBL483" s="308"/>
      <c r="LBM483" s="308"/>
      <c r="LBN483" s="308"/>
      <c r="LBO483" s="308"/>
      <c r="LBP483" s="308"/>
      <c r="LBQ483" s="308"/>
      <c r="LBR483" s="308"/>
      <c r="LBS483" s="308"/>
      <c r="LBT483" s="308"/>
      <c r="LBU483" s="308"/>
      <c r="LBV483" s="308"/>
      <c r="LBW483" s="308"/>
      <c r="LBX483" s="308"/>
      <c r="LBY483" s="308"/>
      <c r="LBZ483" s="308"/>
      <c r="LCA483" s="308"/>
      <c r="LCB483" s="308"/>
      <c r="LCC483" s="308"/>
      <c r="LCD483" s="308"/>
      <c r="LCE483" s="308"/>
      <c r="LCF483" s="308"/>
      <c r="LCG483" s="308"/>
      <c r="LCH483" s="308"/>
      <c r="LCI483" s="308"/>
      <c r="LCJ483" s="308"/>
      <c r="LCK483" s="308"/>
      <c r="LCL483" s="308"/>
      <c r="LCM483" s="308"/>
      <c r="LCN483" s="308"/>
      <c r="LCO483" s="308"/>
      <c r="LCP483" s="308"/>
      <c r="LCQ483" s="308"/>
      <c r="LCR483" s="308"/>
      <c r="LCS483" s="308"/>
      <c r="LCT483" s="308"/>
      <c r="LCU483" s="308"/>
      <c r="LCV483" s="308"/>
      <c r="LCW483" s="308"/>
      <c r="LCX483" s="308"/>
      <c r="LCY483" s="308"/>
      <c r="LCZ483" s="308"/>
      <c r="LDA483" s="308"/>
      <c r="LDB483" s="308"/>
      <c r="LDC483" s="308"/>
      <c r="LDD483" s="308"/>
      <c r="LDE483" s="308"/>
      <c r="LDF483" s="308"/>
      <c r="LDG483" s="308"/>
      <c r="LDH483" s="308"/>
      <c r="LDI483" s="308"/>
      <c r="LDJ483" s="308"/>
      <c r="LDK483" s="308"/>
      <c r="LDL483" s="308"/>
      <c r="LDM483" s="308"/>
      <c r="LDN483" s="308"/>
      <c r="LDO483" s="308"/>
      <c r="LDP483" s="308"/>
      <c r="LDQ483" s="308"/>
      <c r="LDR483" s="308"/>
      <c r="LDS483" s="308"/>
      <c r="LDT483" s="308"/>
      <c r="LDU483" s="308"/>
      <c r="LDV483" s="308"/>
      <c r="LDW483" s="308"/>
      <c r="LDX483" s="308"/>
      <c r="LDY483" s="308"/>
      <c r="LDZ483" s="308"/>
      <c r="LEA483" s="308"/>
      <c r="LEB483" s="308"/>
      <c r="LEC483" s="308"/>
      <c r="LED483" s="308"/>
      <c r="LEE483" s="308"/>
      <c r="LEF483" s="308"/>
      <c r="LEG483" s="308"/>
      <c r="LEH483" s="308"/>
      <c r="LEI483" s="308"/>
      <c r="LEJ483" s="308"/>
      <c r="LEK483" s="308"/>
      <c r="LEL483" s="308"/>
      <c r="LEM483" s="308"/>
      <c r="LEN483" s="308"/>
      <c r="LEO483" s="308"/>
      <c r="LEP483" s="308"/>
      <c r="LEQ483" s="308"/>
      <c r="LER483" s="308"/>
      <c r="LES483" s="308"/>
      <c r="LET483" s="308"/>
      <c r="LEU483" s="308"/>
      <c r="LEV483" s="308"/>
      <c r="LEW483" s="308"/>
      <c r="LEX483" s="308"/>
      <c r="LEY483" s="308"/>
      <c r="LEZ483" s="308"/>
      <c r="LFA483" s="308"/>
      <c r="LFB483" s="308"/>
      <c r="LFC483" s="308"/>
      <c r="LFD483" s="308"/>
      <c r="LFE483" s="308"/>
      <c r="LFF483" s="308"/>
      <c r="LFG483" s="308"/>
      <c r="LFH483" s="308"/>
      <c r="LFI483" s="308"/>
      <c r="LFJ483" s="308"/>
      <c r="LFK483" s="308"/>
      <c r="LFL483" s="308"/>
      <c r="LFM483" s="308"/>
      <c r="LFN483" s="308"/>
      <c r="LFO483" s="308"/>
      <c r="LFP483" s="308"/>
      <c r="LFQ483" s="308"/>
      <c r="LFR483" s="308"/>
      <c r="LFS483" s="308"/>
      <c r="LFT483" s="308"/>
      <c r="LFU483" s="308"/>
      <c r="LFV483" s="308"/>
      <c r="LFW483" s="308"/>
      <c r="LFX483" s="308"/>
      <c r="LFY483" s="308"/>
      <c r="LFZ483" s="308"/>
      <c r="LGA483" s="308"/>
      <c r="LGB483" s="308"/>
      <c r="LGC483" s="308"/>
      <c r="LGD483" s="308"/>
      <c r="LGE483" s="308"/>
      <c r="LGF483" s="308"/>
      <c r="LGG483" s="308"/>
      <c r="LGH483" s="308"/>
      <c r="LGI483" s="308"/>
      <c r="LGJ483" s="308"/>
      <c r="LGK483" s="308"/>
      <c r="LGL483" s="308"/>
      <c r="LGM483" s="308"/>
      <c r="LGN483" s="308"/>
      <c r="LGO483" s="308"/>
      <c r="LGP483" s="308"/>
      <c r="LGQ483" s="308"/>
      <c r="LGR483" s="308"/>
      <c r="LGS483" s="308"/>
      <c r="LGT483" s="308"/>
      <c r="LGU483" s="308"/>
      <c r="LGV483" s="308"/>
      <c r="LGW483" s="308"/>
      <c r="LGX483" s="308"/>
      <c r="LGY483" s="308"/>
      <c r="LGZ483" s="308"/>
      <c r="LHA483" s="308"/>
      <c r="LHB483" s="308"/>
      <c r="LHC483" s="308"/>
      <c r="LHD483" s="308"/>
      <c r="LHE483" s="308"/>
      <c r="LHF483" s="308"/>
      <c r="LHG483" s="308"/>
      <c r="LHH483" s="308"/>
      <c r="LHI483" s="308"/>
      <c r="LHJ483" s="308"/>
      <c r="LHK483" s="308"/>
      <c r="LHL483" s="308"/>
      <c r="LHM483" s="308"/>
      <c r="LHN483" s="308"/>
      <c r="LHO483" s="308"/>
      <c r="LHP483" s="308"/>
      <c r="LHQ483" s="308"/>
      <c r="LHR483" s="308"/>
      <c r="LHS483" s="308"/>
      <c r="LHT483" s="308"/>
      <c r="LHU483" s="308"/>
      <c r="LHV483" s="308"/>
      <c r="LHW483" s="308"/>
      <c r="LHX483" s="308"/>
      <c r="LHY483" s="308"/>
      <c r="LHZ483" s="308"/>
      <c r="LIA483" s="308"/>
      <c r="LIB483" s="308"/>
      <c r="LIC483" s="308"/>
      <c r="LID483" s="308"/>
      <c r="LIE483" s="308"/>
      <c r="LIF483" s="308"/>
      <c r="LIG483" s="308"/>
      <c r="LIH483" s="308"/>
      <c r="LII483" s="308"/>
      <c r="LIJ483" s="308"/>
      <c r="LIK483" s="308"/>
      <c r="LIL483" s="308"/>
      <c r="LIM483" s="308"/>
      <c r="LIN483" s="308"/>
      <c r="LIO483" s="308"/>
      <c r="LIP483" s="308"/>
      <c r="LIQ483" s="308"/>
      <c r="LIR483" s="308"/>
      <c r="LIS483" s="308"/>
      <c r="LIT483" s="308"/>
      <c r="LIU483" s="308"/>
      <c r="LIV483" s="308"/>
      <c r="LIW483" s="308"/>
      <c r="LIX483" s="308"/>
      <c r="LIY483" s="308"/>
      <c r="LIZ483" s="308"/>
      <c r="LJA483" s="308"/>
      <c r="LJB483" s="308"/>
      <c r="LJC483" s="308"/>
      <c r="LJD483" s="308"/>
      <c r="LJE483" s="308"/>
      <c r="LJF483" s="308"/>
      <c r="LJG483" s="308"/>
      <c r="LJH483" s="308"/>
      <c r="LJI483" s="308"/>
      <c r="LJJ483" s="308"/>
      <c r="LJK483" s="308"/>
      <c r="LJL483" s="308"/>
      <c r="LJM483" s="308"/>
      <c r="LJN483" s="308"/>
      <c r="LJO483" s="308"/>
      <c r="LJP483" s="308"/>
      <c r="LJQ483" s="308"/>
      <c r="LJR483" s="308"/>
      <c r="LJS483" s="308"/>
      <c r="LJT483" s="308"/>
      <c r="LJU483" s="308"/>
      <c r="LJV483" s="308"/>
      <c r="LJW483" s="308"/>
      <c r="LJX483" s="308"/>
      <c r="LJY483" s="308"/>
      <c r="LJZ483" s="308"/>
      <c r="LKA483" s="308"/>
      <c r="LKB483" s="308"/>
      <c r="LKC483" s="308"/>
      <c r="LKD483" s="308"/>
      <c r="LKE483" s="308"/>
      <c r="LKF483" s="308"/>
      <c r="LKG483" s="308"/>
      <c r="LKH483" s="308"/>
      <c r="LKI483" s="308"/>
      <c r="LKJ483" s="308"/>
      <c r="LKK483" s="308"/>
      <c r="LKL483" s="308"/>
      <c r="LKM483" s="308"/>
      <c r="LKN483" s="308"/>
      <c r="LKO483" s="308"/>
      <c r="LKP483" s="308"/>
      <c r="LKQ483" s="308"/>
      <c r="LKR483" s="308"/>
      <c r="LKS483" s="308"/>
      <c r="LKT483" s="308"/>
      <c r="LKU483" s="308"/>
      <c r="LKV483" s="308"/>
      <c r="LKW483" s="308"/>
      <c r="LKX483" s="308"/>
      <c r="LKY483" s="308"/>
      <c r="LKZ483" s="308"/>
      <c r="LLA483" s="308"/>
      <c r="LLB483" s="308"/>
      <c r="LLC483" s="308"/>
      <c r="LLD483" s="308"/>
      <c r="LLE483" s="308"/>
      <c r="LLF483" s="308"/>
      <c r="LLG483" s="308"/>
      <c r="LLH483" s="308"/>
      <c r="LLI483" s="308"/>
      <c r="LLJ483" s="308"/>
      <c r="LLK483" s="308"/>
      <c r="LLL483" s="308"/>
      <c r="LLM483" s="308"/>
      <c r="LLN483" s="308"/>
      <c r="LLO483" s="308"/>
      <c r="LLP483" s="308"/>
      <c r="LLQ483" s="308"/>
      <c r="LLR483" s="308"/>
      <c r="LLS483" s="308"/>
      <c r="LLT483" s="308"/>
      <c r="LLU483" s="308"/>
      <c r="LLV483" s="308"/>
      <c r="LLW483" s="308"/>
      <c r="LLX483" s="308"/>
      <c r="LLY483" s="308"/>
      <c r="LLZ483" s="308"/>
      <c r="LMA483" s="308"/>
      <c r="LMB483" s="308"/>
      <c r="LMC483" s="308"/>
      <c r="LMD483" s="308"/>
      <c r="LME483" s="308"/>
      <c r="LMF483" s="308"/>
      <c r="LMG483" s="308"/>
      <c r="LMH483" s="308"/>
      <c r="LMI483" s="308"/>
      <c r="LMJ483" s="308"/>
      <c r="LMK483" s="308"/>
      <c r="LML483" s="308"/>
      <c r="LMM483" s="308"/>
      <c r="LMN483" s="308"/>
      <c r="LMO483" s="308"/>
      <c r="LMP483" s="308"/>
      <c r="LMQ483" s="308"/>
      <c r="LMR483" s="308"/>
      <c r="LMS483" s="308"/>
      <c r="LMT483" s="308"/>
      <c r="LMU483" s="308"/>
      <c r="LMV483" s="308"/>
      <c r="LMW483" s="308"/>
      <c r="LMX483" s="308"/>
      <c r="LMY483" s="308"/>
      <c r="LMZ483" s="308"/>
      <c r="LNA483" s="308"/>
      <c r="LNB483" s="308"/>
      <c r="LNC483" s="308"/>
      <c r="LND483" s="308"/>
      <c r="LNE483" s="308"/>
      <c r="LNF483" s="308"/>
      <c r="LNG483" s="308"/>
      <c r="LNH483" s="308"/>
      <c r="LNI483" s="308"/>
      <c r="LNJ483" s="308"/>
      <c r="LNK483" s="308"/>
      <c r="LNL483" s="308"/>
      <c r="LNM483" s="308"/>
      <c r="LNN483" s="308"/>
      <c r="LNO483" s="308"/>
      <c r="LNP483" s="308"/>
      <c r="LNQ483" s="308"/>
      <c r="LNR483" s="308"/>
      <c r="LNS483" s="308"/>
      <c r="LNT483" s="308"/>
      <c r="LNU483" s="308"/>
      <c r="LNV483" s="308"/>
      <c r="LNW483" s="308"/>
      <c r="LNX483" s="308"/>
      <c r="LNY483" s="308"/>
      <c r="LNZ483" s="308"/>
      <c r="LOA483" s="308"/>
      <c r="LOB483" s="308"/>
      <c r="LOC483" s="308"/>
      <c r="LOD483" s="308"/>
      <c r="LOE483" s="308"/>
      <c r="LOF483" s="308"/>
      <c r="LOG483" s="308"/>
      <c r="LOH483" s="308"/>
      <c r="LOI483" s="308"/>
      <c r="LOJ483" s="308"/>
      <c r="LOK483" s="308"/>
      <c r="LOL483" s="308"/>
      <c r="LOM483" s="308"/>
      <c r="LON483" s="308"/>
      <c r="LOO483" s="308"/>
      <c r="LOP483" s="308"/>
      <c r="LOQ483" s="308"/>
      <c r="LOR483" s="308"/>
      <c r="LOS483" s="308"/>
      <c r="LOT483" s="308"/>
      <c r="LOU483" s="308"/>
      <c r="LOV483" s="308"/>
      <c r="LOW483" s="308"/>
      <c r="LOX483" s="308"/>
      <c r="LOY483" s="308"/>
      <c r="LOZ483" s="308"/>
      <c r="LPA483" s="308"/>
      <c r="LPB483" s="308"/>
      <c r="LPC483" s="308"/>
      <c r="LPD483" s="308"/>
      <c r="LPE483" s="308"/>
      <c r="LPF483" s="308"/>
      <c r="LPG483" s="308"/>
      <c r="LPH483" s="308"/>
      <c r="LPI483" s="308"/>
      <c r="LPJ483" s="308"/>
      <c r="LPK483" s="308"/>
      <c r="LPL483" s="308"/>
      <c r="LPM483" s="308"/>
      <c r="LPN483" s="308"/>
      <c r="LPO483" s="308"/>
      <c r="LPP483" s="308"/>
      <c r="LPQ483" s="308"/>
      <c r="LPR483" s="308"/>
      <c r="LPS483" s="308"/>
      <c r="LPT483" s="308"/>
      <c r="LPU483" s="308"/>
      <c r="LPV483" s="308"/>
      <c r="LPW483" s="308"/>
      <c r="LPX483" s="308"/>
      <c r="LPY483" s="308"/>
      <c r="LPZ483" s="308"/>
      <c r="LQA483" s="308"/>
      <c r="LQB483" s="308"/>
      <c r="LQC483" s="308"/>
      <c r="LQD483" s="308"/>
      <c r="LQE483" s="308"/>
      <c r="LQF483" s="308"/>
      <c r="LQG483" s="308"/>
      <c r="LQH483" s="308"/>
      <c r="LQI483" s="308"/>
      <c r="LQJ483" s="308"/>
      <c r="LQK483" s="308"/>
      <c r="LQL483" s="308"/>
      <c r="LQM483" s="308"/>
      <c r="LQN483" s="308"/>
      <c r="LQO483" s="308"/>
      <c r="LQP483" s="308"/>
      <c r="LQQ483" s="308"/>
      <c r="LQR483" s="308"/>
      <c r="LQS483" s="308"/>
      <c r="LQT483" s="308"/>
      <c r="LQU483" s="308"/>
      <c r="LQV483" s="308"/>
      <c r="LQW483" s="308"/>
      <c r="LQX483" s="308"/>
      <c r="LQY483" s="308"/>
      <c r="LQZ483" s="308"/>
      <c r="LRA483" s="308"/>
      <c r="LRB483" s="308"/>
      <c r="LRC483" s="308"/>
      <c r="LRD483" s="308"/>
      <c r="LRE483" s="308"/>
      <c r="LRF483" s="308"/>
      <c r="LRG483" s="308"/>
      <c r="LRH483" s="308"/>
      <c r="LRI483" s="308"/>
      <c r="LRJ483" s="308"/>
      <c r="LRK483" s="308"/>
      <c r="LRL483" s="308"/>
      <c r="LRM483" s="308"/>
      <c r="LRN483" s="308"/>
      <c r="LRO483" s="308"/>
      <c r="LRP483" s="308"/>
      <c r="LRQ483" s="308"/>
      <c r="LRR483" s="308"/>
      <c r="LRS483" s="308"/>
      <c r="LRT483" s="308"/>
      <c r="LRU483" s="308"/>
      <c r="LRV483" s="308"/>
      <c r="LRW483" s="308"/>
      <c r="LRX483" s="308"/>
      <c r="LRY483" s="308"/>
      <c r="LRZ483" s="308"/>
      <c r="LSA483" s="308"/>
      <c r="LSB483" s="308"/>
      <c r="LSC483" s="308"/>
      <c r="LSD483" s="308"/>
      <c r="LSE483" s="308"/>
      <c r="LSF483" s="308"/>
      <c r="LSG483" s="308"/>
      <c r="LSH483" s="308"/>
      <c r="LSI483" s="308"/>
      <c r="LSJ483" s="308"/>
      <c r="LSK483" s="308"/>
      <c r="LSL483" s="308"/>
      <c r="LSM483" s="308"/>
      <c r="LSN483" s="308"/>
      <c r="LSO483" s="308"/>
      <c r="LSP483" s="308"/>
      <c r="LSQ483" s="308"/>
      <c r="LSR483" s="308"/>
      <c r="LSS483" s="308"/>
      <c r="LST483" s="308"/>
      <c r="LSU483" s="308"/>
      <c r="LSV483" s="308"/>
      <c r="LSW483" s="308"/>
      <c r="LSX483" s="308"/>
      <c r="LSY483" s="308"/>
      <c r="LSZ483" s="308"/>
      <c r="LTA483" s="308"/>
      <c r="LTB483" s="308"/>
      <c r="LTC483" s="308"/>
      <c r="LTD483" s="308"/>
      <c r="LTE483" s="308"/>
      <c r="LTF483" s="308"/>
      <c r="LTG483" s="308"/>
      <c r="LTH483" s="308"/>
      <c r="LTI483" s="308"/>
      <c r="LTJ483" s="308"/>
      <c r="LTK483" s="308"/>
      <c r="LTL483" s="308"/>
      <c r="LTM483" s="308"/>
      <c r="LTN483" s="308"/>
      <c r="LTO483" s="308"/>
      <c r="LTP483" s="308"/>
      <c r="LTQ483" s="308"/>
      <c r="LTR483" s="308"/>
      <c r="LTS483" s="308"/>
      <c r="LTT483" s="308"/>
      <c r="LTU483" s="308"/>
      <c r="LTV483" s="308"/>
      <c r="LTW483" s="308"/>
      <c r="LTX483" s="308"/>
      <c r="LTY483" s="308"/>
      <c r="LTZ483" s="308"/>
      <c r="LUA483" s="308"/>
      <c r="LUB483" s="308"/>
      <c r="LUC483" s="308"/>
      <c r="LUD483" s="308"/>
      <c r="LUE483" s="308"/>
      <c r="LUF483" s="308"/>
      <c r="LUG483" s="308"/>
      <c r="LUH483" s="308"/>
      <c r="LUI483" s="308"/>
      <c r="LUJ483" s="308"/>
      <c r="LUK483" s="308"/>
      <c r="LUL483" s="308"/>
      <c r="LUM483" s="308"/>
      <c r="LUN483" s="308"/>
      <c r="LUO483" s="308"/>
      <c r="LUP483" s="308"/>
      <c r="LUQ483" s="308"/>
      <c r="LUR483" s="308"/>
      <c r="LUS483" s="308"/>
      <c r="LUT483" s="308"/>
      <c r="LUU483" s="308"/>
      <c r="LUV483" s="308"/>
      <c r="LUW483" s="308"/>
      <c r="LUX483" s="308"/>
      <c r="LUY483" s="308"/>
      <c r="LUZ483" s="308"/>
      <c r="LVA483" s="308"/>
      <c r="LVB483" s="308"/>
      <c r="LVC483" s="308"/>
      <c r="LVD483" s="308"/>
      <c r="LVE483" s="308"/>
      <c r="LVF483" s="308"/>
      <c r="LVG483" s="308"/>
      <c r="LVH483" s="308"/>
      <c r="LVI483" s="308"/>
      <c r="LVJ483" s="308"/>
      <c r="LVK483" s="308"/>
      <c r="LVL483" s="308"/>
      <c r="LVM483" s="308"/>
      <c r="LVN483" s="308"/>
      <c r="LVO483" s="308"/>
      <c r="LVP483" s="308"/>
      <c r="LVQ483" s="308"/>
      <c r="LVR483" s="308"/>
      <c r="LVS483" s="308"/>
      <c r="LVT483" s="308"/>
      <c r="LVU483" s="308"/>
      <c r="LVV483" s="308"/>
      <c r="LVW483" s="308"/>
      <c r="LVX483" s="308"/>
      <c r="LVY483" s="308"/>
      <c r="LVZ483" s="308"/>
      <c r="LWA483" s="308"/>
      <c r="LWB483" s="308"/>
      <c r="LWC483" s="308"/>
      <c r="LWD483" s="308"/>
      <c r="LWE483" s="308"/>
      <c r="LWF483" s="308"/>
      <c r="LWG483" s="308"/>
      <c r="LWH483" s="308"/>
      <c r="LWI483" s="308"/>
      <c r="LWJ483" s="308"/>
      <c r="LWK483" s="308"/>
      <c r="LWL483" s="308"/>
      <c r="LWM483" s="308"/>
      <c r="LWN483" s="308"/>
      <c r="LWO483" s="308"/>
      <c r="LWP483" s="308"/>
      <c r="LWQ483" s="308"/>
      <c r="LWR483" s="308"/>
      <c r="LWS483" s="308"/>
      <c r="LWT483" s="308"/>
      <c r="LWU483" s="308"/>
      <c r="LWV483" s="308"/>
      <c r="LWW483" s="308"/>
      <c r="LWX483" s="308"/>
      <c r="LWY483" s="308"/>
      <c r="LWZ483" s="308"/>
      <c r="LXA483" s="308"/>
      <c r="LXB483" s="308"/>
      <c r="LXC483" s="308"/>
      <c r="LXD483" s="308"/>
      <c r="LXE483" s="308"/>
      <c r="LXF483" s="308"/>
      <c r="LXG483" s="308"/>
      <c r="LXH483" s="308"/>
      <c r="LXI483" s="308"/>
      <c r="LXJ483" s="308"/>
      <c r="LXK483" s="308"/>
      <c r="LXL483" s="308"/>
      <c r="LXM483" s="308"/>
      <c r="LXN483" s="308"/>
      <c r="LXO483" s="308"/>
      <c r="LXP483" s="308"/>
      <c r="LXQ483" s="308"/>
      <c r="LXR483" s="308"/>
      <c r="LXS483" s="308"/>
      <c r="LXT483" s="308"/>
      <c r="LXU483" s="308"/>
      <c r="LXV483" s="308"/>
      <c r="LXW483" s="308"/>
      <c r="LXX483" s="308"/>
      <c r="LXY483" s="308"/>
      <c r="LXZ483" s="308"/>
      <c r="LYA483" s="308"/>
      <c r="LYB483" s="308"/>
      <c r="LYC483" s="308"/>
      <c r="LYD483" s="308"/>
      <c r="LYE483" s="308"/>
      <c r="LYF483" s="308"/>
      <c r="LYG483" s="308"/>
      <c r="LYH483" s="308"/>
      <c r="LYI483" s="308"/>
      <c r="LYJ483" s="308"/>
      <c r="LYK483" s="308"/>
      <c r="LYL483" s="308"/>
      <c r="LYM483" s="308"/>
      <c r="LYN483" s="308"/>
      <c r="LYO483" s="308"/>
      <c r="LYP483" s="308"/>
      <c r="LYQ483" s="308"/>
      <c r="LYR483" s="308"/>
      <c r="LYS483" s="308"/>
      <c r="LYT483" s="308"/>
      <c r="LYU483" s="308"/>
      <c r="LYV483" s="308"/>
      <c r="LYW483" s="308"/>
      <c r="LYX483" s="308"/>
      <c r="LYY483" s="308"/>
      <c r="LYZ483" s="308"/>
      <c r="LZA483" s="308"/>
      <c r="LZB483" s="308"/>
      <c r="LZC483" s="308"/>
      <c r="LZD483" s="308"/>
      <c r="LZE483" s="308"/>
      <c r="LZF483" s="308"/>
      <c r="LZG483" s="308"/>
      <c r="LZH483" s="308"/>
      <c r="LZI483" s="308"/>
      <c r="LZJ483" s="308"/>
      <c r="LZK483" s="308"/>
      <c r="LZL483" s="308"/>
      <c r="LZM483" s="308"/>
      <c r="LZN483" s="308"/>
      <c r="LZO483" s="308"/>
      <c r="LZP483" s="308"/>
      <c r="LZQ483" s="308"/>
      <c r="LZR483" s="308"/>
      <c r="LZS483" s="308"/>
      <c r="LZT483" s="308"/>
      <c r="LZU483" s="308"/>
      <c r="LZV483" s="308"/>
      <c r="LZW483" s="308"/>
      <c r="LZX483" s="308"/>
      <c r="LZY483" s="308"/>
      <c r="LZZ483" s="308"/>
      <c r="MAA483" s="308"/>
      <c r="MAB483" s="308"/>
      <c r="MAC483" s="308"/>
      <c r="MAD483" s="308"/>
      <c r="MAE483" s="308"/>
      <c r="MAF483" s="308"/>
      <c r="MAG483" s="308"/>
      <c r="MAH483" s="308"/>
      <c r="MAI483" s="308"/>
      <c r="MAJ483" s="308"/>
      <c r="MAK483" s="308"/>
      <c r="MAL483" s="308"/>
      <c r="MAM483" s="308"/>
      <c r="MAN483" s="308"/>
      <c r="MAO483" s="308"/>
      <c r="MAP483" s="308"/>
      <c r="MAQ483" s="308"/>
      <c r="MAR483" s="308"/>
      <c r="MAS483" s="308"/>
      <c r="MAT483" s="308"/>
      <c r="MAU483" s="308"/>
      <c r="MAV483" s="308"/>
      <c r="MAW483" s="308"/>
      <c r="MAX483" s="308"/>
      <c r="MAY483" s="308"/>
      <c r="MAZ483" s="308"/>
      <c r="MBA483" s="308"/>
      <c r="MBB483" s="308"/>
      <c r="MBC483" s="308"/>
      <c r="MBD483" s="308"/>
      <c r="MBE483" s="308"/>
      <c r="MBF483" s="308"/>
      <c r="MBG483" s="308"/>
      <c r="MBH483" s="308"/>
      <c r="MBI483" s="308"/>
      <c r="MBJ483" s="308"/>
      <c r="MBK483" s="308"/>
      <c r="MBL483" s="308"/>
      <c r="MBM483" s="308"/>
      <c r="MBN483" s="308"/>
      <c r="MBO483" s="308"/>
      <c r="MBP483" s="308"/>
      <c r="MBQ483" s="308"/>
      <c r="MBR483" s="308"/>
      <c r="MBS483" s="308"/>
      <c r="MBT483" s="308"/>
      <c r="MBU483" s="308"/>
      <c r="MBV483" s="308"/>
      <c r="MBW483" s="308"/>
      <c r="MBX483" s="308"/>
      <c r="MBY483" s="308"/>
      <c r="MBZ483" s="308"/>
      <c r="MCA483" s="308"/>
      <c r="MCB483" s="308"/>
      <c r="MCC483" s="308"/>
      <c r="MCD483" s="308"/>
      <c r="MCE483" s="308"/>
      <c r="MCF483" s="308"/>
      <c r="MCG483" s="308"/>
      <c r="MCH483" s="308"/>
      <c r="MCI483" s="308"/>
      <c r="MCJ483" s="308"/>
      <c r="MCK483" s="308"/>
      <c r="MCL483" s="308"/>
      <c r="MCM483" s="308"/>
      <c r="MCN483" s="308"/>
      <c r="MCO483" s="308"/>
      <c r="MCP483" s="308"/>
      <c r="MCQ483" s="308"/>
      <c r="MCR483" s="308"/>
      <c r="MCS483" s="308"/>
      <c r="MCT483" s="308"/>
      <c r="MCU483" s="308"/>
      <c r="MCV483" s="308"/>
      <c r="MCW483" s="308"/>
      <c r="MCX483" s="308"/>
      <c r="MCY483" s="308"/>
      <c r="MCZ483" s="308"/>
      <c r="MDA483" s="308"/>
      <c r="MDB483" s="308"/>
      <c r="MDC483" s="308"/>
      <c r="MDD483" s="308"/>
      <c r="MDE483" s="308"/>
      <c r="MDF483" s="308"/>
      <c r="MDG483" s="308"/>
      <c r="MDH483" s="308"/>
      <c r="MDI483" s="308"/>
      <c r="MDJ483" s="308"/>
      <c r="MDK483" s="308"/>
      <c r="MDL483" s="308"/>
      <c r="MDM483" s="308"/>
      <c r="MDN483" s="308"/>
      <c r="MDO483" s="308"/>
      <c r="MDP483" s="308"/>
      <c r="MDQ483" s="308"/>
      <c r="MDR483" s="308"/>
      <c r="MDS483" s="308"/>
      <c r="MDT483" s="308"/>
      <c r="MDU483" s="308"/>
      <c r="MDV483" s="308"/>
      <c r="MDW483" s="308"/>
      <c r="MDX483" s="308"/>
      <c r="MDY483" s="308"/>
      <c r="MDZ483" s="308"/>
      <c r="MEA483" s="308"/>
      <c r="MEB483" s="308"/>
      <c r="MEC483" s="308"/>
      <c r="MED483" s="308"/>
      <c r="MEE483" s="308"/>
      <c r="MEF483" s="308"/>
      <c r="MEG483" s="308"/>
      <c r="MEH483" s="308"/>
      <c r="MEI483" s="308"/>
      <c r="MEJ483" s="308"/>
      <c r="MEK483" s="308"/>
      <c r="MEL483" s="308"/>
      <c r="MEM483" s="308"/>
      <c r="MEN483" s="308"/>
      <c r="MEO483" s="308"/>
      <c r="MEP483" s="308"/>
      <c r="MEQ483" s="308"/>
      <c r="MER483" s="308"/>
      <c r="MES483" s="308"/>
      <c r="MET483" s="308"/>
      <c r="MEU483" s="308"/>
      <c r="MEV483" s="308"/>
      <c r="MEW483" s="308"/>
      <c r="MEX483" s="308"/>
      <c r="MEY483" s="308"/>
      <c r="MEZ483" s="308"/>
      <c r="MFA483" s="308"/>
      <c r="MFB483" s="308"/>
      <c r="MFC483" s="308"/>
      <c r="MFD483" s="308"/>
      <c r="MFE483" s="308"/>
      <c r="MFF483" s="308"/>
      <c r="MFG483" s="308"/>
      <c r="MFH483" s="308"/>
      <c r="MFI483" s="308"/>
      <c r="MFJ483" s="308"/>
      <c r="MFK483" s="308"/>
      <c r="MFL483" s="308"/>
      <c r="MFM483" s="308"/>
      <c r="MFN483" s="308"/>
      <c r="MFO483" s="308"/>
      <c r="MFP483" s="308"/>
      <c r="MFQ483" s="308"/>
      <c r="MFR483" s="308"/>
      <c r="MFS483" s="308"/>
      <c r="MFT483" s="308"/>
      <c r="MFU483" s="308"/>
      <c r="MFV483" s="308"/>
      <c r="MFW483" s="308"/>
      <c r="MFX483" s="308"/>
      <c r="MFY483" s="308"/>
      <c r="MFZ483" s="308"/>
      <c r="MGA483" s="308"/>
      <c r="MGB483" s="308"/>
      <c r="MGC483" s="308"/>
      <c r="MGD483" s="308"/>
      <c r="MGE483" s="308"/>
      <c r="MGF483" s="308"/>
      <c r="MGG483" s="308"/>
      <c r="MGH483" s="308"/>
      <c r="MGI483" s="308"/>
      <c r="MGJ483" s="308"/>
      <c r="MGK483" s="308"/>
      <c r="MGL483" s="308"/>
      <c r="MGM483" s="308"/>
      <c r="MGN483" s="308"/>
      <c r="MGO483" s="308"/>
      <c r="MGP483" s="308"/>
      <c r="MGQ483" s="308"/>
      <c r="MGR483" s="308"/>
      <c r="MGS483" s="308"/>
      <c r="MGT483" s="308"/>
      <c r="MGU483" s="308"/>
      <c r="MGV483" s="308"/>
      <c r="MGW483" s="308"/>
      <c r="MGX483" s="308"/>
      <c r="MGY483" s="308"/>
      <c r="MGZ483" s="308"/>
      <c r="MHA483" s="308"/>
      <c r="MHB483" s="308"/>
      <c r="MHC483" s="308"/>
      <c r="MHD483" s="308"/>
      <c r="MHE483" s="308"/>
      <c r="MHF483" s="308"/>
      <c r="MHG483" s="308"/>
      <c r="MHH483" s="308"/>
      <c r="MHI483" s="308"/>
      <c r="MHJ483" s="308"/>
      <c r="MHK483" s="308"/>
      <c r="MHL483" s="308"/>
      <c r="MHM483" s="308"/>
      <c r="MHN483" s="308"/>
      <c r="MHO483" s="308"/>
      <c r="MHP483" s="308"/>
      <c r="MHQ483" s="308"/>
      <c r="MHR483" s="308"/>
      <c r="MHS483" s="308"/>
      <c r="MHT483" s="308"/>
      <c r="MHU483" s="308"/>
      <c r="MHV483" s="308"/>
      <c r="MHW483" s="308"/>
      <c r="MHX483" s="308"/>
      <c r="MHY483" s="308"/>
      <c r="MHZ483" s="308"/>
      <c r="MIA483" s="308"/>
      <c r="MIB483" s="308"/>
      <c r="MIC483" s="308"/>
      <c r="MID483" s="308"/>
      <c r="MIE483" s="308"/>
      <c r="MIF483" s="308"/>
      <c r="MIG483" s="308"/>
      <c r="MIH483" s="308"/>
      <c r="MII483" s="308"/>
      <c r="MIJ483" s="308"/>
      <c r="MIK483" s="308"/>
      <c r="MIL483" s="308"/>
      <c r="MIM483" s="308"/>
      <c r="MIN483" s="308"/>
      <c r="MIO483" s="308"/>
      <c r="MIP483" s="308"/>
      <c r="MIQ483" s="308"/>
      <c r="MIR483" s="308"/>
      <c r="MIS483" s="308"/>
      <c r="MIT483" s="308"/>
      <c r="MIU483" s="308"/>
      <c r="MIV483" s="308"/>
      <c r="MIW483" s="308"/>
      <c r="MIX483" s="308"/>
      <c r="MIY483" s="308"/>
      <c r="MIZ483" s="308"/>
      <c r="MJA483" s="308"/>
      <c r="MJB483" s="308"/>
      <c r="MJC483" s="308"/>
      <c r="MJD483" s="308"/>
      <c r="MJE483" s="308"/>
      <c r="MJF483" s="308"/>
      <c r="MJG483" s="308"/>
      <c r="MJH483" s="308"/>
      <c r="MJI483" s="308"/>
      <c r="MJJ483" s="308"/>
      <c r="MJK483" s="308"/>
      <c r="MJL483" s="308"/>
      <c r="MJM483" s="308"/>
      <c r="MJN483" s="308"/>
      <c r="MJO483" s="308"/>
      <c r="MJP483" s="308"/>
      <c r="MJQ483" s="308"/>
      <c r="MJR483" s="308"/>
      <c r="MJS483" s="308"/>
      <c r="MJT483" s="308"/>
      <c r="MJU483" s="308"/>
      <c r="MJV483" s="308"/>
      <c r="MJW483" s="308"/>
      <c r="MJX483" s="308"/>
      <c r="MJY483" s="308"/>
      <c r="MJZ483" s="308"/>
      <c r="MKA483" s="308"/>
      <c r="MKB483" s="308"/>
      <c r="MKC483" s="308"/>
      <c r="MKD483" s="308"/>
      <c r="MKE483" s="308"/>
      <c r="MKF483" s="308"/>
      <c r="MKG483" s="308"/>
      <c r="MKH483" s="308"/>
      <c r="MKI483" s="308"/>
      <c r="MKJ483" s="308"/>
      <c r="MKK483" s="308"/>
      <c r="MKL483" s="308"/>
      <c r="MKM483" s="308"/>
      <c r="MKN483" s="308"/>
      <c r="MKO483" s="308"/>
      <c r="MKP483" s="308"/>
      <c r="MKQ483" s="308"/>
      <c r="MKR483" s="308"/>
      <c r="MKS483" s="308"/>
      <c r="MKT483" s="308"/>
      <c r="MKU483" s="308"/>
      <c r="MKV483" s="308"/>
      <c r="MKW483" s="308"/>
      <c r="MKX483" s="308"/>
      <c r="MKY483" s="308"/>
      <c r="MKZ483" s="308"/>
      <c r="MLA483" s="308"/>
      <c r="MLB483" s="308"/>
      <c r="MLC483" s="308"/>
      <c r="MLD483" s="308"/>
      <c r="MLE483" s="308"/>
      <c r="MLF483" s="308"/>
      <c r="MLG483" s="308"/>
      <c r="MLH483" s="308"/>
      <c r="MLI483" s="308"/>
      <c r="MLJ483" s="308"/>
      <c r="MLK483" s="308"/>
      <c r="MLL483" s="308"/>
      <c r="MLM483" s="308"/>
      <c r="MLN483" s="308"/>
      <c r="MLO483" s="308"/>
      <c r="MLP483" s="308"/>
      <c r="MLQ483" s="308"/>
      <c r="MLR483" s="308"/>
      <c r="MLS483" s="308"/>
      <c r="MLT483" s="308"/>
      <c r="MLU483" s="308"/>
      <c r="MLV483" s="308"/>
      <c r="MLW483" s="308"/>
      <c r="MLX483" s="308"/>
      <c r="MLY483" s="308"/>
      <c r="MLZ483" s="308"/>
      <c r="MMA483" s="308"/>
      <c r="MMB483" s="308"/>
      <c r="MMC483" s="308"/>
      <c r="MMD483" s="308"/>
      <c r="MME483" s="308"/>
      <c r="MMF483" s="308"/>
      <c r="MMG483" s="308"/>
      <c r="MMH483" s="308"/>
      <c r="MMI483" s="308"/>
      <c r="MMJ483" s="308"/>
      <c r="MMK483" s="308"/>
      <c r="MML483" s="308"/>
      <c r="MMM483" s="308"/>
      <c r="MMN483" s="308"/>
      <c r="MMO483" s="308"/>
      <c r="MMP483" s="308"/>
      <c r="MMQ483" s="308"/>
      <c r="MMR483" s="308"/>
      <c r="MMS483" s="308"/>
      <c r="MMT483" s="308"/>
      <c r="MMU483" s="308"/>
      <c r="MMV483" s="308"/>
      <c r="MMW483" s="308"/>
      <c r="MMX483" s="308"/>
      <c r="MMY483" s="308"/>
      <c r="MMZ483" s="308"/>
      <c r="MNA483" s="308"/>
      <c r="MNB483" s="308"/>
      <c r="MNC483" s="308"/>
      <c r="MND483" s="308"/>
      <c r="MNE483" s="308"/>
      <c r="MNF483" s="308"/>
      <c r="MNG483" s="308"/>
      <c r="MNH483" s="308"/>
      <c r="MNI483" s="308"/>
      <c r="MNJ483" s="308"/>
      <c r="MNK483" s="308"/>
      <c r="MNL483" s="308"/>
      <c r="MNM483" s="308"/>
      <c r="MNN483" s="308"/>
      <c r="MNO483" s="308"/>
      <c r="MNP483" s="308"/>
      <c r="MNQ483" s="308"/>
      <c r="MNR483" s="308"/>
      <c r="MNS483" s="308"/>
      <c r="MNT483" s="308"/>
      <c r="MNU483" s="308"/>
      <c r="MNV483" s="308"/>
      <c r="MNW483" s="308"/>
      <c r="MNX483" s="308"/>
      <c r="MNY483" s="308"/>
      <c r="MNZ483" s="308"/>
      <c r="MOA483" s="308"/>
      <c r="MOB483" s="308"/>
      <c r="MOC483" s="308"/>
      <c r="MOD483" s="308"/>
      <c r="MOE483" s="308"/>
      <c r="MOF483" s="308"/>
      <c r="MOG483" s="308"/>
      <c r="MOH483" s="308"/>
      <c r="MOI483" s="308"/>
      <c r="MOJ483" s="308"/>
      <c r="MOK483" s="308"/>
      <c r="MOL483" s="308"/>
      <c r="MOM483" s="308"/>
      <c r="MON483" s="308"/>
      <c r="MOO483" s="308"/>
      <c r="MOP483" s="308"/>
      <c r="MOQ483" s="308"/>
      <c r="MOR483" s="308"/>
      <c r="MOS483" s="308"/>
      <c r="MOT483" s="308"/>
      <c r="MOU483" s="308"/>
      <c r="MOV483" s="308"/>
      <c r="MOW483" s="308"/>
      <c r="MOX483" s="308"/>
      <c r="MOY483" s="308"/>
      <c r="MOZ483" s="308"/>
      <c r="MPA483" s="308"/>
      <c r="MPB483" s="308"/>
      <c r="MPC483" s="308"/>
      <c r="MPD483" s="308"/>
      <c r="MPE483" s="308"/>
      <c r="MPF483" s="308"/>
      <c r="MPG483" s="308"/>
      <c r="MPH483" s="308"/>
      <c r="MPI483" s="308"/>
      <c r="MPJ483" s="308"/>
      <c r="MPK483" s="308"/>
      <c r="MPL483" s="308"/>
      <c r="MPM483" s="308"/>
      <c r="MPN483" s="308"/>
      <c r="MPO483" s="308"/>
      <c r="MPP483" s="308"/>
      <c r="MPQ483" s="308"/>
      <c r="MPR483" s="308"/>
      <c r="MPS483" s="308"/>
      <c r="MPT483" s="308"/>
      <c r="MPU483" s="308"/>
      <c r="MPV483" s="308"/>
      <c r="MPW483" s="308"/>
      <c r="MPX483" s="308"/>
      <c r="MPY483" s="308"/>
      <c r="MPZ483" s="308"/>
      <c r="MQA483" s="308"/>
      <c r="MQB483" s="308"/>
      <c r="MQC483" s="308"/>
      <c r="MQD483" s="308"/>
      <c r="MQE483" s="308"/>
      <c r="MQF483" s="308"/>
      <c r="MQG483" s="308"/>
      <c r="MQH483" s="308"/>
      <c r="MQI483" s="308"/>
      <c r="MQJ483" s="308"/>
      <c r="MQK483" s="308"/>
      <c r="MQL483" s="308"/>
      <c r="MQM483" s="308"/>
      <c r="MQN483" s="308"/>
      <c r="MQO483" s="308"/>
      <c r="MQP483" s="308"/>
      <c r="MQQ483" s="308"/>
      <c r="MQR483" s="308"/>
      <c r="MQS483" s="308"/>
      <c r="MQT483" s="308"/>
      <c r="MQU483" s="308"/>
      <c r="MQV483" s="308"/>
      <c r="MQW483" s="308"/>
      <c r="MQX483" s="308"/>
      <c r="MQY483" s="308"/>
      <c r="MQZ483" s="308"/>
      <c r="MRA483" s="308"/>
      <c r="MRB483" s="308"/>
      <c r="MRC483" s="308"/>
      <c r="MRD483" s="308"/>
      <c r="MRE483" s="308"/>
      <c r="MRF483" s="308"/>
      <c r="MRG483" s="308"/>
      <c r="MRH483" s="308"/>
      <c r="MRI483" s="308"/>
      <c r="MRJ483" s="308"/>
      <c r="MRK483" s="308"/>
      <c r="MRL483" s="308"/>
      <c r="MRM483" s="308"/>
      <c r="MRN483" s="308"/>
      <c r="MRO483" s="308"/>
      <c r="MRP483" s="308"/>
      <c r="MRQ483" s="308"/>
      <c r="MRR483" s="308"/>
      <c r="MRS483" s="308"/>
      <c r="MRT483" s="308"/>
      <c r="MRU483" s="308"/>
      <c r="MRV483" s="308"/>
      <c r="MRW483" s="308"/>
      <c r="MRX483" s="308"/>
      <c r="MRY483" s="308"/>
      <c r="MRZ483" s="308"/>
      <c r="MSA483" s="308"/>
      <c r="MSB483" s="308"/>
      <c r="MSC483" s="308"/>
      <c r="MSD483" s="308"/>
      <c r="MSE483" s="308"/>
      <c r="MSF483" s="308"/>
      <c r="MSG483" s="308"/>
      <c r="MSH483" s="308"/>
      <c r="MSI483" s="308"/>
      <c r="MSJ483" s="308"/>
      <c r="MSK483" s="308"/>
      <c r="MSL483" s="308"/>
      <c r="MSM483" s="308"/>
      <c r="MSN483" s="308"/>
      <c r="MSO483" s="308"/>
      <c r="MSP483" s="308"/>
      <c r="MSQ483" s="308"/>
      <c r="MSR483" s="308"/>
      <c r="MSS483" s="308"/>
      <c r="MST483" s="308"/>
      <c r="MSU483" s="308"/>
      <c r="MSV483" s="308"/>
      <c r="MSW483" s="308"/>
      <c r="MSX483" s="308"/>
      <c r="MSY483" s="308"/>
      <c r="MSZ483" s="308"/>
      <c r="MTA483" s="308"/>
      <c r="MTB483" s="308"/>
      <c r="MTC483" s="308"/>
      <c r="MTD483" s="308"/>
      <c r="MTE483" s="308"/>
      <c r="MTF483" s="308"/>
      <c r="MTG483" s="308"/>
      <c r="MTH483" s="308"/>
      <c r="MTI483" s="308"/>
      <c r="MTJ483" s="308"/>
      <c r="MTK483" s="308"/>
      <c r="MTL483" s="308"/>
      <c r="MTM483" s="308"/>
      <c r="MTN483" s="308"/>
      <c r="MTO483" s="308"/>
      <c r="MTP483" s="308"/>
      <c r="MTQ483" s="308"/>
      <c r="MTR483" s="308"/>
      <c r="MTS483" s="308"/>
      <c r="MTT483" s="308"/>
      <c r="MTU483" s="308"/>
      <c r="MTV483" s="308"/>
      <c r="MTW483" s="308"/>
      <c r="MTX483" s="308"/>
      <c r="MTY483" s="308"/>
      <c r="MTZ483" s="308"/>
      <c r="MUA483" s="308"/>
      <c r="MUB483" s="308"/>
      <c r="MUC483" s="308"/>
      <c r="MUD483" s="308"/>
      <c r="MUE483" s="308"/>
      <c r="MUF483" s="308"/>
      <c r="MUG483" s="308"/>
      <c r="MUH483" s="308"/>
      <c r="MUI483" s="308"/>
      <c r="MUJ483" s="308"/>
      <c r="MUK483" s="308"/>
      <c r="MUL483" s="308"/>
      <c r="MUM483" s="308"/>
      <c r="MUN483" s="308"/>
      <c r="MUO483" s="308"/>
      <c r="MUP483" s="308"/>
      <c r="MUQ483" s="308"/>
      <c r="MUR483" s="308"/>
      <c r="MUS483" s="308"/>
      <c r="MUT483" s="308"/>
      <c r="MUU483" s="308"/>
      <c r="MUV483" s="308"/>
      <c r="MUW483" s="308"/>
      <c r="MUX483" s="308"/>
      <c r="MUY483" s="308"/>
      <c r="MUZ483" s="308"/>
      <c r="MVA483" s="308"/>
      <c r="MVB483" s="308"/>
      <c r="MVC483" s="308"/>
      <c r="MVD483" s="308"/>
      <c r="MVE483" s="308"/>
      <c r="MVF483" s="308"/>
      <c r="MVG483" s="308"/>
      <c r="MVH483" s="308"/>
      <c r="MVI483" s="308"/>
      <c r="MVJ483" s="308"/>
      <c r="MVK483" s="308"/>
      <c r="MVL483" s="308"/>
      <c r="MVM483" s="308"/>
      <c r="MVN483" s="308"/>
      <c r="MVO483" s="308"/>
      <c r="MVP483" s="308"/>
      <c r="MVQ483" s="308"/>
      <c r="MVR483" s="308"/>
      <c r="MVS483" s="308"/>
      <c r="MVT483" s="308"/>
      <c r="MVU483" s="308"/>
      <c r="MVV483" s="308"/>
      <c r="MVW483" s="308"/>
      <c r="MVX483" s="308"/>
      <c r="MVY483" s="308"/>
      <c r="MVZ483" s="308"/>
      <c r="MWA483" s="308"/>
      <c r="MWB483" s="308"/>
      <c r="MWC483" s="308"/>
      <c r="MWD483" s="308"/>
      <c r="MWE483" s="308"/>
      <c r="MWF483" s="308"/>
      <c r="MWG483" s="308"/>
      <c r="MWH483" s="308"/>
      <c r="MWI483" s="308"/>
      <c r="MWJ483" s="308"/>
      <c r="MWK483" s="308"/>
      <c r="MWL483" s="308"/>
      <c r="MWM483" s="308"/>
      <c r="MWN483" s="308"/>
      <c r="MWO483" s="308"/>
      <c r="MWP483" s="308"/>
      <c r="MWQ483" s="308"/>
      <c r="MWR483" s="308"/>
      <c r="MWS483" s="308"/>
      <c r="MWT483" s="308"/>
      <c r="MWU483" s="308"/>
      <c r="MWV483" s="308"/>
      <c r="MWW483" s="308"/>
      <c r="MWX483" s="308"/>
      <c r="MWY483" s="308"/>
      <c r="MWZ483" s="308"/>
      <c r="MXA483" s="308"/>
      <c r="MXB483" s="308"/>
      <c r="MXC483" s="308"/>
      <c r="MXD483" s="308"/>
      <c r="MXE483" s="308"/>
      <c r="MXF483" s="308"/>
      <c r="MXG483" s="308"/>
      <c r="MXH483" s="308"/>
      <c r="MXI483" s="308"/>
      <c r="MXJ483" s="308"/>
      <c r="MXK483" s="308"/>
      <c r="MXL483" s="308"/>
      <c r="MXM483" s="308"/>
      <c r="MXN483" s="308"/>
      <c r="MXO483" s="308"/>
      <c r="MXP483" s="308"/>
      <c r="MXQ483" s="308"/>
      <c r="MXR483" s="308"/>
      <c r="MXS483" s="308"/>
      <c r="MXT483" s="308"/>
      <c r="MXU483" s="308"/>
      <c r="MXV483" s="308"/>
      <c r="MXW483" s="308"/>
      <c r="MXX483" s="308"/>
      <c r="MXY483" s="308"/>
      <c r="MXZ483" s="308"/>
      <c r="MYA483" s="308"/>
      <c r="MYB483" s="308"/>
      <c r="MYC483" s="308"/>
      <c r="MYD483" s="308"/>
      <c r="MYE483" s="308"/>
      <c r="MYF483" s="308"/>
      <c r="MYG483" s="308"/>
      <c r="MYH483" s="308"/>
      <c r="MYI483" s="308"/>
      <c r="MYJ483" s="308"/>
      <c r="MYK483" s="308"/>
      <c r="MYL483" s="308"/>
      <c r="MYM483" s="308"/>
      <c r="MYN483" s="308"/>
      <c r="MYO483" s="308"/>
      <c r="MYP483" s="308"/>
      <c r="MYQ483" s="308"/>
      <c r="MYR483" s="308"/>
      <c r="MYS483" s="308"/>
      <c r="MYT483" s="308"/>
      <c r="MYU483" s="308"/>
      <c r="MYV483" s="308"/>
      <c r="MYW483" s="308"/>
      <c r="MYX483" s="308"/>
      <c r="MYY483" s="308"/>
      <c r="MYZ483" s="308"/>
      <c r="MZA483" s="308"/>
      <c r="MZB483" s="308"/>
      <c r="MZC483" s="308"/>
      <c r="MZD483" s="308"/>
      <c r="MZE483" s="308"/>
      <c r="MZF483" s="308"/>
      <c r="MZG483" s="308"/>
      <c r="MZH483" s="308"/>
      <c r="MZI483" s="308"/>
      <c r="MZJ483" s="308"/>
      <c r="MZK483" s="308"/>
      <c r="MZL483" s="308"/>
      <c r="MZM483" s="308"/>
      <c r="MZN483" s="308"/>
      <c r="MZO483" s="308"/>
      <c r="MZP483" s="308"/>
      <c r="MZQ483" s="308"/>
      <c r="MZR483" s="308"/>
      <c r="MZS483" s="308"/>
      <c r="MZT483" s="308"/>
      <c r="MZU483" s="308"/>
      <c r="MZV483" s="308"/>
      <c r="MZW483" s="308"/>
      <c r="MZX483" s="308"/>
      <c r="MZY483" s="308"/>
      <c r="MZZ483" s="308"/>
      <c r="NAA483" s="308"/>
      <c r="NAB483" s="308"/>
      <c r="NAC483" s="308"/>
      <c r="NAD483" s="308"/>
      <c r="NAE483" s="308"/>
      <c r="NAF483" s="308"/>
      <c r="NAG483" s="308"/>
      <c r="NAH483" s="308"/>
      <c r="NAI483" s="308"/>
      <c r="NAJ483" s="308"/>
      <c r="NAK483" s="308"/>
      <c r="NAL483" s="308"/>
      <c r="NAM483" s="308"/>
      <c r="NAN483" s="308"/>
      <c r="NAO483" s="308"/>
      <c r="NAP483" s="308"/>
      <c r="NAQ483" s="308"/>
      <c r="NAR483" s="308"/>
      <c r="NAS483" s="308"/>
      <c r="NAT483" s="308"/>
      <c r="NAU483" s="308"/>
      <c r="NAV483" s="308"/>
      <c r="NAW483" s="308"/>
      <c r="NAX483" s="308"/>
      <c r="NAY483" s="308"/>
      <c r="NAZ483" s="308"/>
      <c r="NBA483" s="308"/>
      <c r="NBB483" s="308"/>
      <c r="NBC483" s="308"/>
      <c r="NBD483" s="308"/>
      <c r="NBE483" s="308"/>
      <c r="NBF483" s="308"/>
      <c r="NBG483" s="308"/>
      <c r="NBH483" s="308"/>
      <c r="NBI483" s="308"/>
      <c r="NBJ483" s="308"/>
      <c r="NBK483" s="308"/>
      <c r="NBL483" s="308"/>
      <c r="NBM483" s="308"/>
      <c r="NBN483" s="308"/>
      <c r="NBO483" s="308"/>
      <c r="NBP483" s="308"/>
      <c r="NBQ483" s="308"/>
      <c r="NBR483" s="308"/>
      <c r="NBS483" s="308"/>
      <c r="NBT483" s="308"/>
      <c r="NBU483" s="308"/>
      <c r="NBV483" s="308"/>
      <c r="NBW483" s="308"/>
      <c r="NBX483" s="308"/>
      <c r="NBY483" s="308"/>
      <c r="NBZ483" s="308"/>
      <c r="NCA483" s="308"/>
      <c r="NCB483" s="308"/>
      <c r="NCC483" s="308"/>
      <c r="NCD483" s="308"/>
      <c r="NCE483" s="308"/>
      <c r="NCF483" s="308"/>
      <c r="NCG483" s="308"/>
      <c r="NCH483" s="308"/>
      <c r="NCI483" s="308"/>
      <c r="NCJ483" s="308"/>
      <c r="NCK483" s="308"/>
      <c r="NCL483" s="308"/>
      <c r="NCM483" s="308"/>
      <c r="NCN483" s="308"/>
      <c r="NCO483" s="308"/>
      <c r="NCP483" s="308"/>
      <c r="NCQ483" s="308"/>
      <c r="NCR483" s="308"/>
      <c r="NCS483" s="308"/>
      <c r="NCT483" s="308"/>
      <c r="NCU483" s="308"/>
      <c r="NCV483" s="308"/>
      <c r="NCW483" s="308"/>
      <c r="NCX483" s="308"/>
      <c r="NCY483" s="308"/>
      <c r="NCZ483" s="308"/>
      <c r="NDA483" s="308"/>
      <c r="NDB483" s="308"/>
      <c r="NDC483" s="308"/>
      <c r="NDD483" s="308"/>
      <c r="NDE483" s="308"/>
      <c r="NDF483" s="308"/>
      <c r="NDG483" s="308"/>
      <c r="NDH483" s="308"/>
      <c r="NDI483" s="308"/>
      <c r="NDJ483" s="308"/>
      <c r="NDK483" s="308"/>
      <c r="NDL483" s="308"/>
      <c r="NDM483" s="308"/>
      <c r="NDN483" s="308"/>
      <c r="NDO483" s="308"/>
      <c r="NDP483" s="308"/>
      <c r="NDQ483" s="308"/>
      <c r="NDR483" s="308"/>
      <c r="NDS483" s="308"/>
      <c r="NDT483" s="308"/>
      <c r="NDU483" s="308"/>
      <c r="NDV483" s="308"/>
      <c r="NDW483" s="308"/>
      <c r="NDX483" s="308"/>
      <c r="NDY483" s="308"/>
      <c r="NDZ483" s="308"/>
      <c r="NEA483" s="308"/>
      <c r="NEB483" s="308"/>
      <c r="NEC483" s="308"/>
      <c r="NED483" s="308"/>
      <c r="NEE483" s="308"/>
      <c r="NEF483" s="308"/>
      <c r="NEG483" s="308"/>
      <c r="NEH483" s="308"/>
      <c r="NEI483" s="308"/>
      <c r="NEJ483" s="308"/>
      <c r="NEK483" s="308"/>
      <c r="NEL483" s="308"/>
      <c r="NEM483" s="308"/>
      <c r="NEN483" s="308"/>
      <c r="NEO483" s="308"/>
      <c r="NEP483" s="308"/>
      <c r="NEQ483" s="308"/>
      <c r="NER483" s="308"/>
      <c r="NES483" s="308"/>
      <c r="NET483" s="308"/>
      <c r="NEU483" s="308"/>
      <c r="NEV483" s="308"/>
      <c r="NEW483" s="308"/>
      <c r="NEX483" s="308"/>
      <c r="NEY483" s="308"/>
      <c r="NEZ483" s="308"/>
      <c r="NFA483" s="308"/>
      <c r="NFB483" s="308"/>
      <c r="NFC483" s="308"/>
      <c r="NFD483" s="308"/>
      <c r="NFE483" s="308"/>
      <c r="NFF483" s="308"/>
      <c r="NFG483" s="308"/>
      <c r="NFH483" s="308"/>
      <c r="NFI483" s="308"/>
      <c r="NFJ483" s="308"/>
      <c r="NFK483" s="308"/>
      <c r="NFL483" s="308"/>
      <c r="NFM483" s="308"/>
      <c r="NFN483" s="308"/>
      <c r="NFO483" s="308"/>
      <c r="NFP483" s="308"/>
      <c r="NFQ483" s="308"/>
      <c r="NFR483" s="308"/>
      <c r="NFS483" s="308"/>
      <c r="NFT483" s="308"/>
      <c r="NFU483" s="308"/>
      <c r="NFV483" s="308"/>
      <c r="NFW483" s="308"/>
      <c r="NFX483" s="308"/>
      <c r="NFY483" s="308"/>
      <c r="NFZ483" s="308"/>
      <c r="NGA483" s="308"/>
      <c r="NGB483" s="308"/>
      <c r="NGC483" s="308"/>
      <c r="NGD483" s="308"/>
      <c r="NGE483" s="308"/>
      <c r="NGF483" s="308"/>
      <c r="NGG483" s="308"/>
      <c r="NGH483" s="308"/>
      <c r="NGI483" s="308"/>
      <c r="NGJ483" s="308"/>
      <c r="NGK483" s="308"/>
      <c r="NGL483" s="308"/>
      <c r="NGM483" s="308"/>
      <c r="NGN483" s="308"/>
      <c r="NGO483" s="308"/>
      <c r="NGP483" s="308"/>
      <c r="NGQ483" s="308"/>
      <c r="NGR483" s="308"/>
      <c r="NGS483" s="308"/>
      <c r="NGT483" s="308"/>
      <c r="NGU483" s="308"/>
      <c r="NGV483" s="308"/>
      <c r="NGW483" s="308"/>
      <c r="NGX483" s="308"/>
      <c r="NGY483" s="308"/>
      <c r="NGZ483" s="308"/>
      <c r="NHA483" s="308"/>
      <c r="NHB483" s="308"/>
      <c r="NHC483" s="308"/>
      <c r="NHD483" s="308"/>
      <c r="NHE483" s="308"/>
      <c r="NHF483" s="308"/>
      <c r="NHG483" s="308"/>
      <c r="NHH483" s="308"/>
      <c r="NHI483" s="308"/>
      <c r="NHJ483" s="308"/>
      <c r="NHK483" s="308"/>
      <c r="NHL483" s="308"/>
      <c r="NHM483" s="308"/>
      <c r="NHN483" s="308"/>
      <c r="NHO483" s="308"/>
      <c r="NHP483" s="308"/>
      <c r="NHQ483" s="308"/>
      <c r="NHR483" s="308"/>
      <c r="NHS483" s="308"/>
      <c r="NHT483" s="308"/>
      <c r="NHU483" s="308"/>
      <c r="NHV483" s="308"/>
      <c r="NHW483" s="308"/>
      <c r="NHX483" s="308"/>
      <c r="NHY483" s="308"/>
      <c r="NHZ483" s="308"/>
      <c r="NIA483" s="308"/>
      <c r="NIB483" s="308"/>
      <c r="NIC483" s="308"/>
      <c r="NID483" s="308"/>
      <c r="NIE483" s="308"/>
      <c r="NIF483" s="308"/>
      <c r="NIG483" s="308"/>
      <c r="NIH483" s="308"/>
      <c r="NII483" s="308"/>
      <c r="NIJ483" s="308"/>
      <c r="NIK483" s="308"/>
      <c r="NIL483" s="308"/>
      <c r="NIM483" s="308"/>
      <c r="NIN483" s="308"/>
      <c r="NIO483" s="308"/>
      <c r="NIP483" s="308"/>
      <c r="NIQ483" s="308"/>
      <c r="NIR483" s="308"/>
      <c r="NIS483" s="308"/>
      <c r="NIT483" s="308"/>
      <c r="NIU483" s="308"/>
      <c r="NIV483" s="308"/>
      <c r="NIW483" s="308"/>
      <c r="NIX483" s="308"/>
      <c r="NIY483" s="308"/>
      <c r="NIZ483" s="308"/>
      <c r="NJA483" s="308"/>
      <c r="NJB483" s="308"/>
      <c r="NJC483" s="308"/>
      <c r="NJD483" s="308"/>
      <c r="NJE483" s="308"/>
      <c r="NJF483" s="308"/>
      <c r="NJG483" s="308"/>
      <c r="NJH483" s="308"/>
      <c r="NJI483" s="308"/>
      <c r="NJJ483" s="308"/>
      <c r="NJK483" s="308"/>
      <c r="NJL483" s="308"/>
      <c r="NJM483" s="308"/>
      <c r="NJN483" s="308"/>
      <c r="NJO483" s="308"/>
      <c r="NJP483" s="308"/>
      <c r="NJQ483" s="308"/>
      <c r="NJR483" s="308"/>
      <c r="NJS483" s="308"/>
      <c r="NJT483" s="308"/>
      <c r="NJU483" s="308"/>
      <c r="NJV483" s="308"/>
      <c r="NJW483" s="308"/>
      <c r="NJX483" s="308"/>
      <c r="NJY483" s="308"/>
      <c r="NJZ483" s="308"/>
      <c r="NKA483" s="308"/>
      <c r="NKB483" s="308"/>
      <c r="NKC483" s="308"/>
      <c r="NKD483" s="308"/>
      <c r="NKE483" s="308"/>
      <c r="NKF483" s="308"/>
      <c r="NKG483" s="308"/>
      <c r="NKH483" s="308"/>
      <c r="NKI483" s="308"/>
      <c r="NKJ483" s="308"/>
      <c r="NKK483" s="308"/>
      <c r="NKL483" s="308"/>
      <c r="NKM483" s="308"/>
      <c r="NKN483" s="308"/>
      <c r="NKO483" s="308"/>
      <c r="NKP483" s="308"/>
      <c r="NKQ483" s="308"/>
      <c r="NKR483" s="308"/>
      <c r="NKS483" s="308"/>
      <c r="NKT483" s="308"/>
      <c r="NKU483" s="308"/>
      <c r="NKV483" s="308"/>
      <c r="NKW483" s="308"/>
      <c r="NKX483" s="308"/>
      <c r="NKY483" s="308"/>
      <c r="NKZ483" s="308"/>
      <c r="NLA483" s="308"/>
      <c r="NLB483" s="308"/>
      <c r="NLC483" s="308"/>
      <c r="NLD483" s="308"/>
      <c r="NLE483" s="308"/>
      <c r="NLF483" s="308"/>
      <c r="NLG483" s="308"/>
      <c r="NLH483" s="308"/>
      <c r="NLI483" s="308"/>
      <c r="NLJ483" s="308"/>
      <c r="NLK483" s="308"/>
      <c r="NLL483" s="308"/>
      <c r="NLM483" s="308"/>
      <c r="NLN483" s="308"/>
      <c r="NLO483" s="308"/>
      <c r="NLP483" s="308"/>
      <c r="NLQ483" s="308"/>
      <c r="NLR483" s="308"/>
      <c r="NLS483" s="308"/>
      <c r="NLT483" s="308"/>
      <c r="NLU483" s="308"/>
      <c r="NLV483" s="308"/>
      <c r="NLW483" s="308"/>
      <c r="NLX483" s="308"/>
      <c r="NLY483" s="308"/>
      <c r="NLZ483" s="308"/>
      <c r="NMA483" s="308"/>
      <c r="NMB483" s="308"/>
      <c r="NMC483" s="308"/>
      <c r="NMD483" s="308"/>
      <c r="NME483" s="308"/>
      <c r="NMF483" s="308"/>
      <c r="NMG483" s="308"/>
      <c r="NMH483" s="308"/>
      <c r="NMI483" s="308"/>
      <c r="NMJ483" s="308"/>
      <c r="NMK483" s="308"/>
      <c r="NML483" s="308"/>
      <c r="NMM483" s="308"/>
      <c r="NMN483" s="308"/>
      <c r="NMO483" s="308"/>
      <c r="NMP483" s="308"/>
      <c r="NMQ483" s="308"/>
      <c r="NMR483" s="308"/>
      <c r="NMS483" s="308"/>
      <c r="NMT483" s="308"/>
      <c r="NMU483" s="308"/>
      <c r="NMV483" s="308"/>
      <c r="NMW483" s="308"/>
      <c r="NMX483" s="308"/>
      <c r="NMY483" s="308"/>
      <c r="NMZ483" s="308"/>
      <c r="NNA483" s="308"/>
      <c r="NNB483" s="308"/>
      <c r="NNC483" s="308"/>
      <c r="NND483" s="308"/>
      <c r="NNE483" s="308"/>
      <c r="NNF483" s="308"/>
      <c r="NNG483" s="308"/>
      <c r="NNH483" s="308"/>
      <c r="NNI483" s="308"/>
      <c r="NNJ483" s="308"/>
      <c r="NNK483" s="308"/>
      <c r="NNL483" s="308"/>
      <c r="NNM483" s="308"/>
      <c r="NNN483" s="308"/>
      <c r="NNO483" s="308"/>
      <c r="NNP483" s="308"/>
      <c r="NNQ483" s="308"/>
      <c r="NNR483" s="308"/>
      <c r="NNS483" s="308"/>
      <c r="NNT483" s="308"/>
      <c r="NNU483" s="308"/>
      <c r="NNV483" s="308"/>
      <c r="NNW483" s="308"/>
      <c r="NNX483" s="308"/>
      <c r="NNY483" s="308"/>
      <c r="NNZ483" s="308"/>
      <c r="NOA483" s="308"/>
      <c r="NOB483" s="308"/>
      <c r="NOC483" s="308"/>
      <c r="NOD483" s="308"/>
      <c r="NOE483" s="308"/>
      <c r="NOF483" s="308"/>
      <c r="NOG483" s="308"/>
      <c r="NOH483" s="308"/>
      <c r="NOI483" s="308"/>
      <c r="NOJ483" s="308"/>
      <c r="NOK483" s="308"/>
      <c r="NOL483" s="308"/>
      <c r="NOM483" s="308"/>
      <c r="NON483" s="308"/>
      <c r="NOO483" s="308"/>
      <c r="NOP483" s="308"/>
      <c r="NOQ483" s="308"/>
      <c r="NOR483" s="308"/>
      <c r="NOS483" s="308"/>
      <c r="NOT483" s="308"/>
      <c r="NOU483" s="308"/>
      <c r="NOV483" s="308"/>
      <c r="NOW483" s="308"/>
      <c r="NOX483" s="308"/>
      <c r="NOY483" s="308"/>
      <c r="NOZ483" s="308"/>
      <c r="NPA483" s="308"/>
      <c r="NPB483" s="308"/>
      <c r="NPC483" s="308"/>
      <c r="NPD483" s="308"/>
      <c r="NPE483" s="308"/>
      <c r="NPF483" s="308"/>
      <c r="NPG483" s="308"/>
      <c r="NPH483" s="308"/>
      <c r="NPI483" s="308"/>
      <c r="NPJ483" s="308"/>
      <c r="NPK483" s="308"/>
      <c r="NPL483" s="308"/>
      <c r="NPM483" s="308"/>
      <c r="NPN483" s="308"/>
      <c r="NPO483" s="308"/>
      <c r="NPP483" s="308"/>
      <c r="NPQ483" s="308"/>
      <c r="NPR483" s="308"/>
      <c r="NPS483" s="308"/>
      <c r="NPT483" s="308"/>
      <c r="NPU483" s="308"/>
      <c r="NPV483" s="308"/>
      <c r="NPW483" s="308"/>
      <c r="NPX483" s="308"/>
      <c r="NPY483" s="308"/>
      <c r="NPZ483" s="308"/>
      <c r="NQA483" s="308"/>
      <c r="NQB483" s="308"/>
      <c r="NQC483" s="308"/>
      <c r="NQD483" s="308"/>
      <c r="NQE483" s="308"/>
      <c r="NQF483" s="308"/>
      <c r="NQG483" s="308"/>
      <c r="NQH483" s="308"/>
      <c r="NQI483" s="308"/>
      <c r="NQJ483" s="308"/>
      <c r="NQK483" s="308"/>
      <c r="NQL483" s="308"/>
      <c r="NQM483" s="308"/>
      <c r="NQN483" s="308"/>
      <c r="NQO483" s="308"/>
      <c r="NQP483" s="308"/>
      <c r="NQQ483" s="308"/>
      <c r="NQR483" s="308"/>
      <c r="NQS483" s="308"/>
      <c r="NQT483" s="308"/>
      <c r="NQU483" s="308"/>
      <c r="NQV483" s="308"/>
      <c r="NQW483" s="308"/>
      <c r="NQX483" s="308"/>
      <c r="NQY483" s="308"/>
      <c r="NQZ483" s="308"/>
      <c r="NRA483" s="308"/>
      <c r="NRB483" s="308"/>
      <c r="NRC483" s="308"/>
      <c r="NRD483" s="308"/>
      <c r="NRE483" s="308"/>
      <c r="NRF483" s="308"/>
      <c r="NRG483" s="308"/>
      <c r="NRH483" s="308"/>
      <c r="NRI483" s="308"/>
      <c r="NRJ483" s="308"/>
      <c r="NRK483" s="308"/>
      <c r="NRL483" s="308"/>
      <c r="NRM483" s="308"/>
      <c r="NRN483" s="308"/>
      <c r="NRO483" s="308"/>
      <c r="NRP483" s="308"/>
      <c r="NRQ483" s="308"/>
      <c r="NRR483" s="308"/>
      <c r="NRS483" s="308"/>
      <c r="NRT483" s="308"/>
      <c r="NRU483" s="308"/>
      <c r="NRV483" s="308"/>
      <c r="NRW483" s="308"/>
      <c r="NRX483" s="308"/>
      <c r="NRY483" s="308"/>
      <c r="NRZ483" s="308"/>
      <c r="NSA483" s="308"/>
      <c r="NSB483" s="308"/>
      <c r="NSC483" s="308"/>
      <c r="NSD483" s="308"/>
      <c r="NSE483" s="308"/>
      <c r="NSF483" s="308"/>
      <c r="NSG483" s="308"/>
      <c r="NSH483" s="308"/>
      <c r="NSI483" s="308"/>
      <c r="NSJ483" s="308"/>
      <c r="NSK483" s="308"/>
      <c r="NSL483" s="308"/>
      <c r="NSM483" s="308"/>
      <c r="NSN483" s="308"/>
      <c r="NSO483" s="308"/>
      <c r="NSP483" s="308"/>
      <c r="NSQ483" s="308"/>
      <c r="NSR483" s="308"/>
      <c r="NSS483" s="308"/>
      <c r="NST483" s="308"/>
      <c r="NSU483" s="308"/>
      <c r="NSV483" s="308"/>
      <c r="NSW483" s="308"/>
      <c r="NSX483" s="308"/>
      <c r="NSY483" s="308"/>
      <c r="NSZ483" s="308"/>
      <c r="NTA483" s="308"/>
      <c r="NTB483" s="308"/>
      <c r="NTC483" s="308"/>
      <c r="NTD483" s="308"/>
      <c r="NTE483" s="308"/>
      <c r="NTF483" s="308"/>
      <c r="NTG483" s="308"/>
      <c r="NTH483" s="308"/>
      <c r="NTI483" s="308"/>
      <c r="NTJ483" s="308"/>
      <c r="NTK483" s="308"/>
      <c r="NTL483" s="308"/>
      <c r="NTM483" s="308"/>
      <c r="NTN483" s="308"/>
      <c r="NTO483" s="308"/>
      <c r="NTP483" s="308"/>
      <c r="NTQ483" s="308"/>
      <c r="NTR483" s="308"/>
      <c r="NTS483" s="308"/>
      <c r="NTT483" s="308"/>
      <c r="NTU483" s="308"/>
      <c r="NTV483" s="308"/>
      <c r="NTW483" s="308"/>
      <c r="NTX483" s="308"/>
      <c r="NTY483" s="308"/>
      <c r="NTZ483" s="308"/>
      <c r="NUA483" s="308"/>
      <c r="NUB483" s="308"/>
      <c r="NUC483" s="308"/>
      <c r="NUD483" s="308"/>
      <c r="NUE483" s="308"/>
      <c r="NUF483" s="308"/>
      <c r="NUG483" s="308"/>
      <c r="NUH483" s="308"/>
      <c r="NUI483" s="308"/>
      <c r="NUJ483" s="308"/>
      <c r="NUK483" s="308"/>
      <c r="NUL483" s="308"/>
      <c r="NUM483" s="308"/>
      <c r="NUN483" s="308"/>
      <c r="NUO483" s="308"/>
      <c r="NUP483" s="308"/>
      <c r="NUQ483" s="308"/>
      <c r="NUR483" s="308"/>
      <c r="NUS483" s="308"/>
      <c r="NUT483" s="308"/>
      <c r="NUU483" s="308"/>
      <c r="NUV483" s="308"/>
      <c r="NUW483" s="308"/>
      <c r="NUX483" s="308"/>
      <c r="NUY483" s="308"/>
      <c r="NUZ483" s="308"/>
      <c r="NVA483" s="308"/>
      <c r="NVB483" s="308"/>
      <c r="NVC483" s="308"/>
      <c r="NVD483" s="308"/>
      <c r="NVE483" s="308"/>
      <c r="NVF483" s="308"/>
      <c r="NVG483" s="308"/>
      <c r="NVH483" s="308"/>
      <c r="NVI483" s="308"/>
      <c r="NVJ483" s="308"/>
      <c r="NVK483" s="308"/>
      <c r="NVL483" s="308"/>
      <c r="NVM483" s="308"/>
      <c r="NVN483" s="308"/>
      <c r="NVO483" s="308"/>
      <c r="NVP483" s="308"/>
      <c r="NVQ483" s="308"/>
      <c r="NVR483" s="308"/>
      <c r="NVS483" s="308"/>
      <c r="NVT483" s="308"/>
      <c r="NVU483" s="308"/>
      <c r="NVV483" s="308"/>
      <c r="NVW483" s="308"/>
      <c r="NVX483" s="308"/>
      <c r="NVY483" s="308"/>
      <c r="NVZ483" s="308"/>
      <c r="NWA483" s="308"/>
      <c r="NWB483" s="308"/>
      <c r="NWC483" s="308"/>
      <c r="NWD483" s="308"/>
      <c r="NWE483" s="308"/>
      <c r="NWF483" s="308"/>
      <c r="NWG483" s="308"/>
      <c r="NWH483" s="308"/>
      <c r="NWI483" s="308"/>
      <c r="NWJ483" s="308"/>
      <c r="NWK483" s="308"/>
      <c r="NWL483" s="308"/>
      <c r="NWM483" s="308"/>
      <c r="NWN483" s="308"/>
      <c r="NWO483" s="308"/>
      <c r="NWP483" s="308"/>
      <c r="NWQ483" s="308"/>
      <c r="NWR483" s="308"/>
      <c r="NWS483" s="308"/>
      <c r="NWT483" s="308"/>
      <c r="NWU483" s="308"/>
      <c r="NWV483" s="308"/>
      <c r="NWW483" s="308"/>
      <c r="NWX483" s="308"/>
      <c r="NWY483" s="308"/>
      <c r="NWZ483" s="308"/>
      <c r="NXA483" s="308"/>
      <c r="NXB483" s="308"/>
      <c r="NXC483" s="308"/>
      <c r="NXD483" s="308"/>
      <c r="NXE483" s="308"/>
      <c r="NXF483" s="308"/>
      <c r="NXG483" s="308"/>
      <c r="NXH483" s="308"/>
      <c r="NXI483" s="308"/>
      <c r="NXJ483" s="308"/>
      <c r="NXK483" s="308"/>
      <c r="NXL483" s="308"/>
      <c r="NXM483" s="308"/>
      <c r="NXN483" s="308"/>
      <c r="NXO483" s="308"/>
      <c r="NXP483" s="308"/>
      <c r="NXQ483" s="308"/>
      <c r="NXR483" s="308"/>
      <c r="NXS483" s="308"/>
      <c r="NXT483" s="308"/>
      <c r="NXU483" s="308"/>
      <c r="NXV483" s="308"/>
      <c r="NXW483" s="308"/>
      <c r="NXX483" s="308"/>
      <c r="NXY483" s="308"/>
      <c r="NXZ483" s="308"/>
      <c r="NYA483" s="308"/>
      <c r="NYB483" s="308"/>
      <c r="NYC483" s="308"/>
      <c r="NYD483" s="308"/>
      <c r="NYE483" s="308"/>
      <c r="NYF483" s="308"/>
      <c r="NYG483" s="308"/>
      <c r="NYH483" s="308"/>
      <c r="NYI483" s="308"/>
      <c r="NYJ483" s="308"/>
      <c r="NYK483" s="308"/>
      <c r="NYL483" s="308"/>
      <c r="NYM483" s="308"/>
      <c r="NYN483" s="308"/>
      <c r="NYO483" s="308"/>
      <c r="NYP483" s="308"/>
      <c r="NYQ483" s="308"/>
      <c r="NYR483" s="308"/>
      <c r="NYS483" s="308"/>
      <c r="NYT483" s="308"/>
      <c r="NYU483" s="308"/>
      <c r="NYV483" s="308"/>
      <c r="NYW483" s="308"/>
      <c r="NYX483" s="308"/>
      <c r="NYY483" s="308"/>
      <c r="NYZ483" s="308"/>
      <c r="NZA483" s="308"/>
      <c r="NZB483" s="308"/>
      <c r="NZC483" s="308"/>
      <c r="NZD483" s="308"/>
      <c r="NZE483" s="308"/>
      <c r="NZF483" s="308"/>
      <c r="NZG483" s="308"/>
      <c r="NZH483" s="308"/>
      <c r="NZI483" s="308"/>
      <c r="NZJ483" s="308"/>
      <c r="NZK483" s="308"/>
      <c r="NZL483" s="308"/>
      <c r="NZM483" s="308"/>
      <c r="NZN483" s="308"/>
      <c r="NZO483" s="308"/>
      <c r="NZP483" s="308"/>
      <c r="NZQ483" s="308"/>
      <c r="NZR483" s="308"/>
      <c r="NZS483" s="308"/>
      <c r="NZT483" s="308"/>
      <c r="NZU483" s="308"/>
      <c r="NZV483" s="308"/>
      <c r="NZW483" s="308"/>
      <c r="NZX483" s="308"/>
      <c r="NZY483" s="308"/>
      <c r="NZZ483" s="308"/>
      <c r="OAA483" s="308"/>
      <c r="OAB483" s="308"/>
      <c r="OAC483" s="308"/>
      <c r="OAD483" s="308"/>
      <c r="OAE483" s="308"/>
      <c r="OAF483" s="308"/>
      <c r="OAG483" s="308"/>
      <c r="OAH483" s="308"/>
      <c r="OAI483" s="308"/>
      <c r="OAJ483" s="308"/>
      <c r="OAK483" s="308"/>
      <c r="OAL483" s="308"/>
      <c r="OAM483" s="308"/>
      <c r="OAN483" s="308"/>
      <c r="OAO483" s="308"/>
      <c r="OAP483" s="308"/>
      <c r="OAQ483" s="308"/>
      <c r="OAR483" s="308"/>
      <c r="OAS483" s="308"/>
      <c r="OAT483" s="308"/>
      <c r="OAU483" s="308"/>
      <c r="OAV483" s="308"/>
      <c r="OAW483" s="308"/>
      <c r="OAX483" s="308"/>
      <c r="OAY483" s="308"/>
      <c r="OAZ483" s="308"/>
      <c r="OBA483" s="308"/>
      <c r="OBB483" s="308"/>
      <c r="OBC483" s="308"/>
      <c r="OBD483" s="308"/>
      <c r="OBE483" s="308"/>
      <c r="OBF483" s="308"/>
      <c r="OBG483" s="308"/>
      <c r="OBH483" s="308"/>
      <c r="OBI483" s="308"/>
      <c r="OBJ483" s="308"/>
      <c r="OBK483" s="308"/>
      <c r="OBL483" s="308"/>
      <c r="OBM483" s="308"/>
      <c r="OBN483" s="308"/>
      <c r="OBO483" s="308"/>
      <c r="OBP483" s="308"/>
      <c r="OBQ483" s="308"/>
      <c r="OBR483" s="308"/>
      <c r="OBS483" s="308"/>
      <c r="OBT483" s="308"/>
      <c r="OBU483" s="308"/>
      <c r="OBV483" s="308"/>
      <c r="OBW483" s="308"/>
      <c r="OBX483" s="308"/>
      <c r="OBY483" s="308"/>
      <c r="OBZ483" s="308"/>
      <c r="OCA483" s="308"/>
      <c r="OCB483" s="308"/>
      <c r="OCC483" s="308"/>
      <c r="OCD483" s="308"/>
      <c r="OCE483" s="308"/>
      <c r="OCF483" s="308"/>
      <c r="OCG483" s="308"/>
      <c r="OCH483" s="308"/>
      <c r="OCI483" s="308"/>
      <c r="OCJ483" s="308"/>
      <c r="OCK483" s="308"/>
      <c r="OCL483" s="308"/>
      <c r="OCM483" s="308"/>
      <c r="OCN483" s="308"/>
      <c r="OCO483" s="308"/>
      <c r="OCP483" s="308"/>
      <c r="OCQ483" s="308"/>
      <c r="OCR483" s="308"/>
      <c r="OCS483" s="308"/>
      <c r="OCT483" s="308"/>
      <c r="OCU483" s="308"/>
      <c r="OCV483" s="308"/>
      <c r="OCW483" s="308"/>
      <c r="OCX483" s="308"/>
      <c r="OCY483" s="308"/>
      <c r="OCZ483" s="308"/>
      <c r="ODA483" s="308"/>
      <c r="ODB483" s="308"/>
      <c r="ODC483" s="308"/>
      <c r="ODD483" s="308"/>
      <c r="ODE483" s="308"/>
      <c r="ODF483" s="308"/>
      <c r="ODG483" s="308"/>
      <c r="ODH483" s="308"/>
      <c r="ODI483" s="308"/>
      <c r="ODJ483" s="308"/>
      <c r="ODK483" s="308"/>
      <c r="ODL483" s="308"/>
      <c r="ODM483" s="308"/>
      <c r="ODN483" s="308"/>
      <c r="ODO483" s="308"/>
      <c r="ODP483" s="308"/>
      <c r="ODQ483" s="308"/>
      <c r="ODR483" s="308"/>
      <c r="ODS483" s="308"/>
      <c r="ODT483" s="308"/>
      <c r="ODU483" s="308"/>
      <c r="ODV483" s="308"/>
      <c r="ODW483" s="308"/>
      <c r="ODX483" s="308"/>
      <c r="ODY483" s="308"/>
      <c r="ODZ483" s="308"/>
      <c r="OEA483" s="308"/>
      <c r="OEB483" s="308"/>
      <c r="OEC483" s="308"/>
      <c r="OED483" s="308"/>
      <c r="OEE483" s="308"/>
      <c r="OEF483" s="308"/>
      <c r="OEG483" s="308"/>
      <c r="OEH483" s="308"/>
      <c r="OEI483" s="308"/>
      <c r="OEJ483" s="308"/>
      <c r="OEK483" s="308"/>
      <c r="OEL483" s="308"/>
      <c r="OEM483" s="308"/>
      <c r="OEN483" s="308"/>
      <c r="OEO483" s="308"/>
      <c r="OEP483" s="308"/>
      <c r="OEQ483" s="308"/>
      <c r="OER483" s="308"/>
      <c r="OES483" s="308"/>
      <c r="OET483" s="308"/>
      <c r="OEU483" s="308"/>
      <c r="OEV483" s="308"/>
      <c r="OEW483" s="308"/>
      <c r="OEX483" s="308"/>
      <c r="OEY483" s="308"/>
      <c r="OEZ483" s="308"/>
      <c r="OFA483" s="308"/>
      <c r="OFB483" s="308"/>
      <c r="OFC483" s="308"/>
      <c r="OFD483" s="308"/>
      <c r="OFE483" s="308"/>
      <c r="OFF483" s="308"/>
      <c r="OFG483" s="308"/>
      <c r="OFH483" s="308"/>
      <c r="OFI483" s="308"/>
      <c r="OFJ483" s="308"/>
      <c r="OFK483" s="308"/>
      <c r="OFL483" s="308"/>
      <c r="OFM483" s="308"/>
      <c r="OFN483" s="308"/>
      <c r="OFO483" s="308"/>
      <c r="OFP483" s="308"/>
      <c r="OFQ483" s="308"/>
      <c r="OFR483" s="308"/>
      <c r="OFS483" s="308"/>
      <c r="OFT483" s="308"/>
      <c r="OFU483" s="308"/>
      <c r="OFV483" s="308"/>
      <c r="OFW483" s="308"/>
      <c r="OFX483" s="308"/>
      <c r="OFY483" s="308"/>
      <c r="OFZ483" s="308"/>
      <c r="OGA483" s="308"/>
      <c r="OGB483" s="308"/>
      <c r="OGC483" s="308"/>
      <c r="OGD483" s="308"/>
      <c r="OGE483" s="308"/>
      <c r="OGF483" s="308"/>
      <c r="OGG483" s="308"/>
      <c r="OGH483" s="308"/>
      <c r="OGI483" s="308"/>
      <c r="OGJ483" s="308"/>
      <c r="OGK483" s="308"/>
      <c r="OGL483" s="308"/>
      <c r="OGM483" s="308"/>
      <c r="OGN483" s="308"/>
      <c r="OGO483" s="308"/>
      <c r="OGP483" s="308"/>
      <c r="OGQ483" s="308"/>
      <c r="OGR483" s="308"/>
      <c r="OGS483" s="308"/>
      <c r="OGT483" s="308"/>
      <c r="OGU483" s="308"/>
      <c r="OGV483" s="308"/>
      <c r="OGW483" s="308"/>
      <c r="OGX483" s="308"/>
      <c r="OGY483" s="308"/>
      <c r="OGZ483" s="308"/>
      <c r="OHA483" s="308"/>
      <c r="OHB483" s="308"/>
      <c r="OHC483" s="308"/>
      <c r="OHD483" s="308"/>
      <c r="OHE483" s="308"/>
      <c r="OHF483" s="308"/>
      <c r="OHG483" s="308"/>
      <c r="OHH483" s="308"/>
      <c r="OHI483" s="308"/>
      <c r="OHJ483" s="308"/>
      <c r="OHK483" s="308"/>
      <c r="OHL483" s="308"/>
      <c r="OHM483" s="308"/>
      <c r="OHN483" s="308"/>
      <c r="OHO483" s="308"/>
      <c r="OHP483" s="308"/>
      <c r="OHQ483" s="308"/>
      <c r="OHR483" s="308"/>
      <c r="OHS483" s="308"/>
      <c r="OHT483" s="308"/>
      <c r="OHU483" s="308"/>
      <c r="OHV483" s="308"/>
      <c r="OHW483" s="308"/>
      <c r="OHX483" s="308"/>
      <c r="OHY483" s="308"/>
      <c r="OHZ483" s="308"/>
      <c r="OIA483" s="308"/>
      <c r="OIB483" s="308"/>
      <c r="OIC483" s="308"/>
      <c r="OID483" s="308"/>
      <c r="OIE483" s="308"/>
      <c r="OIF483" s="308"/>
      <c r="OIG483" s="308"/>
      <c r="OIH483" s="308"/>
      <c r="OII483" s="308"/>
      <c r="OIJ483" s="308"/>
      <c r="OIK483" s="308"/>
      <c r="OIL483" s="308"/>
      <c r="OIM483" s="308"/>
      <c r="OIN483" s="308"/>
      <c r="OIO483" s="308"/>
      <c r="OIP483" s="308"/>
      <c r="OIQ483" s="308"/>
      <c r="OIR483" s="308"/>
      <c r="OIS483" s="308"/>
      <c r="OIT483" s="308"/>
      <c r="OIU483" s="308"/>
      <c r="OIV483" s="308"/>
      <c r="OIW483" s="308"/>
      <c r="OIX483" s="308"/>
      <c r="OIY483" s="308"/>
      <c r="OIZ483" s="308"/>
      <c r="OJA483" s="308"/>
      <c r="OJB483" s="308"/>
      <c r="OJC483" s="308"/>
      <c r="OJD483" s="308"/>
      <c r="OJE483" s="308"/>
      <c r="OJF483" s="308"/>
      <c r="OJG483" s="308"/>
      <c r="OJH483" s="308"/>
      <c r="OJI483" s="308"/>
      <c r="OJJ483" s="308"/>
      <c r="OJK483" s="308"/>
      <c r="OJL483" s="308"/>
      <c r="OJM483" s="308"/>
      <c r="OJN483" s="308"/>
      <c r="OJO483" s="308"/>
      <c r="OJP483" s="308"/>
      <c r="OJQ483" s="308"/>
      <c r="OJR483" s="308"/>
      <c r="OJS483" s="308"/>
      <c r="OJT483" s="308"/>
      <c r="OJU483" s="308"/>
      <c r="OJV483" s="308"/>
      <c r="OJW483" s="308"/>
      <c r="OJX483" s="308"/>
      <c r="OJY483" s="308"/>
      <c r="OJZ483" s="308"/>
      <c r="OKA483" s="308"/>
      <c r="OKB483" s="308"/>
      <c r="OKC483" s="308"/>
      <c r="OKD483" s="308"/>
      <c r="OKE483" s="308"/>
      <c r="OKF483" s="308"/>
      <c r="OKG483" s="308"/>
      <c r="OKH483" s="308"/>
      <c r="OKI483" s="308"/>
      <c r="OKJ483" s="308"/>
      <c r="OKK483" s="308"/>
      <c r="OKL483" s="308"/>
      <c r="OKM483" s="308"/>
      <c r="OKN483" s="308"/>
      <c r="OKO483" s="308"/>
      <c r="OKP483" s="308"/>
      <c r="OKQ483" s="308"/>
      <c r="OKR483" s="308"/>
      <c r="OKS483" s="308"/>
      <c r="OKT483" s="308"/>
      <c r="OKU483" s="308"/>
      <c r="OKV483" s="308"/>
      <c r="OKW483" s="308"/>
      <c r="OKX483" s="308"/>
      <c r="OKY483" s="308"/>
      <c r="OKZ483" s="308"/>
      <c r="OLA483" s="308"/>
      <c r="OLB483" s="308"/>
      <c r="OLC483" s="308"/>
      <c r="OLD483" s="308"/>
      <c r="OLE483" s="308"/>
      <c r="OLF483" s="308"/>
      <c r="OLG483" s="308"/>
      <c r="OLH483" s="308"/>
      <c r="OLI483" s="308"/>
      <c r="OLJ483" s="308"/>
      <c r="OLK483" s="308"/>
      <c r="OLL483" s="308"/>
      <c r="OLM483" s="308"/>
      <c r="OLN483" s="308"/>
      <c r="OLO483" s="308"/>
      <c r="OLP483" s="308"/>
      <c r="OLQ483" s="308"/>
      <c r="OLR483" s="308"/>
      <c r="OLS483" s="308"/>
      <c r="OLT483" s="308"/>
      <c r="OLU483" s="308"/>
      <c r="OLV483" s="308"/>
      <c r="OLW483" s="308"/>
      <c r="OLX483" s="308"/>
      <c r="OLY483" s="308"/>
      <c r="OLZ483" s="308"/>
      <c r="OMA483" s="308"/>
      <c r="OMB483" s="308"/>
      <c r="OMC483" s="308"/>
      <c r="OMD483" s="308"/>
      <c r="OME483" s="308"/>
      <c r="OMF483" s="308"/>
      <c r="OMG483" s="308"/>
      <c r="OMH483" s="308"/>
      <c r="OMI483" s="308"/>
      <c r="OMJ483" s="308"/>
      <c r="OMK483" s="308"/>
      <c r="OML483" s="308"/>
      <c r="OMM483" s="308"/>
      <c r="OMN483" s="308"/>
      <c r="OMO483" s="308"/>
      <c r="OMP483" s="308"/>
      <c r="OMQ483" s="308"/>
      <c r="OMR483" s="308"/>
      <c r="OMS483" s="308"/>
      <c r="OMT483" s="308"/>
      <c r="OMU483" s="308"/>
      <c r="OMV483" s="308"/>
      <c r="OMW483" s="308"/>
      <c r="OMX483" s="308"/>
      <c r="OMY483" s="308"/>
      <c r="OMZ483" s="308"/>
      <c r="ONA483" s="308"/>
      <c r="ONB483" s="308"/>
      <c r="ONC483" s="308"/>
      <c r="OND483" s="308"/>
      <c r="ONE483" s="308"/>
      <c r="ONF483" s="308"/>
      <c r="ONG483" s="308"/>
      <c r="ONH483" s="308"/>
      <c r="ONI483" s="308"/>
      <c r="ONJ483" s="308"/>
      <c r="ONK483" s="308"/>
      <c r="ONL483" s="308"/>
      <c r="ONM483" s="308"/>
      <c r="ONN483" s="308"/>
      <c r="ONO483" s="308"/>
      <c r="ONP483" s="308"/>
      <c r="ONQ483" s="308"/>
      <c r="ONR483" s="308"/>
      <c r="ONS483" s="308"/>
      <c r="ONT483" s="308"/>
      <c r="ONU483" s="308"/>
      <c r="ONV483" s="308"/>
      <c r="ONW483" s="308"/>
      <c r="ONX483" s="308"/>
      <c r="ONY483" s="308"/>
      <c r="ONZ483" s="308"/>
      <c r="OOA483" s="308"/>
      <c r="OOB483" s="308"/>
      <c r="OOC483" s="308"/>
      <c r="OOD483" s="308"/>
      <c r="OOE483" s="308"/>
      <c r="OOF483" s="308"/>
      <c r="OOG483" s="308"/>
      <c r="OOH483" s="308"/>
      <c r="OOI483" s="308"/>
      <c r="OOJ483" s="308"/>
      <c r="OOK483" s="308"/>
      <c r="OOL483" s="308"/>
      <c r="OOM483" s="308"/>
      <c r="OON483" s="308"/>
      <c r="OOO483" s="308"/>
      <c r="OOP483" s="308"/>
      <c r="OOQ483" s="308"/>
      <c r="OOR483" s="308"/>
      <c r="OOS483" s="308"/>
      <c r="OOT483" s="308"/>
      <c r="OOU483" s="308"/>
      <c r="OOV483" s="308"/>
      <c r="OOW483" s="308"/>
      <c r="OOX483" s="308"/>
      <c r="OOY483" s="308"/>
      <c r="OOZ483" s="308"/>
      <c r="OPA483" s="308"/>
      <c r="OPB483" s="308"/>
      <c r="OPC483" s="308"/>
      <c r="OPD483" s="308"/>
      <c r="OPE483" s="308"/>
      <c r="OPF483" s="308"/>
      <c r="OPG483" s="308"/>
      <c r="OPH483" s="308"/>
      <c r="OPI483" s="308"/>
      <c r="OPJ483" s="308"/>
      <c r="OPK483" s="308"/>
      <c r="OPL483" s="308"/>
      <c r="OPM483" s="308"/>
      <c r="OPN483" s="308"/>
      <c r="OPO483" s="308"/>
      <c r="OPP483" s="308"/>
      <c r="OPQ483" s="308"/>
      <c r="OPR483" s="308"/>
      <c r="OPS483" s="308"/>
      <c r="OPT483" s="308"/>
      <c r="OPU483" s="308"/>
      <c r="OPV483" s="308"/>
      <c r="OPW483" s="308"/>
      <c r="OPX483" s="308"/>
      <c r="OPY483" s="308"/>
      <c r="OPZ483" s="308"/>
      <c r="OQA483" s="308"/>
      <c r="OQB483" s="308"/>
      <c r="OQC483" s="308"/>
      <c r="OQD483" s="308"/>
      <c r="OQE483" s="308"/>
      <c r="OQF483" s="308"/>
      <c r="OQG483" s="308"/>
      <c r="OQH483" s="308"/>
      <c r="OQI483" s="308"/>
      <c r="OQJ483" s="308"/>
      <c r="OQK483" s="308"/>
      <c r="OQL483" s="308"/>
      <c r="OQM483" s="308"/>
      <c r="OQN483" s="308"/>
      <c r="OQO483" s="308"/>
      <c r="OQP483" s="308"/>
      <c r="OQQ483" s="308"/>
      <c r="OQR483" s="308"/>
      <c r="OQS483" s="308"/>
      <c r="OQT483" s="308"/>
      <c r="OQU483" s="308"/>
      <c r="OQV483" s="308"/>
      <c r="OQW483" s="308"/>
      <c r="OQX483" s="308"/>
      <c r="OQY483" s="308"/>
      <c r="OQZ483" s="308"/>
      <c r="ORA483" s="308"/>
      <c r="ORB483" s="308"/>
      <c r="ORC483" s="308"/>
      <c r="ORD483" s="308"/>
      <c r="ORE483" s="308"/>
      <c r="ORF483" s="308"/>
      <c r="ORG483" s="308"/>
      <c r="ORH483" s="308"/>
      <c r="ORI483" s="308"/>
      <c r="ORJ483" s="308"/>
      <c r="ORK483" s="308"/>
      <c r="ORL483" s="308"/>
      <c r="ORM483" s="308"/>
      <c r="ORN483" s="308"/>
      <c r="ORO483" s="308"/>
      <c r="ORP483" s="308"/>
      <c r="ORQ483" s="308"/>
      <c r="ORR483" s="308"/>
      <c r="ORS483" s="308"/>
      <c r="ORT483" s="308"/>
      <c r="ORU483" s="308"/>
      <c r="ORV483" s="308"/>
      <c r="ORW483" s="308"/>
      <c r="ORX483" s="308"/>
      <c r="ORY483" s="308"/>
      <c r="ORZ483" s="308"/>
      <c r="OSA483" s="308"/>
      <c r="OSB483" s="308"/>
      <c r="OSC483" s="308"/>
      <c r="OSD483" s="308"/>
      <c r="OSE483" s="308"/>
      <c r="OSF483" s="308"/>
      <c r="OSG483" s="308"/>
      <c r="OSH483" s="308"/>
      <c r="OSI483" s="308"/>
      <c r="OSJ483" s="308"/>
      <c r="OSK483" s="308"/>
      <c r="OSL483" s="308"/>
      <c r="OSM483" s="308"/>
      <c r="OSN483" s="308"/>
      <c r="OSO483" s="308"/>
      <c r="OSP483" s="308"/>
      <c r="OSQ483" s="308"/>
      <c r="OSR483" s="308"/>
      <c r="OSS483" s="308"/>
      <c r="OST483" s="308"/>
      <c r="OSU483" s="308"/>
      <c r="OSV483" s="308"/>
      <c r="OSW483" s="308"/>
      <c r="OSX483" s="308"/>
      <c r="OSY483" s="308"/>
      <c r="OSZ483" s="308"/>
      <c r="OTA483" s="308"/>
      <c r="OTB483" s="308"/>
      <c r="OTC483" s="308"/>
      <c r="OTD483" s="308"/>
      <c r="OTE483" s="308"/>
      <c r="OTF483" s="308"/>
      <c r="OTG483" s="308"/>
      <c r="OTH483" s="308"/>
      <c r="OTI483" s="308"/>
      <c r="OTJ483" s="308"/>
      <c r="OTK483" s="308"/>
      <c r="OTL483" s="308"/>
      <c r="OTM483" s="308"/>
      <c r="OTN483" s="308"/>
      <c r="OTO483" s="308"/>
      <c r="OTP483" s="308"/>
      <c r="OTQ483" s="308"/>
      <c r="OTR483" s="308"/>
      <c r="OTS483" s="308"/>
      <c r="OTT483" s="308"/>
      <c r="OTU483" s="308"/>
      <c r="OTV483" s="308"/>
      <c r="OTW483" s="308"/>
      <c r="OTX483" s="308"/>
      <c r="OTY483" s="308"/>
      <c r="OTZ483" s="308"/>
      <c r="OUA483" s="308"/>
      <c r="OUB483" s="308"/>
      <c r="OUC483" s="308"/>
      <c r="OUD483" s="308"/>
      <c r="OUE483" s="308"/>
      <c r="OUF483" s="308"/>
      <c r="OUG483" s="308"/>
      <c r="OUH483" s="308"/>
      <c r="OUI483" s="308"/>
      <c r="OUJ483" s="308"/>
      <c r="OUK483" s="308"/>
      <c r="OUL483" s="308"/>
      <c r="OUM483" s="308"/>
      <c r="OUN483" s="308"/>
      <c r="OUO483" s="308"/>
      <c r="OUP483" s="308"/>
      <c r="OUQ483" s="308"/>
      <c r="OUR483" s="308"/>
      <c r="OUS483" s="308"/>
      <c r="OUT483" s="308"/>
      <c r="OUU483" s="308"/>
      <c r="OUV483" s="308"/>
      <c r="OUW483" s="308"/>
      <c r="OUX483" s="308"/>
      <c r="OUY483" s="308"/>
      <c r="OUZ483" s="308"/>
      <c r="OVA483" s="308"/>
      <c r="OVB483" s="308"/>
      <c r="OVC483" s="308"/>
      <c r="OVD483" s="308"/>
      <c r="OVE483" s="308"/>
      <c r="OVF483" s="308"/>
      <c r="OVG483" s="308"/>
      <c r="OVH483" s="308"/>
      <c r="OVI483" s="308"/>
      <c r="OVJ483" s="308"/>
      <c r="OVK483" s="308"/>
      <c r="OVL483" s="308"/>
      <c r="OVM483" s="308"/>
      <c r="OVN483" s="308"/>
      <c r="OVO483" s="308"/>
      <c r="OVP483" s="308"/>
      <c r="OVQ483" s="308"/>
      <c r="OVR483" s="308"/>
      <c r="OVS483" s="308"/>
      <c r="OVT483" s="308"/>
      <c r="OVU483" s="308"/>
      <c r="OVV483" s="308"/>
      <c r="OVW483" s="308"/>
      <c r="OVX483" s="308"/>
      <c r="OVY483" s="308"/>
      <c r="OVZ483" s="308"/>
      <c r="OWA483" s="308"/>
      <c r="OWB483" s="308"/>
      <c r="OWC483" s="308"/>
      <c r="OWD483" s="308"/>
      <c r="OWE483" s="308"/>
      <c r="OWF483" s="308"/>
      <c r="OWG483" s="308"/>
      <c r="OWH483" s="308"/>
      <c r="OWI483" s="308"/>
      <c r="OWJ483" s="308"/>
      <c r="OWK483" s="308"/>
      <c r="OWL483" s="308"/>
      <c r="OWM483" s="308"/>
      <c r="OWN483" s="308"/>
      <c r="OWO483" s="308"/>
      <c r="OWP483" s="308"/>
      <c r="OWQ483" s="308"/>
      <c r="OWR483" s="308"/>
      <c r="OWS483" s="308"/>
      <c r="OWT483" s="308"/>
      <c r="OWU483" s="308"/>
      <c r="OWV483" s="308"/>
      <c r="OWW483" s="308"/>
      <c r="OWX483" s="308"/>
      <c r="OWY483" s="308"/>
      <c r="OWZ483" s="308"/>
      <c r="OXA483" s="308"/>
      <c r="OXB483" s="308"/>
      <c r="OXC483" s="308"/>
      <c r="OXD483" s="308"/>
      <c r="OXE483" s="308"/>
      <c r="OXF483" s="308"/>
      <c r="OXG483" s="308"/>
      <c r="OXH483" s="308"/>
      <c r="OXI483" s="308"/>
      <c r="OXJ483" s="308"/>
      <c r="OXK483" s="308"/>
      <c r="OXL483" s="308"/>
      <c r="OXM483" s="308"/>
      <c r="OXN483" s="308"/>
      <c r="OXO483" s="308"/>
      <c r="OXP483" s="308"/>
      <c r="OXQ483" s="308"/>
      <c r="OXR483" s="308"/>
      <c r="OXS483" s="308"/>
      <c r="OXT483" s="308"/>
      <c r="OXU483" s="308"/>
      <c r="OXV483" s="308"/>
      <c r="OXW483" s="308"/>
      <c r="OXX483" s="308"/>
      <c r="OXY483" s="308"/>
      <c r="OXZ483" s="308"/>
      <c r="OYA483" s="308"/>
      <c r="OYB483" s="308"/>
      <c r="OYC483" s="308"/>
      <c r="OYD483" s="308"/>
      <c r="OYE483" s="308"/>
      <c r="OYF483" s="308"/>
      <c r="OYG483" s="308"/>
      <c r="OYH483" s="308"/>
      <c r="OYI483" s="308"/>
      <c r="OYJ483" s="308"/>
      <c r="OYK483" s="308"/>
      <c r="OYL483" s="308"/>
      <c r="OYM483" s="308"/>
      <c r="OYN483" s="308"/>
      <c r="OYO483" s="308"/>
      <c r="OYP483" s="308"/>
      <c r="OYQ483" s="308"/>
      <c r="OYR483" s="308"/>
      <c r="OYS483" s="308"/>
      <c r="OYT483" s="308"/>
      <c r="OYU483" s="308"/>
      <c r="OYV483" s="308"/>
      <c r="OYW483" s="308"/>
      <c r="OYX483" s="308"/>
      <c r="OYY483" s="308"/>
      <c r="OYZ483" s="308"/>
      <c r="OZA483" s="308"/>
      <c r="OZB483" s="308"/>
      <c r="OZC483" s="308"/>
      <c r="OZD483" s="308"/>
      <c r="OZE483" s="308"/>
      <c r="OZF483" s="308"/>
      <c r="OZG483" s="308"/>
      <c r="OZH483" s="308"/>
      <c r="OZI483" s="308"/>
      <c r="OZJ483" s="308"/>
      <c r="OZK483" s="308"/>
      <c r="OZL483" s="308"/>
      <c r="OZM483" s="308"/>
      <c r="OZN483" s="308"/>
      <c r="OZO483" s="308"/>
      <c r="OZP483" s="308"/>
      <c r="OZQ483" s="308"/>
      <c r="OZR483" s="308"/>
      <c r="OZS483" s="308"/>
      <c r="OZT483" s="308"/>
      <c r="OZU483" s="308"/>
      <c r="OZV483" s="308"/>
      <c r="OZW483" s="308"/>
      <c r="OZX483" s="308"/>
      <c r="OZY483" s="308"/>
      <c r="OZZ483" s="308"/>
      <c r="PAA483" s="308"/>
      <c r="PAB483" s="308"/>
      <c r="PAC483" s="308"/>
      <c r="PAD483" s="308"/>
      <c r="PAE483" s="308"/>
      <c r="PAF483" s="308"/>
      <c r="PAG483" s="308"/>
      <c r="PAH483" s="308"/>
      <c r="PAI483" s="308"/>
      <c r="PAJ483" s="308"/>
      <c r="PAK483" s="308"/>
      <c r="PAL483" s="308"/>
      <c r="PAM483" s="308"/>
      <c r="PAN483" s="308"/>
      <c r="PAO483" s="308"/>
      <c r="PAP483" s="308"/>
      <c r="PAQ483" s="308"/>
      <c r="PAR483" s="308"/>
      <c r="PAS483" s="308"/>
      <c r="PAT483" s="308"/>
      <c r="PAU483" s="308"/>
      <c r="PAV483" s="308"/>
      <c r="PAW483" s="308"/>
      <c r="PAX483" s="308"/>
      <c r="PAY483" s="308"/>
      <c r="PAZ483" s="308"/>
      <c r="PBA483" s="308"/>
      <c r="PBB483" s="308"/>
      <c r="PBC483" s="308"/>
      <c r="PBD483" s="308"/>
      <c r="PBE483" s="308"/>
      <c r="PBF483" s="308"/>
      <c r="PBG483" s="308"/>
      <c r="PBH483" s="308"/>
      <c r="PBI483" s="308"/>
      <c r="PBJ483" s="308"/>
      <c r="PBK483" s="308"/>
      <c r="PBL483" s="308"/>
      <c r="PBM483" s="308"/>
      <c r="PBN483" s="308"/>
      <c r="PBO483" s="308"/>
      <c r="PBP483" s="308"/>
      <c r="PBQ483" s="308"/>
      <c r="PBR483" s="308"/>
      <c r="PBS483" s="308"/>
      <c r="PBT483" s="308"/>
      <c r="PBU483" s="308"/>
      <c r="PBV483" s="308"/>
      <c r="PBW483" s="308"/>
      <c r="PBX483" s="308"/>
      <c r="PBY483" s="308"/>
      <c r="PBZ483" s="308"/>
      <c r="PCA483" s="308"/>
      <c r="PCB483" s="308"/>
      <c r="PCC483" s="308"/>
      <c r="PCD483" s="308"/>
      <c r="PCE483" s="308"/>
      <c r="PCF483" s="308"/>
      <c r="PCG483" s="308"/>
      <c r="PCH483" s="308"/>
      <c r="PCI483" s="308"/>
      <c r="PCJ483" s="308"/>
      <c r="PCK483" s="308"/>
      <c r="PCL483" s="308"/>
      <c r="PCM483" s="308"/>
      <c r="PCN483" s="308"/>
      <c r="PCO483" s="308"/>
      <c r="PCP483" s="308"/>
      <c r="PCQ483" s="308"/>
      <c r="PCR483" s="308"/>
      <c r="PCS483" s="308"/>
      <c r="PCT483" s="308"/>
      <c r="PCU483" s="308"/>
      <c r="PCV483" s="308"/>
      <c r="PCW483" s="308"/>
      <c r="PCX483" s="308"/>
      <c r="PCY483" s="308"/>
      <c r="PCZ483" s="308"/>
      <c r="PDA483" s="308"/>
      <c r="PDB483" s="308"/>
      <c r="PDC483" s="308"/>
      <c r="PDD483" s="308"/>
      <c r="PDE483" s="308"/>
      <c r="PDF483" s="308"/>
      <c r="PDG483" s="308"/>
      <c r="PDH483" s="308"/>
      <c r="PDI483" s="308"/>
      <c r="PDJ483" s="308"/>
      <c r="PDK483" s="308"/>
      <c r="PDL483" s="308"/>
      <c r="PDM483" s="308"/>
      <c r="PDN483" s="308"/>
      <c r="PDO483" s="308"/>
      <c r="PDP483" s="308"/>
      <c r="PDQ483" s="308"/>
      <c r="PDR483" s="308"/>
      <c r="PDS483" s="308"/>
      <c r="PDT483" s="308"/>
      <c r="PDU483" s="308"/>
      <c r="PDV483" s="308"/>
      <c r="PDW483" s="308"/>
      <c r="PDX483" s="308"/>
      <c r="PDY483" s="308"/>
      <c r="PDZ483" s="308"/>
      <c r="PEA483" s="308"/>
      <c r="PEB483" s="308"/>
      <c r="PEC483" s="308"/>
      <c r="PED483" s="308"/>
      <c r="PEE483" s="308"/>
      <c r="PEF483" s="308"/>
      <c r="PEG483" s="308"/>
      <c r="PEH483" s="308"/>
      <c r="PEI483" s="308"/>
      <c r="PEJ483" s="308"/>
      <c r="PEK483" s="308"/>
      <c r="PEL483" s="308"/>
      <c r="PEM483" s="308"/>
      <c r="PEN483" s="308"/>
      <c r="PEO483" s="308"/>
      <c r="PEP483" s="308"/>
      <c r="PEQ483" s="308"/>
      <c r="PER483" s="308"/>
      <c r="PES483" s="308"/>
      <c r="PET483" s="308"/>
      <c r="PEU483" s="308"/>
      <c r="PEV483" s="308"/>
      <c r="PEW483" s="308"/>
      <c r="PEX483" s="308"/>
      <c r="PEY483" s="308"/>
      <c r="PEZ483" s="308"/>
      <c r="PFA483" s="308"/>
      <c r="PFB483" s="308"/>
      <c r="PFC483" s="308"/>
      <c r="PFD483" s="308"/>
      <c r="PFE483" s="308"/>
      <c r="PFF483" s="308"/>
      <c r="PFG483" s="308"/>
      <c r="PFH483" s="308"/>
      <c r="PFI483" s="308"/>
      <c r="PFJ483" s="308"/>
      <c r="PFK483" s="308"/>
      <c r="PFL483" s="308"/>
      <c r="PFM483" s="308"/>
      <c r="PFN483" s="308"/>
      <c r="PFO483" s="308"/>
      <c r="PFP483" s="308"/>
      <c r="PFQ483" s="308"/>
      <c r="PFR483" s="308"/>
      <c r="PFS483" s="308"/>
      <c r="PFT483" s="308"/>
      <c r="PFU483" s="308"/>
      <c r="PFV483" s="308"/>
      <c r="PFW483" s="308"/>
      <c r="PFX483" s="308"/>
      <c r="PFY483" s="308"/>
      <c r="PFZ483" s="308"/>
      <c r="PGA483" s="308"/>
      <c r="PGB483" s="308"/>
      <c r="PGC483" s="308"/>
      <c r="PGD483" s="308"/>
      <c r="PGE483" s="308"/>
      <c r="PGF483" s="308"/>
      <c r="PGG483" s="308"/>
      <c r="PGH483" s="308"/>
      <c r="PGI483" s="308"/>
      <c r="PGJ483" s="308"/>
      <c r="PGK483" s="308"/>
      <c r="PGL483" s="308"/>
      <c r="PGM483" s="308"/>
      <c r="PGN483" s="308"/>
      <c r="PGO483" s="308"/>
      <c r="PGP483" s="308"/>
      <c r="PGQ483" s="308"/>
      <c r="PGR483" s="308"/>
      <c r="PGS483" s="308"/>
      <c r="PGT483" s="308"/>
      <c r="PGU483" s="308"/>
      <c r="PGV483" s="308"/>
      <c r="PGW483" s="308"/>
      <c r="PGX483" s="308"/>
      <c r="PGY483" s="308"/>
      <c r="PGZ483" s="308"/>
      <c r="PHA483" s="308"/>
      <c r="PHB483" s="308"/>
      <c r="PHC483" s="308"/>
      <c r="PHD483" s="308"/>
      <c r="PHE483" s="308"/>
      <c r="PHF483" s="308"/>
      <c r="PHG483" s="308"/>
      <c r="PHH483" s="308"/>
      <c r="PHI483" s="308"/>
      <c r="PHJ483" s="308"/>
      <c r="PHK483" s="308"/>
      <c r="PHL483" s="308"/>
      <c r="PHM483" s="308"/>
      <c r="PHN483" s="308"/>
      <c r="PHO483" s="308"/>
      <c r="PHP483" s="308"/>
      <c r="PHQ483" s="308"/>
      <c r="PHR483" s="308"/>
      <c r="PHS483" s="308"/>
      <c r="PHT483" s="308"/>
      <c r="PHU483" s="308"/>
      <c r="PHV483" s="308"/>
      <c r="PHW483" s="308"/>
      <c r="PHX483" s="308"/>
      <c r="PHY483" s="308"/>
      <c r="PHZ483" s="308"/>
      <c r="PIA483" s="308"/>
      <c r="PIB483" s="308"/>
      <c r="PIC483" s="308"/>
      <c r="PID483" s="308"/>
      <c r="PIE483" s="308"/>
      <c r="PIF483" s="308"/>
      <c r="PIG483" s="308"/>
      <c r="PIH483" s="308"/>
      <c r="PII483" s="308"/>
      <c r="PIJ483" s="308"/>
      <c r="PIK483" s="308"/>
      <c r="PIL483" s="308"/>
      <c r="PIM483" s="308"/>
      <c r="PIN483" s="308"/>
      <c r="PIO483" s="308"/>
      <c r="PIP483" s="308"/>
      <c r="PIQ483" s="308"/>
      <c r="PIR483" s="308"/>
      <c r="PIS483" s="308"/>
      <c r="PIT483" s="308"/>
      <c r="PIU483" s="308"/>
      <c r="PIV483" s="308"/>
      <c r="PIW483" s="308"/>
      <c r="PIX483" s="308"/>
      <c r="PIY483" s="308"/>
      <c r="PIZ483" s="308"/>
      <c r="PJA483" s="308"/>
      <c r="PJB483" s="308"/>
      <c r="PJC483" s="308"/>
      <c r="PJD483" s="308"/>
      <c r="PJE483" s="308"/>
      <c r="PJF483" s="308"/>
      <c r="PJG483" s="308"/>
      <c r="PJH483" s="308"/>
      <c r="PJI483" s="308"/>
      <c r="PJJ483" s="308"/>
      <c r="PJK483" s="308"/>
      <c r="PJL483" s="308"/>
      <c r="PJM483" s="308"/>
      <c r="PJN483" s="308"/>
      <c r="PJO483" s="308"/>
      <c r="PJP483" s="308"/>
      <c r="PJQ483" s="308"/>
      <c r="PJR483" s="308"/>
      <c r="PJS483" s="308"/>
      <c r="PJT483" s="308"/>
      <c r="PJU483" s="308"/>
      <c r="PJV483" s="308"/>
      <c r="PJW483" s="308"/>
      <c r="PJX483" s="308"/>
      <c r="PJY483" s="308"/>
      <c r="PJZ483" s="308"/>
      <c r="PKA483" s="308"/>
      <c r="PKB483" s="308"/>
      <c r="PKC483" s="308"/>
      <c r="PKD483" s="308"/>
      <c r="PKE483" s="308"/>
      <c r="PKF483" s="308"/>
      <c r="PKG483" s="308"/>
      <c r="PKH483" s="308"/>
      <c r="PKI483" s="308"/>
      <c r="PKJ483" s="308"/>
      <c r="PKK483" s="308"/>
      <c r="PKL483" s="308"/>
      <c r="PKM483" s="308"/>
      <c r="PKN483" s="308"/>
      <c r="PKO483" s="308"/>
      <c r="PKP483" s="308"/>
      <c r="PKQ483" s="308"/>
      <c r="PKR483" s="308"/>
      <c r="PKS483" s="308"/>
      <c r="PKT483" s="308"/>
      <c r="PKU483" s="308"/>
      <c r="PKV483" s="308"/>
      <c r="PKW483" s="308"/>
      <c r="PKX483" s="308"/>
      <c r="PKY483" s="308"/>
      <c r="PKZ483" s="308"/>
      <c r="PLA483" s="308"/>
      <c r="PLB483" s="308"/>
      <c r="PLC483" s="308"/>
      <c r="PLD483" s="308"/>
      <c r="PLE483" s="308"/>
      <c r="PLF483" s="308"/>
      <c r="PLG483" s="308"/>
      <c r="PLH483" s="308"/>
      <c r="PLI483" s="308"/>
      <c r="PLJ483" s="308"/>
      <c r="PLK483" s="308"/>
      <c r="PLL483" s="308"/>
      <c r="PLM483" s="308"/>
      <c r="PLN483" s="308"/>
      <c r="PLO483" s="308"/>
      <c r="PLP483" s="308"/>
      <c r="PLQ483" s="308"/>
      <c r="PLR483" s="308"/>
      <c r="PLS483" s="308"/>
      <c r="PLT483" s="308"/>
      <c r="PLU483" s="308"/>
      <c r="PLV483" s="308"/>
      <c r="PLW483" s="308"/>
      <c r="PLX483" s="308"/>
      <c r="PLY483" s="308"/>
      <c r="PLZ483" s="308"/>
      <c r="PMA483" s="308"/>
      <c r="PMB483" s="308"/>
      <c r="PMC483" s="308"/>
      <c r="PMD483" s="308"/>
      <c r="PME483" s="308"/>
      <c r="PMF483" s="308"/>
      <c r="PMG483" s="308"/>
      <c r="PMH483" s="308"/>
      <c r="PMI483" s="308"/>
      <c r="PMJ483" s="308"/>
      <c r="PMK483" s="308"/>
      <c r="PML483" s="308"/>
      <c r="PMM483" s="308"/>
      <c r="PMN483" s="308"/>
      <c r="PMO483" s="308"/>
      <c r="PMP483" s="308"/>
      <c r="PMQ483" s="308"/>
      <c r="PMR483" s="308"/>
      <c r="PMS483" s="308"/>
      <c r="PMT483" s="308"/>
      <c r="PMU483" s="308"/>
      <c r="PMV483" s="308"/>
      <c r="PMW483" s="308"/>
      <c r="PMX483" s="308"/>
      <c r="PMY483" s="308"/>
      <c r="PMZ483" s="308"/>
      <c r="PNA483" s="308"/>
      <c r="PNB483" s="308"/>
      <c r="PNC483" s="308"/>
      <c r="PND483" s="308"/>
      <c r="PNE483" s="308"/>
      <c r="PNF483" s="308"/>
      <c r="PNG483" s="308"/>
      <c r="PNH483" s="308"/>
      <c r="PNI483" s="308"/>
      <c r="PNJ483" s="308"/>
      <c r="PNK483" s="308"/>
      <c r="PNL483" s="308"/>
      <c r="PNM483" s="308"/>
      <c r="PNN483" s="308"/>
      <c r="PNO483" s="308"/>
      <c r="PNP483" s="308"/>
      <c r="PNQ483" s="308"/>
      <c r="PNR483" s="308"/>
      <c r="PNS483" s="308"/>
      <c r="PNT483" s="308"/>
      <c r="PNU483" s="308"/>
      <c r="PNV483" s="308"/>
      <c r="PNW483" s="308"/>
      <c r="PNX483" s="308"/>
      <c r="PNY483" s="308"/>
      <c r="PNZ483" s="308"/>
      <c r="POA483" s="308"/>
      <c r="POB483" s="308"/>
      <c r="POC483" s="308"/>
      <c r="POD483" s="308"/>
      <c r="POE483" s="308"/>
      <c r="POF483" s="308"/>
      <c r="POG483" s="308"/>
      <c r="POH483" s="308"/>
      <c r="POI483" s="308"/>
      <c r="POJ483" s="308"/>
      <c r="POK483" s="308"/>
      <c r="POL483" s="308"/>
      <c r="POM483" s="308"/>
      <c r="PON483" s="308"/>
      <c r="POO483" s="308"/>
      <c r="POP483" s="308"/>
      <c r="POQ483" s="308"/>
      <c r="POR483" s="308"/>
      <c r="POS483" s="308"/>
      <c r="POT483" s="308"/>
      <c r="POU483" s="308"/>
      <c r="POV483" s="308"/>
      <c r="POW483" s="308"/>
      <c r="POX483" s="308"/>
      <c r="POY483" s="308"/>
      <c r="POZ483" s="308"/>
      <c r="PPA483" s="308"/>
      <c r="PPB483" s="308"/>
      <c r="PPC483" s="308"/>
      <c r="PPD483" s="308"/>
      <c r="PPE483" s="308"/>
      <c r="PPF483" s="308"/>
      <c r="PPG483" s="308"/>
      <c r="PPH483" s="308"/>
      <c r="PPI483" s="308"/>
      <c r="PPJ483" s="308"/>
      <c r="PPK483" s="308"/>
      <c r="PPL483" s="308"/>
      <c r="PPM483" s="308"/>
      <c r="PPN483" s="308"/>
      <c r="PPO483" s="308"/>
      <c r="PPP483" s="308"/>
      <c r="PPQ483" s="308"/>
      <c r="PPR483" s="308"/>
      <c r="PPS483" s="308"/>
      <c r="PPT483" s="308"/>
      <c r="PPU483" s="308"/>
      <c r="PPV483" s="308"/>
      <c r="PPW483" s="308"/>
      <c r="PPX483" s="308"/>
      <c r="PPY483" s="308"/>
      <c r="PPZ483" s="308"/>
      <c r="PQA483" s="308"/>
      <c r="PQB483" s="308"/>
      <c r="PQC483" s="308"/>
      <c r="PQD483" s="308"/>
      <c r="PQE483" s="308"/>
      <c r="PQF483" s="308"/>
      <c r="PQG483" s="308"/>
      <c r="PQH483" s="308"/>
      <c r="PQI483" s="308"/>
      <c r="PQJ483" s="308"/>
      <c r="PQK483" s="308"/>
      <c r="PQL483" s="308"/>
      <c r="PQM483" s="308"/>
      <c r="PQN483" s="308"/>
      <c r="PQO483" s="308"/>
      <c r="PQP483" s="308"/>
      <c r="PQQ483" s="308"/>
      <c r="PQR483" s="308"/>
      <c r="PQS483" s="308"/>
      <c r="PQT483" s="308"/>
      <c r="PQU483" s="308"/>
      <c r="PQV483" s="308"/>
      <c r="PQW483" s="308"/>
      <c r="PQX483" s="308"/>
      <c r="PQY483" s="308"/>
      <c r="PQZ483" s="308"/>
      <c r="PRA483" s="308"/>
      <c r="PRB483" s="308"/>
      <c r="PRC483" s="308"/>
      <c r="PRD483" s="308"/>
      <c r="PRE483" s="308"/>
      <c r="PRF483" s="308"/>
      <c r="PRG483" s="308"/>
      <c r="PRH483" s="308"/>
      <c r="PRI483" s="308"/>
      <c r="PRJ483" s="308"/>
      <c r="PRK483" s="308"/>
      <c r="PRL483" s="308"/>
      <c r="PRM483" s="308"/>
      <c r="PRN483" s="308"/>
      <c r="PRO483" s="308"/>
      <c r="PRP483" s="308"/>
      <c r="PRQ483" s="308"/>
      <c r="PRR483" s="308"/>
      <c r="PRS483" s="308"/>
      <c r="PRT483" s="308"/>
      <c r="PRU483" s="308"/>
      <c r="PRV483" s="308"/>
      <c r="PRW483" s="308"/>
      <c r="PRX483" s="308"/>
      <c r="PRY483" s="308"/>
      <c r="PRZ483" s="308"/>
      <c r="PSA483" s="308"/>
      <c r="PSB483" s="308"/>
      <c r="PSC483" s="308"/>
      <c r="PSD483" s="308"/>
      <c r="PSE483" s="308"/>
      <c r="PSF483" s="308"/>
      <c r="PSG483" s="308"/>
      <c r="PSH483" s="308"/>
      <c r="PSI483" s="308"/>
      <c r="PSJ483" s="308"/>
      <c r="PSK483" s="308"/>
      <c r="PSL483" s="308"/>
      <c r="PSM483" s="308"/>
      <c r="PSN483" s="308"/>
      <c r="PSO483" s="308"/>
      <c r="PSP483" s="308"/>
      <c r="PSQ483" s="308"/>
      <c r="PSR483" s="308"/>
      <c r="PSS483" s="308"/>
      <c r="PST483" s="308"/>
      <c r="PSU483" s="308"/>
      <c r="PSV483" s="308"/>
      <c r="PSW483" s="308"/>
      <c r="PSX483" s="308"/>
      <c r="PSY483" s="308"/>
      <c r="PSZ483" s="308"/>
      <c r="PTA483" s="308"/>
      <c r="PTB483" s="308"/>
      <c r="PTC483" s="308"/>
      <c r="PTD483" s="308"/>
      <c r="PTE483" s="308"/>
      <c r="PTF483" s="308"/>
      <c r="PTG483" s="308"/>
      <c r="PTH483" s="308"/>
      <c r="PTI483" s="308"/>
      <c r="PTJ483" s="308"/>
      <c r="PTK483" s="308"/>
      <c r="PTL483" s="308"/>
      <c r="PTM483" s="308"/>
      <c r="PTN483" s="308"/>
      <c r="PTO483" s="308"/>
      <c r="PTP483" s="308"/>
      <c r="PTQ483" s="308"/>
      <c r="PTR483" s="308"/>
      <c r="PTS483" s="308"/>
      <c r="PTT483" s="308"/>
      <c r="PTU483" s="308"/>
      <c r="PTV483" s="308"/>
      <c r="PTW483" s="308"/>
      <c r="PTX483" s="308"/>
      <c r="PTY483" s="308"/>
      <c r="PTZ483" s="308"/>
      <c r="PUA483" s="308"/>
      <c r="PUB483" s="308"/>
      <c r="PUC483" s="308"/>
      <c r="PUD483" s="308"/>
      <c r="PUE483" s="308"/>
      <c r="PUF483" s="308"/>
      <c r="PUG483" s="308"/>
      <c r="PUH483" s="308"/>
      <c r="PUI483" s="308"/>
      <c r="PUJ483" s="308"/>
      <c r="PUK483" s="308"/>
      <c r="PUL483" s="308"/>
      <c r="PUM483" s="308"/>
      <c r="PUN483" s="308"/>
      <c r="PUO483" s="308"/>
      <c r="PUP483" s="308"/>
      <c r="PUQ483" s="308"/>
      <c r="PUR483" s="308"/>
      <c r="PUS483" s="308"/>
      <c r="PUT483" s="308"/>
      <c r="PUU483" s="308"/>
      <c r="PUV483" s="308"/>
      <c r="PUW483" s="308"/>
      <c r="PUX483" s="308"/>
      <c r="PUY483" s="308"/>
      <c r="PUZ483" s="308"/>
      <c r="PVA483" s="308"/>
      <c r="PVB483" s="308"/>
      <c r="PVC483" s="308"/>
      <c r="PVD483" s="308"/>
      <c r="PVE483" s="308"/>
      <c r="PVF483" s="308"/>
      <c r="PVG483" s="308"/>
      <c r="PVH483" s="308"/>
      <c r="PVI483" s="308"/>
      <c r="PVJ483" s="308"/>
      <c r="PVK483" s="308"/>
      <c r="PVL483" s="308"/>
      <c r="PVM483" s="308"/>
      <c r="PVN483" s="308"/>
      <c r="PVO483" s="308"/>
      <c r="PVP483" s="308"/>
      <c r="PVQ483" s="308"/>
      <c r="PVR483" s="308"/>
      <c r="PVS483" s="308"/>
      <c r="PVT483" s="308"/>
      <c r="PVU483" s="308"/>
      <c r="PVV483" s="308"/>
      <c r="PVW483" s="308"/>
      <c r="PVX483" s="308"/>
      <c r="PVY483" s="308"/>
      <c r="PVZ483" s="308"/>
      <c r="PWA483" s="308"/>
      <c r="PWB483" s="308"/>
      <c r="PWC483" s="308"/>
      <c r="PWD483" s="308"/>
      <c r="PWE483" s="308"/>
      <c r="PWF483" s="308"/>
      <c r="PWG483" s="308"/>
      <c r="PWH483" s="308"/>
      <c r="PWI483" s="308"/>
      <c r="PWJ483" s="308"/>
      <c r="PWK483" s="308"/>
      <c r="PWL483" s="308"/>
      <c r="PWM483" s="308"/>
      <c r="PWN483" s="308"/>
      <c r="PWO483" s="308"/>
      <c r="PWP483" s="308"/>
      <c r="PWQ483" s="308"/>
      <c r="PWR483" s="308"/>
      <c r="PWS483" s="308"/>
      <c r="PWT483" s="308"/>
      <c r="PWU483" s="308"/>
      <c r="PWV483" s="308"/>
      <c r="PWW483" s="308"/>
      <c r="PWX483" s="308"/>
      <c r="PWY483" s="308"/>
      <c r="PWZ483" s="308"/>
      <c r="PXA483" s="308"/>
      <c r="PXB483" s="308"/>
      <c r="PXC483" s="308"/>
      <c r="PXD483" s="308"/>
      <c r="PXE483" s="308"/>
      <c r="PXF483" s="308"/>
      <c r="PXG483" s="308"/>
      <c r="PXH483" s="308"/>
      <c r="PXI483" s="308"/>
      <c r="PXJ483" s="308"/>
      <c r="PXK483" s="308"/>
      <c r="PXL483" s="308"/>
      <c r="PXM483" s="308"/>
      <c r="PXN483" s="308"/>
      <c r="PXO483" s="308"/>
      <c r="PXP483" s="308"/>
      <c r="PXQ483" s="308"/>
      <c r="PXR483" s="308"/>
      <c r="PXS483" s="308"/>
      <c r="PXT483" s="308"/>
      <c r="PXU483" s="308"/>
      <c r="PXV483" s="308"/>
      <c r="PXW483" s="308"/>
      <c r="PXX483" s="308"/>
      <c r="PXY483" s="308"/>
      <c r="PXZ483" s="308"/>
      <c r="PYA483" s="308"/>
      <c r="PYB483" s="308"/>
      <c r="PYC483" s="308"/>
      <c r="PYD483" s="308"/>
      <c r="PYE483" s="308"/>
      <c r="PYF483" s="308"/>
      <c r="PYG483" s="308"/>
      <c r="PYH483" s="308"/>
      <c r="PYI483" s="308"/>
      <c r="PYJ483" s="308"/>
      <c r="PYK483" s="308"/>
      <c r="PYL483" s="308"/>
      <c r="PYM483" s="308"/>
      <c r="PYN483" s="308"/>
      <c r="PYO483" s="308"/>
      <c r="PYP483" s="308"/>
      <c r="PYQ483" s="308"/>
      <c r="PYR483" s="308"/>
      <c r="PYS483" s="308"/>
      <c r="PYT483" s="308"/>
      <c r="PYU483" s="308"/>
      <c r="PYV483" s="308"/>
      <c r="PYW483" s="308"/>
      <c r="PYX483" s="308"/>
      <c r="PYY483" s="308"/>
      <c r="PYZ483" s="308"/>
      <c r="PZA483" s="308"/>
      <c r="PZB483" s="308"/>
      <c r="PZC483" s="308"/>
      <c r="PZD483" s="308"/>
      <c r="PZE483" s="308"/>
      <c r="PZF483" s="308"/>
      <c r="PZG483" s="308"/>
      <c r="PZH483" s="308"/>
      <c r="PZI483" s="308"/>
      <c r="PZJ483" s="308"/>
      <c r="PZK483" s="308"/>
      <c r="PZL483" s="308"/>
      <c r="PZM483" s="308"/>
      <c r="PZN483" s="308"/>
      <c r="PZO483" s="308"/>
      <c r="PZP483" s="308"/>
      <c r="PZQ483" s="308"/>
      <c r="PZR483" s="308"/>
      <c r="PZS483" s="308"/>
      <c r="PZT483" s="308"/>
      <c r="PZU483" s="308"/>
      <c r="PZV483" s="308"/>
      <c r="PZW483" s="308"/>
      <c r="PZX483" s="308"/>
      <c r="PZY483" s="308"/>
      <c r="PZZ483" s="308"/>
      <c r="QAA483" s="308"/>
      <c r="QAB483" s="308"/>
      <c r="QAC483" s="308"/>
      <c r="QAD483" s="308"/>
      <c r="QAE483" s="308"/>
      <c r="QAF483" s="308"/>
      <c r="QAG483" s="308"/>
      <c r="QAH483" s="308"/>
      <c r="QAI483" s="308"/>
      <c r="QAJ483" s="308"/>
      <c r="QAK483" s="308"/>
      <c r="QAL483" s="308"/>
      <c r="QAM483" s="308"/>
      <c r="QAN483" s="308"/>
      <c r="QAO483" s="308"/>
      <c r="QAP483" s="308"/>
      <c r="QAQ483" s="308"/>
      <c r="QAR483" s="308"/>
      <c r="QAS483" s="308"/>
      <c r="QAT483" s="308"/>
      <c r="QAU483" s="308"/>
      <c r="QAV483" s="308"/>
      <c r="QAW483" s="308"/>
      <c r="QAX483" s="308"/>
      <c r="QAY483" s="308"/>
      <c r="QAZ483" s="308"/>
      <c r="QBA483" s="308"/>
      <c r="QBB483" s="308"/>
      <c r="QBC483" s="308"/>
      <c r="QBD483" s="308"/>
      <c r="QBE483" s="308"/>
      <c r="QBF483" s="308"/>
      <c r="QBG483" s="308"/>
      <c r="QBH483" s="308"/>
      <c r="QBI483" s="308"/>
      <c r="QBJ483" s="308"/>
      <c r="QBK483" s="308"/>
      <c r="QBL483" s="308"/>
      <c r="QBM483" s="308"/>
      <c r="QBN483" s="308"/>
      <c r="QBO483" s="308"/>
      <c r="QBP483" s="308"/>
      <c r="QBQ483" s="308"/>
      <c r="QBR483" s="308"/>
      <c r="QBS483" s="308"/>
      <c r="QBT483" s="308"/>
      <c r="QBU483" s="308"/>
      <c r="QBV483" s="308"/>
      <c r="QBW483" s="308"/>
      <c r="QBX483" s="308"/>
      <c r="QBY483" s="308"/>
      <c r="QBZ483" s="308"/>
      <c r="QCA483" s="308"/>
      <c r="QCB483" s="308"/>
      <c r="QCC483" s="308"/>
      <c r="QCD483" s="308"/>
      <c r="QCE483" s="308"/>
      <c r="QCF483" s="308"/>
      <c r="QCG483" s="308"/>
      <c r="QCH483" s="308"/>
      <c r="QCI483" s="308"/>
      <c r="QCJ483" s="308"/>
      <c r="QCK483" s="308"/>
      <c r="QCL483" s="308"/>
      <c r="QCM483" s="308"/>
      <c r="QCN483" s="308"/>
      <c r="QCO483" s="308"/>
      <c r="QCP483" s="308"/>
      <c r="QCQ483" s="308"/>
      <c r="QCR483" s="308"/>
      <c r="QCS483" s="308"/>
      <c r="QCT483" s="308"/>
      <c r="QCU483" s="308"/>
      <c r="QCV483" s="308"/>
      <c r="QCW483" s="308"/>
      <c r="QCX483" s="308"/>
      <c r="QCY483" s="308"/>
      <c r="QCZ483" s="308"/>
      <c r="QDA483" s="308"/>
      <c r="QDB483" s="308"/>
      <c r="QDC483" s="308"/>
      <c r="QDD483" s="308"/>
      <c r="QDE483" s="308"/>
      <c r="QDF483" s="308"/>
      <c r="QDG483" s="308"/>
      <c r="QDH483" s="308"/>
      <c r="QDI483" s="308"/>
      <c r="QDJ483" s="308"/>
      <c r="QDK483" s="308"/>
      <c r="QDL483" s="308"/>
      <c r="QDM483" s="308"/>
      <c r="QDN483" s="308"/>
      <c r="QDO483" s="308"/>
      <c r="QDP483" s="308"/>
      <c r="QDQ483" s="308"/>
      <c r="QDR483" s="308"/>
      <c r="QDS483" s="308"/>
      <c r="QDT483" s="308"/>
      <c r="QDU483" s="308"/>
      <c r="QDV483" s="308"/>
      <c r="QDW483" s="308"/>
      <c r="QDX483" s="308"/>
      <c r="QDY483" s="308"/>
      <c r="QDZ483" s="308"/>
      <c r="QEA483" s="308"/>
      <c r="QEB483" s="308"/>
      <c r="QEC483" s="308"/>
      <c r="QED483" s="308"/>
      <c r="QEE483" s="308"/>
      <c r="QEF483" s="308"/>
      <c r="QEG483" s="308"/>
      <c r="QEH483" s="308"/>
      <c r="QEI483" s="308"/>
      <c r="QEJ483" s="308"/>
      <c r="QEK483" s="308"/>
      <c r="QEL483" s="308"/>
      <c r="QEM483" s="308"/>
      <c r="QEN483" s="308"/>
      <c r="QEO483" s="308"/>
      <c r="QEP483" s="308"/>
      <c r="QEQ483" s="308"/>
      <c r="QER483" s="308"/>
      <c r="QES483" s="308"/>
      <c r="QET483" s="308"/>
      <c r="QEU483" s="308"/>
      <c r="QEV483" s="308"/>
      <c r="QEW483" s="308"/>
      <c r="QEX483" s="308"/>
      <c r="QEY483" s="308"/>
      <c r="QEZ483" s="308"/>
      <c r="QFA483" s="308"/>
      <c r="QFB483" s="308"/>
      <c r="QFC483" s="308"/>
      <c r="QFD483" s="308"/>
      <c r="QFE483" s="308"/>
      <c r="QFF483" s="308"/>
      <c r="QFG483" s="308"/>
      <c r="QFH483" s="308"/>
      <c r="QFI483" s="308"/>
      <c r="QFJ483" s="308"/>
      <c r="QFK483" s="308"/>
      <c r="QFL483" s="308"/>
      <c r="QFM483" s="308"/>
      <c r="QFN483" s="308"/>
      <c r="QFO483" s="308"/>
      <c r="QFP483" s="308"/>
      <c r="QFQ483" s="308"/>
      <c r="QFR483" s="308"/>
      <c r="QFS483" s="308"/>
      <c r="QFT483" s="308"/>
      <c r="QFU483" s="308"/>
      <c r="QFV483" s="308"/>
      <c r="QFW483" s="308"/>
      <c r="QFX483" s="308"/>
      <c r="QFY483" s="308"/>
      <c r="QFZ483" s="308"/>
      <c r="QGA483" s="308"/>
      <c r="QGB483" s="308"/>
      <c r="QGC483" s="308"/>
      <c r="QGD483" s="308"/>
      <c r="QGE483" s="308"/>
      <c r="QGF483" s="308"/>
      <c r="QGG483" s="308"/>
      <c r="QGH483" s="308"/>
      <c r="QGI483" s="308"/>
      <c r="QGJ483" s="308"/>
      <c r="QGK483" s="308"/>
      <c r="QGL483" s="308"/>
      <c r="QGM483" s="308"/>
      <c r="QGN483" s="308"/>
      <c r="QGO483" s="308"/>
      <c r="QGP483" s="308"/>
      <c r="QGQ483" s="308"/>
      <c r="QGR483" s="308"/>
      <c r="QGS483" s="308"/>
      <c r="QGT483" s="308"/>
      <c r="QGU483" s="308"/>
      <c r="QGV483" s="308"/>
      <c r="QGW483" s="308"/>
      <c r="QGX483" s="308"/>
      <c r="QGY483" s="308"/>
      <c r="QGZ483" s="308"/>
      <c r="QHA483" s="308"/>
      <c r="QHB483" s="308"/>
      <c r="QHC483" s="308"/>
      <c r="QHD483" s="308"/>
      <c r="QHE483" s="308"/>
      <c r="QHF483" s="308"/>
      <c r="QHG483" s="308"/>
      <c r="QHH483" s="308"/>
      <c r="QHI483" s="308"/>
      <c r="QHJ483" s="308"/>
      <c r="QHK483" s="308"/>
      <c r="QHL483" s="308"/>
      <c r="QHM483" s="308"/>
      <c r="QHN483" s="308"/>
      <c r="QHO483" s="308"/>
      <c r="QHP483" s="308"/>
      <c r="QHQ483" s="308"/>
      <c r="QHR483" s="308"/>
      <c r="QHS483" s="308"/>
      <c r="QHT483" s="308"/>
      <c r="QHU483" s="308"/>
      <c r="QHV483" s="308"/>
      <c r="QHW483" s="308"/>
      <c r="QHX483" s="308"/>
      <c r="QHY483" s="308"/>
      <c r="QHZ483" s="308"/>
      <c r="QIA483" s="308"/>
      <c r="QIB483" s="308"/>
      <c r="QIC483" s="308"/>
      <c r="QID483" s="308"/>
      <c r="QIE483" s="308"/>
      <c r="QIF483" s="308"/>
      <c r="QIG483" s="308"/>
      <c r="QIH483" s="308"/>
      <c r="QII483" s="308"/>
      <c r="QIJ483" s="308"/>
      <c r="QIK483" s="308"/>
      <c r="QIL483" s="308"/>
      <c r="QIM483" s="308"/>
      <c r="QIN483" s="308"/>
      <c r="QIO483" s="308"/>
      <c r="QIP483" s="308"/>
      <c r="QIQ483" s="308"/>
      <c r="QIR483" s="308"/>
      <c r="QIS483" s="308"/>
      <c r="QIT483" s="308"/>
      <c r="QIU483" s="308"/>
      <c r="QIV483" s="308"/>
      <c r="QIW483" s="308"/>
      <c r="QIX483" s="308"/>
      <c r="QIY483" s="308"/>
      <c r="QIZ483" s="308"/>
      <c r="QJA483" s="308"/>
      <c r="QJB483" s="308"/>
      <c r="QJC483" s="308"/>
      <c r="QJD483" s="308"/>
      <c r="QJE483" s="308"/>
      <c r="QJF483" s="308"/>
      <c r="QJG483" s="308"/>
      <c r="QJH483" s="308"/>
      <c r="QJI483" s="308"/>
      <c r="QJJ483" s="308"/>
      <c r="QJK483" s="308"/>
      <c r="QJL483" s="308"/>
      <c r="QJM483" s="308"/>
      <c r="QJN483" s="308"/>
      <c r="QJO483" s="308"/>
      <c r="QJP483" s="308"/>
      <c r="QJQ483" s="308"/>
      <c r="QJR483" s="308"/>
      <c r="QJS483" s="308"/>
      <c r="QJT483" s="308"/>
      <c r="QJU483" s="308"/>
      <c r="QJV483" s="308"/>
      <c r="QJW483" s="308"/>
      <c r="QJX483" s="308"/>
      <c r="QJY483" s="308"/>
      <c r="QJZ483" s="308"/>
      <c r="QKA483" s="308"/>
      <c r="QKB483" s="308"/>
      <c r="QKC483" s="308"/>
      <c r="QKD483" s="308"/>
      <c r="QKE483" s="308"/>
      <c r="QKF483" s="308"/>
      <c r="QKG483" s="308"/>
      <c r="QKH483" s="308"/>
      <c r="QKI483" s="308"/>
      <c r="QKJ483" s="308"/>
      <c r="QKK483" s="308"/>
      <c r="QKL483" s="308"/>
      <c r="QKM483" s="308"/>
      <c r="QKN483" s="308"/>
      <c r="QKO483" s="308"/>
      <c r="QKP483" s="308"/>
      <c r="QKQ483" s="308"/>
      <c r="QKR483" s="308"/>
      <c r="QKS483" s="308"/>
      <c r="QKT483" s="308"/>
      <c r="QKU483" s="308"/>
      <c r="QKV483" s="308"/>
      <c r="QKW483" s="308"/>
      <c r="QKX483" s="308"/>
      <c r="QKY483" s="308"/>
      <c r="QKZ483" s="308"/>
      <c r="QLA483" s="308"/>
      <c r="QLB483" s="308"/>
      <c r="QLC483" s="308"/>
      <c r="QLD483" s="308"/>
      <c r="QLE483" s="308"/>
      <c r="QLF483" s="308"/>
      <c r="QLG483" s="308"/>
      <c r="QLH483" s="308"/>
      <c r="QLI483" s="308"/>
      <c r="QLJ483" s="308"/>
      <c r="QLK483" s="308"/>
      <c r="QLL483" s="308"/>
      <c r="QLM483" s="308"/>
      <c r="QLN483" s="308"/>
      <c r="QLO483" s="308"/>
      <c r="QLP483" s="308"/>
      <c r="QLQ483" s="308"/>
      <c r="QLR483" s="308"/>
      <c r="QLS483" s="308"/>
      <c r="QLT483" s="308"/>
      <c r="QLU483" s="308"/>
      <c r="QLV483" s="308"/>
      <c r="QLW483" s="308"/>
      <c r="QLX483" s="308"/>
      <c r="QLY483" s="308"/>
      <c r="QLZ483" s="308"/>
      <c r="QMA483" s="308"/>
      <c r="QMB483" s="308"/>
      <c r="QMC483" s="308"/>
      <c r="QMD483" s="308"/>
      <c r="QME483" s="308"/>
      <c r="QMF483" s="308"/>
      <c r="QMG483" s="308"/>
      <c r="QMH483" s="308"/>
      <c r="QMI483" s="308"/>
      <c r="QMJ483" s="308"/>
      <c r="QMK483" s="308"/>
      <c r="QML483" s="308"/>
      <c r="QMM483" s="308"/>
      <c r="QMN483" s="308"/>
      <c r="QMO483" s="308"/>
      <c r="QMP483" s="308"/>
      <c r="QMQ483" s="308"/>
      <c r="QMR483" s="308"/>
      <c r="QMS483" s="308"/>
      <c r="QMT483" s="308"/>
      <c r="QMU483" s="308"/>
      <c r="QMV483" s="308"/>
      <c r="QMW483" s="308"/>
      <c r="QMX483" s="308"/>
      <c r="QMY483" s="308"/>
      <c r="QMZ483" s="308"/>
      <c r="QNA483" s="308"/>
      <c r="QNB483" s="308"/>
      <c r="QNC483" s="308"/>
      <c r="QND483" s="308"/>
      <c r="QNE483" s="308"/>
      <c r="QNF483" s="308"/>
      <c r="QNG483" s="308"/>
      <c r="QNH483" s="308"/>
      <c r="QNI483" s="308"/>
      <c r="QNJ483" s="308"/>
      <c r="QNK483" s="308"/>
      <c r="QNL483" s="308"/>
      <c r="QNM483" s="308"/>
      <c r="QNN483" s="308"/>
      <c r="QNO483" s="308"/>
      <c r="QNP483" s="308"/>
      <c r="QNQ483" s="308"/>
      <c r="QNR483" s="308"/>
      <c r="QNS483" s="308"/>
      <c r="QNT483" s="308"/>
      <c r="QNU483" s="308"/>
      <c r="QNV483" s="308"/>
      <c r="QNW483" s="308"/>
      <c r="QNX483" s="308"/>
      <c r="QNY483" s="308"/>
      <c r="QNZ483" s="308"/>
      <c r="QOA483" s="308"/>
      <c r="QOB483" s="308"/>
      <c r="QOC483" s="308"/>
      <c r="QOD483" s="308"/>
      <c r="QOE483" s="308"/>
      <c r="QOF483" s="308"/>
      <c r="QOG483" s="308"/>
      <c r="QOH483" s="308"/>
      <c r="QOI483" s="308"/>
      <c r="QOJ483" s="308"/>
      <c r="QOK483" s="308"/>
      <c r="QOL483" s="308"/>
      <c r="QOM483" s="308"/>
      <c r="QON483" s="308"/>
      <c r="QOO483" s="308"/>
      <c r="QOP483" s="308"/>
      <c r="QOQ483" s="308"/>
      <c r="QOR483" s="308"/>
      <c r="QOS483" s="308"/>
      <c r="QOT483" s="308"/>
      <c r="QOU483" s="308"/>
      <c r="QOV483" s="308"/>
      <c r="QOW483" s="308"/>
      <c r="QOX483" s="308"/>
      <c r="QOY483" s="308"/>
      <c r="QOZ483" s="308"/>
      <c r="QPA483" s="308"/>
      <c r="QPB483" s="308"/>
      <c r="QPC483" s="308"/>
      <c r="QPD483" s="308"/>
      <c r="QPE483" s="308"/>
      <c r="QPF483" s="308"/>
      <c r="QPG483" s="308"/>
      <c r="QPH483" s="308"/>
      <c r="QPI483" s="308"/>
      <c r="QPJ483" s="308"/>
      <c r="QPK483" s="308"/>
      <c r="QPL483" s="308"/>
      <c r="QPM483" s="308"/>
      <c r="QPN483" s="308"/>
      <c r="QPO483" s="308"/>
      <c r="QPP483" s="308"/>
      <c r="QPQ483" s="308"/>
      <c r="QPR483" s="308"/>
      <c r="QPS483" s="308"/>
      <c r="QPT483" s="308"/>
      <c r="QPU483" s="308"/>
      <c r="QPV483" s="308"/>
      <c r="QPW483" s="308"/>
      <c r="QPX483" s="308"/>
      <c r="QPY483" s="308"/>
      <c r="QPZ483" s="308"/>
      <c r="QQA483" s="308"/>
      <c r="QQB483" s="308"/>
      <c r="QQC483" s="308"/>
      <c r="QQD483" s="308"/>
      <c r="QQE483" s="308"/>
      <c r="QQF483" s="308"/>
      <c r="QQG483" s="308"/>
      <c r="QQH483" s="308"/>
      <c r="QQI483" s="308"/>
      <c r="QQJ483" s="308"/>
      <c r="QQK483" s="308"/>
      <c r="QQL483" s="308"/>
      <c r="QQM483" s="308"/>
      <c r="QQN483" s="308"/>
      <c r="QQO483" s="308"/>
      <c r="QQP483" s="308"/>
      <c r="QQQ483" s="308"/>
      <c r="QQR483" s="308"/>
      <c r="QQS483" s="308"/>
      <c r="QQT483" s="308"/>
      <c r="QQU483" s="308"/>
      <c r="QQV483" s="308"/>
      <c r="QQW483" s="308"/>
      <c r="QQX483" s="308"/>
      <c r="QQY483" s="308"/>
      <c r="QQZ483" s="308"/>
      <c r="QRA483" s="308"/>
      <c r="QRB483" s="308"/>
      <c r="QRC483" s="308"/>
      <c r="QRD483" s="308"/>
      <c r="QRE483" s="308"/>
      <c r="QRF483" s="308"/>
      <c r="QRG483" s="308"/>
      <c r="QRH483" s="308"/>
      <c r="QRI483" s="308"/>
      <c r="QRJ483" s="308"/>
      <c r="QRK483" s="308"/>
      <c r="QRL483" s="308"/>
      <c r="QRM483" s="308"/>
      <c r="QRN483" s="308"/>
      <c r="QRO483" s="308"/>
      <c r="QRP483" s="308"/>
      <c r="QRQ483" s="308"/>
      <c r="QRR483" s="308"/>
      <c r="QRS483" s="308"/>
      <c r="QRT483" s="308"/>
      <c r="QRU483" s="308"/>
      <c r="QRV483" s="308"/>
      <c r="QRW483" s="308"/>
      <c r="QRX483" s="308"/>
      <c r="QRY483" s="308"/>
      <c r="QRZ483" s="308"/>
      <c r="QSA483" s="308"/>
      <c r="QSB483" s="308"/>
      <c r="QSC483" s="308"/>
      <c r="QSD483" s="308"/>
      <c r="QSE483" s="308"/>
      <c r="QSF483" s="308"/>
      <c r="QSG483" s="308"/>
      <c r="QSH483" s="308"/>
      <c r="QSI483" s="308"/>
      <c r="QSJ483" s="308"/>
      <c r="QSK483" s="308"/>
      <c r="QSL483" s="308"/>
      <c r="QSM483" s="308"/>
      <c r="QSN483" s="308"/>
      <c r="QSO483" s="308"/>
      <c r="QSP483" s="308"/>
      <c r="QSQ483" s="308"/>
      <c r="QSR483" s="308"/>
      <c r="QSS483" s="308"/>
      <c r="QST483" s="308"/>
      <c r="QSU483" s="308"/>
      <c r="QSV483" s="308"/>
      <c r="QSW483" s="308"/>
      <c r="QSX483" s="308"/>
      <c r="QSY483" s="308"/>
      <c r="QSZ483" s="308"/>
      <c r="QTA483" s="308"/>
      <c r="QTB483" s="308"/>
      <c r="QTC483" s="308"/>
      <c r="QTD483" s="308"/>
      <c r="QTE483" s="308"/>
      <c r="QTF483" s="308"/>
      <c r="QTG483" s="308"/>
      <c r="QTH483" s="308"/>
      <c r="QTI483" s="308"/>
      <c r="QTJ483" s="308"/>
      <c r="QTK483" s="308"/>
      <c r="QTL483" s="308"/>
      <c r="QTM483" s="308"/>
      <c r="QTN483" s="308"/>
      <c r="QTO483" s="308"/>
      <c r="QTP483" s="308"/>
      <c r="QTQ483" s="308"/>
      <c r="QTR483" s="308"/>
      <c r="QTS483" s="308"/>
      <c r="QTT483" s="308"/>
      <c r="QTU483" s="308"/>
      <c r="QTV483" s="308"/>
      <c r="QTW483" s="308"/>
      <c r="QTX483" s="308"/>
      <c r="QTY483" s="308"/>
      <c r="QTZ483" s="308"/>
      <c r="QUA483" s="308"/>
      <c r="QUB483" s="308"/>
      <c r="QUC483" s="308"/>
      <c r="QUD483" s="308"/>
      <c r="QUE483" s="308"/>
      <c r="QUF483" s="308"/>
      <c r="QUG483" s="308"/>
      <c r="QUH483" s="308"/>
      <c r="QUI483" s="308"/>
      <c r="QUJ483" s="308"/>
      <c r="QUK483" s="308"/>
      <c r="QUL483" s="308"/>
      <c r="QUM483" s="308"/>
      <c r="QUN483" s="308"/>
      <c r="QUO483" s="308"/>
      <c r="QUP483" s="308"/>
      <c r="QUQ483" s="308"/>
      <c r="QUR483" s="308"/>
      <c r="QUS483" s="308"/>
      <c r="QUT483" s="308"/>
      <c r="QUU483" s="308"/>
      <c r="QUV483" s="308"/>
      <c r="QUW483" s="308"/>
      <c r="QUX483" s="308"/>
      <c r="QUY483" s="308"/>
      <c r="QUZ483" s="308"/>
      <c r="QVA483" s="308"/>
      <c r="QVB483" s="308"/>
      <c r="QVC483" s="308"/>
      <c r="QVD483" s="308"/>
      <c r="QVE483" s="308"/>
      <c r="QVF483" s="308"/>
      <c r="QVG483" s="308"/>
      <c r="QVH483" s="308"/>
      <c r="QVI483" s="308"/>
      <c r="QVJ483" s="308"/>
      <c r="QVK483" s="308"/>
      <c r="QVL483" s="308"/>
      <c r="QVM483" s="308"/>
      <c r="QVN483" s="308"/>
      <c r="QVO483" s="308"/>
      <c r="QVP483" s="308"/>
      <c r="QVQ483" s="308"/>
      <c r="QVR483" s="308"/>
      <c r="QVS483" s="308"/>
      <c r="QVT483" s="308"/>
      <c r="QVU483" s="308"/>
      <c r="QVV483" s="308"/>
      <c r="QVW483" s="308"/>
      <c r="QVX483" s="308"/>
      <c r="QVY483" s="308"/>
      <c r="QVZ483" s="308"/>
      <c r="QWA483" s="308"/>
      <c r="QWB483" s="308"/>
      <c r="QWC483" s="308"/>
      <c r="QWD483" s="308"/>
      <c r="QWE483" s="308"/>
      <c r="QWF483" s="308"/>
      <c r="QWG483" s="308"/>
      <c r="QWH483" s="308"/>
      <c r="QWI483" s="308"/>
      <c r="QWJ483" s="308"/>
      <c r="QWK483" s="308"/>
      <c r="QWL483" s="308"/>
      <c r="QWM483" s="308"/>
      <c r="QWN483" s="308"/>
      <c r="QWO483" s="308"/>
      <c r="QWP483" s="308"/>
      <c r="QWQ483" s="308"/>
      <c r="QWR483" s="308"/>
      <c r="QWS483" s="308"/>
      <c r="QWT483" s="308"/>
      <c r="QWU483" s="308"/>
      <c r="QWV483" s="308"/>
      <c r="QWW483" s="308"/>
      <c r="QWX483" s="308"/>
      <c r="QWY483" s="308"/>
      <c r="QWZ483" s="308"/>
      <c r="QXA483" s="308"/>
      <c r="QXB483" s="308"/>
      <c r="QXC483" s="308"/>
      <c r="QXD483" s="308"/>
      <c r="QXE483" s="308"/>
      <c r="QXF483" s="308"/>
      <c r="QXG483" s="308"/>
      <c r="QXH483" s="308"/>
      <c r="QXI483" s="308"/>
      <c r="QXJ483" s="308"/>
      <c r="QXK483" s="308"/>
      <c r="QXL483" s="308"/>
      <c r="QXM483" s="308"/>
      <c r="QXN483" s="308"/>
      <c r="QXO483" s="308"/>
      <c r="QXP483" s="308"/>
      <c r="QXQ483" s="308"/>
      <c r="QXR483" s="308"/>
      <c r="QXS483" s="308"/>
      <c r="QXT483" s="308"/>
      <c r="QXU483" s="308"/>
      <c r="QXV483" s="308"/>
      <c r="QXW483" s="308"/>
      <c r="QXX483" s="308"/>
      <c r="QXY483" s="308"/>
      <c r="QXZ483" s="308"/>
      <c r="QYA483" s="308"/>
      <c r="QYB483" s="308"/>
      <c r="QYC483" s="308"/>
      <c r="QYD483" s="308"/>
      <c r="QYE483" s="308"/>
      <c r="QYF483" s="308"/>
      <c r="QYG483" s="308"/>
      <c r="QYH483" s="308"/>
      <c r="QYI483" s="308"/>
      <c r="QYJ483" s="308"/>
      <c r="QYK483" s="308"/>
      <c r="QYL483" s="308"/>
      <c r="QYM483" s="308"/>
      <c r="QYN483" s="308"/>
      <c r="QYO483" s="308"/>
      <c r="QYP483" s="308"/>
      <c r="QYQ483" s="308"/>
      <c r="QYR483" s="308"/>
      <c r="QYS483" s="308"/>
      <c r="QYT483" s="308"/>
      <c r="QYU483" s="308"/>
      <c r="QYV483" s="308"/>
      <c r="QYW483" s="308"/>
      <c r="QYX483" s="308"/>
      <c r="QYY483" s="308"/>
      <c r="QYZ483" s="308"/>
      <c r="QZA483" s="308"/>
      <c r="QZB483" s="308"/>
      <c r="QZC483" s="308"/>
      <c r="QZD483" s="308"/>
      <c r="QZE483" s="308"/>
      <c r="QZF483" s="308"/>
      <c r="QZG483" s="308"/>
      <c r="QZH483" s="308"/>
      <c r="QZI483" s="308"/>
      <c r="QZJ483" s="308"/>
      <c r="QZK483" s="308"/>
      <c r="QZL483" s="308"/>
      <c r="QZM483" s="308"/>
      <c r="QZN483" s="308"/>
      <c r="QZO483" s="308"/>
      <c r="QZP483" s="308"/>
      <c r="QZQ483" s="308"/>
      <c r="QZR483" s="308"/>
      <c r="QZS483" s="308"/>
      <c r="QZT483" s="308"/>
      <c r="QZU483" s="308"/>
      <c r="QZV483" s="308"/>
      <c r="QZW483" s="308"/>
      <c r="QZX483" s="308"/>
      <c r="QZY483" s="308"/>
      <c r="QZZ483" s="308"/>
      <c r="RAA483" s="308"/>
      <c r="RAB483" s="308"/>
      <c r="RAC483" s="308"/>
      <c r="RAD483" s="308"/>
      <c r="RAE483" s="308"/>
      <c r="RAF483" s="308"/>
      <c r="RAG483" s="308"/>
      <c r="RAH483" s="308"/>
      <c r="RAI483" s="308"/>
      <c r="RAJ483" s="308"/>
      <c r="RAK483" s="308"/>
      <c r="RAL483" s="308"/>
      <c r="RAM483" s="308"/>
      <c r="RAN483" s="308"/>
      <c r="RAO483" s="308"/>
      <c r="RAP483" s="308"/>
      <c r="RAQ483" s="308"/>
      <c r="RAR483" s="308"/>
      <c r="RAS483" s="308"/>
      <c r="RAT483" s="308"/>
      <c r="RAU483" s="308"/>
      <c r="RAV483" s="308"/>
      <c r="RAW483" s="308"/>
      <c r="RAX483" s="308"/>
      <c r="RAY483" s="308"/>
      <c r="RAZ483" s="308"/>
      <c r="RBA483" s="308"/>
      <c r="RBB483" s="308"/>
      <c r="RBC483" s="308"/>
      <c r="RBD483" s="308"/>
      <c r="RBE483" s="308"/>
      <c r="RBF483" s="308"/>
      <c r="RBG483" s="308"/>
      <c r="RBH483" s="308"/>
      <c r="RBI483" s="308"/>
      <c r="RBJ483" s="308"/>
      <c r="RBK483" s="308"/>
      <c r="RBL483" s="308"/>
      <c r="RBM483" s="308"/>
      <c r="RBN483" s="308"/>
      <c r="RBO483" s="308"/>
      <c r="RBP483" s="308"/>
      <c r="RBQ483" s="308"/>
      <c r="RBR483" s="308"/>
      <c r="RBS483" s="308"/>
      <c r="RBT483" s="308"/>
      <c r="RBU483" s="308"/>
      <c r="RBV483" s="308"/>
      <c r="RBW483" s="308"/>
      <c r="RBX483" s="308"/>
      <c r="RBY483" s="308"/>
      <c r="RBZ483" s="308"/>
      <c r="RCA483" s="308"/>
      <c r="RCB483" s="308"/>
      <c r="RCC483" s="308"/>
      <c r="RCD483" s="308"/>
      <c r="RCE483" s="308"/>
      <c r="RCF483" s="308"/>
      <c r="RCG483" s="308"/>
      <c r="RCH483" s="308"/>
      <c r="RCI483" s="308"/>
      <c r="RCJ483" s="308"/>
      <c r="RCK483" s="308"/>
      <c r="RCL483" s="308"/>
      <c r="RCM483" s="308"/>
      <c r="RCN483" s="308"/>
      <c r="RCO483" s="308"/>
      <c r="RCP483" s="308"/>
      <c r="RCQ483" s="308"/>
      <c r="RCR483" s="308"/>
      <c r="RCS483" s="308"/>
      <c r="RCT483" s="308"/>
      <c r="RCU483" s="308"/>
      <c r="RCV483" s="308"/>
      <c r="RCW483" s="308"/>
      <c r="RCX483" s="308"/>
      <c r="RCY483" s="308"/>
      <c r="RCZ483" s="308"/>
      <c r="RDA483" s="308"/>
      <c r="RDB483" s="308"/>
      <c r="RDC483" s="308"/>
      <c r="RDD483" s="308"/>
      <c r="RDE483" s="308"/>
      <c r="RDF483" s="308"/>
      <c r="RDG483" s="308"/>
      <c r="RDH483" s="308"/>
      <c r="RDI483" s="308"/>
      <c r="RDJ483" s="308"/>
      <c r="RDK483" s="308"/>
      <c r="RDL483" s="308"/>
      <c r="RDM483" s="308"/>
      <c r="RDN483" s="308"/>
      <c r="RDO483" s="308"/>
      <c r="RDP483" s="308"/>
      <c r="RDQ483" s="308"/>
      <c r="RDR483" s="308"/>
      <c r="RDS483" s="308"/>
      <c r="RDT483" s="308"/>
      <c r="RDU483" s="308"/>
      <c r="RDV483" s="308"/>
      <c r="RDW483" s="308"/>
      <c r="RDX483" s="308"/>
      <c r="RDY483" s="308"/>
      <c r="RDZ483" s="308"/>
      <c r="REA483" s="308"/>
      <c r="REB483" s="308"/>
      <c r="REC483" s="308"/>
      <c r="RED483" s="308"/>
      <c r="REE483" s="308"/>
      <c r="REF483" s="308"/>
      <c r="REG483" s="308"/>
      <c r="REH483" s="308"/>
      <c r="REI483" s="308"/>
      <c r="REJ483" s="308"/>
      <c r="REK483" s="308"/>
      <c r="REL483" s="308"/>
      <c r="REM483" s="308"/>
      <c r="REN483" s="308"/>
      <c r="REO483" s="308"/>
      <c r="REP483" s="308"/>
      <c r="REQ483" s="308"/>
      <c r="RER483" s="308"/>
      <c r="RES483" s="308"/>
      <c r="RET483" s="308"/>
      <c r="REU483" s="308"/>
      <c r="REV483" s="308"/>
      <c r="REW483" s="308"/>
      <c r="REX483" s="308"/>
      <c r="REY483" s="308"/>
      <c r="REZ483" s="308"/>
      <c r="RFA483" s="308"/>
      <c r="RFB483" s="308"/>
      <c r="RFC483" s="308"/>
      <c r="RFD483" s="308"/>
      <c r="RFE483" s="308"/>
      <c r="RFF483" s="308"/>
      <c r="RFG483" s="308"/>
      <c r="RFH483" s="308"/>
      <c r="RFI483" s="308"/>
      <c r="RFJ483" s="308"/>
      <c r="RFK483" s="308"/>
      <c r="RFL483" s="308"/>
      <c r="RFM483" s="308"/>
      <c r="RFN483" s="308"/>
      <c r="RFO483" s="308"/>
      <c r="RFP483" s="308"/>
      <c r="RFQ483" s="308"/>
      <c r="RFR483" s="308"/>
      <c r="RFS483" s="308"/>
      <c r="RFT483" s="308"/>
      <c r="RFU483" s="308"/>
      <c r="RFV483" s="308"/>
      <c r="RFW483" s="308"/>
      <c r="RFX483" s="308"/>
      <c r="RFY483" s="308"/>
      <c r="RFZ483" s="308"/>
      <c r="RGA483" s="308"/>
      <c r="RGB483" s="308"/>
      <c r="RGC483" s="308"/>
      <c r="RGD483" s="308"/>
      <c r="RGE483" s="308"/>
      <c r="RGF483" s="308"/>
      <c r="RGG483" s="308"/>
      <c r="RGH483" s="308"/>
      <c r="RGI483" s="308"/>
      <c r="RGJ483" s="308"/>
      <c r="RGK483" s="308"/>
      <c r="RGL483" s="308"/>
      <c r="RGM483" s="308"/>
      <c r="RGN483" s="308"/>
      <c r="RGO483" s="308"/>
      <c r="RGP483" s="308"/>
      <c r="RGQ483" s="308"/>
      <c r="RGR483" s="308"/>
      <c r="RGS483" s="308"/>
      <c r="RGT483" s="308"/>
      <c r="RGU483" s="308"/>
      <c r="RGV483" s="308"/>
      <c r="RGW483" s="308"/>
      <c r="RGX483" s="308"/>
      <c r="RGY483" s="308"/>
      <c r="RGZ483" s="308"/>
      <c r="RHA483" s="308"/>
      <c r="RHB483" s="308"/>
      <c r="RHC483" s="308"/>
      <c r="RHD483" s="308"/>
      <c r="RHE483" s="308"/>
      <c r="RHF483" s="308"/>
      <c r="RHG483" s="308"/>
      <c r="RHH483" s="308"/>
      <c r="RHI483" s="308"/>
      <c r="RHJ483" s="308"/>
      <c r="RHK483" s="308"/>
      <c r="RHL483" s="308"/>
      <c r="RHM483" s="308"/>
      <c r="RHN483" s="308"/>
      <c r="RHO483" s="308"/>
      <c r="RHP483" s="308"/>
      <c r="RHQ483" s="308"/>
      <c r="RHR483" s="308"/>
      <c r="RHS483" s="308"/>
      <c r="RHT483" s="308"/>
      <c r="RHU483" s="308"/>
      <c r="RHV483" s="308"/>
      <c r="RHW483" s="308"/>
      <c r="RHX483" s="308"/>
      <c r="RHY483" s="308"/>
      <c r="RHZ483" s="308"/>
      <c r="RIA483" s="308"/>
      <c r="RIB483" s="308"/>
      <c r="RIC483" s="308"/>
      <c r="RID483" s="308"/>
      <c r="RIE483" s="308"/>
      <c r="RIF483" s="308"/>
      <c r="RIG483" s="308"/>
      <c r="RIH483" s="308"/>
      <c r="RII483" s="308"/>
      <c r="RIJ483" s="308"/>
      <c r="RIK483" s="308"/>
      <c r="RIL483" s="308"/>
      <c r="RIM483" s="308"/>
      <c r="RIN483" s="308"/>
      <c r="RIO483" s="308"/>
      <c r="RIP483" s="308"/>
      <c r="RIQ483" s="308"/>
      <c r="RIR483" s="308"/>
      <c r="RIS483" s="308"/>
      <c r="RIT483" s="308"/>
      <c r="RIU483" s="308"/>
      <c r="RIV483" s="308"/>
      <c r="RIW483" s="308"/>
      <c r="RIX483" s="308"/>
      <c r="RIY483" s="308"/>
      <c r="RIZ483" s="308"/>
      <c r="RJA483" s="308"/>
      <c r="RJB483" s="308"/>
      <c r="RJC483" s="308"/>
      <c r="RJD483" s="308"/>
      <c r="RJE483" s="308"/>
      <c r="RJF483" s="308"/>
      <c r="RJG483" s="308"/>
      <c r="RJH483" s="308"/>
      <c r="RJI483" s="308"/>
      <c r="RJJ483" s="308"/>
      <c r="RJK483" s="308"/>
      <c r="RJL483" s="308"/>
      <c r="RJM483" s="308"/>
      <c r="RJN483" s="308"/>
      <c r="RJO483" s="308"/>
      <c r="RJP483" s="308"/>
      <c r="RJQ483" s="308"/>
      <c r="RJR483" s="308"/>
      <c r="RJS483" s="308"/>
      <c r="RJT483" s="308"/>
      <c r="RJU483" s="308"/>
      <c r="RJV483" s="308"/>
      <c r="RJW483" s="308"/>
      <c r="RJX483" s="308"/>
      <c r="RJY483" s="308"/>
      <c r="RJZ483" s="308"/>
      <c r="RKA483" s="308"/>
      <c r="RKB483" s="308"/>
      <c r="RKC483" s="308"/>
      <c r="RKD483" s="308"/>
      <c r="RKE483" s="308"/>
      <c r="RKF483" s="308"/>
      <c r="RKG483" s="308"/>
      <c r="RKH483" s="308"/>
      <c r="RKI483" s="308"/>
      <c r="RKJ483" s="308"/>
      <c r="RKK483" s="308"/>
      <c r="RKL483" s="308"/>
      <c r="RKM483" s="308"/>
      <c r="RKN483" s="308"/>
      <c r="RKO483" s="308"/>
      <c r="RKP483" s="308"/>
      <c r="RKQ483" s="308"/>
      <c r="RKR483" s="308"/>
      <c r="RKS483" s="308"/>
      <c r="RKT483" s="308"/>
      <c r="RKU483" s="308"/>
      <c r="RKV483" s="308"/>
      <c r="RKW483" s="308"/>
      <c r="RKX483" s="308"/>
      <c r="RKY483" s="308"/>
      <c r="RKZ483" s="308"/>
      <c r="RLA483" s="308"/>
      <c r="RLB483" s="308"/>
      <c r="RLC483" s="308"/>
      <c r="RLD483" s="308"/>
      <c r="RLE483" s="308"/>
      <c r="RLF483" s="308"/>
      <c r="RLG483" s="308"/>
      <c r="RLH483" s="308"/>
      <c r="RLI483" s="308"/>
      <c r="RLJ483" s="308"/>
      <c r="RLK483" s="308"/>
      <c r="RLL483" s="308"/>
      <c r="RLM483" s="308"/>
      <c r="RLN483" s="308"/>
      <c r="RLO483" s="308"/>
      <c r="RLP483" s="308"/>
      <c r="RLQ483" s="308"/>
      <c r="RLR483" s="308"/>
      <c r="RLS483" s="308"/>
      <c r="RLT483" s="308"/>
      <c r="RLU483" s="308"/>
      <c r="RLV483" s="308"/>
      <c r="RLW483" s="308"/>
      <c r="RLX483" s="308"/>
      <c r="RLY483" s="308"/>
      <c r="RLZ483" s="308"/>
      <c r="RMA483" s="308"/>
      <c r="RMB483" s="308"/>
      <c r="RMC483" s="308"/>
      <c r="RMD483" s="308"/>
      <c r="RME483" s="308"/>
      <c r="RMF483" s="308"/>
      <c r="RMG483" s="308"/>
      <c r="RMH483" s="308"/>
      <c r="RMI483" s="308"/>
      <c r="RMJ483" s="308"/>
      <c r="RMK483" s="308"/>
      <c r="RML483" s="308"/>
      <c r="RMM483" s="308"/>
      <c r="RMN483" s="308"/>
      <c r="RMO483" s="308"/>
      <c r="RMP483" s="308"/>
      <c r="RMQ483" s="308"/>
      <c r="RMR483" s="308"/>
      <c r="RMS483" s="308"/>
      <c r="RMT483" s="308"/>
      <c r="RMU483" s="308"/>
      <c r="RMV483" s="308"/>
      <c r="RMW483" s="308"/>
      <c r="RMX483" s="308"/>
      <c r="RMY483" s="308"/>
      <c r="RMZ483" s="308"/>
      <c r="RNA483" s="308"/>
      <c r="RNB483" s="308"/>
      <c r="RNC483" s="308"/>
      <c r="RND483" s="308"/>
      <c r="RNE483" s="308"/>
      <c r="RNF483" s="308"/>
      <c r="RNG483" s="308"/>
      <c r="RNH483" s="308"/>
      <c r="RNI483" s="308"/>
      <c r="RNJ483" s="308"/>
      <c r="RNK483" s="308"/>
      <c r="RNL483" s="308"/>
      <c r="RNM483" s="308"/>
      <c r="RNN483" s="308"/>
      <c r="RNO483" s="308"/>
      <c r="RNP483" s="308"/>
      <c r="RNQ483" s="308"/>
      <c r="RNR483" s="308"/>
      <c r="RNS483" s="308"/>
      <c r="RNT483" s="308"/>
      <c r="RNU483" s="308"/>
      <c r="RNV483" s="308"/>
      <c r="RNW483" s="308"/>
      <c r="RNX483" s="308"/>
      <c r="RNY483" s="308"/>
      <c r="RNZ483" s="308"/>
      <c r="ROA483" s="308"/>
      <c r="ROB483" s="308"/>
      <c r="ROC483" s="308"/>
      <c r="ROD483" s="308"/>
      <c r="ROE483" s="308"/>
      <c r="ROF483" s="308"/>
      <c r="ROG483" s="308"/>
      <c r="ROH483" s="308"/>
      <c r="ROI483" s="308"/>
      <c r="ROJ483" s="308"/>
      <c r="ROK483" s="308"/>
      <c r="ROL483" s="308"/>
      <c r="ROM483" s="308"/>
      <c r="RON483" s="308"/>
      <c r="ROO483" s="308"/>
      <c r="ROP483" s="308"/>
      <c r="ROQ483" s="308"/>
      <c r="ROR483" s="308"/>
      <c r="ROS483" s="308"/>
      <c r="ROT483" s="308"/>
      <c r="ROU483" s="308"/>
      <c r="ROV483" s="308"/>
      <c r="ROW483" s="308"/>
      <c r="ROX483" s="308"/>
      <c r="ROY483" s="308"/>
      <c r="ROZ483" s="308"/>
      <c r="RPA483" s="308"/>
      <c r="RPB483" s="308"/>
      <c r="RPC483" s="308"/>
      <c r="RPD483" s="308"/>
      <c r="RPE483" s="308"/>
      <c r="RPF483" s="308"/>
      <c r="RPG483" s="308"/>
      <c r="RPH483" s="308"/>
      <c r="RPI483" s="308"/>
      <c r="RPJ483" s="308"/>
      <c r="RPK483" s="308"/>
      <c r="RPL483" s="308"/>
      <c r="RPM483" s="308"/>
      <c r="RPN483" s="308"/>
      <c r="RPO483" s="308"/>
      <c r="RPP483" s="308"/>
      <c r="RPQ483" s="308"/>
      <c r="RPR483" s="308"/>
      <c r="RPS483" s="308"/>
      <c r="RPT483" s="308"/>
      <c r="RPU483" s="308"/>
      <c r="RPV483" s="308"/>
      <c r="RPW483" s="308"/>
      <c r="RPX483" s="308"/>
      <c r="RPY483" s="308"/>
      <c r="RPZ483" s="308"/>
      <c r="RQA483" s="308"/>
      <c r="RQB483" s="308"/>
      <c r="RQC483" s="308"/>
      <c r="RQD483" s="308"/>
      <c r="RQE483" s="308"/>
      <c r="RQF483" s="308"/>
      <c r="RQG483" s="308"/>
      <c r="RQH483" s="308"/>
      <c r="RQI483" s="308"/>
      <c r="RQJ483" s="308"/>
      <c r="RQK483" s="308"/>
      <c r="RQL483" s="308"/>
      <c r="RQM483" s="308"/>
      <c r="RQN483" s="308"/>
      <c r="RQO483" s="308"/>
      <c r="RQP483" s="308"/>
      <c r="RQQ483" s="308"/>
      <c r="RQR483" s="308"/>
      <c r="RQS483" s="308"/>
      <c r="RQT483" s="308"/>
      <c r="RQU483" s="308"/>
      <c r="RQV483" s="308"/>
      <c r="RQW483" s="308"/>
      <c r="RQX483" s="308"/>
      <c r="RQY483" s="308"/>
      <c r="RQZ483" s="308"/>
      <c r="RRA483" s="308"/>
      <c r="RRB483" s="308"/>
      <c r="RRC483" s="308"/>
      <c r="RRD483" s="308"/>
      <c r="RRE483" s="308"/>
      <c r="RRF483" s="308"/>
      <c r="RRG483" s="308"/>
      <c r="RRH483" s="308"/>
      <c r="RRI483" s="308"/>
      <c r="RRJ483" s="308"/>
      <c r="RRK483" s="308"/>
      <c r="RRL483" s="308"/>
      <c r="RRM483" s="308"/>
      <c r="RRN483" s="308"/>
      <c r="RRO483" s="308"/>
      <c r="RRP483" s="308"/>
      <c r="RRQ483" s="308"/>
      <c r="RRR483" s="308"/>
      <c r="RRS483" s="308"/>
      <c r="RRT483" s="308"/>
      <c r="RRU483" s="308"/>
      <c r="RRV483" s="308"/>
      <c r="RRW483" s="308"/>
      <c r="RRX483" s="308"/>
      <c r="RRY483" s="308"/>
      <c r="RRZ483" s="308"/>
      <c r="RSA483" s="308"/>
      <c r="RSB483" s="308"/>
      <c r="RSC483" s="308"/>
      <c r="RSD483" s="308"/>
      <c r="RSE483" s="308"/>
      <c r="RSF483" s="308"/>
      <c r="RSG483" s="308"/>
      <c r="RSH483" s="308"/>
      <c r="RSI483" s="308"/>
      <c r="RSJ483" s="308"/>
      <c r="RSK483" s="308"/>
      <c r="RSL483" s="308"/>
      <c r="RSM483" s="308"/>
      <c r="RSN483" s="308"/>
      <c r="RSO483" s="308"/>
      <c r="RSP483" s="308"/>
      <c r="RSQ483" s="308"/>
      <c r="RSR483" s="308"/>
      <c r="RSS483" s="308"/>
      <c r="RST483" s="308"/>
      <c r="RSU483" s="308"/>
      <c r="RSV483" s="308"/>
      <c r="RSW483" s="308"/>
      <c r="RSX483" s="308"/>
      <c r="RSY483" s="308"/>
      <c r="RSZ483" s="308"/>
      <c r="RTA483" s="308"/>
      <c r="RTB483" s="308"/>
      <c r="RTC483" s="308"/>
      <c r="RTD483" s="308"/>
      <c r="RTE483" s="308"/>
      <c r="RTF483" s="308"/>
      <c r="RTG483" s="308"/>
      <c r="RTH483" s="308"/>
      <c r="RTI483" s="308"/>
      <c r="RTJ483" s="308"/>
      <c r="RTK483" s="308"/>
      <c r="RTL483" s="308"/>
      <c r="RTM483" s="308"/>
      <c r="RTN483" s="308"/>
      <c r="RTO483" s="308"/>
      <c r="RTP483" s="308"/>
      <c r="RTQ483" s="308"/>
      <c r="RTR483" s="308"/>
      <c r="RTS483" s="308"/>
      <c r="RTT483" s="308"/>
      <c r="RTU483" s="308"/>
      <c r="RTV483" s="308"/>
      <c r="RTW483" s="308"/>
      <c r="RTX483" s="308"/>
      <c r="RTY483" s="308"/>
      <c r="RTZ483" s="308"/>
      <c r="RUA483" s="308"/>
      <c r="RUB483" s="308"/>
      <c r="RUC483" s="308"/>
      <c r="RUD483" s="308"/>
      <c r="RUE483" s="308"/>
      <c r="RUF483" s="308"/>
      <c r="RUG483" s="308"/>
      <c r="RUH483" s="308"/>
      <c r="RUI483" s="308"/>
      <c r="RUJ483" s="308"/>
      <c r="RUK483" s="308"/>
      <c r="RUL483" s="308"/>
      <c r="RUM483" s="308"/>
      <c r="RUN483" s="308"/>
      <c r="RUO483" s="308"/>
      <c r="RUP483" s="308"/>
      <c r="RUQ483" s="308"/>
      <c r="RUR483" s="308"/>
      <c r="RUS483" s="308"/>
      <c r="RUT483" s="308"/>
      <c r="RUU483" s="308"/>
      <c r="RUV483" s="308"/>
      <c r="RUW483" s="308"/>
      <c r="RUX483" s="308"/>
      <c r="RUY483" s="308"/>
      <c r="RUZ483" s="308"/>
      <c r="RVA483" s="308"/>
      <c r="RVB483" s="308"/>
      <c r="RVC483" s="308"/>
      <c r="RVD483" s="308"/>
      <c r="RVE483" s="308"/>
      <c r="RVF483" s="308"/>
      <c r="RVG483" s="308"/>
      <c r="RVH483" s="308"/>
      <c r="RVI483" s="308"/>
      <c r="RVJ483" s="308"/>
      <c r="RVK483" s="308"/>
      <c r="RVL483" s="308"/>
      <c r="RVM483" s="308"/>
      <c r="RVN483" s="308"/>
      <c r="RVO483" s="308"/>
      <c r="RVP483" s="308"/>
      <c r="RVQ483" s="308"/>
      <c r="RVR483" s="308"/>
      <c r="RVS483" s="308"/>
      <c r="RVT483" s="308"/>
      <c r="RVU483" s="308"/>
      <c r="RVV483" s="308"/>
      <c r="RVW483" s="308"/>
      <c r="RVX483" s="308"/>
      <c r="RVY483" s="308"/>
      <c r="RVZ483" s="308"/>
      <c r="RWA483" s="308"/>
      <c r="RWB483" s="308"/>
      <c r="RWC483" s="308"/>
      <c r="RWD483" s="308"/>
      <c r="RWE483" s="308"/>
      <c r="RWF483" s="308"/>
      <c r="RWG483" s="308"/>
      <c r="RWH483" s="308"/>
      <c r="RWI483" s="308"/>
      <c r="RWJ483" s="308"/>
      <c r="RWK483" s="308"/>
      <c r="RWL483" s="308"/>
      <c r="RWM483" s="308"/>
      <c r="RWN483" s="308"/>
      <c r="RWO483" s="308"/>
      <c r="RWP483" s="308"/>
      <c r="RWQ483" s="308"/>
      <c r="RWR483" s="308"/>
      <c r="RWS483" s="308"/>
      <c r="RWT483" s="308"/>
      <c r="RWU483" s="308"/>
      <c r="RWV483" s="308"/>
      <c r="RWW483" s="308"/>
      <c r="RWX483" s="308"/>
      <c r="RWY483" s="308"/>
      <c r="RWZ483" s="308"/>
      <c r="RXA483" s="308"/>
      <c r="RXB483" s="308"/>
      <c r="RXC483" s="308"/>
      <c r="RXD483" s="308"/>
      <c r="RXE483" s="308"/>
      <c r="RXF483" s="308"/>
      <c r="RXG483" s="308"/>
      <c r="RXH483" s="308"/>
      <c r="RXI483" s="308"/>
      <c r="RXJ483" s="308"/>
      <c r="RXK483" s="308"/>
      <c r="RXL483" s="308"/>
      <c r="RXM483" s="308"/>
      <c r="RXN483" s="308"/>
      <c r="RXO483" s="308"/>
      <c r="RXP483" s="308"/>
      <c r="RXQ483" s="308"/>
      <c r="RXR483" s="308"/>
      <c r="RXS483" s="308"/>
      <c r="RXT483" s="308"/>
      <c r="RXU483" s="308"/>
      <c r="RXV483" s="308"/>
      <c r="RXW483" s="308"/>
      <c r="RXX483" s="308"/>
      <c r="RXY483" s="308"/>
      <c r="RXZ483" s="308"/>
      <c r="RYA483" s="308"/>
      <c r="RYB483" s="308"/>
      <c r="RYC483" s="308"/>
      <c r="RYD483" s="308"/>
      <c r="RYE483" s="308"/>
      <c r="RYF483" s="308"/>
      <c r="RYG483" s="308"/>
      <c r="RYH483" s="308"/>
      <c r="RYI483" s="308"/>
      <c r="RYJ483" s="308"/>
      <c r="RYK483" s="308"/>
      <c r="RYL483" s="308"/>
      <c r="RYM483" s="308"/>
      <c r="RYN483" s="308"/>
      <c r="RYO483" s="308"/>
      <c r="RYP483" s="308"/>
      <c r="RYQ483" s="308"/>
      <c r="RYR483" s="308"/>
      <c r="RYS483" s="308"/>
      <c r="RYT483" s="308"/>
      <c r="RYU483" s="308"/>
      <c r="RYV483" s="308"/>
      <c r="RYW483" s="308"/>
      <c r="RYX483" s="308"/>
      <c r="RYY483" s="308"/>
      <c r="RYZ483" s="308"/>
      <c r="RZA483" s="308"/>
      <c r="RZB483" s="308"/>
      <c r="RZC483" s="308"/>
      <c r="RZD483" s="308"/>
      <c r="RZE483" s="308"/>
      <c r="RZF483" s="308"/>
      <c r="RZG483" s="308"/>
      <c r="RZH483" s="308"/>
      <c r="RZI483" s="308"/>
      <c r="RZJ483" s="308"/>
      <c r="RZK483" s="308"/>
      <c r="RZL483" s="308"/>
      <c r="RZM483" s="308"/>
      <c r="RZN483" s="308"/>
      <c r="RZO483" s="308"/>
      <c r="RZP483" s="308"/>
      <c r="RZQ483" s="308"/>
      <c r="RZR483" s="308"/>
      <c r="RZS483" s="308"/>
      <c r="RZT483" s="308"/>
      <c r="RZU483" s="308"/>
      <c r="RZV483" s="308"/>
      <c r="RZW483" s="308"/>
      <c r="RZX483" s="308"/>
      <c r="RZY483" s="308"/>
      <c r="RZZ483" s="308"/>
      <c r="SAA483" s="308"/>
      <c r="SAB483" s="308"/>
      <c r="SAC483" s="308"/>
      <c r="SAD483" s="308"/>
      <c r="SAE483" s="308"/>
      <c r="SAF483" s="308"/>
      <c r="SAG483" s="308"/>
      <c r="SAH483" s="308"/>
      <c r="SAI483" s="308"/>
      <c r="SAJ483" s="308"/>
      <c r="SAK483" s="308"/>
      <c r="SAL483" s="308"/>
      <c r="SAM483" s="308"/>
      <c r="SAN483" s="308"/>
      <c r="SAO483" s="308"/>
      <c r="SAP483" s="308"/>
      <c r="SAQ483" s="308"/>
      <c r="SAR483" s="308"/>
      <c r="SAS483" s="308"/>
      <c r="SAT483" s="308"/>
      <c r="SAU483" s="308"/>
      <c r="SAV483" s="308"/>
      <c r="SAW483" s="308"/>
      <c r="SAX483" s="308"/>
      <c r="SAY483" s="308"/>
      <c r="SAZ483" s="308"/>
      <c r="SBA483" s="308"/>
      <c r="SBB483" s="308"/>
      <c r="SBC483" s="308"/>
      <c r="SBD483" s="308"/>
      <c r="SBE483" s="308"/>
      <c r="SBF483" s="308"/>
      <c r="SBG483" s="308"/>
      <c r="SBH483" s="308"/>
      <c r="SBI483" s="308"/>
      <c r="SBJ483" s="308"/>
      <c r="SBK483" s="308"/>
      <c r="SBL483" s="308"/>
      <c r="SBM483" s="308"/>
      <c r="SBN483" s="308"/>
      <c r="SBO483" s="308"/>
      <c r="SBP483" s="308"/>
      <c r="SBQ483" s="308"/>
      <c r="SBR483" s="308"/>
      <c r="SBS483" s="308"/>
      <c r="SBT483" s="308"/>
      <c r="SBU483" s="308"/>
      <c r="SBV483" s="308"/>
      <c r="SBW483" s="308"/>
      <c r="SBX483" s="308"/>
      <c r="SBY483" s="308"/>
      <c r="SBZ483" s="308"/>
      <c r="SCA483" s="308"/>
      <c r="SCB483" s="308"/>
      <c r="SCC483" s="308"/>
      <c r="SCD483" s="308"/>
      <c r="SCE483" s="308"/>
      <c r="SCF483" s="308"/>
      <c r="SCG483" s="308"/>
      <c r="SCH483" s="308"/>
      <c r="SCI483" s="308"/>
      <c r="SCJ483" s="308"/>
      <c r="SCK483" s="308"/>
      <c r="SCL483" s="308"/>
      <c r="SCM483" s="308"/>
      <c r="SCN483" s="308"/>
      <c r="SCO483" s="308"/>
      <c r="SCP483" s="308"/>
      <c r="SCQ483" s="308"/>
      <c r="SCR483" s="308"/>
      <c r="SCS483" s="308"/>
      <c r="SCT483" s="308"/>
      <c r="SCU483" s="308"/>
      <c r="SCV483" s="308"/>
      <c r="SCW483" s="308"/>
      <c r="SCX483" s="308"/>
      <c r="SCY483" s="308"/>
      <c r="SCZ483" s="308"/>
      <c r="SDA483" s="308"/>
      <c r="SDB483" s="308"/>
      <c r="SDC483" s="308"/>
      <c r="SDD483" s="308"/>
      <c r="SDE483" s="308"/>
      <c r="SDF483" s="308"/>
      <c r="SDG483" s="308"/>
      <c r="SDH483" s="308"/>
      <c r="SDI483" s="308"/>
      <c r="SDJ483" s="308"/>
      <c r="SDK483" s="308"/>
      <c r="SDL483" s="308"/>
      <c r="SDM483" s="308"/>
      <c r="SDN483" s="308"/>
      <c r="SDO483" s="308"/>
      <c r="SDP483" s="308"/>
      <c r="SDQ483" s="308"/>
      <c r="SDR483" s="308"/>
      <c r="SDS483" s="308"/>
      <c r="SDT483" s="308"/>
      <c r="SDU483" s="308"/>
      <c r="SDV483" s="308"/>
      <c r="SDW483" s="308"/>
      <c r="SDX483" s="308"/>
      <c r="SDY483" s="308"/>
      <c r="SDZ483" s="308"/>
      <c r="SEA483" s="308"/>
      <c r="SEB483" s="308"/>
      <c r="SEC483" s="308"/>
      <c r="SED483" s="308"/>
      <c r="SEE483" s="308"/>
      <c r="SEF483" s="308"/>
      <c r="SEG483" s="308"/>
      <c r="SEH483" s="308"/>
      <c r="SEI483" s="308"/>
      <c r="SEJ483" s="308"/>
      <c r="SEK483" s="308"/>
      <c r="SEL483" s="308"/>
      <c r="SEM483" s="308"/>
      <c r="SEN483" s="308"/>
      <c r="SEO483" s="308"/>
      <c r="SEP483" s="308"/>
      <c r="SEQ483" s="308"/>
      <c r="SER483" s="308"/>
      <c r="SES483" s="308"/>
      <c r="SET483" s="308"/>
      <c r="SEU483" s="308"/>
      <c r="SEV483" s="308"/>
      <c r="SEW483" s="308"/>
      <c r="SEX483" s="308"/>
      <c r="SEY483" s="308"/>
      <c r="SEZ483" s="308"/>
      <c r="SFA483" s="308"/>
      <c r="SFB483" s="308"/>
      <c r="SFC483" s="308"/>
      <c r="SFD483" s="308"/>
      <c r="SFE483" s="308"/>
      <c r="SFF483" s="308"/>
      <c r="SFG483" s="308"/>
      <c r="SFH483" s="308"/>
      <c r="SFI483" s="308"/>
      <c r="SFJ483" s="308"/>
      <c r="SFK483" s="308"/>
      <c r="SFL483" s="308"/>
      <c r="SFM483" s="308"/>
      <c r="SFN483" s="308"/>
      <c r="SFO483" s="308"/>
      <c r="SFP483" s="308"/>
      <c r="SFQ483" s="308"/>
      <c r="SFR483" s="308"/>
      <c r="SFS483" s="308"/>
      <c r="SFT483" s="308"/>
      <c r="SFU483" s="308"/>
      <c r="SFV483" s="308"/>
      <c r="SFW483" s="308"/>
      <c r="SFX483" s="308"/>
      <c r="SFY483" s="308"/>
      <c r="SFZ483" s="308"/>
      <c r="SGA483" s="308"/>
      <c r="SGB483" s="308"/>
      <c r="SGC483" s="308"/>
      <c r="SGD483" s="308"/>
      <c r="SGE483" s="308"/>
      <c r="SGF483" s="308"/>
      <c r="SGG483" s="308"/>
      <c r="SGH483" s="308"/>
      <c r="SGI483" s="308"/>
      <c r="SGJ483" s="308"/>
      <c r="SGK483" s="308"/>
      <c r="SGL483" s="308"/>
      <c r="SGM483" s="308"/>
      <c r="SGN483" s="308"/>
      <c r="SGO483" s="308"/>
      <c r="SGP483" s="308"/>
      <c r="SGQ483" s="308"/>
      <c r="SGR483" s="308"/>
      <c r="SGS483" s="308"/>
      <c r="SGT483" s="308"/>
      <c r="SGU483" s="308"/>
      <c r="SGV483" s="308"/>
      <c r="SGW483" s="308"/>
      <c r="SGX483" s="308"/>
      <c r="SGY483" s="308"/>
      <c r="SGZ483" s="308"/>
      <c r="SHA483" s="308"/>
      <c r="SHB483" s="308"/>
      <c r="SHC483" s="308"/>
      <c r="SHD483" s="308"/>
      <c r="SHE483" s="308"/>
      <c r="SHF483" s="308"/>
      <c r="SHG483" s="308"/>
      <c r="SHH483" s="308"/>
      <c r="SHI483" s="308"/>
      <c r="SHJ483" s="308"/>
      <c r="SHK483" s="308"/>
      <c r="SHL483" s="308"/>
      <c r="SHM483" s="308"/>
      <c r="SHN483" s="308"/>
      <c r="SHO483" s="308"/>
      <c r="SHP483" s="308"/>
      <c r="SHQ483" s="308"/>
      <c r="SHR483" s="308"/>
      <c r="SHS483" s="308"/>
      <c r="SHT483" s="308"/>
      <c r="SHU483" s="308"/>
      <c r="SHV483" s="308"/>
      <c r="SHW483" s="308"/>
      <c r="SHX483" s="308"/>
      <c r="SHY483" s="308"/>
      <c r="SHZ483" s="308"/>
      <c r="SIA483" s="308"/>
      <c r="SIB483" s="308"/>
      <c r="SIC483" s="308"/>
      <c r="SID483" s="308"/>
      <c r="SIE483" s="308"/>
      <c r="SIF483" s="308"/>
      <c r="SIG483" s="308"/>
      <c r="SIH483" s="308"/>
      <c r="SII483" s="308"/>
      <c r="SIJ483" s="308"/>
      <c r="SIK483" s="308"/>
      <c r="SIL483" s="308"/>
      <c r="SIM483" s="308"/>
      <c r="SIN483" s="308"/>
      <c r="SIO483" s="308"/>
      <c r="SIP483" s="308"/>
      <c r="SIQ483" s="308"/>
      <c r="SIR483" s="308"/>
      <c r="SIS483" s="308"/>
      <c r="SIT483" s="308"/>
      <c r="SIU483" s="308"/>
      <c r="SIV483" s="308"/>
      <c r="SIW483" s="308"/>
      <c r="SIX483" s="308"/>
      <c r="SIY483" s="308"/>
      <c r="SIZ483" s="308"/>
      <c r="SJA483" s="308"/>
      <c r="SJB483" s="308"/>
      <c r="SJC483" s="308"/>
      <c r="SJD483" s="308"/>
      <c r="SJE483" s="308"/>
      <c r="SJF483" s="308"/>
      <c r="SJG483" s="308"/>
      <c r="SJH483" s="308"/>
      <c r="SJI483" s="308"/>
      <c r="SJJ483" s="308"/>
      <c r="SJK483" s="308"/>
      <c r="SJL483" s="308"/>
      <c r="SJM483" s="308"/>
      <c r="SJN483" s="308"/>
      <c r="SJO483" s="308"/>
      <c r="SJP483" s="308"/>
      <c r="SJQ483" s="308"/>
      <c r="SJR483" s="308"/>
      <c r="SJS483" s="308"/>
      <c r="SJT483" s="308"/>
      <c r="SJU483" s="308"/>
      <c r="SJV483" s="308"/>
      <c r="SJW483" s="308"/>
      <c r="SJX483" s="308"/>
      <c r="SJY483" s="308"/>
      <c r="SJZ483" s="308"/>
      <c r="SKA483" s="308"/>
      <c r="SKB483" s="308"/>
      <c r="SKC483" s="308"/>
      <c r="SKD483" s="308"/>
      <c r="SKE483" s="308"/>
      <c r="SKF483" s="308"/>
      <c r="SKG483" s="308"/>
      <c r="SKH483" s="308"/>
      <c r="SKI483" s="308"/>
      <c r="SKJ483" s="308"/>
      <c r="SKK483" s="308"/>
      <c r="SKL483" s="308"/>
      <c r="SKM483" s="308"/>
      <c r="SKN483" s="308"/>
      <c r="SKO483" s="308"/>
      <c r="SKP483" s="308"/>
      <c r="SKQ483" s="308"/>
      <c r="SKR483" s="308"/>
      <c r="SKS483" s="308"/>
      <c r="SKT483" s="308"/>
      <c r="SKU483" s="308"/>
      <c r="SKV483" s="308"/>
      <c r="SKW483" s="308"/>
      <c r="SKX483" s="308"/>
      <c r="SKY483" s="308"/>
      <c r="SKZ483" s="308"/>
      <c r="SLA483" s="308"/>
      <c r="SLB483" s="308"/>
      <c r="SLC483" s="308"/>
      <c r="SLD483" s="308"/>
      <c r="SLE483" s="308"/>
      <c r="SLF483" s="308"/>
      <c r="SLG483" s="308"/>
      <c r="SLH483" s="308"/>
      <c r="SLI483" s="308"/>
      <c r="SLJ483" s="308"/>
      <c r="SLK483" s="308"/>
      <c r="SLL483" s="308"/>
      <c r="SLM483" s="308"/>
      <c r="SLN483" s="308"/>
      <c r="SLO483" s="308"/>
      <c r="SLP483" s="308"/>
      <c r="SLQ483" s="308"/>
      <c r="SLR483" s="308"/>
      <c r="SLS483" s="308"/>
      <c r="SLT483" s="308"/>
      <c r="SLU483" s="308"/>
      <c r="SLV483" s="308"/>
      <c r="SLW483" s="308"/>
      <c r="SLX483" s="308"/>
      <c r="SLY483" s="308"/>
      <c r="SLZ483" s="308"/>
      <c r="SMA483" s="308"/>
      <c r="SMB483" s="308"/>
      <c r="SMC483" s="308"/>
      <c r="SMD483" s="308"/>
      <c r="SME483" s="308"/>
      <c r="SMF483" s="308"/>
      <c r="SMG483" s="308"/>
      <c r="SMH483" s="308"/>
      <c r="SMI483" s="308"/>
      <c r="SMJ483" s="308"/>
      <c r="SMK483" s="308"/>
      <c r="SML483" s="308"/>
      <c r="SMM483" s="308"/>
      <c r="SMN483" s="308"/>
      <c r="SMO483" s="308"/>
      <c r="SMP483" s="308"/>
      <c r="SMQ483" s="308"/>
      <c r="SMR483" s="308"/>
      <c r="SMS483" s="308"/>
      <c r="SMT483" s="308"/>
      <c r="SMU483" s="308"/>
      <c r="SMV483" s="308"/>
      <c r="SMW483" s="308"/>
      <c r="SMX483" s="308"/>
      <c r="SMY483" s="308"/>
      <c r="SMZ483" s="308"/>
      <c r="SNA483" s="308"/>
      <c r="SNB483" s="308"/>
      <c r="SNC483" s="308"/>
      <c r="SND483" s="308"/>
      <c r="SNE483" s="308"/>
      <c r="SNF483" s="308"/>
      <c r="SNG483" s="308"/>
      <c r="SNH483" s="308"/>
      <c r="SNI483" s="308"/>
      <c r="SNJ483" s="308"/>
      <c r="SNK483" s="308"/>
      <c r="SNL483" s="308"/>
      <c r="SNM483" s="308"/>
      <c r="SNN483" s="308"/>
      <c r="SNO483" s="308"/>
      <c r="SNP483" s="308"/>
      <c r="SNQ483" s="308"/>
      <c r="SNR483" s="308"/>
      <c r="SNS483" s="308"/>
      <c r="SNT483" s="308"/>
      <c r="SNU483" s="308"/>
      <c r="SNV483" s="308"/>
      <c r="SNW483" s="308"/>
      <c r="SNX483" s="308"/>
      <c r="SNY483" s="308"/>
      <c r="SNZ483" s="308"/>
      <c r="SOA483" s="308"/>
      <c r="SOB483" s="308"/>
      <c r="SOC483" s="308"/>
      <c r="SOD483" s="308"/>
      <c r="SOE483" s="308"/>
      <c r="SOF483" s="308"/>
      <c r="SOG483" s="308"/>
      <c r="SOH483" s="308"/>
      <c r="SOI483" s="308"/>
      <c r="SOJ483" s="308"/>
      <c r="SOK483" s="308"/>
      <c r="SOL483" s="308"/>
      <c r="SOM483" s="308"/>
      <c r="SON483" s="308"/>
      <c r="SOO483" s="308"/>
      <c r="SOP483" s="308"/>
      <c r="SOQ483" s="308"/>
      <c r="SOR483" s="308"/>
      <c r="SOS483" s="308"/>
      <c r="SOT483" s="308"/>
      <c r="SOU483" s="308"/>
      <c r="SOV483" s="308"/>
      <c r="SOW483" s="308"/>
      <c r="SOX483" s="308"/>
      <c r="SOY483" s="308"/>
      <c r="SOZ483" s="308"/>
      <c r="SPA483" s="308"/>
      <c r="SPB483" s="308"/>
      <c r="SPC483" s="308"/>
      <c r="SPD483" s="308"/>
      <c r="SPE483" s="308"/>
      <c r="SPF483" s="308"/>
      <c r="SPG483" s="308"/>
      <c r="SPH483" s="308"/>
      <c r="SPI483" s="308"/>
      <c r="SPJ483" s="308"/>
      <c r="SPK483" s="308"/>
      <c r="SPL483" s="308"/>
      <c r="SPM483" s="308"/>
      <c r="SPN483" s="308"/>
      <c r="SPO483" s="308"/>
      <c r="SPP483" s="308"/>
      <c r="SPQ483" s="308"/>
      <c r="SPR483" s="308"/>
      <c r="SPS483" s="308"/>
      <c r="SPT483" s="308"/>
      <c r="SPU483" s="308"/>
      <c r="SPV483" s="308"/>
      <c r="SPW483" s="308"/>
      <c r="SPX483" s="308"/>
      <c r="SPY483" s="308"/>
      <c r="SPZ483" s="308"/>
      <c r="SQA483" s="308"/>
      <c r="SQB483" s="308"/>
      <c r="SQC483" s="308"/>
      <c r="SQD483" s="308"/>
      <c r="SQE483" s="308"/>
      <c r="SQF483" s="308"/>
      <c r="SQG483" s="308"/>
      <c r="SQH483" s="308"/>
      <c r="SQI483" s="308"/>
      <c r="SQJ483" s="308"/>
      <c r="SQK483" s="308"/>
      <c r="SQL483" s="308"/>
      <c r="SQM483" s="308"/>
      <c r="SQN483" s="308"/>
      <c r="SQO483" s="308"/>
      <c r="SQP483" s="308"/>
      <c r="SQQ483" s="308"/>
      <c r="SQR483" s="308"/>
      <c r="SQS483" s="308"/>
      <c r="SQT483" s="308"/>
      <c r="SQU483" s="308"/>
      <c r="SQV483" s="308"/>
      <c r="SQW483" s="308"/>
      <c r="SQX483" s="308"/>
      <c r="SQY483" s="308"/>
      <c r="SQZ483" s="308"/>
      <c r="SRA483" s="308"/>
      <c r="SRB483" s="308"/>
      <c r="SRC483" s="308"/>
      <c r="SRD483" s="308"/>
      <c r="SRE483" s="308"/>
      <c r="SRF483" s="308"/>
      <c r="SRG483" s="308"/>
      <c r="SRH483" s="308"/>
      <c r="SRI483" s="308"/>
      <c r="SRJ483" s="308"/>
      <c r="SRK483" s="308"/>
      <c r="SRL483" s="308"/>
      <c r="SRM483" s="308"/>
      <c r="SRN483" s="308"/>
      <c r="SRO483" s="308"/>
      <c r="SRP483" s="308"/>
      <c r="SRQ483" s="308"/>
      <c r="SRR483" s="308"/>
      <c r="SRS483" s="308"/>
      <c r="SRT483" s="308"/>
      <c r="SRU483" s="308"/>
      <c r="SRV483" s="308"/>
      <c r="SRW483" s="308"/>
      <c r="SRX483" s="308"/>
      <c r="SRY483" s="308"/>
      <c r="SRZ483" s="308"/>
      <c r="SSA483" s="308"/>
      <c r="SSB483" s="308"/>
      <c r="SSC483" s="308"/>
      <c r="SSD483" s="308"/>
      <c r="SSE483" s="308"/>
      <c r="SSF483" s="308"/>
      <c r="SSG483" s="308"/>
      <c r="SSH483" s="308"/>
      <c r="SSI483" s="308"/>
      <c r="SSJ483" s="308"/>
      <c r="SSK483" s="308"/>
      <c r="SSL483" s="308"/>
      <c r="SSM483" s="308"/>
      <c r="SSN483" s="308"/>
      <c r="SSO483" s="308"/>
      <c r="SSP483" s="308"/>
      <c r="SSQ483" s="308"/>
      <c r="SSR483" s="308"/>
      <c r="SSS483" s="308"/>
      <c r="SST483" s="308"/>
      <c r="SSU483" s="308"/>
      <c r="SSV483" s="308"/>
      <c r="SSW483" s="308"/>
      <c r="SSX483" s="308"/>
      <c r="SSY483" s="308"/>
      <c r="SSZ483" s="308"/>
      <c r="STA483" s="308"/>
      <c r="STB483" s="308"/>
      <c r="STC483" s="308"/>
      <c r="STD483" s="308"/>
      <c r="STE483" s="308"/>
      <c r="STF483" s="308"/>
      <c r="STG483" s="308"/>
      <c r="STH483" s="308"/>
      <c r="STI483" s="308"/>
      <c r="STJ483" s="308"/>
      <c r="STK483" s="308"/>
      <c r="STL483" s="308"/>
      <c r="STM483" s="308"/>
      <c r="STN483" s="308"/>
      <c r="STO483" s="308"/>
      <c r="STP483" s="308"/>
      <c r="STQ483" s="308"/>
      <c r="STR483" s="308"/>
      <c r="STS483" s="308"/>
      <c r="STT483" s="308"/>
      <c r="STU483" s="308"/>
      <c r="STV483" s="308"/>
      <c r="STW483" s="308"/>
      <c r="STX483" s="308"/>
      <c r="STY483" s="308"/>
      <c r="STZ483" s="308"/>
      <c r="SUA483" s="308"/>
      <c r="SUB483" s="308"/>
      <c r="SUC483" s="308"/>
      <c r="SUD483" s="308"/>
      <c r="SUE483" s="308"/>
      <c r="SUF483" s="308"/>
      <c r="SUG483" s="308"/>
      <c r="SUH483" s="308"/>
      <c r="SUI483" s="308"/>
      <c r="SUJ483" s="308"/>
      <c r="SUK483" s="308"/>
      <c r="SUL483" s="308"/>
      <c r="SUM483" s="308"/>
      <c r="SUN483" s="308"/>
      <c r="SUO483" s="308"/>
      <c r="SUP483" s="308"/>
      <c r="SUQ483" s="308"/>
      <c r="SUR483" s="308"/>
      <c r="SUS483" s="308"/>
      <c r="SUT483" s="308"/>
      <c r="SUU483" s="308"/>
      <c r="SUV483" s="308"/>
      <c r="SUW483" s="308"/>
      <c r="SUX483" s="308"/>
      <c r="SUY483" s="308"/>
      <c r="SUZ483" s="308"/>
      <c r="SVA483" s="308"/>
      <c r="SVB483" s="308"/>
      <c r="SVC483" s="308"/>
      <c r="SVD483" s="308"/>
      <c r="SVE483" s="308"/>
      <c r="SVF483" s="308"/>
      <c r="SVG483" s="308"/>
      <c r="SVH483" s="308"/>
      <c r="SVI483" s="308"/>
      <c r="SVJ483" s="308"/>
      <c r="SVK483" s="308"/>
      <c r="SVL483" s="308"/>
      <c r="SVM483" s="308"/>
      <c r="SVN483" s="308"/>
      <c r="SVO483" s="308"/>
      <c r="SVP483" s="308"/>
      <c r="SVQ483" s="308"/>
      <c r="SVR483" s="308"/>
      <c r="SVS483" s="308"/>
      <c r="SVT483" s="308"/>
      <c r="SVU483" s="308"/>
      <c r="SVV483" s="308"/>
      <c r="SVW483" s="308"/>
      <c r="SVX483" s="308"/>
      <c r="SVY483" s="308"/>
      <c r="SVZ483" s="308"/>
      <c r="SWA483" s="308"/>
      <c r="SWB483" s="308"/>
      <c r="SWC483" s="308"/>
      <c r="SWD483" s="308"/>
      <c r="SWE483" s="308"/>
      <c r="SWF483" s="308"/>
      <c r="SWG483" s="308"/>
      <c r="SWH483" s="308"/>
      <c r="SWI483" s="308"/>
      <c r="SWJ483" s="308"/>
      <c r="SWK483" s="308"/>
      <c r="SWL483" s="308"/>
      <c r="SWM483" s="308"/>
      <c r="SWN483" s="308"/>
      <c r="SWO483" s="308"/>
      <c r="SWP483" s="308"/>
      <c r="SWQ483" s="308"/>
      <c r="SWR483" s="308"/>
      <c r="SWS483" s="308"/>
      <c r="SWT483" s="308"/>
      <c r="SWU483" s="308"/>
      <c r="SWV483" s="308"/>
      <c r="SWW483" s="308"/>
      <c r="SWX483" s="308"/>
      <c r="SWY483" s="308"/>
      <c r="SWZ483" s="308"/>
      <c r="SXA483" s="308"/>
      <c r="SXB483" s="308"/>
      <c r="SXC483" s="308"/>
      <c r="SXD483" s="308"/>
      <c r="SXE483" s="308"/>
      <c r="SXF483" s="308"/>
      <c r="SXG483" s="308"/>
      <c r="SXH483" s="308"/>
      <c r="SXI483" s="308"/>
      <c r="SXJ483" s="308"/>
      <c r="SXK483" s="308"/>
      <c r="SXL483" s="308"/>
      <c r="SXM483" s="308"/>
      <c r="SXN483" s="308"/>
      <c r="SXO483" s="308"/>
      <c r="SXP483" s="308"/>
      <c r="SXQ483" s="308"/>
      <c r="SXR483" s="308"/>
      <c r="SXS483" s="308"/>
      <c r="SXT483" s="308"/>
      <c r="SXU483" s="308"/>
      <c r="SXV483" s="308"/>
      <c r="SXW483" s="308"/>
      <c r="SXX483" s="308"/>
      <c r="SXY483" s="308"/>
      <c r="SXZ483" s="308"/>
      <c r="SYA483" s="308"/>
      <c r="SYB483" s="308"/>
      <c r="SYC483" s="308"/>
      <c r="SYD483" s="308"/>
      <c r="SYE483" s="308"/>
      <c r="SYF483" s="308"/>
      <c r="SYG483" s="308"/>
      <c r="SYH483" s="308"/>
      <c r="SYI483" s="308"/>
      <c r="SYJ483" s="308"/>
      <c r="SYK483" s="308"/>
      <c r="SYL483" s="308"/>
      <c r="SYM483" s="308"/>
      <c r="SYN483" s="308"/>
      <c r="SYO483" s="308"/>
      <c r="SYP483" s="308"/>
      <c r="SYQ483" s="308"/>
      <c r="SYR483" s="308"/>
      <c r="SYS483" s="308"/>
      <c r="SYT483" s="308"/>
      <c r="SYU483" s="308"/>
      <c r="SYV483" s="308"/>
      <c r="SYW483" s="308"/>
      <c r="SYX483" s="308"/>
      <c r="SYY483" s="308"/>
      <c r="SYZ483" s="308"/>
      <c r="SZA483" s="308"/>
      <c r="SZB483" s="308"/>
      <c r="SZC483" s="308"/>
      <c r="SZD483" s="308"/>
      <c r="SZE483" s="308"/>
      <c r="SZF483" s="308"/>
      <c r="SZG483" s="308"/>
      <c r="SZH483" s="308"/>
      <c r="SZI483" s="308"/>
      <c r="SZJ483" s="308"/>
      <c r="SZK483" s="308"/>
      <c r="SZL483" s="308"/>
      <c r="SZM483" s="308"/>
      <c r="SZN483" s="308"/>
      <c r="SZO483" s="308"/>
      <c r="SZP483" s="308"/>
      <c r="SZQ483" s="308"/>
      <c r="SZR483" s="308"/>
      <c r="SZS483" s="308"/>
      <c r="SZT483" s="308"/>
      <c r="SZU483" s="308"/>
      <c r="SZV483" s="308"/>
      <c r="SZW483" s="308"/>
      <c r="SZX483" s="308"/>
      <c r="SZY483" s="308"/>
      <c r="SZZ483" s="308"/>
      <c r="TAA483" s="308"/>
      <c r="TAB483" s="308"/>
      <c r="TAC483" s="308"/>
      <c r="TAD483" s="308"/>
      <c r="TAE483" s="308"/>
      <c r="TAF483" s="308"/>
      <c r="TAG483" s="308"/>
      <c r="TAH483" s="308"/>
      <c r="TAI483" s="308"/>
      <c r="TAJ483" s="308"/>
      <c r="TAK483" s="308"/>
      <c r="TAL483" s="308"/>
      <c r="TAM483" s="308"/>
      <c r="TAN483" s="308"/>
      <c r="TAO483" s="308"/>
      <c r="TAP483" s="308"/>
      <c r="TAQ483" s="308"/>
      <c r="TAR483" s="308"/>
      <c r="TAS483" s="308"/>
      <c r="TAT483" s="308"/>
      <c r="TAU483" s="308"/>
      <c r="TAV483" s="308"/>
      <c r="TAW483" s="308"/>
      <c r="TAX483" s="308"/>
      <c r="TAY483" s="308"/>
      <c r="TAZ483" s="308"/>
      <c r="TBA483" s="308"/>
      <c r="TBB483" s="308"/>
      <c r="TBC483" s="308"/>
      <c r="TBD483" s="308"/>
      <c r="TBE483" s="308"/>
      <c r="TBF483" s="308"/>
      <c r="TBG483" s="308"/>
      <c r="TBH483" s="308"/>
      <c r="TBI483" s="308"/>
      <c r="TBJ483" s="308"/>
      <c r="TBK483" s="308"/>
      <c r="TBL483" s="308"/>
      <c r="TBM483" s="308"/>
      <c r="TBN483" s="308"/>
      <c r="TBO483" s="308"/>
      <c r="TBP483" s="308"/>
      <c r="TBQ483" s="308"/>
      <c r="TBR483" s="308"/>
      <c r="TBS483" s="308"/>
      <c r="TBT483" s="308"/>
      <c r="TBU483" s="308"/>
      <c r="TBV483" s="308"/>
      <c r="TBW483" s="308"/>
      <c r="TBX483" s="308"/>
      <c r="TBY483" s="308"/>
      <c r="TBZ483" s="308"/>
      <c r="TCA483" s="308"/>
      <c r="TCB483" s="308"/>
      <c r="TCC483" s="308"/>
      <c r="TCD483" s="308"/>
      <c r="TCE483" s="308"/>
      <c r="TCF483" s="308"/>
      <c r="TCG483" s="308"/>
      <c r="TCH483" s="308"/>
      <c r="TCI483" s="308"/>
      <c r="TCJ483" s="308"/>
      <c r="TCK483" s="308"/>
      <c r="TCL483" s="308"/>
      <c r="TCM483" s="308"/>
      <c r="TCN483" s="308"/>
      <c r="TCO483" s="308"/>
      <c r="TCP483" s="308"/>
      <c r="TCQ483" s="308"/>
      <c r="TCR483" s="308"/>
      <c r="TCS483" s="308"/>
      <c r="TCT483" s="308"/>
      <c r="TCU483" s="308"/>
      <c r="TCV483" s="308"/>
      <c r="TCW483" s="308"/>
      <c r="TCX483" s="308"/>
      <c r="TCY483" s="308"/>
      <c r="TCZ483" s="308"/>
      <c r="TDA483" s="308"/>
      <c r="TDB483" s="308"/>
      <c r="TDC483" s="308"/>
      <c r="TDD483" s="308"/>
      <c r="TDE483" s="308"/>
      <c r="TDF483" s="308"/>
      <c r="TDG483" s="308"/>
      <c r="TDH483" s="308"/>
      <c r="TDI483" s="308"/>
      <c r="TDJ483" s="308"/>
      <c r="TDK483" s="308"/>
      <c r="TDL483" s="308"/>
      <c r="TDM483" s="308"/>
      <c r="TDN483" s="308"/>
      <c r="TDO483" s="308"/>
      <c r="TDP483" s="308"/>
      <c r="TDQ483" s="308"/>
      <c r="TDR483" s="308"/>
      <c r="TDS483" s="308"/>
      <c r="TDT483" s="308"/>
      <c r="TDU483" s="308"/>
      <c r="TDV483" s="308"/>
      <c r="TDW483" s="308"/>
      <c r="TDX483" s="308"/>
      <c r="TDY483" s="308"/>
      <c r="TDZ483" s="308"/>
      <c r="TEA483" s="308"/>
      <c r="TEB483" s="308"/>
      <c r="TEC483" s="308"/>
      <c r="TED483" s="308"/>
      <c r="TEE483" s="308"/>
      <c r="TEF483" s="308"/>
      <c r="TEG483" s="308"/>
      <c r="TEH483" s="308"/>
      <c r="TEI483" s="308"/>
      <c r="TEJ483" s="308"/>
      <c r="TEK483" s="308"/>
      <c r="TEL483" s="308"/>
      <c r="TEM483" s="308"/>
      <c r="TEN483" s="308"/>
      <c r="TEO483" s="308"/>
      <c r="TEP483" s="308"/>
      <c r="TEQ483" s="308"/>
      <c r="TER483" s="308"/>
      <c r="TES483" s="308"/>
      <c r="TET483" s="308"/>
      <c r="TEU483" s="308"/>
      <c r="TEV483" s="308"/>
      <c r="TEW483" s="308"/>
      <c r="TEX483" s="308"/>
      <c r="TEY483" s="308"/>
      <c r="TEZ483" s="308"/>
      <c r="TFA483" s="308"/>
      <c r="TFB483" s="308"/>
      <c r="TFC483" s="308"/>
      <c r="TFD483" s="308"/>
      <c r="TFE483" s="308"/>
      <c r="TFF483" s="308"/>
      <c r="TFG483" s="308"/>
      <c r="TFH483" s="308"/>
      <c r="TFI483" s="308"/>
      <c r="TFJ483" s="308"/>
      <c r="TFK483" s="308"/>
      <c r="TFL483" s="308"/>
      <c r="TFM483" s="308"/>
      <c r="TFN483" s="308"/>
      <c r="TFO483" s="308"/>
      <c r="TFP483" s="308"/>
      <c r="TFQ483" s="308"/>
      <c r="TFR483" s="308"/>
      <c r="TFS483" s="308"/>
      <c r="TFT483" s="308"/>
      <c r="TFU483" s="308"/>
      <c r="TFV483" s="308"/>
      <c r="TFW483" s="308"/>
      <c r="TFX483" s="308"/>
      <c r="TFY483" s="308"/>
      <c r="TFZ483" s="308"/>
      <c r="TGA483" s="308"/>
      <c r="TGB483" s="308"/>
      <c r="TGC483" s="308"/>
      <c r="TGD483" s="308"/>
      <c r="TGE483" s="308"/>
      <c r="TGF483" s="308"/>
      <c r="TGG483" s="308"/>
      <c r="TGH483" s="308"/>
      <c r="TGI483" s="308"/>
      <c r="TGJ483" s="308"/>
      <c r="TGK483" s="308"/>
      <c r="TGL483" s="308"/>
      <c r="TGM483" s="308"/>
      <c r="TGN483" s="308"/>
      <c r="TGO483" s="308"/>
      <c r="TGP483" s="308"/>
      <c r="TGQ483" s="308"/>
      <c r="TGR483" s="308"/>
      <c r="TGS483" s="308"/>
      <c r="TGT483" s="308"/>
      <c r="TGU483" s="308"/>
      <c r="TGV483" s="308"/>
      <c r="TGW483" s="308"/>
      <c r="TGX483" s="308"/>
      <c r="TGY483" s="308"/>
      <c r="TGZ483" s="308"/>
      <c r="THA483" s="308"/>
      <c r="THB483" s="308"/>
      <c r="THC483" s="308"/>
      <c r="THD483" s="308"/>
      <c r="THE483" s="308"/>
      <c r="THF483" s="308"/>
      <c r="THG483" s="308"/>
      <c r="THH483" s="308"/>
      <c r="THI483" s="308"/>
      <c r="THJ483" s="308"/>
      <c r="THK483" s="308"/>
      <c r="THL483" s="308"/>
      <c r="THM483" s="308"/>
      <c r="THN483" s="308"/>
      <c r="THO483" s="308"/>
      <c r="THP483" s="308"/>
      <c r="THQ483" s="308"/>
      <c r="THR483" s="308"/>
      <c r="THS483" s="308"/>
      <c r="THT483" s="308"/>
      <c r="THU483" s="308"/>
      <c r="THV483" s="308"/>
      <c r="THW483" s="308"/>
      <c r="THX483" s="308"/>
      <c r="THY483" s="308"/>
      <c r="THZ483" s="308"/>
      <c r="TIA483" s="308"/>
      <c r="TIB483" s="308"/>
      <c r="TIC483" s="308"/>
      <c r="TID483" s="308"/>
      <c r="TIE483" s="308"/>
      <c r="TIF483" s="308"/>
      <c r="TIG483" s="308"/>
      <c r="TIH483" s="308"/>
      <c r="TII483" s="308"/>
      <c r="TIJ483" s="308"/>
      <c r="TIK483" s="308"/>
      <c r="TIL483" s="308"/>
      <c r="TIM483" s="308"/>
      <c r="TIN483" s="308"/>
      <c r="TIO483" s="308"/>
      <c r="TIP483" s="308"/>
      <c r="TIQ483" s="308"/>
      <c r="TIR483" s="308"/>
      <c r="TIS483" s="308"/>
      <c r="TIT483" s="308"/>
      <c r="TIU483" s="308"/>
      <c r="TIV483" s="308"/>
      <c r="TIW483" s="308"/>
      <c r="TIX483" s="308"/>
      <c r="TIY483" s="308"/>
      <c r="TIZ483" s="308"/>
      <c r="TJA483" s="308"/>
      <c r="TJB483" s="308"/>
      <c r="TJC483" s="308"/>
      <c r="TJD483" s="308"/>
      <c r="TJE483" s="308"/>
      <c r="TJF483" s="308"/>
      <c r="TJG483" s="308"/>
      <c r="TJH483" s="308"/>
      <c r="TJI483" s="308"/>
      <c r="TJJ483" s="308"/>
      <c r="TJK483" s="308"/>
      <c r="TJL483" s="308"/>
      <c r="TJM483" s="308"/>
      <c r="TJN483" s="308"/>
      <c r="TJO483" s="308"/>
      <c r="TJP483" s="308"/>
      <c r="TJQ483" s="308"/>
      <c r="TJR483" s="308"/>
      <c r="TJS483" s="308"/>
      <c r="TJT483" s="308"/>
      <c r="TJU483" s="308"/>
      <c r="TJV483" s="308"/>
      <c r="TJW483" s="308"/>
      <c r="TJX483" s="308"/>
      <c r="TJY483" s="308"/>
      <c r="TJZ483" s="308"/>
      <c r="TKA483" s="308"/>
      <c r="TKB483" s="308"/>
      <c r="TKC483" s="308"/>
      <c r="TKD483" s="308"/>
      <c r="TKE483" s="308"/>
      <c r="TKF483" s="308"/>
      <c r="TKG483" s="308"/>
      <c r="TKH483" s="308"/>
      <c r="TKI483" s="308"/>
      <c r="TKJ483" s="308"/>
      <c r="TKK483" s="308"/>
      <c r="TKL483" s="308"/>
      <c r="TKM483" s="308"/>
      <c r="TKN483" s="308"/>
      <c r="TKO483" s="308"/>
      <c r="TKP483" s="308"/>
      <c r="TKQ483" s="308"/>
      <c r="TKR483" s="308"/>
      <c r="TKS483" s="308"/>
      <c r="TKT483" s="308"/>
      <c r="TKU483" s="308"/>
      <c r="TKV483" s="308"/>
      <c r="TKW483" s="308"/>
      <c r="TKX483" s="308"/>
      <c r="TKY483" s="308"/>
      <c r="TKZ483" s="308"/>
      <c r="TLA483" s="308"/>
      <c r="TLB483" s="308"/>
      <c r="TLC483" s="308"/>
      <c r="TLD483" s="308"/>
      <c r="TLE483" s="308"/>
      <c r="TLF483" s="308"/>
      <c r="TLG483" s="308"/>
      <c r="TLH483" s="308"/>
      <c r="TLI483" s="308"/>
      <c r="TLJ483" s="308"/>
      <c r="TLK483" s="308"/>
      <c r="TLL483" s="308"/>
      <c r="TLM483" s="308"/>
      <c r="TLN483" s="308"/>
      <c r="TLO483" s="308"/>
      <c r="TLP483" s="308"/>
      <c r="TLQ483" s="308"/>
      <c r="TLR483" s="308"/>
      <c r="TLS483" s="308"/>
      <c r="TLT483" s="308"/>
      <c r="TLU483" s="308"/>
      <c r="TLV483" s="308"/>
      <c r="TLW483" s="308"/>
      <c r="TLX483" s="308"/>
      <c r="TLY483" s="308"/>
      <c r="TLZ483" s="308"/>
      <c r="TMA483" s="308"/>
      <c r="TMB483" s="308"/>
      <c r="TMC483" s="308"/>
      <c r="TMD483" s="308"/>
      <c r="TME483" s="308"/>
      <c r="TMF483" s="308"/>
      <c r="TMG483" s="308"/>
      <c r="TMH483" s="308"/>
      <c r="TMI483" s="308"/>
      <c r="TMJ483" s="308"/>
      <c r="TMK483" s="308"/>
      <c r="TML483" s="308"/>
      <c r="TMM483" s="308"/>
      <c r="TMN483" s="308"/>
      <c r="TMO483" s="308"/>
      <c r="TMP483" s="308"/>
      <c r="TMQ483" s="308"/>
      <c r="TMR483" s="308"/>
      <c r="TMS483" s="308"/>
      <c r="TMT483" s="308"/>
      <c r="TMU483" s="308"/>
      <c r="TMV483" s="308"/>
      <c r="TMW483" s="308"/>
      <c r="TMX483" s="308"/>
      <c r="TMY483" s="308"/>
      <c r="TMZ483" s="308"/>
      <c r="TNA483" s="308"/>
      <c r="TNB483" s="308"/>
      <c r="TNC483" s="308"/>
      <c r="TND483" s="308"/>
      <c r="TNE483" s="308"/>
      <c r="TNF483" s="308"/>
      <c r="TNG483" s="308"/>
      <c r="TNH483" s="308"/>
      <c r="TNI483" s="308"/>
      <c r="TNJ483" s="308"/>
      <c r="TNK483" s="308"/>
      <c r="TNL483" s="308"/>
      <c r="TNM483" s="308"/>
      <c r="TNN483" s="308"/>
      <c r="TNO483" s="308"/>
      <c r="TNP483" s="308"/>
      <c r="TNQ483" s="308"/>
      <c r="TNR483" s="308"/>
      <c r="TNS483" s="308"/>
      <c r="TNT483" s="308"/>
      <c r="TNU483" s="308"/>
      <c r="TNV483" s="308"/>
      <c r="TNW483" s="308"/>
      <c r="TNX483" s="308"/>
      <c r="TNY483" s="308"/>
      <c r="TNZ483" s="308"/>
      <c r="TOA483" s="308"/>
      <c r="TOB483" s="308"/>
      <c r="TOC483" s="308"/>
      <c r="TOD483" s="308"/>
      <c r="TOE483" s="308"/>
      <c r="TOF483" s="308"/>
      <c r="TOG483" s="308"/>
      <c r="TOH483" s="308"/>
      <c r="TOI483" s="308"/>
      <c r="TOJ483" s="308"/>
      <c r="TOK483" s="308"/>
      <c r="TOL483" s="308"/>
      <c r="TOM483" s="308"/>
      <c r="TON483" s="308"/>
      <c r="TOO483" s="308"/>
      <c r="TOP483" s="308"/>
      <c r="TOQ483" s="308"/>
      <c r="TOR483" s="308"/>
      <c r="TOS483" s="308"/>
      <c r="TOT483" s="308"/>
      <c r="TOU483" s="308"/>
      <c r="TOV483" s="308"/>
      <c r="TOW483" s="308"/>
      <c r="TOX483" s="308"/>
      <c r="TOY483" s="308"/>
      <c r="TOZ483" s="308"/>
      <c r="TPA483" s="308"/>
      <c r="TPB483" s="308"/>
      <c r="TPC483" s="308"/>
      <c r="TPD483" s="308"/>
      <c r="TPE483" s="308"/>
      <c r="TPF483" s="308"/>
      <c r="TPG483" s="308"/>
      <c r="TPH483" s="308"/>
      <c r="TPI483" s="308"/>
      <c r="TPJ483" s="308"/>
      <c r="TPK483" s="308"/>
      <c r="TPL483" s="308"/>
      <c r="TPM483" s="308"/>
      <c r="TPN483" s="308"/>
      <c r="TPO483" s="308"/>
      <c r="TPP483" s="308"/>
      <c r="TPQ483" s="308"/>
      <c r="TPR483" s="308"/>
      <c r="TPS483" s="308"/>
      <c r="TPT483" s="308"/>
      <c r="TPU483" s="308"/>
      <c r="TPV483" s="308"/>
      <c r="TPW483" s="308"/>
      <c r="TPX483" s="308"/>
      <c r="TPY483" s="308"/>
      <c r="TPZ483" s="308"/>
      <c r="TQA483" s="308"/>
      <c r="TQB483" s="308"/>
      <c r="TQC483" s="308"/>
      <c r="TQD483" s="308"/>
      <c r="TQE483" s="308"/>
      <c r="TQF483" s="308"/>
      <c r="TQG483" s="308"/>
      <c r="TQH483" s="308"/>
      <c r="TQI483" s="308"/>
      <c r="TQJ483" s="308"/>
      <c r="TQK483" s="308"/>
      <c r="TQL483" s="308"/>
      <c r="TQM483" s="308"/>
      <c r="TQN483" s="308"/>
      <c r="TQO483" s="308"/>
      <c r="TQP483" s="308"/>
      <c r="TQQ483" s="308"/>
      <c r="TQR483" s="308"/>
      <c r="TQS483" s="308"/>
      <c r="TQT483" s="308"/>
      <c r="TQU483" s="308"/>
      <c r="TQV483" s="308"/>
      <c r="TQW483" s="308"/>
      <c r="TQX483" s="308"/>
      <c r="TQY483" s="308"/>
      <c r="TQZ483" s="308"/>
      <c r="TRA483" s="308"/>
      <c r="TRB483" s="308"/>
      <c r="TRC483" s="308"/>
      <c r="TRD483" s="308"/>
      <c r="TRE483" s="308"/>
      <c r="TRF483" s="308"/>
      <c r="TRG483" s="308"/>
      <c r="TRH483" s="308"/>
      <c r="TRI483" s="308"/>
      <c r="TRJ483" s="308"/>
      <c r="TRK483" s="308"/>
      <c r="TRL483" s="308"/>
      <c r="TRM483" s="308"/>
      <c r="TRN483" s="308"/>
      <c r="TRO483" s="308"/>
      <c r="TRP483" s="308"/>
      <c r="TRQ483" s="308"/>
      <c r="TRR483" s="308"/>
      <c r="TRS483" s="308"/>
      <c r="TRT483" s="308"/>
      <c r="TRU483" s="308"/>
      <c r="TRV483" s="308"/>
      <c r="TRW483" s="308"/>
      <c r="TRX483" s="308"/>
      <c r="TRY483" s="308"/>
      <c r="TRZ483" s="308"/>
      <c r="TSA483" s="308"/>
      <c r="TSB483" s="308"/>
      <c r="TSC483" s="308"/>
      <c r="TSD483" s="308"/>
      <c r="TSE483" s="308"/>
      <c r="TSF483" s="308"/>
      <c r="TSG483" s="308"/>
      <c r="TSH483" s="308"/>
      <c r="TSI483" s="308"/>
      <c r="TSJ483" s="308"/>
      <c r="TSK483" s="308"/>
      <c r="TSL483" s="308"/>
      <c r="TSM483" s="308"/>
      <c r="TSN483" s="308"/>
      <c r="TSO483" s="308"/>
      <c r="TSP483" s="308"/>
      <c r="TSQ483" s="308"/>
      <c r="TSR483" s="308"/>
      <c r="TSS483" s="308"/>
      <c r="TST483" s="308"/>
      <c r="TSU483" s="308"/>
      <c r="TSV483" s="308"/>
      <c r="TSW483" s="308"/>
      <c r="TSX483" s="308"/>
      <c r="TSY483" s="308"/>
      <c r="TSZ483" s="308"/>
      <c r="TTA483" s="308"/>
      <c r="TTB483" s="308"/>
      <c r="TTC483" s="308"/>
      <c r="TTD483" s="308"/>
      <c r="TTE483" s="308"/>
      <c r="TTF483" s="308"/>
      <c r="TTG483" s="308"/>
      <c r="TTH483" s="308"/>
      <c r="TTI483" s="308"/>
      <c r="TTJ483" s="308"/>
      <c r="TTK483" s="308"/>
      <c r="TTL483" s="308"/>
      <c r="TTM483" s="308"/>
      <c r="TTN483" s="308"/>
      <c r="TTO483" s="308"/>
      <c r="TTP483" s="308"/>
      <c r="TTQ483" s="308"/>
      <c r="TTR483" s="308"/>
      <c r="TTS483" s="308"/>
      <c r="TTT483" s="308"/>
      <c r="TTU483" s="308"/>
      <c r="TTV483" s="308"/>
      <c r="TTW483" s="308"/>
      <c r="TTX483" s="308"/>
      <c r="TTY483" s="308"/>
      <c r="TTZ483" s="308"/>
      <c r="TUA483" s="308"/>
      <c r="TUB483" s="308"/>
      <c r="TUC483" s="308"/>
      <c r="TUD483" s="308"/>
      <c r="TUE483" s="308"/>
      <c r="TUF483" s="308"/>
      <c r="TUG483" s="308"/>
      <c r="TUH483" s="308"/>
      <c r="TUI483" s="308"/>
      <c r="TUJ483" s="308"/>
      <c r="TUK483" s="308"/>
      <c r="TUL483" s="308"/>
      <c r="TUM483" s="308"/>
      <c r="TUN483" s="308"/>
      <c r="TUO483" s="308"/>
      <c r="TUP483" s="308"/>
      <c r="TUQ483" s="308"/>
      <c r="TUR483" s="308"/>
      <c r="TUS483" s="308"/>
      <c r="TUT483" s="308"/>
      <c r="TUU483" s="308"/>
      <c r="TUV483" s="308"/>
      <c r="TUW483" s="308"/>
      <c r="TUX483" s="308"/>
      <c r="TUY483" s="308"/>
      <c r="TUZ483" s="308"/>
      <c r="TVA483" s="308"/>
      <c r="TVB483" s="308"/>
      <c r="TVC483" s="308"/>
      <c r="TVD483" s="308"/>
      <c r="TVE483" s="308"/>
      <c r="TVF483" s="308"/>
      <c r="TVG483" s="308"/>
      <c r="TVH483" s="308"/>
      <c r="TVI483" s="308"/>
      <c r="TVJ483" s="308"/>
      <c r="TVK483" s="308"/>
      <c r="TVL483" s="308"/>
      <c r="TVM483" s="308"/>
      <c r="TVN483" s="308"/>
      <c r="TVO483" s="308"/>
      <c r="TVP483" s="308"/>
      <c r="TVQ483" s="308"/>
      <c r="TVR483" s="308"/>
      <c r="TVS483" s="308"/>
      <c r="TVT483" s="308"/>
      <c r="TVU483" s="308"/>
      <c r="TVV483" s="308"/>
      <c r="TVW483" s="308"/>
      <c r="TVX483" s="308"/>
      <c r="TVY483" s="308"/>
      <c r="TVZ483" s="308"/>
      <c r="TWA483" s="308"/>
      <c r="TWB483" s="308"/>
      <c r="TWC483" s="308"/>
      <c r="TWD483" s="308"/>
      <c r="TWE483" s="308"/>
      <c r="TWF483" s="308"/>
      <c r="TWG483" s="308"/>
      <c r="TWH483" s="308"/>
      <c r="TWI483" s="308"/>
      <c r="TWJ483" s="308"/>
      <c r="TWK483" s="308"/>
      <c r="TWL483" s="308"/>
      <c r="TWM483" s="308"/>
      <c r="TWN483" s="308"/>
      <c r="TWO483" s="308"/>
      <c r="TWP483" s="308"/>
      <c r="TWQ483" s="308"/>
      <c r="TWR483" s="308"/>
      <c r="TWS483" s="308"/>
      <c r="TWT483" s="308"/>
      <c r="TWU483" s="308"/>
      <c r="TWV483" s="308"/>
      <c r="TWW483" s="308"/>
      <c r="TWX483" s="308"/>
      <c r="TWY483" s="308"/>
      <c r="TWZ483" s="308"/>
      <c r="TXA483" s="308"/>
      <c r="TXB483" s="308"/>
      <c r="TXC483" s="308"/>
      <c r="TXD483" s="308"/>
      <c r="TXE483" s="308"/>
      <c r="TXF483" s="308"/>
      <c r="TXG483" s="308"/>
      <c r="TXH483" s="308"/>
      <c r="TXI483" s="308"/>
      <c r="TXJ483" s="308"/>
      <c r="TXK483" s="308"/>
      <c r="TXL483" s="308"/>
      <c r="TXM483" s="308"/>
      <c r="TXN483" s="308"/>
      <c r="TXO483" s="308"/>
      <c r="TXP483" s="308"/>
      <c r="TXQ483" s="308"/>
      <c r="TXR483" s="308"/>
      <c r="TXS483" s="308"/>
      <c r="TXT483" s="308"/>
      <c r="TXU483" s="308"/>
      <c r="TXV483" s="308"/>
      <c r="TXW483" s="308"/>
      <c r="TXX483" s="308"/>
      <c r="TXY483" s="308"/>
      <c r="TXZ483" s="308"/>
      <c r="TYA483" s="308"/>
      <c r="TYB483" s="308"/>
      <c r="TYC483" s="308"/>
      <c r="TYD483" s="308"/>
      <c r="TYE483" s="308"/>
      <c r="TYF483" s="308"/>
      <c r="TYG483" s="308"/>
      <c r="TYH483" s="308"/>
      <c r="TYI483" s="308"/>
      <c r="TYJ483" s="308"/>
      <c r="TYK483" s="308"/>
      <c r="TYL483" s="308"/>
      <c r="TYM483" s="308"/>
      <c r="TYN483" s="308"/>
      <c r="TYO483" s="308"/>
      <c r="TYP483" s="308"/>
      <c r="TYQ483" s="308"/>
      <c r="TYR483" s="308"/>
      <c r="TYS483" s="308"/>
      <c r="TYT483" s="308"/>
      <c r="TYU483" s="308"/>
      <c r="TYV483" s="308"/>
      <c r="TYW483" s="308"/>
      <c r="TYX483" s="308"/>
      <c r="TYY483" s="308"/>
      <c r="TYZ483" s="308"/>
      <c r="TZA483" s="308"/>
      <c r="TZB483" s="308"/>
      <c r="TZC483" s="308"/>
      <c r="TZD483" s="308"/>
      <c r="TZE483" s="308"/>
      <c r="TZF483" s="308"/>
      <c r="TZG483" s="308"/>
      <c r="TZH483" s="308"/>
      <c r="TZI483" s="308"/>
      <c r="TZJ483" s="308"/>
      <c r="TZK483" s="308"/>
      <c r="TZL483" s="308"/>
      <c r="TZM483" s="308"/>
      <c r="TZN483" s="308"/>
      <c r="TZO483" s="308"/>
      <c r="TZP483" s="308"/>
      <c r="TZQ483" s="308"/>
      <c r="TZR483" s="308"/>
      <c r="TZS483" s="308"/>
      <c r="TZT483" s="308"/>
      <c r="TZU483" s="308"/>
      <c r="TZV483" s="308"/>
      <c r="TZW483" s="308"/>
      <c r="TZX483" s="308"/>
      <c r="TZY483" s="308"/>
      <c r="TZZ483" s="308"/>
      <c r="UAA483" s="308"/>
      <c r="UAB483" s="308"/>
      <c r="UAC483" s="308"/>
      <c r="UAD483" s="308"/>
      <c r="UAE483" s="308"/>
      <c r="UAF483" s="308"/>
      <c r="UAG483" s="308"/>
      <c r="UAH483" s="308"/>
      <c r="UAI483" s="308"/>
      <c r="UAJ483" s="308"/>
      <c r="UAK483" s="308"/>
      <c r="UAL483" s="308"/>
      <c r="UAM483" s="308"/>
      <c r="UAN483" s="308"/>
      <c r="UAO483" s="308"/>
      <c r="UAP483" s="308"/>
      <c r="UAQ483" s="308"/>
      <c r="UAR483" s="308"/>
      <c r="UAS483" s="308"/>
      <c r="UAT483" s="308"/>
      <c r="UAU483" s="308"/>
      <c r="UAV483" s="308"/>
      <c r="UAW483" s="308"/>
      <c r="UAX483" s="308"/>
      <c r="UAY483" s="308"/>
      <c r="UAZ483" s="308"/>
      <c r="UBA483" s="308"/>
      <c r="UBB483" s="308"/>
      <c r="UBC483" s="308"/>
      <c r="UBD483" s="308"/>
      <c r="UBE483" s="308"/>
      <c r="UBF483" s="308"/>
      <c r="UBG483" s="308"/>
      <c r="UBH483" s="308"/>
      <c r="UBI483" s="308"/>
      <c r="UBJ483" s="308"/>
      <c r="UBK483" s="308"/>
      <c r="UBL483" s="308"/>
      <c r="UBM483" s="308"/>
      <c r="UBN483" s="308"/>
      <c r="UBO483" s="308"/>
      <c r="UBP483" s="308"/>
      <c r="UBQ483" s="308"/>
      <c r="UBR483" s="308"/>
      <c r="UBS483" s="308"/>
      <c r="UBT483" s="308"/>
      <c r="UBU483" s="308"/>
      <c r="UBV483" s="308"/>
      <c r="UBW483" s="308"/>
      <c r="UBX483" s="308"/>
      <c r="UBY483" s="308"/>
      <c r="UBZ483" s="308"/>
      <c r="UCA483" s="308"/>
      <c r="UCB483" s="308"/>
      <c r="UCC483" s="308"/>
      <c r="UCD483" s="308"/>
      <c r="UCE483" s="308"/>
      <c r="UCF483" s="308"/>
      <c r="UCG483" s="308"/>
      <c r="UCH483" s="308"/>
      <c r="UCI483" s="308"/>
      <c r="UCJ483" s="308"/>
      <c r="UCK483" s="308"/>
      <c r="UCL483" s="308"/>
      <c r="UCM483" s="308"/>
      <c r="UCN483" s="308"/>
      <c r="UCO483" s="308"/>
      <c r="UCP483" s="308"/>
      <c r="UCQ483" s="308"/>
      <c r="UCR483" s="308"/>
      <c r="UCS483" s="308"/>
      <c r="UCT483" s="308"/>
      <c r="UCU483" s="308"/>
      <c r="UCV483" s="308"/>
      <c r="UCW483" s="308"/>
      <c r="UCX483" s="308"/>
      <c r="UCY483" s="308"/>
      <c r="UCZ483" s="308"/>
      <c r="UDA483" s="308"/>
      <c r="UDB483" s="308"/>
      <c r="UDC483" s="308"/>
      <c r="UDD483" s="308"/>
      <c r="UDE483" s="308"/>
      <c r="UDF483" s="308"/>
      <c r="UDG483" s="308"/>
      <c r="UDH483" s="308"/>
      <c r="UDI483" s="308"/>
      <c r="UDJ483" s="308"/>
      <c r="UDK483" s="308"/>
      <c r="UDL483" s="308"/>
      <c r="UDM483" s="308"/>
      <c r="UDN483" s="308"/>
      <c r="UDO483" s="308"/>
      <c r="UDP483" s="308"/>
      <c r="UDQ483" s="308"/>
      <c r="UDR483" s="308"/>
      <c r="UDS483" s="308"/>
      <c r="UDT483" s="308"/>
      <c r="UDU483" s="308"/>
      <c r="UDV483" s="308"/>
      <c r="UDW483" s="308"/>
      <c r="UDX483" s="308"/>
      <c r="UDY483" s="308"/>
      <c r="UDZ483" s="308"/>
      <c r="UEA483" s="308"/>
      <c r="UEB483" s="308"/>
      <c r="UEC483" s="308"/>
      <c r="UED483" s="308"/>
      <c r="UEE483" s="308"/>
      <c r="UEF483" s="308"/>
      <c r="UEG483" s="308"/>
      <c r="UEH483" s="308"/>
      <c r="UEI483" s="308"/>
      <c r="UEJ483" s="308"/>
      <c r="UEK483" s="308"/>
      <c r="UEL483" s="308"/>
      <c r="UEM483" s="308"/>
      <c r="UEN483" s="308"/>
      <c r="UEO483" s="308"/>
      <c r="UEP483" s="308"/>
      <c r="UEQ483" s="308"/>
      <c r="UER483" s="308"/>
      <c r="UES483" s="308"/>
      <c r="UET483" s="308"/>
      <c r="UEU483" s="308"/>
      <c r="UEV483" s="308"/>
      <c r="UEW483" s="308"/>
      <c r="UEX483" s="308"/>
      <c r="UEY483" s="308"/>
      <c r="UEZ483" s="308"/>
      <c r="UFA483" s="308"/>
      <c r="UFB483" s="308"/>
      <c r="UFC483" s="308"/>
      <c r="UFD483" s="308"/>
      <c r="UFE483" s="308"/>
      <c r="UFF483" s="308"/>
      <c r="UFG483" s="308"/>
      <c r="UFH483" s="308"/>
      <c r="UFI483" s="308"/>
      <c r="UFJ483" s="308"/>
      <c r="UFK483" s="308"/>
      <c r="UFL483" s="308"/>
      <c r="UFM483" s="308"/>
      <c r="UFN483" s="308"/>
      <c r="UFO483" s="308"/>
      <c r="UFP483" s="308"/>
      <c r="UFQ483" s="308"/>
      <c r="UFR483" s="308"/>
      <c r="UFS483" s="308"/>
      <c r="UFT483" s="308"/>
      <c r="UFU483" s="308"/>
      <c r="UFV483" s="308"/>
      <c r="UFW483" s="308"/>
      <c r="UFX483" s="308"/>
      <c r="UFY483" s="308"/>
      <c r="UFZ483" s="308"/>
      <c r="UGA483" s="308"/>
      <c r="UGB483" s="308"/>
      <c r="UGC483" s="308"/>
      <c r="UGD483" s="308"/>
      <c r="UGE483" s="308"/>
      <c r="UGF483" s="308"/>
      <c r="UGG483" s="308"/>
      <c r="UGH483" s="308"/>
      <c r="UGI483" s="308"/>
      <c r="UGJ483" s="308"/>
      <c r="UGK483" s="308"/>
      <c r="UGL483" s="308"/>
      <c r="UGM483" s="308"/>
      <c r="UGN483" s="308"/>
      <c r="UGO483" s="308"/>
      <c r="UGP483" s="308"/>
      <c r="UGQ483" s="308"/>
      <c r="UGR483" s="308"/>
      <c r="UGS483" s="308"/>
      <c r="UGT483" s="308"/>
      <c r="UGU483" s="308"/>
      <c r="UGV483" s="308"/>
      <c r="UGW483" s="308"/>
      <c r="UGX483" s="308"/>
      <c r="UGY483" s="308"/>
      <c r="UGZ483" s="308"/>
      <c r="UHA483" s="308"/>
      <c r="UHB483" s="308"/>
      <c r="UHC483" s="308"/>
      <c r="UHD483" s="308"/>
      <c r="UHE483" s="308"/>
      <c r="UHF483" s="308"/>
      <c r="UHG483" s="308"/>
      <c r="UHH483" s="308"/>
      <c r="UHI483" s="308"/>
      <c r="UHJ483" s="308"/>
      <c r="UHK483" s="308"/>
      <c r="UHL483" s="308"/>
      <c r="UHM483" s="308"/>
      <c r="UHN483" s="308"/>
      <c r="UHO483" s="308"/>
      <c r="UHP483" s="308"/>
      <c r="UHQ483" s="308"/>
      <c r="UHR483" s="308"/>
      <c r="UHS483" s="308"/>
      <c r="UHT483" s="308"/>
      <c r="UHU483" s="308"/>
      <c r="UHV483" s="308"/>
      <c r="UHW483" s="308"/>
      <c r="UHX483" s="308"/>
      <c r="UHY483" s="308"/>
      <c r="UHZ483" s="308"/>
      <c r="UIA483" s="308"/>
      <c r="UIB483" s="308"/>
      <c r="UIC483" s="308"/>
      <c r="UID483" s="308"/>
      <c r="UIE483" s="308"/>
      <c r="UIF483" s="308"/>
      <c r="UIG483" s="308"/>
      <c r="UIH483" s="308"/>
      <c r="UII483" s="308"/>
      <c r="UIJ483" s="308"/>
      <c r="UIK483" s="308"/>
      <c r="UIL483" s="308"/>
      <c r="UIM483" s="308"/>
      <c r="UIN483" s="308"/>
      <c r="UIO483" s="308"/>
      <c r="UIP483" s="308"/>
      <c r="UIQ483" s="308"/>
      <c r="UIR483" s="308"/>
      <c r="UIS483" s="308"/>
      <c r="UIT483" s="308"/>
      <c r="UIU483" s="308"/>
      <c r="UIV483" s="308"/>
      <c r="UIW483" s="308"/>
      <c r="UIX483" s="308"/>
      <c r="UIY483" s="308"/>
      <c r="UIZ483" s="308"/>
      <c r="UJA483" s="308"/>
      <c r="UJB483" s="308"/>
      <c r="UJC483" s="308"/>
      <c r="UJD483" s="308"/>
      <c r="UJE483" s="308"/>
      <c r="UJF483" s="308"/>
      <c r="UJG483" s="308"/>
      <c r="UJH483" s="308"/>
      <c r="UJI483" s="308"/>
      <c r="UJJ483" s="308"/>
      <c r="UJK483" s="308"/>
      <c r="UJL483" s="308"/>
      <c r="UJM483" s="308"/>
      <c r="UJN483" s="308"/>
      <c r="UJO483" s="308"/>
      <c r="UJP483" s="308"/>
      <c r="UJQ483" s="308"/>
      <c r="UJR483" s="308"/>
      <c r="UJS483" s="308"/>
      <c r="UJT483" s="308"/>
      <c r="UJU483" s="308"/>
      <c r="UJV483" s="308"/>
      <c r="UJW483" s="308"/>
      <c r="UJX483" s="308"/>
      <c r="UJY483" s="308"/>
      <c r="UJZ483" s="308"/>
      <c r="UKA483" s="308"/>
      <c r="UKB483" s="308"/>
      <c r="UKC483" s="308"/>
      <c r="UKD483" s="308"/>
      <c r="UKE483" s="308"/>
      <c r="UKF483" s="308"/>
      <c r="UKG483" s="308"/>
      <c r="UKH483" s="308"/>
      <c r="UKI483" s="308"/>
      <c r="UKJ483" s="308"/>
      <c r="UKK483" s="308"/>
      <c r="UKL483" s="308"/>
      <c r="UKM483" s="308"/>
      <c r="UKN483" s="308"/>
      <c r="UKO483" s="308"/>
      <c r="UKP483" s="308"/>
      <c r="UKQ483" s="308"/>
      <c r="UKR483" s="308"/>
      <c r="UKS483" s="308"/>
      <c r="UKT483" s="308"/>
      <c r="UKU483" s="308"/>
      <c r="UKV483" s="308"/>
      <c r="UKW483" s="308"/>
      <c r="UKX483" s="308"/>
      <c r="UKY483" s="308"/>
      <c r="UKZ483" s="308"/>
      <c r="ULA483" s="308"/>
      <c r="ULB483" s="308"/>
      <c r="ULC483" s="308"/>
      <c r="ULD483" s="308"/>
      <c r="ULE483" s="308"/>
      <c r="ULF483" s="308"/>
      <c r="ULG483" s="308"/>
      <c r="ULH483" s="308"/>
      <c r="ULI483" s="308"/>
      <c r="ULJ483" s="308"/>
      <c r="ULK483" s="308"/>
      <c r="ULL483" s="308"/>
      <c r="ULM483" s="308"/>
      <c r="ULN483" s="308"/>
      <c r="ULO483" s="308"/>
      <c r="ULP483" s="308"/>
      <c r="ULQ483" s="308"/>
      <c r="ULR483" s="308"/>
      <c r="ULS483" s="308"/>
      <c r="ULT483" s="308"/>
      <c r="ULU483" s="308"/>
      <c r="ULV483" s="308"/>
      <c r="ULW483" s="308"/>
      <c r="ULX483" s="308"/>
      <c r="ULY483" s="308"/>
      <c r="ULZ483" s="308"/>
      <c r="UMA483" s="308"/>
      <c r="UMB483" s="308"/>
      <c r="UMC483" s="308"/>
      <c r="UMD483" s="308"/>
      <c r="UME483" s="308"/>
      <c r="UMF483" s="308"/>
      <c r="UMG483" s="308"/>
      <c r="UMH483" s="308"/>
      <c r="UMI483" s="308"/>
      <c r="UMJ483" s="308"/>
      <c r="UMK483" s="308"/>
      <c r="UML483" s="308"/>
      <c r="UMM483" s="308"/>
      <c r="UMN483" s="308"/>
      <c r="UMO483" s="308"/>
      <c r="UMP483" s="308"/>
      <c r="UMQ483" s="308"/>
      <c r="UMR483" s="308"/>
      <c r="UMS483" s="308"/>
      <c r="UMT483" s="308"/>
      <c r="UMU483" s="308"/>
      <c r="UMV483" s="308"/>
      <c r="UMW483" s="308"/>
      <c r="UMX483" s="308"/>
      <c r="UMY483" s="308"/>
      <c r="UMZ483" s="308"/>
      <c r="UNA483" s="308"/>
      <c r="UNB483" s="308"/>
      <c r="UNC483" s="308"/>
      <c r="UND483" s="308"/>
      <c r="UNE483" s="308"/>
      <c r="UNF483" s="308"/>
      <c r="UNG483" s="308"/>
      <c r="UNH483" s="308"/>
      <c r="UNI483" s="308"/>
      <c r="UNJ483" s="308"/>
      <c r="UNK483" s="308"/>
      <c r="UNL483" s="308"/>
      <c r="UNM483" s="308"/>
      <c r="UNN483" s="308"/>
      <c r="UNO483" s="308"/>
      <c r="UNP483" s="308"/>
      <c r="UNQ483" s="308"/>
      <c r="UNR483" s="308"/>
      <c r="UNS483" s="308"/>
      <c r="UNT483" s="308"/>
      <c r="UNU483" s="308"/>
      <c r="UNV483" s="308"/>
      <c r="UNW483" s="308"/>
      <c r="UNX483" s="308"/>
      <c r="UNY483" s="308"/>
      <c r="UNZ483" s="308"/>
      <c r="UOA483" s="308"/>
      <c r="UOB483" s="308"/>
      <c r="UOC483" s="308"/>
      <c r="UOD483" s="308"/>
      <c r="UOE483" s="308"/>
      <c r="UOF483" s="308"/>
      <c r="UOG483" s="308"/>
      <c r="UOH483" s="308"/>
      <c r="UOI483" s="308"/>
      <c r="UOJ483" s="308"/>
      <c r="UOK483" s="308"/>
      <c r="UOL483" s="308"/>
      <c r="UOM483" s="308"/>
      <c r="UON483" s="308"/>
      <c r="UOO483" s="308"/>
      <c r="UOP483" s="308"/>
      <c r="UOQ483" s="308"/>
      <c r="UOR483" s="308"/>
      <c r="UOS483" s="308"/>
      <c r="UOT483" s="308"/>
      <c r="UOU483" s="308"/>
      <c r="UOV483" s="308"/>
      <c r="UOW483" s="308"/>
      <c r="UOX483" s="308"/>
      <c r="UOY483" s="308"/>
      <c r="UOZ483" s="308"/>
      <c r="UPA483" s="308"/>
      <c r="UPB483" s="308"/>
      <c r="UPC483" s="308"/>
      <c r="UPD483" s="308"/>
      <c r="UPE483" s="308"/>
      <c r="UPF483" s="308"/>
      <c r="UPG483" s="308"/>
      <c r="UPH483" s="308"/>
      <c r="UPI483" s="308"/>
      <c r="UPJ483" s="308"/>
      <c r="UPK483" s="308"/>
      <c r="UPL483" s="308"/>
      <c r="UPM483" s="308"/>
      <c r="UPN483" s="308"/>
      <c r="UPO483" s="308"/>
      <c r="UPP483" s="308"/>
      <c r="UPQ483" s="308"/>
      <c r="UPR483" s="308"/>
      <c r="UPS483" s="308"/>
      <c r="UPT483" s="308"/>
      <c r="UPU483" s="308"/>
      <c r="UPV483" s="308"/>
      <c r="UPW483" s="308"/>
      <c r="UPX483" s="308"/>
      <c r="UPY483" s="308"/>
      <c r="UPZ483" s="308"/>
      <c r="UQA483" s="308"/>
      <c r="UQB483" s="308"/>
      <c r="UQC483" s="308"/>
      <c r="UQD483" s="308"/>
      <c r="UQE483" s="308"/>
      <c r="UQF483" s="308"/>
      <c r="UQG483" s="308"/>
      <c r="UQH483" s="308"/>
      <c r="UQI483" s="308"/>
      <c r="UQJ483" s="308"/>
      <c r="UQK483" s="308"/>
      <c r="UQL483" s="308"/>
      <c r="UQM483" s="308"/>
      <c r="UQN483" s="308"/>
      <c r="UQO483" s="308"/>
      <c r="UQP483" s="308"/>
      <c r="UQQ483" s="308"/>
      <c r="UQR483" s="308"/>
      <c r="UQS483" s="308"/>
      <c r="UQT483" s="308"/>
      <c r="UQU483" s="308"/>
      <c r="UQV483" s="308"/>
      <c r="UQW483" s="308"/>
      <c r="UQX483" s="308"/>
      <c r="UQY483" s="308"/>
      <c r="UQZ483" s="308"/>
      <c r="URA483" s="308"/>
      <c r="URB483" s="308"/>
      <c r="URC483" s="308"/>
      <c r="URD483" s="308"/>
      <c r="URE483" s="308"/>
      <c r="URF483" s="308"/>
      <c r="URG483" s="308"/>
      <c r="URH483" s="308"/>
      <c r="URI483" s="308"/>
      <c r="URJ483" s="308"/>
      <c r="URK483" s="308"/>
      <c r="URL483" s="308"/>
      <c r="URM483" s="308"/>
      <c r="URN483" s="308"/>
      <c r="URO483" s="308"/>
      <c r="URP483" s="308"/>
      <c r="URQ483" s="308"/>
      <c r="URR483" s="308"/>
      <c r="URS483" s="308"/>
      <c r="URT483" s="308"/>
      <c r="URU483" s="308"/>
      <c r="URV483" s="308"/>
      <c r="URW483" s="308"/>
      <c r="URX483" s="308"/>
      <c r="URY483" s="308"/>
      <c r="URZ483" s="308"/>
      <c r="USA483" s="308"/>
      <c r="USB483" s="308"/>
      <c r="USC483" s="308"/>
      <c r="USD483" s="308"/>
      <c r="USE483" s="308"/>
      <c r="USF483" s="308"/>
      <c r="USG483" s="308"/>
      <c r="USH483" s="308"/>
      <c r="USI483" s="308"/>
      <c r="USJ483" s="308"/>
      <c r="USK483" s="308"/>
      <c r="USL483" s="308"/>
      <c r="USM483" s="308"/>
      <c r="USN483" s="308"/>
      <c r="USO483" s="308"/>
      <c r="USP483" s="308"/>
      <c r="USQ483" s="308"/>
      <c r="USR483" s="308"/>
      <c r="USS483" s="308"/>
      <c r="UST483" s="308"/>
      <c r="USU483" s="308"/>
      <c r="USV483" s="308"/>
      <c r="USW483" s="308"/>
      <c r="USX483" s="308"/>
      <c r="USY483" s="308"/>
      <c r="USZ483" s="308"/>
      <c r="UTA483" s="308"/>
      <c r="UTB483" s="308"/>
      <c r="UTC483" s="308"/>
      <c r="UTD483" s="308"/>
      <c r="UTE483" s="308"/>
      <c r="UTF483" s="308"/>
      <c r="UTG483" s="308"/>
      <c r="UTH483" s="308"/>
      <c r="UTI483" s="308"/>
      <c r="UTJ483" s="308"/>
      <c r="UTK483" s="308"/>
      <c r="UTL483" s="308"/>
      <c r="UTM483" s="308"/>
      <c r="UTN483" s="308"/>
      <c r="UTO483" s="308"/>
      <c r="UTP483" s="308"/>
      <c r="UTQ483" s="308"/>
      <c r="UTR483" s="308"/>
      <c r="UTS483" s="308"/>
      <c r="UTT483" s="308"/>
      <c r="UTU483" s="308"/>
      <c r="UTV483" s="308"/>
      <c r="UTW483" s="308"/>
      <c r="UTX483" s="308"/>
      <c r="UTY483" s="308"/>
      <c r="UTZ483" s="308"/>
      <c r="UUA483" s="308"/>
      <c r="UUB483" s="308"/>
      <c r="UUC483" s="308"/>
      <c r="UUD483" s="308"/>
      <c r="UUE483" s="308"/>
      <c r="UUF483" s="308"/>
      <c r="UUG483" s="308"/>
      <c r="UUH483" s="308"/>
      <c r="UUI483" s="308"/>
      <c r="UUJ483" s="308"/>
      <c r="UUK483" s="308"/>
      <c r="UUL483" s="308"/>
      <c r="UUM483" s="308"/>
      <c r="UUN483" s="308"/>
      <c r="UUO483" s="308"/>
      <c r="UUP483" s="308"/>
      <c r="UUQ483" s="308"/>
      <c r="UUR483" s="308"/>
      <c r="UUS483" s="308"/>
      <c r="UUT483" s="308"/>
      <c r="UUU483" s="308"/>
      <c r="UUV483" s="308"/>
      <c r="UUW483" s="308"/>
      <c r="UUX483" s="308"/>
      <c r="UUY483" s="308"/>
      <c r="UUZ483" s="308"/>
      <c r="UVA483" s="308"/>
      <c r="UVB483" s="308"/>
      <c r="UVC483" s="308"/>
      <c r="UVD483" s="308"/>
      <c r="UVE483" s="308"/>
      <c r="UVF483" s="308"/>
      <c r="UVG483" s="308"/>
      <c r="UVH483" s="308"/>
      <c r="UVI483" s="308"/>
      <c r="UVJ483" s="308"/>
      <c r="UVK483" s="308"/>
      <c r="UVL483" s="308"/>
      <c r="UVM483" s="308"/>
      <c r="UVN483" s="308"/>
      <c r="UVO483" s="308"/>
      <c r="UVP483" s="308"/>
      <c r="UVQ483" s="308"/>
      <c r="UVR483" s="308"/>
      <c r="UVS483" s="308"/>
      <c r="UVT483" s="308"/>
      <c r="UVU483" s="308"/>
      <c r="UVV483" s="308"/>
      <c r="UVW483" s="308"/>
      <c r="UVX483" s="308"/>
      <c r="UVY483" s="308"/>
      <c r="UVZ483" s="308"/>
      <c r="UWA483" s="308"/>
      <c r="UWB483" s="308"/>
      <c r="UWC483" s="308"/>
      <c r="UWD483" s="308"/>
      <c r="UWE483" s="308"/>
      <c r="UWF483" s="308"/>
      <c r="UWG483" s="308"/>
      <c r="UWH483" s="308"/>
      <c r="UWI483" s="308"/>
      <c r="UWJ483" s="308"/>
      <c r="UWK483" s="308"/>
      <c r="UWL483" s="308"/>
      <c r="UWM483" s="308"/>
      <c r="UWN483" s="308"/>
      <c r="UWO483" s="308"/>
      <c r="UWP483" s="308"/>
      <c r="UWQ483" s="308"/>
      <c r="UWR483" s="308"/>
      <c r="UWS483" s="308"/>
      <c r="UWT483" s="308"/>
      <c r="UWU483" s="308"/>
      <c r="UWV483" s="308"/>
      <c r="UWW483" s="308"/>
      <c r="UWX483" s="308"/>
      <c r="UWY483" s="308"/>
      <c r="UWZ483" s="308"/>
      <c r="UXA483" s="308"/>
      <c r="UXB483" s="308"/>
      <c r="UXC483" s="308"/>
      <c r="UXD483" s="308"/>
      <c r="UXE483" s="308"/>
      <c r="UXF483" s="308"/>
      <c r="UXG483" s="308"/>
      <c r="UXH483" s="308"/>
      <c r="UXI483" s="308"/>
      <c r="UXJ483" s="308"/>
      <c r="UXK483" s="308"/>
      <c r="UXL483" s="308"/>
      <c r="UXM483" s="308"/>
      <c r="UXN483" s="308"/>
      <c r="UXO483" s="308"/>
      <c r="UXP483" s="308"/>
      <c r="UXQ483" s="308"/>
      <c r="UXR483" s="308"/>
      <c r="UXS483" s="308"/>
      <c r="UXT483" s="308"/>
      <c r="UXU483" s="308"/>
      <c r="UXV483" s="308"/>
      <c r="UXW483" s="308"/>
      <c r="UXX483" s="308"/>
      <c r="UXY483" s="308"/>
      <c r="UXZ483" s="308"/>
      <c r="UYA483" s="308"/>
      <c r="UYB483" s="308"/>
      <c r="UYC483" s="308"/>
      <c r="UYD483" s="308"/>
      <c r="UYE483" s="308"/>
      <c r="UYF483" s="308"/>
      <c r="UYG483" s="308"/>
      <c r="UYH483" s="308"/>
      <c r="UYI483" s="308"/>
      <c r="UYJ483" s="308"/>
      <c r="UYK483" s="308"/>
      <c r="UYL483" s="308"/>
      <c r="UYM483" s="308"/>
      <c r="UYN483" s="308"/>
      <c r="UYO483" s="308"/>
      <c r="UYP483" s="308"/>
      <c r="UYQ483" s="308"/>
      <c r="UYR483" s="308"/>
      <c r="UYS483" s="308"/>
      <c r="UYT483" s="308"/>
      <c r="UYU483" s="308"/>
      <c r="UYV483" s="308"/>
      <c r="UYW483" s="308"/>
      <c r="UYX483" s="308"/>
      <c r="UYY483" s="308"/>
      <c r="UYZ483" s="308"/>
      <c r="UZA483" s="308"/>
      <c r="UZB483" s="308"/>
      <c r="UZC483" s="308"/>
      <c r="UZD483" s="308"/>
      <c r="UZE483" s="308"/>
      <c r="UZF483" s="308"/>
      <c r="UZG483" s="308"/>
      <c r="UZH483" s="308"/>
      <c r="UZI483" s="308"/>
      <c r="UZJ483" s="308"/>
      <c r="UZK483" s="308"/>
      <c r="UZL483" s="308"/>
      <c r="UZM483" s="308"/>
      <c r="UZN483" s="308"/>
      <c r="UZO483" s="308"/>
      <c r="UZP483" s="308"/>
      <c r="UZQ483" s="308"/>
      <c r="UZR483" s="308"/>
      <c r="UZS483" s="308"/>
      <c r="UZT483" s="308"/>
      <c r="UZU483" s="308"/>
      <c r="UZV483" s="308"/>
      <c r="UZW483" s="308"/>
      <c r="UZX483" s="308"/>
      <c r="UZY483" s="308"/>
      <c r="UZZ483" s="308"/>
      <c r="VAA483" s="308"/>
      <c r="VAB483" s="308"/>
      <c r="VAC483" s="308"/>
      <c r="VAD483" s="308"/>
      <c r="VAE483" s="308"/>
      <c r="VAF483" s="308"/>
      <c r="VAG483" s="308"/>
      <c r="VAH483" s="308"/>
      <c r="VAI483" s="308"/>
      <c r="VAJ483" s="308"/>
      <c r="VAK483" s="308"/>
      <c r="VAL483" s="308"/>
      <c r="VAM483" s="308"/>
      <c r="VAN483" s="308"/>
      <c r="VAO483" s="308"/>
      <c r="VAP483" s="308"/>
      <c r="VAQ483" s="308"/>
      <c r="VAR483" s="308"/>
      <c r="VAS483" s="308"/>
      <c r="VAT483" s="308"/>
      <c r="VAU483" s="308"/>
      <c r="VAV483" s="308"/>
      <c r="VAW483" s="308"/>
      <c r="VAX483" s="308"/>
      <c r="VAY483" s="308"/>
      <c r="VAZ483" s="308"/>
      <c r="VBA483" s="308"/>
      <c r="VBB483" s="308"/>
      <c r="VBC483" s="308"/>
      <c r="VBD483" s="308"/>
      <c r="VBE483" s="308"/>
      <c r="VBF483" s="308"/>
      <c r="VBG483" s="308"/>
      <c r="VBH483" s="308"/>
      <c r="VBI483" s="308"/>
      <c r="VBJ483" s="308"/>
      <c r="VBK483" s="308"/>
      <c r="VBL483" s="308"/>
      <c r="VBM483" s="308"/>
      <c r="VBN483" s="308"/>
      <c r="VBO483" s="308"/>
      <c r="VBP483" s="308"/>
      <c r="VBQ483" s="308"/>
      <c r="VBR483" s="308"/>
      <c r="VBS483" s="308"/>
      <c r="VBT483" s="308"/>
      <c r="VBU483" s="308"/>
      <c r="VBV483" s="308"/>
      <c r="VBW483" s="308"/>
      <c r="VBX483" s="308"/>
      <c r="VBY483" s="308"/>
      <c r="VBZ483" s="308"/>
      <c r="VCA483" s="308"/>
      <c r="VCB483" s="308"/>
      <c r="VCC483" s="308"/>
      <c r="VCD483" s="308"/>
      <c r="VCE483" s="308"/>
      <c r="VCF483" s="308"/>
      <c r="VCG483" s="308"/>
      <c r="VCH483" s="308"/>
      <c r="VCI483" s="308"/>
      <c r="VCJ483" s="308"/>
      <c r="VCK483" s="308"/>
      <c r="VCL483" s="308"/>
      <c r="VCM483" s="308"/>
      <c r="VCN483" s="308"/>
      <c r="VCO483" s="308"/>
      <c r="VCP483" s="308"/>
      <c r="VCQ483" s="308"/>
      <c r="VCR483" s="308"/>
      <c r="VCS483" s="308"/>
      <c r="VCT483" s="308"/>
      <c r="VCU483" s="308"/>
      <c r="VCV483" s="308"/>
      <c r="VCW483" s="308"/>
      <c r="VCX483" s="308"/>
      <c r="VCY483" s="308"/>
      <c r="VCZ483" s="308"/>
      <c r="VDA483" s="308"/>
      <c r="VDB483" s="308"/>
      <c r="VDC483" s="308"/>
      <c r="VDD483" s="308"/>
      <c r="VDE483" s="308"/>
      <c r="VDF483" s="308"/>
      <c r="VDG483" s="308"/>
      <c r="VDH483" s="308"/>
      <c r="VDI483" s="308"/>
      <c r="VDJ483" s="308"/>
      <c r="VDK483" s="308"/>
      <c r="VDL483" s="308"/>
      <c r="VDM483" s="308"/>
      <c r="VDN483" s="308"/>
      <c r="VDO483" s="308"/>
      <c r="VDP483" s="308"/>
      <c r="VDQ483" s="308"/>
      <c r="VDR483" s="308"/>
      <c r="VDS483" s="308"/>
      <c r="VDT483" s="308"/>
      <c r="VDU483" s="308"/>
      <c r="VDV483" s="308"/>
      <c r="VDW483" s="308"/>
      <c r="VDX483" s="308"/>
      <c r="VDY483" s="308"/>
      <c r="VDZ483" s="308"/>
      <c r="VEA483" s="308"/>
      <c r="VEB483" s="308"/>
      <c r="VEC483" s="308"/>
      <c r="VED483" s="308"/>
      <c r="VEE483" s="308"/>
      <c r="VEF483" s="308"/>
      <c r="VEG483" s="308"/>
      <c r="VEH483" s="308"/>
      <c r="VEI483" s="308"/>
      <c r="VEJ483" s="308"/>
      <c r="VEK483" s="308"/>
      <c r="VEL483" s="308"/>
      <c r="VEM483" s="308"/>
      <c r="VEN483" s="308"/>
      <c r="VEO483" s="308"/>
      <c r="VEP483" s="308"/>
      <c r="VEQ483" s="308"/>
      <c r="VER483" s="308"/>
      <c r="VES483" s="308"/>
      <c r="VET483" s="308"/>
      <c r="VEU483" s="308"/>
      <c r="VEV483" s="308"/>
      <c r="VEW483" s="308"/>
      <c r="VEX483" s="308"/>
      <c r="VEY483" s="308"/>
      <c r="VEZ483" s="308"/>
      <c r="VFA483" s="308"/>
      <c r="VFB483" s="308"/>
      <c r="VFC483" s="308"/>
      <c r="VFD483" s="308"/>
      <c r="VFE483" s="308"/>
      <c r="VFF483" s="308"/>
      <c r="VFG483" s="308"/>
      <c r="VFH483" s="308"/>
      <c r="VFI483" s="308"/>
      <c r="VFJ483" s="308"/>
      <c r="VFK483" s="308"/>
      <c r="VFL483" s="308"/>
      <c r="VFM483" s="308"/>
      <c r="VFN483" s="308"/>
      <c r="VFO483" s="308"/>
      <c r="VFP483" s="308"/>
      <c r="VFQ483" s="308"/>
      <c r="VFR483" s="308"/>
      <c r="VFS483" s="308"/>
      <c r="VFT483" s="308"/>
      <c r="VFU483" s="308"/>
      <c r="VFV483" s="308"/>
      <c r="VFW483" s="308"/>
      <c r="VFX483" s="308"/>
      <c r="VFY483" s="308"/>
      <c r="VFZ483" s="308"/>
      <c r="VGA483" s="308"/>
      <c r="VGB483" s="308"/>
      <c r="VGC483" s="308"/>
      <c r="VGD483" s="308"/>
      <c r="VGE483" s="308"/>
      <c r="VGF483" s="308"/>
      <c r="VGG483" s="308"/>
      <c r="VGH483" s="308"/>
      <c r="VGI483" s="308"/>
      <c r="VGJ483" s="308"/>
      <c r="VGK483" s="308"/>
      <c r="VGL483" s="308"/>
      <c r="VGM483" s="308"/>
      <c r="VGN483" s="308"/>
      <c r="VGO483" s="308"/>
      <c r="VGP483" s="308"/>
      <c r="VGQ483" s="308"/>
      <c r="VGR483" s="308"/>
      <c r="VGS483" s="308"/>
      <c r="VGT483" s="308"/>
      <c r="VGU483" s="308"/>
      <c r="VGV483" s="308"/>
      <c r="VGW483" s="308"/>
      <c r="VGX483" s="308"/>
      <c r="VGY483" s="308"/>
      <c r="VGZ483" s="308"/>
      <c r="VHA483" s="308"/>
      <c r="VHB483" s="308"/>
      <c r="VHC483" s="308"/>
      <c r="VHD483" s="308"/>
      <c r="VHE483" s="308"/>
      <c r="VHF483" s="308"/>
      <c r="VHG483" s="308"/>
      <c r="VHH483" s="308"/>
      <c r="VHI483" s="308"/>
      <c r="VHJ483" s="308"/>
      <c r="VHK483" s="308"/>
      <c r="VHL483" s="308"/>
      <c r="VHM483" s="308"/>
      <c r="VHN483" s="308"/>
      <c r="VHO483" s="308"/>
      <c r="VHP483" s="308"/>
      <c r="VHQ483" s="308"/>
      <c r="VHR483" s="308"/>
      <c r="VHS483" s="308"/>
      <c r="VHT483" s="308"/>
      <c r="VHU483" s="308"/>
      <c r="VHV483" s="308"/>
      <c r="VHW483" s="308"/>
      <c r="VHX483" s="308"/>
      <c r="VHY483" s="308"/>
      <c r="VHZ483" s="308"/>
      <c r="VIA483" s="308"/>
      <c r="VIB483" s="308"/>
      <c r="VIC483" s="308"/>
      <c r="VID483" s="308"/>
      <c r="VIE483" s="308"/>
      <c r="VIF483" s="308"/>
      <c r="VIG483" s="308"/>
      <c r="VIH483" s="308"/>
      <c r="VII483" s="308"/>
      <c r="VIJ483" s="308"/>
      <c r="VIK483" s="308"/>
      <c r="VIL483" s="308"/>
      <c r="VIM483" s="308"/>
      <c r="VIN483" s="308"/>
      <c r="VIO483" s="308"/>
      <c r="VIP483" s="308"/>
      <c r="VIQ483" s="308"/>
      <c r="VIR483" s="308"/>
      <c r="VIS483" s="308"/>
      <c r="VIT483" s="308"/>
      <c r="VIU483" s="308"/>
      <c r="VIV483" s="308"/>
      <c r="VIW483" s="308"/>
      <c r="VIX483" s="308"/>
      <c r="VIY483" s="308"/>
      <c r="VIZ483" s="308"/>
      <c r="VJA483" s="308"/>
      <c r="VJB483" s="308"/>
      <c r="VJC483" s="308"/>
      <c r="VJD483" s="308"/>
      <c r="VJE483" s="308"/>
      <c r="VJF483" s="308"/>
      <c r="VJG483" s="308"/>
      <c r="VJH483" s="308"/>
      <c r="VJI483" s="308"/>
      <c r="VJJ483" s="308"/>
      <c r="VJK483" s="308"/>
      <c r="VJL483" s="308"/>
      <c r="VJM483" s="308"/>
      <c r="VJN483" s="308"/>
      <c r="VJO483" s="308"/>
      <c r="VJP483" s="308"/>
      <c r="VJQ483" s="308"/>
      <c r="VJR483" s="308"/>
      <c r="VJS483" s="308"/>
      <c r="VJT483" s="308"/>
      <c r="VJU483" s="308"/>
      <c r="VJV483" s="308"/>
      <c r="VJW483" s="308"/>
      <c r="VJX483" s="308"/>
      <c r="VJY483" s="308"/>
      <c r="VJZ483" s="308"/>
      <c r="VKA483" s="308"/>
      <c r="VKB483" s="308"/>
      <c r="VKC483" s="308"/>
      <c r="VKD483" s="308"/>
      <c r="VKE483" s="308"/>
      <c r="VKF483" s="308"/>
      <c r="VKG483" s="308"/>
      <c r="VKH483" s="308"/>
      <c r="VKI483" s="308"/>
      <c r="VKJ483" s="308"/>
      <c r="VKK483" s="308"/>
      <c r="VKL483" s="308"/>
      <c r="VKM483" s="308"/>
      <c r="VKN483" s="308"/>
      <c r="VKO483" s="308"/>
      <c r="VKP483" s="308"/>
      <c r="VKQ483" s="308"/>
      <c r="VKR483" s="308"/>
      <c r="VKS483" s="308"/>
      <c r="VKT483" s="308"/>
      <c r="VKU483" s="308"/>
      <c r="VKV483" s="308"/>
      <c r="VKW483" s="308"/>
      <c r="VKX483" s="308"/>
      <c r="VKY483" s="308"/>
      <c r="VKZ483" s="308"/>
      <c r="VLA483" s="308"/>
      <c r="VLB483" s="308"/>
      <c r="VLC483" s="308"/>
      <c r="VLD483" s="308"/>
      <c r="VLE483" s="308"/>
      <c r="VLF483" s="308"/>
      <c r="VLG483" s="308"/>
      <c r="VLH483" s="308"/>
      <c r="VLI483" s="308"/>
      <c r="VLJ483" s="308"/>
      <c r="VLK483" s="308"/>
      <c r="VLL483" s="308"/>
      <c r="VLM483" s="308"/>
      <c r="VLN483" s="308"/>
      <c r="VLO483" s="308"/>
      <c r="VLP483" s="308"/>
      <c r="VLQ483" s="308"/>
      <c r="VLR483" s="308"/>
      <c r="VLS483" s="308"/>
      <c r="VLT483" s="308"/>
      <c r="VLU483" s="308"/>
      <c r="VLV483" s="308"/>
      <c r="VLW483" s="308"/>
      <c r="VLX483" s="308"/>
      <c r="VLY483" s="308"/>
      <c r="VLZ483" s="308"/>
      <c r="VMA483" s="308"/>
      <c r="VMB483" s="308"/>
      <c r="VMC483" s="308"/>
      <c r="VMD483" s="308"/>
      <c r="VME483" s="308"/>
      <c r="VMF483" s="308"/>
      <c r="VMG483" s="308"/>
      <c r="VMH483" s="308"/>
      <c r="VMI483" s="308"/>
      <c r="VMJ483" s="308"/>
      <c r="VMK483" s="308"/>
      <c r="VML483" s="308"/>
      <c r="VMM483" s="308"/>
      <c r="VMN483" s="308"/>
      <c r="VMO483" s="308"/>
      <c r="VMP483" s="308"/>
      <c r="VMQ483" s="308"/>
      <c r="VMR483" s="308"/>
      <c r="VMS483" s="308"/>
      <c r="VMT483" s="308"/>
      <c r="VMU483" s="308"/>
      <c r="VMV483" s="308"/>
      <c r="VMW483" s="308"/>
      <c r="VMX483" s="308"/>
      <c r="VMY483" s="308"/>
      <c r="VMZ483" s="308"/>
      <c r="VNA483" s="308"/>
      <c r="VNB483" s="308"/>
      <c r="VNC483" s="308"/>
      <c r="VND483" s="308"/>
      <c r="VNE483" s="308"/>
      <c r="VNF483" s="308"/>
      <c r="VNG483" s="308"/>
      <c r="VNH483" s="308"/>
      <c r="VNI483" s="308"/>
      <c r="VNJ483" s="308"/>
      <c r="VNK483" s="308"/>
      <c r="VNL483" s="308"/>
      <c r="VNM483" s="308"/>
      <c r="VNN483" s="308"/>
      <c r="VNO483" s="308"/>
      <c r="VNP483" s="308"/>
      <c r="VNQ483" s="308"/>
      <c r="VNR483" s="308"/>
      <c r="VNS483" s="308"/>
      <c r="VNT483" s="308"/>
      <c r="VNU483" s="308"/>
      <c r="VNV483" s="308"/>
      <c r="VNW483" s="308"/>
      <c r="VNX483" s="308"/>
      <c r="VNY483" s="308"/>
      <c r="VNZ483" s="308"/>
      <c r="VOA483" s="308"/>
      <c r="VOB483" s="308"/>
      <c r="VOC483" s="308"/>
      <c r="VOD483" s="308"/>
      <c r="VOE483" s="308"/>
      <c r="VOF483" s="308"/>
      <c r="VOG483" s="308"/>
      <c r="VOH483" s="308"/>
      <c r="VOI483" s="308"/>
      <c r="VOJ483" s="308"/>
      <c r="VOK483" s="308"/>
      <c r="VOL483" s="308"/>
      <c r="VOM483" s="308"/>
      <c r="VON483" s="308"/>
      <c r="VOO483" s="308"/>
      <c r="VOP483" s="308"/>
      <c r="VOQ483" s="308"/>
      <c r="VOR483" s="308"/>
      <c r="VOS483" s="308"/>
      <c r="VOT483" s="308"/>
      <c r="VOU483" s="308"/>
      <c r="VOV483" s="308"/>
      <c r="VOW483" s="308"/>
      <c r="VOX483" s="308"/>
      <c r="VOY483" s="308"/>
      <c r="VOZ483" s="308"/>
      <c r="VPA483" s="308"/>
      <c r="VPB483" s="308"/>
      <c r="VPC483" s="308"/>
      <c r="VPD483" s="308"/>
      <c r="VPE483" s="308"/>
      <c r="VPF483" s="308"/>
      <c r="VPG483" s="308"/>
      <c r="VPH483" s="308"/>
      <c r="VPI483" s="308"/>
      <c r="VPJ483" s="308"/>
      <c r="VPK483" s="308"/>
      <c r="VPL483" s="308"/>
      <c r="VPM483" s="308"/>
      <c r="VPN483" s="308"/>
      <c r="VPO483" s="308"/>
      <c r="VPP483" s="308"/>
      <c r="VPQ483" s="308"/>
      <c r="VPR483" s="308"/>
      <c r="VPS483" s="308"/>
      <c r="VPT483" s="308"/>
      <c r="VPU483" s="308"/>
      <c r="VPV483" s="308"/>
      <c r="VPW483" s="308"/>
      <c r="VPX483" s="308"/>
      <c r="VPY483" s="308"/>
      <c r="VPZ483" s="308"/>
      <c r="VQA483" s="308"/>
      <c r="VQB483" s="308"/>
      <c r="VQC483" s="308"/>
      <c r="VQD483" s="308"/>
      <c r="VQE483" s="308"/>
      <c r="VQF483" s="308"/>
      <c r="VQG483" s="308"/>
      <c r="VQH483" s="308"/>
      <c r="VQI483" s="308"/>
      <c r="VQJ483" s="308"/>
      <c r="VQK483" s="308"/>
      <c r="VQL483" s="308"/>
      <c r="VQM483" s="308"/>
      <c r="VQN483" s="308"/>
      <c r="VQO483" s="308"/>
      <c r="VQP483" s="308"/>
      <c r="VQQ483" s="308"/>
      <c r="VQR483" s="308"/>
      <c r="VQS483" s="308"/>
      <c r="VQT483" s="308"/>
      <c r="VQU483" s="308"/>
      <c r="VQV483" s="308"/>
      <c r="VQW483" s="308"/>
      <c r="VQX483" s="308"/>
      <c r="VQY483" s="308"/>
      <c r="VQZ483" s="308"/>
      <c r="VRA483" s="308"/>
      <c r="VRB483" s="308"/>
      <c r="VRC483" s="308"/>
      <c r="VRD483" s="308"/>
      <c r="VRE483" s="308"/>
      <c r="VRF483" s="308"/>
      <c r="VRG483" s="308"/>
      <c r="VRH483" s="308"/>
      <c r="VRI483" s="308"/>
      <c r="VRJ483" s="308"/>
      <c r="VRK483" s="308"/>
      <c r="VRL483" s="308"/>
      <c r="VRM483" s="308"/>
      <c r="VRN483" s="308"/>
      <c r="VRO483" s="308"/>
      <c r="VRP483" s="308"/>
      <c r="VRQ483" s="308"/>
      <c r="VRR483" s="308"/>
      <c r="VRS483" s="308"/>
      <c r="VRT483" s="308"/>
      <c r="VRU483" s="308"/>
      <c r="VRV483" s="308"/>
      <c r="VRW483" s="308"/>
      <c r="VRX483" s="308"/>
      <c r="VRY483" s="308"/>
      <c r="VRZ483" s="308"/>
      <c r="VSA483" s="308"/>
      <c r="VSB483" s="308"/>
      <c r="VSC483" s="308"/>
      <c r="VSD483" s="308"/>
      <c r="VSE483" s="308"/>
      <c r="VSF483" s="308"/>
      <c r="VSG483" s="308"/>
      <c r="VSH483" s="308"/>
      <c r="VSI483" s="308"/>
      <c r="VSJ483" s="308"/>
      <c r="VSK483" s="308"/>
      <c r="VSL483" s="308"/>
      <c r="VSM483" s="308"/>
      <c r="VSN483" s="308"/>
      <c r="VSO483" s="308"/>
      <c r="VSP483" s="308"/>
      <c r="VSQ483" s="308"/>
      <c r="VSR483" s="308"/>
      <c r="VSS483" s="308"/>
      <c r="VST483" s="308"/>
      <c r="VSU483" s="308"/>
      <c r="VSV483" s="308"/>
      <c r="VSW483" s="308"/>
      <c r="VSX483" s="308"/>
      <c r="VSY483" s="308"/>
      <c r="VSZ483" s="308"/>
      <c r="VTA483" s="308"/>
      <c r="VTB483" s="308"/>
      <c r="VTC483" s="308"/>
      <c r="VTD483" s="308"/>
      <c r="VTE483" s="308"/>
      <c r="VTF483" s="308"/>
      <c r="VTG483" s="308"/>
      <c r="VTH483" s="308"/>
      <c r="VTI483" s="308"/>
      <c r="VTJ483" s="308"/>
      <c r="VTK483" s="308"/>
      <c r="VTL483" s="308"/>
      <c r="VTM483" s="308"/>
      <c r="VTN483" s="308"/>
      <c r="VTO483" s="308"/>
      <c r="VTP483" s="308"/>
      <c r="VTQ483" s="308"/>
      <c r="VTR483" s="308"/>
      <c r="VTS483" s="308"/>
      <c r="VTT483" s="308"/>
      <c r="VTU483" s="308"/>
      <c r="VTV483" s="308"/>
      <c r="VTW483" s="308"/>
      <c r="VTX483" s="308"/>
      <c r="VTY483" s="308"/>
      <c r="VTZ483" s="308"/>
      <c r="VUA483" s="308"/>
      <c r="VUB483" s="308"/>
      <c r="VUC483" s="308"/>
      <c r="VUD483" s="308"/>
      <c r="VUE483" s="308"/>
      <c r="VUF483" s="308"/>
      <c r="VUG483" s="308"/>
      <c r="VUH483" s="308"/>
      <c r="VUI483" s="308"/>
      <c r="VUJ483" s="308"/>
      <c r="VUK483" s="308"/>
      <c r="VUL483" s="308"/>
      <c r="VUM483" s="308"/>
      <c r="VUN483" s="308"/>
      <c r="VUO483" s="308"/>
      <c r="VUP483" s="308"/>
      <c r="VUQ483" s="308"/>
      <c r="VUR483" s="308"/>
      <c r="VUS483" s="308"/>
      <c r="VUT483" s="308"/>
      <c r="VUU483" s="308"/>
      <c r="VUV483" s="308"/>
      <c r="VUW483" s="308"/>
      <c r="VUX483" s="308"/>
      <c r="VUY483" s="308"/>
      <c r="VUZ483" s="308"/>
      <c r="VVA483" s="308"/>
      <c r="VVB483" s="308"/>
      <c r="VVC483" s="308"/>
      <c r="VVD483" s="308"/>
      <c r="VVE483" s="308"/>
      <c r="VVF483" s="308"/>
      <c r="VVG483" s="308"/>
      <c r="VVH483" s="308"/>
      <c r="VVI483" s="308"/>
      <c r="VVJ483" s="308"/>
      <c r="VVK483" s="308"/>
      <c r="VVL483" s="308"/>
      <c r="VVM483" s="308"/>
      <c r="VVN483" s="308"/>
      <c r="VVO483" s="308"/>
      <c r="VVP483" s="308"/>
      <c r="VVQ483" s="308"/>
      <c r="VVR483" s="308"/>
      <c r="VVS483" s="308"/>
      <c r="VVT483" s="308"/>
      <c r="VVU483" s="308"/>
      <c r="VVV483" s="308"/>
      <c r="VVW483" s="308"/>
      <c r="VVX483" s="308"/>
      <c r="VVY483" s="308"/>
      <c r="VVZ483" s="308"/>
      <c r="VWA483" s="308"/>
      <c r="VWB483" s="308"/>
      <c r="VWC483" s="308"/>
      <c r="VWD483" s="308"/>
      <c r="VWE483" s="308"/>
      <c r="VWF483" s="308"/>
      <c r="VWG483" s="308"/>
      <c r="VWH483" s="308"/>
      <c r="VWI483" s="308"/>
      <c r="VWJ483" s="308"/>
      <c r="VWK483" s="308"/>
      <c r="VWL483" s="308"/>
      <c r="VWM483" s="308"/>
      <c r="VWN483" s="308"/>
      <c r="VWO483" s="308"/>
      <c r="VWP483" s="308"/>
      <c r="VWQ483" s="308"/>
      <c r="VWR483" s="308"/>
      <c r="VWS483" s="308"/>
      <c r="VWT483" s="308"/>
      <c r="VWU483" s="308"/>
      <c r="VWV483" s="308"/>
      <c r="VWW483" s="308"/>
      <c r="VWX483" s="308"/>
      <c r="VWY483" s="308"/>
      <c r="VWZ483" s="308"/>
      <c r="VXA483" s="308"/>
      <c r="VXB483" s="308"/>
      <c r="VXC483" s="308"/>
      <c r="VXD483" s="308"/>
      <c r="VXE483" s="308"/>
      <c r="VXF483" s="308"/>
      <c r="VXG483" s="308"/>
      <c r="VXH483" s="308"/>
      <c r="VXI483" s="308"/>
      <c r="VXJ483" s="308"/>
      <c r="VXK483" s="308"/>
      <c r="VXL483" s="308"/>
      <c r="VXM483" s="308"/>
      <c r="VXN483" s="308"/>
      <c r="VXO483" s="308"/>
      <c r="VXP483" s="308"/>
      <c r="VXQ483" s="308"/>
      <c r="VXR483" s="308"/>
      <c r="VXS483" s="308"/>
      <c r="VXT483" s="308"/>
      <c r="VXU483" s="308"/>
      <c r="VXV483" s="308"/>
      <c r="VXW483" s="308"/>
      <c r="VXX483" s="308"/>
      <c r="VXY483" s="308"/>
      <c r="VXZ483" s="308"/>
      <c r="VYA483" s="308"/>
      <c r="VYB483" s="308"/>
      <c r="VYC483" s="308"/>
      <c r="VYD483" s="308"/>
      <c r="VYE483" s="308"/>
      <c r="VYF483" s="308"/>
      <c r="VYG483" s="308"/>
      <c r="VYH483" s="308"/>
      <c r="VYI483" s="308"/>
      <c r="VYJ483" s="308"/>
      <c r="VYK483" s="308"/>
      <c r="VYL483" s="308"/>
      <c r="VYM483" s="308"/>
      <c r="VYN483" s="308"/>
      <c r="VYO483" s="308"/>
      <c r="VYP483" s="308"/>
      <c r="VYQ483" s="308"/>
      <c r="VYR483" s="308"/>
      <c r="VYS483" s="308"/>
      <c r="VYT483" s="308"/>
      <c r="VYU483" s="308"/>
      <c r="VYV483" s="308"/>
      <c r="VYW483" s="308"/>
      <c r="VYX483" s="308"/>
      <c r="VYY483" s="308"/>
      <c r="VYZ483" s="308"/>
      <c r="VZA483" s="308"/>
      <c r="VZB483" s="308"/>
      <c r="VZC483" s="308"/>
      <c r="VZD483" s="308"/>
      <c r="VZE483" s="308"/>
      <c r="VZF483" s="308"/>
      <c r="VZG483" s="308"/>
      <c r="VZH483" s="308"/>
      <c r="VZI483" s="308"/>
      <c r="VZJ483" s="308"/>
      <c r="VZK483" s="308"/>
      <c r="VZL483" s="308"/>
      <c r="VZM483" s="308"/>
      <c r="VZN483" s="308"/>
      <c r="VZO483" s="308"/>
      <c r="VZP483" s="308"/>
      <c r="VZQ483" s="308"/>
      <c r="VZR483" s="308"/>
      <c r="VZS483" s="308"/>
      <c r="VZT483" s="308"/>
      <c r="VZU483" s="308"/>
      <c r="VZV483" s="308"/>
      <c r="VZW483" s="308"/>
      <c r="VZX483" s="308"/>
      <c r="VZY483" s="308"/>
      <c r="VZZ483" s="308"/>
      <c r="WAA483" s="308"/>
      <c r="WAB483" s="308"/>
      <c r="WAC483" s="308"/>
      <c r="WAD483" s="308"/>
      <c r="WAE483" s="308"/>
      <c r="WAF483" s="308"/>
      <c r="WAG483" s="308"/>
      <c r="WAH483" s="308"/>
      <c r="WAI483" s="308"/>
      <c r="WAJ483" s="308"/>
      <c r="WAK483" s="308"/>
      <c r="WAL483" s="308"/>
      <c r="WAM483" s="308"/>
      <c r="WAN483" s="308"/>
      <c r="WAO483" s="308"/>
      <c r="WAP483" s="308"/>
      <c r="WAQ483" s="308"/>
      <c r="WAR483" s="308"/>
      <c r="WAS483" s="308"/>
      <c r="WAT483" s="308"/>
      <c r="WAU483" s="308"/>
      <c r="WAV483" s="308"/>
      <c r="WAW483" s="308"/>
      <c r="WAX483" s="308"/>
      <c r="WAY483" s="308"/>
      <c r="WAZ483" s="308"/>
      <c r="WBA483" s="308"/>
      <c r="WBB483" s="308"/>
      <c r="WBC483" s="308"/>
      <c r="WBD483" s="308"/>
      <c r="WBE483" s="308"/>
      <c r="WBF483" s="308"/>
      <c r="WBG483" s="308"/>
      <c r="WBH483" s="308"/>
      <c r="WBI483" s="308"/>
      <c r="WBJ483" s="308"/>
      <c r="WBK483" s="308"/>
      <c r="WBL483" s="308"/>
      <c r="WBM483" s="308"/>
      <c r="WBN483" s="308"/>
      <c r="WBO483" s="308"/>
      <c r="WBP483" s="308"/>
      <c r="WBQ483" s="308"/>
      <c r="WBR483" s="308"/>
      <c r="WBS483" s="308"/>
      <c r="WBT483" s="308"/>
      <c r="WBU483" s="308"/>
      <c r="WBV483" s="308"/>
      <c r="WBW483" s="308"/>
      <c r="WBX483" s="308"/>
      <c r="WBY483" s="308"/>
      <c r="WBZ483" s="308"/>
      <c r="WCA483" s="308"/>
      <c r="WCB483" s="308"/>
      <c r="WCC483" s="308"/>
      <c r="WCD483" s="308"/>
      <c r="WCE483" s="308"/>
      <c r="WCF483" s="308"/>
      <c r="WCG483" s="308"/>
      <c r="WCH483" s="308"/>
      <c r="WCI483" s="308"/>
      <c r="WCJ483" s="308"/>
      <c r="WCK483" s="308"/>
      <c r="WCL483" s="308"/>
      <c r="WCM483" s="308"/>
      <c r="WCN483" s="308"/>
      <c r="WCO483" s="308"/>
      <c r="WCP483" s="308"/>
      <c r="WCQ483" s="308"/>
      <c r="WCR483" s="308"/>
      <c r="WCS483" s="308"/>
      <c r="WCT483" s="308"/>
      <c r="WCU483" s="308"/>
      <c r="WCV483" s="308"/>
      <c r="WCW483" s="308"/>
      <c r="WCX483" s="308"/>
      <c r="WCY483" s="308"/>
      <c r="WCZ483" s="308"/>
      <c r="WDA483" s="308"/>
      <c r="WDB483" s="308"/>
      <c r="WDC483" s="308"/>
      <c r="WDD483" s="308"/>
      <c r="WDE483" s="308"/>
      <c r="WDF483" s="308"/>
      <c r="WDG483" s="308"/>
      <c r="WDH483" s="308"/>
      <c r="WDI483" s="308"/>
      <c r="WDJ483" s="308"/>
      <c r="WDK483" s="308"/>
      <c r="WDL483" s="308"/>
      <c r="WDM483" s="308"/>
      <c r="WDN483" s="308"/>
      <c r="WDO483" s="308"/>
      <c r="WDP483" s="308"/>
      <c r="WDQ483" s="308"/>
      <c r="WDR483" s="308"/>
      <c r="WDS483" s="308"/>
      <c r="WDT483" s="308"/>
      <c r="WDU483" s="308"/>
      <c r="WDV483" s="308"/>
      <c r="WDW483" s="308"/>
      <c r="WDX483" s="308"/>
      <c r="WDY483" s="308"/>
      <c r="WDZ483" s="308"/>
      <c r="WEA483" s="308"/>
      <c r="WEB483" s="308"/>
      <c r="WEC483" s="308"/>
      <c r="WED483" s="308"/>
      <c r="WEE483" s="308"/>
      <c r="WEF483" s="308"/>
      <c r="WEG483" s="308"/>
      <c r="WEH483" s="308"/>
      <c r="WEI483" s="308"/>
      <c r="WEJ483" s="308"/>
      <c r="WEK483" s="308"/>
      <c r="WEL483" s="308"/>
      <c r="WEM483" s="308"/>
      <c r="WEN483" s="308"/>
      <c r="WEO483" s="308"/>
      <c r="WEP483" s="308"/>
      <c r="WEQ483" s="308"/>
      <c r="WER483" s="308"/>
      <c r="WES483" s="308"/>
      <c r="WET483" s="308"/>
      <c r="WEU483" s="308"/>
      <c r="WEV483" s="308"/>
      <c r="WEW483" s="308"/>
      <c r="WEX483" s="308"/>
      <c r="WEY483" s="308"/>
      <c r="WEZ483" s="308"/>
      <c r="WFA483" s="308"/>
      <c r="WFB483" s="308"/>
      <c r="WFC483" s="308"/>
      <c r="WFD483" s="308"/>
      <c r="WFE483" s="308"/>
      <c r="WFF483" s="308"/>
      <c r="WFG483" s="308"/>
      <c r="WFH483" s="308"/>
      <c r="WFI483" s="308"/>
      <c r="WFJ483" s="308"/>
      <c r="WFK483" s="308"/>
      <c r="WFL483" s="308"/>
      <c r="WFM483" s="308"/>
      <c r="WFN483" s="308"/>
      <c r="WFO483" s="308"/>
      <c r="WFP483" s="308"/>
      <c r="WFQ483" s="308"/>
      <c r="WFR483" s="308"/>
      <c r="WFS483" s="308"/>
      <c r="WFT483" s="308"/>
      <c r="WFU483" s="308"/>
      <c r="WFV483" s="308"/>
      <c r="WFW483" s="308"/>
      <c r="WFX483" s="308"/>
      <c r="WFY483" s="308"/>
      <c r="WFZ483" s="308"/>
      <c r="WGA483" s="308"/>
      <c r="WGB483" s="308"/>
      <c r="WGC483" s="308"/>
      <c r="WGD483" s="308"/>
      <c r="WGE483" s="308"/>
      <c r="WGF483" s="308"/>
      <c r="WGG483" s="308"/>
      <c r="WGH483" s="308"/>
      <c r="WGI483" s="308"/>
      <c r="WGJ483" s="308"/>
      <c r="WGK483" s="308"/>
      <c r="WGL483" s="308"/>
      <c r="WGM483" s="308"/>
      <c r="WGN483" s="308"/>
      <c r="WGO483" s="308"/>
      <c r="WGP483" s="308"/>
      <c r="WGQ483" s="308"/>
      <c r="WGR483" s="308"/>
      <c r="WGS483" s="308"/>
      <c r="WGT483" s="308"/>
      <c r="WGU483" s="308"/>
      <c r="WGV483" s="308"/>
      <c r="WGW483" s="308"/>
      <c r="WGX483" s="308"/>
      <c r="WGY483" s="308"/>
      <c r="WGZ483" s="308"/>
      <c r="WHA483" s="308"/>
      <c r="WHB483" s="308"/>
      <c r="WHC483" s="308"/>
      <c r="WHD483" s="308"/>
      <c r="WHE483" s="308"/>
      <c r="WHF483" s="308"/>
      <c r="WHG483" s="308"/>
      <c r="WHH483" s="308"/>
      <c r="WHI483" s="308"/>
      <c r="WHJ483" s="308"/>
      <c r="WHK483" s="308"/>
      <c r="WHL483" s="308"/>
      <c r="WHM483" s="308"/>
      <c r="WHN483" s="308"/>
      <c r="WHO483" s="308"/>
      <c r="WHP483" s="308"/>
      <c r="WHQ483" s="308"/>
      <c r="WHR483" s="308"/>
      <c r="WHS483" s="308"/>
      <c r="WHT483" s="308"/>
      <c r="WHU483" s="308"/>
      <c r="WHV483" s="308"/>
      <c r="WHW483" s="308"/>
      <c r="WHX483" s="308"/>
      <c r="WHY483" s="308"/>
      <c r="WHZ483" s="308"/>
      <c r="WIA483" s="308"/>
      <c r="WIB483" s="308"/>
      <c r="WIC483" s="308"/>
      <c r="WID483" s="308"/>
      <c r="WIE483" s="308"/>
      <c r="WIF483" s="308"/>
      <c r="WIG483" s="308"/>
      <c r="WIH483" s="308"/>
      <c r="WII483" s="308"/>
      <c r="WIJ483" s="308"/>
      <c r="WIK483" s="308"/>
      <c r="WIL483" s="308"/>
      <c r="WIM483" s="308"/>
      <c r="WIN483" s="308"/>
      <c r="WIO483" s="308"/>
      <c r="WIP483" s="308"/>
      <c r="WIQ483" s="308"/>
      <c r="WIR483" s="308"/>
      <c r="WIS483" s="308"/>
      <c r="WIT483" s="308"/>
      <c r="WIU483" s="308"/>
      <c r="WIV483" s="308"/>
      <c r="WIW483" s="308"/>
      <c r="WIX483" s="308"/>
      <c r="WIY483" s="308"/>
      <c r="WIZ483" s="308"/>
      <c r="WJA483" s="308"/>
      <c r="WJB483" s="308"/>
      <c r="WJC483" s="308"/>
      <c r="WJD483" s="308"/>
      <c r="WJE483" s="308"/>
      <c r="WJF483" s="308"/>
      <c r="WJG483" s="308"/>
      <c r="WJH483" s="308"/>
      <c r="WJI483" s="308"/>
      <c r="WJJ483" s="308"/>
      <c r="WJK483" s="308"/>
      <c r="WJL483" s="308"/>
      <c r="WJM483" s="308"/>
      <c r="WJN483" s="308"/>
      <c r="WJO483" s="308"/>
      <c r="WJP483" s="308"/>
      <c r="WJQ483" s="308"/>
      <c r="WJR483" s="308"/>
      <c r="WJS483" s="308"/>
      <c r="WJT483" s="308"/>
      <c r="WJU483" s="308"/>
      <c r="WJV483" s="308"/>
      <c r="WJW483" s="308"/>
      <c r="WJX483" s="308"/>
      <c r="WJY483" s="308"/>
      <c r="WJZ483" s="308"/>
      <c r="WKA483" s="308"/>
      <c r="WKB483" s="308"/>
      <c r="WKC483" s="308"/>
      <c r="WKD483" s="308"/>
      <c r="WKE483" s="308"/>
      <c r="WKF483" s="308"/>
      <c r="WKG483" s="308"/>
      <c r="WKH483" s="308"/>
      <c r="WKI483" s="308"/>
      <c r="WKJ483" s="308"/>
      <c r="WKK483" s="308"/>
      <c r="WKL483" s="308"/>
      <c r="WKM483" s="308"/>
      <c r="WKN483" s="308"/>
      <c r="WKO483" s="308"/>
      <c r="WKP483" s="308"/>
      <c r="WKQ483" s="308"/>
      <c r="WKR483" s="308"/>
      <c r="WKS483" s="308"/>
      <c r="WKT483" s="308"/>
      <c r="WKU483" s="308"/>
      <c r="WKV483" s="308"/>
      <c r="WKW483" s="308"/>
      <c r="WKX483" s="308"/>
      <c r="WKY483" s="308"/>
      <c r="WKZ483" s="308"/>
      <c r="WLA483" s="308"/>
      <c r="WLB483" s="308"/>
      <c r="WLC483" s="308"/>
      <c r="WLD483" s="308"/>
      <c r="WLE483" s="308"/>
      <c r="WLF483" s="308"/>
      <c r="WLG483" s="308"/>
      <c r="WLH483" s="308"/>
      <c r="WLI483" s="308"/>
      <c r="WLJ483" s="308"/>
      <c r="WLK483" s="308"/>
      <c r="WLL483" s="308"/>
      <c r="WLM483" s="308"/>
      <c r="WLN483" s="308"/>
      <c r="WLO483" s="308"/>
      <c r="WLP483" s="308"/>
      <c r="WLQ483" s="308"/>
      <c r="WLR483" s="308"/>
      <c r="WLS483" s="308"/>
      <c r="WLT483" s="308"/>
      <c r="WLU483" s="308"/>
      <c r="WLV483" s="308"/>
      <c r="WLW483" s="308"/>
      <c r="WLX483" s="308"/>
      <c r="WLY483" s="308"/>
      <c r="WLZ483" s="308"/>
      <c r="WMA483" s="308"/>
      <c r="WMB483" s="308"/>
      <c r="WMC483" s="308"/>
      <c r="WMD483" s="308"/>
      <c r="WME483" s="308"/>
      <c r="WMF483" s="308"/>
      <c r="WMG483" s="308"/>
      <c r="WMH483" s="308"/>
      <c r="WMI483" s="308"/>
      <c r="WMJ483" s="308"/>
      <c r="WMK483" s="308"/>
      <c r="WML483" s="308"/>
      <c r="WMM483" s="308"/>
      <c r="WMN483" s="308"/>
      <c r="WMO483" s="308"/>
      <c r="WMP483" s="308"/>
      <c r="WMQ483" s="308"/>
      <c r="WMR483" s="308"/>
      <c r="WMS483" s="308"/>
      <c r="WMT483" s="308"/>
      <c r="WMU483" s="308"/>
      <c r="WMV483" s="308"/>
      <c r="WMW483" s="308"/>
      <c r="WMX483" s="308"/>
      <c r="WMY483" s="308"/>
      <c r="WMZ483" s="308"/>
      <c r="WNA483" s="308"/>
      <c r="WNB483" s="308"/>
      <c r="WNC483" s="308"/>
      <c r="WND483" s="308"/>
      <c r="WNE483" s="308"/>
      <c r="WNF483" s="308"/>
      <c r="WNG483" s="308"/>
      <c r="WNH483" s="308"/>
      <c r="WNI483" s="308"/>
      <c r="WNJ483" s="308"/>
      <c r="WNK483" s="308"/>
      <c r="WNL483" s="308"/>
      <c r="WNM483" s="308"/>
      <c r="WNN483" s="308"/>
      <c r="WNO483" s="308"/>
      <c r="WNP483" s="308"/>
      <c r="WNQ483" s="308"/>
      <c r="WNR483" s="308"/>
      <c r="WNS483" s="308"/>
      <c r="WNT483" s="308"/>
      <c r="WNU483" s="308"/>
      <c r="WNV483" s="308"/>
      <c r="WNW483" s="308"/>
      <c r="WNX483" s="308"/>
      <c r="WNY483" s="308"/>
      <c r="WNZ483" s="308"/>
      <c r="WOA483" s="308"/>
      <c r="WOB483" s="308"/>
      <c r="WOC483" s="308"/>
      <c r="WOD483" s="308"/>
      <c r="WOE483" s="308"/>
      <c r="WOF483" s="308"/>
      <c r="WOG483" s="308"/>
      <c r="WOH483" s="308"/>
      <c r="WOI483" s="308"/>
      <c r="WOJ483" s="308"/>
      <c r="WOK483" s="308"/>
      <c r="WOL483" s="308"/>
      <c r="WOM483" s="308"/>
      <c r="WON483" s="308"/>
      <c r="WOO483" s="308"/>
      <c r="WOP483" s="308"/>
      <c r="WOQ483" s="308"/>
      <c r="WOR483" s="308"/>
      <c r="WOS483" s="308"/>
      <c r="WOT483" s="308"/>
      <c r="WOU483" s="308"/>
      <c r="WOV483" s="308"/>
      <c r="WOW483" s="308"/>
      <c r="WOX483" s="308"/>
      <c r="WOY483" s="308"/>
      <c r="WOZ483" s="308"/>
      <c r="WPA483" s="308"/>
      <c r="WPB483" s="308"/>
      <c r="WPC483" s="308"/>
      <c r="WPD483" s="308"/>
      <c r="WPE483" s="308"/>
      <c r="WPF483" s="308"/>
      <c r="WPG483" s="308"/>
      <c r="WPH483" s="308"/>
      <c r="WPI483" s="308"/>
      <c r="WPJ483" s="308"/>
      <c r="WPK483" s="308"/>
      <c r="WPL483" s="308"/>
      <c r="WPM483" s="308"/>
      <c r="WPN483" s="308"/>
      <c r="WPO483" s="308"/>
      <c r="WPP483" s="308"/>
      <c r="WPQ483" s="308"/>
      <c r="WPR483" s="308"/>
      <c r="WPS483" s="308"/>
      <c r="WPT483" s="308"/>
      <c r="WPU483" s="308"/>
      <c r="WPV483" s="308"/>
      <c r="WPW483" s="308"/>
      <c r="WPX483" s="308"/>
      <c r="WPY483" s="308"/>
      <c r="WPZ483" s="308"/>
      <c r="WQA483" s="308"/>
      <c r="WQB483" s="308"/>
      <c r="WQC483" s="308"/>
      <c r="WQD483" s="308"/>
      <c r="WQE483" s="308"/>
      <c r="WQF483" s="308"/>
      <c r="WQG483" s="308"/>
      <c r="WQH483" s="308"/>
      <c r="WQI483" s="308"/>
      <c r="WQJ483" s="308"/>
      <c r="WQK483" s="308"/>
      <c r="WQL483" s="308"/>
      <c r="WQM483" s="308"/>
      <c r="WQN483" s="308"/>
      <c r="WQO483" s="308"/>
      <c r="WQP483" s="308"/>
      <c r="WQQ483" s="308"/>
      <c r="WQR483" s="308"/>
      <c r="WQS483" s="308"/>
      <c r="WQT483" s="308"/>
      <c r="WQU483" s="308"/>
      <c r="WQV483" s="308"/>
      <c r="WQW483" s="308"/>
      <c r="WQX483" s="308"/>
      <c r="WQY483" s="308"/>
      <c r="WQZ483" s="308"/>
      <c r="WRA483" s="308"/>
      <c r="WRB483" s="308"/>
      <c r="WRC483" s="308"/>
      <c r="WRD483" s="308"/>
      <c r="WRE483" s="308"/>
      <c r="WRF483" s="308"/>
      <c r="WRG483" s="308"/>
      <c r="WRH483" s="308"/>
      <c r="WRI483" s="308"/>
      <c r="WRJ483" s="308"/>
      <c r="WRK483" s="308"/>
      <c r="WRL483" s="308"/>
      <c r="WRM483" s="308"/>
      <c r="WRN483" s="308"/>
      <c r="WRO483" s="308"/>
      <c r="WRP483" s="308"/>
      <c r="WRQ483" s="308"/>
      <c r="WRR483" s="308"/>
      <c r="WRS483" s="308"/>
      <c r="WRT483" s="308"/>
      <c r="WRU483" s="308"/>
      <c r="WRV483" s="308"/>
      <c r="WRW483" s="308"/>
      <c r="WRX483" s="308"/>
      <c r="WRY483" s="308"/>
      <c r="WRZ483" s="308"/>
      <c r="WSA483" s="308"/>
      <c r="WSB483" s="308"/>
      <c r="WSC483" s="308"/>
      <c r="WSD483" s="308"/>
      <c r="WSE483" s="308"/>
      <c r="WSF483" s="308"/>
      <c r="WSG483" s="308"/>
      <c r="WSH483" s="308"/>
      <c r="WSI483" s="308"/>
      <c r="WSJ483" s="308"/>
      <c r="WSK483" s="308"/>
      <c r="WSL483" s="308"/>
      <c r="WSM483" s="308"/>
      <c r="WSN483" s="308"/>
      <c r="WSO483" s="308"/>
      <c r="WSP483" s="308"/>
      <c r="WSQ483" s="308"/>
      <c r="WSR483" s="308"/>
      <c r="WSS483" s="308"/>
      <c r="WST483" s="308"/>
      <c r="WSU483" s="308"/>
      <c r="WSV483" s="308"/>
      <c r="WSW483" s="308"/>
      <c r="WSX483" s="308"/>
      <c r="WSY483" s="308"/>
      <c r="WSZ483" s="308"/>
      <c r="WTA483" s="308"/>
      <c r="WTB483" s="308"/>
      <c r="WTC483" s="308"/>
      <c r="WTD483" s="308"/>
      <c r="WTE483" s="308"/>
      <c r="WTF483" s="308"/>
      <c r="WTG483" s="308"/>
      <c r="WTH483" s="308"/>
      <c r="WTI483" s="308"/>
      <c r="WTJ483" s="308"/>
      <c r="WTK483" s="308"/>
      <c r="WTL483" s="308"/>
      <c r="WTM483" s="308"/>
      <c r="WTN483" s="308"/>
      <c r="WTO483" s="308"/>
      <c r="WTP483" s="308"/>
      <c r="WTQ483" s="308"/>
      <c r="WTR483" s="308"/>
      <c r="WTS483" s="308"/>
      <c r="WTT483" s="308"/>
      <c r="WTU483" s="308"/>
      <c r="WTV483" s="308"/>
      <c r="WTW483" s="308"/>
      <c r="WTX483" s="308"/>
      <c r="WTY483" s="308"/>
      <c r="WTZ483" s="308"/>
      <c r="WUA483" s="308"/>
      <c r="WUB483" s="308"/>
      <c r="WUC483" s="308"/>
      <c r="WUD483" s="308"/>
      <c r="WUE483" s="308"/>
      <c r="WUF483" s="308"/>
      <c r="WUG483" s="308"/>
      <c r="WUH483" s="308"/>
      <c r="WUI483" s="308"/>
      <c r="WUJ483" s="308"/>
      <c r="WUK483" s="308"/>
      <c r="WUL483" s="308"/>
      <c r="WUM483" s="308"/>
      <c r="WUN483" s="308"/>
      <c r="WUO483" s="308"/>
      <c r="WUP483" s="308"/>
      <c r="WUQ483" s="308"/>
      <c r="WUR483" s="308"/>
      <c r="WUS483" s="308"/>
      <c r="WUT483" s="308"/>
      <c r="WUU483" s="308"/>
      <c r="WUV483" s="308"/>
      <c r="WUW483" s="308"/>
      <c r="WUX483" s="308"/>
      <c r="WUY483" s="308"/>
      <c r="WUZ483" s="308"/>
      <c r="WVA483" s="308"/>
      <c r="WVB483" s="308"/>
      <c r="WVC483" s="308"/>
      <c r="WVD483" s="308"/>
      <c r="WVE483" s="308"/>
      <c r="WVF483" s="308"/>
      <c r="WVG483" s="308"/>
      <c r="WVH483" s="308"/>
      <c r="WVI483" s="308"/>
      <c r="WVJ483" s="308"/>
      <c r="WVK483" s="308"/>
      <c r="WVL483" s="308"/>
      <c r="WVM483" s="308"/>
      <c r="WVN483" s="308"/>
      <c r="WVO483" s="308"/>
      <c r="WVP483" s="308"/>
      <c r="WVQ483" s="308"/>
      <c r="WVR483" s="308"/>
      <c r="WVS483" s="308"/>
      <c r="WVT483" s="308"/>
      <c r="WVU483" s="308"/>
      <c r="WVV483" s="308"/>
      <c r="WVW483" s="308"/>
      <c r="WVX483" s="308"/>
      <c r="WVY483" s="308"/>
      <c r="WVZ483" s="308"/>
      <c r="WWA483" s="308"/>
      <c r="WWB483" s="308"/>
      <c r="WWC483" s="308"/>
      <c r="WWD483" s="308"/>
      <c r="WWE483" s="308"/>
      <c r="WWF483" s="308"/>
      <c r="WWG483" s="308"/>
      <c r="WWH483" s="308"/>
      <c r="WWI483" s="308"/>
      <c r="WWJ483" s="308"/>
      <c r="WWK483" s="308"/>
      <c r="WWL483" s="308"/>
      <c r="WWM483" s="308"/>
      <c r="WWN483" s="308"/>
      <c r="WWO483" s="308"/>
      <c r="WWP483" s="308"/>
      <c r="WWQ483" s="308"/>
      <c r="WWR483" s="308"/>
      <c r="WWS483" s="308"/>
      <c r="WWT483" s="308"/>
      <c r="WWU483" s="308"/>
      <c r="WWV483" s="308"/>
      <c r="WWW483" s="308"/>
      <c r="WWX483" s="308"/>
      <c r="WWY483" s="308"/>
      <c r="WWZ483" s="308"/>
      <c r="WXA483" s="308"/>
      <c r="WXB483" s="308"/>
      <c r="WXC483" s="308"/>
      <c r="WXD483" s="308"/>
      <c r="WXE483" s="308"/>
      <c r="WXF483" s="308"/>
      <c r="WXG483" s="308"/>
      <c r="WXH483" s="308"/>
      <c r="WXI483" s="308"/>
      <c r="WXJ483" s="308"/>
      <c r="WXK483" s="308"/>
      <c r="WXL483" s="308"/>
      <c r="WXM483" s="308"/>
      <c r="WXN483" s="308"/>
      <c r="WXO483" s="308"/>
      <c r="WXP483" s="308"/>
      <c r="WXQ483" s="308"/>
      <c r="WXR483" s="308"/>
      <c r="WXS483" s="308"/>
      <c r="WXT483" s="308"/>
      <c r="WXU483" s="308"/>
      <c r="WXV483" s="308"/>
      <c r="WXW483" s="308"/>
      <c r="WXX483" s="308"/>
      <c r="WXY483" s="308"/>
      <c r="WXZ483" s="308"/>
      <c r="WYA483" s="308"/>
      <c r="WYB483" s="308"/>
      <c r="WYC483" s="308"/>
      <c r="WYD483" s="308"/>
      <c r="WYE483" s="308"/>
      <c r="WYF483" s="308"/>
      <c r="WYG483" s="308"/>
      <c r="WYH483" s="308"/>
      <c r="WYI483" s="308"/>
      <c r="WYJ483" s="308"/>
      <c r="WYK483" s="308"/>
      <c r="WYL483" s="308"/>
      <c r="WYM483" s="308"/>
      <c r="WYN483" s="308"/>
      <c r="WYO483" s="308"/>
      <c r="WYP483" s="308"/>
      <c r="WYQ483" s="308"/>
      <c r="WYR483" s="308"/>
      <c r="WYS483" s="308"/>
      <c r="WYT483" s="308"/>
      <c r="WYU483" s="308"/>
      <c r="WYV483" s="308"/>
      <c r="WYW483" s="308"/>
      <c r="WYX483" s="308"/>
      <c r="WYY483" s="308"/>
      <c r="WYZ483" s="308"/>
      <c r="WZA483" s="308"/>
      <c r="WZB483" s="308"/>
      <c r="WZC483" s="308"/>
      <c r="WZD483" s="308"/>
      <c r="WZE483" s="308"/>
      <c r="WZF483" s="308"/>
      <c r="WZG483" s="308"/>
      <c r="WZH483" s="308"/>
      <c r="WZI483" s="308"/>
      <c r="WZJ483" s="308"/>
      <c r="WZK483" s="308"/>
      <c r="WZL483" s="308"/>
      <c r="WZM483" s="308"/>
      <c r="WZN483" s="308"/>
      <c r="WZO483" s="308"/>
      <c r="WZP483" s="308"/>
      <c r="WZQ483" s="308"/>
      <c r="WZR483" s="308"/>
      <c r="WZS483" s="308"/>
      <c r="WZT483" s="308"/>
      <c r="WZU483" s="308"/>
      <c r="WZV483" s="308"/>
      <c r="WZW483" s="308"/>
      <c r="WZX483" s="308"/>
      <c r="WZY483" s="308"/>
      <c r="WZZ483" s="308"/>
      <c r="XAA483" s="308"/>
      <c r="XAB483" s="308"/>
      <c r="XAC483" s="308"/>
      <c r="XAD483" s="308"/>
      <c r="XAE483" s="308"/>
      <c r="XAF483" s="308"/>
      <c r="XAG483" s="308"/>
      <c r="XAH483" s="308"/>
      <c r="XAI483" s="308"/>
      <c r="XAJ483" s="308"/>
      <c r="XAK483" s="308"/>
      <c r="XAL483" s="308"/>
      <c r="XAM483" s="308"/>
      <c r="XAN483" s="308"/>
      <c r="XAO483" s="308"/>
      <c r="XAP483" s="308"/>
      <c r="XAQ483" s="308"/>
      <c r="XAR483" s="308"/>
      <c r="XAS483" s="308"/>
      <c r="XAT483" s="308"/>
      <c r="XAU483" s="308"/>
      <c r="XAV483" s="308"/>
      <c r="XAW483" s="308"/>
      <c r="XAX483" s="308"/>
      <c r="XAY483" s="308"/>
      <c r="XAZ483" s="308"/>
      <c r="XBA483" s="308"/>
      <c r="XBB483" s="308"/>
      <c r="XBC483" s="308"/>
      <c r="XBD483" s="308"/>
      <c r="XBE483" s="308"/>
      <c r="XBF483" s="308"/>
      <c r="XBG483" s="308"/>
      <c r="XBH483" s="308"/>
      <c r="XBI483" s="308"/>
      <c r="XBJ483" s="308"/>
      <c r="XBK483" s="308"/>
      <c r="XBL483" s="308"/>
      <c r="XBM483" s="308"/>
      <c r="XBN483" s="308"/>
      <c r="XBO483" s="308"/>
      <c r="XBP483" s="308"/>
      <c r="XBQ483" s="308"/>
      <c r="XBR483" s="308"/>
      <c r="XBS483" s="308"/>
      <c r="XBT483" s="308"/>
      <c r="XBU483" s="308"/>
      <c r="XBV483" s="308"/>
      <c r="XBW483" s="308"/>
      <c r="XBX483" s="308"/>
      <c r="XBY483" s="308"/>
      <c r="XBZ483" s="308"/>
      <c r="XCA483" s="308"/>
      <c r="XCB483" s="308"/>
      <c r="XCC483" s="308"/>
      <c r="XCD483" s="308"/>
      <c r="XCE483" s="308"/>
      <c r="XCF483" s="308"/>
    </row>
  </sheetData>
  <sheetProtection sheet="1" formatCells="0" formatColumns="0" formatRows="0" insertColumns="0" insertRows="0" insertHyperlinks="0" selectLockedCells="1" sort="0" autoFilter="0" pivotTables="0"/>
  <mergeCells count="22">
    <mergeCell ref="O163:R163"/>
    <mergeCell ref="O216:R216"/>
    <mergeCell ref="F63:O63"/>
    <mergeCell ref="B109:B115"/>
    <mergeCell ref="C109:H109"/>
    <mergeCell ref="B120:B126"/>
    <mergeCell ref="C120:H120"/>
    <mergeCell ref="O109:R109"/>
    <mergeCell ref="B131:B137"/>
    <mergeCell ref="C131:H131"/>
    <mergeCell ref="B163:B169"/>
    <mergeCell ref="C163:H163"/>
    <mergeCell ref="B174:B180"/>
    <mergeCell ref="C174:H174"/>
    <mergeCell ref="B238:B244"/>
    <mergeCell ref="C238:H238"/>
    <mergeCell ref="B185:B191"/>
    <mergeCell ref="C185:H185"/>
    <mergeCell ref="B216:B222"/>
    <mergeCell ref="C216:H216"/>
    <mergeCell ref="B227:B233"/>
    <mergeCell ref="C227:H227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67" workbookViewId="0">
      <selection activeCell="B14" sqref="B14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28" t="s">
        <v>176</v>
      </c>
      <c r="C5" s="229"/>
      <c r="D5" s="229"/>
      <c r="E5" s="229"/>
      <c r="F5" s="25"/>
      <c r="G5" s="228" t="s">
        <v>177</v>
      </c>
      <c r="H5" s="229"/>
      <c r="I5" s="229"/>
      <c r="J5" s="229"/>
      <c r="K5" s="229"/>
      <c r="L5" s="25"/>
      <c r="M5" s="228" t="s">
        <v>176</v>
      </c>
      <c r="N5" s="229"/>
      <c r="O5" s="229"/>
      <c r="P5" s="229"/>
    </row>
    <row r="6" spans="2:16384">
      <c r="B6" s="230" t="s">
        <v>178</v>
      </c>
      <c r="C6" s="25"/>
      <c r="D6" s="25"/>
      <c r="E6" s="25"/>
      <c r="F6" s="25"/>
      <c r="G6" s="231"/>
      <c r="H6" s="232">
        <f>DCF!E5</f>
        <v>2023</v>
      </c>
      <c r="I6" s="233">
        <f>DCF!F5</f>
        <v>2024</v>
      </c>
      <c r="J6" s="25"/>
      <c r="K6" s="25"/>
      <c r="L6" s="25"/>
      <c r="M6" s="230" t="s">
        <v>178</v>
      </c>
      <c r="N6" s="25"/>
      <c r="O6" s="25"/>
      <c r="P6" s="25"/>
    </row>
    <row r="7" spans="2:16384">
      <c r="B7" s="234"/>
      <c r="C7" s="235"/>
      <c r="D7" s="235"/>
      <c r="E7" s="235"/>
      <c r="F7" s="235"/>
      <c r="G7" s="235"/>
      <c r="H7" s="25"/>
      <c r="I7" s="25"/>
      <c r="J7" s="25"/>
      <c r="K7" s="25"/>
      <c r="L7" s="25"/>
      <c r="M7" s="234"/>
      <c r="N7" s="235"/>
      <c r="O7" s="235"/>
      <c r="P7" s="235"/>
    </row>
    <row r="8" spans="2:16384">
      <c r="B8" s="234" t="s">
        <v>179</v>
      </c>
      <c r="C8" s="25"/>
      <c r="D8" s="25"/>
      <c r="E8" s="236" t="e" vm="1">
        <f ca="1">'Information from Python'!F5</f>
        <v>#VALUE!</v>
      </c>
      <c r="F8" s="235"/>
      <c r="G8" s="235" t="s">
        <v>180</v>
      </c>
      <c r="H8" s="237">
        <f>DCF!E6</f>
        <v>96773</v>
      </c>
      <c r="I8" s="237">
        <f>DCF!F6</f>
        <v>106450.3</v>
      </c>
      <c r="J8" s="25"/>
      <c r="K8" s="25"/>
      <c r="L8" s="25"/>
      <c r="M8" s="25" t="s">
        <v>181</v>
      </c>
      <c r="N8" s="238">
        <f>High_Share_Price</f>
        <v>280</v>
      </c>
      <c r="O8" s="25" t="s">
        <v>182</v>
      </c>
      <c r="P8" s="25"/>
    </row>
    <row r="9" spans="2:16384">
      <c r="B9" s="234" t="s">
        <v>183</v>
      </c>
      <c r="C9" s="25"/>
      <c r="D9" s="25"/>
      <c r="E9" s="239">
        <f>Shares_Outstanding / 1000000</f>
        <v>15171.99</v>
      </c>
      <c r="F9" s="235"/>
      <c r="G9" s="235" t="s">
        <v>184</v>
      </c>
      <c r="H9" s="237">
        <f>DCF!E15</f>
        <v>14796</v>
      </c>
      <c r="I9" s="237">
        <f>DCF!F15</f>
        <v>21407.782397665589</v>
      </c>
      <c r="J9" s="25"/>
      <c r="K9" s="25"/>
      <c r="L9" s="25"/>
      <c r="M9" s="25" t="s">
        <v>185</v>
      </c>
      <c r="N9" s="238">
        <f>Low_Share_Price</f>
        <v>120</v>
      </c>
      <c r="O9" s="25" t="s">
        <v>186</v>
      </c>
      <c r="P9" s="25"/>
    </row>
    <row r="10" spans="2:16384">
      <c r="B10" s="234" t="s">
        <v>187</v>
      </c>
      <c r="C10" s="234"/>
      <c r="D10" s="234"/>
      <c r="E10" s="240" t="e" vm="1">
        <f ca="1">E8 * E9</f>
        <v>#VALUE!</v>
      </c>
      <c r="F10" s="235"/>
      <c r="G10" s="241" t="s">
        <v>188</v>
      </c>
      <c r="H10" s="242" t="e" vm="1">
        <f ca="1">$E$13/H8</f>
        <v>#VALUE!</v>
      </c>
      <c r="I10" s="242" t="e" vm="1">
        <f ca="1">$E$13/I8</f>
        <v>#VALUE!</v>
      </c>
      <c r="J10" s="25"/>
      <c r="K10" s="25"/>
      <c r="L10" s="25"/>
      <c r="M10" s="25"/>
      <c r="N10" s="25"/>
      <c r="O10" s="25"/>
      <c r="P10" s="25"/>
    </row>
    <row r="11" spans="2:16384">
      <c r="B11" s="234" t="s">
        <v>189</v>
      </c>
      <c r="C11" s="234"/>
      <c r="D11" s="234"/>
      <c r="E11" s="243">
        <f>'Balance Sheet Historic'!C62</f>
        <v>9573</v>
      </c>
      <c r="F11" s="235"/>
      <c r="G11" s="235" t="s">
        <v>190</v>
      </c>
      <c r="H11" s="242" t="e" vm="1">
        <f ca="1">$E$13/H9</f>
        <v>#VALUE!</v>
      </c>
      <c r="I11" s="242" t="e" vm="1">
        <f ca="1">$E$13/I9</f>
        <v>#VALUE!</v>
      </c>
      <c r="J11" s="25"/>
      <c r="K11" s="25"/>
      <c r="L11" s="25"/>
      <c r="M11" s="25"/>
      <c r="N11" s="25"/>
      <c r="O11" s="25"/>
      <c r="P11" s="25"/>
    </row>
    <row r="12" spans="2:16384">
      <c r="B12" s="234" t="s">
        <v>191</v>
      </c>
      <c r="C12" s="234"/>
      <c r="D12" s="234"/>
      <c r="E12" s="243">
        <f>'Balance Sheet Historic'!C53</f>
        <v>28352</v>
      </c>
      <c r="F12" s="235"/>
      <c r="G12" s="234"/>
      <c r="H12" s="235"/>
      <c r="I12" s="235"/>
      <c r="J12" s="25"/>
      <c r="K12" s="25"/>
      <c r="L12" s="25"/>
      <c r="M12" s="25"/>
      <c r="N12" s="25"/>
      <c r="O12" s="25"/>
      <c r="P12" s="25"/>
    </row>
    <row r="13" spans="2:16384">
      <c r="B13" s="244" t="s">
        <v>176</v>
      </c>
      <c r="C13" s="244"/>
      <c r="D13" s="244"/>
      <c r="E13" s="245" t="e" vm="1">
        <f ca="1">E10+E11-E12</f>
        <v>#VALUE!</v>
      </c>
      <c r="F13" s="235"/>
      <c r="G13" s="235"/>
      <c r="H13" s="235"/>
      <c r="I13" s="235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314" t="s">
        <v>252</v>
      </c>
      <c r="C23" s="315">
        <v>1137223.081161313</v>
      </c>
      <c r="D23" s="316">
        <v>1056174.081161313</v>
      </c>
      <c r="E23" s="309">
        <v>3.7245544455490549</v>
      </c>
      <c r="F23" s="319">
        <v>3.435896865785645</v>
      </c>
      <c r="G23" s="309">
        <v>12.00608694993632</v>
      </c>
      <c r="H23" s="310">
        <v>10.76059663747364</v>
      </c>
    </row>
    <row r="24" spans="2:16384">
      <c r="B24" s="314" t="s">
        <v>253</v>
      </c>
      <c r="C24" s="317">
        <v>42458.781280389398</v>
      </c>
      <c r="D24" s="318">
        <v>61779.781280389398</v>
      </c>
      <c r="E24" s="311">
        <v>0.62616964917634632</v>
      </c>
      <c r="F24" s="114">
        <v>0.6986687167700244</v>
      </c>
      <c r="G24" s="311">
        <v>8.4253296436129688</v>
      </c>
      <c r="H24" s="313">
        <v>7.1084778829121396</v>
      </c>
    </row>
    <row r="25" spans="2:16384">
      <c r="B25" s="314" t="s">
        <v>254</v>
      </c>
      <c r="C25" s="317">
        <v>3236031.52</v>
      </c>
      <c r="D25" s="318">
        <v>3258340.52</v>
      </c>
      <c r="E25" s="311">
        <v>15.120262935610979</v>
      </c>
      <c r="F25" s="114">
        <v>13.292729824332371</v>
      </c>
      <c r="G25" s="311">
        <v>30.572777512737819</v>
      </c>
      <c r="H25" s="313">
        <v>24.916575055440848</v>
      </c>
    </row>
    <row r="26" spans="2:16384">
      <c r="B26" s="314" t="s">
        <v>255</v>
      </c>
      <c r="C26" s="317">
        <v>389606.584734793</v>
      </c>
      <c r="D26" s="318">
        <v>399440.60673479299</v>
      </c>
      <c r="E26" s="311">
        <v>12.66717475213283</v>
      </c>
      <c r="F26" s="114">
        <v>11.844648722655821</v>
      </c>
      <c r="G26" s="311">
        <v>63.499434934957428</v>
      </c>
      <c r="H26" s="313">
        <v>55.002866458904343</v>
      </c>
    </row>
    <row r="27" spans="2:16384">
      <c r="B27" s="314"/>
      <c r="C27" s="317"/>
      <c r="D27" s="318"/>
      <c r="E27" s="311"/>
      <c r="F27" s="312"/>
      <c r="G27" s="311"/>
      <c r="H27" s="313"/>
    </row>
    <row r="28" spans="2:16384">
      <c r="B28" s="314"/>
      <c r="C28" s="317"/>
      <c r="D28" s="318"/>
      <c r="E28" s="311"/>
      <c r="F28" s="312"/>
      <c r="G28" s="311"/>
      <c r="H28" s="313"/>
    </row>
    <row r="29" spans="2:16384">
      <c r="B29" s="314"/>
      <c r="C29" s="317"/>
      <c r="D29" s="318"/>
      <c r="E29" s="311"/>
      <c r="F29" s="312"/>
      <c r="G29" s="311"/>
      <c r="H29" s="313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314"/>
      <c r="C30" s="317"/>
      <c r="D30" s="318"/>
      <c r="E30" s="311"/>
      <c r="F30" s="312"/>
      <c r="G30" s="311"/>
      <c r="H30" s="313"/>
      <c r="AZ30">
        <v>0.62616964917634632</v>
      </c>
      <c r="BA30">
        <v>8.0345404456173029</v>
      </c>
      <c r="BB30">
        <v>15.120262935610979</v>
      </c>
    </row>
    <row r="31" spans="2:16384">
      <c r="B31" s="314"/>
      <c r="C31" s="317"/>
      <c r="D31" s="318"/>
      <c r="E31" s="311"/>
      <c r="F31" s="312"/>
      <c r="G31" s="311"/>
      <c r="H31" s="313"/>
      <c r="AZ31">
        <v>0.6986687167700244</v>
      </c>
      <c r="BA31">
        <v>7.3179860323859653</v>
      </c>
      <c r="BB31">
        <v>13.292729824332371</v>
      </c>
    </row>
    <row r="32" spans="2:16384">
      <c r="B32" s="314"/>
      <c r="C32" s="317"/>
      <c r="D32" s="318"/>
      <c r="E32" s="311"/>
      <c r="F32" s="312"/>
      <c r="G32" s="311"/>
      <c r="H32" s="313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34"/>
      <c r="C35" s="25"/>
      <c r="D35" s="246" t="s">
        <v>213</v>
      </c>
      <c r="E35" s="247">
        <f>MAX(E23:E33)</f>
        <v>15.120262935610979</v>
      </c>
      <c r="F35" s="247">
        <f t="shared" ref="F35:H35" si="0">MAX(F23:F33)</f>
        <v>13.292729824332371</v>
      </c>
      <c r="G35" s="247">
        <f t="shared" si="0"/>
        <v>63.499434934957428</v>
      </c>
      <c r="H35" s="247">
        <f t="shared" si="0"/>
        <v>55.002866458904343</v>
      </c>
    </row>
    <row r="36" spans="2:54">
      <c r="B36" s="234"/>
      <c r="C36" s="25"/>
      <c r="D36" s="246" t="s">
        <v>214</v>
      </c>
      <c r="E36" s="247">
        <f>AVERAGE(E23:E33)</f>
        <v>8.0345404456173029</v>
      </c>
      <c r="F36" s="247">
        <f t="shared" ref="F36:H36" si="1">AVERAGE(F23:F33)</f>
        <v>7.3179860323859653</v>
      </c>
      <c r="G36" s="247">
        <f t="shared" si="1"/>
        <v>28.625907260311131</v>
      </c>
      <c r="H36" s="247">
        <f t="shared" si="1"/>
        <v>24.447129008682744</v>
      </c>
    </row>
    <row r="37" spans="2:54">
      <c r="B37" s="234"/>
      <c r="C37" s="25"/>
      <c r="D37" s="246" t="s">
        <v>215</v>
      </c>
      <c r="E37" s="247">
        <f>MEDIAN(E23:E33)</f>
        <v>8.1958645988409415</v>
      </c>
      <c r="F37" s="247">
        <f t="shared" ref="F37:H37" si="2">MEDIAN(F23:F33)</f>
        <v>7.6402727942207331</v>
      </c>
      <c r="G37" s="247">
        <f t="shared" si="2"/>
        <v>21.289432231337067</v>
      </c>
      <c r="H37" s="247">
        <f t="shared" si="2"/>
        <v>17.838585846457242</v>
      </c>
    </row>
    <row r="38" spans="2:54">
      <c r="B38" s="234"/>
      <c r="C38" s="25"/>
      <c r="D38" s="246" t="s">
        <v>216</v>
      </c>
      <c r="E38" s="247">
        <f>MIN(E23:E33)</f>
        <v>0.62616964917634632</v>
      </c>
      <c r="F38" s="247">
        <f t="shared" ref="F38:H38" si="3">MIN(F23:F33)</f>
        <v>0.6986687167700244</v>
      </c>
      <c r="G38" s="247">
        <f t="shared" si="3"/>
        <v>8.4253296436129688</v>
      </c>
      <c r="H38" s="247">
        <f t="shared" si="3"/>
        <v>7.1084778829121396</v>
      </c>
    </row>
    <row r="39" spans="2:54">
      <c r="B39" s="25"/>
      <c r="C39" s="235"/>
      <c r="D39" s="235"/>
      <c r="E39" s="248"/>
      <c r="F39" s="92"/>
      <c r="G39" s="92"/>
      <c r="H39" s="92"/>
    </row>
    <row r="40" spans="2:54">
      <c r="B40" s="249" t="str" cm="1">
        <f t="array" ref="B40">Name</f>
        <v>Apple Inc.</v>
      </c>
      <c r="C40" s="250" t="e" vm="1">
        <f ca="1">E10</f>
        <v>#VALUE!</v>
      </c>
      <c r="D40" s="250" t="e" vm="1">
        <f ca="1">E13</f>
        <v>#VALUE!</v>
      </c>
      <c r="E40" s="251" t="e" vm="1">
        <f ca="1">H10</f>
        <v>#VALUE!</v>
      </c>
      <c r="F40" s="251" t="e" vm="1">
        <f ca="1">I10</f>
        <v>#VALUE!</v>
      </c>
      <c r="G40" s="251" t="e" vm="1">
        <f ca="1">H11</f>
        <v>#VALUE!</v>
      </c>
      <c r="H40" s="251" t="e" vm="1">
        <f ca="1">I11</f>
        <v>#VALUE!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topLeftCell="B1" zoomScaleNormal="113" workbookViewId="0">
      <selection activeCell="H5" sqref="H5:J8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2" t="str">
        <f>"Valuation Football Field: "&amp;Name</f>
        <v>Valuation Football Field: Apple Inc.</v>
      </c>
      <c r="C4" s="324"/>
      <c r="D4" s="324"/>
      <c r="E4" s="324"/>
      <c r="F4" s="324"/>
      <c r="G4" s="25"/>
      <c r="H4" s="25"/>
      <c r="I4" s="25"/>
      <c r="AT4" s="264" t="str">
        <f>B4</f>
        <v>Valuation Football Field: Apple Inc.</v>
      </c>
      <c r="AU4" s="264"/>
      <c r="AV4" s="264"/>
      <c r="AW4" s="264"/>
      <c r="AX4" s="264"/>
      <c r="AY4" s="264"/>
      <c r="AZ4" s="264"/>
      <c r="BA4" s="264"/>
      <c r="BB4" s="264"/>
    </row>
    <row r="5" spans="2:16384">
      <c r="B5" s="25"/>
      <c r="C5" s="252" t="s">
        <v>230</v>
      </c>
      <c r="D5" s="253" t="s">
        <v>223</v>
      </c>
      <c r="E5" s="253" t="s">
        <v>234</v>
      </c>
      <c r="F5" s="253" t="s">
        <v>224</v>
      </c>
      <c r="G5" s="25"/>
      <c r="H5" s="254" t="s">
        <v>231</v>
      </c>
      <c r="I5" s="254" t="s">
        <v>232</v>
      </c>
      <c r="J5" s="254" t="s">
        <v>233</v>
      </c>
      <c r="AT5" s="264"/>
      <c r="AU5" s="264" t="s">
        <v>230</v>
      </c>
      <c r="AV5" s="264" t="s">
        <v>223</v>
      </c>
      <c r="AW5" s="264" t="s">
        <v>234</v>
      </c>
      <c r="AX5" s="264" t="s">
        <v>224</v>
      </c>
      <c r="AY5" s="264"/>
      <c r="AZ5" s="264" t="s">
        <v>231</v>
      </c>
      <c r="BA5" s="264" t="s">
        <v>232</v>
      </c>
      <c r="BB5" s="264" t="s">
        <v>233</v>
      </c>
    </row>
    <row r="6" spans="2:16384">
      <c r="B6" s="255" t="s">
        <v>235</v>
      </c>
      <c r="C6" s="234"/>
      <c r="D6" s="256">
        <f>Low_Share_Price</f>
        <v>120</v>
      </c>
      <c r="E6" s="257">
        <f>AVERAGE(D6,F6)</f>
        <v>200</v>
      </c>
      <c r="F6" s="256">
        <f>High_Share_Price</f>
        <v>280</v>
      </c>
      <c r="G6" s="25"/>
      <c r="H6" s="117">
        <f>D6</f>
        <v>120</v>
      </c>
      <c r="I6" s="142">
        <f>E6-D6</f>
        <v>80</v>
      </c>
      <c r="J6" s="117">
        <f>F6-E6</f>
        <v>80</v>
      </c>
      <c r="S6" s="117"/>
      <c r="T6" s="117"/>
      <c r="U6" s="117"/>
      <c r="V6" s="117"/>
      <c r="W6" s="117"/>
      <c r="X6" s="117"/>
      <c r="Y6" s="117"/>
      <c r="AT6" s="264" t="s">
        <v>235</v>
      </c>
      <c r="AU6" s="264"/>
      <c r="AV6" s="265">
        <f>D6</f>
        <v>120</v>
      </c>
      <c r="AW6" s="265">
        <f t="shared" ref="AW6:BB6" si="0">E6</f>
        <v>200</v>
      </c>
      <c r="AX6" s="265">
        <f t="shared" si="0"/>
        <v>280</v>
      </c>
      <c r="AY6" s="265"/>
      <c r="AZ6" s="265">
        <f t="shared" si="0"/>
        <v>120</v>
      </c>
      <c r="BA6" s="265">
        <f t="shared" si="0"/>
        <v>80</v>
      </c>
      <c r="BB6" s="265">
        <f t="shared" si="0"/>
        <v>80</v>
      </c>
    </row>
    <row r="7" spans="2:16384">
      <c r="B7" s="255" t="s">
        <v>225</v>
      </c>
      <c r="C7" s="234"/>
      <c r="D7" s="256">
        <f>MIN(DCF!D111:H115)</f>
        <v>9.8607521877802</v>
      </c>
      <c r="E7" s="257">
        <f ca="1">DCF!C102</f>
        <v>11.650909482118017</v>
      </c>
      <c r="F7" s="256">
        <f>MAX(DCF!D111:H115)</f>
        <v>14.37641100233099</v>
      </c>
      <c r="G7" s="25"/>
      <c r="H7" s="117">
        <f t="shared" ref="H7" si="1">D7</f>
        <v>9.8607521877802</v>
      </c>
      <c r="I7" s="142">
        <f t="shared" ref="I7" ca="1" si="2">E7-D7</f>
        <v>1.790157294337817</v>
      </c>
      <c r="J7" s="117">
        <f t="shared" ref="J7" ca="1" si="3">F7-E7</f>
        <v>2.7255015202129727</v>
      </c>
      <c r="S7" s="117"/>
      <c r="T7" s="117"/>
      <c r="U7" s="117"/>
      <c r="V7" s="117"/>
      <c r="W7" s="117"/>
      <c r="X7" s="117"/>
      <c r="Y7" s="117"/>
      <c r="AT7" s="264" t="s">
        <v>225</v>
      </c>
      <c r="AU7" s="264"/>
      <c r="AV7" s="265">
        <f t="shared" ref="AV7:AV13" si="4">D7</f>
        <v>9.8607521877802</v>
      </c>
      <c r="AW7" s="265">
        <f t="shared" ref="AW7:AW13" ca="1" si="5">E7</f>
        <v>11.650909482118017</v>
      </c>
      <c r="AX7" s="265">
        <f t="shared" ref="AX7:AX13" si="6">F7</f>
        <v>14.37641100233099</v>
      </c>
      <c r="AY7" s="265"/>
      <c r="AZ7" s="265">
        <f t="shared" ref="AZ7:AZ13" si="7">H7</f>
        <v>9.8607521877802</v>
      </c>
      <c r="BA7" s="265">
        <f t="shared" ref="BA7:BA13" ca="1" si="8">I7</f>
        <v>1.790157294337817</v>
      </c>
      <c r="BB7" s="265">
        <f t="shared" ref="BB7:BB13" ca="1" si="9">J7</f>
        <v>2.7255015202129727</v>
      </c>
    </row>
    <row r="8" spans="2:16384">
      <c r="B8" s="255" t="s">
        <v>226</v>
      </c>
      <c r="C8" s="234"/>
      <c r="D8" s="256">
        <f>(('Comparable multiples'!AZ30*Revenue_FY0)-Total_Debt+Cash)/(Shares_Outstanding/1000000)</f>
        <v>5.2317010134954325</v>
      </c>
      <c r="E8" s="258">
        <f>(('Comparable multiples'!BA30*Revenue_FY0)-Total_Debt+Cash)/(Shares_Outstanding/1000000)</f>
        <v>52.485243039556664</v>
      </c>
      <c r="F8" s="256">
        <f>(('Comparable multiples'!BB30*Revenue_FY0)-Total_Debt+Cash)/(Shares_Outstanding/1000000)</f>
        <v>97.680805554701877</v>
      </c>
      <c r="G8" s="25"/>
      <c r="H8" s="117">
        <f>D8</f>
        <v>5.2317010134954325</v>
      </c>
      <c r="I8" s="142">
        <f t="shared" ref="I8:J11" si="10">E8-D8</f>
        <v>47.253542026061233</v>
      </c>
      <c r="J8" s="117">
        <f t="shared" si="10"/>
        <v>45.195562515145213</v>
      </c>
      <c r="S8" s="117"/>
      <c r="T8" s="117"/>
      <c r="U8" s="117"/>
      <c r="V8" s="117"/>
      <c r="W8" s="117"/>
      <c r="X8" s="117"/>
      <c r="Y8" s="117"/>
      <c r="AT8" s="264" t="s">
        <v>248</v>
      </c>
      <c r="AU8" s="264"/>
      <c r="AV8" s="265">
        <f t="shared" si="4"/>
        <v>5.2317010134954325</v>
      </c>
      <c r="AW8" s="265">
        <f t="shared" si="5"/>
        <v>52.485243039556664</v>
      </c>
      <c r="AX8" s="265">
        <f t="shared" si="6"/>
        <v>97.680805554701877</v>
      </c>
      <c r="AY8" s="265"/>
      <c r="AZ8" s="265">
        <f t="shared" si="7"/>
        <v>5.2317010134954325</v>
      </c>
      <c r="BA8" s="265">
        <f t="shared" si="8"/>
        <v>47.253542026061233</v>
      </c>
      <c r="BB8" s="265">
        <f t="shared" si="9"/>
        <v>45.195562515145213</v>
      </c>
    </row>
    <row r="9" spans="2:16384">
      <c r="B9" s="255" t="s">
        <v>227</v>
      </c>
      <c r="C9" s="234"/>
      <c r="D9" s="256">
        <f>(('Comparable multiples'!AZ31*Revenue_FY1)-Total_Debt+Cash)/(Shares_Outstanding/1000000)</f>
        <v>6.1397677233364991</v>
      </c>
      <c r="E9" s="258">
        <f>(('Comparable multiples'!BA31*Revenue_FY1)-Total_Debt+Cash)/(Shares_Outstanding/1000000)</f>
        <v>52.58247655998295</v>
      </c>
      <c r="F9" s="256">
        <f>(('Comparable multiples'!BB31*Revenue_FY1)-Total_Debt+Cash)/(Shares_Outstanding/1000000)</f>
        <v>94.502703839056593</v>
      </c>
      <c r="G9" s="25"/>
      <c r="H9" s="117">
        <f>D9</f>
        <v>6.1397677233364991</v>
      </c>
      <c r="I9" s="142">
        <f t="shared" si="10"/>
        <v>46.442708836646453</v>
      </c>
      <c r="J9" s="117">
        <f t="shared" si="10"/>
        <v>41.920227279073643</v>
      </c>
      <c r="S9" s="117"/>
      <c r="T9" s="117"/>
      <c r="U9" s="117"/>
      <c r="V9" s="117"/>
      <c r="W9" s="117"/>
      <c r="X9" s="117"/>
      <c r="Y9" s="117"/>
      <c r="AT9" s="264" t="s">
        <v>249</v>
      </c>
      <c r="AU9" s="264"/>
      <c r="AV9" s="265">
        <f t="shared" si="4"/>
        <v>6.1397677233364991</v>
      </c>
      <c r="AW9" s="265">
        <f t="shared" si="5"/>
        <v>52.58247655998295</v>
      </c>
      <c r="AX9" s="265">
        <f t="shared" si="6"/>
        <v>94.502703839056593</v>
      </c>
      <c r="AY9" s="265"/>
      <c r="AZ9" s="265">
        <f t="shared" si="7"/>
        <v>6.1397677233364991</v>
      </c>
      <c r="BA9" s="265">
        <f t="shared" si="8"/>
        <v>46.442708836646453</v>
      </c>
      <c r="BB9" s="265">
        <f t="shared" si="9"/>
        <v>41.920227279073643</v>
      </c>
    </row>
    <row r="10" spans="2:16384">
      <c r="B10" s="255" t="s">
        <v>228</v>
      </c>
      <c r="C10" s="234"/>
      <c r="D10" s="256">
        <f>(('Comparable multiples'!AZ32*EBITDA_FY0)-Total_Debt+Cash)/(Shares_Outstanding/1000000)</f>
        <v>9.4542757678391212</v>
      </c>
      <c r="E10" s="258">
        <f>(('Comparable multiples'!BA32*EBITDA_FY0)-Total_Debt+Cash)/(Shares_Outstanding/1000000)</f>
        <v>29.154245674006081</v>
      </c>
      <c r="F10" s="256">
        <f>(('Comparable multiples'!BB32*EBITDA_FY0)-Total_Debt+Cash)/(Shares_Outstanding/1000000)</f>
        <v>63.1635427717544</v>
      </c>
      <c r="G10" s="25"/>
      <c r="H10" s="117">
        <f>D10</f>
        <v>9.4542757678391212</v>
      </c>
      <c r="I10" s="142">
        <f t="shared" si="10"/>
        <v>19.69996990616696</v>
      </c>
      <c r="J10" s="117">
        <f t="shared" si="10"/>
        <v>34.009297097748316</v>
      </c>
      <c r="S10" s="117"/>
      <c r="T10" s="117"/>
      <c r="U10" s="117"/>
      <c r="V10" s="117"/>
      <c r="W10" s="117"/>
      <c r="X10" s="117"/>
      <c r="Y10" s="117"/>
      <c r="AT10" s="264" t="s">
        <v>250</v>
      </c>
      <c r="AU10" s="264"/>
      <c r="AV10" s="265">
        <f t="shared" si="4"/>
        <v>9.4542757678391212</v>
      </c>
      <c r="AW10" s="265">
        <f t="shared" si="5"/>
        <v>29.154245674006081</v>
      </c>
      <c r="AX10" s="265">
        <f t="shared" si="6"/>
        <v>63.1635427717544</v>
      </c>
      <c r="AY10" s="265"/>
      <c r="AZ10" s="265">
        <f t="shared" si="7"/>
        <v>9.4542757678391212</v>
      </c>
      <c r="BA10" s="265">
        <f t="shared" si="8"/>
        <v>19.69996990616696</v>
      </c>
      <c r="BB10" s="265">
        <f t="shared" si="9"/>
        <v>34.009297097748316</v>
      </c>
    </row>
    <row r="11" spans="2:16384">
      <c r="B11" s="255" t="s">
        <v>229</v>
      </c>
      <c r="C11" s="234"/>
      <c r="D11" s="256">
        <f>(('Comparable multiples'!AZ33*EBITDA_FY1)-Total_Debt+Cash)/(Shares_Outstanding/1000000)</f>
        <v>11.267852647938845</v>
      </c>
      <c r="E11" s="258">
        <f>(('Comparable multiples'!BA33*EBITDA_FY1)-Total_Debt+Cash)/(Shares_Outstanding/1000000)</f>
        <v>35.732808818456796</v>
      </c>
      <c r="F11" s="256">
        <f>(('Comparable multiples'!BB33*EBITDA_FY1)-Total_Debt+Cash)/(Shares_Outstanding/1000000)</f>
        <v>78.847164834677812</v>
      </c>
      <c r="G11" s="25"/>
      <c r="H11" s="117">
        <f>D11</f>
        <v>11.267852647938845</v>
      </c>
      <c r="I11" s="142">
        <f t="shared" si="10"/>
        <v>24.464956170517951</v>
      </c>
      <c r="J11" s="117">
        <f t="shared" si="10"/>
        <v>43.114356016221016</v>
      </c>
      <c r="S11" s="117"/>
      <c r="T11" s="117"/>
      <c r="U11" s="117"/>
      <c r="V11" s="117"/>
      <c r="W11" s="117"/>
      <c r="X11" s="117"/>
      <c r="Y11" s="117"/>
      <c r="AT11" s="264" t="s">
        <v>251</v>
      </c>
      <c r="AU11" s="264"/>
      <c r="AV11" s="265">
        <f t="shared" si="4"/>
        <v>11.267852647938845</v>
      </c>
      <c r="AW11" s="265">
        <f t="shared" si="5"/>
        <v>35.732808818456796</v>
      </c>
      <c r="AX11" s="265">
        <f t="shared" si="6"/>
        <v>78.847164834677812</v>
      </c>
      <c r="AY11" s="265"/>
      <c r="AZ11" s="265">
        <f t="shared" si="7"/>
        <v>11.267852647938845</v>
      </c>
      <c r="BA11" s="265">
        <f t="shared" si="8"/>
        <v>24.464956170517951</v>
      </c>
      <c r="BB11" s="265">
        <f t="shared" si="9"/>
        <v>43.114356016221016</v>
      </c>
    </row>
    <row r="12" spans="2:16384">
      <c r="B12" s="25"/>
      <c r="C12" s="25"/>
      <c r="D12" s="259"/>
      <c r="E12" s="260"/>
      <c r="F12" s="259"/>
      <c r="G12" s="25"/>
      <c r="H12" s="234"/>
      <c r="I12" s="261"/>
      <c r="J12" s="262"/>
      <c r="S12" s="117"/>
      <c r="T12" s="117"/>
      <c r="U12" s="117"/>
      <c r="V12" s="117"/>
      <c r="W12" s="117"/>
      <c r="X12" s="117"/>
      <c r="Y12" s="117"/>
      <c r="AT12" s="264"/>
      <c r="AU12" s="264"/>
      <c r="AV12" s="265"/>
      <c r="AW12" s="265"/>
      <c r="AX12" s="265"/>
      <c r="AY12" s="265"/>
      <c r="AZ12" s="265"/>
      <c r="BA12" s="265"/>
      <c r="BB12" s="265"/>
    </row>
    <row r="13" spans="2:16384">
      <c r="B13" s="255" t="s">
        <v>11</v>
      </c>
      <c r="D13" s="117" t="e" vm="1">
        <f ca="1">'Information from Python'!$F$5</f>
        <v>#VALUE!</v>
      </c>
      <c r="E13" s="142" t="e" vm="1">
        <f ca="1">'Information from Python'!$F$5</f>
        <v>#VALUE!</v>
      </c>
      <c r="F13" s="117" t="e" vm="1">
        <f ca="1">'Information from Python'!$F$5</f>
        <v>#VALUE!</v>
      </c>
      <c r="H13" s="262">
        <v>1000</v>
      </c>
      <c r="I13" s="263">
        <v>0</v>
      </c>
      <c r="J13" s="262">
        <v>0</v>
      </c>
      <c r="S13" s="117"/>
      <c r="T13" s="117"/>
      <c r="U13" s="117"/>
      <c r="V13" s="117"/>
      <c r="W13" s="117"/>
      <c r="X13" s="117"/>
      <c r="Y13" s="117"/>
      <c r="AT13" s="264" t="s">
        <v>11</v>
      </c>
      <c r="AU13" s="264"/>
      <c r="AV13" s="265" t="e" vm="1">
        <f t="shared" ca="1" si="4"/>
        <v>#VALUE!</v>
      </c>
      <c r="AW13" s="265" t="e" vm="1">
        <f t="shared" ca="1" si="5"/>
        <v>#VALUE!</v>
      </c>
      <c r="AX13" s="265" t="e" vm="1">
        <f t="shared" ca="1" si="6"/>
        <v>#VALUE!</v>
      </c>
      <c r="AY13" s="265"/>
      <c r="AZ13" s="265">
        <f t="shared" si="7"/>
        <v>1000</v>
      </c>
      <c r="BA13" s="265">
        <f t="shared" si="8"/>
        <v>0</v>
      </c>
      <c r="BB13" s="265">
        <f t="shared" si="9"/>
        <v>0</v>
      </c>
    </row>
    <row r="14" spans="2:16384">
      <c r="AT14" s="264"/>
      <c r="AU14" s="264"/>
      <c r="AV14" s="264"/>
      <c r="AW14" s="264"/>
      <c r="AX14" s="264"/>
      <c r="AY14" s="264"/>
      <c r="AZ14" s="264"/>
      <c r="BA14" s="264"/>
      <c r="BB14" s="264"/>
    </row>
    <row r="15" spans="2:16384">
      <c r="AT15" s="264" t="s">
        <v>246</v>
      </c>
      <c r="AU15" s="264"/>
      <c r="AV15" s="264"/>
      <c r="AW15" s="264"/>
      <c r="AX15" s="264"/>
      <c r="AY15" s="264"/>
      <c r="AZ15" s="264"/>
      <c r="BA15" s="264"/>
      <c r="BB15" s="264"/>
    </row>
    <row r="23" spans="12:12">
      <c r="L23" s="116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25" t="s">
        <v>149</v>
      </c>
      <c r="G4" s="325"/>
      <c r="H4" s="325"/>
      <c r="I4" s="325"/>
      <c r="J4" s="325"/>
      <c r="K4" s="325"/>
      <c r="L4" s="325"/>
      <c r="M4" s="325"/>
      <c r="N4" s="325"/>
      <c r="O4" s="325"/>
    </row>
    <row r="5" spans="2:16384">
      <c r="B5" s="85" t="s">
        <v>202</v>
      </c>
      <c r="C5" s="68" t="s">
        <v>112</v>
      </c>
      <c r="D5" s="68">
        <f>DCF!D64</f>
        <v>2022</v>
      </c>
      <c r="E5" s="69">
        <f>DCF!E64</f>
        <v>2023</v>
      </c>
      <c r="F5" s="67">
        <f>DCF!F64</f>
        <v>2024</v>
      </c>
      <c r="G5" s="67">
        <f>DCF!G64</f>
        <v>2025</v>
      </c>
      <c r="H5" s="67">
        <f>DCF!H64</f>
        <v>2026</v>
      </c>
      <c r="I5" s="67" t="str">
        <f>DCF!I64</f>
        <v/>
      </c>
      <c r="J5" s="67" t="str">
        <f>DCF!J64</f>
        <v/>
      </c>
      <c r="K5" s="67" t="str">
        <f>DCF!K64</f>
        <v/>
      </c>
      <c r="L5" s="67" t="str">
        <f>DCF!L64</f>
        <v/>
      </c>
      <c r="M5" s="67" t="str">
        <f>DCF!M64</f>
        <v/>
      </c>
      <c r="N5" s="67" t="str">
        <f>DCF!N64</f>
        <v/>
      </c>
      <c r="O5" s="67" t="str">
        <f>DCF!O64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TRANSPOSE((DCF!D64:O64))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68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69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68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69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68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69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68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70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68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69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68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69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68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69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68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69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68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69" t="str">
        <f>IF(B17&lt;&gt;"",$E$8*(1+Growth_RATE_PPE)^(COLUMN()-COLUMN($E$8)),"")</f>
        <v/>
      </c>
      <c r="O17" s="6" t="str">
        <f>IF(AND(P17&lt;&gt;"",COLUMN()-COLUMN($N17)&lt;$P17),$N17/$P17,"")</f>
        <v/>
      </c>
      <c r="P17" s="268" t="str">
        <f>IF(B17&lt;&gt;"",AVERAGE($P$6:$P$7),"")</f>
        <v/>
      </c>
      <c r="Q17" s="6"/>
    </row>
    <row r="18" spans="2:17">
      <c r="B18" t="str">
        <v/>
      </c>
      <c r="O18" s="271" t="str">
        <f>IF(B18&lt;&gt;"",$E$8*(1+Growth_RATE_PPE)^(COLUMN()-COLUMN($E$8)),"")</f>
        <v/>
      </c>
      <c r="P18" s="268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326" t="s">
        <v>196</v>
      </c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326" t="s">
        <v>196</v>
      </c>
      <c r="D4" s="326"/>
      <c r="E4" s="326"/>
      <c r="F4" s="326"/>
      <c r="G4" s="326"/>
      <c r="H4" s="326"/>
      <c r="I4" s="326"/>
      <c r="J4" s="326"/>
      <c r="K4" s="326"/>
      <c r="L4" s="326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326" t="s">
        <v>196</v>
      </c>
      <c r="D4" s="326"/>
      <c r="E4" s="326"/>
      <c r="F4" s="326"/>
      <c r="G4" s="326"/>
      <c r="H4" s="326"/>
      <c r="I4" s="326"/>
      <c r="J4" s="326"/>
      <c r="K4" s="326"/>
      <c r="L4" s="326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327" t="s">
        <v>196</v>
      </c>
      <c r="D36" s="327"/>
      <c r="E36" s="327"/>
      <c r="F36" s="327"/>
      <c r="G36" s="327"/>
      <c r="H36" s="327"/>
      <c r="I36" s="327"/>
      <c r="J36" s="327"/>
      <c r="K36" s="327"/>
      <c r="L36" s="327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327" t="s">
        <v>196</v>
      </c>
      <c r="D50" s="327"/>
      <c r="E50" s="327"/>
      <c r="F50" s="327"/>
      <c r="G50" s="327"/>
      <c r="H50" s="327"/>
      <c r="I50" s="327"/>
      <c r="J50" s="327"/>
      <c r="K50" s="327"/>
      <c r="L50" s="327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242</v>
      </c>
      <c r="C4" s="124"/>
      <c r="E4" s="123" t="s">
        <v>245</v>
      </c>
      <c r="F4" s="124"/>
    </row>
    <row r="5" spans="2:16384">
      <c r="B5" s="125" t="s">
        <v>10</v>
      </c>
      <c r="C5" s="35" t="s">
        <v>0</v>
      </c>
      <c r="E5" s="126" t="s">
        <v>11</v>
      </c>
      <c r="F5" s="140" t="e" cm="1" vm="2">
        <f t="array" aca="1" ref="F5" ca="1">INDEX(_xlfn.STOCKHISTORY(Ticker, TODAY()-7, TODAY(), 0, 1), ROWS(_xlfn.STOCKHISTORY(Ticker, TODAY()-7, TODAY(), 0, 1)), 2)</f>
        <v>#VALUE!</v>
      </c>
    </row>
    <row r="6" spans="2:16384">
      <c r="B6" s="125" t="s">
        <v>217</v>
      </c>
      <c r="C6" s="35" t="s">
        <v>218</v>
      </c>
    </row>
    <row r="7" spans="2:16384">
      <c r="B7" s="125"/>
      <c r="C7" s="35"/>
    </row>
    <row r="8" spans="2:16384">
      <c r="B8" s="125" t="s">
        <v>12</v>
      </c>
      <c r="C8" s="35">
        <v>5</v>
      </c>
    </row>
    <row r="9" spans="2:16384">
      <c r="B9" s="125" t="s">
        <v>13</v>
      </c>
      <c r="C9" s="35">
        <v>2023</v>
      </c>
    </row>
    <row r="10" spans="2:16384">
      <c r="B10" s="125" t="s">
        <v>92</v>
      </c>
      <c r="C10" s="35">
        <v>3</v>
      </c>
    </row>
    <row r="11" spans="2:16384">
      <c r="B11" s="125"/>
      <c r="C11" s="35"/>
    </row>
    <row r="12" spans="2:16384">
      <c r="B12" s="125" t="s">
        <v>115</v>
      </c>
      <c r="C12" s="35" t="s">
        <v>243</v>
      </c>
    </row>
    <row r="13" spans="2:16384">
      <c r="B13" s="125"/>
      <c r="C13" s="35"/>
    </row>
    <row r="14" spans="2:16384">
      <c r="B14" s="125" t="s">
        <v>97</v>
      </c>
      <c r="C14" s="122">
        <v>1</v>
      </c>
    </row>
    <row r="15" spans="2:16384">
      <c r="B15" s="125" t="s">
        <v>98</v>
      </c>
      <c r="C15" s="132">
        <v>0.04</v>
      </c>
    </row>
    <row r="16" spans="2:16384">
      <c r="B16" s="125" t="s">
        <v>100</v>
      </c>
      <c r="C16" s="132">
        <v>7.0000000000000007E-2</v>
      </c>
    </row>
    <row r="17" spans="2:3">
      <c r="B17" s="125" t="s">
        <v>99</v>
      </c>
      <c r="C17" s="132">
        <f>Market_Return-Riskfree_Return</f>
        <v>3.0000000000000006E-2</v>
      </c>
    </row>
    <row r="18" spans="2:3">
      <c r="B18" s="125"/>
      <c r="C18" s="35"/>
    </row>
    <row r="19" spans="2:3">
      <c r="B19" s="125" t="s">
        <v>128</v>
      </c>
      <c r="C19" s="133">
        <v>15171990000</v>
      </c>
    </row>
    <row r="20" spans="2:3">
      <c r="B20" s="125"/>
      <c r="C20" s="35"/>
    </row>
    <row r="21" spans="2:3">
      <c r="B21" s="125" t="s">
        <v>193</v>
      </c>
      <c r="C21" s="134">
        <v>280</v>
      </c>
    </row>
    <row r="22" spans="2:3">
      <c r="B22" s="126" t="s">
        <v>194</v>
      </c>
      <c r="C22" s="135">
        <v>120</v>
      </c>
    </row>
    <row r="25" spans="2:3">
      <c r="B25" s="139" t="s">
        <v>219</v>
      </c>
    </row>
    <row r="26" spans="2:3">
      <c r="B26" s="138" t="s">
        <v>244</v>
      </c>
    </row>
    <row r="27" spans="2:3">
      <c r="B27" s="136" t="str">
        <f>IF('Comparable multiples'!B23&lt;&gt;"",'Comparable multiples'!B23,"")</f>
        <v>DUMMY 1</v>
      </c>
    </row>
    <row r="28" spans="2:3">
      <c r="B28" s="136" t="str">
        <f>IF('Comparable multiples'!B24&lt;&gt;"",'Comparable multiples'!B24,"")</f>
        <v>DUMMY 2</v>
      </c>
    </row>
    <row r="29" spans="2:3">
      <c r="B29" s="136" t="str">
        <f>IF('Comparable multiples'!B25&lt;&gt;"",'Comparable multiples'!B25,"")</f>
        <v>DUMMY 3</v>
      </c>
    </row>
    <row r="30" spans="2:3">
      <c r="B30" s="136" t="str">
        <f>IF('Comparable multiples'!B26&lt;&gt;"",'Comparable multiples'!B26,"")</f>
        <v>DUMMY 4</v>
      </c>
    </row>
    <row r="31" spans="2:3">
      <c r="B31" s="136" t="str">
        <f>IF('Comparable multiples'!B27&lt;&gt;"",'Comparable multiples'!B27,"")</f>
        <v/>
      </c>
    </row>
    <row r="32" spans="2:3">
      <c r="B32" s="136" t="str">
        <f>IF('Comparable multiples'!B28&lt;&gt;"",'Comparable multiples'!B28,"")</f>
        <v/>
      </c>
    </row>
    <row r="33" spans="2:2">
      <c r="B33" s="136" t="str">
        <f>IF('Comparable multiples'!B29&lt;&gt;"",'Comparable multiples'!B29,"")</f>
        <v/>
      </c>
    </row>
    <row r="34" spans="2:2">
      <c r="B34" s="136" t="str">
        <f>IF('Comparable multiples'!B30&lt;&gt;"",'Comparable multiples'!B30,"")</f>
        <v/>
      </c>
    </row>
    <row r="35" spans="2:2">
      <c r="B35" s="136" t="str">
        <f>IF('Comparable multiples'!B31&lt;&gt;"",'Comparable multiples'!B31,"")</f>
        <v/>
      </c>
    </row>
    <row r="36" spans="2:2">
      <c r="B36" s="136" t="str">
        <f>IF('Comparable multiples'!B32&lt;&gt;"",'Comparable multiples'!B32,"")</f>
        <v/>
      </c>
    </row>
    <row r="37" spans="2:2">
      <c r="B37" s="137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328" t="s">
        <v>196</v>
      </c>
      <c r="D4" s="328"/>
      <c r="E4" s="328"/>
      <c r="F4" s="141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2025-02-28T19:36:54Z</dcterms:modified>
</cp:coreProperties>
</file>