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20EEDEE0-AF9A-0F49-96E9-42452F825760}" xr6:coauthVersionLast="47" xr6:coauthVersionMax="47" xr10:uidLastSave="{00000000-0000-0000-0000-000000000000}"/>
  <bookViews>
    <workbookView xWindow="0" yWindow="740" windowWidth="29400" windowHeight="16500" activeTab="2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D17" i="1"/>
  <c r="D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F5" i="5" a="1"/>
  <c r="F5" i="5" l="1"/>
  <c r="AV7" i="3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<sst xmlns="http://schemas.openxmlformats.org/spreadsheetml/2006/main" count="362" uniqueCount="258">
  <si>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</si>
  <si>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</si>
  <si>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</si>
  <si>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</si>
  <si>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</si>
  <si>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</si>
  <si>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</si>
  <si>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</si>
  <si>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</si>
  <si>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</si>
  <si>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</si>
  <si>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</si>
  <si>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</si>
  <si>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</si>
  <si>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</si>
  <si>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</si>
  <si>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</si>
  <si>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</si>
  <si>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</si>
  <si>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</si>
  <si>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</si>
  <si>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</si>
  <si>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</si>
  <si>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</si>
  <si>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</si>
  <si>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</si>
  <si>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</si>
  <si>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</si>
  <si>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</si>
  <si>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</si>
  <si>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</si>
  <si>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</si>
  <si>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</si>
  <si>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</si>
  <si>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</si>
  <si>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</si>
  <si>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</si>
  <si>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</si>
  <si>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</si>
  <si>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</si>
  <si>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</si>
  <si>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</si>
  <si>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</si>
  <si>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</si>
  <si>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</si>
  <si>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</si>
  <si>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</si>
  <si>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</si>
  <si>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</si>
  <si>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</si>
  <si>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</si>
  <si>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</si>
  <si>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</si>
  <si>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</si>
  <si>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</si>
  <si>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</si>
  <si>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</si>
  <si>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</si>
  <si>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</si>
  <si>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</si>
  <si>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</si>
  <si>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</si>
  <si>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</si>
  <si>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</si>
  <si>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</si>
  <si>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</si>
  <si>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</si>
  <si>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</si>
  <si>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</si>
  <si>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</si>
  <si>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</si>
  <si>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</si>
  <si>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</si>
  <si>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</si>
  <si>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</si>
  <si>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</si>
  <si>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</si>
  <si>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</si>
  <si>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</si>
  <si>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</si>
  <si>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</si>
  <si>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</si>
  <si>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</si>
  <si>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</si>
  <si>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</si>
  <si>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</si>
  <si>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</si>
  <si>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</si>
  <si>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</si>
  <si>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</si>
  <si>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</si>
  <si>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</si>
  <si>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</si>
  <si>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</si>
  <si>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</si>
  <si>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</si>
  <si>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</si>
  <si>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</si>
  <si>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</si>
  <si>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</si>
  <si>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</si>
  <si>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</si>
  <si>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</si>
  <si>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</si>
  <si>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</si>
  <si>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</si>
  <si>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</si>
  <si>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</si>
  <si>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</si>
  <si>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</si>
  <si>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</si>
  <si>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</si>
  <si>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</si>
  <si>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</si>
  <si>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</si>
  <si>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</si>
  <si>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</si>
  <si>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</si>
  <si>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</si>
  <si>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</si>
  <si>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</si>
  <si>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</si>
  <si>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</si>
  <si>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</si>
  <si>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</si>
  <si>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</si>
  <si>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</si>
  <si>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</si>
  <si>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</si>
  <si>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</si>
  <si>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</si>
  <si>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</si>
  <si>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</si>
  <si>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</si>
  <si>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</si>
  <si>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</si>
  <si>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</si>
  <si>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</si>
  <si>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</si>
  <si>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</si>
  <si>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</si>
  <si>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</si>
  <si>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</si>
  <si>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</si>
  <si>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</si>
  <si>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</si>
  <si>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</si>
  <si>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</si>
  <si>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</si>
  <si>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</si>
  <si>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</si>
  <si>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</si>
  <si>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</si>
  <si>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</si>
  <si>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</si>
  <si>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</si>
  <si>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</si>
  <si>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</si>
  <si>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</si>
  <si>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</si>
  <si>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</si>
  <si>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</si>
  <si>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</si>
  <si>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</si>
  <si>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</si>
  <si>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</si>
  <si>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</si>
  <si>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</si>
  <si>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</si>
  <si>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</si>
  <si>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</si>
  <si>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</si>
  <si>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</si>
  <si>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</si>
  <si>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</si>
  <si>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</si>
  <si>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</si>
  <si>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</si>
  <si>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</si>
  <si>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</si>
  <si>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</si>
  <si>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</si>
  <si>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</si>
  <si>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</si>
  <si>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</si>
  <si>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</si>
  <si>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</si>
  <si>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</si>
  <si>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</si>
  <si>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</si>
  <si>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</si>
  <si>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</si>
  <si>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</si>
  <si>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</si>
  <si>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</si>
  <si>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</si>
  <si>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</si>
  <si>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</si>
  <si>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</si>
  <si>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</si>
  <si>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</si>
  <si>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</si>
  <si>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</si>
  <si>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</si>
  <si>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</si>
  <si>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</si>
  <si>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</si>
  <si>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</si>
  <si>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</si>
  <si>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</si>
  <si>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</si>
  <si>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</si>
  <si>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</si>
  <si>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</si>
  <si>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</si>
  <si>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</si>
  <si>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</si>
  <si>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</si>
  <si>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</si>
  <si>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</si>
  <si>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</si>
  <si>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</si>
  <si>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</si>
  <si>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</si>
  <si>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</si>
  <si>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</si>
  <si>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</si>
  <si>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</si>
  <si>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</si>
  <si>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</si>
  <si>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</si>
  <si>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</si>
  <si>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</si>
  <si>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</si>
  <si>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</si>
  <si>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</si>
  <si>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</si>
  <si>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</si>
  <si>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</si>
  <si>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</si>
  <si>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</si>
  <si>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</si>
  <si>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</si>
  <si>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</si>
  <si>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</si>
  <si>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</si>
  <si>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</si>
  <si>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</si>
  <si>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</si>
  <si>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</si>
  <si>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</si>
  <si>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</si>
  <si>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</si>
  <si>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</si>
  <si>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</si>
  <si>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</si>
  <si>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Add terminal value using Multiples (see Freddy DCF)</t>
  </si>
  <si>
    <t>Information from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</si>
</sst>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5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AC6901-C2F7-DC48-A68B-3072ECC8D9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908EB4-0889-3E4E-A29A-C18AAEB6D7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23031E-C110-5845-B70D-D059C75923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516440-D922-D647-90B9-CE107E7B1F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D28658-1D14-384B-9959-EF3C9ABEC11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0B8082-1AEE-C84E-8895-FC204679E1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BA5E58-8E4D-8345-A229-5958962EBD8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87E4B8-A8FA-CF47-B10A-620516911A5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D7D7E4-5451-6F40-973B-FBEF4CEFD1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927C97-2BC0-4340-BD01-7A9EDCE0C0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8F0C6B-FEF1-2C46-8A20-B6E56F9DD5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747352-1C5E-EE43-A98D-B19769F6EE8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7A16E3-BEB0-3142-95A2-BC0AE9DB9B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53235E-36C7-1745-93B4-1D52CDF2AF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C01D83-FB9B-8143-8D70-C30DF8AA74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12"/>
  <sheetViews>
    <sheetView topLeftCell="A57" zoomScale="75" workbookViewId="0">
      <selection activeCell="B81" sqref="B81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6" t="s">
        <v>149</v>
      </c>
      <c r="G62" s="286"/>
      <c r="H62" s="286"/>
      <c r="I62" s="286"/>
      <c r="J62" s="286"/>
      <c r="K62" s="286"/>
      <c r="L62" s="286"/>
      <c r="M62" s="286"/>
      <c r="N62" s="286"/>
      <c r="O62" s="286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7" t="s">
        <v>110</v>
      </c>
      <c r="I100" s="288" t="s">
        <v>122</v>
      </c>
      <c r="J100" s="288"/>
      <c r="K100" s="288"/>
      <c r="L100" s="288"/>
      <c r="M100" s="288"/>
      <c r="N100" s="288"/>
      <c r="O100" s="8"/>
      <c r="P100" s="11" t="s">
        <v>123</v>
      </c>
      <c r="Q100" s="16">
        <v>2.5000000000000001E-3</v>
      </c>
    </row>
    <row r="101" spans="2:17" ht="17" thickBot="1">
      <c r="H101" s="287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7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7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7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7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7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  <row r="112" spans="2:17">
      <c r="B112" t="s">
        <v>256</v>
      </c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abSelected="1" zoomScale="50" workbookViewId="0">
      <selection activeCell="C14" sqref="C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#VALUE!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#VALUE!</v>
      </c>
      <c r="F10" s="246"/>
      <c r="G10" s="252" t="s">
        <v>188</v>
      </c>
      <c r="H10" s="253" t="e" vm="1">
        <f ca="1">$E$13/H8</f>
        <v>#VALUE!</v>
      </c>
      <c r="I10" s="253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#VALUE!</v>
      </c>
      <c r="I11" s="253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#VALUE!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#VALUE!</v>
      </c>
      <c r="D40" s="261" t="e" vm="1">
        <f ca="1">E13</f>
        <v>#VALUE!</v>
      </c>
      <c r="E40" s="262" t="e" vm="1">
        <f ca="1">H10</f>
        <v>#VALUE!</v>
      </c>
      <c r="F40" s="262" t="e" vm="1">
        <f ca="1">I10</f>
        <v>#VALUE!</v>
      </c>
      <c r="G40" s="262" t="e" vm="1">
        <f ca="1">H11</f>
        <v>#VALUE!</v>
      </c>
      <c r="H40" s="262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9" t="str">
        <f>"Valuation Football Field: "&amp;Name</f>
        <v>Valuation Football Field: Apple Inc.</v>
      </c>
      <c r="C4" s="290"/>
      <c r="D4" s="290"/>
      <c r="E4" s="290"/>
      <c r="F4" s="290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#VALUE!</v>
      </c>
      <c r="E13" s="153" t="e" vm="1">
        <f ca="1">'Information from Python'!$F$5</f>
        <v>#VALUE!</v>
      </c>
      <c r="F13" s="128" t="e" vm="1">
        <f ca="1">'Information from Python'!$F$5</f>
        <v>#VALUE!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#VALUE!</v>
      </c>
      <c r="AW13" s="276" t="e" vm="1">
        <f t="shared" ca="1" si="5"/>
        <v>#VALUE!</v>
      </c>
      <c r="AX13" s="276" t="e" vm="1">
        <f t="shared" ca="1" si="6"/>
        <v>#VALUE!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1" t="s">
        <v>149</v>
      </c>
      <c r="G4" s="291"/>
      <c r="H4" s="291"/>
      <c r="I4" s="291"/>
      <c r="J4" s="291"/>
      <c r="K4" s="291"/>
      <c r="L4" s="291"/>
      <c r="M4" s="291"/>
      <c r="N4" s="291"/>
      <c r="O4" s="291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F29" sqref="F29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3" t="s">
        <v>196</v>
      </c>
      <c r="D36" s="293"/>
      <c r="E36" s="293"/>
      <c r="F36" s="293"/>
      <c r="G36" s="293"/>
      <c r="H36" s="293"/>
      <c r="I36" s="293"/>
      <c r="J36" s="293"/>
      <c r="K36" s="293"/>
      <c r="L36" s="293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3" t="s">
        <v>196</v>
      </c>
      <c r="D50" s="293"/>
      <c r="E50" s="293"/>
      <c r="F50" s="293"/>
      <c r="G50" s="293"/>
      <c r="H50" s="293"/>
      <c r="I50" s="293"/>
      <c r="J50" s="293"/>
      <c r="K50" s="293"/>
      <c r="L50" s="293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F29" sqref="F29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29" sqref="F29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4" t="s">
        <v>196</v>
      </c>
      <c r="D4" s="294"/>
      <c r="E4" s="294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2025-02-26T12:02:12Z</dcterms:modified>
</cp:coreProperties>
</file>